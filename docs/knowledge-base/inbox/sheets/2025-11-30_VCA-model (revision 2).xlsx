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jfle\Workspace\ordinis\docs\knowledge-base\inbox\"/>
    </mc:Choice>
  </mc:AlternateContent>
  <xr:revisionPtr revIDLastSave="0" documentId="13_ncr:1_{C737449C-96C5-4C32-A27D-20AC44D7BEE9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Sheet1" sheetId="4" r:id="rId1"/>
    <sheet name="Sheet2" sheetId="5" r:id="rId2"/>
  </sheets>
  <definedNames>
    <definedName name="Bi_Weekly">Sheet2!$K$7</definedName>
    <definedName name="Bi_weekly_2">Sheet2!$L$7</definedName>
    <definedName name="inter">Sheet1!$C$6</definedName>
    <definedName name="Monthly">Sheet2!$K$8</definedName>
    <definedName name="Monthly_2">Sheet2!$L$8</definedName>
    <definedName name="None">Sheet2!$K$11</definedName>
    <definedName name="None_2">Sheet2!$L$11</definedName>
    <definedName name="Quarterly">Sheet2!$K$9</definedName>
    <definedName name="Quarterly_2">Sheet2!$L$9</definedName>
    <definedName name="Weekly">Sheet2!$K$6</definedName>
    <definedName name="Weekly_2">Sheet2!$L$6</definedName>
    <definedName name="Yearly">Sheet2!$K$10</definedName>
    <definedName name="Yearly_2">Sheet2!$L$10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3" i="4" l="1"/>
  <c r="K43" i="4" s="1"/>
  <c r="R43" i="4" s="1"/>
  <c r="BZ43" i="4" s="1"/>
  <c r="J42" i="4"/>
  <c r="L42" i="4" s="1"/>
  <c r="K42" i="4"/>
  <c r="R42" i="4" s="1"/>
  <c r="J44" i="4"/>
  <c r="J45" i="4"/>
  <c r="K45" i="4" s="1"/>
  <c r="R45" i="4" s="1"/>
  <c r="BZ45" i="4" s="1"/>
  <c r="J47" i="4"/>
  <c r="O47" i="4" s="1"/>
  <c r="J49" i="4"/>
  <c r="P49" i="4" s="1"/>
  <c r="J51" i="4"/>
  <c r="K51" i="4" s="1"/>
  <c r="R51" i="4" s="1"/>
  <c r="BZ51" i="4" s="1"/>
  <c r="J53" i="4"/>
  <c r="J55" i="4"/>
  <c r="K55" i="4" s="1"/>
  <c r="J57" i="4"/>
  <c r="K57" i="4" s="1"/>
  <c r="J59" i="4"/>
  <c r="K59" i="4" s="1"/>
  <c r="J61" i="4"/>
  <c r="K61" i="4" s="1"/>
  <c r="J63" i="4"/>
  <c r="K63" i="4" s="1"/>
  <c r="J65" i="4"/>
  <c r="K65" i="4" s="1"/>
  <c r="R65" i="4" s="1"/>
  <c r="J67" i="4"/>
  <c r="J69" i="4"/>
  <c r="K69" i="4" s="1"/>
  <c r="R69" i="4" s="1"/>
  <c r="J71" i="4"/>
  <c r="J73" i="4"/>
  <c r="N73" i="4" s="1"/>
  <c r="J75" i="4"/>
  <c r="K75" i="4" s="1"/>
  <c r="J77" i="4"/>
  <c r="K77" i="4" s="1"/>
  <c r="J79" i="4"/>
  <c r="K79" i="4" s="1"/>
  <c r="J81" i="4"/>
  <c r="M81" i="4" s="1"/>
  <c r="J83" i="4"/>
  <c r="K83" i="4" s="1"/>
  <c r="R83" i="4" s="1"/>
  <c r="J85" i="4"/>
  <c r="J87" i="4"/>
  <c r="K87" i="4" s="1"/>
  <c r="J89" i="4"/>
  <c r="K89" i="4" s="1"/>
  <c r="J91" i="4"/>
  <c r="M91" i="4" s="1"/>
  <c r="J93" i="4"/>
  <c r="J95" i="4"/>
  <c r="K95" i="4" s="1"/>
  <c r="J97" i="4"/>
  <c r="K97" i="4" s="1"/>
  <c r="J99" i="4"/>
  <c r="N99" i="4" s="1"/>
  <c r="J101" i="4"/>
  <c r="J103" i="4"/>
  <c r="J105" i="4"/>
  <c r="K105" i="4" s="1"/>
  <c r="J107" i="4"/>
  <c r="J109" i="4"/>
  <c r="L109" i="4" s="1"/>
  <c r="S109" i="4" s="1"/>
  <c r="J111" i="4"/>
  <c r="K111" i="4" s="1"/>
  <c r="J113" i="4"/>
  <c r="K113" i="4" s="1"/>
  <c r="R113" i="4" s="1"/>
  <c r="BZ113" i="4" s="1"/>
  <c r="J115" i="4"/>
  <c r="K115" i="4" s="1"/>
  <c r="R115" i="4" s="1"/>
  <c r="BZ115" i="4" s="1"/>
  <c r="J117" i="4"/>
  <c r="K117" i="4" s="1"/>
  <c r="J119" i="4"/>
  <c r="J121" i="4"/>
  <c r="K121" i="4" s="1"/>
  <c r="J123" i="4"/>
  <c r="K123" i="4" s="1"/>
  <c r="J125" i="4"/>
  <c r="J127" i="4"/>
  <c r="K127" i="4" s="1"/>
  <c r="CF127" i="4" s="1"/>
  <c r="J129" i="4"/>
  <c r="K129" i="4" s="1"/>
  <c r="J131" i="4"/>
  <c r="K131" i="4" s="1"/>
  <c r="R131" i="4" s="1"/>
  <c r="J133" i="4"/>
  <c r="K133" i="4" s="1"/>
  <c r="J135" i="4"/>
  <c r="J137" i="4"/>
  <c r="K137" i="4" s="1"/>
  <c r="J139" i="4"/>
  <c r="K139" i="4" s="1"/>
  <c r="J141" i="4"/>
  <c r="L141" i="4" s="1"/>
  <c r="S141" i="4" s="1"/>
  <c r="J143" i="4"/>
  <c r="K143" i="4" s="1"/>
  <c r="J145" i="4"/>
  <c r="O145" i="4" s="1"/>
  <c r="J147" i="4"/>
  <c r="K147" i="4" s="1"/>
  <c r="R147" i="4" s="1"/>
  <c r="BZ147" i="4" s="1"/>
  <c r="J149" i="4"/>
  <c r="K149" i="4" s="1"/>
  <c r="R149" i="4" s="1"/>
  <c r="J151" i="4"/>
  <c r="K151" i="4" s="1"/>
  <c r="J153" i="4"/>
  <c r="K153" i="4" s="1"/>
  <c r="J155" i="4"/>
  <c r="K155" i="4" s="1"/>
  <c r="R155" i="4" s="1"/>
  <c r="J157" i="4"/>
  <c r="L157" i="4" s="1"/>
  <c r="S157" i="4" s="1"/>
  <c r="J159" i="4"/>
  <c r="K159" i="4" s="1"/>
  <c r="J161" i="4"/>
  <c r="K161" i="4" s="1"/>
  <c r="J163" i="4"/>
  <c r="K163" i="4" s="1"/>
  <c r="J165" i="4"/>
  <c r="K165" i="4" s="1"/>
  <c r="J167" i="4"/>
  <c r="J169" i="4"/>
  <c r="K169" i="4" s="1"/>
  <c r="J171" i="4"/>
  <c r="K171" i="4" s="1"/>
  <c r="J173" i="4"/>
  <c r="J175" i="4"/>
  <c r="K175" i="4" s="1"/>
  <c r="J177" i="4"/>
  <c r="P177" i="4" s="1"/>
  <c r="W177" i="4" s="1"/>
  <c r="CE177" i="4" s="1"/>
  <c r="J179" i="4"/>
  <c r="K179" i="4" s="1"/>
  <c r="R179" i="4" s="1"/>
  <c r="J181" i="4"/>
  <c r="K181" i="4" s="1"/>
  <c r="CF181" i="4" s="1"/>
  <c r="J183" i="4"/>
  <c r="K183" i="4" s="1"/>
  <c r="J185" i="4"/>
  <c r="K185" i="4" s="1"/>
  <c r="J187" i="4"/>
  <c r="K187" i="4" s="1"/>
  <c r="J189" i="4"/>
  <c r="J191" i="4"/>
  <c r="J193" i="4"/>
  <c r="K193" i="4" s="1"/>
  <c r="R193" i="4" s="1"/>
  <c r="J195" i="4"/>
  <c r="K195" i="4" s="1"/>
  <c r="J197" i="4"/>
  <c r="K197" i="4" s="1"/>
  <c r="J199" i="4"/>
  <c r="K199" i="4" s="1"/>
  <c r="J201" i="4"/>
  <c r="K201" i="4" s="1"/>
  <c r="J203" i="4"/>
  <c r="K203" i="4" s="1"/>
  <c r="CF203" i="4" s="1"/>
  <c r="J205" i="4"/>
  <c r="P205" i="4" s="1"/>
  <c r="J207" i="4"/>
  <c r="K207" i="4" s="1"/>
  <c r="R207" i="4" s="1"/>
  <c r="BZ207" i="4" s="1"/>
  <c r="J209" i="4"/>
  <c r="K209" i="4" s="1"/>
  <c r="J211" i="4"/>
  <c r="L211" i="4" s="1"/>
  <c r="CG211" i="4" s="1"/>
  <c r="J213" i="4"/>
  <c r="J215" i="4"/>
  <c r="K215" i="4" s="1"/>
  <c r="R215" i="4" s="1"/>
  <c r="J217" i="4"/>
  <c r="K217" i="4" s="1"/>
  <c r="J219" i="4"/>
  <c r="K219" i="4" s="1"/>
  <c r="CF219" i="4" s="1"/>
  <c r="J221" i="4"/>
  <c r="K221" i="4" s="1"/>
  <c r="J223" i="4"/>
  <c r="K223" i="4" s="1"/>
  <c r="R223" i="4" s="1"/>
  <c r="J225" i="4"/>
  <c r="K225" i="4" s="1"/>
  <c r="J227" i="4"/>
  <c r="K227" i="4" s="1"/>
  <c r="J229" i="4"/>
  <c r="K229" i="4" s="1"/>
  <c r="R229" i="4" s="1"/>
  <c r="BZ229" i="4" s="1"/>
  <c r="J231" i="4"/>
  <c r="K231" i="4" s="1"/>
  <c r="J233" i="4"/>
  <c r="K233" i="4" s="1"/>
  <c r="J235" i="4"/>
  <c r="K235" i="4" s="1"/>
  <c r="R235" i="4" s="1"/>
  <c r="BZ235" i="4" s="1"/>
  <c r="J237" i="4"/>
  <c r="L237" i="4" s="1"/>
  <c r="J239" i="4"/>
  <c r="K239" i="4" s="1"/>
  <c r="J241" i="4"/>
  <c r="K241" i="4" s="1"/>
  <c r="J243" i="4"/>
  <c r="J245" i="4"/>
  <c r="L245" i="4" s="1"/>
  <c r="J247" i="4"/>
  <c r="K247" i="4" s="1"/>
  <c r="J249" i="4"/>
  <c r="K249" i="4" s="1"/>
  <c r="R249" i="4" s="1"/>
  <c r="BZ249" i="4" s="1"/>
  <c r="J251" i="4"/>
  <c r="K251" i="4" s="1"/>
  <c r="J253" i="4"/>
  <c r="J255" i="4"/>
  <c r="K255" i="4" s="1"/>
  <c r="J257" i="4"/>
  <c r="K257" i="4" s="1"/>
  <c r="R257" i="4" s="1"/>
  <c r="J259" i="4"/>
  <c r="L259" i="4" s="1"/>
  <c r="S259" i="4" s="1"/>
  <c r="CA259" i="4" s="1"/>
  <c r="J261" i="4"/>
  <c r="J263" i="4"/>
  <c r="K263" i="4" s="1"/>
  <c r="J265" i="4"/>
  <c r="L265" i="4" s="1"/>
  <c r="J267" i="4"/>
  <c r="K267" i="4" s="1"/>
  <c r="J269" i="4"/>
  <c r="O269" i="4" s="1"/>
  <c r="J271" i="4"/>
  <c r="P271" i="4" s="1"/>
  <c r="J273" i="4"/>
  <c r="K273" i="4" s="1"/>
  <c r="J275" i="4"/>
  <c r="J277" i="4"/>
  <c r="K277" i="4" s="1"/>
  <c r="R277" i="4" s="1"/>
  <c r="BZ277" i="4" s="1"/>
  <c r="J279" i="4"/>
  <c r="J281" i="4"/>
  <c r="K281" i="4" s="1"/>
  <c r="J283" i="4"/>
  <c r="K283" i="4" s="1"/>
  <c r="J285" i="4"/>
  <c r="K285" i="4" s="1"/>
  <c r="J287" i="4"/>
  <c r="K287" i="4" s="1"/>
  <c r="J289" i="4"/>
  <c r="K289" i="4" s="1"/>
  <c r="R289" i="4" s="1"/>
  <c r="J291" i="4"/>
  <c r="K291" i="4" s="1"/>
  <c r="J293" i="4"/>
  <c r="K293" i="4" s="1"/>
  <c r="J295" i="4"/>
  <c r="J297" i="4"/>
  <c r="J299" i="4"/>
  <c r="P299" i="4" s="1"/>
  <c r="J301" i="4"/>
  <c r="K301" i="4" s="1"/>
  <c r="J303" i="4"/>
  <c r="K303" i="4" s="1"/>
  <c r="J305" i="4"/>
  <c r="K305" i="4" s="1"/>
  <c r="R305" i="4" s="1"/>
  <c r="BZ305" i="4" s="1"/>
  <c r="J307" i="4"/>
  <c r="J309" i="4"/>
  <c r="L309" i="4" s="1"/>
  <c r="J311" i="4"/>
  <c r="K311" i="4" s="1"/>
  <c r="R311" i="4" s="1"/>
  <c r="J313" i="4"/>
  <c r="L313" i="4" s="1"/>
  <c r="J315" i="4"/>
  <c r="K315" i="4" s="1"/>
  <c r="J317" i="4"/>
  <c r="J319" i="4"/>
  <c r="K319" i="4" s="1"/>
  <c r="J321" i="4"/>
  <c r="K321" i="4" s="1"/>
  <c r="J323" i="4"/>
  <c r="K323" i="4" s="1"/>
  <c r="R323" i="4" s="1"/>
  <c r="J325" i="4"/>
  <c r="J327" i="4"/>
  <c r="K327" i="4" s="1"/>
  <c r="J329" i="4"/>
  <c r="J331" i="4"/>
  <c r="J333" i="4"/>
  <c r="K333" i="4" s="1"/>
  <c r="J335" i="4"/>
  <c r="K335" i="4" s="1"/>
  <c r="R335" i="4" s="1"/>
  <c r="J337" i="4"/>
  <c r="K337" i="4" s="1"/>
  <c r="R337" i="4" s="1"/>
  <c r="BZ337" i="4" s="1"/>
  <c r="J339" i="4"/>
  <c r="K339" i="4" s="1"/>
  <c r="R339" i="4" s="1"/>
  <c r="J341" i="4"/>
  <c r="K341" i="4" s="1"/>
  <c r="R341" i="4" s="1"/>
  <c r="J343" i="4"/>
  <c r="K343" i="4" s="1"/>
  <c r="R343" i="4" s="1"/>
  <c r="J345" i="4"/>
  <c r="K345" i="4" s="1"/>
  <c r="J347" i="4"/>
  <c r="K347" i="4" s="1"/>
  <c r="J349" i="4"/>
  <c r="N349" i="4" s="1"/>
  <c r="J351" i="4"/>
  <c r="L351" i="4" s="1"/>
  <c r="J353" i="4"/>
  <c r="M353" i="4" s="1"/>
  <c r="J355" i="4"/>
  <c r="L355" i="4" s="1"/>
  <c r="S355" i="4" s="1"/>
  <c r="J357" i="4"/>
  <c r="K357" i="4" s="1"/>
  <c r="J359" i="4"/>
  <c r="K359" i="4" s="1"/>
  <c r="J361" i="4"/>
  <c r="O361" i="4" s="1"/>
  <c r="CJ361" i="4" s="1"/>
  <c r="J363" i="4"/>
  <c r="K363" i="4" s="1"/>
  <c r="R363" i="4" s="1"/>
  <c r="J365" i="4"/>
  <c r="J367" i="4"/>
  <c r="K367" i="4" s="1"/>
  <c r="J369" i="4"/>
  <c r="J371" i="4"/>
  <c r="K371" i="4" s="1"/>
  <c r="R371" i="4" s="1"/>
  <c r="J373" i="4"/>
  <c r="J375" i="4"/>
  <c r="P375" i="4" s="1"/>
  <c r="J377" i="4"/>
  <c r="J379" i="4"/>
  <c r="K379" i="4" s="1"/>
  <c r="R379" i="4" s="1"/>
  <c r="J381" i="4"/>
  <c r="K381" i="4" s="1"/>
  <c r="R381" i="4" s="1"/>
  <c r="BZ381" i="4" s="1"/>
  <c r="J383" i="4"/>
  <c r="K383" i="4" s="1"/>
  <c r="R383" i="4" s="1"/>
  <c r="BZ383" i="4" s="1"/>
  <c r="J385" i="4"/>
  <c r="L385" i="4" s="1"/>
  <c r="S385" i="4" s="1"/>
  <c r="CA385" i="4" s="1"/>
  <c r="J387" i="4"/>
  <c r="N387" i="4" s="1"/>
  <c r="U387" i="4" s="1"/>
  <c r="J389" i="4"/>
  <c r="K389" i="4" s="1"/>
  <c r="J391" i="4"/>
  <c r="K391" i="4" s="1"/>
  <c r="R391" i="4" s="1"/>
  <c r="BZ391" i="4" s="1"/>
  <c r="J393" i="4"/>
  <c r="N393" i="4" s="1"/>
  <c r="U393" i="4" s="1"/>
  <c r="J395" i="4"/>
  <c r="K395" i="4" s="1"/>
  <c r="J397" i="4"/>
  <c r="K397" i="4" s="1"/>
  <c r="J399" i="4"/>
  <c r="K399" i="4" s="1"/>
  <c r="R399" i="4" s="1"/>
  <c r="J401" i="4"/>
  <c r="K401" i="4" s="1"/>
  <c r="J403" i="4"/>
  <c r="M403" i="4" s="1"/>
  <c r="J405" i="4"/>
  <c r="M405" i="4" s="1"/>
  <c r="CH405" i="4" s="1"/>
  <c r="J407" i="4"/>
  <c r="K407" i="4" s="1"/>
  <c r="J409" i="4"/>
  <c r="N409" i="4" s="1"/>
  <c r="J411" i="4"/>
  <c r="K411" i="4" s="1"/>
  <c r="J413" i="4"/>
  <c r="O413" i="4" s="1"/>
  <c r="J415" i="4"/>
  <c r="K415" i="4" s="1"/>
  <c r="CF415" i="4" s="1"/>
  <c r="J417" i="4"/>
  <c r="K417" i="4" s="1"/>
  <c r="J419" i="4"/>
  <c r="K419" i="4" s="1"/>
  <c r="R419" i="4" s="1"/>
  <c r="J421" i="4"/>
  <c r="K421" i="4" s="1"/>
  <c r="J423" i="4"/>
  <c r="K423" i="4" s="1"/>
  <c r="J425" i="4"/>
  <c r="K425" i="4" s="1"/>
  <c r="J427" i="4"/>
  <c r="K427" i="4" s="1"/>
  <c r="R427" i="4" s="1"/>
  <c r="BZ427" i="4" s="1"/>
  <c r="J429" i="4"/>
  <c r="M429" i="4" s="1"/>
  <c r="J431" i="4"/>
  <c r="K431" i="4" s="1"/>
  <c r="J433" i="4"/>
  <c r="K433" i="4" s="1"/>
  <c r="J435" i="4"/>
  <c r="L435" i="4" s="1"/>
  <c r="J437" i="4"/>
  <c r="K437" i="4" s="1"/>
  <c r="J439" i="4"/>
  <c r="K439" i="4" s="1"/>
  <c r="J441" i="4"/>
  <c r="K441" i="4" s="1"/>
  <c r="J443" i="4"/>
  <c r="K443" i="4" s="1"/>
  <c r="R443" i="4" s="1"/>
  <c r="J445" i="4"/>
  <c r="M445" i="4" s="1"/>
  <c r="CH445" i="4" s="1"/>
  <c r="J447" i="4"/>
  <c r="K447" i="4" s="1"/>
  <c r="J449" i="4"/>
  <c r="K449" i="4" s="1"/>
  <c r="J451" i="4"/>
  <c r="K451" i="4" s="1"/>
  <c r="CF451" i="4" s="1"/>
  <c r="J453" i="4"/>
  <c r="K453" i="4" s="1"/>
  <c r="J455" i="4"/>
  <c r="K455" i="4" s="1"/>
  <c r="J457" i="4"/>
  <c r="K457" i="4" s="1"/>
  <c r="J459" i="4"/>
  <c r="O459" i="4" s="1"/>
  <c r="J461" i="4"/>
  <c r="K461" i="4" s="1"/>
  <c r="J463" i="4"/>
  <c r="K463" i="4" s="1"/>
  <c r="J465" i="4"/>
  <c r="K465" i="4" s="1"/>
  <c r="J467" i="4"/>
  <c r="K467" i="4" s="1"/>
  <c r="R467" i="4" s="1"/>
  <c r="J469" i="4"/>
  <c r="P469" i="4" s="1"/>
  <c r="J471" i="4"/>
  <c r="K471" i="4" s="1"/>
  <c r="J473" i="4"/>
  <c r="K473" i="4" s="1"/>
  <c r="J475" i="4"/>
  <c r="K475" i="4" s="1"/>
  <c r="J477" i="4"/>
  <c r="K477" i="4" s="1"/>
  <c r="R477" i="4" s="1"/>
  <c r="BZ477" i="4" s="1"/>
  <c r="J479" i="4"/>
  <c r="K479" i="4" s="1"/>
  <c r="R479" i="4" s="1"/>
  <c r="J481" i="4"/>
  <c r="K481" i="4" s="1"/>
  <c r="R481" i="4" s="1"/>
  <c r="J483" i="4"/>
  <c r="K483" i="4" s="1"/>
  <c r="J485" i="4"/>
  <c r="K485" i="4" s="1"/>
  <c r="R485" i="4" s="1"/>
  <c r="BZ485" i="4" s="1"/>
  <c r="J487" i="4"/>
  <c r="K487" i="4" s="1"/>
  <c r="J489" i="4"/>
  <c r="K489" i="4" s="1"/>
  <c r="R489" i="4" s="1"/>
  <c r="BZ489" i="4" s="1"/>
  <c r="J491" i="4"/>
  <c r="K491" i="4" s="1"/>
  <c r="R491" i="4" s="1"/>
  <c r="BZ491" i="4" s="1"/>
  <c r="J493" i="4"/>
  <c r="K493" i="4" s="1"/>
  <c r="R493" i="4" s="1"/>
  <c r="J495" i="4"/>
  <c r="J497" i="4"/>
  <c r="K497" i="4" s="1"/>
  <c r="R497" i="4" s="1"/>
  <c r="BZ497" i="4" s="1"/>
  <c r="J499" i="4"/>
  <c r="L499" i="4" s="1"/>
  <c r="S499" i="4" s="1"/>
  <c r="CA499" i="4" s="1"/>
  <c r="J501" i="4"/>
  <c r="K501" i="4" s="1"/>
  <c r="R501" i="4" s="1"/>
  <c r="J503" i="4"/>
  <c r="K503" i="4" s="1"/>
  <c r="R503" i="4" s="1"/>
  <c r="BZ503" i="4" s="1"/>
  <c r="J505" i="4"/>
  <c r="K505" i="4" s="1"/>
  <c r="R505" i="4" s="1"/>
  <c r="BZ505" i="4" s="1"/>
  <c r="J507" i="4"/>
  <c r="J509" i="4"/>
  <c r="K509" i="4" s="1"/>
  <c r="J511" i="4"/>
  <c r="M511" i="4" s="1"/>
  <c r="J513" i="4"/>
  <c r="K513" i="4" s="1"/>
  <c r="R513" i="4" s="1"/>
  <c r="J515" i="4"/>
  <c r="J517" i="4"/>
  <c r="K517" i="4" s="1"/>
  <c r="R517" i="4" s="1"/>
  <c r="BZ517" i="4" s="1"/>
  <c r="J519" i="4"/>
  <c r="L519" i="4" s="1"/>
  <c r="J521" i="4"/>
  <c r="K521" i="4" s="1"/>
  <c r="R521" i="4" s="1"/>
  <c r="BZ521" i="4" s="1"/>
  <c r="J523" i="4"/>
  <c r="K523" i="4" s="1"/>
  <c r="J525" i="4"/>
  <c r="K525" i="4" s="1"/>
  <c r="R525" i="4" s="1"/>
  <c r="BZ525" i="4" s="1"/>
  <c r="J527" i="4"/>
  <c r="L527" i="4" s="1"/>
  <c r="CG527" i="4" s="1"/>
  <c r="J529" i="4"/>
  <c r="K529" i="4" s="1"/>
  <c r="R529" i="4" s="1"/>
  <c r="J531" i="4"/>
  <c r="K531" i="4" s="1"/>
  <c r="R531" i="4" s="1"/>
  <c r="BZ531" i="4" s="1"/>
  <c r="J533" i="4"/>
  <c r="K533" i="4" s="1"/>
  <c r="R533" i="4" s="1"/>
  <c r="BZ533" i="4" s="1"/>
  <c r="J535" i="4"/>
  <c r="L535" i="4" s="1"/>
  <c r="S535" i="4" s="1"/>
  <c r="J537" i="4"/>
  <c r="K537" i="4" s="1"/>
  <c r="R537" i="4" s="1"/>
  <c r="BZ537" i="4" s="1"/>
  <c r="J539" i="4"/>
  <c r="K539" i="4" s="1"/>
  <c r="J541" i="4"/>
  <c r="K541" i="4" s="1"/>
  <c r="R541" i="4" s="1"/>
  <c r="BZ541" i="4" s="1"/>
  <c r="J543" i="4"/>
  <c r="K543" i="4" s="1"/>
  <c r="R543" i="4" s="1"/>
  <c r="J545" i="4"/>
  <c r="K545" i="4" s="1"/>
  <c r="CF545" i="4" s="1"/>
  <c r="J547" i="4"/>
  <c r="N547" i="4" s="1"/>
  <c r="J549" i="4"/>
  <c r="K549" i="4" s="1"/>
  <c r="R549" i="4" s="1"/>
  <c r="J551" i="4"/>
  <c r="J553" i="4"/>
  <c r="K553" i="4" s="1"/>
  <c r="R553" i="4" s="1"/>
  <c r="BZ553" i="4" s="1"/>
  <c r="J555" i="4"/>
  <c r="J557" i="4"/>
  <c r="K557" i="4" s="1"/>
  <c r="R557" i="4" s="1"/>
  <c r="BZ557" i="4" s="1"/>
  <c r="J559" i="4"/>
  <c r="K559" i="4" s="1"/>
  <c r="J561" i="4"/>
  <c r="K561" i="4" s="1"/>
  <c r="R561" i="4" s="1"/>
  <c r="J563" i="4"/>
  <c r="K563" i="4" s="1"/>
  <c r="J565" i="4"/>
  <c r="K565" i="4" s="1"/>
  <c r="R565" i="4" s="1"/>
  <c r="J567" i="4"/>
  <c r="K567" i="4" s="1"/>
  <c r="J569" i="4"/>
  <c r="K569" i="4" s="1"/>
  <c r="R569" i="4" s="1"/>
  <c r="BZ569" i="4" s="1"/>
  <c r="J571" i="4"/>
  <c r="J573" i="4"/>
  <c r="K573" i="4" s="1"/>
  <c r="R573" i="4" s="1"/>
  <c r="BZ573" i="4" s="1"/>
  <c r="J575" i="4"/>
  <c r="K575" i="4" s="1"/>
  <c r="J577" i="4"/>
  <c r="K577" i="4" s="1"/>
  <c r="R577" i="4" s="1"/>
  <c r="BZ577" i="4" s="1"/>
  <c r="J579" i="4"/>
  <c r="K579" i="4" s="1"/>
  <c r="CF579" i="4" s="1"/>
  <c r="J581" i="4"/>
  <c r="K581" i="4" s="1"/>
  <c r="R581" i="4" s="1"/>
  <c r="BZ581" i="4" s="1"/>
  <c r="J583" i="4"/>
  <c r="K583" i="4" s="1"/>
  <c r="R583" i="4" s="1"/>
  <c r="J585" i="4"/>
  <c r="K585" i="4" s="1"/>
  <c r="R585" i="4" s="1"/>
  <c r="BZ585" i="4" s="1"/>
  <c r="J587" i="4"/>
  <c r="L587" i="4" s="1"/>
  <c r="J589" i="4"/>
  <c r="K589" i="4" s="1"/>
  <c r="R589" i="4" s="1"/>
  <c r="BZ589" i="4" s="1"/>
  <c r="J591" i="4"/>
  <c r="J593" i="4"/>
  <c r="K593" i="4" s="1"/>
  <c r="R593" i="4" s="1"/>
  <c r="BZ593" i="4" s="1"/>
  <c r="J595" i="4"/>
  <c r="L595" i="4" s="1"/>
  <c r="S595" i="4" s="1"/>
  <c r="CA595" i="4" s="1"/>
  <c r="J597" i="4"/>
  <c r="K597" i="4" s="1"/>
  <c r="R597" i="4" s="1"/>
  <c r="J599" i="4"/>
  <c r="J601" i="4"/>
  <c r="K601" i="4" s="1"/>
  <c r="R601" i="4" s="1"/>
  <c r="BZ601" i="4" s="1"/>
  <c r="J603" i="4"/>
  <c r="K603" i="4" s="1"/>
  <c r="R603" i="4" s="1"/>
  <c r="J605" i="4"/>
  <c r="K605" i="4" s="1"/>
  <c r="R605" i="4" s="1"/>
  <c r="J607" i="4"/>
  <c r="N607" i="4" s="1"/>
  <c r="J609" i="4"/>
  <c r="K609" i="4" s="1"/>
  <c r="R609" i="4" s="1"/>
  <c r="BZ609" i="4" s="1"/>
  <c r="J611" i="4"/>
  <c r="M611" i="4" s="1"/>
  <c r="J613" i="4"/>
  <c r="K613" i="4" s="1"/>
  <c r="R613" i="4" s="1"/>
  <c r="J615" i="4"/>
  <c r="M615" i="4" s="1"/>
  <c r="J617" i="4"/>
  <c r="K617" i="4" s="1"/>
  <c r="R617" i="4" s="1"/>
  <c r="J619" i="4"/>
  <c r="J621" i="4"/>
  <c r="K621" i="4" s="1"/>
  <c r="R621" i="4" s="1"/>
  <c r="BZ621" i="4" s="1"/>
  <c r="J623" i="4"/>
  <c r="L623" i="4" s="1"/>
  <c r="J625" i="4"/>
  <c r="K625" i="4" s="1"/>
  <c r="R625" i="4" s="1"/>
  <c r="BZ625" i="4" s="1"/>
  <c r="J627" i="4"/>
  <c r="K627" i="4" s="1"/>
  <c r="J629" i="4"/>
  <c r="K629" i="4" s="1"/>
  <c r="R629" i="4" s="1"/>
  <c r="J631" i="4"/>
  <c r="J633" i="4"/>
  <c r="K633" i="4" s="1"/>
  <c r="R633" i="4" s="1"/>
  <c r="BZ633" i="4" s="1"/>
  <c r="J635" i="4"/>
  <c r="L635" i="4" s="1"/>
  <c r="J637" i="4"/>
  <c r="K637" i="4" s="1"/>
  <c r="R637" i="4" s="1"/>
  <c r="J639" i="4"/>
  <c r="K639" i="4" s="1"/>
  <c r="J641" i="4"/>
  <c r="K641" i="4" s="1"/>
  <c r="R641" i="4" s="1"/>
  <c r="BZ641" i="4" s="1"/>
  <c r="J643" i="4"/>
  <c r="K643" i="4" s="1"/>
  <c r="J645" i="4"/>
  <c r="K645" i="4" s="1"/>
  <c r="R645" i="4" s="1"/>
  <c r="BZ645" i="4" s="1"/>
  <c r="J647" i="4"/>
  <c r="K647" i="4" s="1"/>
  <c r="R647" i="4" s="1"/>
  <c r="J649" i="4"/>
  <c r="K649" i="4" s="1"/>
  <c r="R649" i="4" s="1"/>
  <c r="J651" i="4"/>
  <c r="K651" i="4" s="1"/>
  <c r="J653" i="4"/>
  <c r="K653" i="4" s="1"/>
  <c r="R653" i="4" s="1"/>
  <c r="J655" i="4"/>
  <c r="K655" i="4" s="1"/>
  <c r="J657" i="4"/>
  <c r="K657" i="4" s="1"/>
  <c r="R657" i="4" s="1"/>
  <c r="BZ657" i="4" s="1"/>
  <c r="J659" i="4"/>
  <c r="K659" i="4" s="1"/>
  <c r="R659" i="4" s="1"/>
  <c r="BZ659" i="4" s="1"/>
  <c r="J661" i="4"/>
  <c r="K661" i="4" s="1"/>
  <c r="J663" i="4"/>
  <c r="K663" i="4" s="1"/>
  <c r="CF663" i="4" s="1"/>
  <c r="J665" i="4"/>
  <c r="K665" i="4" s="1"/>
  <c r="R665" i="4" s="1"/>
  <c r="BZ665" i="4" s="1"/>
  <c r="L43" i="4"/>
  <c r="S43" i="4" s="1"/>
  <c r="CA43" i="4" s="1"/>
  <c r="S42" i="4"/>
  <c r="Y42" i="4" s="1"/>
  <c r="L49" i="4"/>
  <c r="S49" i="4" s="1"/>
  <c r="L51" i="4"/>
  <c r="S51" i="4" s="1"/>
  <c r="CA51" i="4" s="1"/>
  <c r="L55" i="4"/>
  <c r="S55" i="4" s="1"/>
  <c r="CA55" i="4" s="1"/>
  <c r="L59" i="4"/>
  <c r="S59" i="4" s="1"/>
  <c r="CA59" i="4" s="1"/>
  <c r="L61" i="4"/>
  <c r="S61" i="4" s="1"/>
  <c r="CA61" i="4" s="1"/>
  <c r="L63" i="4"/>
  <c r="S63" i="4" s="1"/>
  <c r="CA63" i="4" s="1"/>
  <c r="L65" i="4"/>
  <c r="S65" i="4" s="1"/>
  <c r="L67" i="4"/>
  <c r="S67" i="4" s="1"/>
  <c r="CA67" i="4" s="1"/>
  <c r="L69" i="4"/>
  <c r="L73" i="4"/>
  <c r="S73" i="4" s="1"/>
  <c r="CA73" i="4" s="1"/>
  <c r="L75" i="4"/>
  <c r="S75" i="4" s="1"/>
  <c r="CA75" i="4" s="1"/>
  <c r="L77" i="4"/>
  <c r="S77" i="4" s="1"/>
  <c r="CA77" i="4" s="1"/>
  <c r="L79" i="4"/>
  <c r="S79" i="4" s="1"/>
  <c r="L83" i="4"/>
  <c r="S83" i="4" s="1"/>
  <c r="CA83" i="4" s="1"/>
  <c r="L97" i="4"/>
  <c r="S97" i="4" s="1"/>
  <c r="CA97" i="4" s="1"/>
  <c r="L103" i="4"/>
  <c r="S103" i="4" s="1"/>
  <c r="L105" i="4"/>
  <c r="S105" i="4" s="1"/>
  <c r="L111" i="4"/>
  <c r="S111" i="4" s="1"/>
  <c r="CA111" i="4" s="1"/>
  <c r="L115" i="4"/>
  <c r="S115" i="4" s="1"/>
  <c r="CA115" i="4" s="1"/>
  <c r="L117" i="4"/>
  <c r="S117" i="4" s="1"/>
  <c r="L121" i="4"/>
  <c r="S121" i="4" s="1"/>
  <c r="CA121" i="4" s="1"/>
  <c r="L127" i="4"/>
  <c r="S127" i="4" s="1"/>
  <c r="L129" i="4"/>
  <c r="S129" i="4" s="1"/>
  <c r="L131" i="4"/>
  <c r="S131" i="4" s="1"/>
  <c r="CA131" i="4" s="1"/>
  <c r="L133" i="4"/>
  <c r="S133" i="4" s="1"/>
  <c r="CA133" i="4" s="1"/>
  <c r="L135" i="4"/>
  <c r="S135" i="4" s="1"/>
  <c r="L137" i="4"/>
  <c r="S137" i="4" s="1"/>
  <c r="L139" i="4"/>
  <c r="S139" i="4" s="1"/>
  <c r="L143" i="4"/>
  <c r="S143" i="4" s="1"/>
  <c r="CA143" i="4" s="1"/>
  <c r="L147" i="4"/>
  <c r="S147" i="4" s="1"/>
  <c r="CA147" i="4" s="1"/>
  <c r="L161" i="4"/>
  <c r="S161" i="4" s="1"/>
  <c r="CA161" i="4" s="1"/>
  <c r="L163" i="4"/>
  <c r="L169" i="4"/>
  <c r="S169" i="4" s="1"/>
  <c r="L171" i="4"/>
  <c r="L175" i="4"/>
  <c r="L181" i="4"/>
  <c r="S181" i="4" s="1"/>
  <c r="L185" i="4"/>
  <c r="S185" i="4" s="1"/>
  <c r="CA185" i="4" s="1"/>
  <c r="L187" i="4"/>
  <c r="S187" i="4" s="1"/>
  <c r="L193" i="4"/>
  <c r="S193" i="4" s="1"/>
  <c r="L195" i="4"/>
  <c r="S195" i="4" s="1"/>
  <c r="CA195" i="4" s="1"/>
  <c r="L197" i="4"/>
  <c r="L201" i="4"/>
  <c r="S201" i="4" s="1"/>
  <c r="CA201" i="4" s="1"/>
  <c r="L207" i="4"/>
  <c r="S207" i="4" s="1"/>
  <c r="CA207" i="4" s="1"/>
  <c r="L219" i="4"/>
  <c r="S219" i="4" s="1"/>
  <c r="L229" i="4"/>
  <c r="S229" i="4" s="1"/>
  <c r="L231" i="4"/>
  <c r="L235" i="4"/>
  <c r="S235" i="4" s="1"/>
  <c r="L239" i="4"/>
  <c r="S239" i="4" s="1"/>
  <c r="CA239" i="4" s="1"/>
  <c r="L241" i="4"/>
  <c r="S241" i="4" s="1"/>
  <c r="L251" i="4"/>
  <c r="S251" i="4" s="1"/>
  <c r="L255" i="4"/>
  <c r="S255" i="4" s="1"/>
  <c r="CA255" i="4" s="1"/>
  <c r="L277" i="4"/>
  <c r="S277" i="4" s="1"/>
  <c r="CA277" i="4" s="1"/>
  <c r="L291" i="4"/>
  <c r="S291" i="4" s="1"/>
  <c r="CA291" i="4" s="1"/>
  <c r="L293" i="4"/>
  <c r="S293" i="4" s="1"/>
  <c r="CA293" i="4" s="1"/>
  <c r="L295" i="4"/>
  <c r="S295" i="4" s="1"/>
  <c r="L315" i="4"/>
  <c r="S315" i="4" s="1"/>
  <c r="CA315" i="4" s="1"/>
  <c r="L327" i="4"/>
  <c r="S327" i="4" s="1"/>
  <c r="CA327" i="4" s="1"/>
  <c r="L331" i="4"/>
  <c r="S331" i="4" s="1"/>
  <c r="L337" i="4"/>
  <c r="S337" i="4" s="1"/>
  <c r="L339" i="4"/>
  <c r="S339" i="4" s="1"/>
  <c r="CA339" i="4" s="1"/>
  <c r="L353" i="4"/>
  <c r="S353" i="4" s="1"/>
  <c r="CA353" i="4" s="1"/>
  <c r="L357" i="4"/>
  <c r="S357" i="4" s="1"/>
  <c r="CA357" i="4" s="1"/>
  <c r="L363" i="4"/>
  <c r="S363" i="4" s="1"/>
  <c r="L389" i="4"/>
  <c r="S389" i="4" s="1"/>
  <c r="L393" i="4"/>
  <c r="S393" i="4" s="1"/>
  <c r="CA393" i="4" s="1"/>
  <c r="L443" i="4"/>
  <c r="CG443" i="4" s="1"/>
  <c r="L445" i="4"/>
  <c r="S445" i="4" s="1"/>
  <c r="CA445" i="4" s="1"/>
  <c r="L449" i="4"/>
  <c r="S449" i="4" s="1"/>
  <c r="CA449" i="4" s="1"/>
  <c r="L457" i="4"/>
  <c r="S457" i="4" s="1"/>
  <c r="CA457" i="4" s="1"/>
  <c r="L487" i="4"/>
  <c r="S487" i="4" s="1"/>
  <c r="CA487" i="4" s="1"/>
  <c r="L489" i="4"/>
  <c r="S489" i="4" s="1"/>
  <c r="CA489" i="4" s="1"/>
  <c r="L549" i="4"/>
  <c r="S549" i="4" s="1"/>
  <c r="CA549" i="4" s="1"/>
  <c r="L613" i="4"/>
  <c r="S613" i="4" s="1"/>
  <c r="CA613" i="4" s="1"/>
  <c r="M43" i="4"/>
  <c r="T43" i="4" s="1"/>
  <c r="M42" i="4"/>
  <c r="T42" i="4" s="1"/>
  <c r="Z42" i="4" s="1"/>
  <c r="AL42" i="4" s="1"/>
  <c r="M47" i="4"/>
  <c r="T47" i="4" s="1"/>
  <c r="M49" i="4"/>
  <c r="T49" i="4" s="1"/>
  <c r="M51" i="4"/>
  <c r="M55" i="4"/>
  <c r="M57" i="4"/>
  <c r="T57" i="4" s="1"/>
  <c r="M61" i="4"/>
  <c r="T61" i="4" s="1"/>
  <c r="CB61" i="4" s="1"/>
  <c r="M63" i="4"/>
  <c r="T63" i="4" s="1"/>
  <c r="CB63" i="4" s="1"/>
  <c r="M65" i="4"/>
  <c r="T65" i="4" s="1"/>
  <c r="CB65" i="4" s="1"/>
  <c r="M69" i="4"/>
  <c r="T69" i="4" s="1"/>
  <c r="CB69" i="4" s="1"/>
  <c r="M73" i="4"/>
  <c r="T73" i="4" s="1"/>
  <c r="M75" i="4"/>
  <c r="T75" i="4" s="1"/>
  <c r="M77" i="4"/>
  <c r="T77" i="4" s="1"/>
  <c r="CB77" i="4" s="1"/>
  <c r="M79" i="4"/>
  <c r="T79" i="4" s="1"/>
  <c r="CB79" i="4" s="1"/>
  <c r="M83" i="4"/>
  <c r="T83" i="4" s="1"/>
  <c r="M87" i="4"/>
  <c r="T87" i="4" s="1"/>
  <c r="CB87" i="4" s="1"/>
  <c r="M89" i="4"/>
  <c r="T89" i="4" s="1"/>
  <c r="M97" i="4"/>
  <c r="T97" i="4" s="1"/>
  <c r="CB97" i="4" s="1"/>
  <c r="M99" i="4"/>
  <c r="T99" i="4" s="1"/>
  <c r="CB99" i="4" s="1"/>
  <c r="M101" i="4"/>
  <c r="T101" i="4" s="1"/>
  <c r="CB101" i="4" s="1"/>
  <c r="M103" i="4"/>
  <c r="T103" i="4" s="1"/>
  <c r="M105" i="4"/>
  <c r="T105" i="4" s="1"/>
  <c r="M109" i="4"/>
  <c r="M111" i="4"/>
  <c r="CH111" i="4" s="1"/>
  <c r="M115" i="4"/>
  <c r="T115" i="4" s="1"/>
  <c r="M117" i="4"/>
  <c r="T117" i="4" s="1"/>
  <c r="CB117" i="4" s="1"/>
  <c r="M119" i="4"/>
  <c r="T119" i="4" s="1"/>
  <c r="CB119" i="4" s="1"/>
  <c r="M121" i="4"/>
  <c r="T121" i="4" s="1"/>
  <c r="M123" i="4"/>
  <c r="T123" i="4" s="1"/>
  <c r="CB123" i="4" s="1"/>
  <c r="M125" i="4"/>
  <c r="T125" i="4" s="1"/>
  <c r="CB125" i="4" s="1"/>
  <c r="M127" i="4"/>
  <c r="T127" i="4" s="1"/>
  <c r="CB127" i="4" s="1"/>
  <c r="M129" i="4"/>
  <c r="T129" i="4" s="1"/>
  <c r="CB129" i="4" s="1"/>
  <c r="M131" i="4"/>
  <c r="T131" i="4" s="1"/>
  <c r="CB131" i="4" s="1"/>
  <c r="M133" i="4"/>
  <c r="T133" i="4" s="1"/>
  <c r="CB133" i="4" s="1"/>
  <c r="M135" i="4"/>
  <c r="T135" i="4" s="1"/>
  <c r="CB135" i="4" s="1"/>
  <c r="M137" i="4"/>
  <c r="T137" i="4" s="1"/>
  <c r="M139" i="4"/>
  <c r="T139" i="4" s="1"/>
  <c r="CB139" i="4" s="1"/>
  <c r="M141" i="4"/>
  <c r="T141" i="4" s="1"/>
  <c r="CB141" i="4" s="1"/>
  <c r="M143" i="4"/>
  <c r="T143" i="4" s="1"/>
  <c r="CB143" i="4" s="1"/>
  <c r="M145" i="4"/>
  <c r="T145" i="4" s="1"/>
  <c r="CB145" i="4" s="1"/>
  <c r="M147" i="4"/>
  <c r="CH147" i="4" s="1"/>
  <c r="M149" i="4"/>
  <c r="T149" i="4" s="1"/>
  <c r="CB149" i="4" s="1"/>
  <c r="M153" i="4"/>
  <c r="T153" i="4" s="1"/>
  <c r="M165" i="4"/>
  <c r="T165" i="4" s="1"/>
  <c r="CB165" i="4" s="1"/>
  <c r="M169" i="4"/>
  <c r="T169" i="4" s="1"/>
  <c r="M171" i="4"/>
  <c r="T171" i="4" s="1"/>
  <c r="CB171" i="4" s="1"/>
  <c r="M173" i="4"/>
  <c r="M175" i="4"/>
  <c r="T175" i="4" s="1"/>
  <c r="CB175" i="4" s="1"/>
  <c r="M179" i="4"/>
  <c r="T179" i="4" s="1"/>
  <c r="CB179" i="4" s="1"/>
  <c r="M181" i="4"/>
  <c r="T181" i="4" s="1"/>
  <c r="CB181" i="4" s="1"/>
  <c r="M183" i="4"/>
  <c r="T183" i="4" s="1"/>
  <c r="CB183" i="4" s="1"/>
  <c r="M185" i="4"/>
  <c r="M187" i="4"/>
  <c r="T187" i="4" s="1"/>
  <c r="CB187" i="4" s="1"/>
  <c r="M189" i="4"/>
  <c r="T189" i="4" s="1"/>
  <c r="M193" i="4"/>
  <c r="T193" i="4" s="1"/>
  <c r="M195" i="4"/>
  <c r="T195" i="4" s="1"/>
  <c r="CB195" i="4" s="1"/>
  <c r="M197" i="4"/>
  <c r="M201" i="4"/>
  <c r="T201" i="4" s="1"/>
  <c r="M209" i="4"/>
  <c r="T209" i="4" s="1"/>
  <c r="CB209" i="4" s="1"/>
  <c r="M211" i="4"/>
  <c r="T211" i="4" s="1"/>
  <c r="CB211" i="4" s="1"/>
  <c r="M213" i="4"/>
  <c r="CH213" i="4" s="1"/>
  <c r="M215" i="4"/>
  <c r="T215" i="4" s="1"/>
  <c r="M217" i="4"/>
  <c r="T217" i="4" s="1"/>
  <c r="M219" i="4"/>
  <c r="T219" i="4" s="1"/>
  <c r="CB219" i="4" s="1"/>
  <c r="M229" i="4"/>
  <c r="M231" i="4"/>
  <c r="T231" i="4" s="1"/>
  <c r="CB231" i="4" s="1"/>
  <c r="M233" i="4"/>
  <c r="CH233" i="4" s="1"/>
  <c r="M235" i="4"/>
  <c r="T235" i="4" s="1"/>
  <c r="CB235" i="4" s="1"/>
  <c r="M239" i="4"/>
  <c r="T239" i="4" s="1"/>
  <c r="M241" i="4"/>
  <c r="T241" i="4" s="1"/>
  <c r="CB241" i="4" s="1"/>
  <c r="M243" i="4"/>
  <c r="T243" i="4" s="1"/>
  <c r="CB243" i="4" s="1"/>
  <c r="M245" i="4"/>
  <c r="T245" i="4" s="1"/>
  <c r="CB245" i="4" s="1"/>
  <c r="M247" i="4"/>
  <c r="T247" i="4" s="1"/>
  <c r="CB247" i="4" s="1"/>
  <c r="M251" i="4"/>
  <c r="T251" i="4" s="1"/>
  <c r="M255" i="4"/>
  <c r="T255" i="4" s="1"/>
  <c r="M257" i="4"/>
  <c r="T257" i="4" s="1"/>
  <c r="CB257" i="4" s="1"/>
  <c r="M261" i="4"/>
  <c r="T261" i="4" s="1"/>
  <c r="M263" i="4"/>
  <c r="T263" i="4" s="1"/>
  <c r="M265" i="4"/>
  <c r="T265" i="4" s="1"/>
  <c r="M267" i="4"/>
  <c r="T267" i="4" s="1"/>
  <c r="CB267" i="4" s="1"/>
  <c r="M271" i="4"/>
  <c r="T271" i="4" s="1"/>
  <c r="CB271" i="4" s="1"/>
  <c r="M273" i="4"/>
  <c r="T273" i="4" s="1"/>
  <c r="CB273" i="4" s="1"/>
  <c r="M279" i="4"/>
  <c r="T279" i="4" s="1"/>
  <c r="M287" i="4"/>
  <c r="T287" i="4" s="1"/>
  <c r="CB287" i="4" s="1"/>
  <c r="M293" i="4"/>
  <c r="T293" i="4" s="1"/>
  <c r="CB293" i="4" s="1"/>
  <c r="M297" i="4"/>
  <c r="T297" i="4" s="1"/>
  <c r="M305" i="4"/>
  <c r="T305" i="4" s="1"/>
  <c r="M309" i="4"/>
  <c r="T309" i="4" s="1"/>
  <c r="CB309" i="4" s="1"/>
  <c r="M311" i="4"/>
  <c r="T311" i="4" s="1"/>
  <c r="CB311" i="4" s="1"/>
  <c r="M313" i="4"/>
  <c r="T313" i="4" s="1"/>
  <c r="CB313" i="4" s="1"/>
  <c r="M315" i="4"/>
  <c r="T315" i="4" s="1"/>
  <c r="CB315" i="4" s="1"/>
  <c r="M317" i="4"/>
  <c r="T317" i="4" s="1"/>
  <c r="M319" i="4"/>
  <c r="T319" i="4" s="1"/>
  <c r="CB319" i="4" s="1"/>
  <c r="M327" i="4"/>
  <c r="T327" i="4" s="1"/>
  <c r="CB327" i="4" s="1"/>
  <c r="M329" i="4"/>
  <c r="T329" i="4" s="1"/>
  <c r="M331" i="4"/>
  <c r="M337" i="4"/>
  <c r="T337" i="4" s="1"/>
  <c r="M339" i="4"/>
  <c r="T339" i="4" s="1"/>
  <c r="M341" i="4"/>
  <c r="T341" i="4" s="1"/>
  <c r="M345" i="4"/>
  <c r="T345" i="4" s="1"/>
  <c r="M347" i="4"/>
  <c r="T347" i="4" s="1"/>
  <c r="CB347" i="4" s="1"/>
  <c r="M357" i="4"/>
  <c r="T357" i="4" s="1"/>
  <c r="CB357" i="4" s="1"/>
  <c r="M359" i="4"/>
  <c r="T359" i="4" s="1"/>
  <c r="CB359" i="4" s="1"/>
  <c r="M365" i="4"/>
  <c r="T365" i="4" s="1"/>
  <c r="M369" i="4"/>
  <c r="T369" i="4" s="1"/>
  <c r="CB369" i="4" s="1"/>
  <c r="M373" i="4"/>
  <c r="T373" i="4" s="1"/>
  <c r="M375" i="4"/>
  <c r="T375" i="4" s="1"/>
  <c r="CB375" i="4" s="1"/>
  <c r="M383" i="4"/>
  <c r="T383" i="4" s="1"/>
  <c r="CB383" i="4" s="1"/>
  <c r="M385" i="4"/>
  <c r="T385" i="4" s="1"/>
  <c r="CB385" i="4" s="1"/>
  <c r="M387" i="4"/>
  <c r="T387" i="4" s="1"/>
  <c r="CB387" i="4" s="1"/>
  <c r="M389" i="4"/>
  <c r="T389" i="4" s="1"/>
  <c r="CB389" i="4" s="1"/>
  <c r="M393" i="4"/>
  <c r="T393" i="4" s="1"/>
  <c r="CB393" i="4" s="1"/>
  <c r="M395" i="4"/>
  <c r="T395" i="4" s="1"/>
  <c r="CB395" i="4" s="1"/>
  <c r="M397" i="4"/>
  <c r="M399" i="4"/>
  <c r="T399" i="4" s="1"/>
  <c r="M401" i="4"/>
  <c r="M425" i="4"/>
  <c r="T425" i="4" s="1"/>
  <c r="M427" i="4"/>
  <c r="T427" i="4" s="1"/>
  <c r="CB427" i="4" s="1"/>
  <c r="M431" i="4"/>
  <c r="T431" i="4" s="1"/>
  <c r="M435" i="4"/>
  <c r="T435" i="4" s="1"/>
  <c r="CB435" i="4" s="1"/>
  <c r="M441" i="4"/>
  <c r="T441" i="4" s="1"/>
  <c r="M447" i="4"/>
  <c r="T447" i="4" s="1"/>
  <c r="CB447" i="4" s="1"/>
  <c r="M451" i="4"/>
  <c r="T451" i="4" s="1"/>
  <c r="CB451" i="4" s="1"/>
  <c r="M453" i="4"/>
  <c r="T453" i="4" s="1"/>
  <c r="M455" i="4"/>
  <c r="T455" i="4" s="1"/>
  <c r="CB455" i="4" s="1"/>
  <c r="M457" i="4"/>
  <c r="T457" i="4" s="1"/>
  <c r="M461" i="4"/>
  <c r="T461" i="4" s="1"/>
  <c r="CB461" i="4" s="1"/>
  <c r="M463" i="4"/>
  <c r="T463" i="4" s="1"/>
  <c r="CB463" i="4" s="1"/>
  <c r="M467" i="4"/>
  <c r="M471" i="4"/>
  <c r="T471" i="4" s="1"/>
  <c r="CB471" i="4" s="1"/>
  <c r="M485" i="4"/>
  <c r="M487" i="4"/>
  <c r="T487" i="4" s="1"/>
  <c r="CB487" i="4" s="1"/>
  <c r="M489" i="4"/>
  <c r="T489" i="4" s="1"/>
  <c r="M491" i="4"/>
  <c r="T491" i="4" s="1"/>
  <c r="CB491" i="4" s="1"/>
  <c r="M495" i="4"/>
  <c r="T495" i="4" s="1"/>
  <c r="M497" i="4"/>
  <c r="T497" i="4" s="1"/>
  <c r="CB497" i="4" s="1"/>
  <c r="M499" i="4"/>
  <c r="T499" i="4" s="1"/>
  <c r="CB499" i="4" s="1"/>
  <c r="M501" i="4"/>
  <c r="T501" i="4" s="1"/>
  <c r="M507" i="4"/>
  <c r="T507" i="4" s="1"/>
  <c r="CB507" i="4" s="1"/>
  <c r="M523" i="4"/>
  <c r="T523" i="4" s="1"/>
  <c r="CB523" i="4" s="1"/>
  <c r="M537" i="4"/>
  <c r="M543" i="4"/>
  <c r="M549" i="4"/>
  <c r="T549" i="4" s="1"/>
  <c r="CB549" i="4" s="1"/>
  <c r="M565" i="4"/>
  <c r="T565" i="4" s="1"/>
  <c r="CB565" i="4" s="1"/>
  <c r="M583" i="4"/>
  <c r="T583" i="4" s="1"/>
  <c r="CB583" i="4" s="1"/>
  <c r="M585" i="4"/>
  <c r="T585" i="4" s="1"/>
  <c r="M587" i="4"/>
  <c r="T587" i="4" s="1"/>
  <c r="CB587" i="4" s="1"/>
  <c r="M601" i="4"/>
  <c r="T601" i="4" s="1"/>
  <c r="M613" i="4"/>
  <c r="T613" i="4" s="1"/>
  <c r="CB613" i="4" s="1"/>
  <c r="M617" i="4"/>
  <c r="T617" i="4" s="1"/>
  <c r="M629" i="4"/>
  <c r="T629" i="4" s="1"/>
  <c r="M633" i="4"/>
  <c r="T633" i="4" s="1"/>
  <c r="M635" i="4"/>
  <c r="T635" i="4" s="1"/>
  <c r="M637" i="4"/>
  <c r="T637" i="4" s="1"/>
  <c r="CB637" i="4" s="1"/>
  <c r="M643" i="4"/>
  <c r="T643" i="4" s="1"/>
  <c r="CB643" i="4" s="1"/>
  <c r="AR42" i="4"/>
  <c r="AX42" i="4" s="1"/>
  <c r="N43" i="4"/>
  <c r="U43" i="4" s="1"/>
  <c r="N42" i="4"/>
  <c r="U42" i="4" s="1"/>
  <c r="N49" i="4"/>
  <c r="U49" i="4" s="1"/>
  <c r="CC49" i="4" s="1"/>
  <c r="N51" i="4"/>
  <c r="U51" i="4" s="1"/>
  <c r="N55" i="4"/>
  <c r="U55" i="4" s="1"/>
  <c r="CC55" i="4" s="1"/>
  <c r="N59" i="4"/>
  <c r="U59" i="4" s="1"/>
  <c r="CC59" i="4" s="1"/>
  <c r="N61" i="4"/>
  <c r="U61" i="4" s="1"/>
  <c r="N63" i="4"/>
  <c r="CI63" i="4" s="1"/>
  <c r="N65" i="4"/>
  <c r="U65" i="4" s="1"/>
  <c r="CC65" i="4" s="1"/>
  <c r="N67" i="4"/>
  <c r="U67" i="4" s="1"/>
  <c r="N69" i="4"/>
  <c r="U69" i="4" s="1"/>
  <c r="U73" i="4"/>
  <c r="N75" i="4"/>
  <c r="U75" i="4" s="1"/>
  <c r="N77" i="4"/>
  <c r="U77" i="4" s="1"/>
  <c r="CC77" i="4" s="1"/>
  <c r="N79" i="4"/>
  <c r="U79" i="4" s="1"/>
  <c r="CC79" i="4" s="1"/>
  <c r="N83" i="4"/>
  <c r="U83" i="4" s="1"/>
  <c r="CC83" i="4" s="1"/>
  <c r="N87" i="4"/>
  <c r="U87" i="4" s="1"/>
  <c r="N89" i="4"/>
  <c r="U89" i="4" s="1"/>
  <c r="CC89" i="4" s="1"/>
  <c r="N93" i="4"/>
  <c r="U93" i="4" s="1"/>
  <c r="CC93" i="4" s="1"/>
  <c r="N95" i="4"/>
  <c r="U95" i="4" s="1"/>
  <c r="CC95" i="4" s="1"/>
  <c r="N97" i="4"/>
  <c r="U97" i="4" s="1"/>
  <c r="CC97" i="4" s="1"/>
  <c r="U99" i="4"/>
  <c r="CC99" i="4" s="1"/>
  <c r="N101" i="4"/>
  <c r="U101" i="4" s="1"/>
  <c r="N103" i="4"/>
  <c r="U103" i="4" s="1"/>
  <c r="CC103" i="4" s="1"/>
  <c r="N105" i="4"/>
  <c r="U105" i="4" s="1"/>
  <c r="CC105" i="4" s="1"/>
  <c r="N109" i="4"/>
  <c r="U109" i="4" s="1"/>
  <c r="N111" i="4"/>
  <c r="U111" i="4" s="1"/>
  <c r="CC111" i="4" s="1"/>
  <c r="N115" i="4"/>
  <c r="U115" i="4" s="1"/>
  <c r="N117" i="4"/>
  <c r="U117" i="4" s="1"/>
  <c r="CC117" i="4" s="1"/>
  <c r="N119" i="4"/>
  <c r="U119" i="4" s="1"/>
  <c r="CC119" i="4" s="1"/>
  <c r="N121" i="4"/>
  <c r="U121" i="4" s="1"/>
  <c r="CC121" i="4" s="1"/>
  <c r="N125" i="4"/>
  <c r="U125" i="4" s="1"/>
  <c r="CC125" i="4" s="1"/>
  <c r="N127" i="4"/>
  <c r="U127" i="4" s="1"/>
  <c r="CC127" i="4" s="1"/>
  <c r="N129" i="4"/>
  <c r="U129" i="4" s="1"/>
  <c r="CC129" i="4" s="1"/>
  <c r="N131" i="4"/>
  <c r="U131" i="4" s="1"/>
  <c r="CC131" i="4" s="1"/>
  <c r="N133" i="4"/>
  <c r="N137" i="4"/>
  <c r="U137" i="4" s="1"/>
  <c r="CC137" i="4" s="1"/>
  <c r="N139" i="4"/>
  <c r="U139" i="4" s="1"/>
  <c r="CC139" i="4" s="1"/>
  <c r="N141" i="4"/>
  <c r="U141" i="4" s="1"/>
  <c r="CC141" i="4" s="1"/>
  <c r="N143" i="4"/>
  <c r="U143" i="4" s="1"/>
  <c r="CC143" i="4" s="1"/>
  <c r="N147" i="4"/>
  <c r="U147" i="4" s="1"/>
  <c r="CC147" i="4" s="1"/>
  <c r="N149" i="4"/>
  <c r="U149" i="4" s="1"/>
  <c r="N153" i="4"/>
  <c r="U153" i="4" s="1"/>
  <c r="CC153" i="4" s="1"/>
  <c r="N155" i="4"/>
  <c r="U155" i="4" s="1"/>
  <c r="N157" i="4"/>
  <c r="U157" i="4" s="1"/>
  <c r="CC157" i="4" s="1"/>
  <c r="N159" i="4"/>
  <c r="U159" i="4" s="1"/>
  <c r="N163" i="4"/>
  <c r="U163" i="4" s="1"/>
  <c r="CC163" i="4" s="1"/>
  <c r="N165" i="4"/>
  <c r="U165" i="4" s="1"/>
  <c r="N169" i="4"/>
  <c r="U169" i="4" s="1"/>
  <c r="CC169" i="4" s="1"/>
  <c r="N171" i="4"/>
  <c r="U171" i="4" s="1"/>
  <c r="N173" i="4"/>
  <c r="U173" i="4" s="1"/>
  <c r="N175" i="4"/>
  <c r="U175" i="4" s="1"/>
  <c r="N179" i="4"/>
  <c r="U179" i="4" s="1"/>
  <c r="CC179" i="4" s="1"/>
  <c r="N181" i="4"/>
  <c r="U181" i="4" s="1"/>
  <c r="N183" i="4"/>
  <c r="U183" i="4" s="1"/>
  <c r="N185" i="4"/>
  <c r="U185" i="4" s="1"/>
  <c r="CC185" i="4" s="1"/>
  <c r="N187" i="4"/>
  <c r="U187" i="4" s="1"/>
  <c r="CC187" i="4" s="1"/>
  <c r="N191" i="4"/>
  <c r="U191" i="4" s="1"/>
  <c r="CC191" i="4" s="1"/>
  <c r="N193" i="4"/>
  <c r="U193" i="4" s="1"/>
  <c r="CC193" i="4" s="1"/>
  <c r="N195" i="4"/>
  <c r="U195" i="4" s="1"/>
  <c r="CC195" i="4" s="1"/>
  <c r="N197" i="4"/>
  <c r="U197" i="4" s="1"/>
  <c r="CC197" i="4" s="1"/>
  <c r="N199" i="4"/>
  <c r="U199" i="4" s="1"/>
  <c r="CC199" i="4" s="1"/>
  <c r="N201" i="4"/>
  <c r="U201" i="4" s="1"/>
  <c r="CC201" i="4" s="1"/>
  <c r="N207" i="4"/>
  <c r="U207" i="4" s="1"/>
  <c r="CC207" i="4" s="1"/>
  <c r="N209" i="4"/>
  <c r="U209" i="4" s="1"/>
  <c r="CC209" i="4" s="1"/>
  <c r="N211" i="4"/>
  <c r="U211" i="4" s="1"/>
  <c r="CC211" i="4" s="1"/>
  <c r="N215" i="4"/>
  <c r="U215" i="4" s="1"/>
  <c r="N219" i="4"/>
  <c r="U219" i="4" s="1"/>
  <c r="N221" i="4"/>
  <c r="U221" i="4" s="1"/>
  <c r="CC221" i="4" s="1"/>
  <c r="N223" i="4"/>
  <c r="N229" i="4"/>
  <c r="U229" i="4" s="1"/>
  <c r="CC229" i="4" s="1"/>
  <c r="N231" i="4"/>
  <c r="U231" i="4" s="1"/>
  <c r="CC231" i="4" s="1"/>
  <c r="N233" i="4"/>
  <c r="U233" i="4" s="1"/>
  <c r="CC233" i="4" s="1"/>
  <c r="N235" i="4"/>
  <c r="U235" i="4" s="1"/>
  <c r="CC235" i="4" s="1"/>
  <c r="N239" i="4"/>
  <c r="U239" i="4" s="1"/>
  <c r="CC239" i="4" s="1"/>
  <c r="N241" i="4"/>
  <c r="U241" i="4" s="1"/>
  <c r="N243" i="4"/>
  <c r="U243" i="4" s="1"/>
  <c r="CC243" i="4" s="1"/>
  <c r="N245" i="4"/>
  <c r="U245" i="4" s="1"/>
  <c r="CC245" i="4" s="1"/>
  <c r="N247" i="4"/>
  <c r="N251" i="4"/>
  <c r="U251" i="4" s="1"/>
  <c r="N255" i="4"/>
  <c r="U255" i="4" s="1"/>
  <c r="CC255" i="4" s="1"/>
  <c r="N257" i="4"/>
  <c r="U257" i="4" s="1"/>
  <c r="CC257" i="4" s="1"/>
  <c r="N259" i="4"/>
  <c r="U259" i="4" s="1"/>
  <c r="N261" i="4"/>
  <c r="U261" i="4" s="1"/>
  <c r="N263" i="4"/>
  <c r="U263" i="4" s="1"/>
  <c r="CC263" i="4" s="1"/>
  <c r="N267" i="4"/>
  <c r="U267" i="4" s="1"/>
  <c r="N271" i="4"/>
  <c r="U271" i="4" s="1"/>
  <c r="CC271" i="4" s="1"/>
  <c r="N273" i="4"/>
  <c r="U273" i="4" s="1"/>
  <c r="N277" i="4"/>
  <c r="U277" i="4" s="1"/>
  <c r="CC277" i="4" s="1"/>
  <c r="N281" i="4"/>
  <c r="U281" i="4" s="1"/>
  <c r="CC281" i="4" s="1"/>
  <c r="N287" i="4"/>
  <c r="N289" i="4"/>
  <c r="U289" i="4" s="1"/>
  <c r="CC289" i="4" s="1"/>
  <c r="N291" i="4"/>
  <c r="U291" i="4" s="1"/>
  <c r="CC291" i="4" s="1"/>
  <c r="N293" i="4"/>
  <c r="U293" i="4" s="1"/>
  <c r="CC293" i="4" s="1"/>
  <c r="N295" i="4"/>
  <c r="U295" i="4" s="1"/>
  <c r="N305" i="4"/>
  <c r="N307" i="4"/>
  <c r="U307" i="4" s="1"/>
  <c r="N309" i="4"/>
  <c r="U309" i="4" s="1"/>
  <c r="CC309" i="4" s="1"/>
  <c r="N311" i="4"/>
  <c r="N315" i="4"/>
  <c r="U315" i="4" s="1"/>
  <c r="CC315" i="4" s="1"/>
  <c r="N319" i="4"/>
  <c r="U319" i="4" s="1"/>
  <c r="N321" i="4"/>
  <c r="U321" i="4" s="1"/>
  <c r="CC321" i="4" s="1"/>
  <c r="N323" i="4"/>
  <c r="U323" i="4" s="1"/>
  <c r="N327" i="4"/>
  <c r="U327" i="4" s="1"/>
  <c r="N337" i="4"/>
  <c r="U337" i="4" s="1"/>
  <c r="CC337" i="4" s="1"/>
  <c r="N339" i="4"/>
  <c r="U339" i="4" s="1"/>
  <c r="CC339" i="4" s="1"/>
  <c r="N341" i="4"/>
  <c r="U341" i="4" s="1"/>
  <c r="CC341" i="4" s="1"/>
  <c r="N343" i="4"/>
  <c r="U343" i="4" s="1"/>
  <c r="N345" i="4"/>
  <c r="U345" i="4" s="1"/>
  <c r="CC345" i="4" s="1"/>
  <c r="N347" i="4"/>
  <c r="U347" i="4" s="1"/>
  <c r="N351" i="4"/>
  <c r="N355" i="4"/>
  <c r="U355" i="4" s="1"/>
  <c r="CC355" i="4" s="1"/>
  <c r="N357" i="4"/>
  <c r="U357" i="4" s="1"/>
  <c r="CC357" i="4" s="1"/>
  <c r="N359" i="4"/>
  <c r="U359" i="4" s="1"/>
  <c r="CC359" i="4" s="1"/>
  <c r="N363" i="4"/>
  <c r="U363" i="4" s="1"/>
  <c r="CC363" i="4" s="1"/>
  <c r="N365" i="4"/>
  <c r="U365" i="4" s="1"/>
  <c r="CC365" i="4" s="1"/>
  <c r="N367" i="4"/>
  <c r="U367" i="4" s="1"/>
  <c r="N369" i="4"/>
  <c r="CI369" i="4" s="1"/>
  <c r="N371" i="4"/>
  <c r="U371" i="4" s="1"/>
  <c r="CC371" i="4" s="1"/>
  <c r="N373" i="4"/>
  <c r="U373" i="4" s="1"/>
  <c r="N381" i="4"/>
  <c r="U381" i="4" s="1"/>
  <c r="N383" i="4"/>
  <c r="U383" i="4" s="1"/>
  <c r="N385" i="4"/>
  <c r="U385" i="4" s="1"/>
  <c r="CC385" i="4" s="1"/>
  <c r="N389" i="4"/>
  <c r="U389" i="4" s="1"/>
  <c r="CC389" i="4" s="1"/>
  <c r="N391" i="4"/>
  <c r="U391" i="4" s="1"/>
  <c r="N395" i="4"/>
  <c r="U395" i="4" s="1"/>
  <c r="CC395" i="4" s="1"/>
  <c r="N399" i="4"/>
  <c r="U399" i="4" s="1"/>
  <c r="CC399" i="4" s="1"/>
  <c r="N401" i="4"/>
  <c r="U401" i="4" s="1"/>
  <c r="CC401" i="4" s="1"/>
  <c r="N405" i="4"/>
  <c r="U405" i="4" s="1"/>
  <c r="CC405" i="4" s="1"/>
  <c r="N407" i="4"/>
  <c r="U407" i="4" s="1"/>
  <c r="CC407" i="4" s="1"/>
  <c r="U409" i="4"/>
  <c r="N419" i="4"/>
  <c r="U419" i="4" s="1"/>
  <c r="CC419" i="4" s="1"/>
  <c r="N421" i="4"/>
  <c r="U421" i="4" s="1"/>
  <c r="N423" i="4"/>
  <c r="CI423" i="4" s="1"/>
  <c r="N427" i="4"/>
  <c r="U427" i="4" s="1"/>
  <c r="CC427" i="4" s="1"/>
  <c r="N429" i="4"/>
  <c r="U429" i="4" s="1"/>
  <c r="CC429" i="4" s="1"/>
  <c r="N431" i="4"/>
  <c r="U431" i="4" s="1"/>
  <c r="N433" i="4"/>
  <c r="U433" i="4" s="1"/>
  <c r="CC433" i="4" s="1"/>
  <c r="N437" i="4"/>
  <c r="U437" i="4" s="1"/>
  <c r="CC437" i="4" s="1"/>
  <c r="N439" i="4"/>
  <c r="CI439" i="4" s="1"/>
  <c r="N441" i="4"/>
  <c r="U441" i="4" s="1"/>
  <c r="CC441" i="4" s="1"/>
  <c r="N445" i="4"/>
  <c r="U445" i="4" s="1"/>
  <c r="CC445" i="4" s="1"/>
  <c r="N447" i="4"/>
  <c r="U447" i="4" s="1"/>
  <c r="CC447" i="4" s="1"/>
  <c r="N449" i="4"/>
  <c r="U449" i="4" s="1"/>
  <c r="N451" i="4"/>
  <c r="U451" i="4" s="1"/>
  <c r="CC451" i="4" s="1"/>
  <c r="N453" i="4"/>
  <c r="U453" i="4" s="1"/>
  <c r="CC453" i="4" s="1"/>
  <c r="N457" i="4"/>
  <c r="U457" i="4" s="1"/>
  <c r="CC457" i="4" s="1"/>
  <c r="N461" i="4"/>
  <c r="U461" i="4" s="1"/>
  <c r="N463" i="4"/>
  <c r="N465" i="4"/>
  <c r="U465" i="4" s="1"/>
  <c r="CC465" i="4" s="1"/>
  <c r="N467" i="4"/>
  <c r="CI467" i="4" s="1"/>
  <c r="N473" i="4"/>
  <c r="U473" i="4" s="1"/>
  <c r="CC473" i="4" s="1"/>
  <c r="N477" i="4"/>
  <c r="U477" i="4" s="1"/>
  <c r="CC477" i="4" s="1"/>
  <c r="N479" i="4"/>
  <c r="U479" i="4" s="1"/>
  <c r="CC479" i="4" s="1"/>
  <c r="N483" i="4"/>
  <c r="U483" i="4" s="1"/>
  <c r="CC483" i="4" s="1"/>
  <c r="N485" i="4"/>
  <c r="N487" i="4"/>
  <c r="U487" i="4" s="1"/>
  <c r="CC487" i="4" s="1"/>
  <c r="N489" i="4"/>
  <c r="U489" i="4" s="1"/>
  <c r="CC489" i="4" s="1"/>
  <c r="N491" i="4"/>
  <c r="U491" i="4" s="1"/>
  <c r="CC491" i="4" s="1"/>
  <c r="N495" i="4"/>
  <c r="U495" i="4" s="1"/>
  <c r="CC495" i="4" s="1"/>
  <c r="N497" i="4"/>
  <c r="U497" i="4" s="1"/>
  <c r="CC497" i="4" s="1"/>
  <c r="N499" i="4"/>
  <c r="U499" i="4" s="1"/>
  <c r="N501" i="4"/>
  <c r="U501" i="4" s="1"/>
  <c r="CC501" i="4" s="1"/>
  <c r="N509" i="4"/>
  <c r="U509" i="4" s="1"/>
  <c r="N513" i="4"/>
  <c r="U513" i="4" s="1"/>
  <c r="N515" i="4"/>
  <c r="U515" i="4" s="1"/>
  <c r="CC515" i="4" s="1"/>
  <c r="N517" i="4"/>
  <c r="U517" i="4" s="1"/>
  <c r="CC517" i="4" s="1"/>
  <c r="N521" i="4"/>
  <c r="CI521" i="4" s="1"/>
  <c r="N523" i="4"/>
  <c r="CI523" i="4" s="1"/>
  <c r="N525" i="4"/>
  <c r="U525" i="4" s="1"/>
  <c r="CC525" i="4" s="1"/>
  <c r="N527" i="4"/>
  <c r="U527" i="4" s="1"/>
  <c r="N529" i="4"/>
  <c r="U529" i="4" s="1"/>
  <c r="N531" i="4"/>
  <c r="U531" i="4" s="1"/>
  <c r="N533" i="4"/>
  <c r="U533" i="4" s="1"/>
  <c r="CC533" i="4" s="1"/>
  <c r="N535" i="4"/>
  <c r="N537" i="4"/>
  <c r="U537" i="4" s="1"/>
  <c r="CC537" i="4" s="1"/>
  <c r="N543" i="4"/>
  <c r="U543" i="4" s="1"/>
  <c r="N549" i="4"/>
  <c r="U549" i="4" s="1"/>
  <c r="CC549" i="4" s="1"/>
  <c r="N553" i="4"/>
  <c r="U553" i="4" s="1"/>
  <c r="CC553" i="4" s="1"/>
  <c r="N557" i="4"/>
  <c r="U557" i="4" s="1"/>
  <c r="N561" i="4"/>
  <c r="U561" i="4" s="1"/>
  <c r="CC561" i="4" s="1"/>
  <c r="N563" i="4"/>
  <c r="U563" i="4" s="1"/>
  <c r="CC563" i="4" s="1"/>
  <c r="N567" i="4"/>
  <c r="U567" i="4" s="1"/>
  <c r="CC567" i="4" s="1"/>
  <c r="N573" i="4"/>
  <c r="U573" i="4" s="1"/>
  <c r="N575" i="4"/>
  <c r="U575" i="4" s="1"/>
  <c r="CC575" i="4" s="1"/>
  <c r="N577" i="4"/>
  <c r="N583" i="4"/>
  <c r="U583" i="4" s="1"/>
  <c r="CC583" i="4" s="1"/>
  <c r="N585" i="4"/>
  <c r="U585" i="4" s="1"/>
  <c r="CC585" i="4" s="1"/>
  <c r="N587" i="4"/>
  <c r="U587" i="4" s="1"/>
  <c r="CC587" i="4" s="1"/>
  <c r="N591" i="4"/>
  <c r="U591" i="4" s="1"/>
  <c r="N593" i="4"/>
  <c r="U593" i="4" s="1"/>
  <c r="CC593" i="4" s="1"/>
  <c r="N595" i="4"/>
  <c r="U595" i="4" s="1"/>
  <c r="N597" i="4"/>
  <c r="U597" i="4" s="1"/>
  <c r="CC597" i="4" s="1"/>
  <c r="N599" i="4"/>
  <c r="U599" i="4" s="1"/>
  <c r="CC599" i="4" s="1"/>
  <c r="N613" i="4"/>
  <c r="U613" i="4" s="1"/>
  <c r="CC613" i="4" s="1"/>
  <c r="N615" i="4"/>
  <c r="U615" i="4" s="1"/>
  <c r="N617" i="4"/>
  <c r="U617" i="4" s="1"/>
  <c r="CC617" i="4" s="1"/>
  <c r="N619" i="4"/>
  <c r="U619" i="4" s="1"/>
  <c r="N623" i="4"/>
  <c r="U623" i="4" s="1"/>
  <c r="CC623" i="4" s="1"/>
  <c r="N629" i="4"/>
  <c r="N633" i="4"/>
  <c r="U633" i="4" s="1"/>
  <c r="CC633" i="4" s="1"/>
  <c r="N635" i="4"/>
  <c r="U635" i="4" s="1"/>
  <c r="CC635" i="4" s="1"/>
  <c r="N639" i="4"/>
  <c r="U639" i="4" s="1"/>
  <c r="CC639" i="4" s="1"/>
  <c r="N641" i="4"/>
  <c r="CI641" i="4" s="1"/>
  <c r="N643" i="4"/>
  <c r="U643" i="4" s="1"/>
  <c r="CC643" i="4" s="1"/>
  <c r="N645" i="4"/>
  <c r="U645" i="4" s="1"/>
  <c r="CC645" i="4" s="1"/>
  <c r="N647" i="4"/>
  <c r="U647" i="4" s="1"/>
  <c r="CC647" i="4" s="1"/>
  <c r="N649" i="4"/>
  <c r="U649" i="4" s="1"/>
  <c r="CC649" i="4" s="1"/>
  <c r="N651" i="4"/>
  <c r="U651" i="4" s="1"/>
  <c r="CC651" i="4" s="1"/>
  <c r="N653" i="4"/>
  <c r="U653" i="4" s="1"/>
  <c r="CC653" i="4" s="1"/>
  <c r="N655" i="4"/>
  <c r="U655" i="4" s="1"/>
  <c r="N657" i="4"/>
  <c r="U657" i="4" s="1"/>
  <c r="N659" i="4"/>
  <c r="U659" i="4" s="1"/>
  <c r="CC659" i="4" s="1"/>
  <c r="N661" i="4"/>
  <c r="U661" i="4" s="1"/>
  <c r="CC661" i="4" s="1"/>
  <c r="O43" i="4"/>
  <c r="V43" i="4" s="1"/>
  <c r="O42" i="4"/>
  <c r="V42" i="4" s="1"/>
  <c r="O49" i="4"/>
  <c r="V49" i="4" s="1"/>
  <c r="O51" i="4"/>
  <c r="V51" i="4" s="1"/>
  <c r="CD51" i="4" s="1"/>
  <c r="O55" i="4"/>
  <c r="V55" i="4" s="1"/>
  <c r="CD55" i="4" s="1"/>
  <c r="O57" i="4"/>
  <c r="V57" i="4" s="1"/>
  <c r="CD57" i="4" s="1"/>
  <c r="O61" i="4"/>
  <c r="V61" i="4" s="1"/>
  <c r="CD61" i="4" s="1"/>
  <c r="O63" i="4"/>
  <c r="V63" i="4" s="1"/>
  <c r="CD63" i="4" s="1"/>
  <c r="O65" i="4"/>
  <c r="V65" i="4" s="1"/>
  <c r="O67" i="4"/>
  <c r="V67" i="4" s="1"/>
  <c r="CD67" i="4" s="1"/>
  <c r="O69" i="4"/>
  <c r="V69" i="4" s="1"/>
  <c r="O73" i="4"/>
  <c r="V73" i="4" s="1"/>
  <c r="CD73" i="4" s="1"/>
  <c r="O75" i="4"/>
  <c r="V75" i="4" s="1"/>
  <c r="CD75" i="4" s="1"/>
  <c r="O77" i="4"/>
  <c r="V77" i="4" s="1"/>
  <c r="CD77" i="4" s="1"/>
  <c r="O79" i="4"/>
  <c r="O83" i="4"/>
  <c r="V83" i="4" s="1"/>
  <c r="O85" i="4"/>
  <c r="O87" i="4"/>
  <c r="V87" i="4" s="1"/>
  <c r="CD87" i="4" s="1"/>
  <c r="O89" i="4"/>
  <c r="V89" i="4" s="1"/>
  <c r="O93" i="4"/>
  <c r="V93" i="4" s="1"/>
  <c r="CD93" i="4" s="1"/>
  <c r="O95" i="4"/>
  <c r="O97" i="4"/>
  <c r="V97" i="4" s="1"/>
  <c r="O99" i="4"/>
  <c r="V99" i="4" s="1"/>
  <c r="CD99" i="4" s="1"/>
  <c r="O101" i="4"/>
  <c r="V101" i="4" s="1"/>
  <c r="O105" i="4"/>
  <c r="V105" i="4" s="1"/>
  <c r="CD105" i="4" s="1"/>
  <c r="O107" i="4"/>
  <c r="V107" i="4" s="1"/>
  <c r="O109" i="4"/>
  <c r="V109" i="4" s="1"/>
  <c r="CD109" i="4" s="1"/>
  <c r="O111" i="4"/>
  <c r="V111" i="4" s="1"/>
  <c r="CD111" i="4" s="1"/>
  <c r="O113" i="4"/>
  <c r="V113" i="4" s="1"/>
  <c r="O115" i="4"/>
  <c r="V115" i="4" s="1"/>
  <c r="CD115" i="4" s="1"/>
  <c r="O117" i="4"/>
  <c r="V117" i="4" s="1"/>
  <c r="CD117" i="4" s="1"/>
  <c r="O121" i="4"/>
  <c r="V121" i="4" s="1"/>
  <c r="CD121" i="4" s="1"/>
  <c r="O123" i="4"/>
  <c r="V123" i="4" s="1"/>
  <c r="CD123" i="4" s="1"/>
  <c r="O125" i="4"/>
  <c r="V125" i="4" s="1"/>
  <c r="CD125" i="4" s="1"/>
  <c r="O127" i="4"/>
  <c r="V127" i="4" s="1"/>
  <c r="CD127" i="4" s="1"/>
  <c r="O129" i="4"/>
  <c r="V129" i="4" s="1"/>
  <c r="O131" i="4"/>
  <c r="V131" i="4" s="1"/>
  <c r="O133" i="4"/>
  <c r="V133" i="4" s="1"/>
  <c r="CD133" i="4" s="1"/>
  <c r="O137" i="4"/>
  <c r="V137" i="4" s="1"/>
  <c r="O139" i="4"/>
  <c r="V139" i="4" s="1"/>
  <c r="CD139" i="4" s="1"/>
  <c r="O141" i="4"/>
  <c r="V141" i="4" s="1"/>
  <c r="CD141" i="4" s="1"/>
  <c r="O143" i="4"/>
  <c r="V143" i="4" s="1"/>
  <c r="CD143" i="4" s="1"/>
  <c r="O147" i="4"/>
  <c r="V147" i="4" s="1"/>
  <c r="O149" i="4"/>
  <c r="V149" i="4" s="1"/>
  <c r="CD149" i="4" s="1"/>
  <c r="O153" i="4"/>
  <c r="V153" i="4" s="1"/>
  <c r="CD153" i="4" s="1"/>
  <c r="O155" i="4"/>
  <c r="V155" i="4" s="1"/>
  <c r="O157" i="4"/>
  <c r="V157" i="4" s="1"/>
  <c r="CD157" i="4" s="1"/>
  <c r="O159" i="4"/>
  <c r="V159" i="4" s="1"/>
  <c r="CD159" i="4" s="1"/>
  <c r="O161" i="4"/>
  <c r="V161" i="4" s="1"/>
  <c r="O163" i="4"/>
  <c r="V163" i="4" s="1"/>
  <c r="O165" i="4"/>
  <c r="V165" i="4" s="1"/>
  <c r="O169" i="4"/>
  <c r="V169" i="4" s="1"/>
  <c r="CD169" i="4" s="1"/>
  <c r="O171" i="4"/>
  <c r="V171" i="4" s="1"/>
  <c r="O173" i="4"/>
  <c r="V173" i="4" s="1"/>
  <c r="CD173" i="4" s="1"/>
  <c r="O175" i="4"/>
  <c r="V175" i="4" s="1"/>
  <c r="CD175" i="4" s="1"/>
  <c r="O179" i="4"/>
  <c r="V179" i="4" s="1"/>
  <c r="CD179" i="4" s="1"/>
  <c r="O181" i="4"/>
  <c r="V181" i="4" s="1"/>
  <c r="O183" i="4"/>
  <c r="V183" i="4" s="1"/>
  <c r="CD183" i="4" s="1"/>
  <c r="O185" i="4"/>
  <c r="CJ185" i="4" s="1"/>
  <c r="O187" i="4"/>
  <c r="V187" i="4" s="1"/>
  <c r="CD187" i="4" s="1"/>
  <c r="O189" i="4"/>
  <c r="V189" i="4" s="1"/>
  <c r="O191" i="4"/>
  <c r="V191" i="4" s="1"/>
  <c r="CD191" i="4" s="1"/>
  <c r="O193" i="4"/>
  <c r="O195" i="4"/>
  <c r="O197" i="4"/>
  <c r="V197" i="4" s="1"/>
  <c r="CD197" i="4" s="1"/>
  <c r="O199" i="4"/>
  <c r="CJ199" i="4" s="1"/>
  <c r="O201" i="4"/>
  <c r="V201" i="4" s="1"/>
  <c r="CD201" i="4" s="1"/>
  <c r="O205" i="4"/>
  <c r="CJ205" i="4" s="1"/>
  <c r="O207" i="4"/>
  <c r="CJ207" i="4" s="1"/>
  <c r="O209" i="4"/>
  <c r="V209" i="4" s="1"/>
  <c r="O211" i="4"/>
  <c r="V211" i="4" s="1"/>
  <c r="O213" i="4"/>
  <c r="V213" i="4" s="1"/>
  <c r="CD213" i="4" s="1"/>
  <c r="O215" i="4"/>
  <c r="V215" i="4" s="1"/>
  <c r="O217" i="4"/>
  <c r="V217" i="4" s="1"/>
  <c r="CD217" i="4" s="1"/>
  <c r="O219" i="4"/>
  <c r="V219" i="4" s="1"/>
  <c r="CD219" i="4" s="1"/>
  <c r="O221" i="4"/>
  <c r="V221" i="4" s="1"/>
  <c r="CD221" i="4" s="1"/>
  <c r="O223" i="4"/>
  <c r="V223" i="4" s="1"/>
  <c r="CD223" i="4" s="1"/>
  <c r="O225" i="4"/>
  <c r="V225" i="4" s="1"/>
  <c r="O227" i="4"/>
  <c r="V227" i="4" s="1"/>
  <c r="CD227" i="4" s="1"/>
  <c r="O229" i="4"/>
  <c r="V229" i="4" s="1"/>
  <c r="O231" i="4"/>
  <c r="V231" i="4" s="1"/>
  <c r="O233" i="4"/>
  <c r="V233" i="4" s="1"/>
  <c r="CD233" i="4" s="1"/>
  <c r="O235" i="4"/>
  <c r="V235" i="4" s="1"/>
  <c r="CD235" i="4" s="1"/>
  <c r="O239" i="4"/>
  <c r="O241" i="4"/>
  <c r="V241" i="4" s="1"/>
  <c r="O243" i="4"/>
  <c r="V243" i="4" s="1"/>
  <c r="CD243" i="4" s="1"/>
  <c r="O245" i="4"/>
  <c r="CJ245" i="4" s="1"/>
  <c r="O247" i="4"/>
  <c r="V247" i="4" s="1"/>
  <c r="CD247" i="4" s="1"/>
  <c r="O251" i="4"/>
  <c r="V251" i="4" s="1"/>
  <c r="CD251" i="4" s="1"/>
  <c r="O253" i="4"/>
  <c r="V253" i="4" s="1"/>
  <c r="CD253" i="4" s="1"/>
  <c r="O255" i="4"/>
  <c r="V255" i="4" s="1"/>
  <c r="CD255" i="4" s="1"/>
  <c r="O257" i="4"/>
  <c r="O259" i="4"/>
  <c r="V259" i="4" s="1"/>
  <c r="O261" i="4"/>
  <c r="V261" i="4" s="1"/>
  <c r="CD261" i="4" s="1"/>
  <c r="O263" i="4"/>
  <c r="V263" i="4" s="1"/>
  <c r="CD263" i="4" s="1"/>
  <c r="O265" i="4"/>
  <c r="V265" i="4" s="1"/>
  <c r="O267" i="4"/>
  <c r="V267" i="4" s="1"/>
  <c r="CD267" i="4" s="1"/>
  <c r="O271" i="4"/>
  <c r="V271" i="4" s="1"/>
  <c r="CD271" i="4" s="1"/>
  <c r="O273" i="4"/>
  <c r="V273" i="4" s="1"/>
  <c r="O277" i="4"/>
  <c r="V277" i="4" s="1"/>
  <c r="CD277" i="4" s="1"/>
  <c r="O279" i="4"/>
  <c r="V279" i="4" s="1"/>
  <c r="CD279" i="4" s="1"/>
  <c r="O281" i="4"/>
  <c r="O283" i="4"/>
  <c r="CJ283" i="4" s="1"/>
  <c r="O285" i="4"/>
  <c r="V285" i="4" s="1"/>
  <c r="CD285" i="4" s="1"/>
  <c r="O287" i="4"/>
  <c r="V287" i="4" s="1"/>
  <c r="CD287" i="4" s="1"/>
  <c r="O289" i="4"/>
  <c r="V289" i="4" s="1"/>
  <c r="O291" i="4"/>
  <c r="V291" i="4" s="1"/>
  <c r="CD291" i="4" s="1"/>
  <c r="O293" i="4"/>
  <c r="V293" i="4" s="1"/>
  <c r="CD293" i="4" s="1"/>
  <c r="O295" i="4"/>
  <c r="O297" i="4"/>
  <c r="V297" i="4" s="1"/>
  <c r="O305" i="4"/>
  <c r="O307" i="4"/>
  <c r="V307" i="4" s="1"/>
  <c r="CD307" i="4" s="1"/>
  <c r="O309" i="4"/>
  <c r="V309" i="4" s="1"/>
  <c r="CD309" i="4" s="1"/>
  <c r="O311" i="4"/>
  <c r="O313" i="4"/>
  <c r="V313" i="4" s="1"/>
  <c r="CD313" i="4" s="1"/>
  <c r="O315" i="4"/>
  <c r="V315" i="4" s="1"/>
  <c r="O317" i="4"/>
  <c r="V317" i="4" s="1"/>
  <c r="CD317" i="4" s="1"/>
  <c r="O319" i="4"/>
  <c r="V319" i="4" s="1"/>
  <c r="O321" i="4"/>
  <c r="O323" i="4"/>
  <c r="V323" i="4" s="1"/>
  <c r="O327" i="4"/>
  <c r="V327" i="4" s="1"/>
  <c r="CD327" i="4" s="1"/>
  <c r="O329" i="4"/>
  <c r="V329" i="4" s="1"/>
  <c r="O331" i="4"/>
  <c r="V331" i="4" s="1"/>
  <c r="CD331" i="4" s="1"/>
  <c r="O333" i="4"/>
  <c r="V333" i="4" s="1"/>
  <c r="O337" i="4"/>
  <c r="V337" i="4" s="1"/>
  <c r="O339" i="4"/>
  <c r="V339" i="4" s="1"/>
  <c r="CD339" i="4" s="1"/>
  <c r="O341" i="4"/>
  <c r="V341" i="4" s="1"/>
  <c r="CD341" i="4" s="1"/>
  <c r="O343" i="4"/>
  <c r="CJ343" i="4" s="1"/>
  <c r="O345" i="4"/>
  <c r="V345" i="4" s="1"/>
  <c r="CD345" i="4" s="1"/>
  <c r="O347" i="4"/>
  <c r="V347" i="4" s="1"/>
  <c r="O349" i="4"/>
  <c r="V349" i="4" s="1"/>
  <c r="CD349" i="4" s="1"/>
  <c r="O351" i="4"/>
  <c r="V351" i="4" s="1"/>
  <c r="CD351" i="4" s="1"/>
  <c r="O353" i="4"/>
  <c r="V353" i="4" s="1"/>
  <c r="O355" i="4"/>
  <c r="V355" i="4" s="1"/>
  <c r="O357" i="4"/>
  <c r="V357" i="4" s="1"/>
  <c r="CD357" i="4" s="1"/>
  <c r="O359" i="4"/>
  <c r="V359" i="4" s="1"/>
  <c r="CD359" i="4" s="1"/>
  <c r="O363" i="4"/>
  <c r="V363" i="4" s="1"/>
  <c r="CD363" i="4" s="1"/>
  <c r="O365" i="4"/>
  <c r="V365" i="4" s="1"/>
  <c r="CD365" i="4" s="1"/>
  <c r="O367" i="4"/>
  <c r="V367" i="4" s="1"/>
  <c r="CD367" i="4" s="1"/>
  <c r="O369" i="4"/>
  <c r="V369" i="4" s="1"/>
  <c r="O371" i="4"/>
  <c r="O373" i="4"/>
  <c r="CJ373" i="4" s="1"/>
  <c r="O375" i="4"/>
  <c r="V375" i="4" s="1"/>
  <c r="O377" i="4"/>
  <c r="V377" i="4" s="1"/>
  <c r="O381" i="4"/>
  <c r="V381" i="4" s="1"/>
  <c r="CD381" i="4" s="1"/>
  <c r="O383" i="4"/>
  <c r="V383" i="4" s="1"/>
  <c r="CD383" i="4" s="1"/>
  <c r="O385" i="4"/>
  <c r="V385" i="4" s="1"/>
  <c r="O387" i="4"/>
  <c r="V387" i="4" s="1"/>
  <c r="CD387" i="4" s="1"/>
  <c r="O389" i="4"/>
  <c r="V389" i="4" s="1"/>
  <c r="CD389" i="4" s="1"/>
  <c r="O391" i="4"/>
  <c r="V391" i="4" s="1"/>
  <c r="O393" i="4"/>
  <c r="V393" i="4" s="1"/>
  <c r="O395" i="4"/>
  <c r="V395" i="4" s="1"/>
  <c r="O397" i="4"/>
  <c r="CJ397" i="4" s="1"/>
  <c r="O399" i="4"/>
  <c r="V399" i="4" s="1"/>
  <c r="CD399" i="4" s="1"/>
  <c r="O401" i="4"/>
  <c r="V401" i="4" s="1"/>
  <c r="O403" i="4"/>
  <c r="V403" i="4" s="1"/>
  <c r="CD403" i="4" s="1"/>
  <c r="O405" i="4"/>
  <c r="CJ405" i="4" s="1"/>
  <c r="O407" i="4"/>
  <c r="O409" i="4"/>
  <c r="V409" i="4" s="1"/>
  <c r="CD409" i="4" s="1"/>
  <c r="O411" i="4"/>
  <c r="V411" i="4" s="1"/>
  <c r="O415" i="4"/>
  <c r="V415" i="4" s="1"/>
  <c r="CD415" i="4" s="1"/>
  <c r="O419" i="4"/>
  <c r="CJ419" i="4" s="1"/>
  <c r="O425" i="4"/>
  <c r="V425" i="4" s="1"/>
  <c r="O427" i="4"/>
  <c r="V427" i="4" s="1"/>
  <c r="CD427" i="4" s="1"/>
  <c r="O429" i="4"/>
  <c r="V429" i="4" s="1"/>
  <c r="CD429" i="4" s="1"/>
  <c r="O431" i="4"/>
  <c r="V431" i="4" s="1"/>
  <c r="O433" i="4"/>
  <c r="V433" i="4" s="1"/>
  <c r="CD433" i="4" s="1"/>
  <c r="O435" i="4"/>
  <c r="V435" i="4" s="1"/>
  <c r="CD435" i="4" s="1"/>
  <c r="O437" i="4"/>
  <c r="V437" i="4" s="1"/>
  <c r="CD437" i="4" s="1"/>
  <c r="O439" i="4"/>
  <c r="V439" i="4" s="1"/>
  <c r="O441" i="4"/>
  <c r="V441" i="4" s="1"/>
  <c r="CD441" i="4" s="1"/>
  <c r="O445" i="4"/>
  <c r="V445" i="4" s="1"/>
  <c r="CD445" i="4" s="1"/>
  <c r="O447" i="4"/>
  <c r="V447" i="4" s="1"/>
  <c r="CD447" i="4" s="1"/>
  <c r="O449" i="4"/>
  <c r="V449" i="4" s="1"/>
  <c r="CD449" i="4" s="1"/>
  <c r="O451" i="4"/>
  <c r="V451" i="4" s="1"/>
  <c r="O453" i="4"/>
  <c r="V453" i="4" s="1"/>
  <c r="CD453" i="4" s="1"/>
  <c r="O455" i="4"/>
  <c r="O457" i="4"/>
  <c r="V457" i="4" s="1"/>
  <c r="CD457" i="4" s="1"/>
  <c r="O461" i="4"/>
  <c r="V461" i="4" s="1"/>
  <c r="CD461" i="4" s="1"/>
  <c r="O463" i="4"/>
  <c r="V463" i="4" s="1"/>
  <c r="CD463" i="4" s="1"/>
  <c r="O465" i="4"/>
  <c r="V465" i="4" s="1"/>
  <c r="O467" i="4"/>
  <c r="V467" i="4" s="1"/>
  <c r="O471" i="4"/>
  <c r="V471" i="4" s="1"/>
  <c r="CD471" i="4" s="1"/>
  <c r="O473" i="4"/>
  <c r="CJ473" i="4" s="1"/>
  <c r="O475" i="4"/>
  <c r="V475" i="4" s="1"/>
  <c r="CD475" i="4" s="1"/>
  <c r="O477" i="4"/>
  <c r="V477" i="4" s="1"/>
  <c r="CD477" i="4" s="1"/>
  <c r="O479" i="4"/>
  <c r="V479" i="4" s="1"/>
  <c r="CD479" i="4" s="1"/>
  <c r="O481" i="4"/>
  <c r="V481" i="4" s="1"/>
  <c r="O483" i="4"/>
  <c r="V483" i="4" s="1"/>
  <c r="CD483" i="4" s="1"/>
  <c r="O485" i="4"/>
  <c r="V485" i="4" s="1"/>
  <c r="O487" i="4"/>
  <c r="V487" i="4" s="1"/>
  <c r="CD487" i="4" s="1"/>
  <c r="O489" i="4"/>
  <c r="V489" i="4" s="1"/>
  <c r="CD489" i="4" s="1"/>
  <c r="O491" i="4"/>
  <c r="V491" i="4" s="1"/>
  <c r="CD491" i="4" s="1"/>
  <c r="O493" i="4"/>
  <c r="V493" i="4" s="1"/>
  <c r="O495" i="4"/>
  <c r="V495" i="4" s="1"/>
  <c r="CD495" i="4" s="1"/>
  <c r="O497" i="4"/>
  <c r="V497" i="4" s="1"/>
  <c r="O499" i="4"/>
  <c r="V499" i="4" s="1"/>
  <c r="CD499" i="4" s="1"/>
  <c r="O501" i="4"/>
  <c r="V501" i="4" s="1"/>
  <c r="CD501" i="4" s="1"/>
  <c r="O507" i="4"/>
  <c r="V507" i="4" s="1"/>
  <c r="CD507" i="4" s="1"/>
  <c r="O509" i="4"/>
  <c r="V509" i="4" s="1"/>
  <c r="CD509" i="4" s="1"/>
  <c r="O511" i="4"/>
  <c r="V511" i="4" s="1"/>
  <c r="CD511" i="4" s="1"/>
  <c r="O513" i="4"/>
  <c r="V513" i="4" s="1"/>
  <c r="O515" i="4"/>
  <c r="V515" i="4" s="1"/>
  <c r="CD515" i="4" s="1"/>
  <c r="O517" i="4"/>
  <c r="V517" i="4" s="1"/>
  <c r="CD517" i="4" s="1"/>
  <c r="O519" i="4"/>
  <c r="V519" i="4" s="1"/>
  <c r="CD519" i="4" s="1"/>
  <c r="O521" i="4"/>
  <c r="V521" i="4" s="1"/>
  <c r="CD521" i="4" s="1"/>
  <c r="O523" i="4"/>
  <c r="V523" i="4" s="1"/>
  <c r="CD523" i="4" s="1"/>
  <c r="O525" i="4"/>
  <c r="V525" i="4" s="1"/>
  <c r="O527" i="4"/>
  <c r="V527" i="4" s="1"/>
  <c r="O529" i="4"/>
  <c r="V529" i="4" s="1"/>
  <c r="O531" i="4"/>
  <c r="V531" i="4" s="1"/>
  <c r="CD531" i="4" s="1"/>
  <c r="O533" i="4"/>
  <c r="V533" i="4" s="1"/>
  <c r="CD533" i="4" s="1"/>
  <c r="O535" i="4"/>
  <c r="V535" i="4" s="1"/>
  <c r="CD535" i="4" s="1"/>
  <c r="O537" i="4"/>
  <c r="CJ537" i="4" s="1"/>
  <c r="O539" i="4"/>
  <c r="V539" i="4" s="1"/>
  <c r="O543" i="4"/>
  <c r="V543" i="4" s="1"/>
  <c r="CD543" i="4" s="1"/>
  <c r="O547" i="4"/>
  <c r="V547" i="4" s="1"/>
  <c r="CD547" i="4" s="1"/>
  <c r="O549" i="4"/>
  <c r="CJ549" i="4" s="1"/>
  <c r="O551" i="4"/>
  <c r="V551" i="4" s="1"/>
  <c r="CD551" i="4" s="1"/>
  <c r="O553" i="4"/>
  <c r="CJ553" i="4" s="1"/>
  <c r="O557" i="4"/>
  <c r="V557" i="4" s="1"/>
  <c r="CD557" i="4" s="1"/>
  <c r="O561" i="4"/>
  <c r="O563" i="4"/>
  <c r="O565" i="4"/>
  <c r="V565" i="4" s="1"/>
  <c r="CD565" i="4" s="1"/>
  <c r="O567" i="4"/>
  <c r="V567" i="4" s="1"/>
  <c r="CD567" i="4" s="1"/>
  <c r="O569" i="4"/>
  <c r="V569" i="4" s="1"/>
  <c r="CD569" i="4" s="1"/>
  <c r="O571" i="4"/>
  <c r="V571" i="4" s="1"/>
  <c r="CD571" i="4" s="1"/>
  <c r="O573" i="4"/>
  <c r="V573" i="4" s="1"/>
  <c r="CD573" i="4" s="1"/>
  <c r="O575" i="4"/>
  <c r="V575" i="4" s="1"/>
  <c r="CD575" i="4" s="1"/>
  <c r="O577" i="4"/>
  <c r="V577" i="4" s="1"/>
  <c r="O583" i="4"/>
  <c r="V583" i="4" s="1"/>
  <c r="CD583" i="4" s="1"/>
  <c r="O585" i="4"/>
  <c r="V585" i="4" s="1"/>
  <c r="CD585" i="4" s="1"/>
  <c r="O587" i="4"/>
  <c r="V587" i="4" s="1"/>
  <c r="O589" i="4"/>
  <c r="V589" i="4" s="1"/>
  <c r="CD589" i="4" s="1"/>
  <c r="O591" i="4"/>
  <c r="V591" i="4" s="1"/>
  <c r="CD591" i="4" s="1"/>
  <c r="O593" i="4"/>
  <c r="V593" i="4" s="1"/>
  <c r="O595" i="4"/>
  <c r="V595" i="4" s="1"/>
  <c r="CD595" i="4" s="1"/>
  <c r="O597" i="4"/>
  <c r="V597" i="4" s="1"/>
  <c r="CD597" i="4" s="1"/>
  <c r="O599" i="4"/>
  <c r="V599" i="4" s="1"/>
  <c r="O601" i="4"/>
  <c r="V601" i="4" s="1"/>
  <c r="CD601" i="4" s="1"/>
  <c r="O603" i="4"/>
  <c r="V603" i="4" s="1"/>
  <c r="O605" i="4"/>
  <c r="V605" i="4" s="1"/>
  <c r="CD605" i="4" s="1"/>
  <c r="O607" i="4"/>
  <c r="V607" i="4" s="1"/>
  <c r="CD607" i="4" s="1"/>
  <c r="O609" i="4"/>
  <c r="V609" i="4" s="1"/>
  <c r="CD609" i="4" s="1"/>
  <c r="O613" i="4"/>
  <c r="CJ613" i="4" s="1"/>
  <c r="O615" i="4"/>
  <c r="CJ615" i="4" s="1"/>
  <c r="O617" i="4"/>
  <c r="CJ617" i="4" s="1"/>
  <c r="O621" i="4"/>
  <c r="V621" i="4" s="1"/>
  <c r="CD621" i="4" s="1"/>
  <c r="O623" i="4"/>
  <c r="V623" i="4" s="1"/>
  <c r="O627" i="4"/>
  <c r="V627" i="4" s="1"/>
  <c r="CD627" i="4" s="1"/>
  <c r="O629" i="4"/>
  <c r="CJ629" i="4" s="1"/>
  <c r="O633" i="4"/>
  <c r="V633" i="4" s="1"/>
  <c r="CD633" i="4" s="1"/>
  <c r="O635" i="4"/>
  <c r="V635" i="4" s="1"/>
  <c r="CD635" i="4" s="1"/>
  <c r="O637" i="4"/>
  <c r="V637" i="4" s="1"/>
  <c r="O641" i="4"/>
  <c r="O643" i="4"/>
  <c r="V643" i="4" s="1"/>
  <c r="CD643" i="4" s="1"/>
  <c r="O645" i="4"/>
  <c r="V645" i="4" s="1"/>
  <c r="CD645" i="4" s="1"/>
  <c r="O647" i="4"/>
  <c r="V647" i="4" s="1"/>
  <c r="CD647" i="4" s="1"/>
  <c r="O649" i="4"/>
  <c r="O651" i="4"/>
  <c r="V651" i="4" s="1"/>
  <c r="O653" i="4"/>
  <c r="V653" i="4" s="1"/>
  <c r="CD653" i="4" s="1"/>
  <c r="O655" i="4"/>
  <c r="V655" i="4" s="1"/>
  <c r="CD655" i="4" s="1"/>
  <c r="O657" i="4"/>
  <c r="V657" i="4" s="1"/>
  <c r="CD657" i="4" s="1"/>
  <c r="O661" i="4"/>
  <c r="V661" i="4" s="1"/>
  <c r="CD661" i="4" s="1"/>
  <c r="P43" i="4"/>
  <c r="W43" i="4" s="1"/>
  <c r="CE43" i="4" s="1"/>
  <c r="P42" i="4"/>
  <c r="W49" i="4"/>
  <c r="P51" i="4"/>
  <c r="W51" i="4" s="1"/>
  <c r="CE51" i="4" s="1"/>
  <c r="P55" i="4"/>
  <c r="W55" i="4" s="1"/>
  <c r="CE55" i="4" s="1"/>
  <c r="P57" i="4"/>
  <c r="W57" i="4" s="1"/>
  <c r="CE57" i="4" s="1"/>
  <c r="P59" i="4"/>
  <c r="W59" i="4" s="1"/>
  <c r="CE59" i="4" s="1"/>
  <c r="P61" i="4"/>
  <c r="W61" i="4" s="1"/>
  <c r="CE61" i="4" s="1"/>
  <c r="P63" i="4"/>
  <c r="W63" i="4" s="1"/>
  <c r="P65" i="4"/>
  <c r="W65" i="4" s="1"/>
  <c r="CE65" i="4" s="1"/>
  <c r="P67" i="4"/>
  <c r="W67" i="4" s="1"/>
  <c r="P69" i="4"/>
  <c r="W69" i="4" s="1"/>
  <c r="CE69" i="4" s="1"/>
  <c r="P73" i="4"/>
  <c r="W73" i="4" s="1"/>
  <c r="CE73" i="4" s="1"/>
  <c r="P75" i="4"/>
  <c r="W75" i="4" s="1"/>
  <c r="CE75" i="4" s="1"/>
  <c r="P77" i="4"/>
  <c r="W77" i="4" s="1"/>
  <c r="CE77" i="4" s="1"/>
  <c r="P79" i="4"/>
  <c r="W79" i="4" s="1"/>
  <c r="CE79" i="4" s="1"/>
  <c r="P83" i="4"/>
  <c r="W83" i="4" s="1"/>
  <c r="CE83" i="4" s="1"/>
  <c r="P87" i="4"/>
  <c r="W87" i="4" s="1"/>
  <c r="P89" i="4"/>
  <c r="W89" i="4" s="1"/>
  <c r="CE89" i="4" s="1"/>
  <c r="P95" i="4"/>
  <c r="W95" i="4" s="1"/>
  <c r="P97" i="4"/>
  <c r="W97" i="4" s="1"/>
  <c r="CE97" i="4" s="1"/>
  <c r="P99" i="4"/>
  <c r="W99" i="4" s="1"/>
  <c r="P101" i="4"/>
  <c r="W101" i="4" s="1"/>
  <c r="CE101" i="4" s="1"/>
  <c r="P103" i="4"/>
  <c r="W103" i="4" s="1"/>
  <c r="CE103" i="4" s="1"/>
  <c r="P105" i="4"/>
  <c r="CK105" i="4" s="1"/>
  <c r="P109" i="4"/>
  <c r="W109" i="4" s="1"/>
  <c r="CE109" i="4" s="1"/>
  <c r="P111" i="4"/>
  <c r="W111" i="4" s="1"/>
  <c r="CE111" i="4" s="1"/>
  <c r="P115" i="4"/>
  <c r="W115" i="4" s="1"/>
  <c r="CE115" i="4" s="1"/>
  <c r="P117" i="4"/>
  <c r="W117" i="4" s="1"/>
  <c r="P119" i="4"/>
  <c r="W119" i="4" s="1"/>
  <c r="P121" i="4"/>
  <c r="CK121" i="4" s="1"/>
  <c r="P125" i="4"/>
  <c r="W125" i="4" s="1"/>
  <c r="P127" i="4"/>
  <c r="W127" i="4" s="1"/>
  <c r="CE127" i="4" s="1"/>
  <c r="P129" i="4"/>
  <c r="W129" i="4" s="1"/>
  <c r="CE129" i="4" s="1"/>
  <c r="P131" i="4"/>
  <c r="W131" i="4" s="1"/>
  <c r="P133" i="4"/>
  <c r="W133" i="4" s="1"/>
  <c r="CE133" i="4" s="1"/>
  <c r="P135" i="4"/>
  <c r="W135" i="4" s="1"/>
  <c r="CE135" i="4" s="1"/>
  <c r="P137" i="4"/>
  <c r="W137" i="4" s="1"/>
  <c r="CE137" i="4" s="1"/>
  <c r="P139" i="4"/>
  <c r="CK139" i="4" s="1"/>
  <c r="P141" i="4"/>
  <c r="W141" i="4" s="1"/>
  <c r="CE141" i="4" s="1"/>
  <c r="P143" i="4"/>
  <c r="W143" i="4" s="1"/>
  <c r="CE143" i="4" s="1"/>
  <c r="P147" i="4"/>
  <c r="W147" i="4" s="1"/>
  <c r="CE147" i="4" s="1"/>
  <c r="P149" i="4"/>
  <c r="W149" i="4" s="1"/>
  <c r="CE149" i="4" s="1"/>
  <c r="P153" i="4"/>
  <c r="W153" i="4" s="1"/>
  <c r="P155" i="4"/>
  <c r="CK155" i="4" s="1"/>
  <c r="P157" i="4"/>
  <c r="W157" i="4" s="1"/>
  <c r="CE157" i="4" s="1"/>
  <c r="P159" i="4"/>
  <c r="W159" i="4" s="1"/>
  <c r="P161" i="4"/>
  <c r="W161" i="4" s="1"/>
  <c r="CE161" i="4" s="1"/>
  <c r="P163" i="4"/>
  <c r="W163" i="4" s="1"/>
  <c r="CE163" i="4" s="1"/>
  <c r="P167" i="4"/>
  <c r="W167" i="4" s="1"/>
  <c r="CE167" i="4" s="1"/>
  <c r="P169" i="4"/>
  <c r="W169" i="4" s="1"/>
  <c r="CE169" i="4" s="1"/>
  <c r="P171" i="4"/>
  <c r="W171" i="4" s="1"/>
  <c r="CE171" i="4" s="1"/>
  <c r="P173" i="4"/>
  <c r="W173" i="4" s="1"/>
  <c r="P175" i="4"/>
  <c r="W175" i="4" s="1"/>
  <c r="CE175" i="4" s="1"/>
  <c r="P179" i="4"/>
  <c r="W179" i="4" s="1"/>
  <c r="CE179" i="4" s="1"/>
  <c r="P181" i="4"/>
  <c r="W181" i="4" s="1"/>
  <c r="CE181" i="4" s="1"/>
  <c r="P183" i="4"/>
  <c r="W183" i="4" s="1"/>
  <c r="CE183" i="4" s="1"/>
  <c r="P185" i="4"/>
  <c r="CK185" i="4" s="1"/>
  <c r="P187" i="4"/>
  <c r="W187" i="4" s="1"/>
  <c r="CE187" i="4" s="1"/>
  <c r="P191" i="4"/>
  <c r="W191" i="4" s="1"/>
  <c r="CE191" i="4" s="1"/>
  <c r="P193" i="4"/>
  <c r="W193" i="4" s="1"/>
  <c r="CE193" i="4" s="1"/>
  <c r="P195" i="4"/>
  <c r="W195" i="4" s="1"/>
  <c r="CE195" i="4" s="1"/>
  <c r="P197" i="4"/>
  <c r="W197" i="4" s="1"/>
  <c r="CE197" i="4" s="1"/>
  <c r="P199" i="4"/>
  <c r="W199" i="4" s="1"/>
  <c r="P201" i="4"/>
  <c r="W201" i="4" s="1"/>
  <c r="P207" i="4"/>
  <c r="W207" i="4" s="1"/>
  <c r="CE207" i="4" s="1"/>
  <c r="P209" i="4"/>
  <c r="W209" i="4" s="1"/>
  <c r="CE209" i="4" s="1"/>
  <c r="P211" i="4"/>
  <c r="W211" i="4" s="1"/>
  <c r="CE211" i="4" s="1"/>
  <c r="P213" i="4"/>
  <c r="W213" i="4" s="1"/>
  <c r="CE213" i="4" s="1"/>
  <c r="P215" i="4"/>
  <c r="W215" i="4" s="1"/>
  <c r="CE215" i="4" s="1"/>
  <c r="P217" i="4"/>
  <c r="P219" i="4"/>
  <c r="W219" i="4" s="1"/>
  <c r="CE219" i="4" s="1"/>
  <c r="P221" i="4"/>
  <c r="W221" i="4" s="1"/>
  <c r="CE221" i="4" s="1"/>
  <c r="P223" i="4"/>
  <c r="W223" i="4" s="1"/>
  <c r="CE223" i="4" s="1"/>
  <c r="P227" i="4"/>
  <c r="W227" i="4" s="1"/>
  <c r="CE227" i="4" s="1"/>
  <c r="P229" i="4"/>
  <c r="W229" i="4" s="1"/>
  <c r="P231" i="4"/>
  <c r="W231" i="4" s="1"/>
  <c r="P233" i="4"/>
  <c r="W233" i="4" s="1"/>
  <c r="CE233" i="4" s="1"/>
  <c r="P235" i="4"/>
  <c r="W235" i="4" s="1"/>
  <c r="CE235" i="4" s="1"/>
  <c r="P239" i="4"/>
  <c r="W239" i="4" s="1"/>
  <c r="CE239" i="4" s="1"/>
  <c r="P241" i="4"/>
  <c r="W241" i="4" s="1"/>
  <c r="CE241" i="4" s="1"/>
  <c r="P243" i="4"/>
  <c r="W243" i="4" s="1"/>
  <c r="P245" i="4"/>
  <c r="W245" i="4" s="1"/>
  <c r="CE245" i="4" s="1"/>
  <c r="P247" i="4"/>
  <c r="W247" i="4" s="1"/>
  <c r="P251" i="4"/>
  <c r="W251" i="4" s="1"/>
  <c r="CE251" i="4" s="1"/>
  <c r="P253" i="4"/>
  <c r="W253" i="4" s="1"/>
  <c r="CE253" i="4" s="1"/>
  <c r="P255" i="4"/>
  <c r="W255" i="4" s="1"/>
  <c r="CE255" i="4" s="1"/>
  <c r="P257" i="4"/>
  <c r="W257" i="4" s="1"/>
  <c r="CE257" i="4" s="1"/>
  <c r="P259" i="4"/>
  <c r="W259" i="4" s="1"/>
  <c r="P261" i="4"/>
  <c r="W261" i="4" s="1"/>
  <c r="P263" i="4"/>
  <c r="W263" i="4" s="1"/>
  <c r="CE263" i="4" s="1"/>
  <c r="P267" i="4"/>
  <c r="W267" i="4" s="1"/>
  <c r="W271" i="4"/>
  <c r="P273" i="4"/>
  <c r="W273" i="4" s="1"/>
  <c r="CE273" i="4" s="1"/>
  <c r="P275" i="4"/>
  <c r="P277" i="4"/>
  <c r="CK277" i="4" s="1"/>
  <c r="P279" i="4"/>
  <c r="W279" i="4" s="1"/>
  <c r="P281" i="4"/>
  <c r="W281" i="4" s="1"/>
  <c r="CE281" i="4" s="1"/>
  <c r="P283" i="4"/>
  <c r="W283" i="4" s="1"/>
  <c r="CE283" i="4" s="1"/>
  <c r="P285" i="4"/>
  <c r="W285" i="4" s="1"/>
  <c r="CE285" i="4" s="1"/>
  <c r="P287" i="4"/>
  <c r="W287" i="4" s="1"/>
  <c r="CE287" i="4" s="1"/>
  <c r="P289" i="4"/>
  <c r="W289" i="4" s="1"/>
  <c r="CE289" i="4" s="1"/>
  <c r="P291" i="4"/>
  <c r="W291" i="4" s="1"/>
  <c r="CE291" i="4" s="1"/>
  <c r="P293" i="4"/>
  <c r="W293" i="4" s="1"/>
  <c r="CE293" i="4" s="1"/>
  <c r="P295" i="4"/>
  <c r="CK295" i="4" s="1"/>
  <c r="P297" i="4"/>
  <c r="W297" i="4" s="1"/>
  <c r="CE297" i="4" s="1"/>
  <c r="P305" i="4"/>
  <c r="W305" i="4" s="1"/>
  <c r="CE305" i="4" s="1"/>
  <c r="P307" i="4"/>
  <c r="W307" i="4" s="1"/>
  <c r="P309" i="4"/>
  <c r="W309" i="4" s="1"/>
  <c r="CE309" i="4" s="1"/>
  <c r="P311" i="4"/>
  <c r="W311" i="4" s="1"/>
  <c r="CE311" i="4" s="1"/>
  <c r="P313" i="4"/>
  <c r="W313" i="4" s="1"/>
  <c r="CE313" i="4" s="1"/>
  <c r="P315" i="4"/>
  <c r="CK315" i="4" s="1"/>
  <c r="P317" i="4"/>
  <c r="W317" i="4" s="1"/>
  <c r="CE317" i="4" s="1"/>
  <c r="P319" i="4"/>
  <c r="W319" i="4" s="1"/>
  <c r="CE319" i="4" s="1"/>
  <c r="P321" i="4"/>
  <c r="W321" i="4" s="1"/>
  <c r="CE321" i="4" s="1"/>
  <c r="P323" i="4"/>
  <c r="W323" i="4" s="1"/>
  <c r="CE323" i="4" s="1"/>
  <c r="P327" i="4"/>
  <c r="CK327" i="4" s="1"/>
  <c r="P329" i="4"/>
  <c r="CK329" i="4" s="1"/>
  <c r="P331" i="4"/>
  <c r="W331" i="4" s="1"/>
  <c r="CE331" i="4" s="1"/>
  <c r="P333" i="4"/>
  <c r="W333" i="4" s="1"/>
  <c r="CE333" i="4" s="1"/>
  <c r="P337" i="4"/>
  <c r="W337" i="4" s="1"/>
  <c r="CE337" i="4" s="1"/>
  <c r="P339" i="4"/>
  <c r="W339" i="4" s="1"/>
  <c r="CE339" i="4" s="1"/>
  <c r="P341" i="4"/>
  <c r="CK341" i="4" s="1"/>
  <c r="P343" i="4"/>
  <c r="W343" i="4" s="1"/>
  <c r="P345" i="4"/>
  <c r="P347" i="4"/>
  <c r="W347" i="4" s="1"/>
  <c r="CE347" i="4" s="1"/>
  <c r="P349" i="4"/>
  <c r="CK349" i="4" s="1"/>
  <c r="P351" i="4"/>
  <c r="W351" i="4" s="1"/>
  <c r="CE351" i="4" s="1"/>
  <c r="P355" i="4"/>
  <c r="W355" i="4" s="1"/>
  <c r="CE355" i="4" s="1"/>
  <c r="P357" i="4"/>
  <c r="W357" i="4" s="1"/>
  <c r="CE357" i="4" s="1"/>
  <c r="P359" i="4"/>
  <c r="W359" i="4" s="1"/>
  <c r="CE359" i="4" s="1"/>
  <c r="P363" i="4"/>
  <c r="W363" i="4" s="1"/>
  <c r="P365" i="4"/>
  <c r="W365" i="4" s="1"/>
  <c r="CE365" i="4" s="1"/>
  <c r="P367" i="4"/>
  <c r="W367" i="4" s="1"/>
  <c r="CE367" i="4" s="1"/>
  <c r="P371" i="4"/>
  <c r="W371" i="4" s="1"/>
  <c r="CE371" i="4" s="1"/>
  <c r="P373" i="4"/>
  <c r="W373" i="4" s="1"/>
  <c r="CE373" i="4" s="1"/>
  <c r="W375" i="4"/>
  <c r="P377" i="4"/>
  <c r="W377" i="4" s="1"/>
  <c r="CE377" i="4" s="1"/>
  <c r="P381" i="4"/>
  <c r="W381" i="4" s="1"/>
  <c r="CE381" i="4" s="1"/>
  <c r="P383" i="4"/>
  <c r="W383" i="4" s="1"/>
  <c r="CE383" i="4" s="1"/>
  <c r="P387" i="4"/>
  <c r="W387" i="4" s="1"/>
  <c r="CE387" i="4" s="1"/>
  <c r="P389" i="4"/>
  <c r="W389" i="4" s="1"/>
  <c r="CE389" i="4" s="1"/>
  <c r="P391" i="4"/>
  <c r="W391" i="4" s="1"/>
  <c r="CE391" i="4" s="1"/>
  <c r="P393" i="4"/>
  <c r="P395" i="4"/>
  <c r="CK395" i="4" s="1"/>
  <c r="P399" i="4"/>
  <c r="CK399" i="4" s="1"/>
  <c r="P401" i="4"/>
  <c r="W401" i="4" s="1"/>
  <c r="CE401" i="4" s="1"/>
  <c r="P405" i="4"/>
  <c r="W405" i="4" s="1"/>
  <c r="P407" i="4"/>
  <c r="W407" i="4" s="1"/>
  <c r="P409" i="4"/>
  <c r="W409" i="4" s="1"/>
  <c r="CE409" i="4" s="1"/>
  <c r="P411" i="4"/>
  <c r="P415" i="4"/>
  <c r="W415" i="4" s="1"/>
  <c r="CE415" i="4" s="1"/>
  <c r="P417" i="4"/>
  <c r="W417" i="4" s="1"/>
  <c r="CE417" i="4" s="1"/>
  <c r="P419" i="4"/>
  <c r="CK419" i="4" s="1"/>
  <c r="P423" i="4"/>
  <c r="W423" i="4" s="1"/>
  <c r="CE423" i="4" s="1"/>
  <c r="P425" i="4"/>
  <c r="P427" i="4"/>
  <c r="W427" i="4" s="1"/>
  <c r="CE427" i="4" s="1"/>
  <c r="P429" i="4"/>
  <c r="W429" i="4" s="1"/>
  <c r="CE429" i="4" s="1"/>
  <c r="P431" i="4"/>
  <c r="W431" i="4" s="1"/>
  <c r="CE431" i="4" s="1"/>
  <c r="P433" i="4"/>
  <c r="W433" i="4" s="1"/>
  <c r="CE433" i="4" s="1"/>
  <c r="P435" i="4"/>
  <c r="W435" i="4" s="1"/>
  <c r="P437" i="4"/>
  <c r="W437" i="4" s="1"/>
  <c r="CE437" i="4" s="1"/>
  <c r="P439" i="4"/>
  <c r="W439" i="4" s="1"/>
  <c r="P441" i="4"/>
  <c r="CK441" i="4" s="1"/>
  <c r="P445" i="4"/>
  <c r="W445" i="4" s="1"/>
  <c r="CE445" i="4" s="1"/>
  <c r="P447" i="4"/>
  <c r="W447" i="4" s="1"/>
  <c r="CE447" i="4" s="1"/>
  <c r="P449" i="4"/>
  <c r="W449" i="4" s="1"/>
  <c r="CE449" i="4" s="1"/>
  <c r="P451" i="4"/>
  <c r="W451" i="4" s="1"/>
  <c r="CE451" i="4" s="1"/>
  <c r="P453" i="4"/>
  <c r="W453" i="4" s="1"/>
  <c r="CE453" i="4" s="1"/>
  <c r="P457" i="4"/>
  <c r="W457" i="4" s="1"/>
  <c r="P461" i="4"/>
  <c r="W461" i="4" s="1"/>
  <c r="CE461" i="4" s="1"/>
  <c r="P463" i="4"/>
  <c r="W463" i="4" s="1"/>
  <c r="P465" i="4"/>
  <c r="W465" i="4" s="1"/>
  <c r="CE465" i="4" s="1"/>
  <c r="P467" i="4"/>
  <c r="W467" i="4" s="1"/>
  <c r="CE467" i="4" s="1"/>
  <c r="P471" i="4"/>
  <c r="P473" i="4"/>
  <c r="W473" i="4" s="1"/>
  <c r="CE473" i="4" s="1"/>
  <c r="P475" i="4"/>
  <c r="P477" i="4"/>
  <c r="W477" i="4" s="1"/>
  <c r="CE477" i="4" s="1"/>
  <c r="P479" i="4"/>
  <c r="W479" i="4" s="1"/>
  <c r="CE479" i="4" s="1"/>
  <c r="P481" i="4"/>
  <c r="W481" i="4" s="1"/>
  <c r="CE481" i="4" s="1"/>
  <c r="P483" i="4"/>
  <c r="W483" i="4" s="1"/>
  <c r="CE483" i="4" s="1"/>
  <c r="P485" i="4"/>
  <c r="W485" i="4" s="1"/>
  <c r="CE485" i="4" s="1"/>
  <c r="P487" i="4"/>
  <c r="W487" i="4" s="1"/>
  <c r="CE487" i="4" s="1"/>
  <c r="P489" i="4"/>
  <c r="P491" i="4"/>
  <c r="CK491" i="4" s="1"/>
  <c r="P493" i="4"/>
  <c r="W493" i="4" s="1"/>
  <c r="CE493" i="4" s="1"/>
  <c r="P497" i="4"/>
  <c r="W497" i="4" s="1"/>
  <c r="CE497" i="4" s="1"/>
  <c r="P499" i="4"/>
  <c r="W499" i="4" s="1"/>
  <c r="CE499" i="4" s="1"/>
  <c r="P501" i="4"/>
  <c r="W501" i="4" s="1"/>
  <c r="CE501" i="4" s="1"/>
  <c r="P509" i="4"/>
  <c r="W509" i="4" s="1"/>
  <c r="CE509" i="4" s="1"/>
  <c r="P511" i="4"/>
  <c r="W511" i="4" s="1"/>
  <c r="CE511" i="4" s="1"/>
  <c r="P513" i="4"/>
  <c r="W513" i="4" s="1"/>
  <c r="CE513" i="4" s="1"/>
  <c r="P515" i="4"/>
  <c r="W515" i="4" s="1"/>
  <c r="P517" i="4"/>
  <c r="W517" i="4" s="1"/>
  <c r="CE517" i="4" s="1"/>
  <c r="P521" i="4"/>
  <c r="W521" i="4" s="1"/>
  <c r="CE521" i="4" s="1"/>
  <c r="P523" i="4"/>
  <c r="W523" i="4" s="1"/>
  <c r="P525" i="4"/>
  <c r="W525" i="4" s="1"/>
  <c r="P527" i="4"/>
  <c r="CK527" i="4" s="1"/>
  <c r="P529" i="4"/>
  <c r="W529" i="4" s="1"/>
  <c r="CE529" i="4" s="1"/>
  <c r="P531" i="4"/>
  <c r="W531" i="4" s="1"/>
  <c r="CE531" i="4" s="1"/>
  <c r="P533" i="4"/>
  <c r="W533" i="4" s="1"/>
  <c r="CE533" i="4" s="1"/>
  <c r="P535" i="4"/>
  <c r="CK535" i="4" s="1"/>
  <c r="P537" i="4"/>
  <c r="CK537" i="4" s="1"/>
  <c r="P539" i="4"/>
  <c r="W539" i="4" s="1"/>
  <c r="CE539" i="4" s="1"/>
  <c r="P543" i="4"/>
  <c r="W543" i="4" s="1"/>
  <c r="CE543" i="4" s="1"/>
  <c r="P547" i="4"/>
  <c r="W547" i="4" s="1"/>
  <c r="CE547" i="4" s="1"/>
  <c r="P549" i="4"/>
  <c r="W549" i="4" s="1"/>
  <c r="CE549" i="4" s="1"/>
  <c r="P551" i="4"/>
  <c r="W551" i="4" s="1"/>
  <c r="CE551" i="4" s="1"/>
  <c r="P553" i="4"/>
  <c r="W553" i="4" s="1"/>
  <c r="CE553" i="4" s="1"/>
  <c r="P557" i="4"/>
  <c r="W557" i="4" s="1"/>
  <c r="CE557" i="4" s="1"/>
  <c r="P561" i="4"/>
  <c r="CK561" i="4" s="1"/>
  <c r="P563" i="4"/>
  <c r="W563" i="4" s="1"/>
  <c r="CE563" i="4" s="1"/>
  <c r="P565" i="4"/>
  <c r="W565" i="4" s="1"/>
  <c r="CE565" i="4" s="1"/>
  <c r="P567" i="4"/>
  <c r="W567" i="4" s="1"/>
  <c r="CE567" i="4" s="1"/>
  <c r="P569" i="4"/>
  <c r="W569" i="4" s="1"/>
  <c r="CE569" i="4" s="1"/>
  <c r="P573" i="4"/>
  <c r="W573" i="4" s="1"/>
  <c r="CE573" i="4" s="1"/>
  <c r="P575" i="4"/>
  <c r="CK575" i="4" s="1"/>
  <c r="P577" i="4"/>
  <c r="W577" i="4" s="1"/>
  <c r="CE577" i="4" s="1"/>
  <c r="P583" i="4"/>
  <c r="CK583" i="4" s="1"/>
  <c r="P585" i="4"/>
  <c r="CK585" i="4" s="1"/>
  <c r="P587" i="4"/>
  <c r="W587" i="4" s="1"/>
  <c r="CE587" i="4" s="1"/>
  <c r="P589" i="4"/>
  <c r="W589" i="4" s="1"/>
  <c r="CE589" i="4" s="1"/>
  <c r="P591" i="4"/>
  <c r="W591" i="4" s="1"/>
  <c r="CE591" i="4" s="1"/>
  <c r="P593" i="4"/>
  <c r="W593" i="4" s="1"/>
  <c r="CE593" i="4" s="1"/>
  <c r="P595" i="4"/>
  <c r="W595" i="4" s="1"/>
  <c r="P597" i="4"/>
  <c r="CK597" i="4" s="1"/>
  <c r="P601" i="4"/>
  <c r="W601" i="4" s="1"/>
  <c r="CE601" i="4" s="1"/>
  <c r="P603" i="4"/>
  <c r="P605" i="4"/>
  <c r="W605" i="4" s="1"/>
  <c r="P607" i="4"/>
  <c r="W607" i="4" s="1"/>
  <c r="P609" i="4"/>
  <c r="W609" i="4" s="1"/>
  <c r="CE609" i="4" s="1"/>
  <c r="P613" i="4"/>
  <c r="W613" i="4" s="1"/>
  <c r="CE613" i="4" s="1"/>
  <c r="P615" i="4"/>
  <c r="W615" i="4" s="1"/>
  <c r="CE615" i="4" s="1"/>
  <c r="P617" i="4"/>
  <c r="P619" i="4"/>
  <c r="CK619" i="4" s="1"/>
  <c r="P621" i="4"/>
  <c r="W621" i="4" s="1"/>
  <c r="CE621" i="4" s="1"/>
  <c r="P623" i="4"/>
  <c r="W623" i="4" s="1"/>
  <c r="CE623" i="4" s="1"/>
  <c r="P627" i="4"/>
  <c r="CK627" i="4" s="1"/>
  <c r="P629" i="4"/>
  <c r="CK629" i="4" s="1"/>
  <c r="P633" i="4"/>
  <c r="W633" i="4" s="1"/>
  <c r="CE633" i="4" s="1"/>
  <c r="P635" i="4"/>
  <c r="CK635" i="4" s="1"/>
  <c r="P637" i="4"/>
  <c r="W637" i="4" s="1"/>
  <c r="CE637" i="4" s="1"/>
  <c r="P639" i="4"/>
  <c r="W639" i="4" s="1"/>
  <c r="CE639" i="4" s="1"/>
  <c r="P641" i="4"/>
  <c r="W641" i="4" s="1"/>
  <c r="CE641" i="4" s="1"/>
  <c r="P643" i="4"/>
  <c r="W643" i="4" s="1"/>
  <c r="CE643" i="4" s="1"/>
  <c r="P645" i="4"/>
  <c r="W645" i="4" s="1"/>
  <c r="CE645" i="4" s="1"/>
  <c r="P647" i="4"/>
  <c r="W647" i="4" s="1"/>
  <c r="CE647" i="4" s="1"/>
  <c r="P649" i="4"/>
  <c r="W649" i="4" s="1"/>
  <c r="P651" i="4"/>
  <c r="W651" i="4" s="1"/>
  <c r="CE651" i="4" s="1"/>
  <c r="P653" i="4"/>
  <c r="CK653" i="4" s="1"/>
  <c r="P655" i="4"/>
  <c r="W655" i="4" s="1"/>
  <c r="P657" i="4"/>
  <c r="W657" i="4" s="1"/>
  <c r="CE657" i="4" s="1"/>
  <c r="P659" i="4"/>
  <c r="W659" i="4" s="1"/>
  <c r="CE659" i="4" s="1"/>
  <c r="P661" i="4"/>
  <c r="W661" i="4" s="1"/>
  <c r="CE661" i="4" s="1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BW196" i="4"/>
  <c r="BW197" i="4"/>
  <c r="BW198" i="4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BW224" i="4"/>
  <c r="BW225" i="4"/>
  <c r="BW226" i="4"/>
  <c r="BW227" i="4"/>
  <c r="BW228" i="4"/>
  <c r="BW229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BW309" i="4"/>
  <c r="BW310" i="4"/>
  <c r="BW311" i="4"/>
  <c r="BW312" i="4"/>
  <c r="BW313" i="4"/>
  <c r="BW314" i="4"/>
  <c r="BW315" i="4"/>
  <c r="BW316" i="4"/>
  <c r="BW317" i="4"/>
  <c r="BW318" i="4"/>
  <c r="BW319" i="4"/>
  <c r="BW320" i="4"/>
  <c r="BW321" i="4"/>
  <c r="BW322" i="4"/>
  <c r="BW323" i="4"/>
  <c r="BW324" i="4"/>
  <c r="BW325" i="4"/>
  <c r="BW326" i="4"/>
  <c r="BW327" i="4"/>
  <c r="BW328" i="4"/>
  <c r="BW329" i="4"/>
  <c r="BW330" i="4"/>
  <c r="BW331" i="4"/>
  <c r="BW332" i="4"/>
  <c r="BW333" i="4"/>
  <c r="BW334" i="4"/>
  <c r="BW335" i="4"/>
  <c r="BW336" i="4"/>
  <c r="BW337" i="4"/>
  <c r="BW338" i="4"/>
  <c r="BW339" i="4"/>
  <c r="BW340" i="4"/>
  <c r="BW341" i="4"/>
  <c r="BW342" i="4"/>
  <c r="BW343" i="4"/>
  <c r="BW344" i="4"/>
  <c r="BW345" i="4"/>
  <c r="BW346" i="4"/>
  <c r="BW347" i="4"/>
  <c r="BW348" i="4"/>
  <c r="BW349" i="4"/>
  <c r="BW350" i="4"/>
  <c r="BW351" i="4"/>
  <c r="BW352" i="4"/>
  <c r="BW353" i="4"/>
  <c r="BW354" i="4"/>
  <c r="BW355" i="4"/>
  <c r="BW356" i="4"/>
  <c r="BW357" i="4"/>
  <c r="BW358" i="4"/>
  <c r="BW359" i="4"/>
  <c r="BW360" i="4"/>
  <c r="BW361" i="4"/>
  <c r="BW362" i="4"/>
  <c r="BW363" i="4"/>
  <c r="BW364" i="4"/>
  <c r="BW365" i="4"/>
  <c r="BW366" i="4"/>
  <c r="BW367" i="4"/>
  <c r="BW368" i="4"/>
  <c r="BW369" i="4"/>
  <c r="BW370" i="4"/>
  <c r="BW371" i="4"/>
  <c r="BW372" i="4"/>
  <c r="BW373" i="4"/>
  <c r="BW374" i="4"/>
  <c r="BW375" i="4"/>
  <c r="BW376" i="4"/>
  <c r="BW377" i="4"/>
  <c r="BW378" i="4"/>
  <c r="BW379" i="4"/>
  <c r="BW380" i="4"/>
  <c r="BW381" i="4"/>
  <c r="BW382" i="4"/>
  <c r="BW383" i="4"/>
  <c r="BW384" i="4"/>
  <c r="BW385" i="4"/>
  <c r="BW386" i="4"/>
  <c r="BW387" i="4"/>
  <c r="BW388" i="4"/>
  <c r="BW389" i="4"/>
  <c r="BW390" i="4"/>
  <c r="BW391" i="4"/>
  <c r="BW392" i="4"/>
  <c r="BW393" i="4"/>
  <c r="BW394" i="4"/>
  <c r="BW395" i="4"/>
  <c r="BW396" i="4"/>
  <c r="BW397" i="4"/>
  <c r="BW398" i="4"/>
  <c r="BW399" i="4"/>
  <c r="BW400" i="4"/>
  <c r="BW401" i="4"/>
  <c r="BW402" i="4"/>
  <c r="BW403" i="4"/>
  <c r="BW404" i="4"/>
  <c r="BW405" i="4"/>
  <c r="BW406" i="4"/>
  <c r="BW407" i="4"/>
  <c r="BW408" i="4"/>
  <c r="BW409" i="4"/>
  <c r="BW410" i="4"/>
  <c r="BW411" i="4"/>
  <c r="BW412" i="4"/>
  <c r="BW413" i="4"/>
  <c r="BW414" i="4"/>
  <c r="BW415" i="4"/>
  <c r="BW416" i="4"/>
  <c r="BW417" i="4"/>
  <c r="BW418" i="4"/>
  <c r="BW419" i="4"/>
  <c r="BW420" i="4"/>
  <c r="BW421" i="4"/>
  <c r="BW422" i="4"/>
  <c r="BW423" i="4"/>
  <c r="BW424" i="4"/>
  <c r="BW425" i="4"/>
  <c r="BW426" i="4"/>
  <c r="BW427" i="4"/>
  <c r="BW428" i="4"/>
  <c r="BW429" i="4"/>
  <c r="BW430" i="4"/>
  <c r="BW431" i="4"/>
  <c r="BW432" i="4"/>
  <c r="BW433" i="4"/>
  <c r="BW434" i="4"/>
  <c r="BW435" i="4"/>
  <c r="BW436" i="4"/>
  <c r="BW437" i="4"/>
  <c r="BW438" i="4"/>
  <c r="BW439" i="4"/>
  <c r="BW440" i="4"/>
  <c r="BW441" i="4"/>
  <c r="BW442" i="4"/>
  <c r="BW443" i="4"/>
  <c r="BW444" i="4"/>
  <c r="BW445" i="4"/>
  <c r="BW446" i="4"/>
  <c r="BW447" i="4"/>
  <c r="BW448" i="4"/>
  <c r="BW449" i="4"/>
  <c r="BW450" i="4"/>
  <c r="BW451" i="4"/>
  <c r="BW452" i="4"/>
  <c r="BW453" i="4"/>
  <c r="BW454" i="4"/>
  <c r="BW455" i="4"/>
  <c r="BW456" i="4"/>
  <c r="BW457" i="4"/>
  <c r="BW458" i="4"/>
  <c r="BW459" i="4"/>
  <c r="BW460" i="4"/>
  <c r="BW461" i="4"/>
  <c r="BW462" i="4"/>
  <c r="BW463" i="4"/>
  <c r="BW464" i="4"/>
  <c r="BW465" i="4"/>
  <c r="BW466" i="4"/>
  <c r="BW467" i="4"/>
  <c r="BW468" i="4"/>
  <c r="BW469" i="4"/>
  <c r="BW470" i="4"/>
  <c r="BW471" i="4"/>
  <c r="BW472" i="4"/>
  <c r="BW473" i="4"/>
  <c r="BW474" i="4"/>
  <c r="BW475" i="4"/>
  <c r="BW476" i="4"/>
  <c r="BW477" i="4"/>
  <c r="BW478" i="4"/>
  <c r="BW479" i="4"/>
  <c r="BW480" i="4"/>
  <c r="BW481" i="4"/>
  <c r="BW482" i="4"/>
  <c r="BW483" i="4"/>
  <c r="BW484" i="4"/>
  <c r="BW485" i="4"/>
  <c r="BW486" i="4"/>
  <c r="BW487" i="4"/>
  <c r="BW488" i="4"/>
  <c r="BW489" i="4"/>
  <c r="BW490" i="4"/>
  <c r="BW491" i="4"/>
  <c r="BW492" i="4"/>
  <c r="BW493" i="4"/>
  <c r="BW494" i="4"/>
  <c r="BW495" i="4"/>
  <c r="BW496" i="4"/>
  <c r="BW497" i="4"/>
  <c r="BW498" i="4"/>
  <c r="BW499" i="4"/>
  <c r="BW500" i="4"/>
  <c r="BW501" i="4"/>
  <c r="BW502" i="4"/>
  <c r="BW503" i="4"/>
  <c r="BW504" i="4"/>
  <c r="BW505" i="4"/>
  <c r="BW506" i="4"/>
  <c r="BW507" i="4"/>
  <c r="BW508" i="4"/>
  <c r="BW509" i="4"/>
  <c r="BW510" i="4"/>
  <c r="BW511" i="4"/>
  <c r="BW512" i="4"/>
  <c r="BW513" i="4"/>
  <c r="BW514" i="4"/>
  <c r="BW515" i="4"/>
  <c r="BW516" i="4"/>
  <c r="BW517" i="4"/>
  <c r="BW518" i="4"/>
  <c r="BW519" i="4"/>
  <c r="BW520" i="4"/>
  <c r="BW521" i="4"/>
  <c r="BW522" i="4"/>
  <c r="BW523" i="4"/>
  <c r="BW524" i="4"/>
  <c r="BW525" i="4"/>
  <c r="BW526" i="4"/>
  <c r="BW527" i="4"/>
  <c r="BW528" i="4"/>
  <c r="BW529" i="4"/>
  <c r="BW530" i="4"/>
  <c r="BW531" i="4"/>
  <c r="BW532" i="4"/>
  <c r="BW533" i="4"/>
  <c r="BW534" i="4"/>
  <c r="BW535" i="4"/>
  <c r="BW536" i="4"/>
  <c r="BW537" i="4"/>
  <c r="BW538" i="4"/>
  <c r="BW539" i="4"/>
  <c r="BW540" i="4"/>
  <c r="BW541" i="4"/>
  <c r="BW542" i="4"/>
  <c r="BW543" i="4"/>
  <c r="BW544" i="4"/>
  <c r="BW545" i="4"/>
  <c r="BW546" i="4"/>
  <c r="BW547" i="4"/>
  <c r="BW548" i="4"/>
  <c r="BW549" i="4"/>
  <c r="BW550" i="4"/>
  <c r="BW551" i="4"/>
  <c r="BW552" i="4"/>
  <c r="BW553" i="4"/>
  <c r="BW554" i="4"/>
  <c r="BW555" i="4"/>
  <c r="BW556" i="4"/>
  <c r="BW557" i="4"/>
  <c r="BW558" i="4"/>
  <c r="BW559" i="4"/>
  <c r="BW560" i="4"/>
  <c r="BW561" i="4"/>
  <c r="BW562" i="4"/>
  <c r="BW563" i="4"/>
  <c r="BW564" i="4"/>
  <c r="BW565" i="4"/>
  <c r="BW566" i="4"/>
  <c r="BW567" i="4"/>
  <c r="BW568" i="4"/>
  <c r="BW569" i="4"/>
  <c r="BW570" i="4"/>
  <c r="BW571" i="4"/>
  <c r="BW572" i="4"/>
  <c r="BW573" i="4"/>
  <c r="BW574" i="4"/>
  <c r="BW575" i="4"/>
  <c r="BW576" i="4"/>
  <c r="BW577" i="4"/>
  <c r="BW578" i="4"/>
  <c r="BW579" i="4"/>
  <c r="BW580" i="4"/>
  <c r="BW581" i="4"/>
  <c r="BW582" i="4"/>
  <c r="BW583" i="4"/>
  <c r="BW584" i="4"/>
  <c r="BW585" i="4"/>
  <c r="BW586" i="4"/>
  <c r="BW587" i="4"/>
  <c r="BW588" i="4"/>
  <c r="BW589" i="4"/>
  <c r="BW590" i="4"/>
  <c r="BW591" i="4"/>
  <c r="BW592" i="4"/>
  <c r="BW593" i="4"/>
  <c r="BW594" i="4"/>
  <c r="BW595" i="4"/>
  <c r="BW596" i="4"/>
  <c r="BW597" i="4"/>
  <c r="BW598" i="4"/>
  <c r="BW599" i="4"/>
  <c r="BW600" i="4"/>
  <c r="BW601" i="4"/>
  <c r="BW602" i="4"/>
  <c r="BW603" i="4"/>
  <c r="BW604" i="4"/>
  <c r="BW605" i="4"/>
  <c r="BW606" i="4"/>
  <c r="BW607" i="4"/>
  <c r="BW608" i="4"/>
  <c r="BW609" i="4"/>
  <c r="BW610" i="4"/>
  <c r="BW611" i="4"/>
  <c r="BW612" i="4"/>
  <c r="BW613" i="4"/>
  <c r="BW614" i="4"/>
  <c r="BW615" i="4"/>
  <c r="BW616" i="4"/>
  <c r="BW617" i="4"/>
  <c r="BW618" i="4"/>
  <c r="BW619" i="4"/>
  <c r="BW620" i="4"/>
  <c r="BW621" i="4"/>
  <c r="BW622" i="4"/>
  <c r="BW623" i="4"/>
  <c r="BW624" i="4"/>
  <c r="BW625" i="4"/>
  <c r="BW626" i="4"/>
  <c r="BW627" i="4"/>
  <c r="BW628" i="4"/>
  <c r="BW629" i="4"/>
  <c r="BW630" i="4"/>
  <c r="BW631" i="4"/>
  <c r="BW632" i="4"/>
  <c r="BW633" i="4"/>
  <c r="BW634" i="4"/>
  <c r="BW635" i="4"/>
  <c r="BW636" i="4"/>
  <c r="BW637" i="4"/>
  <c r="BW638" i="4"/>
  <c r="BW639" i="4"/>
  <c r="BW640" i="4"/>
  <c r="BW641" i="4"/>
  <c r="BW642" i="4"/>
  <c r="BW643" i="4"/>
  <c r="BW644" i="4"/>
  <c r="BW645" i="4"/>
  <c r="BW646" i="4"/>
  <c r="BW647" i="4"/>
  <c r="BW648" i="4"/>
  <c r="BW649" i="4"/>
  <c r="BW650" i="4"/>
  <c r="BW651" i="4"/>
  <c r="BW652" i="4"/>
  <c r="BW653" i="4"/>
  <c r="BW654" i="4"/>
  <c r="BW655" i="4"/>
  <c r="BW656" i="4"/>
  <c r="BW657" i="4"/>
  <c r="BW658" i="4"/>
  <c r="BW659" i="4"/>
  <c r="BW660" i="4"/>
  <c r="BW661" i="4"/>
  <c r="BW662" i="4"/>
  <c r="BW663" i="4"/>
  <c r="BW664" i="4"/>
  <c r="BW665" i="4"/>
  <c r="BD42" i="4"/>
  <c r="L3" i="4"/>
  <c r="H3" i="5"/>
  <c r="E3" i="5"/>
  <c r="B3" i="5"/>
  <c r="H2" i="5"/>
  <c r="E2" i="5"/>
  <c r="B2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493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BT534" i="4"/>
  <c r="BU534" i="4"/>
  <c r="BT535" i="4"/>
  <c r="BU535" i="4"/>
  <c r="CA535" i="4"/>
  <c r="CG535" i="4"/>
  <c r="CJ535" i="4"/>
  <c r="BT536" i="4"/>
  <c r="BU536" i="4"/>
  <c r="BT537" i="4"/>
  <c r="BU537" i="4"/>
  <c r="CF537" i="4"/>
  <c r="CI537" i="4"/>
  <c r="BT538" i="4"/>
  <c r="BU538" i="4"/>
  <c r="BT539" i="4"/>
  <c r="BU539" i="4"/>
  <c r="CD539" i="4"/>
  <c r="CJ539" i="4"/>
  <c r="BT540" i="4"/>
  <c r="BU540" i="4"/>
  <c r="BT541" i="4"/>
  <c r="BU541" i="4"/>
  <c r="CF541" i="4"/>
  <c r="BT542" i="4"/>
  <c r="BU542" i="4"/>
  <c r="BT543" i="4"/>
  <c r="BU543" i="4"/>
  <c r="BZ543" i="4"/>
  <c r="CC543" i="4"/>
  <c r="CF543" i="4"/>
  <c r="CH543" i="4"/>
  <c r="CI543" i="4"/>
  <c r="BT544" i="4"/>
  <c r="BU544" i="4"/>
  <c r="BT545" i="4"/>
  <c r="BU545" i="4"/>
  <c r="BT546" i="4"/>
  <c r="BU546" i="4"/>
  <c r="BT547" i="4"/>
  <c r="BU547" i="4"/>
  <c r="BT548" i="4"/>
  <c r="BU548" i="4"/>
  <c r="BT549" i="4"/>
  <c r="BU549" i="4"/>
  <c r="BZ549" i="4"/>
  <c r="CF549" i="4"/>
  <c r="CG549" i="4"/>
  <c r="CH549" i="4"/>
  <c r="CI549" i="4"/>
  <c r="BT550" i="4"/>
  <c r="BU550" i="4"/>
  <c r="BT551" i="4"/>
  <c r="BU551" i="4"/>
  <c r="CJ551" i="4"/>
  <c r="BT552" i="4"/>
  <c r="BU552" i="4"/>
  <c r="BT553" i="4"/>
  <c r="BU553" i="4"/>
  <c r="CF553" i="4"/>
  <c r="BT554" i="4"/>
  <c r="BU554" i="4"/>
  <c r="BT555" i="4"/>
  <c r="BU555" i="4"/>
  <c r="BT556" i="4"/>
  <c r="BU556" i="4"/>
  <c r="BT557" i="4"/>
  <c r="BU557" i="4"/>
  <c r="CC557" i="4"/>
  <c r="CF557" i="4"/>
  <c r="CI557" i="4"/>
  <c r="BT558" i="4"/>
  <c r="BU558" i="4"/>
  <c r="BT559" i="4"/>
  <c r="BU559" i="4"/>
  <c r="BT560" i="4"/>
  <c r="BU560" i="4"/>
  <c r="BT561" i="4"/>
  <c r="BU561" i="4"/>
  <c r="BZ561" i="4"/>
  <c r="CF561" i="4"/>
  <c r="BT562" i="4"/>
  <c r="BU562" i="4"/>
  <c r="BT563" i="4"/>
  <c r="BU563" i="4"/>
  <c r="CI563" i="4"/>
  <c r="BT564" i="4"/>
  <c r="BU564" i="4"/>
  <c r="BT565" i="4"/>
  <c r="BU565" i="4"/>
  <c r="BZ565" i="4"/>
  <c r="CF565" i="4"/>
  <c r="CH565" i="4"/>
  <c r="BT566" i="4"/>
  <c r="BU566" i="4"/>
  <c r="BT567" i="4"/>
  <c r="BU567" i="4"/>
  <c r="CI567" i="4"/>
  <c r="CK567" i="4"/>
  <c r="BT568" i="4"/>
  <c r="BU568" i="4"/>
  <c r="BT569" i="4"/>
  <c r="BU569" i="4"/>
  <c r="CF569" i="4"/>
  <c r="CJ569" i="4"/>
  <c r="BT570" i="4"/>
  <c r="BU570" i="4"/>
  <c r="BT571" i="4"/>
  <c r="BU571" i="4"/>
  <c r="BT572" i="4"/>
  <c r="BU572" i="4"/>
  <c r="BT573" i="4"/>
  <c r="BU573" i="4"/>
  <c r="CC573" i="4"/>
  <c r="CF573" i="4"/>
  <c r="BT574" i="4"/>
  <c r="BU574" i="4"/>
  <c r="BT575" i="4"/>
  <c r="BU575" i="4"/>
  <c r="CI575" i="4"/>
  <c r="BT576" i="4"/>
  <c r="BU576" i="4"/>
  <c r="BT577" i="4"/>
  <c r="BU577" i="4"/>
  <c r="CD577" i="4"/>
  <c r="CF577" i="4"/>
  <c r="CJ577" i="4"/>
  <c r="BT578" i="4"/>
  <c r="BU578" i="4"/>
  <c r="BT579" i="4"/>
  <c r="BU579" i="4"/>
  <c r="BT580" i="4"/>
  <c r="BU580" i="4"/>
  <c r="BT581" i="4"/>
  <c r="BU581" i="4"/>
  <c r="BT582" i="4"/>
  <c r="BU582" i="4"/>
  <c r="BT583" i="4"/>
  <c r="BU583" i="4"/>
  <c r="BZ583" i="4"/>
  <c r="CF583" i="4"/>
  <c r="CH583" i="4"/>
  <c r="CI583" i="4"/>
  <c r="BT584" i="4"/>
  <c r="BU584" i="4"/>
  <c r="BT585" i="4"/>
  <c r="BU585" i="4"/>
  <c r="CB585" i="4"/>
  <c r="CF585" i="4"/>
  <c r="CH585" i="4"/>
  <c r="CI585" i="4"/>
  <c r="CJ585" i="4"/>
  <c r="BT586" i="4"/>
  <c r="BU586" i="4"/>
  <c r="BT587" i="4"/>
  <c r="BU587" i="4"/>
  <c r="CD587" i="4"/>
  <c r="CG587" i="4"/>
  <c r="CH587" i="4"/>
  <c r="CI587" i="4"/>
  <c r="BT588" i="4"/>
  <c r="BU588" i="4"/>
  <c r="BT589" i="4"/>
  <c r="BU589" i="4"/>
  <c r="CF589" i="4"/>
  <c r="CJ589" i="4"/>
  <c r="BT590" i="4"/>
  <c r="BU590" i="4"/>
  <c r="BT591" i="4"/>
  <c r="BU591" i="4"/>
  <c r="CC591" i="4"/>
  <c r="CI591" i="4"/>
  <c r="CJ591" i="4"/>
  <c r="BT592" i="4"/>
  <c r="BU592" i="4"/>
  <c r="BT593" i="4"/>
  <c r="BU593" i="4"/>
  <c r="CD593" i="4"/>
  <c r="CF593" i="4"/>
  <c r="CI593" i="4"/>
  <c r="BT594" i="4"/>
  <c r="BU594" i="4"/>
  <c r="BT595" i="4"/>
  <c r="BU595" i="4"/>
  <c r="CC595" i="4"/>
  <c r="CE595" i="4"/>
  <c r="CG595" i="4"/>
  <c r="CI595" i="4"/>
  <c r="CJ595" i="4"/>
  <c r="BT596" i="4"/>
  <c r="BU596" i="4"/>
  <c r="BT597" i="4"/>
  <c r="BU597" i="4"/>
  <c r="BZ597" i="4"/>
  <c r="CF597" i="4"/>
  <c r="CI597" i="4"/>
  <c r="CJ597" i="4"/>
  <c r="BT598" i="4"/>
  <c r="BU598" i="4"/>
  <c r="BT599" i="4"/>
  <c r="BU599" i="4"/>
  <c r="CD599" i="4"/>
  <c r="CI599" i="4"/>
  <c r="CJ599" i="4"/>
  <c r="BT600" i="4"/>
  <c r="BU600" i="4"/>
  <c r="BT601" i="4"/>
  <c r="BU601" i="4"/>
  <c r="CB601" i="4"/>
  <c r="CF601" i="4"/>
  <c r="CH601" i="4"/>
  <c r="CJ601" i="4"/>
  <c r="CK601" i="4"/>
  <c r="BT602" i="4"/>
  <c r="BU602" i="4"/>
  <c r="BT603" i="4"/>
  <c r="BU603" i="4"/>
  <c r="BZ603" i="4"/>
  <c r="CD603" i="4"/>
  <c r="CF603" i="4"/>
  <c r="CJ603" i="4"/>
  <c r="BT604" i="4"/>
  <c r="BU604" i="4"/>
  <c r="BT605" i="4"/>
  <c r="BU605" i="4"/>
  <c r="BZ605" i="4"/>
  <c r="CE605" i="4"/>
  <c r="CF605" i="4"/>
  <c r="BT606" i="4"/>
  <c r="BU606" i="4"/>
  <c r="BT607" i="4"/>
  <c r="BU607" i="4"/>
  <c r="CE607" i="4"/>
  <c r="CK607" i="4"/>
  <c r="BT608" i="4"/>
  <c r="BU608" i="4"/>
  <c r="BT609" i="4"/>
  <c r="BU609" i="4"/>
  <c r="CF609" i="4"/>
  <c r="BT610" i="4"/>
  <c r="BU610" i="4"/>
  <c r="BT611" i="4"/>
  <c r="BU611" i="4"/>
  <c r="BT612" i="4"/>
  <c r="BU612" i="4"/>
  <c r="BT613" i="4"/>
  <c r="BU613" i="4"/>
  <c r="BZ613" i="4"/>
  <c r="CF613" i="4"/>
  <c r="CG613" i="4"/>
  <c r="CH613" i="4"/>
  <c r="BT614" i="4"/>
  <c r="BU614" i="4"/>
  <c r="BT615" i="4"/>
  <c r="BU615" i="4"/>
  <c r="CC615" i="4"/>
  <c r="CI615" i="4"/>
  <c r="BT616" i="4"/>
  <c r="BU616" i="4"/>
  <c r="BT617" i="4"/>
  <c r="BU617" i="4"/>
  <c r="BZ617" i="4"/>
  <c r="CB617" i="4"/>
  <c r="CF617" i="4"/>
  <c r="CH617" i="4"/>
  <c r="BT618" i="4"/>
  <c r="BU618" i="4"/>
  <c r="BT619" i="4"/>
  <c r="BU619" i="4"/>
  <c r="CC619" i="4"/>
  <c r="CI619" i="4"/>
  <c r="BT620" i="4"/>
  <c r="BU620" i="4"/>
  <c r="BT621" i="4"/>
  <c r="BU621" i="4"/>
  <c r="CF621" i="4"/>
  <c r="CJ621" i="4"/>
  <c r="BT622" i="4"/>
  <c r="BU622" i="4"/>
  <c r="BT623" i="4"/>
  <c r="BU623" i="4"/>
  <c r="CD623" i="4"/>
  <c r="CI623" i="4"/>
  <c r="CK623" i="4"/>
  <c r="BT624" i="4"/>
  <c r="BU624" i="4"/>
  <c r="BT625" i="4"/>
  <c r="BU625" i="4"/>
  <c r="BT626" i="4"/>
  <c r="BU626" i="4"/>
  <c r="BT627" i="4"/>
  <c r="BU627" i="4"/>
  <c r="CF627" i="4"/>
  <c r="CJ627" i="4"/>
  <c r="BT628" i="4"/>
  <c r="BU628" i="4"/>
  <c r="BT629" i="4"/>
  <c r="BU629" i="4"/>
  <c r="BZ629" i="4"/>
  <c r="CB629" i="4"/>
  <c r="CF629" i="4"/>
  <c r="CH629" i="4"/>
  <c r="BT630" i="4"/>
  <c r="BU630" i="4"/>
  <c r="BT631" i="4"/>
  <c r="BU631" i="4"/>
  <c r="BT632" i="4"/>
  <c r="BU632" i="4"/>
  <c r="BT633" i="4"/>
  <c r="BU633" i="4"/>
  <c r="CB633" i="4"/>
  <c r="CF633" i="4"/>
  <c r="CH633" i="4"/>
  <c r="CI633" i="4"/>
  <c r="BT634" i="4"/>
  <c r="BU634" i="4"/>
  <c r="BT635" i="4"/>
  <c r="BU635" i="4"/>
  <c r="CB635" i="4"/>
  <c r="CH635" i="4"/>
  <c r="CI635" i="4"/>
  <c r="BT636" i="4"/>
  <c r="BU636" i="4"/>
  <c r="BT637" i="4"/>
  <c r="BU637" i="4"/>
  <c r="BZ637" i="4"/>
  <c r="CD637" i="4"/>
  <c r="CF637" i="4"/>
  <c r="CH637" i="4"/>
  <c r="CJ637" i="4"/>
  <c r="BT638" i="4"/>
  <c r="BU638" i="4"/>
  <c r="BT639" i="4"/>
  <c r="BU639" i="4"/>
  <c r="CI639" i="4"/>
  <c r="BT640" i="4"/>
  <c r="BU640" i="4"/>
  <c r="BT641" i="4"/>
  <c r="BU641" i="4"/>
  <c r="CF641" i="4"/>
  <c r="BT642" i="4"/>
  <c r="BU642" i="4"/>
  <c r="BT643" i="4"/>
  <c r="BU643" i="4"/>
  <c r="CI643" i="4"/>
  <c r="CJ643" i="4"/>
  <c r="CK643" i="4"/>
  <c r="BT644" i="4"/>
  <c r="BU644" i="4"/>
  <c r="BT645" i="4"/>
  <c r="BU645" i="4"/>
  <c r="CF645" i="4"/>
  <c r="CI645" i="4"/>
  <c r="CJ645" i="4"/>
  <c r="BT646" i="4"/>
  <c r="BU646" i="4"/>
  <c r="BT647" i="4"/>
  <c r="BU647" i="4"/>
  <c r="BZ647" i="4"/>
  <c r="CF647" i="4"/>
  <c r="CI647" i="4"/>
  <c r="BT648" i="4"/>
  <c r="BU648" i="4"/>
  <c r="BT649" i="4"/>
  <c r="BU649" i="4"/>
  <c r="BZ649" i="4"/>
  <c r="CE649" i="4"/>
  <c r="CF649" i="4"/>
  <c r="CI649" i="4"/>
  <c r="CK649" i="4"/>
  <c r="BT650" i="4"/>
  <c r="BU650" i="4"/>
  <c r="BT651" i="4"/>
  <c r="BU651" i="4"/>
  <c r="CD651" i="4"/>
  <c r="BT652" i="4"/>
  <c r="BU652" i="4"/>
  <c r="BT653" i="4"/>
  <c r="BU653" i="4"/>
  <c r="BZ653" i="4"/>
  <c r="CF653" i="4"/>
  <c r="CJ653" i="4"/>
  <c r="BT654" i="4"/>
  <c r="BU654" i="4"/>
  <c r="BT655" i="4"/>
  <c r="BU655" i="4"/>
  <c r="CC655" i="4"/>
  <c r="CE655" i="4"/>
  <c r="CI655" i="4"/>
  <c r="BT656" i="4"/>
  <c r="BU656" i="4"/>
  <c r="BT657" i="4"/>
  <c r="BU657" i="4"/>
  <c r="CC657" i="4"/>
  <c r="CF657" i="4"/>
  <c r="CI657" i="4"/>
  <c r="CK657" i="4"/>
  <c r="BT658" i="4"/>
  <c r="BU658" i="4"/>
  <c r="BT659" i="4"/>
  <c r="BU659" i="4"/>
  <c r="CI659" i="4"/>
  <c r="BT660" i="4"/>
  <c r="BU660" i="4"/>
  <c r="BT661" i="4"/>
  <c r="BU661" i="4"/>
  <c r="CI661" i="4"/>
  <c r="CJ661" i="4"/>
  <c r="BT662" i="4"/>
  <c r="BU662" i="4"/>
  <c r="BT663" i="4"/>
  <c r="BU663" i="4"/>
  <c r="BT664" i="4"/>
  <c r="BU664" i="4"/>
  <c r="BT665" i="4"/>
  <c r="BU665" i="4"/>
  <c r="BT533" i="4"/>
  <c r="BU533" i="4"/>
  <c r="CF533" i="4"/>
  <c r="CI533" i="4"/>
  <c r="CJ533" i="4"/>
  <c r="BU42" i="4"/>
  <c r="CF42" i="4"/>
  <c r="CF43" i="4"/>
  <c r="CF51" i="4"/>
  <c r="CF65" i="4"/>
  <c r="CF69" i="4"/>
  <c r="CF83" i="4"/>
  <c r="CF115" i="4"/>
  <c r="CF131" i="4"/>
  <c r="CF147" i="4"/>
  <c r="CF149" i="4"/>
  <c r="CF155" i="4"/>
  <c r="CF179" i="4"/>
  <c r="CF193" i="4"/>
  <c r="CF215" i="4"/>
  <c r="CF223" i="4"/>
  <c r="CF229" i="4"/>
  <c r="CF257" i="4"/>
  <c r="CF277" i="4"/>
  <c r="CF289" i="4"/>
  <c r="CF305" i="4"/>
  <c r="CF311" i="4"/>
  <c r="CF323" i="4"/>
  <c r="CF339" i="4"/>
  <c r="CF341" i="4"/>
  <c r="CF343" i="4"/>
  <c r="CF363" i="4"/>
  <c r="CF371" i="4"/>
  <c r="CF379" i="4"/>
  <c r="CF383" i="4"/>
  <c r="CF391" i="4"/>
  <c r="CF399" i="4"/>
  <c r="CF419" i="4"/>
  <c r="CF427" i="4"/>
  <c r="CF443" i="4"/>
  <c r="CF467" i="4"/>
  <c r="CF477" i="4"/>
  <c r="CF479" i="4"/>
  <c r="CF481" i="4"/>
  <c r="CF485" i="4"/>
  <c r="CF489" i="4"/>
  <c r="CF491" i="4"/>
  <c r="CF493" i="4"/>
  <c r="CF497" i="4"/>
  <c r="CF501" i="4"/>
  <c r="CF509" i="4"/>
  <c r="CF513" i="4"/>
  <c r="CF517" i="4"/>
  <c r="CF521" i="4"/>
  <c r="CF525" i="4"/>
  <c r="CF529" i="4"/>
  <c r="CF531" i="4"/>
  <c r="BZ65" i="4"/>
  <c r="BZ69" i="4"/>
  <c r="BZ83" i="4"/>
  <c r="BZ131" i="4"/>
  <c r="BZ149" i="4"/>
  <c r="BZ155" i="4"/>
  <c r="BZ179" i="4"/>
  <c r="BZ193" i="4"/>
  <c r="BZ215" i="4"/>
  <c r="BZ223" i="4"/>
  <c r="BZ257" i="4"/>
  <c r="BZ289" i="4"/>
  <c r="BZ311" i="4"/>
  <c r="BZ323" i="4"/>
  <c r="BZ335" i="4"/>
  <c r="BZ339" i="4"/>
  <c r="BZ341" i="4"/>
  <c r="BZ343" i="4"/>
  <c r="BZ363" i="4"/>
  <c r="BZ371" i="4"/>
  <c r="BZ379" i="4"/>
  <c r="BZ399" i="4"/>
  <c r="BZ419" i="4"/>
  <c r="BZ443" i="4"/>
  <c r="BZ467" i="4"/>
  <c r="BZ479" i="4"/>
  <c r="BZ481" i="4"/>
  <c r="BZ493" i="4"/>
  <c r="BZ501" i="4"/>
  <c r="BZ513" i="4"/>
  <c r="BZ529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CG42" i="4"/>
  <c r="CG49" i="4"/>
  <c r="CG51" i="4"/>
  <c r="CG55" i="4"/>
  <c r="CG59" i="4"/>
  <c r="CG61" i="4"/>
  <c r="CG63" i="4"/>
  <c r="CG65" i="4"/>
  <c r="CG67" i="4"/>
  <c r="CG69" i="4"/>
  <c r="CG73" i="4"/>
  <c r="CG75" i="4"/>
  <c r="CG77" i="4"/>
  <c r="CG79" i="4"/>
  <c r="CG83" i="4"/>
  <c r="CG97" i="4"/>
  <c r="CG103" i="4"/>
  <c r="CG105" i="4"/>
  <c r="CG109" i="4"/>
  <c r="CG111" i="4"/>
  <c r="CG115" i="4"/>
  <c r="CG117" i="4"/>
  <c r="CG127" i="4"/>
  <c r="CG129" i="4"/>
  <c r="CG131" i="4"/>
  <c r="CG133" i="4"/>
  <c r="CG135" i="4"/>
  <c r="CG137" i="4"/>
  <c r="CG139" i="4"/>
  <c r="CG141" i="4"/>
  <c r="CG143" i="4"/>
  <c r="CG147" i="4"/>
  <c r="CG157" i="4"/>
  <c r="CG161" i="4"/>
  <c r="CG163" i="4"/>
  <c r="CG169" i="4"/>
  <c r="CG175" i="4"/>
  <c r="CG181" i="4"/>
  <c r="CG185" i="4"/>
  <c r="CG187" i="4"/>
  <c r="CG193" i="4"/>
  <c r="CG195" i="4"/>
  <c r="CG197" i="4"/>
  <c r="CG219" i="4"/>
  <c r="CG229" i="4"/>
  <c r="CG235" i="4"/>
  <c r="CG239" i="4"/>
  <c r="CG241" i="4"/>
  <c r="CG251" i="4"/>
  <c r="CG255" i="4"/>
  <c r="CG277" i="4"/>
  <c r="CG291" i="4"/>
  <c r="CG295" i="4"/>
  <c r="CG315" i="4"/>
  <c r="CG327" i="4"/>
  <c r="CG331" i="4"/>
  <c r="CG337" i="4"/>
  <c r="CG339" i="4"/>
  <c r="CG353" i="4"/>
  <c r="CG355" i="4"/>
  <c r="CG357" i="4"/>
  <c r="CG363" i="4"/>
  <c r="CG389" i="4"/>
  <c r="CG393" i="4"/>
  <c r="CG445" i="4"/>
  <c r="CG449" i="4"/>
  <c r="CG457" i="4"/>
  <c r="CG487" i="4"/>
  <c r="CG489" i="4"/>
  <c r="CG499" i="4"/>
  <c r="CH42" i="4"/>
  <c r="CH43" i="4"/>
  <c r="CH47" i="4"/>
  <c r="CH49" i="4"/>
  <c r="CH57" i="4"/>
  <c r="CH63" i="4"/>
  <c r="CH65" i="4"/>
  <c r="CH69" i="4"/>
  <c r="CH73" i="4"/>
  <c r="CH75" i="4"/>
  <c r="CH77" i="4"/>
  <c r="CH79" i="4"/>
  <c r="CH83" i="4"/>
  <c r="CH87" i="4"/>
  <c r="CH89" i="4"/>
  <c r="CH97" i="4"/>
  <c r="CH99" i="4"/>
  <c r="CH101" i="4"/>
  <c r="CH103" i="4"/>
  <c r="CH115" i="4"/>
  <c r="CH119" i="4"/>
  <c r="CH121" i="4"/>
  <c r="CH123" i="4"/>
  <c r="CH125" i="4"/>
  <c r="CH127" i="4"/>
  <c r="CH131" i="4"/>
  <c r="CH133" i="4"/>
  <c r="CH135" i="4"/>
  <c r="CH137" i="4"/>
  <c r="CH139" i="4"/>
  <c r="CH141" i="4"/>
  <c r="CH143" i="4"/>
  <c r="CH145" i="4"/>
  <c r="CH149" i="4"/>
  <c r="CH153" i="4"/>
  <c r="CH165" i="4"/>
  <c r="CH169" i="4"/>
  <c r="CH171" i="4"/>
  <c r="CH175" i="4"/>
  <c r="CH179" i="4"/>
  <c r="CH181" i="4"/>
  <c r="CH187" i="4"/>
  <c r="CH193" i="4"/>
  <c r="CH195" i="4"/>
  <c r="CH201" i="4"/>
  <c r="CH209" i="4"/>
  <c r="CH211" i="4"/>
  <c r="CH215" i="4"/>
  <c r="CH217" i="4"/>
  <c r="CH219" i="4"/>
  <c r="CH231" i="4"/>
  <c r="CH235" i="4"/>
  <c r="CH241" i="4"/>
  <c r="CH243" i="4"/>
  <c r="CH251" i="4"/>
  <c r="CH255" i="4"/>
  <c r="CH257" i="4"/>
  <c r="CH261" i="4"/>
  <c r="CH263" i="4"/>
  <c r="CH265" i="4"/>
  <c r="CH267" i="4"/>
  <c r="CH271" i="4"/>
  <c r="CH273" i="4"/>
  <c r="CH279" i="4"/>
  <c r="CH293" i="4"/>
  <c r="CH297" i="4"/>
  <c r="CH305" i="4"/>
  <c r="CH309" i="4"/>
  <c r="CH311" i="4"/>
  <c r="CH317" i="4"/>
  <c r="CH319" i="4"/>
  <c r="CH327" i="4"/>
  <c r="CH329" i="4"/>
  <c r="CH337" i="4"/>
  <c r="CH339" i="4"/>
  <c r="CH341" i="4"/>
  <c r="CH345" i="4"/>
  <c r="CH347" i="4"/>
  <c r="CH357" i="4"/>
  <c r="CH359" i="4"/>
  <c r="CH365" i="4"/>
  <c r="CH369" i="4"/>
  <c r="CH373" i="4"/>
  <c r="CH383" i="4"/>
  <c r="CH385" i="4"/>
  <c r="CH387" i="4"/>
  <c r="CH389" i="4"/>
  <c r="CH395" i="4"/>
  <c r="CH399" i="4"/>
  <c r="CH401" i="4"/>
  <c r="CH425" i="4"/>
  <c r="CH427" i="4"/>
  <c r="CH431" i="4"/>
  <c r="CH435" i="4"/>
  <c r="CH441" i="4"/>
  <c r="CH447" i="4"/>
  <c r="CH451" i="4"/>
  <c r="CH453" i="4"/>
  <c r="CH455" i="4"/>
  <c r="CH457" i="4"/>
  <c r="CH461" i="4"/>
  <c r="CH463" i="4"/>
  <c r="CH467" i="4"/>
  <c r="CH471" i="4"/>
  <c r="CH489" i="4"/>
  <c r="CH495" i="4"/>
  <c r="CH497" i="4"/>
  <c r="CH499" i="4"/>
  <c r="CH501" i="4"/>
  <c r="CH507" i="4"/>
  <c r="CH523" i="4"/>
  <c r="CI42" i="4"/>
  <c r="CI43" i="4"/>
  <c r="CI49" i="4"/>
  <c r="CI51" i="4"/>
  <c r="CI55" i="4"/>
  <c r="CI59" i="4"/>
  <c r="CI61" i="4"/>
  <c r="CI67" i="4"/>
  <c r="CI69" i="4"/>
  <c r="CI73" i="4"/>
  <c r="CI75" i="4"/>
  <c r="CI77" i="4"/>
  <c r="CI79" i="4"/>
  <c r="CI83" i="4"/>
  <c r="CI87" i="4"/>
  <c r="CI89" i="4"/>
  <c r="CI95" i="4"/>
  <c r="CI99" i="4"/>
  <c r="CI101" i="4"/>
  <c r="CI103" i="4"/>
  <c r="CI105" i="4"/>
  <c r="CI109" i="4"/>
  <c r="CI111" i="4"/>
  <c r="CI115" i="4"/>
  <c r="CI117" i="4"/>
  <c r="CI119" i="4"/>
  <c r="CI121" i="4"/>
  <c r="CI125" i="4"/>
  <c r="CI129" i="4"/>
  <c r="CI131" i="4"/>
  <c r="CI133" i="4"/>
  <c r="CI137" i="4"/>
  <c r="CI139" i="4"/>
  <c r="CI141" i="4"/>
  <c r="CI147" i="4"/>
  <c r="CI149" i="4"/>
  <c r="CI153" i="4"/>
  <c r="CI155" i="4"/>
  <c r="CI157" i="4"/>
  <c r="CI159" i="4"/>
  <c r="CI163" i="4"/>
  <c r="CI165" i="4"/>
  <c r="CI169" i="4"/>
  <c r="CI171" i="4"/>
  <c r="CI173" i="4"/>
  <c r="CI175" i="4"/>
  <c r="CI179" i="4"/>
  <c r="CI181" i="4"/>
  <c r="CI183" i="4"/>
  <c r="CI187" i="4"/>
  <c r="CI191" i="4"/>
  <c r="CI193" i="4"/>
  <c r="CI195" i="4"/>
  <c r="CI197" i="4"/>
  <c r="CI199" i="4"/>
  <c r="CI201" i="4"/>
  <c r="CI207" i="4"/>
  <c r="CI209" i="4"/>
  <c r="CI211" i="4"/>
  <c r="CI215" i="4"/>
  <c r="CI219" i="4"/>
  <c r="CI221" i="4"/>
  <c r="CI229" i="4"/>
  <c r="CI231" i="4"/>
  <c r="CI233" i="4"/>
  <c r="CI235" i="4"/>
  <c r="CI239" i="4"/>
  <c r="CI241" i="4"/>
  <c r="CI245" i="4"/>
  <c r="CI251" i="4"/>
  <c r="CI255" i="4"/>
  <c r="CI257" i="4"/>
  <c r="CI259" i="4"/>
  <c r="CI261" i="4"/>
  <c r="CI263" i="4"/>
  <c r="CI267" i="4"/>
  <c r="CI271" i="4"/>
  <c r="CI273" i="4"/>
  <c r="CI277" i="4"/>
  <c r="CI281" i="4"/>
  <c r="CI289" i="4"/>
  <c r="CI291" i="4"/>
  <c r="CI293" i="4"/>
  <c r="CI295" i="4"/>
  <c r="CI307" i="4"/>
  <c r="CI309" i="4"/>
  <c r="CI315" i="4"/>
  <c r="CI319" i="4"/>
  <c r="CI321" i="4"/>
  <c r="CI323" i="4"/>
  <c r="CI327" i="4"/>
  <c r="CI337" i="4"/>
  <c r="CI339" i="4"/>
  <c r="CI341" i="4"/>
  <c r="CI343" i="4"/>
  <c r="CI345" i="4"/>
  <c r="CI347" i="4"/>
  <c r="CI355" i="4"/>
  <c r="CI357" i="4"/>
  <c r="CI359" i="4"/>
  <c r="CI363" i="4"/>
  <c r="CI365" i="4"/>
  <c r="CI367" i="4"/>
  <c r="CI371" i="4"/>
  <c r="CI373" i="4"/>
  <c r="CI381" i="4"/>
  <c r="CI383" i="4"/>
  <c r="CI387" i="4"/>
  <c r="CI389" i="4"/>
  <c r="CI391" i="4"/>
  <c r="CI393" i="4"/>
  <c r="CI399" i="4"/>
  <c r="CI401" i="4"/>
  <c r="CI405" i="4"/>
  <c r="CI407" i="4"/>
  <c r="CI409" i="4"/>
  <c r="CI419" i="4"/>
  <c r="CI421" i="4"/>
  <c r="CI427" i="4"/>
  <c r="CI429" i="4"/>
  <c r="CI431" i="4"/>
  <c r="CI433" i="4"/>
  <c r="CI437" i="4"/>
  <c r="CI441" i="4"/>
  <c r="CI447" i="4"/>
  <c r="CI449" i="4"/>
  <c r="CI451" i="4"/>
  <c r="CI453" i="4"/>
  <c r="CI457" i="4"/>
  <c r="CI461" i="4"/>
  <c r="CI463" i="4"/>
  <c r="CI465" i="4"/>
  <c r="CI473" i="4"/>
  <c r="CI483" i="4"/>
  <c r="CI487" i="4"/>
  <c r="CI489" i="4"/>
  <c r="CI491" i="4"/>
  <c r="CI499" i="4"/>
  <c r="CI501" i="4"/>
  <c r="CI509" i="4"/>
  <c r="CI513" i="4"/>
  <c r="CI515" i="4"/>
  <c r="CI517" i="4"/>
  <c r="CI525" i="4"/>
  <c r="CI527" i="4"/>
  <c r="CI529" i="4"/>
  <c r="CI531" i="4"/>
  <c r="CJ42" i="4"/>
  <c r="CJ43" i="4"/>
  <c r="CJ49" i="4"/>
  <c r="CJ51" i="4"/>
  <c r="CJ57" i="4"/>
  <c r="CJ61" i="4"/>
  <c r="CJ63" i="4"/>
  <c r="CJ65" i="4"/>
  <c r="CJ67" i="4"/>
  <c r="CJ69" i="4"/>
  <c r="CJ73" i="4"/>
  <c r="CJ75" i="4"/>
  <c r="CJ77" i="4"/>
  <c r="CJ79" i="4"/>
  <c r="CJ83" i="4"/>
  <c r="CJ87" i="4"/>
  <c r="CJ89" i="4"/>
  <c r="CJ93" i="4"/>
  <c r="CJ97" i="4"/>
  <c r="CJ99" i="4"/>
  <c r="CJ101" i="4"/>
  <c r="CJ107" i="4"/>
  <c r="CJ109" i="4"/>
  <c r="CJ111" i="4"/>
  <c r="CJ113" i="4"/>
  <c r="CJ117" i="4"/>
  <c r="CJ121" i="4"/>
  <c r="CJ123" i="4"/>
  <c r="CJ125" i="4"/>
  <c r="CJ127" i="4"/>
  <c r="CJ129" i="4"/>
  <c r="CJ131" i="4"/>
  <c r="CJ133" i="4"/>
  <c r="CJ137" i="4"/>
  <c r="CJ139" i="4"/>
  <c r="CJ141" i="4"/>
  <c r="CJ143" i="4"/>
  <c r="CJ147" i="4"/>
  <c r="CJ149" i="4"/>
  <c r="CJ155" i="4"/>
  <c r="CJ157" i="4"/>
  <c r="CJ159" i="4"/>
  <c r="CJ161" i="4"/>
  <c r="CJ163" i="4"/>
  <c r="CJ165" i="4"/>
  <c r="CJ169" i="4"/>
  <c r="CJ171" i="4"/>
  <c r="CJ173" i="4"/>
  <c r="CJ175" i="4"/>
  <c r="CJ179" i="4"/>
  <c r="CJ181" i="4"/>
  <c r="CJ183" i="4"/>
  <c r="CJ187" i="4"/>
  <c r="CJ189" i="4"/>
  <c r="CJ191" i="4"/>
  <c r="CJ195" i="4"/>
  <c r="CJ197" i="4"/>
  <c r="CJ201" i="4"/>
  <c r="CJ209" i="4"/>
  <c r="CJ211" i="4"/>
  <c r="CJ213" i="4"/>
  <c r="CJ215" i="4"/>
  <c r="CJ217" i="4"/>
  <c r="CJ219" i="4"/>
  <c r="CJ221" i="4"/>
  <c r="CJ223" i="4"/>
  <c r="CJ225" i="4"/>
  <c r="CJ227" i="4"/>
  <c r="CJ229" i="4"/>
  <c r="CJ231" i="4"/>
  <c r="CJ233" i="4"/>
  <c r="CJ235" i="4"/>
  <c r="CJ241" i="4"/>
  <c r="CJ243" i="4"/>
  <c r="CJ251" i="4"/>
  <c r="CJ253" i="4"/>
  <c r="CJ255" i="4"/>
  <c r="CJ259" i="4"/>
  <c r="CJ261" i="4"/>
  <c r="CJ263" i="4"/>
  <c r="CJ265" i="4"/>
  <c r="CJ271" i="4"/>
  <c r="CJ273" i="4"/>
  <c r="CJ277" i="4"/>
  <c r="CJ281" i="4"/>
  <c r="CJ285" i="4"/>
  <c r="CJ287" i="4"/>
  <c r="CJ291" i="4"/>
  <c r="CJ297" i="4"/>
  <c r="CJ307" i="4"/>
  <c r="CJ309" i="4"/>
  <c r="CJ313" i="4"/>
  <c r="CJ315" i="4"/>
  <c r="CJ317" i="4"/>
  <c r="CJ319" i="4"/>
  <c r="CJ323" i="4"/>
  <c r="CJ327" i="4"/>
  <c r="CJ329" i="4"/>
  <c r="CJ331" i="4"/>
  <c r="CJ333" i="4"/>
  <c r="CJ337" i="4"/>
  <c r="CJ339" i="4"/>
  <c r="CJ341" i="4"/>
  <c r="CJ345" i="4"/>
  <c r="CJ347" i="4"/>
  <c r="CJ349" i="4"/>
  <c r="CJ351" i="4"/>
  <c r="CJ353" i="4"/>
  <c r="CJ355" i="4"/>
  <c r="CJ357" i="4"/>
  <c r="CJ359" i="4"/>
  <c r="CJ363" i="4"/>
  <c r="CJ365" i="4"/>
  <c r="CJ367" i="4"/>
  <c r="CJ369" i="4"/>
  <c r="CJ371" i="4"/>
  <c r="CJ375" i="4"/>
  <c r="CJ377" i="4"/>
  <c r="CJ381" i="4"/>
  <c r="CJ383" i="4"/>
  <c r="CJ385" i="4"/>
  <c r="CJ387" i="4"/>
  <c r="CJ389" i="4"/>
  <c r="CJ391" i="4"/>
  <c r="CJ393" i="4"/>
  <c r="CJ395" i="4"/>
  <c r="CJ399" i="4"/>
  <c r="CJ401" i="4"/>
  <c r="CJ403" i="4"/>
  <c r="CJ407" i="4"/>
  <c r="CJ409" i="4"/>
  <c r="CJ411" i="4"/>
  <c r="CJ415" i="4"/>
  <c r="CJ425" i="4"/>
  <c r="CJ427" i="4"/>
  <c r="CJ429" i="4"/>
  <c r="CJ431" i="4"/>
  <c r="CJ435" i="4"/>
  <c r="CJ437" i="4"/>
  <c r="CJ439" i="4"/>
  <c r="CJ441" i="4"/>
  <c r="CJ445" i="4"/>
  <c r="CJ447" i="4"/>
  <c r="CJ451" i="4"/>
  <c r="CJ453" i="4"/>
  <c r="CJ457" i="4"/>
  <c r="CJ463" i="4"/>
  <c r="CJ467" i="4"/>
  <c r="CJ471" i="4"/>
  <c r="CJ475" i="4"/>
  <c r="CJ477" i="4"/>
  <c r="CJ479" i="4"/>
  <c r="CJ481" i="4"/>
  <c r="CJ483" i="4"/>
  <c r="CJ485" i="4"/>
  <c r="CJ487" i="4"/>
  <c r="CJ489" i="4"/>
  <c r="CJ491" i="4"/>
  <c r="CJ493" i="4"/>
  <c r="CJ495" i="4"/>
  <c r="CJ497" i="4"/>
  <c r="CJ499" i="4"/>
  <c r="CJ501" i="4"/>
  <c r="CJ507" i="4"/>
  <c r="CJ511" i="4"/>
  <c r="CJ513" i="4"/>
  <c r="CJ515" i="4"/>
  <c r="CJ517" i="4"/>
  <c r="CJ519" i="4"/>
  <c r="CJ521" i="4"/>
  <c r="CJ523" i="4"/>
  <c r="CJ525" i="4"/>
  <c r="CJ527" i="4"/>
  <c r="CJ529" i="4"/>
  <c r="CK42" i="4"/>
  <c r="CK43" i="4"/>
  <c r="CK49" i="4"/>
  <c r="CK51" i="4"/>
  <c r="CK55" i="4"/>
  <c r="CK61" i="4"/>
  <c r="CK63" i="4"/>
  <c r="CK65" i="4"/>
  <c r="CK67" i="4"/>
  <c r="CK69" i="4"/>
  <c r="CK73" i="4"/>
  <c r="CK75" i="4"/>
  <c r="CK77" i="4"/>
  <c r="CK79" i="4"/>
  <c r="CK83" i="4"/>
  <c r="CK87" i="4"/>
  <c r="CK95" i="4"/>
  <c r="CK97" i="4"/>
  <c r="CK99" i="4"/>
  <c r="CK101" i="4"/>
  <c r="CK103" i="4"/>
  <c r="CK109" i="4"/>
  <c r="CK111" i="4"/>
  <c r="CK115" i="4"/>
  <c r="CK119" i="4"/>
  <c r="CK125" i="4"/>
  <c r="CK127" i="4"/>
  <c r="CK129" i="4"/>
  <c r="CK131" i="4"/>
  <c r="CK133" i="4"/>
  <c r="CK135" i="4"/>
  <c r="CK137" i="4"/>
  <c r="CK141" i="4"/>
  <c r="CK143" i="4"/>
  <c r="CK147" i="4"/>
  <c r="CK153" i="4"/>
  <c r="CK157" i="4"/>
  <c r="CK159" i="4"/>
  <c r="CK161" i="4"/>
  <c r="CK163" i="4"/>
  <c r="CK167" i="4"/>
  <c r="CK171" i="4"/>
  <c r="CK173" i="4"/>
  <c r="CK175" i="4"/>
  <c r="CK179" i="4"/>
  <c r="CK181" i="4"/>
  <c r="CK183" i="4"/>
  <c r="CK187" i="4"/>
  <c r="CK191" i="4"/>
  <c r="CK195" i="4"/>
  <c r="CK197" i="4"/>
  <c r="CK199" i="4"/>
  <c r="CK201" i="4"/>
  <c r="CK207" i="4"/>
  <c r="CK209" i="4"/>
  <c r="CK211" i="4"/>
  <c r="CK213" i="4"/>
  <c r="CK215" i="4"/>
  <c r="CK221" i="4"/>
  <c r="CK223" i="4"/>
  <c r="CK227" i="4"/>
  <c r="CK229" i="4"/>
  <c r="CK233" i="4"/>
  <c r="CK235" i="4"/>
  <c r="CK239" i="4"/>
  <c r="CK241" i="4"/>
  <c r="CK243" i="4"/>
  <c r="CK245" i="4"/>
  <c r="CK247" i="4"/>
  <c r="CK251" i="4"/>
  <c r="CK253" i="4"/>
  <c r="CK255" i="4"/>
  <c r="CK257" i="4"/>
  <c r="CK259" i="4"/>
  <c r="CK261" i="4"/>
  <c r="CK263" i="4"/>
  <c r="CK267" i="4"/>
  <c r="CK271" i="4"/>
  <c r="CK273" i="4"/>
  <c r="CK279" i="4"/>
  <c r="CK281" i="4"/>
  <c r="CK283" i="4"/>
  <c r="CK285" i="4"/>
  <c r="CK287" i="4"/>
  <c r="CK289" i="4"/>
  <c r="CK291" i="4"/>
  <c r="CK293" i="4"/>
  <c r="CK297" i="4"/>
  <c r="CK305" i="4"/>
  <c r="CK307" i="4"/>
  <c r="CK309" i="4"/>
  <c r="CK311" i="4"/>
  <c r="CK313" i="4"/>
  <c r="CK319" i="4"/>
  <c r="CK321" i="4"/>
  <c r="CK323" i="4"/>
  <c r="CK333" i="4"/>
  <c r="CK337" i="4"/>
  <c r="CK339" i="4"/>
  <c r="CK343" i="4"/>
  <c r="CK347" i="4"/>
  <c r="CK351" i="4"/>
  <c r="CK359" i="4"/>
  <c r="CK363" i="4"/>
  <c r="CK365" i="4"/>
  <c r="CK367" i="4"/>
  <c r="CK371" i="4"/>
  <c r="CK373" i="4"/>
  <c r="CK375" i="4"/>
  <c r="CK377" i="4"/>
  <c r="CK381" i="4"/>
  <c r="CK387" i="4"/>
  <c r="CK389" i="4"/>
  <c r="CK391" i="4"/>
  <c r="CK401" i="4"/>
  <c r="CK407" i="4"/>
  <c r="CK409" i="4"/>
  <c r="CK415" i="4"/>
  <c r="CK417" i="4"/>
  <c r="CK423" i="4"/>
  <c r="CK427" i="4"/>
  <c r="CK431" i="4"/>
  <c r="CK433" i="4"/>
  <c r="CK435" i="4"/>
  <c r="CK439" i="4"/>
  <c r="CK449" i="4"/>
  <c r="CK451" i="4"/>
  <c r="CK453" i="4"/>
  <c r="CK457" i="4"/>
  <c r="CK461" i="4"/>
  <c r="CK463" i="4"/>
  <c r="CK465" i="4"/>
  <c r="CK467" i="4"/>
  <c r="CK473" i="4"/>
  <c r="CK477" i="4"/>
  <c r="CK479" i="4"/>
  <c r="CK481" i="4"/>
  <c r="CK483" i="4"/>
  <c r="CK485" i="4"/>
  <c r="CK487" i="4"/>
  <c r="CK493" i="4"/>
  <c r="CK497" i="4"/>
  <c r="CK499" i="4"/>
  <c r="CK509" i="4"/>
  <c r="CK513" i="4"/>
  <c r="CK515" i="4"/>
  <c r="CK517" i="4"/>
  <c r="CK523" i="4"/>
  <c r="CK525" i="4"/>
  <c r="CK529" i="4"/>
  <c r="CK531" i="4"/>
  <c r="CA42" i="4"/>
  <c r="CA49" i="4"/>
  <c r="CA65" i="4"/>
  <c r="CA79" i="4"/>
  <c r="CA103" i="4"/>
  <c r="CA105" i="4"/>
  <c r="CA109" i="4"/>
  <c r="CA117" i="4"/>
  <c r="CA127" i="4"/>
  <c r="CA129" i="4"/>
  <c r="CA135" i="4"/>
  <c r="CA137" i="4"/>
  <c r="CA139" i="4"/>
  <c r="CA141" i="4"/>
  <c r="CA157" i="4"/>
  <c r="CA169" i="4"/>
  <c r="CA181" i="4"/>
  <c r="CA187" i="4"/>
  <c r="CA193" i="4"/>
  <c r="CA219" i="4"/>
  <c r="CA229" i="4"/>
  <c r="CA235" i="4"/>
  <c r="CA241" i="4"/>
  <c r="CA251" i="4"/>
  <c r="CA295" i="4"/>
  <c r="CA331" i="4"/>
  <c r="CA337" i="4"/>
  <c r="CA355" i="4"/>
  <c r="CA363" i="4"/>
  <c r="CA389" i="4"/>
  <c r="D37" i="4"/>
  <c r="D31" i="4"/>
  <c r="CB42" i="4"/>
  <c r="CB47" i="4"/>
  <c r="CB49" i="4"/>
  <c r="CB57" i="4"/>
  <c r="CB73" i="4"/>
  <c r="CB75" i="4"/>
  <c r="CB83" i="4"/>
  <c r="CB89" i="4"/>
  <c r="CB103" i="4"/>
  <c r="CB105" i="4"/>
  <c r="CB115" i="4"/>
  <c r="CB121" i="4"/>
  <c r="CB137" i="4"/>
  <c r="CB153" i="4"/>
  <c r="CB169" i="4"/>
  <c r="CB189" i="4"/>
  <c r="CB193" i="4"/>
  <c r="CB201" i="4"/>
  <c r="CB215" i="4"/>
  <c r="CB217" i="4"/>
  <c r="CB239" i="4"/>
  <c r="CB251" i="4"/>
  <c r="CB255" i="4"/>
  <c r="CB261" i="4"/>
  <c r="CB263" i="4"/>
  <c r="CB265" i="4"/>
  <c r="CB279" i="4"/>
  <c r="CB297" i="4"/>
  <c r="CB305" i="4"/>
  <c r="CB317" i="4"/>
  <c r="CB329" i="4"/>
  <c r="CB337" i="4"/>
  <c r="CB339" i="4"/>
  <c r="CB341" i="4"/>
  <c r="CB345" i="4"/>
  <c r="CB365" i="4"/>
  <c r="CB373" i="4"/>
  <c r="CB399" i="4"/>
  <c r="CB425" i="4"/>
  <c r="CB431" i="4"/>
  <c r="CB441" i="4"/>
  <c r="CB453" i="4"/>
  <c r="CB457" i="4"/>
  <c r="CB489" i="4"/>
  <c r="CB495" i="4"/>
  <c r="CB501" i="4"/>
  <c r="E37" i="4"/>
  <c r="E31" i="4"/>
  <c r="CC43" i="4"/>
  <c r="CC51" i="4"/>
  <c r="CC61" i="4"/>
  <c r="CC67" i="4"/>
  <c r="CC69" i="4"/>
  <c r="CC73" i="4"/>
  <c r="CC75" i="4"/>
  <c r="CC87" i="4"/>
  <c r="CC101" i="4"/>
  <c r="CC109" i="4"/>
  <c r="CC115" i="4"/>
  <c r="CC149" i="4"/>
  <c r="CC155" i="4"/>
  <c r="CC159" i="4"/>
  <c r="CC165" i="4"/>
  <c r="CC171" i="4"/>
  <c r="CC173" i="4"/>
  <c r="CC175" i="4"/>
  <c r="CC181" i="4"/>
  <c r="CC183" i="4"/>
  <c r="CC215" i="4"/>
  <c r="CC219" i="4"/>
  <c r="CC241" i="4"/>
  <c r="CC251" i="4"/>
  <c r="CC259" i="4"/>
  <c r="CC261" i="4"/>
  <c r="CC267" i="4"/>
  <c r="CC273" i="4"/>
  <c r="CC295" i="4"/>
  <c r="CC307" i="4"/>
  <c r="CC319" i="4"/>
  <c r="CC323" i="4"/>
  <c r="CC327" i="4"/>
  <c r="CC343" i="4"/>
  <c r="CC347" i="4"/>
  <c r="CC367" i="4"/>
  <c r="CC373" i="4"/>
  <c r="CC381" i="4"/>
  <c r="CC383" i="4"/>
  <c r="CC387" i="4"/>
  <c r="CC391" i="4"/>
  <c r="CC393" i="4"/>
  <c r="CC409" i="4"/>
  <c r="CC421" i="4"/>
  <c r="CC431" i="4"/>
  <c r="CC449" i="4"/>
  <c r="CC461" i="4"/>
  <c r="CC499" i="4"/>
  <c r="CC509" i="4"/>
  <c r="CC513" i="4"/>
  <c r="CC527" i="4"/>
  <c r="CC529" i="4"/>
  <c r="CC531" i="4"/>
  <c r="F37" i="4"/>
  <c r="F31" i="4" s="1"/>
  <c r="CD43" i="4"/>
  <c r="CD49" i="4"/>
  <c r="CD65" i="4"/>
  <c r="CD69" i="4"/>
  <c r="CD83" i="4"/>
  <c r="CD89" i="4"/>
  <c r="CD97" i="4"/>
  <c r="CD101" i="4"/>
  <c r="CD107" i="4"/>
  <c r="CD113" i="4"/>
  <c r="CD129" i="4"/>
  <c r="CD131" i="4"/>
  <c r="CD137" i="4"/>
  <c r="CD147" i="4"/>
  <c r="CD155" i="4"/>
  <c r="CD161" i="4"/>
  <c r="CD163" i="4"/>
  <c r="CD165" i="4"/>
  <c r="CD171" i="4"/>
  <c r="CD181" i="4"/>
  <c r="CD189" i="4"/>
  <c r="CD209" i="4"/>
  <c r="CD211" i="4"/>
  <c r="CD215" i="4"/>
  <c r="CD225" i="4"/>
  <c r="CD229" i="4"/>
  <c r="CD231" i="4"/>
  <c r="CD241" i="4"/>
  <c r="CD259" i="4"/>
  <c r="CD265" i="4"/>
  <c r="CD273" i="4"/>
  <c r="CD289" i="4"/>
  <c r="CD297" i="4"/>
  <c r="CD315" i="4"/>
  <c r="CD319" i="4"/>
  <c r="CD323" i="4"/>
  <c r="CD329" i="4"/>
  <c r="CD333" i="4"/>
  <c r="CD337" i="4"/>
  <c r="CD347" i="4"/>
  <c r="CD353" i="4"/>
  <c r="CD355" i="4"/>
  <c r="CD369" i="4"/>
  <c r="CD375" i="4"/>
  <c r="CD377" i="4"/>
  <c r="CD385" i="4"/>
  <c r="CD391" i="4"/>
  <c r="CD393" i="4"/>
  <c r="CD395" i="4"/>
  <c r="CD401" i="4"/>
  <c r="CD411" i="4"/>
  <c r="CD425" i="4"/>
  <c r="CD431" i="4"/>
  <c r="CD439" i="4"/>
  <c r="CD451" i="4"/>
  <c r="CD465" i="4"/>
  <c r="CD467" i="4"/>
  <c r="CD481" i="4"/>
  <c r="CD485" i="4"/>
  <c r="CD493" i="4"/>
  <c r="CD497" i="4"/>
  <c r="CD513" i="4"/>
  <c r="CD525" i="4"/>
  <c r="CD527" i="4"/>
  <c r="CD529" i="4"/>
  <c r="G37" i="4"/>
  <c r="G31" i="4"/>
  <c r="CE49" i="4"/>
  <c r="CE63" i="4"/>
  <c r="CE67" i="4"/>
  <c r="CE87" i="4"/>
  <c r="CE95" i="4"/>
  <c r="CE99" i="4"/>
  <c r="CE117" i="4"/>
  <c r="CE119" i="4"/>
  <c r="CE125" i="4"/>
  <c r="CE131" i="4"/>
  <c r="CE153" i="4"/>
  <c r="CE159" i="4"/>
  <c r="CE173" i="4"/>
  <c r="CE199" i="4"/>
  <c r="CE201" i="4"/>
  <c r="CE229" i="4"/>
  <c r="CE231" i="4"/>
  <c r="CE243" i="4"/>
  <c r="CE247" i="4"/>
  <c r="CE259" i="4"/>
  <c r="CE261" i="4"/>
  <c r="CE267" i="4"/>
  <c r="CE271" i="4"/>
  <c r="CE279" i="4"/>
  <c r="CE307" i="4"/>
  <c r="CE343" i="4"/>
  <c r="CE363" i="4"/>
  <c r="CE375" i="4"/>
  <c r="CE405" i="4"/>
  <c r="CE407" i="4"/>
  <c r="CE435" i="4"/>
  <c r="CE439" i="4"/>
  <c r="CE457" i="4"/>
  <c r="CE463" i="4"/>
  <c r="CE515" i="4"/>
  <c r="CE523" i="4"/>
  <c r="CE525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6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BT89" i="4"/>
  <c r="BU89" i="4"/>
  <c r="BT90" i="4"/>
  <c r="BU90" i="4"/>
  <c r="BT91" i="4"/>
  <c r="BU91" i="4"/>
  <c r="BT92" i="4"/>
  <c r="BU92" i="4"/>
  <c r="BT93" i="4"/>
  <c r="BU93" i="4"/>
  <c r="BT94" i="4"/>
  <c r="BU94" i="4"/>
  <c r="BT95" i="4"/>
  <c r="BU95" i="4"/>
  <c r="BT96" i="4"/>
  <c r="BU96" i="4"/>
  <c r="BT97" i="4"/>
  <c r="BU97" i="4"/>
  <c r="BT98" i="4"/>
  <c r="BU98" i="4"/>
  <c r="BT99" i="4"/>
  <c r="BU99" i="4"/>
  <c r="BT100" i="4"/>
  <c r="BU100" i="4"/>
  <c r="BT101" i="4"/>
  <c r="BU101" i="4"/>
  <c r="BT102" i="4"/>
  <c r="BU102" i="4"/>
  <c r="BT103" i="4"/>
  <c r="BU103" i="4"/>
  <c r="BT104" i="4"/>
  <c r="BU104" i="4"/>
  <c r="BT105" i="4"/>
  <c r="BU105" i="4"/>
  <c r="BT106" i="4"/>
  <c r="BU106" i="4"/>
  <c r="BT107" i="4"/>
  <c r="BU107" i="4"/>
  <c r="BT108" i="4"/>
  <c r="BU108" i="4"/>
  <c r="BT109" i="4"/>
  <c r="BU109" i="4"/>
  <c r="BT110" i="4"/>
  <c r="BU110" i="4"/>
  <c r="BT111" i="4"/>
  <c r="BU111" i="4"/>
  <c r="BT112" i="4"/>
  <c r="BU112" i="4"/>
  <c r="BT113" i="4"/>
  <c r="BU113" i="4"/>
  <c r="BT114" i="4"/>
  <c r="BU114" i="4"/>
  <c r="BT115" i="4"/>
  <c r="BU115" i="4"/>
  <c r="BT116" i="4"/>
  <c r="BU116" i="4"/>
  <c r="BT117" i="4"/>
  <c r="BU117" i="4"/>
  <c r="BT118" i="4"/>
  <c r="BU118" i="4"/>
  <c r="BT119" i="4"/>
  <c r="BU119" i="4"/>
  <c r="BT120" i="4"/>
  <c r="BU120" i="4"/>
  <c r="BT121" i="4"/>
  <c r="BU121" i="4"/>
  <c r="BT122" i="4"/>
  <c r="BU122" i="4"/>
  <c r="BT123" i="4"/>
  <c r="BU123" i="4"/>
  <c r="BT124" i="4"/>
  <c r="BU124" i="4"/>
  <c r="BT125" i="4"/>
  <c r="BU125" i="4"/>
  <c r="BT126" i="4"/>
  <c r="BU126" i="4"/>
  <c r="BT127" i="4"/>
  <c r="BU127" i="4"/>
  <c r="BT128" i="4"/>
  <c r="BU128" i="4"/>
  <c r="BT129" i="4"/>
  <c r="BU129" i="4"/>
  <c r="BT130" i="4"/>
  <c r="BU130" i="4"/>
  <c r="BT131" i="4"/>
  <c r="BU131" i="4"/>
  <c r="BT132" i="4"/>
  <c r="BU132" i="4"/>
  <c r="BT133" i="4"/>
  <c r="BU133" i="4"/>
  <c r="BT134" i="4"/>
  <c r="BU134" i="4"/>
  <c r="BT135" i="4"/>
  <c r="BU135" i="4"/>
  <c r="BT136" i="4"/>
  <c r="BU136" i="4"/>
  <c r="BT137" i="4"/>
  <c r="BU137" i="4"/>
  <c r="BT138" i="4"/>
  <c r="BU138" i="4"/>
  <c r="BT139" i="4"/>
  <c r="BU139" i="4"/>
  <c r="BT140" i="4"/>
  <c r="BU140" i="4"/>
  <c r="BT141" i="4"/>
  <c r="BU141" i="4"/>
  <c r="BT142" i="4"/>
  <c r="BU142" i="4"/>
  <c r="BT143" i="4"/>
  <c r="BU143" i="4"/>
  <c r="BT144" i="4"/>
  <c r="BU144" i="4"/>
  <c r="BT145" i="4"/>
  <c r="BU145" i="4"/>
  <c r="BT146" i="4"/>
  <c r="BU146" i="4"/>
  <c r="BT147" i="4"/>
  <c r="BU147" i="4"/>
  <c r="BT148" i="4"/>
  <c r="BU148" i="4"/>
  <c r="BT149" i="4"/>
  <c r="BU149" i="4"/>
  <c r="BT150" i="4"/>
  <c r="BU150" i="4"/>
  <c r="BT151" i="4"/>
  <c r="BU151" i="4"/>
  <c r="BT152" i="4"/>
  <c r="BU152" i="4"/>
  <c r="BT153" i="4"/>
  <c r="BU153" i="4"/>
  <c r="BT154" i="4"/>
  <c r="BU154" i="4"/>
  <c r="BT155" i="4"/>
  <c r="BU155" i="4"/>
  <c r="BT156" i="4"/>
  <c r="BU156" i="4"/>
  <c r="BT157" i="4"/>
  <c r="BU157" i="4"/>
  <c r="BT158" i="4"/>
  <c r="BU158" i="4"/>
  <c r="BT159" i="4"/>
  <c r="BU159" i="4"/>
  <c r="BT160" i="4"/>
  <c r="BU160" i="4"/>
  <c r="BT161" i="4"/>
  <c r="BU161" i="4"/>
  <c r="BT162" i="4"/>
  <c r="BU162" i="4"/>
  <c r="BT163" i="4"/>
  <c r="BU163" i="4"/>
  <c r="BT164" i="4"/>
  <c r="BU164" i="4"/>
  <c r="BT165" i="4"/>
  <c r="BU165" i="4"/>
  <c r="BT166" i="4"/>
  <c r="BU166" i="4"/>
  <c r="BT167" i="4"/>
  <c r="BU167" i="4"/>
  <c r="BT168" i="4"/>
  <c r="BU168" i="4"/>
  <c r="BT169" i="4"/>
  <c r="BU169" i="4"/>
  <c r="BT170" i="4"/>
  <c r="BU170" i="4"/>
  <c r="BT171" i="4"/>
  <c r="BU171" i="4"/>
  <c r="BT172" i="4"/>
  <c r="BU172" i="4"/>
  <c r="BT173" i="4"/>
  <c r="BU173" i="4"/>
  <c r="BT174" i="4"/>
  <c r="BU174" i="4"/>
  <c r="BT175" i="4"/>
  <c r="BU175" i="4"/>
  <c r="BT176" i="4"/>
  <c r="BU176" i="4"/>
  <c r="BT177" i="4"/>
  <c r="BU177" i="4"/>
  <c r="BT178" i="4"/>
  <c r="BU178" i="4"/>
  <c r="BT179" i="4"/>
  <c r="BU179" i="4"/>
  <c r="BT180" i="4"/>
  <c r="BU180" i="4"/>
  <c r="BT181" i="4"/>
  <c r="BU181" i="4"/>
  <c r="BT182" i="4"/>
  <c r="BU182" i="4"/>
  <c r="BT183" i="4"/>
  <c r="BU183" i="4"/>
  <c r="BT184" i="4"/>
  <c r="BU184" i="4"/>
  <c r="BT185" i="4"/>
  <c r="BU185" i="4"/>
  <c r="BT186" i="4"/>
  <c r="BU186" i="4"/>
  <c r="BT187" i="4"/>
  <c r="BU187" i="4"/>
  <c r="BT188" i="4"/>
  <c r="BU188" i="4"/>
  <c r="BT189" i="4"/>
  <c r="BU189" i="4"/>
  <c r="BT190" i="4"/>
  <c r="BU190" i="4"/>
  <c r="BT191" i="4"/>
  <c r="BU191" i="4"/>
  <c r="BT192" i="4"/>
  <c r="BU192" i="4"/>
  <c r="BT193" i="4"/>
  <c r="BU193" i="4"/>
  <c r="BT194" i="4"/>
  <c r="BU194" i="4"/>
  <c r="BT195" i="4"/>
  <c r="BU195" i="4"/>
  <c r="BT196" i="4"/>
  <c r="BU196" i="4"/>
  <c r="BT197" i="4"/>
  <c r="BU197" i="4"/>
  <c r="BT198" i="4"/>
  <c r="BU198" i="4"/>
  <c r="BT199" i="4"/>
  <c r="BU199" i="4"/>
  <c r="BT200" i="4"/>
  <c r="BU200" i="4"/>
  <c r="BT201" i="4"/>
  <c r="BU201" i="4"/>
  <c r="BT202" i="4"/>
  <c r="BU202" i="4"/>
  <c r="BT203" i="4"/>
  <c r="BU203" i="4"/>
  <c r="BT204" i="4"/>
  <c r="BU204" i="4"/>
  <c r="BT205" i="4"/>
  <c r="BU205" i="4"/>
  <c r="BT206" i="4"/>
  <c r="BU206" i="4"/>
  <c r="BT207" i="4"/>
  <c r="BU207" i="4"/>
  <c r="BT208" i="4"/>
  <c r="BU208" i="4"/>
  <c r="BT209" i="4"/>
  <c r="BU209" i="4"/>
  <c r="BT210" i="4"/>
  <c r="BU210" i="4"/>
  <c r="BT211" i="4"/>
  <c r="BU211" i="4"/>
  <c r="BT212" i="4"/>
  <c r="BU212" i="4"/>
  <c r="BT213" i="4"/>
  <c r="BU213" i="4"/>
  <c r="BT214" i="4"/>
  <c r="BU214" i="4"/>
  <c r="BT215" i="4"/>
  <c r="BU215" i="4"/>
  <c r="BT216" i="4"/>
  <c r="BU216" i="4"/>
  <c r="BT217" i="4"/>
  <c r="BU217" i="4"/>
  <c r="BT218" i="4"/>
  <c r="BU218" i="4"/>
  <c r="BT219" i="4"/>
  <c r="BU219" i="4"/>
  <c r="BT220" i="4"/>
  <c r="BU220" i="4"/>
  <c r="BT221" i="4"/>
  <c r="BU221" i="4"/>
  <c r="BT222" i="4"/>
  <c r="BU222" i="4"/>
  <c r="BT223" i="4"/>
  <c r="BU223" i="4"/>
  <c r="BT224" i="4"/>
  <c r="BU224" i="4"/>
  <c r="BT225" i="4"/>
  <c r="BU225" i="4"/>
  <c r="BT226" i="4"/>
  <c r="BU226" i="4"/>
  <c r="BT227" i="4"/>
  <c r="BU227" i="4"/>
  <c r="BT228" i="4"/>
  <c r="BU228" i="4"/>
  <c r="BT229" i="4"/>
  <c r="BU229" i="4"/>
  <c r="BT230" i="4"/>
  <c r="BU230" i="4"/>
  <c r="BT231" i="4"/>
  <c r="BU231" i="4"/>
  <c r="BT232" i="4"/>
  <c r="BU232" i="4"/>
  <c r="BT233" i="4"/>
  <c r="BU233" i="4"/>
  <c r="BT234" i="4"/>
  <c r="BU234" i="4"/>
  <c r="BT235" i="4"/>
  <c r="BU235" i="4"/>
  <c r="BT236" i="4"/>
  <c r="BU236" i="4"/>
  <c r="BT237" i="4"/>
  <c r="BU237" i="4"/>
  <c r="BT238" i="4"/>
  <c r="BU238" i="4"/>
  <c r="BT239" i="4"/>
  <c r="BU239" i="4"/>
  <c r="BT240" i="4"/>
  <c r="BU240" i="4"/>
  <c r="BT241" i="4"/>
  <c r="BU241" i="4"/>
  <c r="BT242" i="4"/>
  <c r="BU242" i="4"/>
  <c r="BT243" i="4"/>
  <c r="BU243" i="4"/>
  <c r="BT244" i="4"/>
  <c r="BU244" i="4"/>
  <c r="BT245" i="4"/>
  <c r="BU245" i="4"/>
  <c r="BT246" i="4"/>
  <c r="BU246" i="4"/>
  <c r="BT247" i="4"/>
  <c r="BU247" i="4"/>
  <c r="BT248" i="4"/>
  <c r="BU248" i="4"/>
  <c r="BT249" i="4"/>
  <c r="BU249" i="4"/>
  <c r="BT250" i="4"/>
  <c r="BU250" i="4"/>
  <c r="BT251" i="4"/>
  <c r="BU251" i="4"/>
  <c r="BT252" i="4"/>
  <c r="BU252" i="4"/>
  <c r="BT253" i="4"/>
  <c r="BU253" i="4"/>
  <c r="BT254" i="4"/>
  <c r="BU254" i="4"/>
  <c r="BT255" i="4"/>
  <c r="BU255" i="4"/>
  <c r="BT256" i="4"/>
  <c r="BU256" i="4"/>
  <c r="BT257" i="4"/>
  <c r="BU257" i="4"/>
  <c r="BT258" i="4"/>
  <c r="BU258" i="4"/>
  <c r="BT259" i="4"/>
  <c r="BU259" i="4"/>
  <c r="BT260" i="4"/>
  <c r="BU260" i="4"/>
  <c r="BT261" i="4"/>
  <c r="BU261" i="4"/>
  <c r="BT262" i="4"/>
  <c r="BU262" i="4"/>
  <c r="BT263" i="4"/>
  <c r="BU263" i="4"/>
  <c r="BT264" i="4"/>
  <c r="BU264" i="4"/>
  <c r="BT265" i="4"/>
  <c r="BU265" i="4"/>
  <c r="BT266" i="4"/>
  <c r="BU266" i="4"/>
  <c r="BT267" i="4"/>
  <c r="BU267" i="4"/>
  <c r="BT268" i="4"/>
  <c r="BU268" i="4"/>
  <c r="BT269" i="4"/>
  <c r="BU269" i="4"/>
  <c r="BT270" i="4"/>
  <c r="BU270" i="4"/>
  <c r="BT271" i="4"/>
  <c r="BU271" i="4"/>
  <c r="BT272" i="4"/>
  <c r="BU272" i="4"/>
  <c r="BT273" i="4"/>
  <c r="BU273" i="4"/>
  <c r="BT274" i="4"/>
  <c r="BU274" i="4"/>
  <c r="BT275" i="4"/>
  <c r="BU275" i="4"/>
  <c r="BT276" i="4"/>
  <c r="BU276" i="4"/>
  <c r="BT277" i="4"/>
  <c r="BU277" i="4"/>
  <c r="BT278" i="4"/>
  <c r="BU278" i="4"/>
  <c r="BT279" i="4"/>
  <c r="BU279" i="4"/>
  <c r="BT280" i="4"/>
  <c r="BU280" i="4"/>
  <c r="BT281" i="4"/>
  <c r="BU281" i="4"/>
  <c r="BT282" i="4"/>
  <c r="BU282" i="4"/>
  <c r="BT283" i="4"/>
  <c r="BU283" i="4"/>
  <c r="BT284" i="4"/>
  <c r="BU284" i="4"/>
  <c r="BT285" i="4"/>
  <c r="BU285" i="4"/>
  <c r="BT286" i="4"/>
  <c r="BU286" i="4"/>
  <c r="BT287" i="4"/>
  <c r="BU287" i="4"/>
  <c r="BT288" i="4"/>
  <c r="BU288" i="4"/>
  <c r="BT289" i="4"/>
  <c r="BU289" i="4"/>
  <c r="BT290" i="4"/>
  <c r="BU290" i="4"/>
  <c r="BT291" i="4"/>
  <c r="BU291" i="4"/>
  <c r="BT292" i="4"/>
  <c r="BU292" i="4"/>
  <c r="BT293" i="4"/>
  <c r="BU293" i="4"/>
  <c r="BT294" i="4"/>
  <c r="BU294" i="4"/>
  <c r="BT295" i="4"/>
  <c r="BU295" i="4"/>
  <c r="BT296" i="4"/>
  <c r="BU296" i="4"/>
  <c r="BT297" i="4"/>
  <c r="BU297" i="4"/>
  <c r="BT298" i="4"/>
  <c r="BU298" i="4"/>
  <c r="BT299" i="4"/>
  <c r="BU299" i="4"/>
  <c r="BT300" i="4"/>
  <c r="BU300" i="4"/>
  <c r="BT301" i="4"/>
  <c r="BU301" i="4"/>
  <c r="BT302" i="4"/>
  <c r="BU302" i="4"/>
  <c r="BT303" i="4"/>
  <c r="BU303" i="4"/>
  <c r="BT304" i="4"/>
  <c r="BU304" i="4"/>
  <c r="BT305" i="4"/>
  <c r="BU305" i="4"/>
  <c r="BT306" i="4"/>
  <c r="BU306" i="4"/>
  <c r="BT307" i="4"/>
  <c r="BU307" i="4"/>
  <c r="BT308" i="4"/>
  <c r="BU308" i="4"/>
  <c r="BT309" i="4"/>
  <c r="BU309" i="4"/>
  <c r="BT310" i="4"/>
  <c r="BU310" i="4"/>
  <c r="BT311" i="4"/>
  <c r="BU311" i="4"/>
  <c r="BT312" i="4"/>
  <c r="BU312" i="4"/>
  <c r="BT313" i="4"/>
  <c r="BU313" i="4"/>
  <c r="BT314" i="4"/>
  <c r="BU314" i="4"/>
  <c r="BT315" i="4"/>
  <c r="BU315" i="4"/>
  <c r="BT316" i="4"/>
  <c r="BU316" i="4"/>
  <c r="BT317" i="4"/>
  <c r="BU317" i="4"/>
  <c r="BT318" i="4"/>
  <c r="BU318" i="4"/>
  <c r="BT319" i="4"/>
  <c r="BU319" i="4"/>
  <c r="BT320" i="4"/>
  <c r="BU320" i="4"/>
  <c r="BT321" i="4"/>
  <c r="BU321" i="4"/>
  <c r="BT322" i="4"/>
  <c r="BU322" i="4"/>
  <c r="BT323" i="4"/>
  <c r="BU323" i="4"/>
  <c r="BT324" i="4"/>
  <c r="BU324" i="4"/>
  <c r="BT325" i="4"/>
  <c r="BU325" i="4"/>
  <c r="BT326" i="4"/>
  <c r="BU326" i="4"/>
  <c r="BT327" i="4"/>
  <c r="BU327" i="4"/>
  <c r="BT328" i="4"/>
  <c r="BU328" i="4"/>
  <c r="BT329" i="4"/>
  <c r="BU329" i="4"/>
  <c r="BT330" i="4"/>
  <c r="BU330" i="4"/>
  <c r="BT331" i="4"/>
  <c r="BU331" i="4"/>
  <c r="BT332" i="4"/>
  <c r="BU332" i="4"/>
  <c r="BT333" i="4"/>
  <c r="BU333" i="4"/>
  <c r="BT334" i="4"/>
  <c r="BU334" i="4"/>
  <c r="BT335" i="4"/>
  <c r="BU335" i="4"/>
  <c r="BT336" i="4"/>
  <c r="BU336" i="4"/>
  <c r="BT337" i="4"/>
  <c r="BU337" i="4"/>
  <c r="BT338" i="4"/>
  <c r="BU338" i="4"/>
  <c r="BT339" i="4"/>
  <c r="BU339" i="4"/>
  <c r="BT340" i="4"/>
  <c r="BU340" i="4"/>
  <c r="BT341" i="4"/>
  <c r="BU341" i="4"/>
  <c r="BT342" i="4"/>
  <c r="BU342" i="4"/>
  <c r="BT343" i="4"/>
  <c r="BU343" i="4"/>
  <c r="BT344" i="4"/>
  <c r="BU344" i="4"/>
  <c r="BT345" i="4"/>
  <c r="BU345" i="4"/>
  <c r="BT346" i="4"/>
  <c r="BU346" i="4"/>
  <c r="BT347" i="4"/>
  <c r="BU347" i="4"/>
  <c r="BT348" i="4"/>
  <c r="BU348" i="4"/>
  <c r="BT349" i="4"/>
  <c r="BU349" i="4"/>
  <c r="BT350" i="4"/>
  <c r="BU350" i="4"/>
  <c r="BT351" i="4"/>
  <c r="BU351" i="4"/>
  <c r="BT352" i="4"/>
  <c r="BU352" i="4"/>
  <c r="BT353" i="4"/>
  <c r="BU353" i="4"/>
  <c r="BT354" i="4"/>
  <c r="BU354" i="4"/>
  <c r="BT355" i="4"/>
  <c r="BU355" i="4"/>
  <c r="BT356" i="4"/>
  <c r="BU356" i="4"/>
  <c r="BT357" i="4"/>
  <c r="BU357" i="4"/>
  <c r="BT358" i="4"/>
  <c r="BU358" i="4"/>
  <c r="BT359" i="4"/>
  <c r="BU359" i="4"/>
  <c r="BT360" i="4"/>
  <c r="BU360" i="4"/>
  <c r="BT361" i="4"/>
  <c r="BU361" i="4"/>
  <c r="BT362" i="4"/>
  <c r="BU362" i="4"/>
  <c r="BT363" i="4"/>
  <c r="BU363" i="4"/>
  <c r="BT364" i="4"/>
  <c r="BU364" i="4"/>
  <c r="BT365" i="4"/>
  <c r="BU365" i="4"/>
  <c r="BT366" i="4"/>
  <c r="BU366" i="4"/>
  <c r="BT367" i="4"/>
  <c r="BU367" i="4"/>
  <c r="BT368" i="4"/>
  <c r="BU368" i="4"/>
  <c r="BT369" i="4"/>
  <c r="BU369" i="4"/>
  <c r="BT370" i="4"/>
  <c r="BU370" i="4"/>
  <c r="BT371" i="4"/>
  <c r="BU371" i="4"/>
  <c r="BT372" i="4"/>
  <c r="BU372" i="4"/>
  <c r="BT373" i="4"/>
  <c r="BU373" i="4"/>
  <c r="BT374" i="4"/>
  <c r="BU374" i="4"/>
  <c r="BT375" i="4"/>
  <c r="BU375" i="4"/>
  <c r="BT376" i="4"/>
  <c r="BU376" i="4"/>
  <c r="BT377" i="4"/>
  <c r="BU377" i="4"/>
  <c r="BT378" i="4"/>
  <c r="BU378" i="4"/>
  <c r="BT379" i="4"/>
  <c r="BU379" i="4"/>
  <c r="BT380" i="4"/>
  <c r="BU380" i="4"/>
  <c r="BT381" i="4"/>
  <c r="BU381" i="4"/>
  <c r="BT382" i="4"/>
  <c r="BU382" i="4"/>
  <c r="BT383" i="4"/>
  <c r="BU383" i="4"/>
  <c r="BT384" i="4"/>
  <c r="BU384" i="4"/>
  <c r="BT385" i="4"/>
  <c r="BU385" i="4"/>
  <c r="BT386" i="4"/>
  <c r="BU386" i="4"/>
  <c r="BT387" i="4"/>
  <c r="BU387" i="4"/>
  <c r="BT388" i="4"/>
  <c r="BU388" i="4"/>
  <c r="BT389" i="4"/>
  <c r="BU389" i="4"/>
  <c r="BT390" i="4"/>
  <c r="BU390" i="4"/>
  <c r="BT391" i="4"/>
  <c r="BU391" i="4"/>
  <c r="BT392" i="4"/>
  <c r="BU392" i="4"/>
  <c r="BT393" i="4"/>
  <c r="BU393" i="4"/>
  <c r="BT394" i="4"/>
  <c r="BU394" i="4"/>
  <c r="BT395" i="4"/>
  <c r="BU395" i="4"/>
  <c r="BT396" i="4"/>
  <c r="BU396" i="4"/>
  <c r="BT397" i="4"/>
  <c r="BU397" i="4"/>
  <c r="BT398" i="4"/>
  <c r="BU398" i="4"/>
  <c r="BT399" i="4"/>
  <c r="BU399" i="4"/>
  <c r="BT400" i="4"/>
  <c r="BU400" i="4"/>
  <c r="BT401" i="4"/>
  <c r="BU401" i="4"/>
  <c r="BT402" i="4"/>
  <c r="BU402" i="4"/>
  <c r="BT403" i="4"/>
  <c r="BU403" i="4"/>
  <c r="BT404" i="4"/>
  <c r="BU404" i="4"/>
  <c r="BT405" i="4"/>
  <c r="BU405" i="4"/>
  <c r="BT406" i="4"/>
  <c r="BU406" i="4"/>
  <c r="BT407" i="4"/>
  <c r="BU407" i="4"/>
  <c r="BT408" i="4"/>
  <c r="BU408" i="4"/>
  <c r="BT409" i="4"/>
  <c r="BU409" i="4"/>
  <c r="BT410" i="4"/>
  <c r="BU410" i="4"/>
  <c r="BT411" i="4"/>
  <c r="BU411" i="4"/>
  <c r="BT412" i="4"/>
  <c r="BU412" i="4"/>
  <c r="BT413" i="4"/>
  <c r="BU413" i="4"/>
  <c r="BT414" i="4"/>
  <c r="BU414" i="4"/>
  <c r="BT415" i="4"/>
  <c r="BU415" i="4"/>
  <c r="BT416" i="4"/>
  <c r="BU416" i="4"/>
  <c r="BT417" i="4"/>
  <c r="BU417" i="4"/>
  <c r="BT418" i="4"/>
  <c r="BU418" i="4"/>
  <c r="BT419" i="4"/>
  <c r="BU419" i="4"/>
  <c r="BT420" i="4"/>
  <c r="BU420" i="4"/>
  <c r="BT421" i="4"/>
  <c r="BU421" i="4"/>
  <c r="BT422" i="4"/>
  <c r="BU422" i="4"/>
  <c r="BT423" i="4"/>
  <c r="BU423" i="4"/>
  <c r="BT424" i="4"/>
  <c r="BU424" i="4"/>
  <c r="BT425" i="4"/>
  <c r="BU425" i="4"/>
  <c r="BT426" i="4"/>
  <c r="BU426" i="4"/>
  <c r="BT427" i="4"/>
  <c r="BU427" i="4"/>
  <c r="BT428" i="4"/>
  <c r="BU428" i="4"/>
  <c r="BT429" i="4"/>
  <c r="BU429" i="4"/>
  <c r="BT430" i="4"/>
  <c r="BU430" i="4"/>
  <c r="BT431" i="4"/>
  <c r="BU431" i="4"/>
  <c r="BT432" i="4"/>
  <c r="BU432" i="4"/>
  <c r="BT433" i="4"/>
  <c r="BU433" i="4"/>
  <c r="BT434" i="4"/>
  <c r="BU434" i="4"/>
  <c r="BT435" i="4"/>
  <c r="BU435" i="4"/>
  <c r="BT436" i="4"/>
  <c r="BU436" i="4"/>
  <c r="BT437" i="4"/>
  <c r="BU437" i="4"/>
  <c r="BT438" i="4"/>
  <c r="BU438" i="4"/>
  <c r="BT439" i="4"/>
  <c r="BU439" i="4"/>
  <c r="BT440" i="4"/>
  <c r="BU440" i="4"/>
  <c r="BT441" i="4"/>
  <c r="BU441" i="4"/>
  <c r="BT442" i="4"/>
  <c r="BU442" i="4"/>
  <c r="BT443" i="4"/>
  <c r="BU443" i="4"/>
  <c r="BT444" i="4"/>
  <c r="BU444" i="4"/>
  <c r="BT445" i="4"/>
  <c r="BU445" i="4"/>
  <c r="BT446" i="4"/>
  <c r="BU446" i="4"/>
  <c r="BT447" i="4"/>
  <c r="BU447" i="4"/>
  <c r="BT448" i="4"/>
  <c r="BU448" i="4"/>
  <c r="BT449" i="4"/>
  <c r="BU449" i="4"/>
  <c r="BT450" i="4"/>
  <c r="BU450" i="4"/>
  <c r="BT451" i="4"/>
  <c r="BU451" i="4"/>
  <c r="BT452" i="4"/>
  <c r="BU452" i="4"/>
  <c r="BT453" i="4"/>
  <c r="BU453" i="4"/>
  <c r="BT454" i="4"/>
  <c r="BU454" i="4"/>
  <c r="BT455" i="4"/>
  <c r="BU455" i="4"/>
  <c r="BT456" i="4"/>
  <c r="BU456" i="4"/>
  <c r="BT457" i="4"/>
  <c r="BU457" i="4"/>
  <c r="BT458" i="4"/>
  <c r="BU458" i="4"/>
  <c r="BT459" i="4"/>
  <c r="BU459" i="4"/>
  <c r="BT460" i="4"/>
  <c r="BU460" i="4"/>
  <c r="BT461" i="4"/>
  <c r="BU461" i="4"/>
  <c r="BT462" i="4"/>
  <c r="BU462" i="4"/>
  <c r="BT463" i="4"/>
  <c r="BU463" i="4"/>
  <c r="BT464" i="4"/>
  <c r="BU464" i="4"/>
  <c r="BT465" i="4"/>
  <c r="BU465" i="4"/>
  <c r="BT466" i="4"/>
  <c r="BU466" i="4"/>
  <c r="BT467" i="4"/>
  <c r="BU467" i="4"/>
  <c r="BT468" i="4"/>
  <c r="BU468" i="4"/>
  <c r="BT469" i="4"/>
  <c r="BU469" i="4"/>
  <c r="BT470" i="4"/>
  <c r="BU470" i="4"/>
  <c r="BT471" i="4"/>
  <c r="BU471" i="4"/>
  <c r="BT472" i="4"/>
  <c r="BU472" i="4"/>
  <c r="BT473" i="4"/>
  <c r="BU473" i="4"/>
  <c r="BT474" i="4"/>
  <c r="BU474" i="4"/>
  <c r="BT475" i="4"/>
  <c r="BU475" i="4"/>
  <c r="BT476" i="4"/>
  <c r="BU476" i="4"/>
  <c r="BT477" i="4"/>
  <c r="BU477" i="4"/>
  <c r="BT478" i="4"/>
  <c r="BU478" i="4"/>
  <c r="BT479" i="4"/>
  <c r="BU479" i="4"/>
  <c r="BT480" i="4"/>
  <c r="BU480" i="4"/>
  <c r="BT481" i="4"/>
  <c r="BU481" i="4"/>
  <c r="BT482" i="4"/>
  <c r="BU482" i="4"/>
  <c r="BT483" i="4"/>
  <c r="BU483" i="4"/>
  <c r="BT484" i="4"/>
  <c r="BU484" i="4"/>
  <c r="BT485" i="4"/>
  <c r="BU485" i="4"/>
  <c r="BT486" i="4"/>
  <c r="BU486" i="4"/>
  <c r="BT487" i="4"/>
  <c r="BU487" i="4"/>
  <c r="BT488" i="4"/>
  <c r="BU488" i="4"/>
  <c r="BT489" i="4"/>
  <c r="BU489" i="4"/>
  <c r="BT490" i="4"/>
  <c r="BU490" i="4"/>
  <c r="BT491" i="4"/>
  <c r="BU491" i="4"/>
  <c r="BT492" i="4"/>
  <c r="BU492" i="4"/>
  <c r="BT493" i="4"/>
  <c r="BU493" i="4"/>
  <c r="BT494" i="4"/>
  <c r="BU494" i="4"/>
  <c r="BT495" i="4"/>
  <c r="BU495" i="4"/>
  <c r="BT496" i="4"/>
  <c r="BU496" i="4"/>
  <c r="BT497" i="4"/>
  <c r="BU497" i="4"/>
  <c r="BT498" i="4"/>
  <c r="BU498" i="4"/>
  <c r="BT499" i="4"/>
  <c r="BU499" i="4"/>
  <c r="BT500" i="4"/>
  <c r="BU500" i="4"/>
  <c r="BT501" i="4"/>
  <c r="BU501" i="4"/>
  <c r="BT502" i="4"/>
  <c r="BU502" i="4"/>
  <c r="BT503" i="4"/>
  <c r="BU503" i="4"/>
  <c r="BT504" i="4"/>
  <c r="BU504" i="4"/>
  <c r="BT505" i="4"/>
  <c r="BU505" i="4"/>
  <c r="BT506" i="4"/>
  <c r="BU506" i="4"/>
  <c r="BT507" i="4"/>
  <c r="BU507" i="4"/>
  <c r="BT508" i="4"/>
  <c r="BU508" i="4"/>
  <c r="BT509" i="4"/>
  <c r="BU509" i="4"/>
  <c r="BT510" i="4"/>
  <c r="BU510" i="4"/>
  <c r="BT511" i="4"/>
  <c r="BU511" i="4"/>
  <c r="BT512" i="4"/>
  <c r="BU512" i="4"/>
  <c r="BT513" i="4"/>
  <c r="BU513" i="4"/>
  <c r="BT514" i="4"/>
  <c r="BU514" i="4"/>
  <c r="BT515" i="4"/>
  <c r="BU515" i="4"/>
  <c r="BT516" i="4"/>
  <c r="BU516" i="4"/>
  <c r="BT517" i="4"/>
  <c r="BU517" i="4"/>
  <c r="BT518" i="4"/>
  <c r="BU518" i="4"/>
  <c r="BT519" i="4"/>
  <c r="BU519" i="4"/>
  <c r="BT520" i="4"/>
  <c r="BU520" i="4"/>
  <c r="BT521" i="4"/>
  <c r="BU521" i="4"/>
  <c r="BT522" i="4"/>
  <c r="BU522" i="4"/>
  <c r="BT523" i="4"/>
  <c r="BU523" i="4"/>
  <c r="BT524" i="4"/>
  <c r="BU524" i="4"/>
  <c r="BT525" i="4"/>
  <c r="BU525" i="4"/>
  <c r="BT526" i="4"/>
  <c r="BU526" i="4"/>
  <c r="BT527" i="4"/>
  <c r="BU527" i="4"/>
  <c r="BT528" i="4"/>
  <c r="BU528" i="4"/>
  <c r="BT529" i="4"/>
  <c r="BU529" i="4"/>
  <c r="BT530" i="4"/>
  <c r="BU530" i="4"/>
  <c r="BT531" i="4"/>
  <c r="BU531" i="4"/>
  <c r="BT532" i="4"/>
  <c r="BU532" i="4"/>
  <c r="BU88" i="4"/>
  <c r="BT88" i="4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6" i="5"/>
  <c r="U607" i="4" l="1"/>
  <c r="CC607" i="4" s="1"/>
  <c r="CI607" i="4"/>
  <c r="T403" i="4"/>
  <c r="CB403" i="4" s="1"/>
  <c r="CH403" i="4"/>
  <c r="N609" i="4"/>
  <c r="U609" i="4" s="1"/>
  <c r="CC609" i="4" s="1"/>
  <c r="L289" i="4"/>
  <c r="N601" i="4"/>
  <c r="N415" i="4"/>
  <c r="M641" i="4"/>
  <c r="L95" i="4"/>
  <c r="CG95" i="4" s="1"/>
  <c r="CK589" i="4"/>
  <c r="M597" i="4"/>
  <c r="M593" i="4"/>
  <c r="M407" i="4"/>
  <c r="L439" i="4"/>
  <c r="L183" i="4"/>
  <c r="L433" i="4"/>
  <c r="N637" i="4"/>
  <c r="L633" i="4"/>
  <c r="L287" i="4"/>
  <c r="M575" i="4"/>
  <c r="CK563" i="4"/>
  <c r="M573" i="4"/>
  <c r="CH573" i="4" s="1"/>
  <c r="L603" i="4"/>
  <c r="M569" i="4"/>
  <c r="M409" i="4"/>
  <c r="L597" i="4"/>
  <c r="M567" i="4"/>
  <c r="L563" i="4"/>
  <c r="M539" i="4"/>
  <c r="O659" i="4"/>
  <c r="N603" i="4"/>
  <c r="N227" i="4"/>
  <c r="M277" i="4"/>
  <c r="L447" i="4"/>
  <c r="S447" i="4" s="1"/>
  <c r="CA447" i="4" s="1"/>
  <c r="M493" i="4"/>
  <c r="M381" i="4"/>
  <c r="T381" i="4" s="1"/>
  <c r="CB381" i="4" s="1"/>
  <c r="O417" i="4"/>
  <c r="N589" i="4"/>
  <c r="L387" i="4"/>
  <c r="CK639" i="4"/>
  <c r="CK577" i="4"/>
  <c r="M371" i="4"/>
  <c r="M157" i="4"/>
  <c r="L375" i="4"/>
  <c r="U349" i="4"/>
  <c r="CC349" i="4" s="1"/>
  <c r="CI349" i="4"/>
  <c r="T429" i="4"/>
  <c r="CB429" i="4" s="1"/>
  <c r="CH429" i="4"/>
  <c r="CK615" i="4"/>
  <c r="L557" i="4"/>
  <c r="L543" i="4"/>
  <c r="M621" i="4"/>
  <c r="N627" i="4"/>
  <c r="L483" i="4"/>
  <c r="CK569" i="4"/>
  <c r="M603" i="4"/>
  <c r="M465" i="4"/>
  <c r="CH465" i="4" s="1"/>
  <c r="CK637" i="4"/>
  <c r="N435" i="4"/>
  <c r="L209" i="4"/>
  <c r="S209" i="4" s="1"/>
  <c r="CA209" i="4" s="1"/>
  <c r="L89" i="4"/>
  <c r="CG89" i="4" s="1"/>
  <c r="CJ547" i="4"/>
  <c r="N605" i="4"/>
  <c r="N161" i="4"/>
  <c r="M577" i="4"/>
  <c r="M449" i="4"/>
  <c r="M343" i="4"/>
  <c r="M155" i="4"/>
  <c r="L415" i="4"/>
  <c r="CJ635" i="4"/>
  <c r="N417" i="4"/>
  <c r="L371" i="4"/>
  <c r="S371" i="4" s="1"/>
  <c r="CA371" i="4" s="1"/>
  <c r="CK593" i="4"/>
  <c r="M557" i="4"/>
  <c r="T557" i="4" s="1"/>
  <c r="CB557" i="4" s="1"/>
  <c r="M227" i="4"/>
  <c r="CH227" i="4" s="1"/>
  <c r="L367" i="4"/>
  <c r="CJ575" i="4"/>
  <c r="O639" i="4"/>
  <c r="N493" i="4"/>
  <c r="N411" i="4"/>
  <c r="N225" i="4"/>
  <c r="M321" i="4"/>
  <c r="CH321" i="4" s="1"/>
  <c r="M223" i="4"/>
  <c r="CH223" i="4" s="1"/>
  <c r="M547" i="4"/>
  <c r="M411" i="4"/>
  <c r="M221" i="4"/>
  <c r="U547" i="4"/>
  <c r="CC547" i="4" s="1"/>
  <c r="CI547" i="4"/>
  <c r="T511" i="4"/>
  <c r="CB511" i="4" s="1"/>
  <c r="CH511" i="4"/>
  <c r="S313" i="4"/>
  <c r="CA313" i="4" s="1"/>
  <c r="CG313" i="4"/>
  <c r="CJ657" i="4"/>
  <c r="CJ623" i="4"/>
  <c r="CJ567" i="4"/>
  <c r="CK591" i="4"/>
  <c r="M483" i="4"/>
  <c r="L419" i="4"/>
  <c r="M589" i="4"/>
  <c r="M291" i="4"/>
  <c r="M289" i="4"/>
  <c r="L227" i="4"/>
  <c r="CJ647" i="4"/>
  <c r="CK621" i="4"/>
  <c r="L225" i="4"/>
  <c r="M285" i="4"/>
  <c r="L659" i="4"/>
  <c r="L383" i="4"/>
  <c r="L223" i="4"/>
  <c r="L651" i="4"/>
  <c r="L381" i="4"/>
  <c r="L221" i="4"/>
  <c r="CK661" i="4"/>
  <c r="L601" i="4"/>
  <c r="CJ609" i="4"/>
  <c r="CJ571" i="4"/>
  <c r="N569" i="4"/>
  <c r="N481" i="4"/>
  <c r="CI481" i="4" s="1"/>
  <c r="M439" i="4"/>
  <c r="T439" i="4" s="1"/>
  <c r="CB439" i="4" s="1"/>
  <c r="M355" i="4"/>
  <c r="L573" i="4"/>
  <c r="L341" i="4"/>
  <c r="CG341" i="4" s="1"/>
  <c r="M525" i="4"/>
  <c r="M95" i="4"/>
  <c r="L537" i="4"/>
  <c r="S537" i="4" s="1"/>
  <c r="CA537" i="4" s="1"/>
  <c r="L319" i="4"/>
  <c r="L179" i="4"/>
  <c r="CK659" i="4"/>
  <c r="CK587" i="4"/>
  <c r="M419" i="4"/>
  <c r="M163" i="4"/>
  <c r="L533" i="4"/>
  <c r="N283" i="4"/>
  <c r="M661" i="4"/>
  <c r="M417" i="4"/>
  <c r="M333" i="4"/>
  <c r="M161" i="4"/>
  <c r="L529" i="4"/>
  <c r="M509" i="4"/>
  <c r="M415" i="4"/>
  <c r="M159" i="4"/>
  <c r="L521" i="4"/>
  <c r="L305" i="4"/>
  <c r="CG305" i="4" s="1"/>
  <c r="T353" i="4"/>
  <c r="CB353" i="4" s="1"/>
  <c r="CH353" i="4"/>
  <c r="S351" i="4"/>
  <c r="CA351" i="4" s="1"/>
  <c r="CG351" i="4"/>
  <c r="S623" i="4"/>
  <c r="CA623" i="4" s="1"/>
  <c r="CG623" i="4"/>
  <c r="CK553" i="4"/>
  <c r="K157" i="4"/>
  <c r="M605" i="4"/>
  <c r="V199" i="4"/>
  <c r="CD199" i="4" s="1"/>
  <c r="V473" i="4"/>
  <c r="CD473" i="4" s="1"/>
  <c r="L523" i="4"/>
  <c r="L509" i="4"/>
  <c r="M481" i="4"/>
  <c r="T481" i="4" s="1"/>
  <c r="CB481" i="4" s="1"/>
  <c r="L497" i="4"/>
  <c r="L99" i="4"/>
  <c r="M479" i="4"/>
  <c r="L491" i="4"/>
  <c r="CK605" i="4"/>
  <c r="CK539" i="4"/>
  <c r="L479" i="4"/>
  <c r="CG479" i="4" s="1"/>
  <c r="N539" i="4"/>
  <c r="M659" i="4"/>
  <c r="M535" i="4"/>
  <c r="L431" i="4"/>
  <c r="L273" i="4"/>
  <c r="L159" i="4"/>
  <c r="S159" i="4" s="1"/>
  <c r="CA159" i="4" s="1"/>
  <c r="CJ573" i="4"/>
  <c r="CJ565" i="4"/>
  <c r="M653" i="4"/>
  <c r="M533" i="4"/>
  <c r="L621" i="4"/>
  <c r="L427" i="4"/>
  <c r="L271" i="4"/>
  <c r="L155" i="4"/>
  <c r="CG155" i="4" s="1"/>
  <c r="M529" i="4"/>
  <c r="T529" i="4" s="1"/>
  <c r="CB529" i="4" s="1"/>
  <c r="L267" i="4"/>
  <c r="L153" i="4"/>
  <c r="M527" i="4"/>
  <c r="M433" i="4"/>
  <c r="L605" i="4"/>
  <c r="S605" i="4" s="1"/>
  <c r="CA605" i="4" s="1"/>
  <c r="L417" i="4"/>
  <c r="CG417" i="4" s="1"/>
  <c r="L149" i="4"/>
  <c r="R153" i="4"/>
  <c r="BZ153" i="4" s="1"/>
  <c r="CF153" i="4"/>
  <c r="R487" i="4"/>
  <c r="BZ487" i="4" s="1"/>
  <c r="CF487" i="4"/>
  <c r="R227" i="4"/>
  <c r="BZ227" i="4" s="1"/>
  <c r="CF227" i="4"/>
  <c r="M655" i="4"/>
  <c r="L661" i="4"/>
  <c r="L655" i="4"/>
  <c r="L645" i="4"/>
  <c r="L475" i="4"/>
  <c r="M627" i="4"/>
  <c r="T627" i="4" s="1"/>
  <c r="CB627" i="4" s="1"/>
  <c r="L629" i="4"/>
  <c r="L311" i="4"/>
  <c r="L627" i="4"/>
  <c r="L617" i="4"/>
  <c r="L441" i="4"/>
  <c r="M595" i="4"/>
  <c r="L567" i="4"/>
  <c r="L565" i="4"/>
  <c r="M477" i="4"/>
  <c r="R475" i="4"/>
  <c r="BZ475" i="4" s="1"/>
  <c r="CF475" i="4"/>
  <c r="S519" i="4"/>
  <c r="CA519" i="4" s="1"/>
  <c r="CG519" i="4"/>
  <c r="R175" i="4"/>
  <c r="BZ175" i="4" s="1"/>
  <c r="CF175" i="4"/>
  <c r="T615" i="4"/>
  <c r="CB615" i="4" s="1"/>
  <c r="CH615" i="4"/>
  <c r="CK645" i="4"/>
  <c r="CK573" i="4"/>
  <c r="W537" i="4"/>
  <c r="CE537" i="4" s="1"/>
  <c r="L657" i="4"/>
  <c r="CJ465" i="4"/>
  <c r="CJ651" i="4"/>
  <c r="CK547" i="4"/>
  <c r="M657" i="4"/>
  <c r="L647" i="4"/>
  <c r="L525" i="4"/>
  <c r="W597" i="4"/>
  <c r="CE597" i="4" s="1"/>
  <c r="M651" i="4"/>
  <c r="L643" i="4"/>
  <c r="L411" i="4"/>
  <c r="CJ531" i="4"/>
  <c r="CJ267" i="4"/>
  <c r="M649" i="4"/>
  <c r="CH649" i="4" s="1"/>
  <c r="L517" i="4"/>
  <c r="S517" i="4" s="1"/>
  <c r="CA517" i="4" s="1"/>
  <c r="L401" i="4"/>
  <c r="M647" i="4"/>
  <c r="M475" i="4"/>
  <c r="L513" i="4"/>
  <c r="L399" i="4"/>
  <c r="M645" i="4"/>
  <c r="M553" i="4"/>
  <c r="M473" i="4"/>
  <c r="L395" i="4"/>
  <c r="L283" i="4"/>
  <c r="CJ593" i="4"/>
  <c r="CJ587" i="4"/>
  <c r="L281" i="4"/>
  <c r="S281" i="4" s="1"/>
  <c r="CA281" i="4" s="1"/>
  <c r="V549" i="4"/>
  <c r="CD549" i="4" s="1"/>
  <c r="L485" i="4"/>
  <c r="L593" i="4"/>
  <c r="L473" i="4"/>
  <c r="CK511" i="4"/>
  <c r="CK193" i="4"/>
  <c r="N475" i="4"/>
  <c r="M521" i="4"/>
  <c r="M367" i="4"/>
  <c r="L467" i="4"/>
  <c r="L233" i="4"/>
  <c r="CK549" i="4"/>
  <c r="M609" i="4"/>
  <c r="M517" i="4"/>
  <c r="M283" i="4"/>
  <c r="CH283" i="4" s="1"/>
  <c r="L589" i="4"/>
  <c r="L463" i="4"/>
  <c r="L347" i="4"/>
  <c r="CI617" i="4"/>
  <c r="W561" i="4"/>
  <c r="CE561" i="4" s="1"/>
  <c r="N621" i="4"/>
  <c r="N471" i="4"/>
  <c r="U471" i="4" s="1"/>
  <c r="CC471" i="4" s="1"/>
  <c r="N217" i="4"/>
  <c r="M513" i="4"/>
  <c r="T513" i="4" s="1"/>
  <c r="CB513" i="4" s="1"/>
  <c r="M437" i="4"/>
  <c r="M363" i="4"/>
  <c r="CH363" i="4" s="1"/>
  <c r="M281" i="4"/>
  <c r="M207" i="4"/>
  <c r="L583" i="4"/>
  <c r="L461" i="4"/>
  <c r="L345" i="4"/>
  <c r="CG345" i="4" s="1"/>
  <c r="L577" i="4"/>
  <c r="L343" i="4"/>
  <c r="K535" i="4"/>
  <c r="R407" i="4"/>
  <c r="BZ407" i="4" s="1"/>
  <c r="CF407" i="4"/>
  <c r="R465" i="4"/>
  <c r="BZ465" i="4" s="1"/>
  <c r="CF465" i="4"/>
  <c r="R347" i="4"/>
  <c r="BZ347" i="4" s="1"/>
  <c r="CF347" i="4"/>
  <c r="R457" i="4"/>
  <c r="BZ457" i="4" s="1"/>
  <c r="CF457" i="4"/>
  <c r="R241" i="4"/>
  <c r="BZ241" i="4" s="1"/>
  <c r="CF241" i="4"/>
  <c r="W349" i="4"/>
  <c r="CE349" i="4" s="1"/>
  <c r="W619" i="4"/>
  <c r="CE619" i="4" s="1"/>
  <c r="K445" i="4"/>
  <c r="R445" i="4" s="1"/>
  <c r="BZ445" i="4" s="1"/>
  <c r="L501" i="4"/>
  <c r="W277" i="4"/>
  <c r="CE277" i="4" s="1"/>
  <c r="V629" i="4"/>
  <c r="CD629" i="4" s="1"/>
  <c r="CI553" i="4"/>
  <c r="M639" i="4"/>
  <c r="M563" i="4"/>
  <c r="V617" i="4"/>
  <c r="CD617" i="4" s="1"/>
  <c r="M561" i="4"/>
  <c r="T561" i="4" s="1"/>
  <c r="CB561" i="4" s="1"/>
  <c r="L217" i="4"/>
  <c r="L407" i="4"/>
  <c r="S407" i="4" s="1"/>
  <c r="CA407" i="4" s="1"/>
  <c r="L215" i="4"/>
  <c r="CK543" i="4"/>
  <c r="L585" i="4"/>
  <c r="CJ607" i="4"/>
  <c r="CI561" i="4"/>
  <c r="W653" i="4"/>
  <c r="CE653" i="4" s="1"/>
  <c r="CJ583" i="4"/>
  <c r="L471" i="4"/>
  <c r="L391" i="4"/>
  <c r="CG391" i="4" s="1"/>
  <c r="K527" i="4"/>
  <c r="W583" i="4"/>
  <c r="CE583" i="4" s="1"/>
  <c r="M531" i="4"/>
  <c r="M391" i="4"/>
  <c r="L653" i="4"/>
  <c r="L561" i="4"/>
  <c r="L465" i="4"/>
  <c r="L87" i="4"/>
  <c r="W575" i="4"/>
  <c r="CE575" i="4" s="1"/>
  <c r="L455" i="4"/>
  <c r="L639" i="4"/>
  <c r="CG639" i="4" s="1"/>
  <c r="L263" i="4"/>
  <c r="N565" i="4"/>
  <c r="U565" i="4" s="1"/>
  <c r="CC565" i="4" s="1"/>
  <c r="L637" i="4"/>
  <c r="S637" i="4" s="1"/>
  <c r="CA637" i="4" s="1"/>
  <c r="L531" i="4"/>
  <c r="L453" i="4"/>
  <c r="CK647" i="4"/>
  <c r="W629" i="4"/>
  <c r="CE629" i="4" s="1"/>
  <c r="L451" i="4"/>
  <c r="L359" i="4"/>
  <c r="L257" i="4"/>
  <c r="R267" i="4"/>
  <c r="BZ267" i="4" s="1"/>
  <c r="CF267" i="4"/>
  <c r="R559" i="4"/>
  <c r="BZ559" i="4" s="1"/>
  <c r="CF559" i="4"/>
  <c r="R447" i="4"/>
  <c r="BZ447" i="4" s="1"/>
  <c r="CF447" i="4"/>
  <c r="T91" i="4"/>
  <c r="CB91" i="4" s="1"/>
  <c r="CH91" i="4"/>
  <c r="R151" i="4"/>
  <c r="BZ151" i="4" s="1"/>
  <c r="CF151" i="4"/>
  <c r="R89" i="4"/>
  <c r="BZ89" i="4" s="1"/>
  <c r="CF89" i="4"/>
  <c r="T611" i="4"/>
  <c r="CB611" i="4" s="1"/>
  <c r="CH611" i="4"/>
  <c r="R319" i="4"/>
  <c r="BZ319" i="4" s="1"/>
  <c r="CF319" i="4"/>
  <c r="CF453" i="4"/>
  <c r="R453" i="4"/>
  <c r="BZ453" i="4" s="1"/>
  <c r="R251" i="4"/>
  <c r="BZ251" i="4" s="1"/>
  <c r="CF251" i="4"/>
  <c r="R79" i="4"/>
  <c r="BZ79" i="4" s="1"/>
  <c r="CF79" i="4"/>
  <c r="R77" i="4"/>
  <c r="BZ77" i="4" s="1"/>
  <c r="CF77" i="4"/>
  <c r="S245" i="4"/>
  <c r="CA245" i="4" s="1"/>
  <c r="CG245" i="4"/>
  <c r="Z43" i="4"/>
  <c r="AL43" i="4" s="1"/>
  <c r="AR43" i="4" s="1"/>
  <c r="AX43" i="4" s="1"/>
  <c r="BD43" i="4" s="1"/>
  <c r="CB43" i="4"/>
  <c r="R63" i="4"/>
  <c r="BZ63" i="4" s="1"/>
  <c r="CF63" i="4"/>
  <c r="R651" i="4"/>
  <c r="BZ651" i="4" s="1"/>
  <c r="CF651" i="4"/>
  <c r="R417" i="4"/>
  <c r="BZ417" i="4" s="1"/>
  <c r="CF417" i="4"/>
  <c r="R473" i="4"/>
  <c r="BZ473" i="4" s="1"/>
  <c r="CF473" i="4"/>
  <c r="R287" i="4"/>
  <c r="BZ287" i="4" s="1"/>
  <c r="CF287" i="4"/>
  <c r="R639" i="4"/>
  <c r="BZ639" i="4" s="1"/>
  <c r="CF639" i="4"/>
  <c r="R463" i="4"/>
  <c r="BZ463" i="4" s="1"/>
  <c r="CF463" i="4"/>
  <c r="R281" i="4"/>
  <c r="BZ281" i="4" s="1"/>
  <c r="CF281" i="4"/>
  <c r="R225" i="4"/>
  <c r="BZ225" i="4" s="1"/>
  <c r="CF225" i="4"/>
  <c r="R165" i="4"/>
  <c r="BZ165" i="4" s="1"/>
  <c r="CF165" i="4"/>
  <c r="V459" i="4"/>
  <c r="CD459" i="4" s="1"/>
  <c r="CJ459" i="4"/>
  <c r="CF401" i="4"/>
  <c r="R401" i="4"/>
  <c r="BZ401" i="4" s="1"/>
  <c r="CH381" i="4"/>
  <c r="CH183" i="4"/>
  <c r="O559" i="4"/>
  <c r="M559" i="4"/>
  <c r="CK219" i="4"/>
  <c r="CJ115" i="4"/>
  <c r="P559" i="4"/>
  <c r="W441" i="4"/>
  <c r="CE441" i="4" s="1"/>
  <c r="W327" i="4"/>
  <c r="CE327" i="4" s="1"/>
  <c r="O611" i="4"/>
  <c r="K245" i="4"/>
  <c r="R245" i="4" s="1"/>
  <c r="BZ245" i="4" s="1"/>
  <c r="CJ279" i="4"/>
  <c r="N303" i="4"/>
  <c r="L505" i="4"/>
  <c r="K499" i="4"/>
  <c r="CJ449" i="4"/>
  <c r="U369" i="4"/>
  <c r="CC369" i="4" s="1"/>
  <c r="M303" i="4"/>
  <c r="CK501" i="4"/>
  <c r="CI495" i="4"/>
  <c r="V207" i="4"/>
  <c r="CD207" i="4" s="1"/>
  <c r="CI127" i="4"/>
  <c r="P203" i="4"/>
  <c r="P91" i="4"/>
  <c r="CH439" i="4"/>
  <c r="P151" i="4"/>
  <c r="CF249" i="4"/>
  <c r="O203" i="4"/>
  <c r="CJ203" i="4" s="1"/>
  <c r="O151" i="4"/>
  <c r="O91" i="4"/>
  <c r="L249" i="4"/>
  <c r="CG43" i="4"/>
  <c r="P361" i="4"/>
  <c r="U423" i="4"/>
  <c r="CC423" i="4" s="1"/>
  <c r="L247" i="4"/>
  <c r="K393" i="4"/>
  <c r="CH245" i="4"/>
  <c r="CI613" i="4"/>
  <c r="CI385" i="4"/>
  <c r="L409" i="4"/>
  <c r="P303" i="4"/>
  <c r="W303" i="4" s="1"/>
  <c r="CE303" i="4" s="1"/>
  <c r="P249" i="4"/>
  <c r="CK249" i="4" s="1"/>
  <c r="O249" i="4"/>
  <c r="N151" i="4"/>
  <c r="L559" i="4"/>
  <c r="K435" i="4"/>
  <c r="N559" i="4"/>
  <c r="CI185" i="4"/>
  <c r="M151" i="4"/>
  <c r="L151" i="4"/>
  <c r="CG121" i="4"/>
  <c r="O303" i="4"/>
  <c r="N203" i="4"/>
  <c r="M459" i="4"/>
  <c r="CK169" i="4"/>
  <c r="CH491" i="4"/>
  <c r="CH315" i="4"/>
  <c r="CG605" i="4"/>
  <c r="W635" i="4"/>
  <c r="CE635" i="4" s="1"/>
  <c r="V185" i="4"/>
  <c r="CD185" i="4" s="1"/>
  <c r="M203" i="4"/>
  <c r="L303" i="4"/>
  <c r="CH129" i="4"/>
  <c r="CG201" i="4"/>
  <c r="N459" i="4"/>
  <c r="CI459" i="4" s="1"/>
  <c r="CJ55" i="4"/>
  <c r="CI445" i="4"/>
  <c r="M505" i="4"/>
  <c r="O505" i="4"/>
  <c r="CK331" i="4"/>
  <c r="CG517" i="4"/>
  <c r="P459" i="4"/>
  <c r="N505" i="4"/>
  <c r="CI243" i="4"/>
  <c r="CF505" i="4"/>
  <c r="CK447" i="4"/>
  <c r="N249" i="4"/>
  <c r="P505" i="4"/>
  <c r="W505" i="4" s="1"/>
  <c r="CE505" i="4" s="1"/>
  <c r="M249" i="4"/>
  <c r="L609" i="4"/>
  <c r="CG609" i="4" s="1"/>
  <c r="L203" i="4"/>
  <c r="V413" i="4"/>
  <c r="CD413" i="4" s="1"/>
  <c r="CJ413" i="4"/>
  <c r="CF303" i="4"/>
  <c r="R303" i="4"/>
  <c r="BZ303" i="4" s="1"/>
  <c r="CF411" i="4"/>
  <c r="R411" i="4"/>
  <c r="BZ411" i="4" s="1"/>
  <c r="R359" i="4"/>
  <c r="BZ359" i="4" s="1"/>
  <c r="CF359" i="4"/>
  <c r="R247" i="4"/>
  <c r="BZ247" i="4" s="1"/>
  <c r="CF247" i="4"/>
  <c r="CF201" i="4"/>
  <c r="R201" i="4"/>
  <c r="BZ201" i="4" s="1"/>
  <c r="AB42" i="4"/>
  <c r="CD42" i="4"/>
  <c r="CF455" i="4"/>
  <c r="R455" i="4"/>
  <c r="BZ455" i="4" s="1"/>
  <c r="R197" i="4"/>
  <c r="BZ197" i="4" s="1"/>
  <c r="CF197" i="4"/>
  <c r="V145" i="4"/>
  <c r="CD145" i="4" s="1"/>
  <c r="CJ145" i="4"/>
  <c r="CF87" i="4"/>
  <c r="R87" i="4"/>
  <c r="BZ87" i="4" s="1"/>
  <c r="R357" i="4"/>
  <c r="BZ357" i="4" s="1"/>
  <c r="CF357" i="4"/>
  <c r="R195" i="4"/>
  <c r="BZ195" i="4" s="1"/>
  <c r="CF195" i="4"/>
  <c r="CF143" i="4"/>
  <c r="R143" i="4"/>
  <c r="BZ143" i="4" s="1"/>
  <c r="W299" i="4"/>
  <c r="CE299" i="4" s="1"/>
  <c r="CK299" i="4"/>
  <c r="CF293" i="4"/>
  <c r="R293" i="4"/>
  <c r="BZ293" i="4" s="1"/>
  <c r="R655" i="4"/>
  <c r="BZ655" i="4" s="1"/>
  <c r="CF655" i="4"/>
  <c r="CF291" i="4"/>
  <c r="R291" i="4"/>
  <c r="BZ291" i="4" s="1"/>
  <c r="CF139" i="4"/>
  <c r="R139" i="4"/>
  <c r="BZ139" i="4" s="1"/>
  <c r="T81" i="4"/>
  <c r="CB81" i="4" s="1"/>
  <c r="CH81" i="4"/>
  <c r="R137" i="4"/>
  <c r="BZ137" i="4" s="1"/>
  <c r="CF137" i="4"/>
  <c r="CF199" i="4"/>
  <c r="R199" i="4"/>
  <c r="BZ199" i="4" s="1"/>
  <c r="AA42" i="4"/>
  <c r="CC42" i="4"/>
  <c r="CF449" i="4"/>
  <c r="R449" i="4"/>
  <c r="BZ449" i="4" s="1"/>
  <c r="CF239" i="4"/>
  <c r="R239" i="4"/>
  <c r="BZ239" i="4" s="1"/>
  <c r="CF187" i="4"/>
  <c r="R187" i="4"/>
  <c r="BZ187" i="4" s="1"/>
  <c r="R345" i="4"/>
  <c r="BZ345" i="4" s="1"/>
  <c r="CF345" i="4"/>
  <c r="S237" i="4"/>
  <c r="CA237" i="4" s="1"/>
  <c r="CG237" i="4"/>
  <c r="R185" i="4"/>
  <c r="BZ185" i="4" s="1"/>
  <c r="CF185" i="4"/>
  <c r="R133" i="4"/>
  <c r="BZ133" i="4" s="1"/>
  <c r="CF133" i="4"/>
  <c r="CF539" i="4"/>
  <c r="R539" i="4"/>
  <c r="BZ539" i="4" s="1"/>
  <c r="R183" i="4"/>
  <c r="BZ183" i="4" s="1"/>
  <c r="CF183" i="4"/>
  <c r="R397" i="4"/>
  <c r="BZ397" i="4" s="1"/>
  <c r="CF397" i="4"/>
  <c r="CF285" i="4"/>
  <c r="R285" i="4"/>
  <c r="BZ285" i="4" s="1"/>
  <c r="R129" i="4"/>
  <c r="BZ129" i="4" s="1"/>
  <c r="CF129" i="4"/>
  <c r="R75" i="4"/>
  <c r="BZ75" i="4" s="1"/>
  <c r="CF75" i="4"/>
  <c r="CF395" i="4"/>
  <c r="R395" i="4"/>
  <c r="BZ395" i="4" s="1"/>
  <c r="R283" i="4"/>
  <c r="BZ283" i="4" s="1"/>
  <c r="CF283" i="4"/>
  <c r="R233" i="4"/>
  <c r="BZ233" i="4" s="1"/>
  <c r="CF233" i="4"/>
  <c r="R231" i="4"/>
  <c r="BZ231" i="4" s="1"/>
  <c r="CF231" i="4"/>
  <c r="R441" i="4"/>
  <c r="BZ441" i="4" s="1"/>
  <c r="CF441" i="4"/>
  <c r="R439" i="4"/>
  <c r="BZ439" i="4" s="1"/>
  <c r="CF439" i="4"/>
  <c r="CF121" i="4"/>
  <c r="R121" i="4"/>
  <c r="BZ121" i="4" s="1"/>
  <c r="CF483" i="4"/>
  <c r="R483" i="4"/>
  <c r="BZ483" i="4" s="1"/>
  <c r="R437" i="4"/>
  <c r="BZ437" i="4" s="1"/>
  <c r="CF437" i="4"/>
  <c r="R389" i="4"/>
  <c r="BZ389" i="4" s="1"/>
  <c r="CF389" i="4"/>
  <c r="R117" i="4"/>
  <c r="BZ117" i="4" s="1"/>
  <c r="CF117" i="4"/>
  <c r="CG635" i="4"/>
  <c r="S635" i="4"/>
  <c r="CA635" i="4" s="1"/>
  <c r="CG435" i="4"/>
  <c r="S435" i="4"/>
  <c r="CA435" i="4" s="1"/>
  <c r="R273" i="4"/>
  <c r="BZ273" i="4" s="1"/>
  <c r="CF273" i="4"/>
  <c r="R171" i="4"/>
  <c r="BZ171" i="4" s="1"/>
  <c r="CF171" i="4"/>
  <c r="R327" i="4"/>
  <c r="BZ327" i="4" s="1"/>
  <c r="CF327" i="4"/>
  <c r="R169" i="4"/>
  <c r="BZ169" i="4" s="1"/>
  <c r="CF169" i="4"/>
  <c r="R61" i="4"/>
  <c r="BZ61" i="4" s="1"/>
  <c r="CF61" i="4"/>
  <c r="R431" i="4"/>
  <c r="BZ431" i="4" s="1"/>
  <c r="CF431" i="4"/>
  <c r="V269" i="4"/>
  <c r="CD269" i="4" s="1"/>
  <c r="CJ269" i="4"/>
  <c r="R221" i="4"/>
  <c r="BZ221" i="4" s="1"/>
  <c r="CF221" i="4"/>
  <c r="R59" i="4"/>
  <c r="BZ59" i="4" s="1"/>
  <c r="CF59" i="4"/>
  <c r="CF575" i="4"/>
  <c r="R575" i="4"/>
  <c r="BZ575" i="4" s="1"/>
  <c r="R523" i="4"/>
  <c r="BZ523" i="4" s="1"/>
  <c r="CF523" i="4"/>
  <c r="R111" i="4"/>
  <c r="BZ111" i="4" s="1"/>
  <c r="CF111" i="4"/>
  <c r="R57" i="4"/>
  <c r="BZ57" i="4" s="1"/>
  <c r="CF57" i="4"/>
  <c r="R321" i="4"/>
  <c r="BZ321" i="4" s="1"/>
  <c r="CF321" i="4"/>
  <c r="R55" i="4"/>
  <c r="BZ55" i="4" s="1"/>
  <c r="CF55" i="4"/>
  <c r="R217" i="4"/>
  <c r="BZ217" i="4" s="1"/>
  <c r="CF217" i="4"/>
  <c r="R163" i="4"/>
  <c r="BZ163" i="4" s="1"/>
  <c r="CF163" i="4"/>
  <c r="R471" i="4"/>
  <c r="BZ471" i="4" s="1"/>
  <c r="CF471" i="4"/>
  <c r="R263" i="4"/>
  <c r="BZ263" i="4" s="1"/>
  <c r="CF263" i="4"/>
  <c r="R161" i="4"/>
  <c r="BZ161" i="4" s="1"/>
  <c r="CF161" i="4"/>
  <c r="R105" i="4"/>
  <c r="BZ105" i="4" s="1"/>
  <c r="CF105" i="4"/>
  <c r="W469" i="4"/>
  <c r="CE469" i="4" s="1"/>
  <c r="CK469" i="4"/>
  <c r="R159" i="4"/>
  <c r="BZ159" i="4" s="1"/>
  <c r="CF159" i="4"/>
  <c r="R567" i="4"/>
  <c r="BZ567" i="4" s="1"/>
  <c r="CF567" i="4"/>
  <c r="CF421" i="4"/>
  <c r="R421" i="4"/>
  <c r="BZ421" i="4" s="1"/>
  <c r="R315" i="4"/>
  <c r="BZ315" i="4" s="1"/>
  <c r="CF315" i="4"/>
  <c r="V47" i="4"/>
  <c r="CD47" i="4" s="1"/>
  <c r="CJ47" i="4"/>
  <c r="R209" i="4"/>
  <c r="BZ209" i="4" s="1"/>
  <c r="CF209" i="4"/>
  <c r="R563" i="4"/>
  <c r="BZ563" i="4" s="1"/>
  <c r="CF563" i="4"/>
  <c r="R255" i="4"/>
  <c r="BZ255" i="4" s="1"/>
  <c r="CF255" i="4"/>
  <c r="S309" i="4"/>
  <c r="CA309" i="4" s="1"/>
  <c r="CG309" i="4"/>
  <c r="X42" i="4"/>
  <c r="BZ42" i="4"/>
  <c r="W205" i="4"/>
  <c r="CE205" i="4" s="1"/>
  <c r="CK205" i="4"/>
  <c r="R95" i="4"/>
  <c r="BZ95" i="4" s="1"/>
  <c r="CF95" i="4"/>
  <c r="R461" i="4"/>
  <c r="BZ461" i="4" s="1"/>
  <c r="CF461" i="4"/>
  <c r="CF337" i="4"/>
  <c r="CH105" i="4"/>
  <c r="W419" i="4"/>
  <c r="CE419" i="4" s="1"/>
  <c r="P335" i="4"/>
  <c r="O663" i="4"/>
  <c r="V615" i="4"/>
  <c r="CD615" i="4" s="1"/>
  <c r="V361" i="4"/>
  <c r="CD361" i="4" s="1"/>
  <c r="CK59" i="4"/>
  <c r="CI97" i="4"/>
  <c r="N541" i="4"/>
  <c r="N205" i="4"/>
  <c r="T213" i="4"/>
  <c r="CB213" i="4" s="1"/>
  <c r="L177" i="4"/>
  <c r="K355" i="4"/>
  <c r="CK57" i="4"/>
  <c r="CJ247" i="4"/>
  <c r="CF381" i="4"/>
  <c r="CF113" i="4"/>
  <c r="W121" i="4"/>
  <c r="CE121" i="4" s="1"/>
  <c r="V613" i="4"/>
  <c r="CD613" i="4" s="1"/>
  <c r="K595" i="4"/>
  <c r="N413" i="4"/>
  <c r="M413" i="4"/>
  <c r="R219" i="4"/>
  <c r="BZ219" i="4" s="1"/>
  <c r="CK633" i="4"/>
  <c r="CH627" i="4"/>
  <c r="CJ605" i="4"/>
  <c r="CI573" i="4"/>
  <c r="O177" i="4"/>
  <c r="N625" i="4"/>
  <c r="U625" i="4" s="1"/>
  <c r="CC625" i="4" s="1"/>
  <c r="M545" i="4"/>
  <c r="L113" i="4"/>
  <c r="CJ633" i="4"/>
  <c r="CG537" i="4"/>
  <c r="W329" i="4"/>
  <c r="CE329" i="4" s="1"/>
  <c r="V397" i="4"/>
  <c r="CD397" i="4" s="1"/>
  <c r="N665" i="4"/>
  <c r="N299" i="4"/>
  <c r="L649" i="4"/>
  <c r="L553" i="4"/>
  <c r="L503" i="4"/>
  <c r="K309" i="4"/>
  <c r="P413" i="4"/>
  <c r="O81" i="4"/>
  <c r="N663" i="4"/>
  <c r="U663" i="4" s="1"/>
  <c r="CC663" i="4" s="1"/>
  <c r="N581" i="4"/>
  <c r="N113" i="4"/>
  <c r="P545" i="4"/>
  <c r="P503" i="4"/>
  <c r="W503" i="4" s="1"/>
  <c r="CE503" i="4" s="1"/>
  <c r="M541" i="4"/>
  <c r="W585" i="4"/>
  <c r="CE585" i="4" s="1"/>
  <c r="O443" i="4"/>
  <c r="N579" i="4"/>
  <c r="T405" i="4"/>
  <c r="CB405" i="4" s="1"/>
  <c r="L545" i="4"/>
  <c r="K635" i="4"/>
  <c r="CH481" i="4"/>
  <c r="W627" i="4"/>
  <c r="CE627" i="4" s="1"/>
  <c r="W155" i="4"/>
  <c r="CE155" i="4" s="1"/>
  <c r="P113" i="4"/>
  <c r="L335" i="4"/>
  <c r="K587" i="4"/>
  <c r="CK357" i="4"/>
  <c r="P541" i="4"/>
  <c r="N237" i="4"/>
  <c r="L269" i="4"/>
  <c r="L47" i="4"/>
  <c r="CI651" i="4"/>
  <c r="CK355" i="4"/>
  <c r="CH239" i="4"/>
  <c r="CF445" i="4"/>
  <c r="CG637" i="4"/>
  <c r="CK609" i="4"/>
  <c r="P665" i="4"/>
  <c r="O299" i="4"/>
  <c r="N443" i="4"/>
  <c r="M299" i="4"/>
  <c r="L493" i="4"/>
  <c r="K271" i="4"/>
  <c r="CF271" i="4" s="1"/>
  <c r="K211" i="4"/>
  <c r="CI479" i="4"/>
  <c r="CG209" i="4"/>
  <c r="P625" i="4"/>
  <c r="P237" i="4"/>
  <c r="M581" i="4"/>
  <c r="L541" i="4"/>
  <c r="CK445" i="4"/>
  <c r="CI477" i="4"/>
  <c r="CI395" i="4"/>
  <c r="CI143" i="4"/>
  <c r="CG207" i="4"/>
  <c r="CK641" i="4"/>
  <c r="CI609" i="4"/>
  <c r="CK557" i="4"/>
  <c r="P663" i="4"/>
  <c r="P581" i="4"/>
  <c r="N145" i="4"/>
  <c r="U145" i="4" s="1"/>
  <c r="CC145" i="4" s="1"/>
  <c r="M443" i="4"/>
  <c r="M113" i="4"/>
  <c r="CH113" i="4" s="1"/>
  <c r="L641" i="4"/>
  <c r="L539" i="4"/>
  <c r="L321" i="4"/>
  <c r="K49" i="4"/>
  <c r="CJ293" i="4"/>
  <c r="CG385" i="4"/>
  <c r="CF665" i="4"/>
  <c r="CF581" i="4"/>
  <c r="CJ557" i="4"/>
  <c r="P579" i="4"/>
  <c r="W535" i="4"/>
  <c r="CE535" i="4" s="1"/>
  <c r="W399" i="4"/>
  <c r="CE399" i="4" s="1"/>
  <c r="W105" i="4"/>
  <c r="CE105" i="4" s="1"/>
  <c r="V205" i="4"/>
  <c r="CD205" i="4" s="1"/>
  <c r="U523" i="4"/>
  <c r="CC523" i="4" s="1"/>
  <c r="U439" i="4"/>
  <c r="CC439" i="4" s="1"/>
  <c r="N47" i="4"/>
  <c r="M579" i="4"/>
  <c r="T111" i="4"/>
  <c r="CB111" i="4" s="1"/>
  <c r="S639" i="4"/>
  <c r="CA639" i="4" s="1"/>
  <c r="S89" i="4"/>
  <c r="CA89" i="4" s="1"/>
  <c r="R545" i="4"/>
  <c r="BZ545" i="4" s="1"/>
  <c r="R415" i="4"/>
  <c r="BZ415" i="4" s="1"/>
  <c r="K269" i="4"/>
  <c r="K237" i="4"/>
  <c r="K177" i="4"/>
  <c r="K81" i="4"/>
  <c r="CJ289" i="4"/>
  <c r="CH393" i="4"/>
  <c r="CF335" i="4"/>
  <c r="CF235" i="4"/>
  <c r="P443" i="4"/>
  <c r="W395" i="4"/>
  <c r="CE395" i="4" s="1"/>
  <c r="W315" i="4"/>
  <c r="CE315" i="4" s="1"/>
  <c r="W185" i="4"/>
  <c r="CE185" i="4" s="1"/>
  <c r="V553" i="4"/>
  <c r="CD553" i="4" s="1"/>
  <c r="V245" i="4"/>
  <c r="CD245" i="4" s="1"/>
  <c r="V203" i="4"/>
  <c r="CD203" i="4" s="1"/>
  <c r="U521" i="4"/>
  <c r="CC521" i="4" s="1"/>
  <c r="L581" i="4"/>
  <c r="R663" i="4"/>
  <c r="BZ663" i="4" s="1"/>
  <c r="R579" i="4"/>
  <c r="BZ579" i="4" s="1"/>
  <c r="K469" i="4"/>
  <c r="K299" i="4"/>
  <c r="K145" i="4"/>
  <c r="K47" i="4"/>
  <c r="CF503" i="4"/>
  <c r="M625" i="4"/>
  <c r="P145" i="4"/>
  <c r="L579" i="4"/>
  <c r="L145" i="4"/>
  <c r="CK177" i="4"/>
  <c r="CJ509" i="4"/>
  <c r="CF625" i="4"/>
  <c r="CK565" i="4"/>
  <c r="O469" i="4"/>
  <c r="CJ469" i="4" s="1"/>
  <c r="O379" i="4"/>
  <c r="T283" i="4"/>
  <c r="CB283" i="4" s="1"/>
  <c r="M237" i="4"/>
  <c r="L437" i="4"/>
  <c r="L379" i="4"/>
  <c r="L81" i="4"/>
  <c r="CG81" i="4" s="1"/>
  <c r="K375" i="4"/>
  <c r="CJ433" i="4"/>
  <c r="CI565" i="4"/>
  <c r="M665" i="4"/>
  <c r="L575" i="4"/>
  <c r="L481" i="4"/>
  <c r="K409" i="4"/>
  <c r="K141" i="4"/>
  <c r="CH529" i="4"/>
  <c r="W527" i="4"/>
  <c r="CE527" i="4" s="1"/>
  <c r="P269" i="4"/>
  <c r="W139" i="4"/>
  <c r="CE139" i="4" s="1"/>
  <c r="V419" i="4"/>
  <c r="CD419" i="4" s="1"/>
  <c r="V373" i="4"/>
  <c r="CD373" i="4" s="1"/>
  <c r="O335" i="4"/>
  <c r="V283" i="4"/>
  <c r="CD283" i="4" s="1"/>
  <c r="O237" i="4"/>
  <c r="N335" i="4"/>
  <c r="N269" i="4"/>
  <c r="M663" i="4"/>
  <c r="K109" i="4"/>
  <c r="CK317" i="4"/>
  <c r="CG259" i="4"/>
  <c r="P47" i="4"/>
  <c r="CK47" i="4" s="1"/>
  <c r="O545" i="4"/>
  <c r="V545" i="4" s="1"/>
  <c r="CD545" i="4" s="1"/>
  <c r="O503" i="4"/>
  <c r="M335" i="4"/>
  <c r="L665" i="4"/>
  <c r="S665" i="4" s="1"/>
  <c r="CA665" i="4" s="1"/>
  <c r="CH287" i="4"/>
  <c r="CJ543" i="4"/>
  <c r="N469" i="4"/>
  <c r="N379" i="4"/>
  <c r="N177" i="4"/>
  <c r="L569" i="4"/>
  <c r="L477" i="4"/>
  <c r="K73" i="4"/>
  <c r="U467" i="4"/>
  <c r="CC467" i="4" s="1"/>
  <c r="M469" i="4"/>
  <c r="L663" i="4"/>
  <c r="L625" i="4"/>
  <c r="L299" i="4"/>
  <c r="W341" i="4"/>
  <c r="CE341" i="4" s="1"/>
  <c r="N503" i="4"/>
  <c r="N81" i="4"/>
  <c r="M177" i="4"/>
  <c r="O625" i="4"/>
  <c r="O541" i="4"/>
  <c r="CK231" i="4"/>
  <c r="CH189" i="4"/>
  <c r="CF207" i="4"/>
  <c r="L469" i="4"/>
  <c r="P379" i="4"/>
  <c r="O581" i="4"/>
  <c r="P81" i="4"/>
  <c r="O579" i="4"/>
  <c r="V579" i="4" s="1"/>
  <c r="CD579" i="4" s="1"/>
  <c r="M379" i="4"/>
  <c r="M269" i="4"/>
  <c r="K99" i="4"/>
  <c r="W295" i="4"/>
  <c r="CE295" i="4" s="1"/>
  <c r="O665" i="4"/>
  <c r="N545" i="4"/>
  <c r="U459" i="4"/>
  <c r="CC459" i="4" s="1"/>
  <c r="M503" i="4"/>
  <c r="W393" i="4"/>
  <c r="CE393" i="4" s="1"/>
  <c r="CK393" i="4"/>
  <c r="S539" i="4"/>
  <c r="CA539" i="4" s="1"/>
  <c r="CG539" i="4"/>
  <c r="W411" i="4"/>
  <c r="CE411" i="4" s="1"/>
  <c r="CK411" i="4"/>
  <c r="CI65" i="4"/>
  <c r="T109" i="4"/>
  <c r="CB109" i="4" s="1"/>
  <c r="CH109" i="4"/>
  <c r="T593" i="4"/>
  <c r="CB593" i="4" s="1"/>
  <c r="V321" i="4"/>
  <c r="CD321" i="4" s="1"/>
  <c r="CJ321" i="4"/>
  <c r="V257" i="4"/>
  <c r="CD257" i="4" s="1"/>
  <c r="CJ257" i="4"/>
  <c r="U535" i="4"/>
  <c r="CC535" i="4" s="1"/>
  <c r="CI535" i="4"/>
  <c r="CK383" i="4"/>
  <c r="T537" i="4"/>
  <c r="CB537" i="4" s="1"/>
  <c r="CH537" i="4"/>
  <c r="W489" i="4"/>
  <c r="CE489" i="4" s="1"/>
  <c r="CK489" i="4"/>
  <c r="K631" i="4"/>
  <c r="L631" i="4"/>
  <c r="M631" i="4"/>
  <c r="N631" i="4"/>
  <c r="P631" i="4"/>
  <c r="W617" i="4"/>
  <c r="CE617" i="4" s="1"/>
  <c r="CH375" i="4"/>
  <c r="CI653" i="4"/>
  <c r="L45" i="4"/>
  <c r="N45" i="4"/>
  <c r="P45" i="4"/>
  <c r="M45" i="4"/>
  <c r="O45" i="4"/>
  <c r="V305" i="4"/>
  <c r="CD305" i="4" s="1"/>
  <c r="CJ305" i="4"/>
  <c r="H37" i="4"/>
  <c r="H31" i="4" s="1"/>
  <c r="CJ85" i="4"/>
  <c r="V85" i="4"/>
  <c r="CD85" i="4" s="1"/>
  <c r="T333" i="4"/>
  <c r="CB333" i="4" s="1"/>
  <c r="CH333" i="4"/>
  <c r="CH313" i="4"/>
  <c r="U133" i="4"/>
  <c r="CC133" i="4" s="1"/>
  <c r="T331" i="4"/>
  <c r="CB331" i="4" s="1"/>
  <c r="CH331" i="4"/>
  <c r="V95" i="4"/>
  <c r="CD95" i="4" s="1"/>
  <c r="CJ95" i="4"/>
  <c r="R423" i="4"/>
  <c r="BZ423" i="4" s="1"/>
  <c r="CF423" i="4"/>
  <c r="U485" i="4"/>
  <c r="CC485" i="4" s="1"/>
  <c r="CI485" i="4"/>
  <c r="V563" i="4"/>
  <c r="CD563" i="4" s="1"/>
  <c r="T485" i="4"/>
  <c r="CB485" i="4" s="1"/>
  <c r="CH485" i="4"/>
  <c r="CH247" i="4"/>
  <c r="CG293" i="4"/>
  <c r="R643" i="4"/>
  <c r="BZ643" i="4" s="1"/>
  <c r="CF643" i="4"/>
  <c r="S265" i="4"/>
  <c r="CA265" i="4" s="1"/>
  <c r="CG265" i="4"/>
  <c r="CJ563" i="4"/>
  <c r="V239" i="4"/>
  <c r="CD239" i="4" s="1"/>
  <c r="CJ239" i="4"/>
  <c r="K85" i="4"/>
  <c r="N85" i="4"/>
  <c r="L85" i="4"/>
  <c r="M85" i="4"/>
  <c r="P85" i="4"/>
  <c r="CF659" i="4"/>
  <c r="CK617" i="4"/>
  <c r="CK533" i="4"/>
  <c r="W475" i="4"/>
  <c r="CE475" i="4" s="1"/>
  <c r="CK475" i="4"/>
  <c r="CI625" i="4"/>
  <c r="S479" i="4"/>
  <c r="CA479" i="4" s="1"/>
  <c r="R333" i="4"/>
  <c r="BZ333" i="4" s="1"/>
  <c r="CF333" i="4"/>
  <c r="T233" i="4"/>
  <c r="CB233" i="4" s="1"/>
  <c r="CH487" i="4"/>
  <c r="V561" i="4"/>
  <c r="CD561" i="4" s="1"/>
  <c r="CJ561" i="4"/>
  <c r="O631" i="4"/>
  <c r="S267" i="4"/>
  <c r="CA267" i="4" s="1"/>
  <c r="CG267" i="4"/>
  <c r="R661" i="4"/>
  <c r="BZ661" i="4" s="1"/>
  <c r="CF661" i="4"/>
  <c r="O71" i="4"/>
  <c r="L71" i="4"/>
  <c r="K71" i="4"/>
  <c r="N71" i="4"/>
  <c r="P71" i="4"/>
  <c r="M71" i="4"/>
  <c r="CF45" i="4"/>
  <c r="V371" i="4"/>
  <c r="CD371" i="4" s="1"/>
  <c r="CJ153" i="4"/>
  <c r="CH593" i="4"/>
  <c r="W491" i="4"/>
  <c r="CE491" i="4" s="1"/>
  <c r="U641" i="4"/>
  <c r="CC641" i="4" s="1"/>
  <c r="R425" i="4"/>
  <c r="BZ425" i="4" s="1"/>
  <c r="CF425" i="4"/>
  <c r="CI223" i="4"/>
  <c r="U223" i="4"/>
  <c r="CC223" i="4" s="1"/>
  <c r="K53" i="4"/>
  <c r="M53" i="4"/>
  <c r="O53" i="4"/>
  <c r="P53" i="4"/>
  <c r="L53" i="4"/>
  <c r="CI497" i="4"/>
  <c r="T185" i="4"/>
  <c r="CB185" i="4" s="1"/>
  <c r="U577" i="4"/>
  <c r="CC577" i="4" s="1"/>
  <c r="CI577" i="4"/>
  <c r="S289" i="4"/>
  <c r="CA289" i="4" s="1"/>
  <c r="S197" i="4"/>
  <c r="CA197" i="4" s="1"/>
  <c r="U351" i="4"/>
  <c r="CC351" i="4" s="1"/>
  <c r="CI351" i="4"/>
  <c r="T55" i="4"/>
  <c r="CB55" i="4" s="1"/>
  <c r="CH185" i="4"/>
  <c r="CI471" i="4"/>
  <c r="V295" i="4"/>
  <c r="CD295" i="4" s="1"/>
  <c r="CJ295" i="4"/>
  <c r="N53" i="4"/>
  <c r="CK89" i="4"/>
  <c r="V311" i="4"/>
  <c r="CD311" i="4" s="1"/>
  <c r="CJ311" i="4"/>
  <c r="U247" i="4"/>
  <c r="CC247" i="4" s="1"/>
  <c r="CI247" i="4"/>
  <c r="R301" i="4"/>
  <c r="BZ301" i="4" s="1"/>
  <c r="R123" i="4"/>
  <c r="BZ123" i="4" s="1"/>
  <c r="CF123" i="4"/>
  <c r="CJ655" i="4"/>
  <c r="CH643" i="4"/>
  <c r="CK551" i="4"/>
  <c r="V455" i="4"/>
  <c r="CD455" i="4" s="1"/>
  <c r="CJ455" i="4"/>
  <c r="U629" i="4"/>
  <c r="CC629" i="4" s="1"/>
  <c r="CI629" i="4"/>
  <c r="S441" i="4"/>
  <c r="CA441" i="4" s="1"/>
  <c r="CG441" i="4"/>
  <c r="L301" i="4"/>
  <c r="N301" i="4"/>
  <c r="O301" i="4"/>
  <c r="M301" i="4"/>
  <c r="P301" i="4"/>
  <c r="U311" i="4"/>
  <c r="CC311" i="4" s="1"/>
  <c r="T229" i="4"/>
  <c r="CB229" i="4" s="1"/>
  <c r="CH229" i="4"/>
  <c r="R627" i="4"/>
  <c r="BZ627" i="4" s="1"/>
  <c r="C37" i="4"/>
  <c r="C31" i="4" s="1"/>
  <c r="W217" i="4"/>
  <c r="CE217" i="4" s="1"/>
  <c r="CK217" i="4"/>
  <c r="V641" i="4"/>
  <c r="CD641" i="4" s="1"/>
  <c r="CJ641" i="4"/>
  <c r="V193" i="4"/>
  <c r="CD193" i="4" s="1"/>
  <c r="CJ193" i="4"/>
  <c r="R127" i="4"/>
  <c r="BZ127" i="4" s="1"/>
  <c r="CK429" i="4"/>
  <c r="W275" i="4"/>
  <c r="CE275" i="4" s="1"/>
  <c r="CK275" i="4"/>
  <c r="CK651" i="4"/>
  <c r="S443" i="4"/>
  <c r="CA443" i="4" s="1"/>
  <c r="CK405" i="4"/>
  <c r="CJ461" i="4"/>
  <c r="CK655" i="4"/>
  <c r="CH117" i="4"/>
  <c r="CG289" i="4"/>
  <c r="V537" i="4"/>
  <c r="CD537" i="4" s="1"/>
  <c r="V405" i="4"/>
  <c r="CD405" i="4" s="1"/>
  <c r="T543" i="4"/>
  <c r="CB543" i="4" s="1"/>
  <c r="T197" i="4"/>
  <c r="CB197" i="4" s="1"/>
  <c r="CH197" i="4"/>
  <c r="R451" i="4"/>
  <c r="BZ451" i="4" s="1"/>
  <c r="CK613" i="4"/>
  <c r="CI311" i="4"/>
  <c r="W471" i="4"/>
  <c r="CE471" i="4" s="1"/>
  <c r="CK471" i="4"/>
  <c r="R97" i="4"/>
  <c r="BZ97" i="4" s="1"/>
  <c r="CF97" i="4"/>
  <c r="J46" i="4"/>
  <c r="T51" i="4"/>
  <c r="CB51" i="4" s="1"/>
  <c r="CH51" i="4"/>
  <c r="S341" i="4"/>
  <c r="CA341" i="4" s="1"/>
  <c r="CK595" i="4"/>
  <c r="T147" i="4"/>
  <c r="CB147" i="4" s="1"/>
  <c r="CJ105" i="4"/>
  <c r="CH55" i="4"/>
  <c r="V407" i="4"/>
  <c r="CD407" i="4" s="1"/>
  <c r="T397" i="4"/>
  <c r="CB397" i="4" s="1"/>
  <c r="CH397" i="4"/>
  <c r="K93" i="4"/>
  <c r="L93" i="4"/>
  <c r="M93" i="4"/>
  <c r="P93" i="4"/>
  <c r="CK149" i="4"/>
  <c r="CI93" i="4"/>
  <c r="CF301" i="4"/>
  <c r="W603" i="4"/>
  <c r="CE603" i="4" s="1"/>
  <c r="CK603" i="4"/>
  <c r="W425" i="4"/>
  <c r="CE425" i="4" s="1"/>
  <c r="CK425" i="4"/>
  <c r="T411" i="4"/>
  <c r="CB411" i="4" s="1"/>
  <c r="CH411" i="4"/>
  <c r="S171" i="4"/>
  <c r="CA171" i="4" s="1"/>
  <c r="T649" i="4"/>
  <c r="CB649" i="4" s="1"/>
  <c r="S527" i="4"/>
  <c r="CA527" i="4" s="1"/>
  <c r="CK521" i="4"/>
  <c r="T173" i="4"/>
  <c r="CB173" i="4" s="1"/>
  <c r="CH173" i="4"/>
  <c r="S175" i="4"/>
  <c r="CA175" i="4" s="1"/>
  <c r="W345" i="4"/>
  <c r="CE345" i="4" s="1"/>
  <c r="CK345" i="4"/>
  <c r="CG171" i="4"/>
  <c r="V343" i="4"/>
  <c r="CD343" i="4" s="1"/>
  <c r="U305" i="4"/>
  <c r="CC305" i="4" s="1"/>
  <c r="CI305" i="4"/>
  <c r="U63" i="4"/>
  <c r="CC63" i="4" s="1"/>
  <c r="T321" i="4"/>
  <c r="CB321" i="4" s="1"/>
  <c r="S231" i="4"/>
  <c r="CA231" i="4" s="1"/>
  <c r="CG231" i="4"/>
  <c r="S95" i="4"/>
  <c r="CA95" i="4" s="1"/>
  <c r="S69" i="4"/>
  <c r="CA69" i="4" s="1"/>
  <c r="N555" i="4"/>
  <c r="L555" i="4"/>
  <c r="K555" i="4"/>
  <c r="M555" i="4"/>
  <c r="O555" i="4"/>
  <c r="P555" i="4"/>
  <c r="R433" i="4"/>
  <c r="BZ433" i="4" s="1"/>
  <c r="CF433" i="4"/>
  <c r="CK437" i="4"/>
  <c r="U225" i="4"/>
  <c r="CC225" i="4" s="1"/>
  <c r="CI225" i="4"/>
  <c r="R367" i="4"/>
  <c r="BZ367" i="4" s="1"/>
  <c r="CK117" i="4"/>
  <c r="CF367" i="4"/>
  <c r="V649" i="4"/>
  <c r="CD649" i="4" s="1"/>
  <c r="CJ649" i="4"/>
  <c r="U287" i="4"/>
  <c r="CC287" i="4" s="1"/>
  <c r="CI287" i="4"/>
  <c r="S471" i="4"/>
  <c r="CA471" i="4" s="1"/>
  <c r="CG471" i="4"/>
  <c r="S211" i="4"/>
  <c r="CA211" i="4" s="1"/>
  <c r="S163" i="4"/>
  <c r="CA163" i="4" s="1"/>
  <c r="T227" i="4"/>
  <c r="CB227" i="4" s="1"/>
  <c r="S155" i="4"/>
  <c r="CA155" i="4" s="1"/>
  <c r="L397" i="4"/>
  <c r="N397" i="4"/>
  <c r="N361" i="4"/>
  <c r="K361" i="4"/>
  <c r="L361" i="4"/>
  <c r="M361" i="4"/>
  <c r="CH61" i="4"/>
  <c r="BW40" i="4"/>
  <c r="W42" i="4"/>
  <c r="V79" i="4"/>
  <c r="CD79" i="4" s="1"/>
  <c r="T223" i="4"/>
  <c r="CB223" i="4" s="1"/>
  <c r="S587" i="4"/>
  <c r="CA587" i="4" s="1"/>
  <c r="P397" i="4"/>
  <c r="U463" i="4"/>
  <c r="CC463" i="4" s="1"/>
  <c r="T467" i="4"/>
  <c r="CB467" i="4" s="1"/>
  <c r="T465" i="4"/>
  <c r="CB465" i="4" s="1"/>
  <c r="T401" i="4"/>
  <c r="CB401" i="4" s="1"/>
  <c r="N425" i="4"/>
  <c r="L425" i="4"/>
  <c r="V281" i="4"/>
  <c r="CD281" i="4" s="1"/>
  <c r="L619" i="4"/>
  <c r="K619" i="4"/>
  <c r="O619" i="4"/>
  <c r="M619" i="4"/>
  <c r="K279" i="4"/>
  <c r="L279" i="4"/>
  <c r="N279" i="4"/>
  <c r="V195" i="4"/>
  <c r="CD195" i="4" s="1"/>
  <c r="K599" i="4"/>
  <c r="L599" i="4"/>
  <c r="M599" i="4"/>
  <c r="P599" i="4"/>
  <c r="K265" i="4"/>
  <c r="N265" i="4"/>
  <c r="P265" i="4"/>
  <c r="T573" i="4"/>
  <c r="CB573" i="4" s="1"/>
  <c r="S345" i="4"/>
  <c r="CA345" i="4" s="1"/>
  <c r="K571" i="4"/>
  <c r="M571" i="4"/>
  <c r="L571" i="4"/>
  <c r="N571" i="4"/>
  <c r="P571" i="4"/>
  <c r="L405" i="4"/>
  <c r="K405" i="4"/>
  <c r="M275" i="4"/>
  <c r="O275" i="4"/>
  <c r="K275" i="4"/>
  <c r="N275" i="4"/>
  <c r="L275" i="4"/>
  <c r="L423" i="4"/>
  <c r="M423" i="4"/>
  <c r="O423" i="4"/>
  <c r="K325" i="4"/>
  <c r="N325" i="4"/>
  <c r="M325" i="4"/>
  <c r="L325" i="4"/>
  <c r="O325" i="4"/>
  <c r="P325" i="4"/>
  <c r="K91" i="4"/>
  <c r="L91" i="4"/>
  <c r="N91" i="4"/>
  <c r="L253" i="4"/>
  <c r="M253" i="4"/>
  <c r="K253" i="4"/>
  <c r="N253" i="4"/>
  <c r="R203" i="4"/>
  <c r="BZ203" i="4" s="1"/>
  <c r="K107" i="4"/>
  <c r="N107" i="4"/>
  <c r="M107" i="4"/>
  <c r="L107" i="4"/>
  <c r="P107" i="4"/>
  <c r="K507" i="4"/>
  <c r="L507" i="4"/>
  <c r="N507" i="4"/>
  <c r="P507" i="4"/>
  <c r="K551" i="4"/>
  <c r="M551" i="4"/>
  <c r="L551" i="4"/>
  <c r="N551" i="4"/>
  <c r="M421" i="4"/>
  <c r="O421" i="4"/>
  <c r="P421" i="4"/>
  <c r="L421" i="4"/>
  <c r="K307" i="4"/>
  <c r="L307" i="4"/>
  <c r="M307" i="4"/>
  <c r="S305" i="4"/>
  <c r="CA305" i="4" s="1"/>
  <c r="AK42" i="4"/>
  <c r="Y43" i="4"/>
  <c r="L44" i="4" s="1"/>
  <c r="M591" i="4"/>
  <c r="K591" i="4"/>
  <c r="L591" i="4"/>
  <c r="T445" i="4"/>
  <c r="CB445" i="4" s="1"/>
  <c r="K387" i="4"/>
  <c r="K519" i="4"/>
  <c r="N519" i="4"/>
  <c r="M519" i="4"/>
  <c r="P519" i="4"/>
  <c r="M323" i="4"/>
  <c r="L323" i="4"/>
  <c r="R181" i="4"/>
  <c r="BZ181" i="4" s="1"/>
  <c r="R509" i="4"/>
  <c r="BZ509" i="4" s="1"/>
  <c r="L189" i="4"/>
  <c r="K189" i="4"/>
  <c r="P189" i="4"/>
  <c r="N189" i="4"/>
  <c r="N611" i="4"/>
  <c r="L611" i="4"/>
  <c r="K611" i="4"/>
  <c r="P611" i="4"/>
  <c r="K495" i="4"/>
  <c r="L495" i="4"/>
  <c r="P495" i="4"/>
  <c r="K167" i="4"/>
  <c r="M167" i="4"/>
  <c r="O167" i="4"/>
  <c r="L167" i="4"/>
  <c r="N167" i="4"/>
  <c r="L373" i="4"/>
  <c r="K373" i="4"/>
  <c r="K607" i="4"/>
  <c r="L607" i="4"/>
  <c r="M607" i="4"/>
  <c r="K403" i="4"/>
  <c r="L403" i="4"/>
  <c r="P403" i="4"/>
  <c r="N403" i="4"/>
  <c r="K515" i="4"/>
  <c r="M515" i="4"/>
  <c r="L515" i="4"/>
  <c r="L413" i="4"/>
  <c r="K413" i="4"/>
  <c r="K377" i="4"/>
  <c r="N377" i="4"/>
  <c r="M377" i="4"/>
  <c r="L377" i="4"/>
  <c r="K297" i="4"/>
  <c r="N297" i="4"/>
  <c r="L297" i="4"/>
  <c r="L333" i="4"/>
  <c r="N333" i="4"/>
  <c r="K295" i="4"/>
  <c r="M295" i="4"/>
  <c r="K125" i="4"/>
  <c r="L125" i="4"/>
  <c r="K369" i="4"/>
  <c r="P369" i="4"/>
  <c r="L369" i="4"/>
  <c r="M199" i="4"/>
  <c r="L199" i="4"/>
  <c r="K119" i="4"/>
  <c r="O119" i="4"/>
  <c r="L119" i="4"/>
  <c r="K623" i="4"/>
  <c r="M623" i="4"/>
  <c r="K547" i="4"/>
  <c r="L547" i="4"/>
  <c r="K261" i="4"/>
  <c r="L261" i="4"/>
  <c r="P123" i="4"/>
  <c r="L123" i="4"/>
  <c r="N123" i="4"/>
  <c r="M59" i="4"/>
  <c r="O59" i="4"/>
  <c r="N455" i="4"/>
  <c r="P455" i="4"/>
  <c r="K353" i="4"/>
  <c r="N353" i="4"/>
  <c r="P353" i="4"/>
  <c r="O103" i="4"/>
  <c r="K103" i="4"/>
  <c r="K365" i="4"/>
  <c r="L365" i="4"/>
  <c r="K317" i="4"/>
  <c r="L317" i="4"/>
  <c r="N317" i="4"/>
  <c r="L165" i="4"/>
  <c r="P165" i="4"/>
  <c r="K101" i="4"/>
  <c r="L101" i="4"/>
  <c r="K511" i="4"/>
  <c r="L511" i="4"/>
  <c r="N511" i="4"/>
  <c r="M351" i="4"/>
  <c r="K351" i="4"/>
  <c r="K259" i="4"/>
  <c r="M259" i="4"/>
  <c r="K213" i="4"/>
  <c r="N213" i="4"/>
  <c r="L213" i="4"/>
  <c r="K191" i="4"/>
  <c r="L191" i="4"/>
  <c r="M191" i="4"/>
  <c r="K173" i="4"/>
  <c r="L173" i="4"/>
  <c r="K67" i="4"/>
  <c r="M67" i="4"/>
  <c r="BI42" i="4"/>
  <c r="K205" i="4"/>
  <c r="L205" i="4"/>
  <c r="M205" i="4"/>
  <c r="N57" i="4"/>
  <c r="L57" i="4"/>
  <c r="K615" i="4"/>
  <c r="L615" i="4"/>
  <c r="K385" i="4"/>
  <c r="P385" i="4"/>
  <c r="N375" i="4"/>
  <c r="K459" i="4"/>
  <c r="L459" i="4"/>
  <c r="L285" i="4"/>
  <c r="N285" i="4"/>
  <c r="P225" i="4"/>
  <c r="M225" i="4"/>
  <c r="K135" i="4"/>
  <c r="N135" i="4"/>
  <c r="O135" i="4"/>
  <c r="K331" i="4"/>
  <c r="N331" i="4"/>
  <c r="K429" i="4"/>
  <c r="L429" i="4"/>
  <c r="K349" i="4"/>
  <c r="L349" i="4"/>
  <c r="M349" i="4"/>
  <c r="K329" i="4"/>
  <c r="N329" i="4"/>
  <c r="L329" i="4"/>
  <c r="K243" i="4"/>
  <c r="L243" i="4"/>
  <c r="K313" i="4"/>
  <c r="N313" i="4"/>
  <c r="S433" i="4" l="1"/>
  <c r="CA433" i="4" s="1"/>
  <c r="CG433" i="4"/>
  <c r="S183" i="4"/>
  <c r="CA183" i="4" s="1"/>
  <c r="CG183" i="4"/>
  <c r="S439" i="4"/>
  <c r="CA439" i="4" s="1"/>
  <c r="CG439" i="4"/>
  <c r="T407" i="4"/>
  <c r="CB407" i="4" s="1"/>
  <c r="CH407" i="4"/>
  <c r="T597" i="4"/>
  <c r="CB597" i="4" s="1"/>
  <c r="CH597" i="4"/>
  <c r="CK503" i="4"/>
  <c r="S417" i="4"/>
  <c r="CA417" i="4" s="1"/>
  <c r="T641" i="4"/>
  <c r="CB641" i="4" s="1"/>
  <c r="CH641" i="4"/>
  <c r="U415" i="4"/>
  <c r="CC415" i="4" s="1"/>
  <c r="CI415" i="4"/>
  <c r="U601" i="4"/>
  <c r="CC601" i="4" s="1"/>
  <c r="CI601" i="4"/>
  <c r="CG407" i="4"/>
  <c r="S375" i="4"/>
  <c r="CA375" i="4" s="1"/>
  <c r="CG375" i="4"/>
  <c r="T157" i="4"/>
  <c r="CB157" i="4" s="1"/>
  <c r="CH157" i="4"/>
  <c r="T371" i="4"/>
  <c r="CB371" i="4" s="1"/>
  <c r="CH371" i="4"/>
  <c r="S387" i="4"/>
  <c r="CA387" i="4" s="1"/>
  <c r="CG387" i="4"/>
  <c r="U589" i="4"/>
  <c r="CC589" i="4" s="1"/>
  <c r="CI589" i="4"/>
  <c r="T363" i="4"/>
  <c r="CB363" i="4" s="1"/>
  <c r="V417" i="4"/>
  <c r="CD417" i="4" s="1"/>
  <c r="CJ417" i="4"/>
  <c r="T493" i="4"/>
  <c r="CB493" i="4" s="1"/>
  <c r="CH493" i="4"/>
  <c r="T277" i="4"/>
  <c r="CB277" i="4" s="1"/>
  <c r="CH277" i="4"/>
  <c r="U227" i="4"/>
  <c r="CC227" i="4" s="1"/>
  <c r="CI227" i="4"/>
  <c r="U603" i="4"/>
  <c r="CC603" i="4" s="1"/>
  <c r="CI603" i="4"/>
  <c r="CJ659" i="4"/>
  <c r="V659" i="4"/>
  <c r="CD659" i="4" s="1"/>
  <c r="T539" i="4"/>
  <c r="CB539" i="4" s="1"/>
  <c r="CH539" i="4"/>
  <c r="S563" i="4"/>
  <c r="CA563" i="4" s="1"/>
  <c r="CG563" i="4"/>
  <c r="T567" i="4"/>
  <c r="CB567" i="4" s="1"/>
  <c r="CH567" i="4"/>
  <c r="S597" i="4"/>
  <c r="CA597" i="4" s="1"/>
  <c r="CG597" i="4"/>
  <c r="T409" i="4"/>
  <c r="CB409" i="4" s="1"/>
  <c r="CH409" i="4"/>
  <c r="T569" i="4"/>
  <c r="CB569" i="4" s="1"/>
  <c r="CH569" i="4"/>
  <c r="S603" i="4"/>
  <c r="CA603" i="4" s="1"/>
  <c r="CG603" i="4"/>
  <c r="T575" i="4"/>
  <c r="CB575" i="4" s="1"/>
  <c r="CH575" i="4"/>
  <c r="CG447" i="4"/>
  <c r="S287" i="4"/>
  <c r="CA287" i="4" s="1"/>
  <c r="CG287" i="4"/>
  <c r="S633" i="4"/>
  <c r="CA633" i="4" s="1"/>
  <c r="CG633" i="4"/>
  <c r="U637" i="4"/>
  <c r="CC637" i="4" s="1"/>
  <c r="CI637" i="4"/>
  <c r="S367" i="4"/>
  <c r="CA367" i="4" s="1"/>
  <c r="CG367" i="4"/>
  <c r="U417" i="4"/>
  <c r="CC417" i="4" s="1"/>
  <c r="CI417" i="4"/>
  <c r="CG159" i="4"/>
  <c r="S415" i="4"/>
  <c r="CA415" i="4" s="1"/>
  <c r="CG415" i="4"/>
  <c r="T155" i="4"/>
  <c r="CB155" i="4" s="1"/>
  <c r="CH155" i="4"/>
  <c r="T343" i="4"/>
  <c r="CB343" i="4" s="1"/>
  <c r="CH343" i="4"/>
  <c r="T449" i="4"/>
  <c r="CB449" i="4" s="1"/>
  <c r="CH449" i="4"/>
  <c r="T577" i="4"/>
  <c r="CB577" i="4" s="1"/>
  <c r="CH577" i="4"/>
  <c r="U161" i="4"/>
  <c r="CC161" i="4" s="1"/>
  <c r="CI161" i="4"/>
  <c r="CH557" i="4"/>
  <c r="U605" i="4"/>
  <c r="CC605" i="4" s="1"/>
  <c r="CI605" i="4"/>
  <c r="U435" i="4"/>
  <c r="CC435" i="4" s="1"/>
  <c r="CI435" i="4"/>
  <c r="T603" i="4"/>
  <c r="CB603" i="4" s="1"/>
  <c r="CH603" i="4"/>
  <c r="T221" i="4"/>
  <c r="CB221" i="4" s="1"/>
  <c r="CH221" i="4"/>
  <c r="S483" i="4"/>
  <c r="CA483" i="4" s="1"/>
  <c r="CG483" i="4"/>
  <c r="U627" i="4"/>
  <c r="CC627" i="4" s="1"/>
  <c r="CI627" i="4"/>
  <c r="CG371" i="4"/>
  <c r="T547" i="4"/>
  <c r="CB547" i="4" s="1"/>
  <c r="CH547" i="4"/>
  <c r="T621" i="4"/>
  <c r="CB621" i="4" s="1"/>
  <c r="CH621" i="4"/>
  <c r="M44" i="4"/>
  <c r="S543" i="4"/>
  <c r="CA543" i="4" s="1"/>
  <c r="CG543" i="4"/>
  <c r="S557" i="4"/>
  <c r="CA557" i="4" s="1"/>
  <c r="CG557" i="4"/>
  <c r="U411" i="4"/>
  <c r="CC411" i="4" s="1"/>
  <c r="CI411" i="4"/>
  <c r="U493" i="4"/>
  <c r="CC493" i="4" s="1"/>
  <c r="CI493" i="4"/>
  <c r="V639" i="4"/>
  <c r="CD639" i="4" s="1"/>
  <c r="CJ639" i="4"/>
  <c r="U569" i="4"/>
  <c r="CC569" i="4" s="1"/>
  <c r="CI569" i="4"/>
  <c r="S601" i="4"/>
  <c r="CA601" i="4" s="1"/>
  <c r="CG601" i="4"/>
  <c r="S221" i="4"/>
  <c r="CA221" i="4" s="1"/>
  <c r="CG221" i="4"/>
  <c r="S609" i="4"/>
  <c r="CA609" i="4" s="1"/>
  <c r="S381" i="4"/>
  <c r="CA381" i="4" s="1"/>
  <c r="CG381" i="4"/>
  <c r="S521" i="4"/>
  <c r="CA521" i="4" s="1"/>
  <c r="CG521" i="4"/>
  <c r="S651" i="4"/>
  <c r="CA651" i="4" s="1"/>
  <c r="CG651" i="4"/>
  <c r="T159" i="4"/>
  <c r="CB159" i="4" s="1"/>
  <c r="CH159" i="4"/>
  <c r="S223" i="4"/>
  <c r="CA223" i="4" s="1"/>
  <c r="CG223" i="4"/>
  <c r="T415" i="4"/>
  <c r="CB415" i="4" s="1"/>
  <c r="CH415" i="4"/>
  <c r="S383" i="4"/>
  <c r="CA383" i="4" s="1"/>
  <c r="CG383" i="4"/>
  <c r="T509" i="4"/>
  <c r="CB509" i="4" s="1"/>
  <c r="CH509" i="4"/>
  <c r="S659" i="4"/>
  <c r="CA659" i="4" s="1"/>
  <c r="CG659" i="4"/>
  <c r="S529" i="4"/>
  <c r="CA529" i="4" s="1"/>
  <c r="CG529" i="4"/>
  <c r="T285" i="4"/>
  <c r="CB285" i="4" s="1"/>
  <c r="CH285" i="4"/>
  <c r="T161" i="4"/>
  <c r="CB161" i="4" s="1"/>
  <c r="CH161" i="4"/>
  <c r="S225" i="4"/>
  <c r="CA225" i="4" s="1"/>
  <c r="CG225" i="4"/>
  <c r="T417" i="4"/>
  <c r="CB417" i="4" s="1"/>
  <c r="CH417" i="4"/>
  <c r="T661" i="4"/>
  <c r="CB661" i="4" s="1"/>
  <c r="CH661" i="4"/>
  <c r="S227" i="4"/>
  <c r="CA227" i="4" s="1"/>
  <c r="CG227" i="4"/>
  <c r="U283" i="4"/>
  <c r="CC283" i="4" s="1"/>
  <c r="CI283" i="4"/>
  <c r="T289" i="4"/>
  <c r="CB289" i="4" s="1"/>
  <c r="CH289" i="4"/>
  <c r="S533" i="4"/>
  <c r="CA533" i="4" s="1"/>
  <c r="CG533" i="4"/>
  <c r="T291" i="4"/>
  <c r="CB291" i="4" s="1"/>
  <c r="CH291" i="4"/>
  <c r="U481" i="4"/>
  <c r="CC481" i="4" s="1"/>
  <c r="T163" i="4"/>
  <c r="CB163" i="4" s="1"/>
  <c r="CH163" i="4"/>
  <c r="T589" i="4"/>
  <c r="CB589" i="4" s="1"/>
  <c r="CH589" i="4"/>
  <c r="T419" i="4"/>
  <c r="CB419" i="4" s="1"/>
  <c r="CH419" i="4"/>
  <c r="S419" i="4"/>
  <c r="CA419" i="4" s="1"/>
  <c r="CG419" i="4"/>
  <c r="T483" i="4"/>
  <c r="CB483" i="4" s="1"/>
  <c r="CH483" i="4"/>
  <c r="S179" i="4"/>
  <c r="CA179" i="4" s="1"/>
  <c r="CG179" i="4"/>
  <c r="S319" i="4"/>
  <c r="CA319" i="4" s="1"/>
  <c r="CG319" i="4"/>
  <c r="T95" i="4"/>
  <c r="CB95" i="4" s="1"/>
  <c r="CH95" i="4"/>
  <c r="T525" i="4"/>
  <c r="CB525" i="4" s="1"/>
  <c r="CH525" i="4"/>
  <c r="S573" i="4"/>
  <c r="CA573" i="4" s="1"/>
  <c r="CG573" i="4"/>
  <c r="T355" i="4"/>
  <c r="CB355" i="4" s="1"/>
  <c r="CH355" i="4"/>
  <c r="CG281" i="4"/>
  <c r="T533" i="4"/>
  <c r="CB533" i="4" s="1"/>
  <c r="CH533" i="4"/>
  <c r="T653" i="4"/>
  <c r="CB653" i="4" s="1"/>
  <c r="CH653" i="4"/>
  <c r="S621" i="4"/>
  <c r="CA621" i="4" s="1"/>
  <c r="CG621" i="4"/>
  <c r="S273" i="4"/>
  <c r="CA273" i="4" s="1"/>
  <c r="CG273" i="4"/>
  <c r="S431" i="4"/>
  <c r="CA431" i="4" s="1"/>
  <c r="CG431" i="4"/>
  <c r="T535" i="4"/>
  <c r="CB535" i="4" s="1"/>
  <c r="CH535" i="4"/>
  <c r="T659" i="4"/>
  <c r="CB659" i="4" s="1"/>
  <c r="CH659" i="4"/>
  <c r="U539" i="4"/>
  <c r="CC539" i="4" s="1"/>
  <c r="CI539" i="4"/>
  <c r="S491" i="4"/>
  <c r="CA491" i="4" s="1"/>
  <c r="CG491" i="4"/>
  <c r="T479" i="4"/>
  <c r="CB479" i="4" s="1"/>
  <c r="CH479" i="4"/>
  <c r="S99" i="4"/>
  <c r="CA99" i="4" s="1"/>
  <c r="CG99" i="4"/>
  <c r="S497" i="4"/>
  <c r="CA497" i="4" s="1"/>
  <c r="CG497" i="4"/>
  <c r="S509" i="4"/>
  <c r="CA509" i="4" s="1"/>
  <c r="CG509" i="4"/>
  <c r="S523" i="4"/>
  <c r="CA523" i="4" s="1"/>
  <c r="CG523" i="4"/>
  <c r="S149" i="4"/>
  <c r="CA149" i="4" s="1"/>
  <c r="CG149" i="4"/>
  <c r="T605" i="4"/>
  <c r="CB605" i="4" s="1"/>
  <c r="CH605" i="4"/>
  <c r="T433" i="4"/>
  <c r="CB433" i="4" s="1"/>
  <c r="CH433" i="4"/>
  <c r="R157" i="4"/>
  <c r="BZ157" i="4" s="1"/>
  <c r="CF157" i="4"/>
  <c r="T527" i="4"/>
  <c r="CB527" i="4" s="1"/>
  <c r="CH527" i="4"/>
  <c r="S153" i="4"/>
  <c r="CA153" i="4" s="1"/>
  <c r="CG153" i="4"/>
  <c r="S271" i="4"/>
  <c r="CA271" i="4" s="1"/>
  <c r="CG271" i="4"/>
  <c r="S427" i="4"/>
  <c r="CA427" i="4" s="1"/>
  <c r="CG427" i="4"/>
  <c r="S391" i="4"/>
  <c r="CA391" i="4" s="1"/>
  <c r="T477" i="4"/>
  <c r="CB477" i="4" s="1"/>
  <c r="CH477" i="4"/>
  <c r="S565" i="4"/>
  <c r="CA565" i="4" s="1"/>
  <c r="CG565" i="4"/>
  <c r="S567" i="4"/>
  <c r="CA567" i="4" s="1"/>
  <c r="CG567" i="4"/>
  <c r="T595" i="4"/>
  <c r="CB595" i="4" s="1"/>
  <c r="CH595" i="4"/>
  <c r="W47" i="4"/>
  <c r="CE47" i="4" s="1"/>
  <c r="S617" i="4"/>
  <c r="CA617" i="4" s="1"/>
  <c r="CG617" i="4"/>
  <c r="S627" i="4"/>
  <c r="CA627" i="4" s="1"/>
  <c r="CG627" i="4"/>
  <c r="S311" i="4"/>
  <c r="CA311" i="4" s="1"/>
  <c r="CG311" i="4"/>
  <c r="S629" i="4"/>
  <c r="CA629" i="4" s="1"/>
  <c r="CG629" i="4"/>
  <c r="S475" i="4"/>
  <c r="CA475" i="4" s="1"/>
  <c r="CG475" i="4"/>
  <c r="S645" i="4"/>
  <c r="CA645" i="4" s="1"/>
  <c r="CG645" i="4"/>
  <c r="S655" i="4"/>
  <c r="CA655" i="4" s="1"/>
  <c r="CG655" i="4"/>
  <c r="S661" i="4"/>
  <c r="CA661" i="4" s="1"/>
  <c r="CG661" i="4"/>
  <c r="T655" i="4"/>
  <c r="CB655" i="4" s="1"/>
  <c r="CH655" i="4"/>
  <c r="S399" i="4"/>
  <c r="CA399" i="4" s="1"/>
  <c r="CG399" i="4"/>
  <c r="U217" i="4"/>
  <c r="CC217" i="4" s="1"/>
  <c r="CI217" i="4"/>
  <c r="S513" i="4"/>
  <c r="CA513" i="4" s="1"/>
  <c r="CG513" i="4"/>
  <c r="T475" i="4"/>
  <c r="CB475" i="4" s="1"/>
  <c r="CH475" i="4"/>
  <c r="U621" i="4"/>
  <c r="CC621" i="4" s="1"/>
  <c r="CI621" i="4"/>
  <c r="T647" i="4"/>
  <c r="CB647" i="4" s="1"/>
  <c r="CH647" i="4"/>
  <c r="CH561" i="4"/>
  <c r="S401" i="4"/>
  <c r="CA401" i="4" s="1"/>
  <c r="CG401" i="4"/>
  <c r="S347" i="4"/>
  <c r="CA347" i="4" s="1"/>
  <c r="CG347" i="4"/>
  <c r="T645" i="4"/>
  <c r="CB645" i="4" s="1"/>
  <c r="CH645" i="4"/>
  <c r="S463" i="4"/>
  <c r="CA463" i="4" s="1"/>
  <c r="CG463" i="4"/>
  <c r="S589" i="4"/>
  <c r="CA589" i="4" s="1"/>
  <c r="CG589" i="4"/>
  <c r="S411" i="4"/>
  <c r="CA411" i="4" s="1"/>
  <c r="CG411" i="4"/>
  <c r="CJ545" i="4"/>
  <c r="T517" i="4"/>
  <c r="CB517" i="4" s="1"/>
  <c r="CH517" i="4"/>
  <c r="CG643" i="4"/>
  <c r="S643" i="4"/>
  <c r="CA643" i="4" s="1"/>
  <c r="T609" i="4"/>
  <c r="CB609" i="4" s="1"/>
  <c r="CH609" i="4"/>
  <c r="T651" i="4"/>
  <c r="CB651" i="4" s="1"/>
  <c r="CH651" i="4"/>
  <c r="S233" i="4"/>
  <c r="CA233" i="4" s="1"/>
  <c r="CG233" i="4"/>
  <c r="S525" i="4"/>
  <c r="CA525" i="4" s="1"/>
  <c r="CG525" i="4"/>
  <c r="S467" i="4"/>
  <c r="CA467" i="4" s="1"/>
  <c r="CG467" i="4"/>
  <c r="S647" i="4"/>
  <c r="CA647" i="4" s="1"/>
  <c r="CG647" i="4"/>
  <c r="T367" i="4"/>
  <c r="CB367" i="4" s="1"/>
  <c r="CH367" i="4"/>
  <c r="T657" i="4"/>
  <c r="CB657" i="4" s="1"/>
  <c r="CH657" i="4"/>
  <c r="T521" i="4"/>
  <c r="CB521" i="4" s="1"/>
  <c r="CH521" i="4"/>
  <c r="U475" i="4"/>
  <c r="CC475" i="4" s="1"/>
  <c r="CI475" i="4"/>
  <c r="S657" i="4"/>
  <c r="CA657" i="4" s="1"/>
  <c r="CG657" i="4"/>
  <c r="S473" i="4"/>
  <c r="CA473" i="4" s="1"/>
  <c r="CG473" i="4"/>
  <c r="S593" i="4"/>
  <c r="CA593" i="4" s="1"/>
  <c r="CG593" i="4"/>
  <c r="R535" i="4"/>
  <c r="BZ535" i="4" s="1"/>
  <c r="CF535" i="4"/>
  <c r="S485" i="4"/>
  <c r="CA485" i="4" s="1"/>
  <c r="CG485" i="4"/>
  <c r="T437" i="4"/>
  <c r="CB437" i="4" s="1"/>
  <c r="CH437" i="4"/>
  <c r="S343" i="4"/>
  <c r="CA343" i="4" s="1"/>
  <c r="CG343" i="4"/>
  <c r="S577" i="4"/>
  <c r="CA577" i="4" s="1"/>
  <c r="CG577" i="4"/>
  <c r="S461" i="4"/>
  <c r="CA461" i="4" s="1"/>
  <c r="CG461" i="4"/>
  <c r="CH513" i="4"/>
  <c r="S583" i="4"/>
  <c r="CA583" i="4" s="1"/>
  <c r="CG583" i="4"/>
  <c r="S283" i="4"/>
  <c r="CA283" i="4" s="1"/>
  <c r="CG283" i="4"/>
  <c r="T207" i="4"/>
  <c r="CB207" i="4" s="1"/>
  <c r="CH207" i="4"/>
  <c r="S395" i="4"/>
  <c r="CA395" i="4" s="1"/>
  <c r="CG395" i="4"/>
  <c r="T281" i="4"/>
  <c r="CB281" i="4" s="1"/>
  <c r="CH281" i="4"/>
  <c r="T473" i="4"/>
  <c r="CB473" i="4" s="1"/>
  <c r="CH473" i="4"/>
  <c r="T553" i="4"/>
  <c r="CB553" i="4" s="1"/>
  <c r="CH553" i="4"/>
  <c r="CJ579" i="4"/>
  <c r="S585" i="4"/>
  <c r="CA585" i="4" s="1"/>
  <c r="CG585" i="4"/>
  <c r="S215" i="4"/>
  <c r="CA215" i="4" s="1"/>
  <c r="CG215" i="4"/>
  <c r="S217" i="4"/>
  <c r="CA217" i="4" s="1"/>
  <c r="CG217" i="4"/>
  <c r="S257" i="4"/>
  <c r="CA257" i="4" s="1"/>
  <c r="CG257" i="4"/>
  <c r="S359" i="4"/>
  <c r="CA359" i="4" s="1"/>
  <c r="CG359" i="4"/>
  <c r="S451" i="4"/>
  <c r="CA451" i="4" s="1"/>
  <c r="CG451" i="4"/>
  <c r="T563" i="4"/>
  <c r="CB563" i="4" s="1"/>
  <c r="CH563" i="4"/>
  <c r="T639" i="4"/>
  <c r="CB639" i="4" s="1"/>
  <c r="CH639" i="4"/>
  <c r="S453" i="4"/>
  <c r="CA453" i="4" s="1"/>
  <c r="CG453" i="4"/>
  <c r="S531" i="4"/>
  <c r="CA531" i="4" s="1"/>
  <c r="CG531" i="4"/>
  <c r="S501" i="4"/>
  <c r="CA501" i="4" s="1"/>
  <c r="CG501" i="4"/>
  <c r="S263" i="4"/>
  <c r="CA263" i="4" s="1"/>
  <c r="CG263" i="4"/>
  <c r="S455" i="4"/>
  <c r="CA455" i="4" s="1"/>
  <c r="CG455" i="4"/>
  <c r="R271" i="4"/>
  <c r="BZ271" i="4" s="1"/>
  <c r="S87" i="4"/>
  <c r="CA87" i="4" s="1"/>
  <c r="CG87" i="4"/>
  <c r="S465" i="4"/>
  <c r="CA465" i="4" s="1"/>
  <c r="CG465" i="4"/>
  <c r="S561" i="4"/>
  <c r="CA561" i="4" s="1"/>
  <c r="CG561" i="4"/>
  <c r="S653" i="4"/>
  <c r="CA653" i="4" s="1"/>
  <c r="CG653" i="4"/>
  <c r="T391" i="4"/>
  <c r="CB391" i="4" s="1"/>
  <c r="CH391" i="4"/>
  <c r="CK505" i="4"/>
  <c r="T531" i="4"/>
  <c r="CB531" i="4" s="1"/>
  <c r="CH531" i="4"/>
  <c r="R527" i="4"/>
  <c r="BZ527" i="4" s="1"/>
  <c r="CF527" i="4"/>
  <c r="S409" i="4"/>
  <c r="CA409" i="4" s="1"/>
  <c r="CG409" i="4"/>
  <c r="CJ611" i="4"/>
  <c r="V611" i="4"/>
  <c r="CD611" i="4" s="1"/>
  <c r="V505" i="4"/>
  <c r="CD505" i="4" s="1"/>
  <c r="CJ505" i="4"/>
  <c r="T505" i="4"/>
  <c r="CB505" i="4" s="1"/>
  <c r="CH505" i="4"/>
  <c r="W559" i="4"/>
  <c r="CE559" i="4" s="1"/>
  <c r="CK559" i="4"/>
  <c r="R393" i="4"/>
  <c r="BZ393" i="4" s="1"/>
  <c r="CF393" i="4"/>
  <c r="S247" i="4"/>
  <c r="CA247" i="4" s="1"/>
  <c r="CG247" i="4"/>
  <c r="T559" i="4"/>
  <c r="CB559" i="4" s="1"/>
  <c r="CH559" i="4"/>
  <c r="CK361" i="4"/>
  <c r="W361" i="4"/>
  <c r="CE361" i="4" s="1"/>
  <c r="V559" i="4"/>
  <c r="CD559" i="4" s="1"/>
  <c r="CJ559" i="4"/>
  <c r="S303" i="4"/>
  <c r="CA303" i="4" s="1"/>
  <c r="CG303" i="4"/>
  <c r="S249" i="4"/>
  <c r="CA249" i="4" s="1"/>
  <c r="CG249" i="4"/>
  <c r="T203" i="4"/>
  <c r="CB203" i="4" s="1"/>
  <c r="CH203" i="4"/>
  <c r="V91" i="4"/>
  <c r="CD91" i="4" s="1"/>
  <c r="CJ91" i="4"/>
  <c r="V151" i="4"/>
  <c r="CD151" i="4" s="1"/>
  <c r="CJ151" i="4"/>
  <c r="W459" i="4"/>
  <c r="CE459" i="4" s="1"/>
  <c r="CK459" i="4"/>
  <c r="W249" i="4"/>
  <c r="CE249" i="4" s="1"/>
  <c r="CK151" i="4"/>
  <c r="W151" i="4"/>
  <c r="CE151" i="4" s="1"/>
  <c r="CF245" i="4"/>
  <c r="CK303" i="4"/>
  <c r="W91" i="4"/>
  <c r="CE91" i="4" s="1"/>
  <c r="CK91" i="4"/>
  <c r="T459" i="4"/>
  <c r="CB459" i="4" s="1"/>
  <c r="CH459" i="4"/>
  <c r="W203" i="4"/>
  <c r="CE203" i="4" s="1"/>
  <c r="CK203" i="4"/>
  <c r="CI663" i="4"/>
  <c r="U203" i="4"/>
  <c r="CC203" i="4" s="1"/>
  <c r="CI203" i="4"/>
  <c r="V303" i="4"/>
  <c r="CD303" i="4" s="1"/>
  <c r="CJ303" i="4"/>
  <c r="S203" i="4"/>
  <c r="CA203" i="4" s="1"/>
  <c r="CG203" i="4"/>
  <c r="S151" i="4"/>
  <c r="CA151" i="4" s="1"/>
  <c r="CG151" i="4"/>
  <c r="T151" i="4"/>
  <c r="CB151" i="4" s="1"/>
  <c r="CH151" i="4"/>
  <c r="T249" i="4"/>
  <c r="CB249" i="4" s="1"/>
  <c r="CH249" i="4"/>
  <c r="T303" i="4"/>
  <c r="CB303" i="4" s="1"/>
  <c r="CH303" i="4"/>
  <c r="U249" i="4"/>
  <c r="CC249" i="4" s="1"/>
  <c r="CI249" i="4"/>
  <c r="U559" i="4"/>
  <c r="CC559" i="4" s="1"/>
  <c r="CI559" i="4"/>
  <c r="V469" i="4"/>
  <c r="CD469" i="4" s="1"/>
  <c r="R435" i="4"/>
  <c r="BZ435" i="4" s="1"/>
  <c r="CF435" i="4"/>
  <c r="T113" i="4"/>
  <c r="CB113" i="4" s="1"/>
  <c r="S559" i="4"/>
  <c r="CA559" i="4" s="1"/>
  <c r="CG559" i="4"/>
  <c r="CF499" i="4"/>
  <c r="R499" i="4"/>
  <c r="BZ499" i="4" s="1"/>
  <c r="U151" i="4"/>
  <c r="CC151" i="4" s="1"/>
  <c r="CI151" i="4"/>
  <c r="CG505" i="4"/>
  <c r="S505" i="4"/>
  <c r="CA505" i="4" s="1"/>
  <c r="CG665" i="4"/>
  <c r="U505" i="4"/>
  <c r="CC505" i="4" s="1"/>
  <c r="CI505" i="4"/>
  <c r="V249" i="4"/>
  <c r="CD249" i="4" s="1"/>
  <c r="CJ249" i="4"/>
  <c r="U303" i="4"/>
  <c r="CC303" i="4" s="1"/>
  <c r="CI303" i="4"/>
  <c r="S469" i="4"/>
  <c r="CA469" i="4" s="1"/>
  <c r="CG469" i="4"/>
  <c r="U269" i="4"/>
  <c r="CC269" i="4" s="1"/>
  <c r="CI269" i="4"/>
  <c r="W145" i="4"/>
  <c r="CE145" i="4" s="1"/>
  <c r="CK145" i="4"/>
  <c r="U47" i="4"/>
  <c r="CC47" i="4" s="1"/>
  <c r="CI47" i="4"/>
  <c r="W237" i="4"/>
  <c r="CE237" i="4" s="1"/>
  <c r="CK237" i="4"/>
  <c r="CJ443" i="4"/>
  <c r="V443" i="4"/>
  <c r="CD443" i="4" s="1"/>
  <c r="U335" i="4"/>
  <c r="CC335" i="4" s="1"/>
  <c r="CI335" i="4"/>
  <c r="CH625" i="4"/>
  <c r="T625" i="4"/>
  <c r="CB625" i="4" s="1"/>
  <c r="CK625" i="4"/>
  <c r="W625" i="4"/>
  <c r="CE625" i="4" s="1"/>
  <c r="V237" i="4"/>
  <c r="CD237" i="4" s="1"/>
  <c r="CJ237" i="4"/>
  <c r="CH541" i="4"/>
  <c r="T541" i="4"/>
  <c r="CB541" i="4" s="1"/>
  <c r="CF595" i="4"/>
  <c r="R595" i="4"/>
  <c r="BZ595" i="4" s="1"/>
  <c r="CF47" i="4"/>
  <c r="R47" i="4"/>
  <c r="BZ47" i="4" s="1"/>
  <c r="V541" i="4"/>
  <c r="CD541" i="4" s="1"/>
  <c r="CJ541" i="4"/>
  <c r="CJ335" i="4"/>
  <c r="V335" i="4"/>
  <c r="CD335" i="4" s="1"/>
  <c r="CF145" i="4"/>
  <c r="R145" i="4"/>
  <c r="BZ145" i="4" s="1"/>
  <c r="CF211" i="4"/>
  <c r="R211" i="4"/>
  <c r="BZ211" i="4" s="1"/>
  <c r="CK545" i="4"/>
  <c r="W545" i="4"/>
  <c r="CE545" i="4" s="1"/>
  <c r="CH581" i="4"/>
  <c r="T581" i="4"/>
  <c r="CB581" i="4" s="1"/>
  <c r="V625" i="4"/>
  <c r="CD625" i="4" s="1"/>
  <c r="CJ625" i="4"/>
  <c r="CF299" i="4"/>
  <c r="R299" i="4"/>
  <c r="BZ299" i="4" s="1"/>
  <c r="U113" i="4"/>
  <c r="CC113" i="4" s="1"/>
  <c r="CI113" i="4"/>
  <c r="CH579" i="4"/>
  <c r="T579" i="4"/>
  <c r="CB579" i="4" s="1"/>
  <c r="T177" i="4"/>
  <c r="CB177" i="4" s="1"/>
  <c r="CH177" i="4"/>
  <c r="CF469" i="4"/>
  <c r="R469" i="4"/>
  <c r="BZ469" i="4" s="1"/>
  <c r="S493" i="4"/>
  <c r="CA493" i="4" s="1"/>
  <c r="CG493" i="4"/>
  <c r="U581" i="4"/>
  <c r="CC581" i="4" s="1"/>
  <c r="CI581" i="4"/>
  <c r="R355" i="4"/>
  <c r="BZ355" i="4" s="1"/>
  <c r="CF355" i="4"/>
  <c r="T663" i="4"/>
  <c r="CB663" i="4" s="1"/>
  <c r="CH663" i="4"/>
  <c r="U81" i="4"/>
  <c r="CC81" i="4" s="1"/>
  <c r="CI81" i="4"/>
  <c r="W579" i="4"/>
  <c r="CE579" i="4" s="1"/>
  <c r="CK579" i="4"/>
  <c r="CH299" i="4"/>
  <c r="T299" i="4"/>
  <c r="CB299" i="4" s="1"/>
  <c r="CG177" i="4"/>
  <c r="S177" i="4"/>
  <c r="CA177" i="4" s="1"/>
  <c r="U503" i="4"/>
  <c r="CC503" i="4" s="1"/>
  <c r="CI503" i="4"/>
  <c r="W269" i="4"/>
  <c r="CE269" i="4" s="1"/>
  <c r="CK269" i="4"/>
  <c r="CI443" i="4"/>
  <c r="U443" i="4"/>
  <c r="CC443" i="4" s="1"/>
  <c r="V81" i="4"/>
  <c r="CD81" i="4" s="1"/>
  <c r="CJ81" i="4"/>
  <c r="CG581" i="4"/>
  <c r="S581" i="4"/>
  <c r="CA581" i="4" s="1"/>
  <c r="V299" i="4"/>
  <c r="CD299" i="4" s="1"/>
  <c r="CJ299" i="4"/>
  <c r="W413" i="4"/>
  <c r="CE413" i="4" s="1"/>
  <c r="CK413" i="4"/>
  <c r="U205" i="4"/>
  <c r="CC205" i="4" s="1"/>
  <c r="CI205" i="4"/>
  <c r="CG579" i="4"/>
  <c r="S579" i="4"/>
  <c r="CA579" i="4" s="1"/>
  <c r="S299" i="4"/>
  <c r="CA299" i="4" s="1"/>
  <c r="CG299" i="4"/>
  <c r="W665" i="4"/>
  <c r="CE665" i="4" s="1"/>
  <c r="CK665" i="4"/>
  <c r="CF309" i="4"/>
  <c r="R309" i="4"/>
  <c r="BZ309" i="4" s="1"/>
  <c r="U541" i="4"/>
  <c r="CC541" i="4" s="1"/>
  <c r="CI541" i="4"/>
  <c r="S625" i="4"/>
  <c r="CA625" i="4" s="1"/>
  <c r="CG625" i="4"/>
  <c r="S503" i="4"/>
  <c r="CA503" i="4" s="1"/>
  <c r="CG503" i="4"/>
  <c r="R141" i="4"/>
  <c r="BZ141" i="4" s="1"/>
  <c r="CF141" i="4"/>
  <c r="CG663" i="4"/>
  <c r="S663" i="4"/>
  <c r="CA663" i="4" s="1"/>
  <c r="R409" i="4"/>
  <c r="BZ409" i="4" s="1"/>
  <c r="CF409" i="4"/>
  <c r="CG553" i="4"/>
  <c r="S553" i="4"/>
  <c r="CA553" i="4" s="1"/>
  <c r="T469" i="4"/>
  <c r="CB469" i="4" s="1"/>
  <c r="CH469" i="4"/>
  <c r="CF49" i="4"/>
  <c r="R49" i="4"/>
  <c r="BZ49" i="4" s="1"/>
  <c r="CG649" i="4"/>
  <c r="S649" i="4"/>
  <c r="CA649" i="4" s="1"/>
  <c r="W379" i="4"/>
  <c r="CE379" i="4" s="1"/>
  <c r="CK379" i="4"/>
  <c r="CG575" i="4"/>
  <c r="S575" i="4"/>
  <c r="CA575" i="4" s="1"/>
  <c r="S321" i="4"/>
  <c r="CA321" i="4" s="1"/>
  <c r="CG321" i="4"/>
  <c r="CI299" i="4"/>
  <c r="U299" i="4"/>
  <c r="CC299" i="4" s="1"/>
  <c r="CI145" i="4"/>
  <c r="R73" i="4"/>
  <c r="BZ73" i="4" s="1"/>
  <c r="CF73" i="4"/>
  <c r="T665" i="4"/>
  <c r="CB665" i="4" s="1"/>
  <c r="CH665" i="4"/>
  <c r="CI665" i="4"/>
  <c r="U665" i="4"/>
  <c r="CC665" i="4" s="1"/>
  <c r="V663" i="4"/>
  <c r="CD663" i="4" s="1"/>
  <c r="CJ663" i="4"/>
  <c r="CI579" i="4"/>
  <c r="U579" i="4"/>
  <c r="CC579" i="4" s="1"/>
  <c r="S481" i="4"/>
  <c r="CA481" i="4" s="1"/>
  <c r="CG481" i="4"/>
  <c r="S477" i="4"/>
  <c r="CA477" i="4" s="1"/>
  <c r="CG477" i="4"/>
  <c r="CG641" i="4"/>
  <c r="S641" i="4"/>
  <c r="CA641" i="4" s="1"/>
  <c r="W335" i="4"/>
  <c r="CE335" i="4" s="1"/>
  <c r="CK335" i="4"/>
  <c r="AA43" i="4"/>
  <c r="AM42" i="4"/>
  <c r="AS42" i="4" s="1"/>
  <c r="S569" i="4"/>
  <c r="CA569" i="4" s="1"/>
  <c r="CG569" i="4"/>
  <c r="W443" i="4"/>
  <c r="CE443" i="4" s="1"/>
  <c r="CK443" i="4"/>
  <c r="S47" i="4"/>
  <c r="CA47" i="4" s="1"/>
  <c r="CG47" i="4"/>
  <c r="CI177" i="4"/>
  <c r="U177" i="4"/>
  <c r="CC177" i="4" s="1"/>
  <c r="R375" i="4"/>
  <c r="BZ375" i="4" s="1"/>
  <c r="CF375" i="4"/>
  <c r="CH443" i="4"/>
  <c r="T443" i="4"/>
  <c r="CB443" i="4" s="1"/>
  <c r="CG269" i="4"/>
  <c r="S269" i="4"/>
  <c r="CA269" i="4" s="1"/>
  <c r="AB43" i="4"/>
  <c r="AN42" i="4"/>
  <c r="AT42" i="4" s="1"/>
  <c r="U379" i="4"/>
  <c r="CC379" i="4" s="1"/>
  <c r="CI379" i="4"/>
  <c r="U237" i="4"/>
  <c r="CC237" i="4" s="1"/>
  <c r="CI237" i="4"/>
  <c r="T503" i="4"/>
  <c r="CB503" i="4" s="1"/>
  <c r="CH503" i="4"/>
  <c r="U469" i="4"/>
  <c r="CC469" i="4" s="1"/>
  <c r="CI469" i="4"/>
  <c r="S379" i="4"/>
  <c r="CA379" i="4" s="1"/>
  <c r="CG379" i="4"/>
  <c r="W581" i="4"/>
  <c r="CE581" i="4" s="1"/>
  <c r="CK581" i="4"/>
  <c r="W541" i="4"/>
  <c r="CE541" i="4" s="1"/>
  <c r="CK541" i="4"/>
  <c r="CG113" i="4"/>
  <c r="S113" i="4"/>
  <c r="CA113" i="4" s="1"/>
  <c r="S437" i="4"/>
  <c r="CA437" i="4" s="1"/>
  <c r="CG437" i="4"/>
  <c r="CK663" i="4"/>
  <c r="W663" i="4"/>
  <c r="CE663" i="4" s="1"/>
  <c r="T545" i="4"/>
  <c r="CB545" i="4" s="1"/>
  <c r="CH545" i="4"/>
  <c r="U545" i="4"/>
  <c r="CC545" i="4" s="1"/>
  <c r="CI545" i="4"/>
  <c r="T237" i="4"/>
  <c r="CB237" i="4" s="1"/>
  <c r="CH237" i="4"/>
  <c r="R81" i="4"/>
  <c r="BZ81" i="4" s="1"/>
  <c r="CF81" i="4"/>
  <c r="R587" i="4"/>
  <c r="BZ587" i="4" s="1"/>
  <c r="CF587" i="4"/>
  <c r="V665" i="4"/>
  <c r="CD665" i="4" s="1"/>
  <c r="CJ665" i="4"/>
  <c r="R177" i="4"/>
  <c r="BZ177" i="4" s="1"/>
  <c r="CF177" i="4"/>
  <c r="S335" i="4"/>
  <c r="CA335" i="4" s="1"/>
  <c r="CG335" i="4"/>
  <c r="V177" i="4"/>
  <c r="CD177" i="4" s="1"/>
  <c r="CJ177" i="4"/>
  <c r="T335" i="4"/>
  <c r="CB335" i="4" s="1"/>
  <c r="CH335" i="4"/>
  <c r="V379" i="4"/>
  <c r="CD379" i="4" s="1"/>
  <c r="CJ379" i="4"/>
  <c r="CF237" i="4"/>
  <c r="R237" i="4"/>
  <c r="BZ237" i="4" s="1"/>
  <c r="CK113" i="4"/>
  <c r="W113" i="4"/>
  <c r="CE113" i="4" s="1"/>
  <c r="R99" i="4"/>
  <c r="BZ99" i="4" s="1"/>
  <c r="CF99" i="4"/>
  <c r="V503" i="4"/>
  <c r="CD503" i="4" s="1"/>
  <c r="CJ503" i="4"/>
  <c r="R269" i="4"/>
  <c r="BZ269" i="4" s="1"/>
  <c r="CF269" i="4"/>
  <c r="CH269" i="4"/>
  <c r="T269" i="4"/>
  <c r="CB269" i="4" s="1"/>
  <c r="AJ42" i="4"/>
  <c r="AP42" i="4" s="1"/>
  <c r="X43" i="4"/>
  <c r="T379" i="4"/>
  <c r="CB379" i="4" s="1"/>
  <c r="CH379" i="4"/>
  <c r="CF635" i="4"/>
  <c r="R635" i="4"/>
  <c r="BZ635" i="4" s="1"/>
  <c r="T413" i="4"/>
  <c r="CB413" i="4" s="1"/>
  <c r="CH413" i="4"/>
  <c r="S81" i="4"/>
  <c r="CA81" i="4" s="1"/>
  <c r="W81" i="4"/>
  <c r="CE81" i="4" s="1"/>
  <c r="CK81" i="4"/>
  <c r="S545" i="4"/>
  <c r="CA545" i="4" s="1"/>
  <c r="CG545" i="4"/>
  <c r="V581" i="4"/>
  <c r="CD581" i="4" s="1"/>
  <c r="CJ581" i="4"/>
  <c r="R109" i="4"/>
  <c r="BZ109" i="4" s="1"/>
  <c r="CF109" i="4"/>
  <c r="S145" i="4"/>
  <c r="CA145" i="4" s="1"/>
  <c r="CG145" i="4"/>
  <c r="S541" i="4"/>
  <c r="CA541" i="4" s="1"/>
  <c r="CG541" i="4"/>
  <c r="U413" i="4"/>
  <c r="CC413" i="4" s="1"/>
  <c r="CI413" i="4"/>
  <c r="S317" i="4"/>
  <c r="CA317" i="4" s="1"/>
  <c r="CG317" i="4"/>
  <c r="S167" i="4"/>
  <c r="CA167" i="4" s="1"/>
  <c r="CG167" i="4"/>
  <c r="BX49" i="4"/>
  <c r="BX57" i="4"/>
  <c r="BX65" i="4"/>
  <c r="BX73" i="4"/>
  <c r="BX81" i="4"/>
  <c r="BX89" i="4"/>
  <c r="BX97" i="4"/>
  <c r="BX105" i="4"/>
  <c r="BX113" i="4"/>
  <c r="BX121" i="4"/>
  <c r="BX129" i="4"/>
  <c r="BX137" i="4"/>
  <c r="BX145" i="4"/>
  <c r="BX153" i="4"/>
  <c r="BX161" i="4"/>
  <c r="BX169" i="4"/>
  <c r="BX177" i="4"/>
  <c r="BX185" i="4"/>
  <c r="BX193" i="4"/>
  <c r="BX201" i="4"/>
  <c r="BX209" i="4"/>
  <c r="BX217" i="4"/>
  <c r="BX225" i="4"/>
  <c r="BX233" i="4"/>
  <c r="BX241" i="4"/>
  <c r="BX249" i="4"/>
  <c r="BX257" i="4"/>
  <c r="BX265" i="4"/>
  <c r="BX273" i="4"/>
  <c r="BX281" i="4"/>
  <c r="BX289" i="4"/>
  <c r="BX297" i="4"/>
  <c r="BX305" i="4"/>
  <c r="BX313" i="4"/>
  <c r="BX321" i="4"/>
  <c r="BX329" i="4"/>
  <c r="BX337" i="4"/>
  <c r="BX345" i="4"/>
  <c r="BX353" i="4"/>
  <c r="BX361" i="4"/>
  <c r="BX369" i="4"/>
  <c r="BX377" i="4"/>
  <c r="BX385" i="4"/>
  <c r="BX393" i="4"/>
  <c r="BX401" i="4"/>
  <c r="BX409" i="4"/>
  <c r="BX417" i="4"/>
  <c r="BX425" i="4"/>
  <c r="BX433" i="4"/>
  <c r="BX441" i="4"/>
  <c r="BX449" i="4"/>
  <c r="BX457" i="4"/>
  <c r="BX465" i="4"/>
  <c r="BX473" i="4"/>
  <c r="BX481" i="4"/>
  <c r="BX489" i="4"/>
  <c r="BX497" i="4"/>
  <c r="BX505" i="4"/>
  <c r="BX513" i="4"/>
  <c r="BX521" i="4"/>
  <c r="BX529" i="4"/>
  <c r="BX537" i="4"/>
  <c r="BX545" i="4"/>
  <c r="BX553" i="4"/>
  <c r="BX561" i="4"/>
  <c r="BX569" i="4"/>
  <c r="BX577" i="4"/>
  <c r="BX585" i="4"/>
  <c r="BX593" i="4"/>
  <c r="BX601" i="4"/>
  <c r="BX609" i="4"/>
  <c r="BX617" i="4"/>
  <c r="BX625" i="4"/>
  <c r="BX633" i="4"/>
  <c r="BX641" i="4"/>
  <c r="BX649" i="4"/>
  <c r="BX657" i="4"/>
  <c r="BX665" i="4"/>
  <c r="BX50" i="4"/>
  <c r="BX67" i="4"/>
  <c r="BX84" i="4"/>
  <c r="BX101" i="4"/>
  <c r="BX118" i="4"/>
  <c r="BX135" i="4"/>
  <c r="BX152" i="4"/>
  <c r="BX178" i="4"/>
  <c r="BX195" i="4"/>
  <c r="BX212" i="4"/>
  <c r="BX229" i="4"/>
  <c r="BX246" i="4"/>
  <c r="BX263" i="4"/>
  <c r="BX280" i="4"/>
  <c r="BX306" i="4"/>
  <c r="BX323" i="4"/>
  <c r="BX340" i="4"/>
  <c r="BX357" i="4"/>
  <c r="BX374" i="4"/>
  <c r="BX391" i="4"/>
  <c r="BX408" i="4"/>
  <c r="BX434" i="4"/>
  <c r="BX451" i="4"/>
  <c r="BX468" i="4"/>
  <c r="BX485" i="4"/>
  <c r="BX502" i="4"/>
  <c r="BX519" i="4"/>
  <c r="BX536" i="4"/>
  <c r="BX562" i="4"/>
  <c r="BX579" i="4"/>
  <c r="BX596" i="4"/>
  <c r="BX613" i="4"/>
  <c r="BX630" i="4"/>
  <c r="BX647" i="4"/>
  <c r="BX664" i="4"/>
  <c r="BX59" i="4"/>
  <c r="BX76" i="4"/>
  <c r="BX93" i="4"/>
  <c r="BX110" i="4"/>
  <c r="BX127" i="4"/>
  <c r="BX144" i="4"/>
  <c r="BX170" i="4"/>
  <c r="BX187" i="4"/>
  <c r="BX204" i="4"/>
  <c r="BX221" i="4"/>
  <c r="BX238" i="4"/>
  <c r="BX255" i="4"/>
  <c r="BX272" i="4"/>
  <c r="BX298" i="4"/>
  <c r="BX315" i="4"/>
  <c r="BX332" i="4"/>
  <c r="BX349" i="4"/>
  <c r="BX366" i="4"/>
  <c r="BX383" i="4"/>
  <c r="BX400" i="4"/>
  <c r="BX426" i="4"/>
  <c r="BX443" i="4"/>
  <c r="BX460" i="4"/>
  <c r="BX477" i="4"/>
  <c r="BX494" i="4"/>
  <c r="BX511" i="4"/>
  <c r="BX528" i="4"/>
  <c r="BX554" i="4"/>
  <c r="BX571" i="4"/>
  <c r="BX588" i="4"/>
  <c r="BX605" i="4"/>
  <c r="BX622" i="4"/>
  <c r="BX639" i="4"/>
  <c r="BX656" i="4"/>
  <c r="BX51" i="4"/>
  <c r="BX68" i="4"/>
  <c r="BX85" i="4"/>
  <c r="BX102" i="4"/>
  <c r="BX119" i="4"/>
  <c r="BX136" i="4"/>
  <c r="BX162" i="4"/>
  <c r="BX179" i="4"/>
  <c r="BX196" i="4"/>
  <c r="BX213" i="4"/>
  <c r="BX230" i="4"/>
  <c r="BX247" i="4"/>
  <c r="BX264" i="4"/>
  <c r="BX290" i="4"/>
  <c r="BX307" i="4"/>
  <c r="BX324" i="4"/>
  <c r="BX341" i="4"/>
  <c r="BX358" i="4"/>
  <c r="BX375" i="4"/>
  <c r="BX392" i="4"/>
  <c r="BX418" i="4"/>
  <c r="BX435" i="4"/>
  <c r="BX452" i="4"/>
  <c r="BX469" i="4"/>
  <c r="BX486" i="4"/>
  <c r="BX503" i="4"/>
  <c r="BX520" i="4"/>
  <c r="BX546" i="4"/>
  <c r="BX563" i="4"/>
  <c r="BX580" i="4"/>
  <c r="BX597" i="4"/>
  <c r="BX614" i="4"/>
  <c r="BX631" i="4"/>
  <c r="BX648" i="4"/>
  <c r="BX43" i="4"/>
  <c r="BX60" i="4"/>
  <c r="BX77" i="4"/>
  <c r="BX94" i="4"/>
  <c r="BX111" i="4"/>
  <c r="BX128" i="4"/>
  <c r="BX154" i="4"/>
  <c r="BX171" i="4"/>
  <c r="BX188" i="4"/>
  <c r="BX205" i="4"/>
  <c r="BX222" i="4"/>
  <c r="BX239" i="4"/>
  <c r="BX256" i="4"/>
  <c r="BX282" i="4"/>
  <c r="BX299" i="4"/>
  <c r="BX316" i="4"/>
  <c r="BX333" i="4"/>
  <c r="BX350" i="4"/>
  <c r="BX367" i="4"/>
  <c r="BX384" i="4"/>
  <c r="BX410" i="4"/>
  <c r="BX427" i="4"/>
  <c r="BX444" i="4"/>
  <c r="BX461" i="4"/>
  <c r="BX478" i="4"/>
  <c r="BX495" i="4"/>
  <c r="BX512" i="4"/>
  <c r="BX538" i="4"/>
  <c r="BX555" i="4"/>
  <c r="BX572" i="4"/>
  <c r="BX589" i="4"/>
  <c r="BX606" i="4"/>
  <c r="BX623" i="4"/>
  <c r="BX640" i="4"/>
  <c r="BX42" i="4"/>
  <c r="BX54" i="4"/>
  <c r="BX88" i="4"/>
  <c r="BX99" i="4"/>
  <c r="BX133" i="4"/>
  <c r="BX146" i="4"/>
  <c r="BX167" i="4"/>
  <c r="BX180" i="4"/>
  <c r="BX214" i="4"/>
  <c r="BX248" i="4"/>
  <c r="BX259" i="4"/>
  <c r="BX293" i="4"/>
  <c r="BX327" i="4"/>
  <c r="BX338" i="4"/>
  <c r="BX372" i="4"/>
  <c r="BX406" i="4"/>
  <c r="BX419" i="4"/>
  <c r="BX440" i="4"/>
  <c r="BX453" i="4"/>
  <c r="BX487" i="4"/>
  <c r="BX498" i="4"/>
  <c r="BX532" i="4"/>
  <c r="BX566" i="4"/>
  <c r="BX600" i="4"/>
  <c r="BX611" i="4"/>
  <c r="BX645" i="4"/>
  <c r="BX658" i="4"/>
  <c r="BX44" i="4"/>
  <c r="BX78" i="4"/>
  <c r="BX112" i="4"/>
  <c r="BX123" i="4"/>
  <c r="BX157" i="4"/>
  <c r="BX191" i="4"/>
  <c r="BX202" i="4"/>
  <c r="BX236" i="4"/>
  <c r="BX270" i="4"/>
  <c r="BX283" i="4"/>
  <c r="BX304" i="4"/>
  <c r="BX317" i="4"/>
  <c r="BX351" i="4"/>
  <c r="BX362" i="4"/>
  <c r="BX396" i="4"/>
  <c r="BX430" i="4"/>
  <c r="BX464" i="4"/>
  <c r="BX475" i="4"/>
  <c r="BX509" i="4"/>
  <c r="BX522" i="4"/>
  <c r="BX543" i="4"/>
  <c r="BX556" i="4"/>
  <c r="BX590" i="4"/>
  <c r="BX624" i="4"/>
  <c r="BX635" i="4"/>
  <c r="BX55" i="4"/>
  <c r="BX66" i="4"/>
  <c r="BX100" i="4"/>
  <c r="BX134" i="4"/>
  <c r="BX147" i="4"/>
  <c r="BX168" i="4"/>
  <c r="BX181" i="4"/>
  <c r="BX215" i="4"/>
  <c r="BX226" i="4"/>
  <c r="BX260" i="4"/>
  <c r="BX294" i="4"/>
  <c r="BX328" i="4"/>
  <c r="BX339" i="4"/>
  <c r="BX373" i="4"/>
  <c r="BX386" i="4"/>
  <c r="BX407" i="4"/>
  <c r="BX420" i="4"/>
  <c r="BX454" i="4"/>
  <c r="BX488" i="4"/>
  <c r="BX499" i="4"/>
  <c r="BX533" i="4"/>
  <c r="BX567" i="4"/>
  <c r="BX578" i="4"/>
  <c r="BX612" i="4"/>
  <c r="BX646" i="4"/>
  <c r="BX659" i="4"/>
  <c r="BX95" i="4"/>
  <c r="BX122" i="4"/>
  <c r="BX138" i="4"/>
  <c r="BX150" i="4"/>
  <c r="BX207" i="4"/>
  <c r="BX234" i="4"/>
  <c r="BX250" i="4"/>
  <c r="BX262" i="4"/>
  <c r="BX291" i="4"/>
  <c r="BX303" i="4"/>
  <c r="BX319" i="4"/>
  <c r="BX346" i="4"/>
  <c r="BX360" i="4"/>
  <c r="BX376" i="4"/>
  <c r="BX403" i="4"/>
  <c r="BX415" i="4"/>
  <c r="BX431" i="4"/>
  <c r="BX458" i="4"/>
  <c r="BX472" i="4"/>
  <c r="BX515" i="4"/>
  <c r="BX527" i="4"/>
  <c r="BX570" i="4"/>
  <c r="BX584" i="4"/>
  <c r="BX627" i="4"/>
  <c r="BX125" i="4"/>
  <c r="BX237" i="4"/>
  <c r="BX474" i="4"/>
  <c r="BX531" i="4"/>
  <c r="BX56" i="4"/>
  <c r="BX83" i="4"/>
  <c r="BX252" i="4"/>
  <c r="BX421" i="4"/>
  <c r="BX462" i="4"/>
  <c r="BX53" i="4"/>
  <c r="BX69" i="4"/>
  <c r="BX108" i="4"/>
  <c r="BX124" i="4"/>
  <c r="BX165" i="4"/>
  <c r="BX220" i="4"/>
  <c r="BX277" i="4"/>
  <c r="BX334" i="4"/>
  <c r="BX389" i="4"/>
  <c r="BX446" i="4"/>
  <c r="BX501" i="4"/>
  <c r="BX530" i="4"/>
  <c r="BX542" i="4"/>
  <c r="BX558" i="4"/>
  <c r="BX599" i="4"/>
  <c r="BX615" i="4"/>
  <c r="BX642" i="4"/>
  <c r="BX654" i="4"/>
  <c r="BX109" i="4"/>
  <c r="BX166" i="4"/>
  <c r="BX182" i="4"/>
  <c r="BX223" i="4"/>
  <c r="BX266" i="4"/>
  <c r="BX378" i="4"/>
  <c r="BX490" i="4"/>
  <c r="BX547" i="4"/>
  <c r="BX586" i="4"/>
  <c r="BX616" i="4"/>
  <c r="BX643" i="4"/>
  <c r="BX197" i="4"/>
  <c r="BX364" i="4"/>
  <c r="BX405" i="4"/>
  <c r="BX476" i="4"/>
  <c r="BX517" i="4"/>
  <c r="BX82" i="4"/>
  <c r="BX96" i="4"/>
  <c r="BX139" i="4"/>
  <c r="BX151" i="4"/>
  <c r="BX194" i="4"/>
  <c r="BX208" i="4"/>
  <c r="BX235" i="4"/>
  <c r="BX251" i="4"/>
  <c r="BX292" i="4"/>
  <c r="BX308" i="4"/>
  <c r="BX320" i="4"/>
  <c r="BX347" i="4"/>
  <c r="BX363" i="4"/>
  <c r="BX404" i="4"/>
  <c r="BX416" i="4"/>
  <c r="BX432" i="4"/>
  <c r="BX459" i="4"/>
  <c r="BX516" i="4"/>
  <c r="BX544" i="4"/>
  <c r="BX573" i="4"/>
  <c r="BX628" i="4"/>
  <c r="BX70" i="4"/>
  <c r="BX278" i="4"/>
  <c r="BX335" i="4"/>
  <c r="BX390" i="4"/>
  <c r="BX447" i="4"/>
  <c r="BX504" i="4"/>
  <c r="BX559" i="4"/>
  <c r="BX602" i="4"/>
  <c r="BX655" i="4"/>
  <c r="BX140" i="4"/>
  <c r="BX309" i="4"/>
  <c r="BX348" i="4"/>
  <c r="BX574" i="4"/>
  <c r="BX629" i="4"/>
  <c r="BX61" i="4"/>
  <c r="BX103" i="4"/>
  <c r="BX120" i="4"/>
  <c r="BX160" i="4"/>
  <c r="BX224" i="4"/>
  <c r="BX243" i="4"/>
  <c r="BX285" i="4"/>
  <c r="BX302" i="4"/>
  <c r="BX344" i="4"/>
  <c r="BX448" i="4"/>
  <c r="BX467" i="4"/>
  <c r="BX484" i="4"/>
  <c r="BX526" i="4"/>
  <c r="BX568" i="4"/>
  <c r="BX632" i="4"/>
  <c r="BX651" i="4"/>
  <c r="BX164" i="4"/>
  <c r="BX352" i="4"/>
  <c r="BX63" i="4"/>
  <c r="BX186" i="4"/>
  <c r="BX245" i="4"/>
  <c r="BX412" i="4"/>
  <c r="BX471" i="4"/>
  <c r="BX594" i="4"/>
  <c r="BX636" i="4"/>
  <c r="BX106" i="4"/>
  <c r="BX535" i="4"/>
  <c r="BX618" i="4"/>
  <c r="BX47" i="4"/>
  <c r="BX231" i="4"/>
  <c r="BX288" i="4"/>
  <c r="BX354" i="4"/>
  <c r="BX413" i="4"/>
  <c r="BX576" i="4"/>
  <c r="BX637" i="4"/>
  <c r="BX90" i="4"/>
  <c r="BX211" i="4"/>
  <c r="BX253" i="4"/>
  <c r="BX295" i="4"/>
  <c r="BX331" i="4"/>
  <c r="BX496" i="4"/>
  <c r="BX619" i="4"/>
  <c r="BX661" i="4"/>
  <c r="BX173" i="4"/>
  <c r="BX232" i="4"/>
  <c r="BX336" i="4"/>
  <c r="BX518" i="4"/>
  <c r="BX581" i="4"/>
  <c r="BX72" i="4"/>
  <c r="BX296" i="4"/>
  <c r="BX379" i="4"/>
  <c r="BX620" i="4"/>
  <c r="BX398" i="4"/>
  <c r="BX644" i="4"/>
  <c r="BX80" i="4"/>
  <c r="BX142" i="4"/>
  <c r="BX163" i="4"/>
  <c r="BX184" i="4"/>
  <c r="BX203" i="4"/>
  <c r="BX267" i="4"/>
  <c r="BX326" i="4"/>
  <c r="BX368" i="4"/>
  <c r="BX387" i="4"/>
  <c r="BX491" i="4"/>
  <c r="BX508" i="4"/>
  <c r="BX550" i="4"/>
  <c r="BX592" i="4"/>
  <c r="BX86" i="4"/>
  <c r="BX126" i="4"/>
  <c r="BX143" i="4"/>
  <c r="BX268" i="4"/>
  <c r="BX310" i="4"/>
  <c r="BX450" i="4"/>
  <c r="BX492" i="4"/>
  <c r="BX534" i="4"/>
  <c r="BX46" i="4"/>
  <c r="BX228" i="4"/>
  <c r="BX287" i="4"/>
  <c r="BX370" i="4"/>
  <c r="BX87" i="4"/>
  <c r="BX148" i="4"/>
  <c r="BX311" i="4"/>
  <c r="BX436" i="4"/>
  <c r="BX493" i="4"/>
  <c r="BX189" i="4"/>
  <c r="BX271" i="4"/>
  <c r="BX455" i="4"/>
  <c r="BX595" i="4"/>
  <c r="BX71" i="4"/>
  <c r="BX107" i="4"/>
  <c r="BX149" i="4"/>
  <c r="BX274" i="4"/>
  <c r="BX312" i="4"/>
  <c r="BX395" i="4"/>
  <c r="BX437" i="4"/>
  <c r="BX479" i="4"/>
  <c r="BX557" i="4"/>
  <c r="BX114" i="4"/>
  <c r="BX131" i="4"/>
  <c r="BX190" i="4"/>
  <c r="BX355" i="4"/>
  <c r="BX414" i="4"/>
  <c r="BX456" i="4"/>
  <c r="BX560" i="4"/>
  <c r="BX598" i="4"/>
  <c r="BX638" i="4"/>
  <c r="BX91" i="4"/>
  <c r="BX275" i="4"/>
  <c r="BX662" i="4"/>
  <c r="BX132" i="4"/>
  <c r="BX356" i="4"/>
  <c r="BX523" i="4"/>
  <c r="BX45" i="4"/>
  <c r="BX62" i="4"/>
  <c r="BX104" i="4"/>
  <c r="BX227" i="4"/>
  <c r="BX244" i="4"/>
  <c r="BX286" i="4"/>
  <c r="BX411" i="4"/>
  <c r="BX428" i="4"/>
  <c r="BX470" i="4"/>
  <c r="BX510" i="4"/>
  <c r="BX610" i="4"/>
  <c r="BX652" i="4"/>
  <c r="BX206" i="4"/>
  <c r="BX388" i="4"/>
  <c r="BX551" i="4"/>
  <c r="BX634" i="4"/>
  <c r="BX429" i="4"/>
  <c r="BX575" i="4"/>
  <c r="BX653" i="4"/>
  <c r="BX210" i="4"/>
  <c r="BX269" i="4"/>
  <c r="BX330" i="4"/>
  <c r="BX394" i="4"/>
  <c r="BX514" i="4"/>
  <c r="BX552" i="4"/>
  <c r="BX660" i="4"/>
  <c r="BX64" i="4"/>
  <c r="BX130" i="4"/>
  <c r="BX172" i="4"/>
  <c r="BX371" i="4"/>
  <c r="BX48" i="4"/>
  <c r="BX397" i="4"/>
  <c r="BX539" i="4"/>
  <c r="BX155" i="4"/>
  <c r="BX192" i="4"/>
  <c r="BX254" i="4"/>
  <c r="BX480" i="4"/>
  <c r="BX115" i="4"/>
  <c r="BX216" i="4"/>
  <c r="BX582" i="4"/>
  <c r="BX438" i="4"/>
  <c r="BX603" i="4"/>
  <c r="BX174" i="4"/>
  <c r="BX314" i="4"/>
  <c r="BX540" i="4"/>
  <c r="BX199" i="4"/>
  <c r="BX325" i="4"/>
  <c r="BX463" i="4"/>
  <c r="BX587" i="4"/>
  <c r="BX158" i="4"/>
  <c r="BX98" i="4"/>
  <c r="BX483" i="4"/>
  <c r="BX424" i="4"/>
  <c r="BX301" i="4"/>
  <c r="BX439" i="4"/>
  <c r="BX52" i="4"/>
  <c r="BX242" i="4"/>
  <c r="BX506" i="4"/>
  <c r="BX176" i="4"/>
  <c r="BX442" i="4"/>
  <c r="BX445" i="4"/>
  <c r="BX74" i="4"/>
  <c r="BX261" i="4"/>
  <c r="BX399" i="4"/>
  <c r="BX525" i="4"/>
  <c r="BX591" i="4"/>
  <c r="BX663" i="4"/>
  <c r="BX79" i="4"/>
  <c r="BX607" i="4"/>
  <c r="BX218" i="4"/>
  <c r="BX422" i="4"/>
  <c r="BX300" i="4"/>
  <c r="BX564" i="4"/>
  <c r="BX500" i="4"/>
  <c r="BX626" i="4"/>
  <c r="BX175" i="4"/>
  <c r="BX365" i="4"/>
  <c r="BX565" i="4"/>
  <c r="BX116" i="4"/>
  <c r="BX318" i="4"/>
  <c r="BX117" i="4"/>
  <c r="BX258" i="4"/>
  <c r="BX650" i="4"/>
  <c r="BX200" i="4"/>
  <c r="BX276" i="4"/>
  <c r="BX342" i="4"/>
  <c r="BX402" i="4"/>
  <c r="BX466" i="4"/>
  <c r="BX604" i="4"/>
  <c r="BX156" i="4"/>
  <c r="BX343" i="4"/>
  <c r="BX541" i="4"/>
  <c r="BX92" i="4"/>
  <c r="BX482" i="4"/>
  <c r="BX159" i="4"/>
  <c r="BX359" i="4"/>
  <c r="BX549" i="4"/>
  <c r="BX240" i="4"/>
  <c r="BX183" i="4"/>
  <c r="BX507" i="4"/>
  <c r="BX198" i="4"/>
  <c r="BX382" i="4"/>
  <c r="BX75" i="4"/>
  <c r="BX141" i="4"/>
  <c r="BX279" i="4"/>
  <c r="BX284" i="4"/>
  <c r="BX548" i="4"/>
  <c r="BX608" i="4"/>
  <c r="BX219" i="4"/>
  <c r="BX423" i="4"/>
  <c r="BX621" i="4"/>
  <c r="BX380" i="4"/>
  <c r="BX381" i="4"/>
  <c r="BX58" i="4"/>
  <c r="BX322" i="4"/>
  <c r="BX583" i="4"/>
  <c r="BX524" i="4"/>
  <c r="R331" i="4"/>
  <c r="BZ331" i="4" s="1"/>
  <c r="CF331" i="4"/>
  <c r="R259" i="4"/>
  <c r="BZ259" i="4" s="1"/>
  <c r="CF259" i="4"/>
  <c r="T515" i="4"/>
  <c r="CB515" i="4" s="1"/>
  <c r="CH515" i="4"/>
  <c r="R167" i="4"/>
  <c r="BZ167" i="4" s="1"/>
  <c r="CF167" i="4"/>
  <c r="V421" i="4"/>
  <c r="CD421" i="4" s="1"/>
  <c r="CJ421" i="4"/>
  <c r="S615" i="4"/>
  <c r="CA615" i="4" s="1"/>
  <c r="CG615" i="4"/>
  <c r="S261" i="4"/>
  <c r="CA261" i="4" s="1"/>
  <c r="CG261" i="4"/>
  <c r="R413" i="4"/>
  <c r="BZ413" i="4" s="1"/>
  <c r="CF413" i="4"/>
  <c r="R189" i="4"/>
  <c r="BZ189" i="4" s="1"/>
  <c r="CF189" i="4"/>
  <c r="R307" i="4"/>
  <c r="BZ307" i="4" s="1"/>
  <c r="CF307" i="4"/>
  <c r="V325" i="4"/>
  <c r="CD325" i="4" s="1"/>
  <c r="CJ325" i="4"/>
  <c r="W265" i="4"/>
  <c r="CE265" i="4" s="1"/>
  <c r="CK265" i="4"/>
  <c r="S44" i="4"/>
  <c r="Y44" i="4" s="1"/>
  <c r="CG44" i="4"/>
  <c r="R71" i="4"/>
  <c r="BZ71" i="4" s="1"/>
  <c r="CF71" i="4"/>
  <c r="R615" i="4"/>
  <c r="BZ615" i="4" s="1"/>
  <c r="CF615" i="4"/>
  <c r="R317" i="4"/>
  <c r="BZ317" i="4" s="1"/>
  <c r="CF317" i="4"/>
  <c r="R369" i="4"/>
  <c r="BZ369" i="4" s="1"/>
  <c r="CF369" i="4"/>
  <c r="V167" i="4"/>
  <c r="CD167" i="4" s="1"/>
  <c r="CJ167" i="4"/>
  <c r="S421" i="4"/>
  <c r="CA421" i="4" s="1"/>
  <c r="CG421" i="4"/>
  <c r="S325" i="4"/>
  <c r="CA325" i="4" s="1"/>
  <c r="CG325" i="4"/>
  <c r="R405" i="4"/>
  <c r="BZ405" i="4" s="1"/>
  <c r="CF405" i="4"/>
  <c r="U265" i="4"/>
  <c r="CC265" i="4" s="1"/>
  <c r="CI265" i="4"/>
  <c r="S619" i="4"/>
  <c r="CA619" i="4" s="1"/>
  <c r="CG619" i="4"/>
  <c r="AC42" i="4"/>
  <c r="CE42" i="4"/>
  <c r="W93" i="4"/>
  <c r="CE93" i="4" s="1"/>
  <c r="CK93" i="4"/>
  <c r="AV42" i="4"/>
  <c r="BB42" i="4"/>
  <c r="S57" i="4"/>
  <c r="CA57" i="4" s="1"/>
  <c r="CG57" i="4"/>
  <c r="S365" i="4"/>
  <c r="CA365" i="4" s="1"/>
  <c r="CG365" i="4"/>
  <c r="S515" i="4"/>
  <c r="CA515" i="4" s="1"/>
  <c r="CG515" i="4"/>
  <c r="S107" i="4"/>
  <c r="CA107" i="4" s="1"/>
  <c r="CG107" i="4"/>
  <c r="S405" i="4"/>
  <c r="CA405" i="4" s="1"/>
  <c r="CG405" i="4"/>
  <c r="T93" i="4"/>
  <c r="CB93" i="4" s="1"/>
  <c r="CH93" i="4"/>
  <c r="U57" i="4"/>
  <c r="CC57" i="4" s="1"/>
  <c r="CI57" i="4"/>
  <c r="S125" i="4"/>
  <c r="CA125" i="4" s="1"/>
  <c r="CG125" i="4"/>
  <c r="U325" i="4"/>
  <c r="CC325" i="4" s="1"/>
  <c r="CI325" i="4"/>
  <c r="W599" i="4"/>
  <c r="CE599" i="4" s="1"/>
  <c r="CK599" i="4"/>
  <c r="S93" i="4"/>
  <c r="CA93" i="4" s="1"/>
  <c r="CG93" i="4"/>
  <c r="T205" i="4"/>
  <c r="CB205" i="4" s="1"/>
  <c r="CH205" i="4"/>
  <c r="R103" i="4"/>
  <c r="BZ103" i="4" s="1"/>
  <c r="CF103" i="4"/>
  <c r="R125" i="4"/>
  <c r="BZ125" i="4" s="1"/>
  <c r="CF125" i="4"/>
  <c r="T421" i="4"/>
  <c r="CB421" i="4" s="1"/>
  <c r="CH421" i="4"/>
  <c r="R325" i="4"/>
  <c r="BZ325" i="4" s="1"/>
  <c r="CF325" i="4"/>
  <c r="T599" i="4"/>
  <c r="CB599" i="4" s="1"/>
  <c r="CH599" i="4"/>
  <c r="S425" i="4"/>
  <c r="CA425" i="4" s="1"/>
  <c r="CG425" i="4"/>
  <c r="U135" i="4"/>
  <c r="CC135" i="4" s="1"/>
  <c r="CI135" i="4"/>
  <c r="T351" i="4"/>
  <c r="CB351" i="4" s="1"/>
  <c r="CH351" i="4"/>
  <c r="R547" i="4"/>
  <c r="BZ547" i="4" s="1"/>
  <c r="CF547" i="4"/>
  <c r="T295" i="4"/>
  <c r="CB295" i="4" s="1"/>
  <c r="CH295" i="4"/>
  <c r="S495" i="4"/>
  <c r="CA495" i="4" s="1"/>
  <c r="CG495" i="4"/>
  <c r="R591" i="4"/>
  <c r="BZ591" i="4" s="1"/>
  <c r="CF591" i="4"/>
  <c r="R107" i="4"/>
  <c r="BZ107" i="4" s="1"/>
  <c r="CF107" i="4"/>
  <c r="S571" i="4"/>
  <c r="CA571" i="4" s="1"/>
  <c r="CG571" i="4"/>
  <c r="U425" i="4"/>
  <c r="CC425" i="4" s="1"/>
  <c r="CI425" i="4"/>
  <c r="CG361" i="4"/>
  <c r="S361" i="4"/>
  <c r="CA361" i="4" s="1"/>
  <c r="U631" i="4"/>
  <c r="CC631" i="4" s="1"/>
  <c r="CI631" i="4"/>
  <c r="U313" i="4"/>
  <c r="CC313" i="4" s="1"/>
  <c r="CI313" i="4"/>
  <c r="R205" i="4"/>
  <c r="BZ205" i="4" s="1"/>
  <c r="CF205" i="4"/>
  <c r="CK353" i="4"/>
  <c r="W353" i="4"/>
  <c r="CE353" i="4" s="1"/>
  <c r="R295" i="4"/>
  <c r="BZ295" i="4" s="1"/>
  <c r="CF295" i="4"/>
  <c r="T571" i="4"/>
  <c r="CB571" i="4" s="1"/>
  <c r="CH571" i="4"/>
  <c r="T631" i="4"/>
  <c r="CB631" i="4" s="1"/>
  <c r="CH631" i="4"/>
  <c r="BI43" i="4"/>
  <c r="BS42" i="4"/>
  <c r="R623" i="4"/>
  <c r="BZ623" i="4" s="1"/>
  <c r="CF623" i="4"/>
  <c r="AK43" i="4"/>
  <c r="T551" i="4"/>
  <c r="CB551" i="4" s="1"/>
  <c r="CH551" i="4"/>
  <c r="S423" i="4"/>
  <c r="CA423" i="4" s="1"/>
  <c r="CG423" i="4"/>
  <c r="S631" i="4"/>
  <c r="CA631" i="4" s="1"/>
  <c r="CG631" i="4"/>
  <c r="S243" i="4"/>
  <c r="CA243" i="4" s="1"/>
  <c r="CG243" i="4"/>
  <c r="W225" i="4"/>
  <c r="CE225" i="4" s="1"/>
  <c r="CK225" i="4"/>
  <c r="R511" i="4"/>
  <c r="BZ511" i="4" s="1"/>
  <c r="CF511" i="4"/>
  <c r="R353" i="4"/>
  <c r="BZ353" i="4" s="1"/>
  <c r="CF353" i="4"/>
  <c r="S333" i="4"/>
  <c r="CA333" i="4" s="1"/>
  <c r="CG333" i="4"/>
  <c r="S403" i="4"/>
  <c r="CA403" i="4" s="1"/>
  <c r="CG403" i="4"/>
  <c r="T323" i="4"/>
  <c r="CB323" i="4" s="1"/>
  <c r="CH323" i="4"/>
  <c r="AQ42" i="4"/>
  <c r="R551" i="4"/>
  <c r="BZ551" i="4" s="1"/>
  <c r="CF551" i="4"/>
  <c r="U253" i="4"/>
  <c r="CC253" i="4" s="1"/>
  <c r="CI253" i="4"/>
  <c r="W397" i="4"/>
  <c r="CE397" i="4" s="1"/>
  <c r="CK397" i="4"/>
  <c r="U397" i="4"/>
  <c r="CC397" i="4" s="1"/>
  <c r="CI397" i="4"/>
  <c r="W555" i="4"/>
  <c r="CE555" i="4" s="1"/>
  <c r="CK555" i="4"/>
  <c r="R243" i="4"/>
  <c r="BZ243" i="4" s="1"/>
  <c r="CF243" i="4"/>
  <c r="R67" i="4"/>
  <c r="BZ67" i="4" s="1"/>
  <c r="CF67" i="4"/>
  <c r="W455" i="4"/>
  <c r="CE455" i="4" s="1"/>
  <c r="CK455" i="4"/>
  <c r="S297" i="4"/>
  <c r="CA297" i="4" s="1"/>
  <c r="CG297" i="4"/>
  <c r="W611" i="4"/>
  <c r="CE611" i="4" s="1"/>
  <c r="CK611" i="4"/>
  <c r="T301" i="4"/>
  <c r="CB301" i="4" s="1"/>
  <c r="CH301" i="4"/>
  <c r="V45" i="4"/>
  <c r="CD45" i="4" s="1"/>
  <c r="CJ45" i="4"/>
  <c r="S285" i="4"/>
  <c r="CA285" i="4" s="1"/>
  <c r="CG285" i="4"/>
  <c r="S173" i="4"/>
  <c r="CA173" i="4" s="1"/>
  <c r="CG173" i="4"/>
  <c r="U455" i="4"/>
  <c r="CC455" i="4" s="1"/>
  <c r="CI455" i="4"/>
  <c r="U297" i="4"/>
  <c r="CC297" i="4" s="1"/>
  <c r="CI297" i="4"/>
  <c r="R611" i="4"/>
  <c r="BZ611" i="4" s="1"/>
  <c r="CF611" i="4"/>
  <c r="AY42" i="4"/>
  <c r="BE42" i="4"/>
  <c r="S459" i="4"/>
  <c r="CA459" i="4" s="1"/>
  <c r="CG459" i="4"/>
  <c r="S101" i="4"/>
  <c r="CA101" i="4" s="1"/>
  <c r="CG101" i="4"/>
  <c r="V119" i="4"/>
  <c r="CD119" i="4" s="1"/>
  <c r="CJ119" i="4"/>
  <c r="S607" i="4"/>
  <c r="CA607" i="4" s="1"/>
  <c r="CG607" i="4"/>
  <c r="U519" i="4"/>
  <c r="CC519" i="4" s="1"/>
  <c r="CI519" i="4"/>
  <c r="W507" i="4"/>
  <c r="CE507" i="4" s="1"/>
  <c r="CK507" i="4"/>
  <c r="U279" i="4"/>
  <c r="CC279" i="4" s="1"/>
  <c r="CI279" i="4"/>
  <c r="U301" i="4"/>
  <c r="CC301" i="4" s="1"/>
  <c r="CI301" i="4"/>
  <c r="S53" i="4"/>
  <c r="CA53" i="4" s="1"/>
  <c r="CG53" i="4"/>
  <c r="R329" i="4"/>
  <c r="BZ329" i="4" s="1"/>
  <c r="CF329" i="4"/>
  <c r="T191" i="4"/>
  <c r="CB191" i="4" s="1"/>
  <c r="CH191" i="4"/>
  <c r="T59" i="4"/>
  <c r="CB59" i="4" s="1"/>
  <c r="CH59" i="4"/>
  <c r="S377" i="4"/>
  <c r="CA377" i="4" s="1"/>
  <c r="CG377" i="4"/>
  <c r="U611" i="4"/>
  <c r="CC611" i="4" s="1"/>
  <c r="CI611" i="4"/>
  <c r="U91" i="4"/>
  <c r="CC91" i="4" s="1"/>
  <c r="CI91" i="4"/>
  <c r="S275" i="4"/>
  <c r="CA275" i="4" s="1"/>
  <c r="CG275" i="4"/>
  <c r="S301" i="4"/>
  <c r="CA301" i="4" s="1"/>
  <c r="CG301" i="4"/>
  <c r="U375" i="4"/>
  <c r="CC375" i="4" s="1"/>
  <c r="CI375" i="4"/>
  <c r="W165" i="4"/>
  <c r="CE165" i="4" s="1"/>
  <c r="CK165" i="4"/>
  <c r="S199" i="4"/>
  <c r="CA199" i="4" s="1"/>
  <c r="CG199" i="4"/>
  <c r="S91" i="4"/>
  <c r="CA91" i="4" s="1"/>
  <c r="CG91" i="4"/>
  <c r="R279" i="4"/>
  <c r="BZ279" i="4" s="1"/>
  <c r="CF279" i="4"/>
  <c r="T44" i="4"/>
  <c r="CH44" i="4"/>
  <c r="CH71" i="4"/>
  <c r="T71" i="4"/>
  <c r="CB71" i="4" s="1"/>
  <c r="S349" i="4"/>
  <c r="CA349" i="4" s="1"/>
  <c r="CG349" i="4"/>
  <c r="W385" i="4"/>
  <c r="CE385" i="4" s="1"/>
  <c r="CK385" i="4"/>
  <c r="R191" i="4"/>
  <c r="BZ191" i="4" s="1"/>
  <c r="CF191" i="4"/>
  <c r="S165" i="4"/>
  <c r="CA165" i="4" s="1"/>
  <c r="CG165" i="4"/>
  <c r="S123" i="4"/>
  <c r="CA123" i="4" s="1"/>
  <c r="CG123" i="4"/>
  <c r="T199" i="4"/>
  <c r="CB199" i="4" s="1"/>
  <c r="CH199" i="4"/>
  <c r="U377" i="4"/>
  <c r="CC377" i="4" s="1"/>
  <c r="CI377" i="4"/>
  <c r="S373" i="4"/>
  <c r="CA373" i="4" s="1"/>
  <c r="CG373" i="4"/>
  <c r="U189" i="4"/>
  <c r="CC189" i="4" s="1"/>
  <c r="CI189" i="4"/>
  <c r="R387" i="4"/>
  <c r="BZ387" i="4" s="1"/>
  <c r="CF387" i="4"/>
  <c r="T307" i="4"/>
  <c r="CB307" i="4" s="1"/>
  <c r="CH307" i="4"/>
  <c r="R507" i="4"/>
  <c r="BZ507" i="4" s="1"/>
  <c r="CF507" i="4"/>
  <c r="R91" i="4"/>
  <c r="BZ91" i="4" s="1"/>
  <c r="CF91" i="4"/>
  <c r="R275" i="4"/>
  <c r="BZ275" i="4" s="1"/>
  <c r="CF275" i="4"/>
  <c r="T619" i="4"/>
  <c r="CB619" i="4" s="1"/>
  <c r="CH619" i="4"/>
  <c r="T53" i="4"/>
  <c r="CB53" i="4" s="1"/>
  <c r="CH53" i="4"/>
  <c r="W71" i="4"/>
  <c r="CE71" i="4" s="1"/>
  <c r="CK71" i="4"/>
  <c r="CF85" i="4"/>
  <c r="R85" i="4"/>
  <c r="BZ85" i="4" s="1"/>
  <c r="S429" i="4"/>
  <c r="CA429" i="4" s="1"/>
  <c r="CG429" i="4"/>
  <c r="U213" i="4"/>
  <c r="CC213" i="4" s="1"/>
  <c r="CI213" i="4"/>
  <c r="W369" i="4"/>
  <c r="CE369" i="4" s="1"/>
  <c r="CK369" i="4"/>
  <c r="T275" i="4"/>
  <c r="CB275" i="4" s="1"/>
  <c r="CH275" i="4"/>
  <c r="R619" i="4"/>
  <c r="BZ619" i="4" s="1"/>
  <c r="CF619" i="4"/>
  <c r="V631" i="4"/>
  <c r="CD631" i="4" s="1"/>
  <c r="CJ631" i="4"/>
  <c r="R429" i="4"/>
  <c r="BZ429" i="4" s="1"/>
  <c r="CF429" i="4"/>
  <c r="R213" i="4"/>
  <c r="BZ213" i="4" s="1"/>
  <c r="CF213" i="4"/>
  <c r="R261" i="4"/>
  <c r="BZ261" i="4" s="1"/>
  <c r="CF261" i="4"/>
  <c r="S413" i="4"/>
  <c r="CA413" i="4" s="1"/>
  <c r="CG413" i="4"/>
  <c r="S189" i="4"/>
  <c r="CA189" i="4" s="1"/>
  <c r="CG189" i="4"/>
  <c r="W107" i="4"/>
  <c r="CE107" i="4" s="1"/>
  <c r="CK107" i="4"/>
  <c r="J48" i="4"/>
  <c r="S71" i="4"/>
  <c r="CA71" i="4" s="1"/>
  <c r="CG71" i="4"/>
  <c r="U331" i="4"/>
  <c r="CC331" i="4" s="1"/>
  <c r="CI331" i="4"/>
  <c r="T259" i="4"/>
  <c r="CB259" i="4" s="1"/>
  <c r="CH259" i="4"/>
  <c r="T167" i="4"/>
  <c r="CB167" i="4" s="1"/>
  <c r="CH167" i="4"/>
  <c r="CK421" i="4"/>
  <c r="W421" i="4"/>
  <c r="CE421" i="4" s="1"/>
  <c r="T325" i="4"/>
  <c r="CB325" i="4" s="1"/>
  <c r="CH325" i="4"/>
  <c r="R265" i="4"/>
  <c r="BZ265" i="4" s="1"/>
  <c r="CF265" i="4"/>
  <c r="CJ71" i="4"/>
  <c r="V71" i="4"/>
  <c r="CD71" i="4" s="1"/>
  <c r="R365" i="4"/>
  <c r="BZ365" i="4" s="1"/>
  <c r="CF365" i="4"/>
  <c r="T107" i="4"/>
  <c r="CB107" i="4" s="1"/>
  <c r="CH107" i="4"/>
  <c r="W571" i="4"/>
  <c r="CE571" i="4" s="1"/>
  <c r="CK571" i="4"/>
  <c r="V135" i="4"/>
  <c r="CD135" i="4" s="1"/>
  <c r="CJ135" i="4"/>
  <c r="R351" i="4"/>
  <c r="BZ351" i="4" s="1"/>
  <c r="CF351" i="4"/>
  <c r="S547" i="4"/>
  <c r="CA547" i="4" s="1"/>
  <c r="CG547" i="4"/>
  <c r="R515" i="4"/>
  <c r="BZ515" i="4" s="1"/>
  <c r="CF515" i="4"/>
  <c r="W495" i="4"/>
  <c r="CE495" i="4" s="1"/>
  <c r="CK495" i="4"/>
  <c r="S591" i="4"/>
  <c r="CA591" i="4" s="1"/>
  <c r="CG591" i="4"/>
  <c r="CI107" i="4"/>
  <c r="U107" i="4"/>
  <c r="CC107" i="4" s="1"/>
  <c r="U571" i="4"/>
  <c r="CC571" i="4" s="1"/>
  <c r="CI571" i="4"/>
  <c r="T361" i="4"/>
  <c r="CB361" i="4" s="1"/>
  <c r="CH361" i="4"/>
  <c r="R93" i="4"/>
  <c r="BZ93" i="4" s="1"/>
  <c r="CF93" i="4"/>
  <c r="W631" i="4"/>
  <c r="CE631" i="4" s="1"/>
  <c r="CK631" i="4"/>
  <c r="S205" i="4"/>
  <c r="CA205" i="4" s="1"/>
  <c r="CG205" i="4"/>
  <c r="CJ103" i="4"/>
  <c r="V103" i="4"/>
  <c r="CD103" i="4" s="1"/>
  <c r="U551" i="4"/>
  <c r="CC551" i="4" s="1"/>
  <c r="CI551" i="4"/>
  <c r="V423" i="4"/>
  <c r="CD423" i="4" s="1"/>
  <c r="CJ423" i="4"/>
  <c r="S599" i="4"/>
  <c r="CA599" i="4" s="1"/>
  <c r="CG599" i="4"/>
  <c r="R135" i="4"/>
  <c r="BZ135" i="4" s="1"/>
  <c r="CF135" i="4"/>
  <c r="U511" i="4"/>
  <c r="CC511" i="4" s="1"/>
  <c r="CI511" i="4"/>
  <c r="T623" i="4"/>
  <c r="CB623" i="4" s="1"/>
  <c r="CH623" i="4"/>
  <c r="U403" i="4"/>
  <c r="CC403" i="4" s="1"/>
  <c r="CI403" i="4"/>
  <c r="R495" i="4"/>
  <c r="BZ495" i="4" s="1"/>
  <c r="CF495" i="4"/>
  <c r="CH591" i="4"/>
  <c r="T591" i="4"/>
  <c r="CB591" i="4" s="1"/>
  <c r="S551" i="4"/>
  <c r="CA551" i="4" s="1"/>
  <c r="CG551" i="4"/>
  <c r="T423" i="4"/>
  <c r="CB423" i="4" s="1"/>
  <c r="CH423" i="4"/>
  <c r="R599" i="4"/>
  <c r="BZ599" i="4" s="1"/>
  <c r="CF599" i="4"/>
  <c r="R361" i="4"/>
  <c r="BZ361" i="4" s="1"/>
  <c r="CF361" i="4"/>
  <c r="R313" i="4"/>
  <c r="BZ313" i="4" s="1"/>
  <c r="CF313" i="4"/>
  <c r="T225" i="4"/>
  <c r="CB225" i="4" s="1"/>
  <c r="CH225" i="4"/>
  <c r="S511" i="4"/>
  <c r="CA511" i="4" s="1"/>
  <c r="CG511" i="4"/>
  <c r="U353" i="4"/>
  <c r="CC353" i="4" s="1"/>
  <c r="CI353" i="4"/>
  <c r="U333" i="4"/>
  <c r="CC333" i="4" s="1"/>
  <c r="CI333" i="4"/>
  <c r="W403" i="4"/>
  <c r="CE403" i="4" s="1"/>
  <c r="CK403" i="4"/>
  <c r="S323" i="4"/>
  <c r="CA323" i="4" s="1"/>
  <c r="CG323" i="4"/>
  <c r="R571" i="4"/>
  <c r="BZ571" i="4" s="1"/>
  <c r="CF571" i="4"/>
  <c r="U361" i="4"/>
  <c r="CC361" i="4" s="1"/>
  <c r="CI361" i="4"/>
  <c r="CI53" i="4"/>
  <c r="U53" i="4"/>
  <c r="CC53" i="4" s="1"/>
  <c r="T67" i="4"/>
  <c r="CB67" i="4" s="1"/>
  <c r="CH67" i="4"/>
  <c r="W301" i="4"/>
  <c r="CE301" i="4" s="1"/>
  <c r="CK301" i="4"/>
  <c r="R631" i="4"/>
  <c r="BZ631" i="4" s="1"/>
  <c r="CF631" i="4"/>
  <c r="U285" i="4"/>
  <c r="CC285" i="4" s="1"/>
  <c r="CI285" i="4"/>
  <c r="R403" i="4"/>
  <c r="BZ403" i="4" s="1"/>
  <c r="CF403" i="4"/>
  <c r="W519" i="4"/>
  <c r="CE519" i="4" s="1"/>
  <c r="CK519" i="4"/>
  <c r="R253" i="4"/>
  <c r="BZ253" i="4" s="1"/>
  <c r="CF253" i="4"/>
  <c r="S397" i="4"/>
  <c r="CA397" i="4" s="1"/>
  <c r="CG397" i="4"/>
  <c r="V555" i="4"/>
  <c r="CD555" i="4" s="1"/>
  <c r="CJ555" i="4"/>
  <c r="S329" i="4"/>
  <c r="CA329" i="4" s="1"/>
  <c r="CG329" i="4"/>
  <c r="S119" i="4"/>
  <c r="CA119" i="4" s="1"/>
  <c r="CG119" i="4"/>
  <c r="T607" i="4"/>
  <c r="CB607" i="4" s="1"/>
  <c r="CH607" i="4"/>
  <c r="T519" i="4"/>
  <c r="CB519" i="4" s="1"/>
  <c r="CH519" i="4"/>
  <c r="T253" i="4"/>
  <c r="CB253" i="4" s="1"/>
  <c r="CH253" i="4"/>
  <c r="T555" i="4"/>
  <c r="CB555" i="4" s="1"/>
  <c r="CH555" i="4"/>
  <c r="V301" i="4"/>
  <c r="CD301" i="4" s="1"/>
  <c r="CJ301" i="4"/>
  <c r="W85" i="4"/>
  <c r="CE85" i="4" s="1"/>
  <c r="CK85" i="4"/>
  <c r="T45" i="4"/>
  <c r="CB45" i="4" s="1"/>
  <c r="CH45" i="4"/>
  <c r="U329" i="4"/>
  <c r="CC329" i="4" s="1"/>
  <c r="CI329" i="4"/>
  <c r="R173" i="4"/>
  <c r="BZ173" i="4" s="1"/>
  <c r="CF173" i="4"/>
  <c r="V59" i="4"/>
  <c r="CD59" i="4" s="1"/>
  <c r="CJ59" i="4"/>
  <c r="R297" i="4"/>
  <c r="BZ297" i="4" s="1"/>
  <c r="CF297" i="4"/>
  <c r="S611" i="4"/>
  <c r="CA611" i="4" s="1"/>
  <c r="CG611" i="4"/>
  <c r="S253" i="4"/>
  <c r="CA253" i="4" s="1"/>
  <c r="CG253" i="4"/>
  <c r="R555" i="4"/>
  <c r="BZ555" i="4" s="1"/>
  <c r="CF555" i="4"/>
  <c r="T85" i="4"/>
  <c r="CB85" i="4" s="1"/>
  <c r="CH85" i="4"/>
  <c r="W45" i="4"/>
  <c r="CE45" i="4" s="1"/>
  <c r="CK45" i="4"/>
  <c r="R459" i="4"/>
  <c r="BZ459" i="4" s="1"/>
  <c r="CF459" i="4"/>
  <c r="R101" i="4"/>
  <c r="BZ101" i="4" s="1"/>
  <c r="CF101" i="4"/>
  <c r="R119" i="4"/>
  <c r="BZ119" i="4" s="1"/>
  <c r="CF119" i="4"/>
  <c r="R607" i="4"/>
  <c r="BZ607" i="4" s="1"/>
  <c r="CF607" i="4"/>
  <c r="R519" i="4"/>
  <c r="BZ519" i="4" s="1"/>
  <c r="CF519" i="4"/>
  <c r="U507" i="4"/>
  <c r="CC507" i="4" s="1"/>
  <c r="CI507" i="4"/>
  <c r="S279" i="4"/>
  <c r="CA279" i="4" s="1"/>
  <c r="CG279" i="4"/>
  <c r="S555" i="4"/>
  <c r="CA555" i="4" s="1"/>
  <c r="CG555" i="4"/>
  <c r="W53" i="4"/>
  <c r="CE53" i="4" s="1"/>
  <c r="CK53" i="4"/>
  <c r="S85" i="4"/>
  <c r="CA85" i="4" s="1"/>
  <c r="CG85" i="4"/>
  <c r="U45" i="4"/>
  <c r="CC45" i="4" s="1"/>
  <c r="CI45" i="4"/>
  <c r="T349" i="4"/>
  <c r="CB349" i="4" s="1"/>
  <c r="CH349" i="4"/>
  <c r="S191" i="4"/>
  <c r="CA191" i="4" s="1"/>
  <c r="CG191" i="4"/>
  <c r="U123" i="4"/>
  <c r="CC123" i="4" s="1"/>
  <c r="CI123" i="4"/>
  <c r="T377" i="4"/>
  <c r="CB377" i="4" s="1"/>
  <c r="CH377" i="4"/>
  <c r="R373" i="4"/>
  <c r="BZ373" i="4" s="1"/>
  <c r="CF373" i="4"/>
  <c r="S507" i="4"/>
  <c r="CA507" i="4" s="1"/>
  <c r="CG507" i="4"/>
  <c r="U275" i="4"/>
  <c r="CC275" i="4" s="1"/>
  <c r="CI275" i="4"/>
  <c r="U555" i="4"/>
  <c r="CC555" i="4" s="1"/>
  <c r="CI555" i="4"/>
  <c r="V53" i="4"/>
  <c r="CD53" i="4" s="1"/>
  <c r="CJ53" i="4"/>
  <c r="U85" i="4"/>
  <c r="CC85" i="4" s="1"/>
  <c r="CI85" i="4"/>
  <c r="S45" i="4"/>
  <c r="CA45" i="4" s="1"/>
  <c r="CG45" i="4"/>
  <c r="R349" i="4"/>
  <c r="BZ349" i="4" s="1"/>
  <c r="CF349" i="4"/>
  <c r="R385" i="4"/>
  <c r="BZ385" i="4" s="1"/>
  <c r="CF385" i="4"/>
  <c r="S213" i="4"/>
  <c r="CA213" i="4" s="1"/>
  <c r="CG213" i="4"/>
  <c r="U317" i="4"/>
  <c r="CC317" i="4" s="1"/>
  <c r="CI317" i="4"/>
  <c r="CK123" i="4"/>
  <c r="W123" i="4"/>
  <c r="CE123" i="4" s="1"/>
  <c r="S369" i="4"/>
  <c r="CA369" i="4" s="1"/>
  <c r="CG369" i="4"/>
  <c r="R377" i="4"/>
  <c r="BZ377" i="4" s="1"/>
  <c r="CF377" i="4"/>
  <c r="U167" i="4"/>
  <c r="CC167" i="4" s="1"/>
  <c r="CI167" i="4"/>
  <c r="W189" i="4"/>
  <c r="CE189" i="4" s="1"/>
  <c r="CK189" i="4"/>
  <c r="S307" i="4"/>
  <c r="CA307" i="4" s="1"/>
  <c r="CG307" i="4"/>
  <c r="W325" i="4"/>
  <c r="CE325" i="4" s="1"/>
  <c r="CK325" i="4"/>
  <c r="V275" i="4"/>
  <c r="CD275" i="4" s="1"/>
  <c r="CJ275" i="4"/>
  <c r="V619" i="4"/>
  <c r="CD619" i="4" s="1"/>
  <c r="CJ619" i="4"/>
  <c r="R53" i="4"/>
  <c r="BZ53" i="4" s="1"/>
  <c r="CF53" i="4"/>
  <c r="U71" i="4"/>
  <c r="CC71" i="4" s="1"/>
  <c r="CI71" i="4"/>
  <c r="AZ42" i="4" l="1"/>
  <c r="BF42" i="4"/>
  <c r="AN43" i="4"/>
  <c r="AT43" i="4" s="1"/>
  <c r="O44" i="4"/>
  <c r="AJ43" i="4"/>
  <c r="AP43" i="4" s="1"/>
  <c r="AV43" i="4" s="1"/>
  <c r="K44" i="4"/>
  <c r="AM43" i="4"/>
  <c r="AS43" i="4" s="1"/>
  <c r="AY43" i="4" s="1"/>
  <c r="BE43" i="4" s="1"/>
  <c r="N44" i="4"/>
  <c r="AQ43" i="4"/>
  <c r="AW42" i="4"/>
  <c r="BC42" i="4"/>
  <c r="J50" i="4"/>
  <c r="Z44" i="4"/>
  <c r="CB44" i="4"/>
  <c r="AC43" i="4"/>
  <c r="AO42" i="4"/>
  <c r="BJ42" i="4"/>
  <c r="AK44" i="4"/>
  <c r="Y45" i="4"/>
  <c r="BS43" i="4"/>
  <c r="BB43" i="4"/>
  <c r="CA44" i="4"/>
  <c r="AW43" i="4" l="1"/>
  <c r="BC43" i="4" s="1"/>
  <c r="CF44" i="4"/>
  <c r="R44" i="4"/>
  <c r="U44" i="4"/>
  <c r="CI44" i="4"/>
  <c r="V44" i="4"/>
  <c r="CJ44" i="4"/>
  <c r="AZ43" i="4"/>
  <c r="BF43" i="4" s="1"/>
  <c r="Z45" i="4"/>
  <c r="AL44" i="4"/>
  <c r="J52" i="4"/>
  <c r="BK42" i="4"/>
  <c r="AK45" i="4"/>
  <c r="L46" i="4"/>
  <c r="AQ44" i="4"/>
  <c r="AW44" i="4" s="1"/>
  <c r="AO43" i="4"/>
  <c r="P44" i="4"/>
  <c r="BJ43" i="4"/>
  <c r="AU42" i="4"/>
  <c r="BH42" i="4"/>
  <c r="AB44" i="4" l="1"/>
  <c r="CD44" i="4"/>
  <c r="AA44" i="4"/>
  <c r="CC44" i="4"/>
  <c r="BZ44" i="4"/>
  <c r="X44" i="4"/>
  <c r="BL42" i="4"/>
  <c r="BV42" i="4"/>
  <c r="AQ45" i="4"/>
  <c r="AW45" i="4" s="1"/>
  <c r="BA42" i="4"/>
  <c r="BO42" i="4" s="1"/>
  <c r="BG42" i="4"/>
  <c r="BP42" i="4" s="1"/>
  <c r="BQ42" i="4" s="1"/>
  <c r="BK43" i="4"/>
  <c r="J54" i="4"/>
  <c r="W44" i="4"/>
  <c r="CK44" i="4"/>
  <c r="BI44" i="4"/>
  <c r="AU43" i="4"/>
  <c r="BH43" i="4"/>
  <c r="BV43" i="4" s="1"/>
  <c r="BY43" i="4" s="1"/>
  <c r="AR44" i="4"/>
  <c r="AX44" i="4" s="1"/>
  <c r="BD44" i="4" s="1"/>
  <c r="BC44" i="4"/>
  <c r="AL45" i="4"/>
  <c r="AR45" i="4" s="1"/>
  <c r="AX45" i="4" s="1"/>
  <c r="BD45" i="4" s="1"/>
  <c r="M46" i="4"/>
  <c r="S46" i="4"/>
  <c r="CG46" i="4"/>
  <c r="X45" i="4" l="1"/>
  <c r="AJ44" i="4"/>
  <c r="AP44" i="4" s="1"/>
  <c r="AV44" i="4" s="1"/>
  <c r="BB44" i="4" s="1"/>
  <c r="AA45" i="4"/>
  <c r="AM44" i="4"/>
  <c r="AS44" i="4" s="1"/>
  <c r="AY44" i="4" s="1"/>
  <c r="BE44" i="4" s="1"/>
  <c r="AB45" i="4"/>
  <c r="AN44" i="4"/>
  <c r="AT44" i="4" s="1"/>
  <c r="AZ44" i="4" s="1"/>
  <c r="BF44" i="4" s="1"/>
  <c r="T46" i="4"/>
  <c r="CH46" i="4"/>
  <c r="CE44" i="4"/>
  <c r="AC44" i="4"/>
  <c r="BA43" i="4"/>
  <c r="J56" i="4"/>
  <c r="BC45" i="4"/>
  <c r="BY42" i="4"/>
  <c r="CA46" i="4"/>
  <c r="Y46" i="4"/>
  <c r="BI45" i="4"/>
  <c r="BS44" i="4"/>
  <c r="BL43" i="4"/>
  <c r="BM42" i="4"/>
  <c r="BN42" i="4" s="1"/>
  <c r="O46" i="4" l="1"/>
  <c r="AN45" i="4"/>
  <c r="AT45" i="4" s="1"/>
  <c r="AZ45" i="4" s="1"/>
  <c r="BF45" i="4" s="1"/>
  <c r="AM45" i="4"/>
  <c r="AS45" i="4" s="1"/>
  <c r="AY45" i="4" s="1"/>
  <c r="BE45" i="4" s="1"/>
  <c r="N46" i="4"/>
  <c r="K46" i="4"/>
  <c r="AJ45" i="4"/>
  <c r="AP45" i="4" s="1"/>
  <c r="AV45" i="4" s="1"/>
  <c r="BB45" i="4" s="1"/>
  <c r="BO43" i="4"/>
  <c r="BG43" i="4"/>
  <c r="BP43" i="4" s="1"/>
  <c r="BQ43" i="4" s="1"/>
  <c r="AK46" i="4"/>
  <c r="Y47" i="4"/>
  <c r="AO44" i="4"/>
  <c r="AC45" i="4"/>
  <c r="BJ44" i="4"/>
  <c r="BS45" i="4"/>
  <c r="J58" i="4"/>
  <c r="BM43" i="4"/>
  <c r="BN43" i="4" s="1"/>
  <c r="CB46" i="4"/>
  <c r="Z46" i="4"/>
  <c r="U46" i="4" l="1"/>
  <c r="CI46" i="4"/>
  <c r="R46" i="4"/>
  <c r="CF46" i="4"/>
  <c r="CJ46" i="4"/>
  <c r="V46" i="4"/>
  <c r="Z47" i="4"/>
  <c r="AL46" i="4"/>
  <c r="BK44" i="4"/>
  <c r="J60" i="4"/>
  <c r="AO45" i="4"/>
  <c r="P46" i="4"/>
  <c r="BJ45" i="4"/>
  <c r="AU44" i="4"/>
  <c r="BA44" i="4" s="1"/>
  <c r="BH44" i="4"/>
  <c r="AK47" i="4"/>
  <c r="L48" i="4"/>
  <c r="AQ46" i="4"/>
  <c r="AW46" i="4" s="1"/>
  <c r="CD46" i="4" l="1"/>
  <c r="AB46" i="4"/>
  <c r="BZ46" i="4"/>
  <c r="X46" i="4"/>
  <c r="AA46" i="4"/>
  <c r="CC46" i="4"/>
  <c r="BV44" i="4"/>
  <c r="BL44" i="4"/>
  <c r="BC46" i="4"/>
  <c r="AU45" i="4"/>
  <c r="BA45" i="4" s="1"/>
  <c r="BH45" i="4"/>
  <c r="BV45" i="4" s="1"/>
  <c r="BY45" i="4" s="1"/>
  <c r="AQ47" i="4"/>
  <c r="AW47" i="4" s="1"/>
  <c r="J62" i="4"/>
  <c r="BK45" i="4"/>
  <c r="CK46" i="4"/>
  <c r="W46" i="4"/>
  <c r="BI46" i="4"/>
  <c r="AL47" i="4"/>
  <c r="AR47" i="4" s="1"/>
  <c r="M48" i="4"/>
  <c r="BO44" i="4"/>
  <c r="BG44" i="4"/>
  <c r="BP44" i="4" s="1"/>
  <c r="BQ44" i="4" s="1"/>
  <c r="AR46" i="4"/>
  <c r="AX46" i="4" s="1"/>
  <c r="BD46" i="4" s="1"/>
  <c r="S48" i="4"/>
  <c r="CG48" i="4"/>
  <c r="AM46" i="4" l="1"/>
  <c r="AS46" i="4" s="1"/>
  <c r="AY46" i="4" s="1"/>
  <c r="BE46" i="4" s="1"/>
  <c r="AA47" i="4"/>
  <c r="AX47" i="4"/>
  <c r="BD47" i="4" s="1"/>
  <c r="AJ46" i="4"/>
  <c r="AP46" i="4" s="1"/>
  <c r="AV46" i="4" s="1"/>
  <c r="BB46" i="4" s="1"/>
  <c r="X47" i="4"/>
  <c r="AN46" i="4"/>
  <c r="AT46" i="4" s="1"/>
  <c r="AZ46" i="4" s="1"/>
  <c r="BF46" i="4" s="1"/>
  <c r="AB47" i="4"/>
  <c r="BY44" i="4"/>
  <c r="BO45" i="4"/>
  <c r="BG45" i="4"/>
  <c r="BP45" i="4" s="1"/>
  <c r="BQ45" i="4" s="1"/>
  <c r="T48" i="4"/>
  <c r="CH48" i="4"/>
  <c r="BL45" i="4"/>
  <c r="BM44" i="4"/>
  <c r="BN44" i="4" s="1"/>
  <c r="BI47" i="4"/>
  <c r="BS46" i="4"/>
  <c r="J64" i="4"/>
  <c r="CA48" i="4"/>
  <c r="Y48" i="4"/>
  <c r="BC47" i="4"/>
  <c r="CE46" i="4"/>
  <c r="AC46" i="4"/>
  <c r="AN47" i="4" l="1"/>
  <c r="AT47" i="4" s="1"/>
  <c r="AZ47" i="4" s="1"/>
  <c r="BF47" i="4" s="1"/>
  <c r="O48" i="4"/>
  <c r="AJ47" i="4"/>
  <c r="AP47" i="4" s="1"/>
  <c r="AV47" i="4" s="1"/>
  <c r="BB47" i="4" s="1"/>
  <c r="K48" i="4"/>
  <c r="N48" i="4"/>
  <c r="AM47" i="4"/>
  <c r="AS47" i="4" s="1"/>
  <c r="AY47" i="4" s="1"/>
  <c r="BE47" i="4" s="1"/>
  <c r="J66" i="4"/>
  <c r="BS47" i="4"/>
  <c r="Y49" i="4"/>
  <c r="AK48" i="4"/>
  <c r="BM45" i="4"/>
  <c r="BN45" i="4" s="1"/>
  <c r="AC47" i="4"/>
  <c r="AO46" i="4"/>
  <c r="BJ46" i="4"/>
  <c r="CB48" i="4"/>
  <c r="Z48" i="4"/>
  <c r="U48" i="4" l="1"/>
  <c r="CI48" i="4"/>
  <c r="R48" i="4"/>
  <c r="CF48" i="4"/>
  <c r="CJ48" i="4"/>
  <c r="V48" i="4"/>
  <c r="J68" i="4"/>
  <c r="AK49" i="4"/>
  <c r="L50" i="4"/>
  <c r="AO47" i="4"/>
  <c r="P48" i="4"/>
  <c r="BJ47" i="4"/>
  <c r="AL48" i="4"/>
  <c r="Z49" i="4"/>
  <c r="AQ48" i="4"/>
  <c r="AW48" i="4" s="1"/>
  <c r="BK46" i="4"/>
  <c r="AU46" i="4"/>
  <c r="BA46" i="4" s="1"/>
  <c r="BH46" i="4"/>
  <c r="BZ48" i="4" l="1"/>
  <c r="X48" i="4"/>
  <c r="AB48" i="4"/>
  <c r="CD48" i="4"/>
  <c r="CC48" i="4"/>
  <c r="AA48" i="4"/>
  <c r="AL49" i="4"/>
  <c r="AR49" i="4" s="1"/>
  <c r="M50" i="4"/>
  <c r="S50" i="4"/>
  <c r="CG50" i="4"/>
  <c r="AR48" i="4"/>
  <c r="AX48" i="4" s="1"/>
  <c r="BD48" i="4" s="1"/>
  <c r="AQ49" i="4"/>
  <c r="AW49" i="4" s="1"/>
  <c r="BK47" i="4"/>
  <c r="CK48" i="4"/>
  <c r="W48" i="4"/>
  <c r="BI48" i="4"/>
  <c r="BC48" i="4"/>
  <c r="AU47" i="4"/>
  <c r="BA47" i="4" s="1"/>
  <c r="BH47" i="4"/>
  <c r="BV47" i="4" s="1"/>
  <c r="BY47" i="4" s="1"/>
  <c r="BV46" i="4"/>
  <c r="BL46" i="4"/>
  <c r="BO46" i="4"/>
  <c r="BG46" i="4"/>
  <c r="BP46" i="4" s="1"/>
  <c r="BQ46" i="4" s="1"/>
  <c r="J70" i="4"/>
  <c r="AA49" i="4" l="1"/>
  <c r="AM48" i="4"/>
  <c r="AS48" i="4" s="1"/>
  <c r="AY48" i="4" s="1"/>
  <c r="BE48" i="4" s="1"/>
  <c r="AN48" i="4"/>
  <c r="AT48" i="4" s="1"/>
  <c r="AZ48" i="4" s="1"/>
  <c r="BF48" i="4" s="1"/>
  <c r="AB49" i="4"/>
  <c r="AJ48" i="4"/>
  <c r="AP48" i="4" s="1"/>
  <c r="AV48" i="4" s="1"/>
  <c r="BB48" i="4" s="1"/>
  <c r="X49" i="4"/>
  <c r="J72" i="4"/>
  <c r="CE48" i="4"/>
  <c r="AC48" i="4"/>
  <c r="BC49" i="4"/>
  <c r="BL47" i="4"/>
  <c r="BM46" i="4"/>
  <c r="BN46" i="4" s="1"/>
  <c r="BY46" i="4"/>
  <c r="BO47" i="4"/>
  <c r="BG47" i="4"/>
  <c r="BP47" i="4" s="1"/>
  <c r="BQ47" i="4" s="1"/>
  <c r="CA50" i="4"/>
  <c r="Y50" i="4"/>
  <c r="T50" i="4"/>
  <c r="CH50" i="4"/>
  <c r="AX49" i="4"/>
  <c r="BD49" i="4" s="1"/>
  <c r="BI49" i="4"/>
  <c r="BS48" i="4"/>
  <c r="AJ49" i="4" l="1"/>
  <c r="AP49" i="4" s="1"/>
  <c r="AV49" i="4" s="1"/>
  <c r="BB49" i="4" s="1"/>
  <c r="K50" i="4"/>
  <c r="AN49" i="4"/>
  <c r="AT49" i="4" s="1"/>
  <c r="AZ49" i="4" s="1"/>
  <c r="BF49" i="4" s="1"/>
  <c r="O50" i="4"/>
  <c r="N50" i="4"/>
  <c r="AM49" i="4"/>
  <c r="AS49" i="4" s="1"/>
  <c r="AY49" i="4" s="1"/>
  <c r="BE49" i="4" s="1"/>
  <c r="BM47" i="4"/>
  <c r="BN47" i="4" s="1"/>
  <c r="BS49" i="4"/>
  <c r="AO48" i="4"/>
  <c r="AC49" i="4"/>
  <c r="BJ48" i="4"/>
  <c r="CB50" i="4"/>
  <c r="Z50" i="4"/>
  <c r="Y51" i="4"/>
  <c r="AK50" i="4"/>
  <c r="J74" i="4"/>
  <c r="CI50" i="4" l="1"/>
  <c r="U50" i="4"/>
  <c r="V50" i="4"/>
  <c r="CJ50" i="4"/>
  <c r="CF50" i="4"/>
  <c r="R50" i="4"/>
  <c r="J76" i="4"/>
  <c r="AQ50" i="4"/>
  <c r="AW50" i="4" s="1"/>
  <c r="AK51" i="4"/>
  <c r="L52" i="4"/>
  <c r="AL50" i="4"/>
  <c r="AR50" i="4" s="1"/>
  <c r="AX50" i="4" s="1"/>
  <c r="BD50" i="4" s="1"/>
  <c r="Z51" i="4"/>
  <c r="BK48" i="4"/>
  <c r="AO49" i="4"/>
  <c r="P50" i="4"/>
  <c r="BJ49" i="4"/>
  <c r="AU48" i="4"/>
  <c r="BA48" i="4" s="1"/>
  <c r="BH48" i="4"/>
  <c r="AB50" i="4" l="1"/>
  <c r="CD50" i="4"/>
  <c r="BZ50" i="4"/>
  <c r="X50" i="4"/>
  <c r="AA50" i="4"/>
  <c r="CC50" i="4"/>
  <c r="BK49" i="4"/>
  <c r="W50" i="4"/>
  <c r="CK50" i="4"/>
  <c r="BI50" i="4"/>
  <c r="AU49" i="4"/>
  <c r="BA49" i="4" s="1"/>
  <c r="BH49" i="4"/>
  <c r="BV49" i="4" s="1"/>
  <c r="BY49" i="4" s="1"/>
  <c r="S52" i="4"/>
  <c r="CG52" i="4"/>
  <c r="AQ51" i="4"/>
  <c r="AW51" i="4" s="1"/>
  <c r="BC50" i="4"/>
  <c r="BV48" i="4"/>
  <c r="BL48" i="4"/>
  <c r="AL51" i="4"/>
  <c r="AR51" i="4" s="1"/>
  <c r="AX51" i="4" s="1"/>
  <c r="BD51" i="4" s="1"/>
  <c r="M52" i="4"/>
  <c r="BO48" i="4"/>
  <c r="BG48" i="4"/>
  <c r="BP48" i="4" s="1"/>
  <c r="BQ48" i="4" s="1"/>
  <c r="J78" i="4"/>
  <c r="AA51" i="4" l="1"/>
  <c r="AM50" i="4"/>
  <c r="AS50" i="4" s="1"/>
  <c r="AY50" i="4" s="1"/>
  <c r="BE50" i="4" s="1"/>
  <c r="X51" i="4"/>
  <c r="AJ50" i="4"/>
  <c r="AP50" i="4" s="1"/>
  <c r="AV50" i="4" s="1"/>
  <c r="BB50" i="4" s="1"/>
  <c r="AB51" i="4"/>
  <c r="AN50" i="4"/>
  <c r="AT50" i="4" s="1"/>
  <c r="AZ50" i="4" s="1"/>
  <c r="BF50" i="4" s="1"/>
  <c r="BC51" i="4"/>
  <c r="BO49" i="4"/>
  <c r="BG49" i="4"/>
  <c r="BP49" i="4" s="1"/>
  <c r="BQ49" i="4" s="1"/>
  <c r="J80" i="4"/>
  <c r="CA52" i="4"/>
  <c r="Y52" i="4"/>
  <c r="T52" i="4"/>
  <c r="CH52" i="4"/>
  <c r="BI51" i="4"/>
  <c r="BS50" i="4"/>
  <c r="BL49" i="4"/>
  <c r="BM48" i="4"/>
  <c r="BN48" i="4" s="1"/>
  <c r="CE50" i="4"/>
  <c r="AC50" i="4"/>
  <c r="BY48" i="4"/>
  <c r="K52" i="4" l="1"/>
  <c r="AJ51" i="4"/>
  <c r="AP51" i="4" s="1"/>
  <c r="AV51" i="4" s="1"/>
  <c r="BB51" i="4" s="1"/>
  <c r="AN51" i="4"/>
  <c r="AT51" i="4" s="1"/>
  <c r="AZ51" i="4" s="1"/>
  <c r="BF51" i="4" s="1"/>
  <c r="O52" i="4"/>
  <c r="N52" i="4"/>
  <c r="AM51" i="4"/>
  <c r="AS51" i="4" s="1"/>
  <c r="AY51" i="4" s="1"/>
  <c r="BE51" i="4" s="1"/>
  <c r="BM49" i="4"/>
  <c r="BN49" i="4" s="1"/>
  <c r="CB52" i="4"/>
  <c r="Z52" i="4"/>
  <c r="AK52" i="4"/>
  <c r="Y53" i="4"/>
  <c r="AO50" i="4"/>
  <c r="AC51" i="4"/>
  <c r="BJ50" i="4"/>
  <c r="BS51" i="4"/>
  <c r="J82" i="4"/>
  <c r="CJ52" i="4" l="1"/>
  <c r="V52" i="4"/>
  <c r="CI52" i="4"/>
  <c r="U52" i="4"/>
  <c r="R52" i="4"/>
  <c r="CF52" i="4"/>
  <c r="AO51" i="4"/>
  <c r="P52" i="4"/>
  <c r="BJ51" i="4"/>
  <c r="J84" i="4"/>
  <c r="AU50" i="4"/>
  <c r="BA50" i="4" s="1"/>
  <c r="BH50" i="4"/>
  <c r="AK53" i="4"/>
  <c r="L54" i="4"/>
  <c r="AQ52" i="4"/>
  <c r="AW52" i="4" s="1"/>
  <c r="AL52" i="4"/>
  <c r="AR52" i="4" s="1"/>
  <c r="AX52" i="4" s="1"/>
  <c r="BD52" i="4" s="1"/>
  <c r="Z53" i="4"/>
  <c r="BK50" i="4"/>
  <c r="CD52" i="4" l="1"/>
  <c r="AB52" i="4"/>
  <c r="BZ52" i="4"/>
  <c r="X52" i="4"/>
  <c r="AA52" i="4"/>
  <c r="CC52" i="4"/>
  <c r="BO50" i="4"/>
  <c r="BG50" i="4"/>
  <c r="BP50" i="4" s="1"/>
  <c r="BQ50" i="4" s="1"/>
  <c r="AQ53" i="4"/>
  <c r="AW53" i="4" s="1"/>
  <c r="W52" i="4"/>
  <c r="CK52" i="4"/>
  <c r="BI52" i="4"/>
  <c r="BC52" i="4"/>
  <c r="BV50" i="4"/>
  <c r="BL50" i="4"/>
  <c r="S54" i="4"/>
  <c r="CG54" i="4"/>
  <c r="J86" i="4"/>
  <c r="BK51" i="4"/>
  <c r="AL53" i="4"/>
  <c r="AR53" i="4" s="1"/>
  <c r="AX53" i="4" s="1"/>
  <c r="BD53" i="4" s="1"/>
  <c r="M54" i="4"/>
  <c r="AU51" i="4"/>
  <c r="BA51" i="4" s="1"/>
  <c r="BH51" i="4"/>
  <c r="BV51" i="4" s="1"/>
  <c r="BY51" i="4" s="1"/>
  <c r="AM52" i="4" l="1"/>
  <c r="AS52" i="4" s="1"/>
  <c r="AY52" i="4" s="1"/>
  <c r="BE52" i="4" s="1"/>
  <c r="AA53" i="4"/>
  <c r="AJ52" i="4"/>
  <c r="AP52" i="4" s="1"/>
  <c r="AV52" i="4" s="1"/>
  <c r="X53" i="4"/>
  <c r="BB52" i="4"/>
  <c r="AN52" i="4"/>
  <c r="AT52" i="4" s="1"/>
  <c r="AZ52" i="4" s="1"/>
  <c r="BF52" i="4" s="1"/>
  <c r="AB53" i="4"/>
  <c r="J88" i="4"/>
  <c r="BI53" i="4"/>
  <c r="BS52" i="4"/>
  <c r="BO51" i="4"/>
  <c r="BG51" i="4"/>
  <c r="BP51" i="4" s="1"/>
  <c r="BQ51" i="4" s="1"/>
  <c r="T54" i="4"/>
  <c r="CH54" i="4"/>
  <c r="CA54" i="4"/>
  <c r="Y54" i="4"/>
  <c r="CE52" i="4"/>
  <c r="AC52" i="4"/>
  <c r="BL51" i="4"/>
  <c r="BM50" i="4"/>
  <c r="BN50" i="4" s="1"/>
  <c r="BY50" i="4"/>
  <c r="BC53" i="4"/>
  <c r="AN53" i="4" l="1"/>
  <c r="AT53" i="4" s="1"/>
  <c r="AZ53" i="4" s="1"/>
  <c r="BF53" i="4"/>
  <c r="O54" i="4"/>
  <c r="K54" i="4"/>
  <c r="AJ53" i="4"/>
  <c r="AP53" i="4" s="1"/>
  <c r="AV53" i="4" s="1"/>
  <c r="BB53" i="4" s="1"/>
  <c r="AM53" i="4"/>
  <c r="AS53" i="4" s="1"/>
  <c r="AY53" i="4" s="1"/>
  <c r="BE53" i="4" s="1"/>
  <c r="N54" i="4"/>
  <c r="BM51" i="4"/>
  <c r="BN51" i="4" s="1"/>
  <c r="Y55" i="4"/>
  <c r="AK54" i="4"/>
  <c r="BS53" i="4"/>
  <c r="CB54" i="4"/>
  <c r="Z54" i="4"/>
  <c r="AC53" i="4"/>
  <c r="AO52" i="4"/>
  <c r="BJ52" i="4"/>
  <c r="J90" i="4"/>
  <c r="U54" i="4" l="1"/>
  <c r="CI54" i="4"/>
  <c r="CF54" i="4"/>
  <c r="R54" i="4"/>
  <c r="CJ54" i="4"/>
  <c r="V54" i="4"/>
  <c r="Z55" i="4"/>
  <c r="AL54" i="4"/>
  <c r="AR54" i="4" s="1"/>
  <c r="AX54" i="4" s="1"/>
  <c r="BD54" i="4" s="1"/>
  <c r="J92" i="4"/>
  <c r="BK52" i="4"/>
  <c r="AQ54" i="4"/>
  <c r="AW54" i="4" s="1"/>
  <c r="AU52" i="4"/>
  <c r="BA52" i="4" s="1"/>
  <c r="BH52" i="4"/>
  <c r="AK55" i="4"/>
  <c r="L56" i="4"/>
  <c r="AO53" i="4"/>
  <c r="P54" i="4"/>
  <c r="BJ53" i="4"/>
  <c r="CD54" i="4" l="1"/>
  <c r="AB54" i="4"/>
  <c r="BZ54" i="4"/>
  <c r="X54" i="4"/>
  <c r="CC54" i="4"/>
  <c r="AA54" i="4"/>
  <c r="BC54" i="4"/>
  <c r="W54" i="4"/>
  <c r="CK54" i="4"/>
  <c r="BI54" i="4"/>
  <c r="AU53" i="4"/>
  <c r="BA53" i="4" s="1"/>
  <c r="BH53" i="4"/>
  <c r="BV53" i="4" s="1"/>
  <c r="BY53" i="4" s="1"/>
  <c r="J94" i="4"/>
  <c r="BK53" i="4"/>
  <c r="AQ55" i="4"/>
  <c r="AW55" i="4" s="1"/>
  <c r="BO52" i="4"/>
  <c r="BG52" i="4"/>
  <c r="BP52" i="4" s="1"/>
  <c r="BQ52" i="4" s="1"/>
  <c r="S56" i="4"/>
  <c r="CG56" i="4"/>
  <c r="BV52" i="4"/>
  <c r="BY52" i="4" s="1"/>
  <c r="BL52" i="4"/>
  <c r="AL55" i="4"/>
  <c r="AR55" i="4" s="1"/>
  <c r="AX55" i="4" s="1"/>
  <c r="BD55" i="4" s="1"/>
  <c r="M56" i="4"/>
  <c r="AN54" i="4" l="1"/>
  <c r="AT54" i="4" s="1"/>
  <c r="AZ54" i="4" s="1"/>
  <c r="BF54" i="4" s="1"/>
  <c r="AB55" i="4"/>
  <c r="AA55" i="4"/>
  <c r="AM54" i="4"/>
  <c r="AS54" i="4" s="1"/>
  <c r="AY54" i="4" s="1"/>
  <c r="BE54" i="4" s="1"/>
  <c r="X55" i="4"/>
  <c r="AJ54" i="4"/>
  <c r="AP54" i="4" s="1"/>
  <c r="AV54" i="4" s="1"/>
  <c r="BB54" i="4" s="1"/>
  <c r="J96" i="4"/>
  <c r="T56" i="4"/>
  <c r="CH56" i="4"/>
  <c r="BC55" i="4"/>
  <c r="BL53" i="4"/>
  <c r="BM52" i="4"/>
  <c r="BN52" i="4" s="1"/>
  <c r="BO53" i="4"/>
  <c r="BG53" i="4"/>
  <c r="BP53" i="4" s="1"/>
  <c r="BQ53" i="4" s="1"/>
  <c r="BI55" i="4"/>
  <c r="BS54" i="4"/>
  <c r="CA56" i="4"/>
  <c r="Y56" i="4"/>
  <c r="CE54" i="4"/>
  <c r="AC54" i="4"/>
  <c r="K56" i="4" l="1"/>
  <c r="AJ55" i="4"/>
  <c r="AP55" i="4" s="1"/>
  <c r="AV55" i="4" s="1"/>
  <c r="BB55" i="4" s="1"/>
  <c r="AM55" i="4"/>
  <c r="AS55" i="4" s="1"/>
  <c r="AY55" i="4" s="1"/>
  <c r="BE55" i="4" s="1"/>
  <c r="N56" i="4"/>
  <c r="AN55" i="4"/>
  <c r="AT55" i="4" s="1"/>
  <c r="AZ55" i="4" s="1"/>
  <c r="BF55" i="4" s="1"/>
  <c r="O56" i="4"/>
  <c r="BS55" i="4"/>
  <c r="AO54" i="4"/>
  <c r="AC55" i="4"/>
  <c r="BJ54" i="4"/>
  <c r="Y57" i="4"/>
  <c r="AK56" i="4"/>
  <c r="BM53" i="4"/>
  <c r="BN53" i="4" s="1"/>
  <c r="J98" i="4"/>
  <c r="CB56" i="4"/>
  <c r="Z56" i="4"/>
  <c r="V56" i="4" l="1"/>
  <c r="CJ56" i="4"/>
  <c r="U56" i="4"/>
  <c r="CI56" i="4"/>
  <c r="R56" i="4"/>
  <c r="CF56" i="4"/>
  <c r="AQ56" i="4"/>
  <c r="AW56" i="4" s="1"/>
  <c r="AK57" i="4"/>
  <c r="L58" i="4"/>
  <c r="BK54" i="4"/>
  <c r="AO55" i="4"/>
  <c r="P56" i="4"/>
  <c r="BJ55" i="4"/>
  <c r="J100" i="4"/>
  <c r="AU54" i="4"/>
  <c r="BA54" i="4" s="1"/>
  <c r="BH54" i="4"/>
  <c r="Z57" i="4"/>
  <c r="AL56" i="4"/>
  <c r="AR56" i="4" s="1"/>
  <c r="AX56" i="4" s="1"/>
  <c r="BD56" i="4" s="1"/>
  <c r="BZ56" i="4" l="1"/>
  <c r="X56" i="4"/>
  <c r="CC56" i="4"/>
  <c r="AA56" i="4"/>
  <c r="CD56" i="4"/>
  <c r="AB56" i="4"/>
  <c r="W56" i="4"/>
  <c r="CK56" i="4"/>
  <c r="BI56" i="4"/>
  <c r="BV54" i="4"/>
  <c r="BY54" i="4" s="1"/>
  <c r="BL54" i="4"/>
  <c r="BO54" i="4"/>
  <c r="BG54" i="4"/>
  <c r="BP54" i="4" s="1"/>
  <c r="BQ54" i="4" s="1"/>
  <c r="S58" i="4"/>
  <c r="CG58" i="4"/>
  <c r="AL57" i="4"/>
  <c r="AR57" i="4" s="1"/>
  <c r="AX57" i="4" s="1"/>
  <c r="BD57" i="4" s="1"/>
  <c r="M58" i="4"/>
  <c r="AU55" i="4"/>
  <c r="BA55" i="4" s="1"/>
  <c r="BH55" i="4"/>
  <c r="BV55" i="4" s="1"/>
  <c r="BY55" i="4" s="1"/>
  <c r="J102" i="4"/>
  <c r="AQ57" i="4"/>
  <c r="AW57" i="4" s="1"/>
  <c r="BK55" i="4"/>
  <c r="BC56" i="4"/>
  <c r="AB57" i="4" l="1"/>
  <c r="AN56" i="4"/>
  <c r="AT56" i="4" s="1"/>
  <c r="AZ56" i="4" s="1"/>
  <c r="BF56" i="4" s="1"/>
  <c r="AA57" i="4"/>
  <c r="AM56" i="4"/>
  <c r="AS56" i="4" s="1"/>
  <c r="AY56" i="4" s="1"/>
  <c r="BE56" i="4" s="1"/>
  <c r="AJ56" i="4"/>
  <c r="AP56" i="4" s="1"/>
  <c r="AV56" i="4" s="1"/>
  <c r="BB56" i="4" s="1"/>
  <c r="X57" i="4"/>
  <c r="J104" i="4"/>
  <c r="CA58" i="4"/>
  <c r="Y58" i="4"/>
  <c r="BO55" i="4"/>
  <c r="BG55" i="4"/>
  <c r="BP55" i="4" s="1"/>
  <c r="BQ55" i="4" s="1"/>
  <c r="BI57" i="4"/>
  <c r="BS56" i="4"/>
  <c r="BL55" i="4"/>
  <c r="BM54" i="4"/>
  <c r="BN54" i="4" s="1"/>
  <c r="BC57" i="4"/>
  <c r="CE56" i="4"/>
  <c r="AC56" i="4"/>
  <c r="T58" i="4"/>
  <c r="CH58" i="4"/>
  <c r="AM57" i="4" l="1"/>
  <c r="AS57" i="4" s="1"/>
  <c r="AY57" i="4" s="1"/>
  <c r="BE57" i="4"/>
  <c r="N58" i="4"/>
  <c r="AJ57" i="4"/>
  <c r="AP57" i="4" s="1"/>
  <c r="AV57" i="4" s="1"/>
  <c r="BB57" i="4" s="1"/>
  <c r="K58" i="4"/>
  <c r="AN57" i="4"/>
  <c r="AT57" i="4" s="1"/>
  <c r="AZ57" i="4" s="1"/>
  <c r="BF57" i="4" s="1"/>
  <c r="O58" i="4"/>
  <c r="CB58" i="4"/>
  <c r="Z58" i="4"/>
  <c r="AO56" i="4"/>
  <c r="AC57" i="4"/>
  <c r="BJ56" i="4"/>
  <c r="BS57" i="4"/>
  <c r="AK58" i="4"/>
  <c r="Y59" i="4"/>
  <c r="BM55" i="4"/>
  <c r="BN55" i="4" s="1"/>
  <c r="J106" i="4"/>
  <c r="V58" i="4" l="1"/>
  <c r="CJ58" i="4"/>
  <c r="CF58" i="4"/>
  <c r="R58" i="4"/>
  <c r="U58" i="4"/>
  <c r="CI58" i="4"/>
  <c r="AK59" i="4"/>
  <c r="L60" i="4"/>
  <c r="BK56" i="4"/>
  <c r="AQ58" i="4"/>
  <c r="AW58" i="4" s="1"/>
  <c r="J108" i="4"/>
  <c r="AO57" i="4"/>
  <c r="P58" i="4"/>
  <c r="BJ57" i="4"/>
  <c r="AU56" i="4"/>
  <c r="BA56" i="4" s="1"/>
  <c r="BH56" i="4"/>
  <c r="AL58" i="4"/>
  <c r="AR58" i="4" s="1"/>
  <c r="AX58" i="4" s="1"/>
  <c r="BD58" i="4" s="1"/>
  <c r="Z59" i="4"/>
  <c r="CC58" i="4" l="1"/>
  <c r="AA58" i="4"/>
  <c r="BZ58" i="4"/>
  <c r="X58" i="4"/>
  <c r="CD58" i="4"/>
  <c r="AB58" i="4"/>
  <c r="BO56" i="4"/>
  <c r="BG56" i="4"/>
  <c r="BP56" i="4" s="1"/>
  <c r="BQ56" i="4" s="1"/>
  <c r="W58" i="4"/>
  <c r="CK58" i="4"/>
  <c r="BI58" i="4"/>
  <c r="BC58" i="4"/>
  <c r="S60" i="4"/>
  <c r="CG60" i="4"/>
  <c r="AQ59" i="4"/>
  <c r="AW59" i="4" s="1"/>
  <c r="BK57" i="4"/>
  <c r="AU57" i="4"/>
  <c r="BA57" i="4" s="1"/>
  <c r="BH57" i="4"/>
  <c r="BV57" i="4" s="1"/>
  <c r="BY57" i="4" s="1"/>
  <c r="J110" i="4"/>
  <c r="AL59" i="4"/>
  <c r="AR59" i="4" s="1"/>
  <c r="AX59" i="4" s="1"/>
  <c r="BD59" i="4" s="1"/>
  <c r="M60" i="4"/>
  <c r="BV56" i="4"/>
  <c r="BY56" i="4" s="1"/>
  <c r="BL56" i="4"/>
  <c r="AN58" i="4" l="1"/>
  <c r="AT58" i="4" s="1"/>
  <c r="AZ58" i="4" s="1"/>
  <c r="BF58" i="4" s="1"/>
  <c r="AB59" i="4"/>
  <c r="X59" i="4"/>
  <c r="AJ58" i="4"/>
  <c r="AP58" i="4" s="1"/>
  <c r="AV58" i="4" s="1"/>
  <c r="BB58" i="4" s="1"/>
  <c r="AM58" i="4"/>
  <c r="AS58" i="4" s="1"/>
  <c r="AY58" i="4" s="1"/>
  <c r="BE58" i="4" s="1"/>
  <c r="AA59" i="4"/>
  <c r="BI59" i="4"/>
  <c r="BS58" i="4"/>
  <c r="J112" i="4"/>
  <c r="BO57" i="4"/>
  <c r="BG57" i="4"/>
  <c r="BP57" i="4" s="1"/>
  <c r="BQ57" i="4" s="1"/>
  <c r="BC59" i="4"/>
  <c r="BL57" i="4"/>
  <c r="BM56" i="4"/>
  <c r="BN56" i="4" s="1"/>
  <c r="CA60" i="4"/>
  <c r="Y60" i="4"/>
  <c r="T60" i="4"/>
  <c r="CH60" i="4"/>
  <c r="CE58" i="4"/>
  <c r="AC58" i="4"/>
  <c r="AM59" i="4" l="1"/>
  <c r="AS59" i="4" s="1"/>
  <c r="AY59" i="4" s="1"/>
  <c r="BE59" i="4" s="1"/>
  <c r="N60" i="4"/>
  <c r="AJ59" i="4"/>
  <c r="AP59" i="4" s="1"/>
  <c r="AV59" i="4" s="1"/>
  <c r="BB59" i="4" s="1"/>
  <c r="K60" i="4"/>
  <c r="AN59" i="4"/>
  <c r="AT59" i="4" s="1"/>
  <c r="AZ59" i="4" s="1"/>
  <c r="BF59" i="4" s="1"/>
  <c r="O60" i="4"/>
  <c r="BM57" i="4"/>
  <c r="BN57" i="4" s="1"/>
  <c r="CB60" i="4"/>
  <c r="Z60" i="4"/>
  <c r="AK60" i="4"/>
  <c r="Y61" i="4"/>
  <c r="J114" i="4"/>
  <c r="BS59" i="4"/>
  <c r="AC59" i="4"/>
  <c r="AO58" i="4"/>
  <c r="BJ58" i="4"/>
  <c r="R60" i="4" l="1"/>
  <c r="CF60" i="4"/>
  <c r="V60" i="4"/>
  <c r="CJ60" i="4"/>
  <c r="U60" i="4"/>
  <c r="CI60" i="4"/>
  <c r="AU58" i="4"/>
  <c r="BA58" i="4" s="1"/>
  <c r="BH58" i="4"/>
  <c r="AO59" i="4"/>
  <c r="P60" i="4"/>
  <c r="BJ59" i="4"/>
  <c r="J116" i="4"/>
  <c r="AK61" i="4"/>
  <c r="L62" i="4"/>
  <c r="AQ60" i="4"/>
  <c r="AW60" i="4" s="1"/>
  <c r="AL60" i="4"/>
  <c r="AR60" i="4" s="1"/>
  <c r="AX60" i="4" s="1"/>
  <c r="BD60" i="4" s="1"/>
  <c r="Z61" i="4"/>
  <c r="BK58" i="4"/>
  <c r="AA60" i="4" l="1"/>
  <c r="CC60" i="4"/>
  <c r="AB60" i="4"/>
  <c r="CD60" i="4"/>
  <c r="BZ60" i="4"/>
  <c r="X60" i="4"/>
  <c r="J118" i="4"/>
  <c r="W60" i="4"/>
  <c r="CK60" i="4"/>
  <c r="BI60" i="4"/>
  <c r="AQ61" i="4"/>
  <c r="AW61" i="4" s="1"/>
  <c r="AU59" i="4"/>
  <c r="BA59" i="4" s="1"/>
  <c r="BH59" i="4"/>
  <c r="BV59" i="4" s="1"/>
  <c r="BY59" i="4" s="1"/>
  <c r="BO58" i="4"/>
  <c r="BG58" i="4"/>
  <c r="BP58" i="4" s="1"/>
  <c r="BQ58" i="4" s="1"/>
  <c r="AL61" i="4"/>
  <c r="AR61" i="4" s="1"/>
  <c r="AX61" i="4" s="1"/>
  <c r="BD61" i="4" s="1"/>
  <c r="M62" i="4"/>
  <c r="BC60" i="4"/>
  <c r="S62" i="4"/>
  <c r="CG62" i="4"/>
  <c r="BK59" i="4"/>
  <c r="BV58" i="4"/>
  <c r="BY58" i="4" s="1"/>
  <c r="BL58" i="4"/>
  <c r="X61" i="4" l="1"/>
  <c r="AJ60" i="4"/>
  <c r="AP60" i="4" s="1"/>
  <c r="AV60" i="4" s="1"/>
  <c r="BB60" i="4" s="1"/>
  <c r="AN60" i="4"/>
  <c r="AT60" i="4" s="1"/>
  <c r="AZ60" i="4" s="1"/>
  <c r="BF60" i="4" s="1"/>
  <c r="AB61" i="4"/>
  <c r="AM60" i="4"/>
  <c r="AS60" i="4" s="1"/>
  <c r="AY60" i="4" s="1"/>
  <c r="BE60" i="4" s="1"/>
  <c r="AA61" i="4"/>
  <c r="BC61" i="4"/>
  <c r="BI61" i="4"/>
  <c r="BS60" i="4"/>
  <c r="CA62" i="4"/>
  <c r="Y62" i="4"/>
  <c r="T62" i="4"/>
  <c r="CH62" i="4"/>
  <c r="BL59" i="4"/>
  <c r="BM58" i="4"/>
  <c r="BN58" i="4" s="1"/>
  <c r="CE60" i="4"/>
  <c r="AC60" i="4"/>
  <c r="J120" i="4"/>
  <c r="BO59" i="4"/>
  <c r="BG59" i="4"/>
  <c r="BP59" i="4" s="1"/>
  <c r="BQ59" i="4" s="1"/>
  <c r="AN61" i="4" l="1"/>
  <c r="AT61" i="4" s="1"/>
  <c r="AZ61" i="4" s="1"/>
  <c r="BF61" i="4" s="1"/>
  <c r="O62" i="4"/>
  <c r="AM61" i="4"/>
  <c r="AS61" i="4" s="1"/>
  <c r="AY61" i="4" s="1"/>
  <c r="BE61" i="4" s="1"/>
  <c r="N62" i="4"/>
  <c r="AJ61" i="4"/>
  <c r="AP61" i="4" s="1"/>
  <c r="AV61" i="4" s="1"/>
  <c r="BB61" i="4" s="1"/>
  <c r="K62" i="4"/>
  <c r="BM59" i="4"/>
  <c r="BN59" i="4" s="1"/>
  <c r="Y63" i="4"/>
  <c r="AK62" i="4"/>
  <c r="CB62" i="4"/>
  <c r="Z62" i="4"/>
  <c r="J122" i="4"/>
  <c r="AC61" i="4"/>
  <c r="AO60" i="4"/>
  <c r="BJ60" i="4"/>
  <c r="BS61" i="4"/>
  <c r="CF62" i="4" l="1"/>
  <c r="R62" i="4"/>
  <c r="CJ62" i="4"/>
  <c r="V62" i="4"/>
  <c r="CI62" i="4"/>
  <c r="U62" i="4"/>
  <c r="AL62" i="4"/>
  <c r="AR62" i="4" s="1"/>
  <c r="AX62" i="4" s="1"/>
  <c r="BD62" i="4" s="1"/>
  <c r="Z63" i="4"/>
  <c r="AU60" i="4"/>
  <c r="BA60" i="4" s="1"/>
  <c r="BH60" i="4"/>
  <c r="J124" i="4"/>
  <c r="BK60" i="4"/>
  <c r="AO61" i="4"/>
  <c r="P62" i="4"/>
  <c r="BJ61" i="4"/>
  <c r="AQ62" i="4"/>
  <c r="AW62" i="4" s="1"/>
  <c r="AK63" i="4"/>
  <c r="L64" i="4"/>
  <c r="AA62" i="4" l="1"/>
  <c r="CC62" i="4"/>
  <c r="CD62" i="4"/>
  <c r="AB62" i="4"/>
  <c r="BZ62" i="4"/>
  <c r="X62" i="4"/>
  <c r="AQ63" i="4"/>
  <c r="AW63" i="4" s="1"/>
  <c r="BC62" i="4"/>
  <c r="J126" i="4"/>
  <c r="BO60" i="4"/>
  <c r="BG60" i="4"/>
  <c r="BP60" i="4" s="1"/>
  <c r="BQ60" i="4" s="1"/>
  <c r="AL63" i="4"/>
  <c r="AR63" i="4" s="1"/>
  <c r="AX63" i="4" s="1"/>
  <c r="BD63" i="4" s="1"/>
  <c r="M64" i="4"/>
  <c r="S64" i="4"/>
  <c r="CG64" i="4"/>
  <c r="BK61" i="4"/>
  <c r="W62" i="4"/>
  <c r="CK62" i="4"/>
  <c r="BI62" i="4"/>
  <c r="AU61" i="4"/>
  <c r="BA61" i="4" s="1"/>
  <c r="BH61" i="4"/>
  <c r="BV61" i="4" s="1"/>
  <c r="BY61" i="4" s="1"/>
  <c r="BV60" i="4"/>
  <c r="BY60" i="4" s="1"/>
  <c r="BL60" i="4"/>
  <c r="AJ62" i="4" l="1"/>
  <c r="AP62" i="4" s="1"/>
  <c r="AV62" i="4" s="1"/>
  <c r="X63" i="4"/>
  <c r="BB62" i="4"/>
  <c r="AB63" i="4"/>
  <c r="AN62" i="4"/>
  <c r="AT62" i="4" s="1"/>
  <c r="AZ62" i="4" s="1"/>
  <c r="BF62" i="4" s="1"/>
  <c r="AM62" i="4"/>
  <c r="AS62" i="4" s="1"/>
  <c r="AY62" i="4" s="1"/>
  <c r="BE62" i="4" s="1"/>
  <c r="AA63" i="4"/>
  <c r="J128" i="4"/>
  <c r="BL61" i="4"/>
  <c r="BM60" i="4"/>
  <c r="BN60" i="4" s="1"/>
  <c r="CA64" i="4"/>
  <c r="Y64" i="4"/>
  <c r="BO61" i="4"/>
  <c r="BG61" i="4"/>
  <c r="BP61" i="4" s="1"/>
  <c r="BQ61" i="4" s="1"/>
  <c r="BS62" i="4"/>
  <c r="BI63" i="4"/>
  <c r="CE62" i="4"/>
  <c r="AC62" i="4"/>
  <c r="T64" i="4"/>
  <c r="CH64" i="4"/>
  <c r="BC63" i="4"/>
  <c r="N64" i="4" l="1"/>
  <c r="AM63" i="4"/>
  <c r="AS63" i="4" s="1"/>
  <c r="AY63" i="4" s="1"/>
  <c r="BE63" i="4" s="1"/>
  <c r="O64" i="4"/>
  <c r="AN63" i="4"/>
  <c r="AT63" i="4" s="1"/>
  <c r="AZ63" i="4" s="1"/>
  <c r="BF63" i="4" s="1"/>
  <c r="K64" i="4"/>
  <c r="AJ63" i="4"/>
  <c r="AP63" i="4" s="1"/>
  <c r="AV63" i="4" s="1"/>
  <c r="BB63" i="4" s="1"/>
  <c r="CB64" i="4"/>
  <c r="Z64" i="4"/>
  <c r="AK64" i="4"/>
  <c r="Y65" i="4"/>
  <c r="AC63" i="4"/>
  <c r="AO62" i="4"/>
  <c r="BJ62" i="4"/>
  <c r="BS63" i="4"/>
  <c r="BM61" i="4"/>
  <c r="BN61" i="4" s="1"/>
  <c r="J130" i="4"/>
  <c r="R64" i="4" l="1"/>
  <c r="CF64" i="4"/>
  <c r="V64" i="4"/>
  <c r="CJ64" i="4"/>
  <c r="CI64" i="4"/>
  <c r="U64" i="4"/>
  <c r="BK62" i="4"/>
  <c r="AU62" i="4"/>
  <c r="BA62" i="4" s="1"/>
  <c r="BH62" i="4"/>
  <c r="AO63" i="4"/>
  <c r="P64" i="4"/>
  <c r="BJ63" i="4"/>
  <c r="J132" i="4"/>
  <c r="AK65" i="4"/>
  <c r="L66" i="4"/>
  <c r="AQ64" i="4"/>
  <c r="AW64" i="4" s="1"/>
  <c r="AL64" i="4"/>
  <c r="AR64" i="4" s="1"/>
  <c r="AX64" i="4" s="1"/>
  <c r="BD64" i="4" s="1"/>
  <c r="Z65" i="4"/>
  <c r="CC64" i="4" l="1"/>
  <c r="AA64" i="4"/>
  <c r="AB64" i="4"/>
  <c r="CD64" i="4"/>
  <c r="BZ64" i="4"/>
  <c r="X64" i="4"/>
  <c r="J134" i="4"/>
  <c r="BK63" i="4"/>
  <c r="BC64" i="4"/>
  <c r="BV62" i="4"/>
  <c r="BY62" i="4" s="1"/>
  <c r="BL62" i="4"/>
  <c r="AL65" i="4"/>
  <c r="AR65" i="4" s="1"/>
  <c r="AX65" i="4" s="1"/>
  <c r="BD65" i="4" s="1"/>
  <c r="M66" i="4"/>
  <c r="W64" i="4"/>
  <c r="CK64" i="4"/>
  <c r="BI64" i="4"/>
  <c r="AU63" i="4"/>
  <c r="BA63" i="4" s="1"/>
  <c r="BH63" i="4"/>
  <c r="BV63" i="4" s="1"/>
  <c r="BY63" i="4" s="1"/>
  <c r="S66" i="4"/>
  <c r="CG66" i="4"/>
  <c r="AQ65" i="4"/>
  <c r="AW65" i="4" s="1"/>
  <c r="BO62" i="4"/>
  <c r="BG62" i="4"/>
  <c r="BP62" i="4" s="1"/>
  <c r="BQ62" i="4" s="1"/>
  <c r="X65" i="4" l="1"/>
  <c r="AJ64" i="4"/>
  <c r="AP64" i="4" s="1"/>
  <c r="AV64" i="4" s="1"/>
  <c r="BB64" i="4"/>
  <c r="AB65" i="4"/>
  <c r="AN64" i="4"/>
  <c r="AT64" i="4" s="1"/>
  <c r="AZ64" i="4" s="1"/>
  <c r="BF64" i="4" s="1"/>
  <c r="AA65" i="4"/>
  <c r="AM64" i="4"/>
  <c r="AS64" i="4" s="1"/>
  <c r="AY64" i="4" s="1"/>
  <c r="BE64" i="4" s="1"/>
  <c r="BC65" i="4"/>
  <c r="T66" i="4"/>
  <c r="CH66" i="4"/>
  <c r="CA66" i="4"/>
  <c r="Y66" i="4"/>
  <c r="BO63" i="4"/>
  <c r="BG63" i="4"/>
  <c r="BP63" i="4" s="1"/>
  <c r="BQ63" i="4" s="1"/>
  <c r="BL63" i="4"/>
  <c r="BM62" i="4"/>
  <c r="BN62" i="4" s="1"/>
  <c r="J136" i="4"/>
  <c r="BI65" i="4"/>
  <c r="BS64" i="4"/>
  <c r="CE64" i="4"/>
  <c r="AC64" i="4"/>
  <c r="AM65" i="4" l="1"/>
  <c r="AS65" i="4" s="1"/>
  <c r="AY65" i="4" s="1"/>
  <c r="N66" i="4"/>
  <c r="BE65" i="4"/>
  <c r="AN65" i="4"/>
  <c r="AT65" i="4" s="1"/>
  <c r="AZ65" i="4" s="1"/>
  <c r="BF65" i="4" s="1"/>
  <c r="O66" i="4"/>
  <c r="AJ65" i="4"/>
  <c r="AP65" i="4" s="1"/>
  <c r="AV65" i="4" s="1"/>
  <c r="BB65" i="4" s="1"/>
  <c r="K66" i="4"/>
  <c r="BS65" i="4"/>
  <c r="CB66" i="4"/>
  <c r="Z66" i="4"/>
  <c r="J138" i="4"/>
  <c r="BM63" i="4"/>
  <c r="BN63" i="4" s="1"/>
  <c r="AC65" i="4"/>
  <c r="AO64" i="4"/>
  <c r="BJ64" i="4"/>
  <c r="AK66" i="4"/>
  <c r="Y67" i="4"/>
  <c r="V66" i="4" l="1"/>
  <c r="CJ66" i="4"/>
  <c r="CF66" i="4"/>
  <c r="R66" i="4"/>
  <c r="CI66" i="4"/>
  <c r="U66" i="4"/>
  <c r="AK67" i="4"/>
  <c r="L68" i="4"/>
  <c r="BK64" i="4"/>
  <c r="AU64" i="4"/>
  <c r="BA64" i="4" s="1"/>
  <c r="BH64" i="4"/>
  <c r="AO65" i="4"/>
  <c r="P66" i="4"/>
  <c r="BJ65" i="4"/>
  <c r="AL66" i="4"/>
  <c r="AR66" i="4" s="1"/>
  <c r="AX66" i="4" s="1"/>
  <c r="BD66" i="4" s="1"/>
  <c r="Z67" i="4"/>
  <c r="AQ66" i="4"/>
  <c r="AW66" i="4" s="1"/>
  <c r="J140" i="4"/>
  <c r="AA66" i="4" l="1"/>
  <c r="CC66" i="4"/>
  <c r="BZ66" i="4"/>
  <c r="X66" i="4"/>
  <c r="CD66" i="4"/>
  <c r="AB66" i="4"/>
  <c r="BV64" i="4"/>
  <c r="BY64" i="4" s="1"/>
  <c r="BL64" i="4"/>
  <c r="BO64" i="4"/>
  <c r="BG64" i="4"/>
  <c r="BP64" i="4" s="1"/>
  <c r="BQ64" i="4" s="1"/>
  <c r="J142" i="4"/>
  <c r="AU65" i="4"/>
  <c r="BA65" i="4" s="1"/>
  <c r="BH65" i="4"/>
  <c r="BV65" i="4" s="1"/>
  <c r="BY65" i="4" s="1"/>
  <c r="BC66" i="4"/>
  <c r="S68" i="4"/>
  <c r="CG68" i="4"/>
  <c r="AL67" i="4"/>
  <c r="AR67" i="4" s="1"/>
  <c r="AX67" i="4" s="1"/>
  <c r="BD67" i="4" s="1"/>
  <c r="M68" i="4"/>
  <c r="BK65" i="4"/>
  <c r="AQ67" i="4"/>
  <c r="AW67" i="4" s="1"/>
  <c r="CK66" i="4"/>
  <c r="W66" i="4"/>
  <c r="BI66" i="4"/>
  <c r="AB67" i="4" l="1"/>
  <c r="AN66" i="4"/>
  <c r="AT66" i="4" s="1"/>
  <c r="AZ66" i="4" s="1"/>
  <c r="BF66" i="4"/>
  <c r="X67" i="4"/>
  <c r="AJ66" i="4"/>
  <c r="AP66" i="4" s="1"/>
  <c r="AV66" i="4" s="1"/>
  <c r="BB66" i="4" s="1"/>
  <c r="AA67" i="4"/>
  <c r="AM66" i="4"/>
  <c r="AS66" i="4" s="1"/>
  <c r="AY66" i="4" s="1"/>
  <c r="BE66" i="4" s="1"/>
  <c r="BI67" i="4"/>
  <c r="BS66" i="4"/>
  <c r="J144" i="4"/>
  <c r="BC67" i="4"/>
  <c r="T68" i="4"/>
  <c r="CH68" i="4"/>
  <c r="BO65" i="4"/>
  <c r="BG65" i="4"/>
  <c r="BP65" i="4" s="1"/>
  <c r="BQ65" i="4" s="1"/>
  <c r="CA68" i="4"/>
  <c r="Y68" i="4"/>
  <c r="CE66" i="4"/>
  <c r="AC66" i="4"/>
  <c r="BL65" i="4"/>
  <c r="BM64" i="4"/>
  <c r="BN64" i="4" s="1"/>
  <c r="AJ67" i="4" l="1"/>
  <c r="AP67" i="4" s="1"/>
  <c r="AV67" i="4" s="1"/>
  <c r="K68" i="4"/>
  <c r="BB67" i="4"/>
  <c r="AM67" i="4"/>
  <c r="AS67" i="4" s="1"/>
  <c r="AY67" i="4" s="1"/>
  <c r="BE67" i="4" s="1"/>
  <c r="N68" i="4"/>
  <c r="AN67" i="4"/>
  <c r="AT67" i="4" s="1"/>
  <c r="AZ67" i="4" s="1"/>
  <c r="BF67" i="4" s="1"/>
  <c r="O68" i="4"/>
  <c r="BM65" i="4"/>
  <c r="BN65" i="4" s="1"/>
  <c r="J146" i="4"/>
  <c r="CB68" i="4"/>
  <c r="Z68" i="4"/>
  <c r="AO66" i="4"/>
  <c r="AC67" i="4"/>
  <c r="BJ66" i="4"/>
  <c r="Y69" i="4"/>
  <c r="AK68" i="4"/>
  <c r="BS67" i="4"/>
  <c r="CI68" i="4" l="1"/>
  <c r="U68" i="4"/>
  <c r="V68" i="4"/>
  <c r="CJ68" i="4"/>
  <c r="R68" i="4"/>
  <c r="CF68" i="4"/>
  <c r="AQ68" i="4"/>
  <c r="AW68" i="4" s="1"/>
  <c r="AK69" i="4"/>
  <c r="L70" i="4"/>
  <c r="J148" i="4"/>
  <c r="AU66" i="4"/>
  <c r="BA66" i="4" s="1"/>
  <c r="BH66" i="4"/>
  <c r="Z69" i="4"/>
  <c r="AL68" i="4"/>
  <c r="AR68" i="4" s="1"/>
  <c r="AX68" i="4" s="1"/>
  <c r="BD68" i="4" s="1"/>
  <c r="BK66" i="4"/>
  <c r="AO67" i="4"/>
  <c r="P68" i="4"/>
  <c r="BJ67" i="4"/>
  <c r="BZ68" i="4" l="1"/>
  <c r="X68" i="4"/>
  <c r="AB68" i="4"/>
  <c r="CD68" i="4"/>
  <c r="AA68" i="4"/>
  <c r="CC68" i="4"/>
  <c r="BK67" i="4"/>
  <c r="W68" i="4"/>
  <c r="CK68" i="4"/>
  <c r="BI68" i="4"/>
  <c r="AU67" i="4"/>
  <c r="BA67" i="4" s="1"/>
  <c r="BH67" i="4"/>
  <c r="BV67" i="4" s="1"/>
  <c r="BY67" i="4" s="1"/>
  <c r="J150" i="4"/>
  <c r="S70" i="4"/>
  <c r="CG70" i="4"/>
  <c r="AL69" i="4"/>
  <c r="AR69" i="4" s="1"/>
  <c r="AX69" i="4" s="1"/>
  <c r="BD69" i="4" s="1"/>
  <c r="M70" i="4"/>
  <c r="BV66" i="4"/>
  <c r="BY66" i="4" s="1"/>
  <c r="BL66" i="4"/>
  <c r="AQ69" i="4"/>
  <c r="AW69" i="4" s="1"/>
  <c r="BO66" i="4"/>
  <c r="BG66" i="4"/>
  <c r="BP66" i="4" s="1"/>
  <c r="BQ66" i="4" s="1"/>
  <c r="BC68" i="4"/>
  <c r="AA69" i="4" l="1"/>
  <c r="AM68" i="4"/>
  <c r="AS68" i="4" s="1"/>
  <c r="AY68" i="4" s="1"/>
  <c r="BE68" i="4" s="1"/>
  <c r="AN68" i="4"/>
  <c r="AT68" i="4" s="1"/>
  <c r="AZ68" i="4" s="1"/>
  <c r="BF68" i="4" s="1"/>
  <c r="AB69" i="4"/>
  <c r="X69" i="4"/>
  <c r="AJ68" i="4"/>
  <c r="AP68" i="4" s="1"/>
  <c r="AV68" i="4" s="1"/>
  <c r="BB68" i="4" s="1"/>
  <c r="CA70" i="4"/>
  <c r="Y70" i="4"/>
  <c r="CE68" i="4"/>
  <c r="AC68" i="4"/>
  <c r="BL67" i="4"/>
  <c r="BM66" i="4"/>
  <c r="BN66" i="4" s="1"/>
  <c r="T70" i="4"/>
  <c r="CH70" i="4"/>
  <c r="BO67" i="4"/>
  <c r="BG67" i="4"/>
  <c r="BP67" i="4" s="1"/>
  <c r="BQ67" i="4" s="1"/>
  <c r="BS68" i="4"/>
  <c r="BI69" i="4"/>
  <c r="BC69" i="4"/>
  <c r="J152" i="4"/>
  <c r="AJ69" i="4" l="1"/>
  <c r="AP69" i="4" s="1"/>
  <c r="AV69" i="4" s="1"/>
  <c r="K70" i="4"/>
  <c r="BB69" i="4"/>
  <c r="AN69" i="4"/>
  <c r="AT69" i="4" s="1"/>
  <c r="AZ69" i="4" s="1"/>
  <c r="BF69" i="4" s="1"/>
  <c r="O70" i="4"/>
  <c r="AM69" i="4"/>
  <c r="AS69" i="4" s="1"/>
  <c r="AY69" i="4" s="1"/>
  <c r="BE69" i="4" s="1"/>
  <c r="N70" i="4"/>
  <c r="J154" i="4"/>
  <c r="AO68" i="4"/>
  <c r="AC69" i="4"/>
  <c r="BJ68" i="4"/>
  <c r="Y71" i="4"/>
  <c r="AK70" i="4"/>
  <c r="BM67" i="4"/>
  <c r="BN67" i="4" s="1"/>
  <c r="BS69" i="4"/>
  <c r="CB70" i="4"/>
  <c r="Z70" i="4"/>
  <c r="U70" i="4" l="1"/>
  <c r="CI70" i="4"/>
  <c r="CJ70" i="4"/>
  <c r="V70" i="4"/>
  <c r="CF70" i="4"/>
  <c r="R70" i="4"/>
  <c r="BK68" i="4"/>
  <c r="AU68" i="4"/>
  <c r="BA68" i="4" s="1"/>
  <c r="BH68" i="4"/>
  <c r="AQ70" i="4"/>
  <c r="AW70" i="4" s="1"/>
  <c r="AK71" i="4"/>
  <c r="L72" i="4"/>
  <c r="Z71" i="4"/>
  <c r="AL70" i="4"/>
  <c r="AR70" i="4" s="1"/>
  <c r="AX70" i="4" s="1"/>
  <c r="BD70" i="4" s="1"/>
  <c r="AO69" i="4"/>
  <c r="P70" i="4"/>
  <c r="BJ69" i="4"/>
  <c r="J156" i="4"/>
  <c r="BZ70" i="4" l="1"/>
  <c r="X70" i="4"/>
  <c r="AB70" i="4"/>
  <c r="CD70" i="4"/>
  <c r="CC70" i="4"/>
  <c r="AA70" i="4"/>
  <c r="BO68" i="4"/>
  <c r="BG68" i="4"/>
  <c r="BP68" i="4" s="1"/>
  <c r="BQ68" i="4" s="1"/>
  <c r="BC70" i="4"/>
  <c r="BV68" i="4"/>
  <c r="BY68" i="4" s="1"/>
  <c r="BL68" i="4"/>
  <c r="W70" i="4"/>
  <c r="CK70" i="4"/>
  <c r="BI70" i="4"/>
  <c r="AU69" i="4"/>
  <c r="BA69" i="4" s="1"/>
  <c r="BH69" i="4"/>
  <c r="BV69" i="4" s="1"/>
  <c r="BY69" i="4" s="1"/>
  <c r="S72" i="4"/>
  <c r="CG72" i="4"/>
  <c r="J158" i="4"/>
  <c r="BK69" i="4"/>
  <c r="AL71" i="4"/>
  <c r="AR71" i="4" s="1"/>
  <c r="AX71" i="4" s="1"/>
  <c r="BD71" i="4" s="1"/>
  <c r="M72" i="4"/>
  <c r="AQ71" i="4"/>
  <c r="AW71" i="4" s="1"/>
  <c r="AM70" i="4" l="1"/>
  <c r="AS70" i="4" s="1"/>
  <c r="AY70" i="4" s="1"/>
  <c r="BE70" i="4" s="1"/>
  <c r="AA71" i="4"/>
  <c r="AN70" i="4"/>
  <c r="AT70" i="4" s="1"/>
  <c r="AZ70" i="4" s="1"/>
  <c r="BF70" i="4" s="1"/>
  <c r="AB71" i="4"/>
  <c r="AJ70" i="4"/>
  <c r="AP70" i="4" s="1"/>
  <c r="AV70" i="4" s="1"/>
  <c r="BB70" i="4" s="1"/>
  <c r="X71" i="4"/>
  <c r="J160" i="4"/>
  <c r="BO69" i="4"/>
  <c r="BG69" i="4"/>
  <c r="BP69" i="4" s="1"/>
  <c r="BQ69" i="4" s="1"/>
  <c r="BI71" i="4"/>
  <c r="BS70" i="4"/>
  <c r="CA72" i="4"/>
  <c r="Y72" i="4"/>
  <c r="BC71" i="4"/>
  <c r="T72" i="4"/>
  <c r="CH72" i="4"/>
  <c r="CE70" i="4"/>
  <c r="AC70" i="4"/>
  <c r="BL69" i="4"/>
  <c r="BM68" i="4"/>
  <c r="BN68" i="4" s="1"/>
  <c r="AJ71" i="4" l="1"/>
  <c r="AP71" i="4" s="1"/>
  <c r="AV71" i="4" s="1"/>
  <c r="K72" i="4"/>
  <c r="BB71" i="4"/>
  <c r="AN71" i="4"/>
  <c r="AT71" i="4" s="1"/>
  <c r="AZ71" i="4" s="1"/>
  <c r="BF71" i="4" s="1"/>
  <c r="O72" i="4"/>
  <c r="N72" i="4"/>
  <c r="AM71" i="4"/>
  <c r="AS71" i="4" s="1"/>
  <c r="AY71" i="4" s="1"/>
  <c r="BE71" i="4" s="1"/>
  <c r="AO70" i="4"/>
  <c r="AC71" i="4"/>
  <c r="BJ70" i="4"/>
  <c r="BS71" i="4"/>
  <c r="CB72" i="4"/>
  <c r="Z72" i="4"/>
  <c r="BM69" i="4"/>
  <c r="BN69" i="4" s="1"/>
  <c r="Y73" i="4"/>
  <c r="AK72" i="4"/>
  <c r="J162" i="4"/>
  <c r="V72" i="4" l="1"/>
  <c r="CJ72" i="4"/>
  <c r="U72" i="4"/>
  <c r="CI72" i="4"/>
  <c r="R72" i="4"/>
  <c r="CF72" i="4"/>
  <c r="J164" i="4"/>
  <c r="Z73" i="4"/>
  <c r="AL72" i="4"/>
  <c r="AR72" i="4" s="1"/>
  <c r="AX72" i="4" s="1"/>
  <c r="BD72" i="4" s="1"/>
  <c r="AQ72" i="4"/>
  <c r="AW72" i="4" s="1"/>
  <c r="BK70" i="4"/>
  <c r="AK73" i="4"/>
  <c r="L74" i="4"/>
  <c r="AO71" i="4"/>
  <c r="P72" i="4"/>
  <c r="BJ71" i="4"/>
  <c r="AU70" i="4"/>
  <c r="BA70" i="4" s="1"/>
  <c r="BH70" i="4"/>
  <c r="BZ72" i="4" l="1"/>
  <c r="X72" i="4"/>
  <c r="CC72" i="4"/>
  <c r="AA72" i="4"/>
  <c r="AB72" i="4"/>
  <c r="CD72" i="4"/>
  <c r="S74" i="4"/>
  <c r="CG74" i="4"/>
  <c r="BC72" i="4"/>
  <c r="AQ73" i="4"/>
  <c r="AW73" i="4" s="1"/>
  <c r="BK71" i="4"/>
  <c r="W72" i="4"/>
  <c r="CK72" i="4"/>
  <c r="BI72" i="4"/>
  <c r="AL73" i="4"/>
  <c r="AR73" i="4" s="1"/>
  <c r="AX73" i="4" s="1"/>
  <c r="BD73" i="4" s="1"/>
  <c r="M74" i="4"/>
  <c r="J166" i="4"/>
  <c r="BV70" i="4"/>
  <c r="BY70" i="4" s="1"/>
  <c r="BL70" i="4"/>
  <c r="BO70" i="4"/>
  <c r="BG70" i="4"/>
  <c r="BP70" i="4" s="1"/>
  <c r="BQ70" i="4" s="1"/>
  <c r="AU71" i="4"/>
  <c r="BA71" i="4" s="1"/>
  <c r="BH71" i="4"/>
  <c r="BV71" i="4" s="1"/>
  <c r="BY71" i="4" s="1"/>
  <c r="AN72" i="4" l="1"/>
  <c r="AT72" i="4" s="1"/>
  <c r="AZ72" i="4" s="1"/>
  <c r="AB73" i="4"/>
  <c r="BF72" i="4"/>
  <c r="AM72" i="4"/>
  <c r="AS72" i="4" s="1"/>
  <c r="AY72" i="4" s="1"/>
  <c r="BE72" i="4" s="1"/>
  <c r="AA73" i="4"/>
  <c r="AJ72" i="4"/>
  <c r="AP72" i="4" s="1"/>
  <c r="AV72" i="4" s="1"/>
  <c r="BB72" i="4" s="1"/>
  <c r="X73" i="4"/>
  <c r="J168" i="4"/>
  <c r="BO71" i="4"/>
  <c r="BG71" i="4"/>
  <c r="BP71" i="4" s="1"/>
  <c r="BQ71" i="4" s="1"/>
  <c r="BL71" i="4"/>
  <c r="BM70" i="4"/>
  <c r="BN70" i="4" s="1"/>
  <c r="BC73" i="4"/>
  <c r="T74" i="4"/>
  <c r="CH74" i="4"/>
  <c r="BI73" i="4"/>
  <c r="BS72" i="4"/>
  <c r="CE72" i="4"/>
  <c r="AC72" i="4"/>
  <c r="CA74" i="4"/>
  <c r="Y74" i="4"/>
  <c r="AJ73" i="4" l="1"/>
  <c r="AP73" i="4" s="1"/>
  <c r="AV73" i="4" s="1"/>
  <c r="K74" i="4"/>
  <c r="BB73" i="4"/>
  <c r="AM73" i="4"/>
  <c r="AS73" i="4" s="1"/>
  <c r="AY73" i="4" s="1"/>
  <c r="BE73" i="4" s="1"/>
  <c r="N74" i="4"/>
  <c r="AN73" i="4"/>
  <c r="AT73" i="4" s="1"/>
  <c r="AZ73" i="4" s="1"/>
  <c r="BF73" i="4" s="1"/>
  <c r="O74" i="4"/>
  <c r="J170" i="4"/>
  <c r="AO72" i="4"/>
  <c r="AC73" i="4"/>
  <c r="BJ72" i="4"/>
  <c r="BS73" i="4"/>
  <c r="CB74" i="4"/>
  <c r="Z74" i="4"/>
  <c r="Y75" i="4"/>
  <c r="AK74" i="4"/>
  <c r="BM71" i="4"/>
  <c r="BN71" i="4" s="1"/>
  <c r="V74" i="4" l="1"/>
  <c r="CJ74" i="4"/>
  <c r="U74" i="4"/>
  <c r="CI74" i="4"/>
  <c r="CF74" i="4"/>
  <c r="R74" i="4"/>
  <c r="AO73" i="4"/>
  <c r="P74" i="4"/>
  <c r="BJ73" i="4"/>
  <c r="AU72" i="4"/>
  <c r="BA72" i="4" s="1"/>
  <c r="BH72" i="4"/>
  <c r="AQ74" i="4"/>
  <c r="AW74" i="4" s="1"/>
  <c r="AL74" i="4"/>
  <c r="AR74" i="4" s="1"/>
  <c r="AX74" i="4" s="1"/>
  <c r="BD74" i="4" s="1"/>
  <c r="Z75" i="4"/>
  <c r="J172" i="4"/>
  <c r="AK75" i="4"/>
  <c r="L76" i="4"/>
  <c r="BK72" i="4"/>
  <c r="BZ74" i="4" l="1"/>
  <c r="X74" i="4"/>
  <c r="AA74" i="4"/>
  <c r="CC74" i="4"/>
  <c r="AB74" i="4"/>
  <c r="CD74" i="4"/>
  <c r="AL75" i="4"/>
  <c r="AR75" i="4" s="1"/>
  <c r="AX75" i="4" s="1"/>
  <c r="BD75" i="4" s="1"/>
  <c r="M76" i="4"/>
  <c r="J174" i="4"/>
  <c r="S76" i="4"/>
  <c r="CG76" i="4"/>
  <c r="BK73" i="4"/>
  <c r="BV72" i="4"/>
  <c r="BY72" i="4" s="1"/>
  <c r="BL72" i="4"/>
  <c r="AQ75" i="4"/>
  <c r="AW75" i="4" s="1"/>
  <c r="BC74" i="4"/>
  <c r="BO72" i="4"/>
  <c r="BG72" i="4"/>
  <c r="BP72" i="4" s="1"/>
  <c r="BQ72" i="4" s="1"/>
  <c r="CK74" i="4"/>
  <c r="W74" i="4"/>
  <c r="BI74" i="4"/>
  <c r="AU73" i="4"/>
  <c r="BA73" i="4" s="1"/>
  <c r="BH73" i="4"/>
  <c r="BV73" i="4" s="1"/>
  <c r="BY73" i="4" s="1"/>
  <c r="AB75" i="4" l="1"/>
  <c r="AN74" i="4"/>
  <c r="AT74" i="4" s="1"/>
  <c r="AZ74" i="4" s="1"/>
  <c r="BF74" i="4" s="1"/>
  <c r="AA75" i="4"/>
  <c r="AM74" i="4"/>
  <c r="AS74" i="4" s="1"/>
  <c r="AY74" i="4" s="1"/>
  <c r="BE74" i="4" s="1"/>
  <c r="AJ74" i="4"/>
  <c r="AP74" i="4" s="1"/>
  <c r="AV74" i="4" s="1"/>
  <c r="BB74" i="4" s="1"/>
  <c r="X75" i="4"/>
  <c r="CE74" i="4"/>
  <c r="AC74" i="4"/>
  <c r="BO73" i="4"/>
  <c r="BG73" i="4"/>
  <c r="BP73" i="4" s="1"/>
  <c r="BQ73" i="4" s="1"/>
  <c r="J176" i="4"/>
  <c r="T76" i="4"/>
  <c r="CH76" i="4"/>
  <c r="CA76" i="4"/>
  <c r="Y76" i="4"/>
  <c r="BI75" i="4"/>
  <c r="BS74" i="4"/>
  <c r="BC75" i="4"/>
  <c r="BL73" i="4"/>
  <c r="BM72" i="4"/>
  <c r="BN72" i="4" s="1"/>
  <c r="AJ75" i="4" l="1"/>
  <c r="AP75" i="4" s="1"/>
  <c r="AV75" i="4" s="1"/>
  <c r="BB75" i="4" s="1"/>
  <c r="K76" i="4"/>
  <c r="N76" i="4"/>
  <c r="AM75" i="4"/>
  <c r="AS75" i="4" s="1"/>
  <c r="AY75" i="4" s="1"/>
  <c r="BE75" i="4" s="1"/>
  <c r="AN75" i="4"/>
  <c r="AT75" i="4" s="1"/>
  <c r="AZ75" i="4" s="1"/>
  <c r="BF75" i="4" s="1"/>
  <c r="O76" i="4"/>
  <c r="J178" i="4"/>
  <c r="BS75" i="4"/>
  <c r="AC75" i="4"/>
  <c r="AO74" i="4"/>
  <c r="BJ74" i="4"/>
  <c r="BM73" i="4"/>
  <c r="BN73" i="4" s="1"/>
  <c r="AK76" i="4"/>
  <c r="Y77" i="4"/>
  <c r="CB76" i="4"/>
  <c r="Z76" i="4"/>
  <c r="CJ76" i="4" l="1"/>
  <c r="V76" i="4"/>
  <c r="U76" i="4"/>
  <c r="CI76" i="4"/>
  <c r="R76" i="4"/>
  <c r="CF76" i="4"/>
  <c r="AO75" i="4"/>
  <c r="P76" i="4"/>
  <c r="BJ75" i="4"/>
  <c r="AK77" i="4"/>
  <c r="L78" i="4"/>
  <c r="AQ76" i="4"/>
  <c r="AW76" i="4" s="1"/>
  <c r="BK74" i="4"/>
  <c r="AU74" i="4"/>
  <c r="BA74" i="4" s="1"/>
  <c r="BH74" i="4"/>
  <c r="AL76" i="4"/>
  <c r="AR76" i="4" s="1"/>
  <c r="AX76" i="4" s="1"/>
  <c r="BD76" i="4" s="1"/>
  <c r="Z77" i="4"/>
  <c r="J180" i="4"/>
  <c r="BZ76" i="4" l="1"/>
  <c r="X76" i="4"/>
  <c r="AA76" i="4"/>
  <c r="CC76" i="4"/>
  <c r="CD76" i="4"/>
  <c r="AB76" i="4"/>
  <c r="AQ77" i="4"/>
  <c r="AW77" i="4" s="1"/>
  <c r="BV74" i="4"/>
  <c r="BY74" i="4" s="1"/>
  <c r="BL74" i="4"/>
  <c r="BK75" i="4"/>
  <c r="BC76" i="4"/>
  <c r="W76" i="4"/>
  <c r="CK76" i="4"/>
  <c r="BI76" i="4"/>
  <c r="AU75" i="4"/>
  <c r="BA75" i="4" s="1"/>
  <c r="BH75" i="4"/>
  <c r="BV75" i="4" s="1"/>
  <c r="BY75" i="4" s="1"/>
  <c r="S78" i="4"/>
  <c r="CG78" i="4"/>
  <c r="AL77" i="4"/>
  <c r="AR77" i="4" s="1"/>
  <c r="AX77" i="4" s="1"/>
  <c r="BD77" i="4" s="1"/>
  <c r="M78" i="4"/>
  <c r="BO74" i="4"/>
  <c r="BG74" i="4"/>
  <c r="BP74" i="4" s="1"/>
  <c r="BQ74" i="4" s="1"/>
  <c r="J182" i="4"/>
  <c r="AB77" i="4" l="1"/>
  <c r="AN76" i="4"/>
  <c r="AT76" i="4" s="1"/>
  <c r="AZ76" i="4" s="1"/>
  <c r="BF76" i="4" s="1"/>
  <c r="AM76" i="4"/>
  <c r="AS76" i="4" s="1"/>
  <c r="AY76" i="4" s="1"/>
  <c r="BE76" i="4" s="1"/>
  <c r="AA77" i="4"/>
  <c r="AJ76" i="4"/>
  <c r="AP76" i="4" s="1"/>
  <c r="AV76" i="4" s="1"/>
  <c r="BB76" i="4" s="1"/>
  <c r="X77" i="4"/>
  <c r="T78" i="4"/>
  <c r="CH78" i="4"/>
  <c r="CA78" i="4"/>
  <c r="Y78" i="4"/>
  <c r="CE76" i="4"/>
  <c r="AC76" i="4"/>
  <c r="J184" i="4"/>
  <c r="BC77" i="4"/>
  <c r="BL75" i="4"/>
  <c r="BM74" i="4"/>
  <c r="BN74" i="4" s="1"/>
  <c r="BO75" i="4"/>
  <c r="BG75" i="4"/>
  <c r="BP75" i="4" s="1"/>
  <c r="BQ75" i="4" s="1"/>
  <c r="BI77" i="4"/>
  <c r="BS76" i="4"/>
  <c r="K78" i="4" l="1"/>
  <c r="AJ77" i="4"/>
  <c r="AP77" i="4" s="1"/>
  <c r="AV77" i="4" s="1"/>
  <c r="BB77" i="4"/>
  <c r="N78" i="4"/>
  <c r="AM77" i="4"/>
  <c r="AS77" i="4" s="1"/>
  <c r="AY77" i="4" s="1"/>
  <c r="BE77" i="4" s="1"/>
  <c r="AN77" i="4"/>
  <c r="AT77" i="4" s="1"/>
  <c r="AZ77" i="4" s="1"/>
  <c r="BF77" i="4" s="1"/>
  <c r="O78" i="4"/>
  <c r="BS77" i="4"/>
  <c r="AK78" i="4"/>
  <c r="Y79" i="4"/>
  <c r="AO76" i="4"/>
  <c r="AC77" i="4"/>
  <c r="BJ76" i="4"/>
  <c r="BM75" i="4"/>
  <c r="BN75" i="4" s="1"/>
  <c r="J186" i="4"/>
  <c r="CB78" i="4"/>
  <c r="Z78" i="4"/>
  <c r="V78" i="4" l="1"/>
  <c r="CJ78" i="4"/>
  <c r="U78" i="4"/>
  <c r="CI78" i="4"/>
  <c r="R78" i="4"/>
  <c r="CF78" i="4"/>
  <c r="AO77" i="4"/>
  <c r="P78" i="4"/>
  <c r="BJ77" i="4"/>
  <c r="BK76" i="4"/>
  <c r="J188" i="4"/>
  <c r="AK79" i="4"/>
  <c r="L80" i="4"/>
  <c r="AU76" i="4"/>
  <c r="BA76" i="4" s="1"/>
  <c r="BH76" i="4"/>
  <c r="AQ78" i="4"/>
  <c r="AW78" i="4" s="1"/>
  <c r="Z79" i="4"/>
  <c r="AL78" i="4"/>
  <c r="AR78" i="4" s="1"/>
  <c r="AX78" i="4" s="1"/>
  <c r="BD78" i="4" s="1"/>
  <c r="BZ78" i="4" l="1"/>
  <c r="X78" i="4"/>
  <c r="CC78" i="4"/>
  <c r="AA78" i="4"/>
  <c r="AB78" i="4"/>
  <c r="CD78" i="4"/>
  <c r="BC78" i="4"/>
  <c r="BV76" i="4"/>
  <c r="BY76" i="4" s="1"/>
  <c r="BL76" i="4"/>
  <c r="BO76" i="4"/>
  <c r="BG76" i="4"/>
  <c r="BP76" i="4" s="1"/>
  <c r="BQ76" i="4" s="1"/>
  <c r="S80" i="4"/>
  <c r="CG80" i="4"/>
  <c r="AU77" i="4"/>
  <c r="BA77" i="4" s="1"/>
  <c r="BH77" i="4"/>
  <c r="BV77" i="4" s="1"/>
  <c r="BY77" i="4" s="1"/>
  <c r="J190" i="4"/>
  <c r="BK77" i="4"/>
  <c r="W78" i="4"/>
  <c r="CK78" i="4"/>
  <c r="BI78" i="4"/>
  <c r="AL79" i="4"/>
  <c r="AR79" i="4" s="1"/>
  <c r="AX79" i="4" s="1"/>
  <c r="BD79" i="4" s="1"/>
  <c r="M80" i="4"/>
  <c r="AQ79" i="4"/>
  <c r="AW79" i="4" s="1"/>
  <c r="AB79" i="4" l="1"/>
  <c r="AN78" i="4"/>
  <c r="AT78" i="4" s="1"/>
  <c r="AZ78" i="4" s="1"/>
  <c r="BF78" i="4" s="1"/>
  <c r="AA79" i="4"/>
  <c r="AM78" i="4"/>
  <c r="AS78" i="4" s="1"/>
  <c r="AY78" i="4" s="1"/>
  <c r="BE78" i="4" s="1"/>
  <c r="X79" i="4"/>
  <c r="AJ78" i="4"/>
  <c r="AP78" i="4" s="1"/>
  <c r="AV78" i="4" s="1"/>
  <c r="BB78" i="4" s="1"/>
  <c r="J192" i="4"/>
  <c r="BL77" i="4"/>
  <c r="BM76" i="4"/>
  <c r="BN76" i="4" s="1"/>
  <c r="CA80" i="4"/>
  <c r="Y80" i="4"/>
  <c r="BC79" i="4"/>
  <c r="T80" i="4"/>
  <c r="CH80" i="4"/>
  <c r="BO77" i="4"/>
  <c r="BG77" i="4"/>
  <c r="BP77" i="4" s="1"/>
  <c r="BQ77" i="4" s="1"/>
  <c r="BI79" i="4"/>
  <c r="BS78" i="4"/>
  <c r="CE78" i="4"/>
  <c r="AC78" i="4"/>
  <c r="K80" i="4" l="1"/>
  <c r="AJ79" i="4"/>
  <c r="AP79" i="4" s="1"/>
  <c r="AV79" i="4" s="1"/>
  <c r="BB79" i="4"/>
  <c r="AM79" i="4"/>
  <c r="AS79" i="4" s="1"/>
  <c r="AY79" i="4" s="1"/>
  <c r="BE79" i="4" s="1"/>
  <c r="N80" i="4"/>
  <c r="O80" i="4"/>
  <c r="AN79" i="4"/>
  <c r="AT79" i="4" s="1"/>
  <c r="AZ79" i="4" s="1"/>
  <c r="BF79" i="4" s="1"/>
  <c r="BM77" i="4"/>
  <c r="BN77" i="4" s="1"/>
  <c r="AK80" i="4"/>
  <c r="Y81" i="4"/>
  <c r="BS79" i="4"/>
  <c r="CB80" i="4"/>
  <c r="Z80" i="4"/>
  <c r="AO78" i="4"/>
  <c r="AC79" i="4"/>
  <c r="BJ78" i="4"/>
  <c r="J194" i="4"/>
  <c r="CI80" i="4" l="1"/>
  <c r="U80" i="4"/>
  <c r="CJ80" i="4"/>
  <c r="V80" i="4"/>
  <c r="R80" i="4"/>
  <c r="CF80" i="4"/>
  <c r="BK78" i="4"/>
  <c r="AK81" i="4"/>
  <c r="L82" i="4"/>
  <c r="AQ80" i="4"/>
  <c r="AW80" i="4" s="1"/>
  <c r="AU78" i="4"/>
  <c r="BA78" i="4" s="1"/>
  <c r="BH78" i="4"/>
  <c r="J196" i="4"/>
  <c r="AO79" i="4"/>
  <c r="P80" i="4"/>
  <c r="BJ79" i="4"/>
  <c r="Z81" i="4"/>
  <c r="AL80" i="4"/>
  <c r="AR80" i="4" s="1"/>
  <c r="AX80" i="4" s="1"/>
  <c r="BD80" i="4" s="1"/>
  <c r="BZ80" i="4" l="1"/>
  <c r="X80" i="4"/>
  <c r="AB80" i="4"/>
  <c r="CD80" i="4"/>
  <c r="CC80" i="4"/>
  <c r="AA80" i="4"/>
  <c r="W80" i="4"/>
  <c r="CK80" i="4"/>
  <c r="BI80" i="4"/>
  <c r="BC80" i="4"/>
  <c r="BK79" i="4"/>
  <c r="BV78" i="4"/>
  <c r="BY78" i="4" s="1"/>
  <c r="BL78" i="4"/>
  <c r="AU79" i="4"/>
  <c r="BA79" i="4" s="1"/>
  <c r="BH79" i="4"/>
  <c r="BV79" i="4" s="1"/>
  <c r="BY79" i="4" s="1"/>
  <c r="S82" i="4"/>
  <c r="CG82" i="4"/>
  <c r="AQ81" i="4"/>
  <c r="AW81" i="4" s="1"/>
  <c r="J198" i="4"/>
  <c r="BO78" i="4"/>
  <c r="BG78" i="4"/>
  <c r="BP78" i="4" s="1"/>
  <c r="BQ78" i="4" s="1"/>
  <c r="AL81" i="4"/>
  <c r="AR81" i="4" s="1"/>
  <c r="AX81" i="4" s="1"/>
  <c r="BD81" i="4" s="1"/>
  <c r="M82" i="4"/>
  <c r="AA81" i="4" l="1"/>
  <c r="AM80" i="4"/>
  <c r="AS80" i="4" s="1"/>
  <c r="AY80" i="4" s="1"/>
  <c r="BE80" i="4" s="1"/>
  <c r="AB81" i="4"/>
  <c r="AN80" i="4"/>
  <c r="AT80" i="4" s="1"/>
  <c r="AZ80" i="4" s="1"/>
  <c r="BF80" i="4" s="1"/>
  <c r="X81" i="4"/>
  <c r="AJ80" i="4"/>
  <c r="AP80" i="4" s="1"/>
  <c r="AV80" i="4" s="1"/>
  <c r="BB80" i="4" s="1"/>
  <c r="CA82" i="4"/>
  <c r="Y82" i="4"/>
  <c r="BL79" i="4"/>
  <c r="BM78" i="4"/>
  <c r="BN78" i="4" s="1"/>
  <c r="BO79" i="4"/>
  <c r="BG79" i="4"/>
  <c r="BP79" i="4" s="1"/>
  <c r="BQ79" i="4" s="1"/>
  <c r="J200" i="4"/>
  <c r="BC81" i="4"/>
  <c r="T82" i="4"/>
  <c r="CH82" i="4"/>
  <c r="BI81" i="4"/>
  <c r="BS80" i="4"/>
  <c r="CE80" i="4"/>
  <c r="AC80" i="4"/>
  <c r="AJ81" i="4" l="1"/>
  <c r="AP81" i="4" s="1"/>
  <c r="AV81" i="4" s="1"/>
  <c r="K82" i="4"/>
  <c r="BB81" i="4"/>
  <c r="AN81" i="4"/>
  <c r="AT81" i="4" s="1"/>
  <c r="AZ81" i="4" s="1"/>
  <c r="BF81" i="4" s="1"/>
  <c r="O82" i="4"/>
  <c r="AM81" i="4"/>
  <c r="AS81" i="4" s="1"/>
  <c r="AY81" i="4" s="1"/>
  <c r="BE81" i="4" s="1"/>
  <c r="N82" i="4"/>
  <c r="J202" i="4"/>
  <c r="BS81" i="4"/>
  <c r="AC81" i="4"/>
  <c r="AO80" i="4"/>
  <c r="BJ80" i="4"/>
  <c r="CB82" i="4"/>
  <c r="Z82" i="4"/>
  <c r="Y83" i="4"/>
  <c r="AK82" i="4"/>
  <c r="BM79" i="4"/>
  <c r="BN79" i="4" s="1"/>
  <c r="CI82" i="4" l="1"/>
  <c r="U82" i="4"/>
  <c r="V82" i="4"/>
  <c r="CJ82" i="4"/>
  <c r="CF82" i="4"/>
  <c r="R82" i="4"/>
  <c r="AU80" i="4"/>
  <c r="BA80" i="4" s="1"/>
  <c r="BH80" i="4"/>
  <c r="BK80" i="4"/>
  <c r="AQ82" i="4"/>
  <c r="AW82" i="4" s="1"/>
  <c r="AO81" i="4"/>
  <c r="P82" i="4"/>
  <c r="BJ81" i="4"/>
  <c r="J204" i="4"/>
  <c r="AK83" i="4"/>
  <c r="L84" i="4"/>
  <c r="AL82" i="4"/>
  <c r="AR82" i="4" s="1"/>
  <c r="AX82" i="4" s="1"/>
  <c r="BD82" i="4" s="1"/>
  <c r="Z83" i="4"/>
  <c r="BZ82" i="4" l="1"/>
  <c r="X82" i="4"/>
  <c r="CD82" i="4"/>
  <c r="AB82" i="4"/>
  <c r="CC82" i="4"/>
  <c r="AA82" i="4"/>
  <c r="J206" i="4"/>
  <c r="AL83" i="4"/>
  <c r="AR83" i="4" s="1"/>
  <c r="AX83" i="4" s="1"/>
  <c r="BD83" i="4" s="1"/>
  <c r="M84" i="4"/>
  <c r="S84" i="4"/>
  <c r="CG84" i="4"/>
  <c r="BV80" i="4"/>
  <c r="BY80" i="4" s="1"/>
  <c r="BL80" i="4"/>
  <c r="AQ83" i="4"/>
  <c r="AW83" i="4" s="1"/>
  <c r="BC82" i="4"/>
  <c r="BK81" i="4"/>
  <c r="W82" i="4"/>
  <c r="CK82" i="4"/>
  <c r="BI82" i="4"/>
  <c r="AU81" i="4"/>
  <c r="BA81" i="4" s="1"/>
  <c r="BH81" i="4"/>
  <c r="BV81" i="4" s="1"/>
  <c r="BY81" i="4" s="1"/>
  <c r="BO80" i="4"/>
  <c r="BG80" i="4"/>
  <c r="BP80" i="4" s="1"/>
  <c r="BQ80" i="4" s="1"/>
  <c r="AA83" i="4" l="1"/>
  <c r="AM82" i="4"/>
  <c r="AS82" i="4" s="1"/>
  <c r="AY82" i="4" s="1"/>
  <c r="BE82" i="4" s="1"/>
  <c r="AB83" i="4"/>
  <c r="AN82" i="4"/>
  <c r="AT82" i="4" s="1"/>
  <c r="AZ82" i="4" s="1"/>
  <c r="BF82" i="4" s="1"/>
  <c r="X83" i="4"/>
  <c r="AJ82" i="4"/>
  <c r="AP82" i="4" s="1"/>
  <c r="AV82" i="4" s="1"/>
  <c r="BB82" i="4" s="1"/>
  <c r="BO81" i="4"/>
  <c r="BG81" i="4"/>
  <c r="BP81" i="4" s="1"/>
  <c r="BQ81" i="4" s="1"/>
  <c r="BI83" i="4"/>
  <c r="BS82" i="4"/>
  <c r="T84" i="4"/>
  <c r="CH84" i="4"/>
  <c r="CE82" i="4"/>
  <c r="AC82" i="4"/>
  <c r="BC83" i="4"/>
  <c r="CA84" i="4"/>
  <c r="Y84" i="4"/>
  <c r="J208" i="4"/>
  <c r="BL81" i="4"/>
  <c r="BM80" i="4"/>
  <c r="BN80" i="4" s="1"/>
  <c r="K84" i="4" l="1"/>
  <c r="AJ83" i="4"/>
  <c r="AP83" i="4" s="1"/>
  <c r="AV83" i="4" s="1"/>
  <c r="BB83" i="4"/>
  <c r="AN83" i="4"/>
  <c r="AT83" i="4" s="1"/>
  <c r="AZ83" i="4" s="1"/>
  <c r="BF83" i="4" s="1"/>
  <c r="O84" i="4"/>
  <c r="AM83" i="4"/>
  <c r="AS83" i="4" s="1"/>
  <c r="AY83" i="4" s="1"/>
  <c r="BE83" i="4" s="1"/>
  <c r="N84" i="4"/>
  <c r="J210" i="4"/>
  <c r="Y85" i="4"/>
  <c r="AK84" i="4"/>
  <c r="BM81" i="4"/>
  <c r="BN81" i="4" s="1"/>
  <c r="BS83" i="4"/>
  <c r="AO82" i="4"/>
  <c r="AC83" i="4"/>
  <c r="BJ82" i="4"/>
  <c r="CB84" i="4"/>
  <c r="Z84" i="4"/>
  <c r="U84" i="4" l="1"/>
  <c r="CI84" i="4"/>
  <c r="V84" i="4"/>
  <c r="CJ84" i="4"/>
  <c r="CF84" i="4"/>
  <c r="R84" i="4"/>
  <c r="AQ84" i="4"/>
  <c r="AW84" i="4" s="1"/>
  <c r="Z85" i="4"/>
  <c r="AL84" i="4"/>
  <c r="AR84" i="4" s="1"/>
  <c r="AX84" i="4" s="1"/>
  <c r="BD84" i="4" s="1"/>
  <c r="AK85" i="4"/>
  <c r="L86" i="4"/>
  <c r="BK82" i="4"/>
  <c r="AO83" i="4"/>
  <c r="P84" i="4"/>
  <c r="BJ83" i="4"/>
  <c r="AU82" i="4"/>
  <c r="BA82" i="4" s="1"/>
  <c r="BH82" i="4"/>
  <c r="J212" i="4"/>
  <c r="BZ84" i="4" l="1"/>
  <c r="X84" i="4"/>
  <c r="AB84" i="4"/>
  <c r="CD84" i="4"/>
  <c r="AA84" i="4"/>
  <c r="CC84" i="4"/>
  <c r="BV82" i="4"/>
  <c r="BY82" i="4" s="1"/>
  <c r="BL82" i="4"/>
  <c r="AL85" i="4"/>
  <c r="AR85" i="4" s="1"/>
  <c r="AX85" i="4" s="1"/>
  <c r="BD85" i="4" s="1"/>
  <c r="M86" i="4"/>
  <c r="AU83" i="4"/>
  <c r="BA83" i="4" s="1"/>
  <c r="BH83" i="4"/>
  <c r="BV83" i="4" s="1"/>
  <c r="BY83" i="4" s="1"/>
  <c r="BO82" i="4"/>
  <c r="BG82" i="4"/>
  <c r="BP82" i="4" s="1"/>
  <c r="BQ82" i="4" s="1"/>
  <c r="CK84" i="4"/>
  <c r="W84" i="4"/>
  <c r="BI84" i="4"/>
  <c r="S86" i="4"/>
  <c r="CG86" i="4"/>
  <c r="AQ85" i="4"/>
  <c r="AW85" i="4" s="1"/>
  <c r="BK83" i="4"/>
  <c r="BC84" i="4"/>
  <c r="J214" i="4"/>
  <c r="AM84" i="4" l="1"/>
  <c r="AS84" i="4" s="1"/>
  <c r="AY84" i="4" s="1"/>
  <c r="AA85" i="4"/>
  <c r="BE84" i="4"/>
  <c r="AN84" i="4"/>
  <c r="AT84" i="4" s="1"/>
  <c r="AZ84" i="4" s="1"/>
  <c r="BF84" i="4" s="1"/>
  <c r="AB85" i="4"/>
  <c r="AJ84" i="4"/>
  <c r="AP84" i="4" s="1"/>
  <c r="AV84" i="4" s="1"/>
  <c r="BB84" i="4" s="1"/>
  <c r="X85" i="4"/>
  <c r="BI85" i="4"/>
  <c r="BS84" i="4"/>
  <c r="BC85" i="4"/>
  <c r="J216" i="4"/>
  <c r="BL83" i="4"/>
  <c r="BM82" i="4"/>
  <c r="BN82" i="4" s="1"/>
  <c r="BO83" i="4"/>
  <c r="BG83" i="4"/>
  <c r="BP83" i="4" s="1"/>
  <c r="BQ83" i="4" s="1"/>
  <c r="T86" i="4"/>
  <c r="CH86" i="4"/>
  <c r="CA86" i="4"/>
  <c r="Y86" i="4"/>
  <c r="CE84" i="4"/>
  <c r="AC84" i="4"/>
  <c r="O86" i="4" l="1"/>
  <c r="AN85" i="4"/>
  <c r="AT85" i="4" s="1"/>
  <c r="AZ85" i="4" s="1"/>
  <c r="BF85" i="4" s="1"/>
  <c r="K86" i="4"/>
  <c r="AJ85" i="4"/>
  <c r="AP85" i="4" s="1"/>
  <c r="AV85" i="4" s="1"/>
  <c r="BB85" i="4" s="1"/>
  <c r="AM85" i="4"/>
  <c r="AS85" i="4" s="1"/>
  <c r="AY85" i="4" s="1"/>
  <c r="BE85" i="4" s="1"/>
  <c r="N86" i="4"/>
  <c r="AO84" i="4"/>
  <c r="AC85" i="4"/>
  <c r="BJ84" i="4"/>
  <c r="Y87" i="4"/>
  <c r="AK86" i="4"/>
  <c r="CB86" i="4"/>
  <c r="Z86" i="4"/>
  <c r="J218" i="4"/>
  <c r="BM83" i="4"/>
  <c r="BN83" i="4" s="1"/>
  <c r="BS85" i="4"/>
  <c r="R86" i="4" l="1"/>
  <c r="CF86" i="4"/>
  <c r="U86" i="4"/>
  <c r="CI86" i="4"/>
  <c r="CJ86" i="4"/>
  <c r="V86" i="4"/>
  <c r="AL86" i="4"/>
  <c r="AR86" i="4" s="1"/>
  <c r="AX86" i="4" s="1"/>
  <c r="BD86" i="4" s="1"/>
  <c r="Z87" i="4"/>
  <c r="BK84" i="4"/>
  <c r="AO85" i="4"/>
  <c r="P86" i="4"/>
  <c r="BJ85" i="4"/>
  <c r="J220" i="4"/>
  <c r="AQ86" i="4"/>
  <c r="AW86" i="4" s="1"/>
  <c r="AK87" i="4"/>
  <c r="L88" i="4"/>
  <c r="AU84" i="4"/>
  <c r="BA84" i="4" s="1"/>
  <c r="BH84" i="4"/>
  <c r="AB86" i="4" l="1"/>
  <c r="CD86" i="4"/>
  <c r="CC86" i="4"/>
  <c r="AA86" i="4"/>
  <c r="BZ86" i="4"/>
  <c r="X86" i="4"/>
  <c r="AQ87" i="4"/>
  <c r="AW87" i="4" s="1"/>
  <c r="BC86" i="4"/>
  <c r="BK85" i="4"/>
  <c r="BV84" i="4"/>
  <c r="BY84" i="4" s="1"/>
  <c r="BL84" i="4"/>
  <c r="BO84" i="4"/>
  <c r="BG84" i="4"/>
  <c r="BP84" i="4" s="1"/>
  <c r="BQ84" i="4" s="1"/>
  <c r="AL87" i="4"/>
  <c r="AR87" i="4" s="1"/>
  <c r="AX87" i="4" s="1"/>
  <c r="BD87" i="4" s="1"/>
  <c r="M88" i="4"/>
  <c r="AU85" i="4"/>
  <c r="BA85" i="4" s="1"/>
  <c r="BH85" i="4"/>
  <c r="BV85" i="4" s="1"/>
  <c r="BY85" i="4" s="1"/>
  <c r="W86" i="4"/>
  <c r="CK86" i="4"/>
  <c r="BI86" i="4"/>
  <c r="J222" i="4"/>
  <c r="S88" i="4"/>
  <c r="CG88" i="4"/>
  <c r="X87" i="4" l="1"/>
  <c r="AJ86" i="4"/>
  <c r="AP86" i="4" s="1"/>
  <c r="AV86" i="4" s="1"/>
  <c r="BB86" i="4" s="1"/>
  <c r="AA87" i="4"/>
  <c r="AM86" i="4"/>
  <c r="AS86" i="4" s="1"/>
  <c r="AY86" i="4" s="1"/>
  <c r="BE86" i="4" s="1"/>
  <c r="AN86" i="4"/>
  <c r="AT86" i="4" s="1"/>
  <c r="AZ86" i="4" s="1"/>
  <c r="BF86" i="4" s="1"/>
  <c r="AB87" i="4"/>
  <c r="J224" i="4"/>
  <c r="BS86" i="4"/>
  <c r="BI87" i="4"/>
  <c r="CE86" i="4"/>
  <c r="AC86" i="4"/>
  <c r="CA88" i="4"/>
  <c r="Y88" i="4"/>
  <c r="BO85" i="4"/>
  <c r="BG85" i="4"/>
  <c r="BP85" i="4" s="1"/>
  <c r="BQ85" i="4" s="1"/>
  <c r="T88" i="4"/>
  <c r="CH88" i="4"/>
  <c r="BL85" i="4"/>
  <c r="BM84" i="4"/>
  <c r="BN84" i="4" s="1"/>
  <c r="BC87" i="4"/>
  <c r="AN87" i="4" l="1"/>
  <c r="AT87" i="4" s="1"/>
  <c r="AZ87" i="4" s="1"/>
  <c r="O88" i="4"/>
  <c r="BF87" i="4"/>
  <c r="AM87" i="4"/>
  <c r="AS87" i="4" s="1"/>
  <c r="AY87" i="4" s="1"/>
  <c r="BE87" i="4" s="1"/>
  <c r="N88" i="4"/>
  <c r="AJ87" i="4"/>
  <c r="AP87" i="4" s="1"/>
  <c r="AV87" i="4" s="1"/>
  <c r="BB87" i="4" s="1"/>
  <c r="K88" i="4"/>
  <c r="BM85" i="4"/>
  <c r="BN85" i="4" s="1"/>
  <c r="CB88" i="4"/>
  <c r="Z88" i="4"/>
  <c r="AO86" i="4"/>
  <c r="AC87" i="4"/>
  <c r="BJ86" i="4"/>
  <c r="Y89" i="4"/>
  <c r="AK88" i="4"/>
  <c r="BS87" i="4"/>
  <c r="J226" i="4"/>
  <c r="R88" i="4" l="1"/>
  <c r="CF88" i="4"/>
  <c r="U88" i="4"/>
  <c r="CI88" i="4"/>
  <c r="V88" i="4"/>
  <c r="CJ88" i="4"/>
  <c r="AQ88" i="4"/>
  <c r="AW88" i="4" s="1"/>
  <c r="BK86" i="4"/>
  <c r="AK89" i="4"/>
  <c r="L90" i="4"/>
  <c r="AO87" i="4"/>
  <c r="P88" i="4"/>
  <c r="BJ87" i="4"/>
  <c r="AU86" i="4"/>
  <c r="BA86" i="4" s="1"/>
  <c r="BH86" i="4"/>
  <c r="AL88" i="4"/>
  <c r="AR88" i="4" s="1"/>
  <c r="AX88" i="4" s="1"/>
  <c r="BD88" i="4" s="1"/>
  <c r="Z89" i="4"/>
  <c r="J228" i="4"/>
  <c r="AB88" i="4" l="1"/>
  <c r="CD88" i="4"/>
  <c r="AA88" i="4"/>
  <c r="CC88" i="4"/>
  <c r="BZ88" i="4"/>
  <c r="X88" i="4"/>
  <c r="J230" i="4"/>
  <c r="S90" i="4"/>
  <c r="CG90" i="4"/>
  <c r="CK88" i="4"/>
  <c r="W88" i="4"/>
  <c r="BI88" i="4"/>
  <c r="AU87" i="4"/>
  <c r="BA87" i="4" s="1"/>
  <c r="BH87" i="4"/>
  <c r="BV87" i="4" s="1"/>
  <c r="BY87" i="4" s="1"/>
  <c r="AQ89" i="4"/>
  <c r="AW89" i="4" s="1"/>
  <c r="BC88" i="4"/>
  <c r="BV86" i="4"/>
  <c r="BY86" i="4" s="1"/>
  <c r="BL86" i="4"/>
  <c r="BK87" i="4"/>
  <c r="AL89" i="4"/>
  <c r="AR89" i="4" s="1"/>
  <c r="AX89" i="4" s="1"/>
  <c r="BD89" i="4" s="1"/>
  <c r="M90" i="4"/>
  <c r="BO86" i="4"/>
  <c r="BG86" i="4"/>
  <c r="BP86" i="4" s="1"/>
  <c r="BQ86" i="4" s="1"/>
  <c r="AJ88" i="4" l="1"/>
  <c r="AP88" i="4" s="1"/>
  <c r="AV88" i="4" s="1"/>
  <c r="X89" i="4"/>
  <c r="BB88" i="4"/>
  <c r="AA89" i="4"/>
  <c r="AM88" i="4"/>
  <c r="AS88" i="4" s="1"/>
  <c r="AY88" i="4" s="1"/>
  <c r="BE88" i="4" s="1"/>
  <c r="AB89" i="4"/>
  <c r="AN88" i="4"/>
  <c r="AT88" i="4" s="1"/>
  <c r="AZ88" i="4" s="1"/>
  <c r="BF88" i="4" s="1"/>
  <c r="CA90" i="4"/>
  <c r="Y90" i="4"/>
  <c r="CE88" i="4"/>
  <c r="AC88" i="4"/>
  <c r="BC89" i="4"/>
  <c r="J232" i="4"/>
  <c r="BO87" i="4"/>
  <c r="BG87" i="4"/>
  <c r="BP87" i="4" s="1"/>
  <c r="BQ87" i="4" s="1"/>
  <c r="BI89" i="4"/>
  <c r="BS88" i="4"/>
  <c r="BL87" i="4"/>
  <c r="BM86" i="4"/>
  <c r="BN86" i="4" s="1"/>
  <c r="T90" i="4"/>
  <c r="CH90" i="4"/>
  <c r="O90" i="4" l="1"/>
  <c r="AN89" i="4"/>
  <c r="AT89" i="4" s="1"/>
  <c r="AZ89" i="4" s="1"/>
  <c r="BF89" i="4" s="1"/>
  <c r="AM89" i="4"/>
  <c r="AS89" i="4" s="1"/>
  <c r="AY89" i="4" s="1"/>
  <c r="BE89" i="4" s="1"/>
  <c r="N90" i="4"/>
  <c r="K90" i="4"/>
  <c r="AJ89" i="4"/>
  <c r="AP89" i="4" s="1"/>
  <c r="AV89" i="4" s="1"/>
  <c r="BB89" i="4" s="1"/>
  <c r="BM87" i="4"/>
  <c r="BN87" i="4" s="1"/>
  <c r="AK90" i="4"/>
  <c r="Y91" i="4"/>
  <c r="CB90" i="4"/>
  <c r="Z90" i="4"/>
  <c r="BS89" i="4"/>
  <c r="AC89" i="4"/>
  <c r="AO88" i="4"/>
  <c r="BJ88" i="4"/>
  <c r="J234" i="4"/>
  <c r="R90" i="4" l="1"/>
  <c r="CF90" i="4"/>
  <c r="CI90" i="4"/>
  <c r="U90" i="4"/>
  <c r="V90" i="4"/>
  <c r="CJ90" i="4"/>
  <c r="AL90" i="4"/>
  <c r="AR90" i="4" s="1"/>
  <c r="AX90" i="4" s="1"/>
  <c r="BD90" i="4" s="1"/>
  <c r="Z91" i="4"/>
  <c r="AK91" i="4"/>
  <c r="L92" i="4"/>
  <c r="AQ90" i="4"/>
  <c r="AW90" i="4" s="1"/>
  <c r="J236" i="4"/>
  <c r="BK88" i="4"/>
  <c r="AU88" i="4"/>
  <c r="BA88" i="4" s="1"/>
  <c r="BH88" i="4"/>
  <c r="AO89" i="4"/>
  <c r="P90" i="4"/>
  <c r="BJ89" i="4"/>
  <c r="CD90" i="4" l="1"/>
  <c r="AB90" i="4"/>
  <c r="CC90" i="4"/>
  <c r="AA90" i="4"/>
  <c r="BZ90" i="4"/>
  <c r="X90" i="4"/>
  <c r="S92" i="4"/>
  <c r="CG92" i="4"/>
  <c r="AQ91" i="4"/>
  <c r="AW91" i="4" s="1"/>
  <c r="BC90" i="4"/>
  <c r="BO88" i="4"/>
  <c r="BG88" i="4"/>
  <c r="BP88" i="4" s="1"/>
  <c r="BQ88" i="4" s="1"/>
  <c r="J238" i="4"/>
  <c r="W90" i="4"/>
  <c r="CK90" i="4"/>
  <c r="BI90" i="4"/>
  <c r="AU89" i="4"/>
  <c r="BA89" i="4" s="1"/>
  <c r="BH89" i="4"/>
  <c r="BV89" i="4" s="1"/>
  <c r="BY89" i="4" s="1"/>
  <c r="AL91" i="4"/>
  <c r="AR91" i="4" s="1"/>
  <c r="AX91" i="4" s="1"/>
  <c r="BD91" i="4" s="1"/>
  <c r="M92" i="4"/>
  <c r="BV88" i="4"/>
  <c r="BY88" i="4" s="1"/>
  <c r="BL88" i="4"/>
  <c r="BK89" i="4"/>
  <c r="X91" i="4" l="1"/>
  <c r="AJ90" i="4"/>
  <c r="AP90" i="4" s="1"/>
  <c r="AV90" i="4" s="1"/>
  <c r="BB90" i="4"/>
  <c r="AM90" i="4"/>
  <c r="AS90" i="4" s="1"/>
  <c r="AY90" i="4" s="1"/>
  <c r="BE90" i="4" s="1"/>
  <c r="AA91" i="4"/>
  <c r="AB91" i="4"/>
  <c r="AN90" i="4"/>
  <c r="AT90" i="4" s="1"/>
  <c r="AZ90" i="4" s="1"/>
  <c r="BF90" i="4" s="1"/>
  <c r="J240" i="4"/>
  <c r="BO89" i="4"/>
  <c r="BG89" i="4"/>
  <c r="BP89" i="4" s="1"/>
  <c r="BQ89" i="4" s="1"/>
  <c r="BL89" i="4"/>
  <c r="BM88" i="4"/>
  <c r="BN88" i="4" s="1"/>
  <c r="BC91" i="4"/>
  <c r="BI91" i="4"/>
  <c r="BS90" i="4"/>
  <c r="T92" i="4"/>
  <c r="CH92" i="4"/>
  <c r="CE90" i="4"/>
  <c r="AC90" i="4"/>
  <c r="CA92" i="4"/>
  <c r="Y92" i="4"/>
  <c r="AM91" i="4" l="1"/>
  <c r="AS91" i="4" s="1"/>
  <c r="AY91" i="4" s="1"/>
  <c r="BE91" i="4"/>
  <c r="N92" i="4"/>
  <c r="AN91" i="4"/>
  <c r="AT91" i="4" s="1"/>
  <c r="AZ91" i="4" s="1"/>
  <c r="BF91" i="4" s="1"/>
  <c r="O92" i="4"/>
  <c r="K92" i="4"/>
  <c r="AJ91" i="4"/>
  <c r="AP91" i="4" s="1"/>
  <c r="AV91" i="4" s="1"/>
  <c r="BB91" i="4" s="1"/>
  <c r="CB92" i="4"/>
  <c r="Z92" i="4"/>
  <c r="BS91" i="4"/>
  <c r="AK92" i="4"/>
  <c r="Y93" i="4"/>
  <c r="J242" i="4"/>
  <c r="AC91" i="4"/>
  <c r="AO90" i="4"/>
  <c r="BJ90" i="4"/>
  <c r="BM89" i="4"/>
  <c r="BN89" i="4" s="1"/>
  <c r="CJ92" i="4" l="1"/>
  <c r="V92" i="4"/>
  <c r="R92" i="4"/>
  <c r="CF92" i="4"/>
  <c r="U92" i="4"/>
  <c r="CI92" i="4"/>
  <c r="AU90" i="4"/>
  <c r="BA90" i="4" s="1"/>
  <c r="BH90" i="4"/>
  <c r="AO91" i="4"/>
  <c r="P92" i="4"/>
  <c r="BJ91" i="4"/>
  <c r="AK93" i="4"/>
  <c r="L94" i="4"/>
  <c r="AQ92" i="4"/>
  <c r="AW92" i="4" s="1"/>
  <c r="Z93" i="4"/>
  <c r="AL92" i="4"/>
  <c r="AR92" i="4" s="1"/>
  <c r="AX92" i="4" s="1"/>
  <c r="BD92" i="4" s="1"/>
  <c r="BK90" i="4"/>
  <c r="J244" i="4"/>
  <c r="CC92" i="4" l="1"/>
  <c r="AA92" i="4"/>
  <c r="BZ92" i="4"/>
  <c r="X92" i="4"/>
  <c r="AB92" i="4"/>
  <c r="CD92" i="4"/>
  <c r="BC92" i="4"/>
  <c r="S94" i="4"/>
  <c r="CG94" i="4"/>
  <c r="AQ93" i="4"/>
  <c r="AW93" i="4" s="1"/>
  <c r="W92" i="4"/>
  <c r="CK92" i="4"/>
  <c r="BI92" i="4"/>
  <c r="AU91" i="4"/>
  <c r="BA91" i="4" s="1"/>
  <c r="BH91" i="4"/>
  <c r="BV91" i="4" s="1"/>
  <c r="BY91" i="4" s="1"/>
  <c r="BV90" i="4"/>
  <c r="BY90" i="4" s="1"/>
  <c r="BL90" i="4"/>
  <c r="J246" i="4"/>
  <c r="BK91" i="4"/>
  <c r="BO90" i="4"/>
  <c r="BG90" i="4"/>
  <c r="BP90" i="4" s="1"/>
  <c r="BQ90" i="4" s="1"/>
  <c r="AL93" i="4"/>
  <c r="AR93" i="4" s="1"/>
  <c r="AX93" i="4" s="1"/>
  <c r="BD93" i="4" s="1"/>
  <c r="M94" i="4"/>
  <c r="AN92" i="4" l="1"/>
  <c r="AT92" i="4" s="1"/>
  <c r="AZ92" i="4" s="1"/>
  <c r="BF92" i="4" s="1"/>
  <c r="AB93" i="4"/>
  <c r="AJ92" i="4"/>
  <c r="AP92" i="4" s="1"/>
  <c r="AV92" i="4" s="1"/>
  <c r="BB92" i="4" s="1"/>
  <c r="X93" i="4"/>
  <c r="AM92" i="4"/>
  <c r="AS92" i="4" s="1"/>
  <c r="AY92" i="4" s="1"/>
  <c r="BE92" i="4" s="1"/>
  <c r="AA93" i="4"/>
  <c r="BL91" i="4"/>
  <c r="BM90" i="4"/>
  <c r="BN90" i="4" s="1"/>
  <c r="T94" i="4"/>
  <c r="CH94" i="4"/>
  <c r="BI93" i="4"/>
  <c r="BS92" i="4"/>
  <c r="J248" i="4"/>
  <c r="CA94" i="4"/>
  <c r="Y94" i="4"/>
  <c r="BO91" i="4"/>
  <c r="BG91" i="4"/>
  <c r="BP91" i="4" s="1"/>
  <c r="BQ91" i="4" s="1"/>
  <c r="CE92" i="4"/>
  <c r="AC92" i="4"/>
  <c r="BC93" i="4"/>
  <c r="AM93" i="4" l="1"/>
  <c r="AS93" i="4" s="1"/>
  <c r="AY93" i="4" s="1"/>
  <c r="BE93" i="4" s="1"/>
  <c r="N94" i="4"/>
  <c r="K94" i="4"/>
  <c r="AJ93" i="4"/>
  <c r="AP93" i="4" s="1"/>
  <c r="AV93" i="4" s="1"/>
  <c r="BB93" i="4" s="1"/>
  <c r="O94" i="4"/>
  <c r="AN93" i="4"/>
  <c r="AT93" i="4" s="1"/>
  <c r="AZ93" i="4" s="1"/>
  <c r="BF93" i="4" s="1"/>
  <c r="AC93" i="4"/>
  <c r="AO92" i="4"/>
  <c r="BJ92" i="4"/>
  <c r="CB94" i="4"/>
  <c r="Z94" i="4"/>
  <c r="J250" i="4"/>
  <c r="BS93" i="4"/>
  <c r="Y95" i="4"/>
  <c r="AK94" i="4"/>
  <c r="BM91" i="4"/>
  <c r="BN91" i="4" s="1"/>
  <c r="V94" i="4" l="1"/>
  <c r="CJ94" i="4"/>
  <c r="R94" i="4"/>
  <c r="CF94" i="4"/>
  <c r="U94" i="4"/>
  <c r="CI94" i="4"/>
  <c r="AK95" i="4"/>
  <c r="L96" i="4"/>
  <c r="BK92" i="4"/>
  <c r="AQ94" i="4"/>
  <c r="AW94" i="4" s="1"/>
  <c r="AU92" i="4"/>
  <c r="BA92" i="4" s="1"/>
  <c r="BH92" i="4"/>
  <c r="J252" i="4"/>
  <c r="Z95" i="4"/>
  <c r="AL94" i="4"/>
  <c r="AR94" i="4" s="1"/>
  <c r="AX94" i="4" s="1"/>
  <c r="BD94" i="4" s="1"/>
  <c r="AO93" i="4"/>
  <c r="P94" i="4"/>
  <c r="BJ93" i="4"/>
  <c r="CC94" i="4" l="1"/>
  <c r="AA94" i="4"/>
  <c r="BZ94" i="4"/>
  <c r="X94" i="4"/>
  <c r="CD94" i="4"/>
  <c r="AB94" i="4"/>
  <c r="BV92" i="4"/>
  <c r="BY92" i="4" s="1"/>
  <c r="BL92" i="4"/>
  <c r="AU93" i="4"/>
  <c r="BA93" i="4" s="1"/>
  <c r="BH93" i="4"/>
  <c r="BV93" i="4" s="1"/>
  <c r="BY93" i="4" s="1"/>
  <c r="J254" i="4"/>
  <c r="AQ95" i="4"/>
  <c r="AW95" i="4" s="1"/>
  <c r="BO92" i="4"/>
  <c r="BG92" i="4"/>
  <c r="BP92" i="4" s="1"/>
  <c r="BQ92" i="4" s="1"/>
  <c r="BC94" i="4"/>
  <c r="AL95" i="4"/>
  <c r="AR95" i="4" s="1"/>
  <c r="AX95" i="4" s="1"/>
  <c r="BD95" i="4" s="1"/>
  <c r="M96" i="4"/>
  <c r="S96" i="4"/>
  <c r="CG96" i="4"/>
  <c r="BK93" i="4"/>
  <c r="W94" i="4"/>
  <c r="CK94" i="4"/>
  <c r="BI94" i="4"/>
  <c r="AB95" i="4" l="1"/>
  <c r="AN94" i="4"/>
  <c r="AT94" i="4" s="1"/>
  <c r="AZ94" i="4" s="1"/>
  <c r="BF94" i="4" s="1"/>
  <c r="X95" i="4"/>
  <c r="AJ94" i="4"/>
  <c r="AP94" i="4" s="1"/>
  <c r="AV94" i="4" s="1"/>
  <c r="BB94" i="4" s="1"/>
  <c r="AA95" i="4"/>
  <c r="AM94" i="4"/>
  <c r="AS94" i="4" s="1"/>
  <c r="AY94" i="4" s="1"/>
  <c r="BE94" i="4" s="1"/>
  <c r="CA96" i="4"/>
  <c r="Y96" i="4"/>
  <c r="J256" i="4"/>
  <c r="BI95" i="4"/>
  <c r="BS94" i="4"/>
  <c r="BO93" i="4"/>
  <c r="BG93" i="4"/>
  <c r="BP93" i="4" s="1"/>
  <c r="BQ93" i="4" s="1"/>
  <c r="CE94" i="4"/>
  <c r="AC94" i="4"/>
  <c r="T96" i="4"/>
  <c r="CH96" i="4"/>
  <c r="BL93" i="4"/>
  <c r="BM92" i="4"/>
  <c r="BN92" i="4" s="1"/>
  <c r="BC95" i="4"/>
  <c r="N96" i="4" l="1"/>
  <c r="AM95" i="4"/>
  <c r="AS95" i="4" s="1"/>
  <c r="AY95" i="4" s="1"/>
  <c r="BE95" i="4"/>
  <c r="AJ95" i="4"/>
  <c r="AP95" i="4" s="1"/>
  <c r="AV95" i="4" s="1"/>
  <c r="BB95" i="4" s="1"/>
  <c r="K96" i="4"/>
  <c r="AN95" i="4"/>
  <c r="AT95" i="4" s="1"/>
  <c r="AZ95" i="4" s="1"/>
  <c r="BF95" i="4" s="1"/>
  <c r="O96" i="4"/>
  <c r="BS95" i="4"/>
  <c r="J258" i="4"/>
  <c r="AK96" i="4"/>
  <c r="Y97" i="4"/>
  <c r="BM93" i="4"/>
  <c r="BN93" i="4" s="1"/>
  <c r="CB96" i="4"/>
  <c r="Z96" i="4"/>
  <c r="AO94" i="4"/>
  <c r="AC95" i="4"/>
  <c r="BJ94" i="4"/>
  <c r="V96" i="4" l="1"/>
  <c r="CJ96" i="4"/>
  <c r="R96" i="4"/>
  <c r="CF96" i="4"/>
  <c r="CI96" i="4"/>
  <c r="U96" i="4"/>
  <c r="BK94" i="4"/>
  <c r="AO95" i="4"/>
  <c r="P96" i="4"/>
  <c r="BJ95" i="4"/>
  <c r="J260" i="4"/>
  <c r="AQ96" i="4"/>
  <c r="AW96" i="4" s="1"/>
  <c r="AL96" i="4"/>
  <c r="AR96" i="4" s="1"/>
  <c r="AX96" i="4" s="1"/>
  <c r="BD96" i="4" s="1"/>
  <c r="Z97" i="4"/>
  <c r="AK97" i="4"/>
  <c r="L98" i="4"/>
  <c r="AU94" i="4"/>
  <c r="BA94" i="4" s="1"/>
  <c r="BH94" i="4"/>
  <c r="AA96" i="4" l="1"/>
  <c r="CC96" i="4"/>
  <c r="BZ96" i="4"/>
  <c r="X96" i="4"/>
  <c r="CD96" i="4"/>
  <c r="AB96" i="4"/>
  <c r="J262" i="4"/>
  <c r="BK95" i="4"/>
  <c r="BO94" i="4"/>
  <c r="BG94" i="4"/>
  <c r="BP94" i="4" s="1"/>
  <c r="BQ94" i="4" s="1"/>
  <c r="AU95" i="4"/>
  <c r="BA95" i="4" s="1"/>
  <c r="BH95" i="4"/>
  <c r="BV95" i="4" s="1"/>
  <c r="BY95" i="4" s="1"/>
  <c r="AL97" i="4"/>
  <c r="AR97" i="4" s="1"/>
  <c r="AX97" i="4" s="1"/>
  <c r="BD97" i="4" s="1"/>
  <c r="M98" i="4"/>
  <c r="BC96" i="4"/>
  <c r="BV94" i="4"/>
  <c r="BY94" i="4" s="1"/>
  <c r="BL94" i="4"/>
  <c r="W96" i="4"/>
  <c r="CK96" i="4"/>
  <c r="BI96" i="4"/>
  <c r="S98" i="4"/>
  <c r="CG98" i="4"/>
  <c r="AQ97" i="4"/>
  <c r="AW97" i="4" s="1"/>
  <c r="AB97" i="4" l="1"/>
  <c r="AN96" i="4"/>
  <c r="AT96" i="4" s="1"/>
  <c r="AZ96" i="4" s="1"/>
  <c r="BF96" i="4" s="1"/>
  <c r="X97" i="4"/>
  <c r="AJ96" i="4"/>
  <c r="AP96" i="4" s="1"/>
  <c r="AV96" i="4" s="1"/>
  <c r="BB96" i="4" s="1"/>
  <c r="AM96" i="4"/>
  <c r="AS96" i="4" s="1"/>
  <c r="AY96" i="4" s="1"/>
  <c r="BE96" i="4" s="1"/>
  <c r="AA97" i="4"/>
  <c r="BC97" i="4"/>
  <c r="CA98" i="4"/>
  <c r="Y98" i="4"/>
  <c r="BS96" i="4"/>
  <c r="BI97" i="4"/>
  <c r="T98" i="4"/>
  <c r="CH98" i="4"/>
  <c r="BO95" i="4"/>
  <c r="BG95" i="4"/>
  <c r="BP95" i="4" s="1"/>
  <c r="BQ95" i="4" s="1"/>
  <c r="CE96" i="4"/>
  <c r="AC96" i="4"/>
  <c r="BL95" i="4"/>
  <c r="BM94" i="4"/>
  <c r="BN94" i="4" s="1"/>
  <c r="J264" i="4"/>
  <c r="N98" i="4" l="1"/>
  <c r="AM97" i="4"/>
  <c r="AS97" i="4" s="1"/>
  <c r="AY97" i="4" s="1"/>
  <c r="BE97" i="4"/>
  <c r="K98" i="4"/>
  <c r="AJ97" i="4"/>
  <c r="AP97" i="4" s="1"/>
  <c r="AV97" i="4" s="1"/>
  <c r="BB97" i="4" s="1"/>
  <c r="AN97" i="4"/>
  <c r="AT97" i="4" s="1"/>
  <c r="AZ97" i="4" s="1"/>
  <c r="BF97" i="4" s="1"/>
  <c r="O98" i="4"/>
  <c r="BS97" i="4"/>
  <c r="Y99" i="4"/>
  <c r="AK98" i="4"/>
  <c r="BM95" i="4"/>
  <c r="BN95" i="4" s="1"/>
  <c r="CB98" i="4"/>
  <c r="Z98" i="4"/>
  <c r="J266" i="4"/>
  <c r="AC97" i="4"/>
  <c r="AO96" i="4"/>
  <c r="BJ96" i="4"/>
  <c r="CJ98" i="4" l="1"/>
  <c r="V98" i="4"/>
  <c r="CF98" i="4"/>
  <c r="R98" i="4"/>
  <c r="CI98" i="4"/>
  <c r="U98" i="4"/>
  <c r="AU96" i="4"/>
  <c r="BA96" i="4" s="1"/>
  <c r="BH96" i="4"/>
  <c r="J268" i="4"/>
  <c r="AO97" i="4"/>
  <c r="P98" i="4"/>
  <c r="BJ97" i="4"/>
  <c r="AQ98" i="4"/>
  <c r="AW98" i="4" s="1"/>
  <c r="AK99" i="4"/>
  <c r="L100" i="4"/>
  <c r="BK96" i="4"/>
  <c r="AL98" i="4"/>
  <c r="AR98" i="4" s="1"/>
  <c r="AX98" i="4" s="1"/>
  <c r="BD98" i="4" s="1"/>
  <c r="Z99" i="4"/>
  <c r="AA98" i="4" l="1"/>
  <c r="CC98" i="4"/>
  <c r="BZ98" i="4"/>
  <c r="X98" i="4"/>
  <c r="CD98" i="4"/>
  <c r="AB98" i="4"/>
  <c r="AQ99" i="4"/>
  <c r="AW99" i="4" s="1"/>
  <c r="BC98" i="4"/>
  <c r="S100" i="4"/>
  <c r="CG100" i="4"/>
  <c r="CK98" i="4"/>
  <c r="W98" i="4"/>
  <c r="BI98" i="4"/>
  <c r="AU97" i="4"/>
  <c r="BA97" i="4" s="1"/>
  <c r="BH97" i="4"/>
  <c r="BV97" i="4" s="1"/>
  <c r="BY97" i="4" s="1"/>
  <c r="AL99" i="4"/>
  <c r="AR99" i="4" s="1"/>
  <c r="AX99" i="4" s="1"/>
  <c r="BD99" i="4" s="1"/>
  <c r="M100" i="4"/>
  <c r="BV96" i="4"/>
  <c r="BY96" i="4" s="1"/>
  <c r="BL96" i="4"/>
  <c r="BK97" i="4"/>
  <c r="J270" i="4"/>
  <c r="BO96" i="4"/>
  <c r="BG96" i="4"/>
  <c r="BP96" i="4" s="1"/>
  <c r="BQ96" i="4" s="1"/>
  <c r="AN98" i="4" l="1"/>
  <c r="AT98" i="4" s="1"/>
  <c r="AZ98" i="4" s="1"/>
  <c r="BF98" i="4" s="1"/>
  <c r="AB99" i="4"/>
  <c r="X99" i="4"/>
  <c r="AJ98" i="4"/>
  <c r="AP98" i="4" s="1"/>
  <c r="AV98" i="4" s="1"/>
  <c r="BB98" i="4" s="1"/>
  <c r="AA99" i="4"/>
  <c r="AM98" i="4"/>
  <c r="AS98" i="4" s="1"/>
  <c r="AY98" i="4" s="1"/>
  <c r="BE98" i="4" s="1"/>
  <c r="CA100" i="4"/>
  <c r="Y100" i="4"/>
  <c r="BL97" i="4"/>
  <c r="BM96" i="4"/>
  <c r="BN96" i="4" s="1"/>
  <c r="T100" i="4"/>
  <c r="CH100" i="4"/>
  <c r="CE98" i="4"/>
  <c r="AC98" i="4"/>
  <c r="BO97" i="4"/>
  <c r="BG97" i="4"/>
  <c r="BP97" i="4" s="1"/>
  <c r="BQ97" i="4" s="1"/>
  <c r="BI99" i="4"/>
  <c r="BS98" i="4"/>
  <c r="J272" i="4"/>
  <c r="BC99" i="4"/>
  <c r="N100" i="4" l="1"/>
  <c r="AM99" i="4"/>
  <c r="AS99" i="4" s="1"/>
  <c r="AY99" i="4" s="1"/>
  <c r="BE99" i="4" s="1"/>
  <c r="K100" i="4"/>
  <c r="AJ99" i="4"/>
  <c r="AP99" i="4" s="1"/>
  <c r="AV99" i="4" s="1"/>
  <c r="BB99" i="4" s="1"/>
  <c r="AN99" i="4"/>
  <c r="AT99" i="4" s="1"/>
  <c r="AZ99" i="4" s="1"/>
  <c r="BF99" i="4" s="1"/>
  <c r="O100" i="4"/>
  <c r="J274" i="4"/>
  <c r="BS99" i="4"/>
  <c r="CB100" i="4"/>
  <c r="Z100" i="4"/>
  <c r="BM97" i="4"/>
  <c r="BN97" i="4" s="1"/>
  <c r="AK100" i="4"/>
  <c r="Y101" i="4"/>
  <c r="AC99" i="4"/>
  <c r="AO98" i="4"/>
  <c r="BJ98" i="4"/>
  <c r="V100" i="4" l="1"/>
  <c r="CJ100" i="4"/>
  <c r="R100" i="4"/>
  <c r="CF100" i="4"/>
  <c r="U100" i="4"/>
  <c r="CI100" i="4"/>
  <c r="BK98" i="4"/>
  <c r="AK101" i="4"/>
  <c r="L102" i="4"/>
  <c r="AO99" i="4"/>
  <c r="P100" i="4"/>
  <c r="BJ99" i="4"/>
  <c r="AQ100" i="4"/>
  <c r="AW100" i="4" s="1"/>
  <c r="AU98" i="4"/>
  <c r="BA98" i="4" s="1"/>
  <c r="BH98" i="4"/>
  <c r="AL100" i="4"/>
  <c r="AR100" i="4" s="1"/>
  <c r="AX100" i="4" s="1"/>
  <c r="BD100" i="4" s="1"/>
  <c r="Z101" i="4"/>
  <c r="J276" i="4"/>
  <c r="CC100" i="4" l="1"/>
  <c r="AA100" i="4"/>
  <c r="BZ100" i="4"/>
  <c r="X100" i="4"/>
  <c r="AB100" i="4"/>
  <c r="CD100" i="4"/>
  <c r="BC100" i="4"/>
  <c r="BK99" i="4"/>
  <c r="W100" i="4"/>
  <c r="CK100" i="4"/>
  <c r="BI100" i="4"/>
  <c r="J278" i="4"/>
  <c r="S102" i="4"/>
  <c r="CG102" i="4"/>
  <c r="AQ101" i="4"/>
  <c r="AW101" i="4" s="1"/>
  <c r="AL101" i="4"/>
  <c r="AR101" i="4" s="1"/>
  <c r="AX101" i="4" s="1"/>
  <c r="BD101" i="4" s="1"/>
  <c r="M102" i="4"/>
  <c r="AU99" i="4"/>
  <c r="BA99" i="4" s="1"/>
  <c r="BH99" i="4"/>
  <c r="BV99" i="4" s="1"/>
  <c r="BY99" i="4" s="1"/>
  <c r="BV98" i="4"/>
  <c r="BY98" i="4" s="1"/>
  <c r="BL98" i="4"/>
  <c r="BO98" i="4"/>
  <c r="BG98" i="4"/>
  <c r="BP98" i="4" s="1"/>
  <c r="BQ98" i="4" s="1"/>
  <c r="AN100" i="4" l="1"/>
  <c r="AT100" i="4" s="1"/>
  <c r="AZ100" i="4" s="1"/>
  <c r="BF100" i="4" s="1"/>
  <c r="AB101" i="4"/>
  <c r="AJ100" i="4"/>
  <c r="AP100" i="4" s="1"/>
  <c r="AV100" i="4" s="1"/>
  <c r="BB100" i="4" s="1"/>
  <c r="X101" i="4"/>
  <c r="AA101" i="4"/>
  <c r="AM100" i="4"/>
  <c r="AS100" i="4" s="1"/>
  <c r="AY100" i="4" s="1"/>
  <c r="BE100" i="4" s="1"/>
  <c r="BL99" i="4"/>
  <c r="BM98" i="4"/>
  <c r="BN98" i="4" s="1"/>
  <c r="CA102" i="4"/>
  <c r="Y102" i="4"/>
  <c r="CE100" i="4"/>
  <c r="AC100" i="4"/>
  <c r="BI101" i="4"/>
  <c r="BS100" i="4"/>
  <c r="BO99" i="4"/>
  <c r="BG99" i="4"/>
  <c r="BP99" i="4" s="1"/>
  <c r="BQ99" i="4" s="1"/>
  <c r="T102" i="4"/>
  <c r="CH102" i="4"/>
  <c r="BC101" i="4"/>
  <c r="J280" i="4"/>
  <c r="AM101" i="4" l="1"/>
  <c r="AS101" i="4" s="1"/>
  <c r="AY101" i="4" s="1"/>
  <c r="BE101" i="4" s="1"/>
  <c r="N102" i="4"/>
  <c r="AJ101" i="4"/>
  <c r="AP101" i="4" s="1"/>
  <c r="AV101" i="4" s="1"/>
  <c r="BB101" i="4" s="1"/>
  <c r="K102" i="4"/>
  <c r="AN101" i="4"/>
  <c r="AT101" i="4" s="1"/>
  <c r="AZ101" i="4" s="1"/>
  <c r="BF101" i="4" s="1"/>
  <c r="O102" i="4"/>
  <c r="AO100" i="4"/>
  <c r="AC101" i="4"/>
  <c r="BJ100" i="4"/>
  <c r="J282" i="4"/>
  <c r="Y103" i="4"/>
  <c r="AK102" i="4"/>
  <c r="BM99" i="4"/>
  <c r="BN99" i="4" s="1"/>
  <c r="CB102" i="4"/>
  <c r="Z102" i="4"/>
  <c r="BS101" i="4"/>
  <c r="CJ102" i="4" l="1"/>
  <c r="V102" i="4"/>
  <c r="CF102" i="4"/>
  <c r="R102" i="4"/>
  <c r="U102" i="4"/>
  <c r="CI102" i="4"/>
  <c r="AQ102" i="4"/>
  <c r="AW102" i="4" s="1"/>
  <c r="J284" i="4"/>
  <c r="AO101" i="4"/>
  <c r="P102" i="4"/>
  <c r="BJ101" i="4"/>
  <c r="Z103" i="4"/>
  <c r="AL102" i="4"/>
  <c r="AR102" i="4" s="1"/>
  <c r="AX102" i="4" s="1"/>
  <c r="BD102" i="4" s="1"/>
  <c r="AK103" i="4"/>
  <c r="L104" i="4"/>
  <c r="BK100" i="4"/>
  <c r="AU100" i="4"/>
  <c r="BA100" i="4" s="1"/>
  <c r="BH100" i="4"/>
  <c r="CC102" i="4" l="1"/>
  <c r="AA102" i="4"/>
  <c r="BZ102" i="4"/>
  <c r="X102" i="4"/>
  <c r="CD102" i="4"/>
  <c r="AB102" i="4"/>
  <c r="S104" i="4"/>
  <c r="CG104" i="4"/>
  <c r="AQ103" i="4"/>
  <c r="AW103" i="4" s="1"/>
  <c r="BK101" i="4"/>
  <c r="BV100" i="4"/>
  <c r="BY100" i="4" s="1"/>
  <c r="BL100" i="4"/>
  <c r="AL103" i="4"/>
  <c r="AR103" i="4" s="1"/>
  <c r="AX103" i="4" s="1"/>
  <c r="BD103" i="4" s="1"/>
  <c r="M104" i="4"/>
  <c r="BC102" i="4"/>
  <c r="J286" i="4"/>
  <c r="BO100" i="4"/>
  <c r="BG100" i="4"/>
  <c r="BP100" i="4" s="1"/>
  <c r="BQ100" i="4" s="1"/>
  <c r="W102" i="4"/>
  <c r="CK102" i="4"/>
  <c r="BI102" i="4"/>
  <c r="AU101" i="4"/>
  <c r="BA101" i="4" s="1"/>
  <c r="BH101" i="4"/>
  <c r="BV101" i="4" s="1"/>
  <c r="BY101" i="4" s="1"/>
  <c r="AN102" i="4" l="1"/>
  <c r="AT102" i="4" s="1"/>
  <c r="AZ102" i="4" s="1"/>
  <c r="BF102" i="4" s="1"/>
  <c r="AB103" i="4"/>
  <c r="X103" i="4"/>
  <c r="AJ102" i="4"/>
  <c r="AP102" i="4" s="1"/>
  <c r="AV102" i="4" s="1"/>
  <c r="BB102" i="4" s="1"/>
  <c r="AM102" i="4"/>
  <c r="AS102" i="4" s="1"/>
  <c r="AY102" i="4" s="1"/>
  <c r="BE102" i="4" s="1"/>
  <c r="AA103" i="4"/>
  <c r="BL101" i="4"/>
  <c r="BM100" i="4"/>
  <c r="BN100" i="4" s="1"/>
  <c r="BS102" i="4"/>
  <c r="BI103" i="4"/>
  <c r="CE102" i="4"/>
  <c r="AC102" i="4"/>
  <c r="CA104" i="4"/>
  <c r="Y104" i="4"/>
  <c r="BO101" i="4"/>
  <c r="BG101" i="4"/>
  <c r="BP101" i="4" s="1"/>
  <c r="BQ101" i="4" s="1"/>
  <c r="BC103" i="4"/>
  <c r="T104" i="4"/>
  <c r="CH104" i="4"/>
  <c r="J288" i="4"/>
  <c r="AM103" i="4" l="1"/>
  <c r="AS103" i="4" s="1"/>
  <c r="AY103" i="4" s="1"/>
  <c r="BE103" i="4" s="1"/>
  <c r="N104" i="4"/>
  <c r="AJ103" i="4"/>
  <c r="AP103" i="4" s="1"/>
  <c r="AV103" i="4" s="1"/>
  <c r="BB103" i="4" s="1"/>
  <c r="K104" i="4"/>
  <c r="AN103" i="4"/>
  <c r="AT103" i="4" s="1"/>
  <c r="AZ103" i="4" s="1"/>
  <c r="BF103" i="4" s="1"/>
  <c r="O104" i="4"/>
  <c r="AO102" i="4"/>
  <c r="AC103" i="4"/>
  <c r="BJ102" i="4"/>
  <c r="J290" i="4"/>
  <c r="AK104" i="4"/>
  <c r="Y105" i="4"/>
  <c r="BS103" i="4"/>
  <c r="BM101" i="4"/>
  <c r="BN101" i="4" s="1"/>
  <c r="CB104" i="4"/>
  <c r="Z104" i="4"/>
  <c r="V104" i="4" l="1"/>
  <c r="CJ104" i="4"/>
  <c r="R104" i="4"/>
  <c r="CF104" i="4"/>
  <c r="U104" i="4"/>
  <c r="CI104" i="4"/>
  <c r="J292" i="4"/>
  <c r="AO103" i="4"/>
  <c r="P104" i="4"/>
  <c r="BJ103" i="4"/>
  <c r="Z105" i="4"/>
  <c r="AL104" i="4"/>
  <c r="AR104" i="4" s="1"/>
  <c r="AX104" i="4" s="1"/>
  <c r="BD104" i="4" s="1"/>
  <c r="BK102" i="4"/>
  <c r="AU102" i="4"/>
  <c r="BA102" i="4" s="1"/>
  <c r="BH102" i="4"/>
  <c r="AK105" i="4"/>
  <c r="L106" i="4"/>
  <c r="AQ104" i="4"/>
  <c r="AW104" i="4" s="1"/>
  <c r="AA104" i="4" l="1"/>
  <c r="CC104" i="4"/>
  <c r="BZ104" i="4"/>
  <c r="X104" i="4"/>
  <c r="AB104" i="4"/>
  <c r="CD104" i="4"/>
  <c r="AL105" i="4"/>
  <c r="AR105" i="4" s="1"/>
  <c r="AX105" i="4" s="1"/>
  <c r="BD105" i="4" s="1"/>
  <c r="M106" i="4"/>
  <c r="AU103" i="4"/>
  <c r="BA103" i="4" s="1"/>
  <c r="BH103" i="4"/>
  <c r="BV103" i="4" s="1"/>
  <c r="BY103" i="4" s="1"/>
  <c r="BO102" i="4"/>
  <c r="BG102" i="4"/>
  <c r="BP102" i="4" s="1"/>
  <c r="BQ102" i="4" s="1"/>
  <c r="BV102" i="4"/>
  <c r="BY102" i="4" s="1"/>
  <c r="BL102" i="4"/>
  <c r="J294" i="4"/>
  <c r="AQ105" i="4"/>
  <c r="AW105" i="4" s="1"/>
  <c r="BK103" i="4"/>
  <c r="CK104" i="4"/>
  <c r="W104" i="4"/>
  <c r="BI104" i="4"/>
  <c r="BC104" i="4"/>
  <c r="S106" i="4"/>
  <c r="CG106" i="4"/>
  <c r="AN104" i="4" l="1"/>
  <c r="AT104" i="4" s="1"/>
  <c r="AZ104" i="4" s="1"/>
  <c r="BF104" i="4" s="1"/>
  <c r="AB105" i="4"/>
  <c r="X105" i="4"/>
  <c r="AJ104" i="4"/>
  <c r="AP104" i="4" s="1"/>
  <c r="AV104" i="4" s="1"/>
  <c r="BB104" i="4" s="1"/>
  <c r="AM104" i="4"/>
  <c r="AS104" i="4" s="1"/>
  <c r="AY104" i="4" s="1"/>
  <c r="BE104" i="4" s="1"/>
  <c r="AA105" i="4"/>
  <c r="CE104" i="4"/>
  <c r="AC104" i="4"/>
  <c r="BL103" i="4"/>
  <c r="BM102" i="4"/>
  <c r="BN102" i="4" s="1"/>
  <c r="CA106" i="4"/>
  <c r="Y106" i="4"/>
  <c r="T106" i="4"/>
  <c r="CH106" i="4"/>
  <c r="J296" i="4"/>
  <c r="BC105" i="4"/>
  <c r="BO103" i="4"/>
  <c r="BG103" i="4"/>
  <c r="BP103" i="4" s="1"/>
  <c r="BQ103" i="4" s="1"/>
  <c r="BI105" i="4"/>
  <c r="BS104" i="4"/>
  <c r="N106" i="4" l="1"/>
  <c r="AM105" i="4"/>
  <c r="AS105" i="4" s="1"/>
  <c r="AY105" i="4" s="1"/>
  <c r="BE105" i="4" s="1"/>
  <c r="AJ105" i="4"/>
  <c r="AP105" i="4" s="1"/>
  <c r="AV105" i="4" s="1"/>
  <c r="BB105" i="4" s="1"/>
  <c r="K106" i="4"/>
  <c r="AN105" i="4"/>
  <c r="AT105" i="4" s="1"/>
  <c r="AZ105" i="4" s="1"/>
  <c r="BF105" i="4" s="1"/>
  <c r="O106" i="4"/>
  <c r="BS105" i="4"/>
  <c r="Y107" i="4"/>
  <c r="AK106" i="4"/>
  <c r="CB106" i="4"/>
  <c r="Z106" i="4"/>
  <c r="J298" i="4"/>
  <c r="AC105" i="4"/>
  <c r="AO104" i="4"/>
  <c r="BJ104" i="4"/>
  <c r="BM103" i="4"/>
  <c r="BN103" i="4" s="1"/>
  <c r="V106" i="4" l="1"/>
  <c r="CJ106" i="4"/>
  <c r="R106" i="4"/>
  <c r="CF106" i="4"/>
  <c r="U106" i="4"/>
  <c r="CI106" i="4"/>
  <c r="AQ106" i="4"/>
  <c r="AW106" i="4" s="1"/>
  <c r="J300" i="4"/>
  <c r="BK104" i="4"/>
  <c r="AU104" i="4"/>
  <c r="BA104" i="4" s="1"/>
  <c r="BH104" i="4"/>
  <c r="AK107" i="4"/>
  <c r="L108" i="4"/>
  <c r="AL106" i="4"/>
  <c r="AR106" i="4" s="1"/>
  <c r="AX106" i="4" s="1"/>
  <c r="BD106" i="4" s="1"/>
  <c r="Z107" i="4"/>
  <c r="AO105" i="4"/>
  <c r="P106" i="4"/>
  <c r="BJ105" i="4"/>
  <c r="AA106" i="4" l="1"/>
  <c r="CC106" i="4"/>
  <c r="BZ106" i="4"/>
  <c r="X106" i="4"/>
  <c r="CD106" i="4"/>
  <c r="AB106" i="4"/>
  <c r="BK105" i="4"/>
  <c r="AU105" i="4"/>
  <c r="BA105" i="4" s="1"/>
  <c r="BH105" i="4"/>
  <c r="BV105" i="4" s="1"/>
  <c r="BY105" i="4" s="1"/>
  <c r="J302" i="4"/>
  <c r="AQ107" i="4"/>
  <c r="AW107" i="4" s="1"/>
  <c r="BC106" i="4"/>
  <c r="W106" i="4"/>
  <c r="CK106" i="4"/>
  <c r="BI106" i="4"/>
  <c r="BV104" i="4"/>
  <c r="BY104" i="4" s="1"/>
  <c r="BL104" i="4"/>
  <c r="AL107" i="4"/>
  <c r="AR107" i="4" s="1"/>
  <c r="AX107" i="4" s="1"/>
  <c r="BD107" i="4" s="1"/>
  <c r="M108" i="4"/>
  <c r="S108" i="4"/>
  <c r="CG108" i="4"/>
  <c r="BO104" i="4"/>
  <c r="BG104" i="4"/>
  <c r="BP104" i="4" s="1"/>
  <c r="BQ104" i="4" s="1"/>
  <c r="AB107" i="4" l="1"/>
  <c r="AN106" i="4"/>
  <c r="AT106" i="4" s="1"/>
  <c r="AZ106" i="4" s="1"/>
  <c r="BF106" i="4" s="1"/>
  <c r="AJ106" i="4"/>
  <c r="AP106" i="4" s="1"/>
  <c r="AV106" i="4" s="1"/>
  <c r="BB106" i="4" s="1"/>
  <c r="X107" i="4"/>
  <c r="AM106" i="4"/>
  <c r="AS106" i="4" s="1"/>
  <c r="AY106" i="4" s="1"/>
  <c r="BE106" i="4" s="1"/>
  <c r="AA107" i="4"/>
  <c r="CA108" i="4"/>
  <c r="Y108" i="4"/>
  <c r="BO105" i="4"/>
  <c r="BG105" i="4"/>
  <c r="BP105" i="4" s="1"/>
  <c r="BQ105" i="4" s="1"/>
  <c r="CE106" i="4"/>
  <c r="AC106" i="4"/>
  <c r="T108" i="4"/>
  <c r="CH108" i="4"/>
  <c r="J304" i="4"/>
  <c r="BC107" i="4"/>
  <c r="BL105" i="4"/>
  <c r="BM104" i="4"/>
  <c r="BN104" i="4" s="1"/>
  <c r="BI107" i="4"/>
  <c r="BS106" i="4"/>
  <c r="AM107" i="4" l="1"/>
  <c r="AS107" i="4" s="1"/>
  <c r="AY107" i="4" s="1"/>
  <c r="BE107" i="4"/>
  <c r="N108" i="4"/>
  <c r="AJ107" i="4"/>
  <c r="AP107" i="4" s="1"/>
  <c r="AV107" i="4" s="1"/>
  <c r="BB107" i="4" s="1"/>
  <c r="K108" i="4"/>
  <c r="AN107" i="4"/>
  <c r="AT107" i="4" s="1"/>
  <c r="AZ107" i="4" s="1"/>
  <c r="BF107" i="4" s="1"/>
  <c r="O108" i="4"/>
  <c r="AC107" i="4"/>
  <c r="AO106" i="4"/>
  <c r="BJ106" i="4"/>
  <c r="BS107" i="4"/>
  <c r="Y109" i="4"/>
  <c r="AK108" i="4"/>
  <c r="J306" i="4"/>
  <c r="CB108" i="4"/>
  <c r="Z108" i="4"/>
  <c r="BM105" i="4"/>
  <c r="BN105" i="4" s="1"/>
  <c r="CJ108" i="4" l="1"/>
  <c r="V108" i="4"/>
  <c r="R108" i="4"/>
  <c r="CF108" i="4"/>
  <c r="U108" i="4"/>
  <c r="CI108" i="4"/>
  <c r="AK109" i="4"/>
  <c r="L110" i="4"/>
  <c r="AU106" i="4"/>
  <c r="BA106" i="4" s="1"/>
  <c r="BH106" i="4"/>
  <c r="J308" i="4"/>
  <c r="AQ108" i="4"/>
  <c r="AW108" i="4" s="1"/>
  <c r="Z109" i="4"/>
  <c r="AL108" i="4"/>
  <c r="AR108" i="4" s="1"/>
  <c r="AX108" i="4" s="1"/>
  <c r="BD108" i="4" s="1"/>
  <c r="BK106" i="4"/>
  <c r="AO107" i="4"/>
  <c r="P108" i="4"/>
  <c r="BJ107" i="4"/>
  <c r="CC108" i="4" l="1"/>
  <c r="AA108" i="4"/>
  <c r="BZ108" i="4"/>
  <c r="X108" i="4"/>
  <c r="AB108" i="4"/>
  <c r="CD108" i="4"/>
  <c r="BO106" i="4"/>
  <c r="BG106" i="4"/>
  <c r="BP106" i="4" s="1"/>
  <c r="BQ106" i="4" s="1"/>
  <c r="S110" i="4"/>
  <c r="CG110" i="4"/>
  <c r="AU107" i="4"/>
  <c r="BA107" i="4" s="1"/>
  <c r="BH107" i="4"/>
  <c r="BV107" i="4" s="1"/>
  <c r="BY107" i="4" s="1"/>
  <c r="AQ109" i="4"/>
  <c r="AW109" i="4" s="1"/>
  <c r="AL109" i="4"/>
  <c r="AR109" i="4" s="1"/>
  <c r="AX109" i="4" s="1"/>
  <c r="BD109" i="4" s="1"/>
  <c r="M110" i="4"/>
  <c r="J310" i="4"/>
  <c r="BC108" i="4"/>
  <c r="BK107" i="4"/>
  <c r="W108" i="4"/>
  <c r="CK108" i="4"/>
  <c r="BI108" i="4"/>
  <c r="BV106" i="4"/>
  <c r="BY106" i="4" s="1"/>
  <c r="BL106" i="4"/>
  <c r="AB109" i="4" l="1"/>
  <c r="AN108" i="4"/>
  <c r="AT108" i="4" s="1"/>
  <c r="AZ108" i="4" s="1"/>
  <c r="BF108" i="4" s="1"/>
  <c r="AJ108" i="4"/>
  <c r="AP108" i="4" s="1"/>
  <c r="AV108" i="4" s="1"/>
  <c r="BB108" i="4" s="1"/>
  <c r="X109" i="4"/>
  <c r="AA109" i="4"/>
  <c r="AM108" i="4"/>
  <c r="AS108" i="4" s="1"/>
  <c r="AY108" i="4" s="1"/>
  <c r="BE108" i="4" s="1"/>
  <c r="J312" i="4"/>
  <c r="CA110" i="4"/>
  <c r="Y110" i="4"/>
  <c r="BL107" i="4"/>
  <c r="BM106" i="4"/>
  <c r="BN106" i="4" s="1"/>
  <c r="BO107" i="4"/>
  <c r="BG107" i="4"/>
  <c r="BP107" i="4" s="1"/>
  <c r="BQ107" i="4" s="1"/>
  <c r="BI109" i="4"/>
  <c r="BS108" i="4"/>
  <c r="CE108" i="4"/>
  <c r="AC108" i="4"/>
  <c r="BC109" i="4"/>
  <c r="T110" i="4"/>
  <c r="CH110" i="4"/>
  <c r="AJ109" i="4" l="1"/>
  <c r="AP109" i="4" s="1"/>
  <c r="AV109" i="4" s="1"/>
  <c r="K110" i="4"/>
  <c r="BB109" i="4"/>
  <c r="AM109" i="4"/>
  <c r="AS109" i="4" s="1"/>
  <c r="AY109" i="4" s="1"/>
  <c r="BE109" i="4" s="1"/>
  <c r="N110" i="4"/>
  <c r="AN109" i="4"/>
  <c r="AT109" i="4" s="1"/>
  <c r="AZ109" i="4" s="1"/>
  <c r="BF109" i="4" s="1"/>
  <c r="O110" i="4"/>
  <c r="BS109" i="4"/>
  <c r="J314" i="4"/>
  <c r="AC109" i="4"/>
  <c r="AO108" i="4"/>
  <c r="BJ108" i="4"/>
  <c r="BM107" i="4"/>
  <c r="BN107" i="4" s="1"/>
  <c r="CB110" i="4"/>
  <c r="Z110" i="4"/>
  <c r="AK110" i="4"/>
  <c r="Y111" i="4"/>
  <c r="U110" i="4" l="1"/>
  <c r="CI110" i="4"/>
  <c r="V110" i="4"/>
  <c r="CJ110" i="4"/>
  <c r="R110" i="4"/>
  <c r="CF110" i="4"/>
  <c r="AK111" i="4"/>
  <c r="L112" i="4"/>
  <c r="AQ110" i="4"/>
  <c r="AW110" i="4" s="1"/>
  <c r="AO109" i="4"/>
  <c r="P110" i="4"/>
  <c r="BJ109" i="4"/>
  <c r="J316" i="4"/>
  <c r="Z111" i="4"/>
  <c r="AL110" i="4"/>
  <c r="AR110" i="4" s="1"/>
  <c r="AX110" i="4" s="1"/>
  <c r="BD110" i="4" s="1"/>
  <c r="BK108" i="4"/>
  <c r="AU108" i="4"/>
  <c r="BA108" i="4" s="1"/>
  <c r="BH108" i="4"/>
  <c r="BZ110" i="4" l="1"/>
  <c r="X110" i="4"/>
  <c r="CD110" i="4"/>
  <c r="AB110" i="4"/>
  <c r="CC110" i="4"/>
  <c r="AA110" i="4"/>
  <c r="W110" i="4"/>
  <c r="CK110" i="4"/>
  <c r="BI110" i="4"/>
  <c r="AU109" i="4"/>
  <c r="BA109" i="4" s="1"/>
  <c r="BH109" i="4"/>
  <c r="BV109" i="4" s="1"/>
  <c r="BY109" i="4" s="1"/>
  <c r="BC110" i="4"/>
  <c r="BV108" i="4"/>
  <c r="BY108" i="4" s="1"/>
  <c r="BL108" i="4"/>
  <c r="AQ111" i="4"/>
  <c r="AW111" i="4" s="1"/>
  <c r="AL111" i="4"/>
  <c r="AR111" i="4" s="1"/>
  <c r="AX111" i="4" s="1"/>
  <c r="BD111" i="4" s="1"/>
  <c r="M112" i="4"/>
  <c r="J318" i="4"/>
  <c r="S112" i="4"/>
  <c r="CG112" i="4"/>
  <c r="BO108" i="4"/>
  <c r="BG108" i="4"/>
  <c r="BP108" i="4" s="1"/>
  <c r="BQ108" i="4" s="1"/>
  <c r="BK109" i="4"/>
  <c r="AA111" i="4" l="1"/>
  <c r="AM110" i="4"/>
  <c r="AS110" i="4" s="1"/>
  <c r="AY110" i="4" s="1"/>
  <c r="BE110" i="4"/>
  <c r="AN110" i="4"/>
  <c r="AT110" i="4" s="1"/>
  <c r="AZ110" i="4" s="1"/>
  <c r="BF110" i="4" s="1"/>
  <c r="AB111" i="4"/>
  <c r="AJ110" i="4"/>
  <c r="AP110" i="4" s="1"/>
  <c r="AV110" i="4" s="1"/>
  <c r="BB110" i="4" s="1"/>
  <c r="X111" i="4"/>
  <c r="BC111" i="4"/>
  <c r="BL109" i="4"/>
  <c r="BM108" i="4"/>
  <c r="BN108" i="4" s="1"/>
  <c r="J320" i="4"/>
  <c r="BO109" i="4"/>
  <c r="BG109" i="4"/>
  <c r="BP109" i="4" s="1"/>
  <c r="BQ109" i="4" s="1"/>
  <c r="BS110" i="4"/>
  <c r="BI111" i="4"/>
  <c r="T112" i="4"/>
  <c r="CH112" i="4"/>
  <c r="CA112" i="4"/>
  <c r="Y112" i="4"/>
  <c r="CE110" i="4"/>
  <c r="AC110" i="4"/>
  <c r="O112" i="4" l="1"/>
  <c r="AN111" i="4"/>
  <c r="AT111" i="4" s="1"/>
  <c r="AZ111" i="4" s="1"/>
  <c r="BF111" i="4" s="1"/>
  <c r="AJ111" i="4"/>
  <c r="AP111" i="4" s="1"/>
  <c r="AV111" i="4" s="1"/>
  <c r="BB111" i="4" s="1"/>
  <c r="K112" i="4"/>
  <c r="AM111" i="4"/>
  <c r="AS111" i="4" s="1"/>
  <c r="AY111" i="4" s="1"/>
  <c r="BE111" i="4" s="1"/>
  <c r="N112" i="4"/>
  <c r="CB112" i="4"/>
  <c r="Z112" i="4"/>
  <c r="J322" i="4"/>
  <c r="BM109" i="4"/>
  <c r="BN109" i="4" s="1"/>
  <c r="BS111" i="4"/>
  <c r="AO110" i="4"/>
  <c r="AC111" i="4"/>
  <c r="BJ110" i="4"/>
  <c r="Y113" i="4"/>
  <c r="AK112" i="4"/>
  <c r="U112" i="4" l="1"/>
  <c r="CI112" i="4"/>
  <c r="CF112" i="4"/>
  <c r="R112" i="4"/>
  <c r="V112" i="4"/>
  <c r="CJ112" i="4"/>
  <c r="AQ112" i="4"/>
  <c r="AW112" i="4" s="1"/>
  <c r="AK113" i="4"/>
  <c r="L114" i="4"/>
  <c r="J324" i="4"/>
  <c r="Z113" i="4"/>
  <c r="AL112" i="4"/>
  <c r="AR112" i="4" s="1"/>
  <c r="AX112" i="4" s="1"/>
  <c r="BD112" i="4" s="1"/>
  <c r="BK110" i="4"/>
  <c r="AO111" i="4"/>
  <c r="P112" i="4"/>
  <c r="BJ111" i="4"/>
  <c r="AU110" i="4"/>
  <c r="BA110" i="4" s="1"/>
  <c r="BH110" i="4"/>
  <c r="CD112" i="4" l="1"/>
  <c r="AB112" i="4"/>
  <c r="BZ112" i="4"/>
  <c r="X112" i="4"/>
  <c r="AA112" i="4"/>
  <c r="CC112" i="4"/>
  <c r="BO110" i="4"/>
  <c r="BG110" i="4"/>
  <c r="BP110" i="4" s="1"/>
  <c r="BQ110" i="4" s="1"/>
  <c r="AQ113" i="4"/>
  <c r="AW113" i="4" s="1"/>
  <c r="AL113" i="4"/>
  <c r="AR113" i="4" s="1"/>
  <c r="AX113" i="4" s="1"/>
  <c r="BD113" i="4" s="1"/>
  <c r="M114" i="4"/>
  <c r="J326" i="4"/>
  <c r="BV110" i="4"/>
  <c r="BY110" i="4" s="1"/>
  <c r="BL110" i="4"/>
  <c r="W112" i="4"/>
  <c r="CK112" i="4"/>
  <c r="BI112" i="4"/>
  <c r="BK111" i="4"/>
  <c r="AU111" i="4"/>
  <c r="BA111" i="4" s="1"/>
  <c r="BH111" i="4"/>
  <c r="BV111" i="4" s="1"/>
  <c r="BY111" i="4" s="1"/>
  <c r="S114" i="4"/>
  <c r="CG114" i="4"/>
  <c r="BC112" i="4"/>
  <c r="AM112" i="4" l="1"/>
  <c r="AS112" i="4" s="1"/>
  <c r="AY112" i="4" s="1"/>
  <c r="BE112" i="4" s="1"/>
  <c r="AA113" i="4"/>
  <c r="X113" i="4"/>
  <c r="AJ112" i="4"/>
  <c r="AP112" i="4" s="1"/>
  <c r="AV112" i="4" s="1"/>
  <c r="BB112" i="4" s="1"/>
  <c r="AN112" i="4"/>
  <c r="AT112" i="4" s="1"/>
  <c r="AZ112" i="4" s="1"/>
  <c r="BF112" i="4" s="1"/>
  <c r="AB113" i="4"/>
  <c r="BI113" i="4"/>
  <c r="BS112" i="4"/>
  <c r="T114" i="4"/>
  <c r="CH114" i="4"/>
  <c r="CE112" i="4"/>
  <c r="AC112" i="4"/>
  <c r="CA114" i="4"/>
  <c r="Y114" i="4"/>
  <c r="BL111" i="4"/>
  <c r="BM110" i="4"/>
  <c r="BN110" i="4" s="1"/>
  <c r="BC113" i="4"/>
  <c r="BO111" i="4"/>
  <c r="BG111" i="4"/>
  <c r="BP111" i="4" s="1"/>
  <c r="BQ111" i="4" s="1"/>
  <c r="J328" i="4"/>
  <c r="AN113" i="4" l="1"/>
  <c r="AT113" i="4" s="1"/>
  <c r="AZ113" i="4" s="1"/>
  <c r="BF113" i="4" s="1"/>
  <c r="O114" i="4"/>
  <c r="AJ113" i="4"/>
  <c r="AP113" i="4" s="1"/>
  <c r="AV113" i="4" s="1"/>
  <c r="BB113" i="4" s="1"/>
  <c r="K114" i="4"/>
  <c r="N114" i="4"/>
  <c r="AM113" i="4"/>
  <c r="AS113" i="4" s="1"/>
  <c r="AY113" i="4" s="1"/>
  <c r="BE113" i="4" s="1"/>
  <c r="BM111" i="4"/>
  <c r="BN111" i="4" s="1"/>
  <c r="AK114" i="4"/>
  <c r="Y115" i="4"/>
  <c r="AO112" i="4"/>
  <c r="AC113" i="4"/>
  <c r="BJ112" i="4"/>
  <c r="CB114" i="4"/>
  <c r="Z114" i="4"/>
  <c r="J330" i="4"/>
  <c r="BS113" i="4"/>
  <c r="R114" i="4" l="1"/>
  <c r="CF114" i="4"/>
  <c r="CI114" i="4"/>
  <c r="U114" i="4"/>
  <c r="V114" i="4"/>
  <c r="CJ114" i="4"/>
  <c r="AU112" i="4"/>
  <c r="BA112" i="4" s="1"/>
  <c r="BH112" i="4"/>
  <c r="J332" i="4"/>
  <c r="AQ114" i="4"/>
  <c r="AW114" i="4" s="1"/>
  <c r="AK115" i="4"/>
  <c r="L116" i="4"/>
  <c r="AL114" i="4"/>
  <c r="AR114" i="4" s="1"/>
  <c r="AX114" i="4" s="1"/>
  <c r="BD114" i="4" s="1"/>
  <c r="Z115" i="4"/>
  <c r="BK112" i="4"/>
  <c r="AO113" i="4"/>
  <c r="P114" i="4"/>
  <c r="BJ113" i="4"/>
  <c r="AB114" i="4" l="1"/>
  <c r="CD114" i="4"/>
  <c r="CC114" i="4"/>
  <c r="AA114" i="4"/>
  <c r="BZ114" i="4"/>
  <c r="X114" i="4"/>
  <c r="BC114" i="4"/>
  <c r="AL115" i="4"/>
  <c r="AR115" i="4" s="1"/>
  <c r="AX115" i="4" s="1"/>
  <c r="BD115" i="4" s="1"/>
  <c r="M116" i="4"/>
  <c r="J334" i="4"/>
  <c r="BK113" i="4"/>
  <c r="W114" i="4"/>
  <c r="CK114" i="4"/>
  <c r="BI114" i="4"/>
  <c r="S116" i="4"/>
  <c r="CG116" i="4"/>
  <c r="AQ115" i="4"/>
  <c r="AW115" i="4" s="1"/>
  <c r="BV112" i="4"/>
  <c r="BY112" i="4" s="1"/>
  <c r="BL112" i="4"/>
  <c r="AU113" i="4"/>
  <c r="BA113" i="4" s="1"/>
  <c r="BH113" i="4"/>
  <c r="BV113" i="4" s="1"/>
  <c r="BY113" i="4" s="1"/>
  <c r="BO112" i="4"/>
  <c r="BG112" i="4"/>
  <c r="BP112" i="4" s="1"/>
  <c r="BQ112" i="4" s="1"/>
  <c r="X115" i="4" l="1"/>
  <c r="AJ114" i="4"/>
  <c r="AP114" i="4" s="1"/>
  <c r="AV114" i="4" s="1"/>
  <c r="BB114" i="4"/>
  <c r="AA115" i="4"/>
  <c r="AM114" i="4"/>
  <c r="AS114" i="4" s="1"/>
  <c r="AY114" i="4" s="1"/>
  <c r="BE114" i="4" s="1"/>
  <c r="AN114" i="4"/>
  <c r="AT114" i="4" s="1"/>
  <c r="AZ114" i="4" s="1"/>
  <c r="BF114" i="4" s="1"/>
  <c r="AB115" i="4"/>
  <c r="CE114" i="4"/>
  <c r="AC114" i="4"/>
  <c r="BO113" i="4"/>
  <c r="BG113" i="4"/>
  <c r="BP113" i="4" s="1"/>
  <c r="BQ113" i="4" s="1"/>
  <c r="BC115" i="4"/>
  <c r="T116" i="4"/>
  <c r="CH116" i="4"/>
  <c r="BL113" i="4"/>
  <c r="BM112" i="4"/>
  <c r="BN112" i="4" s="1"/>
  <c r="J336" i="4"/>
  <c r="CA116" i="4"/>
  <c r="Y116" i="4"/>
  <c r="BI115" i="4"/>
  <c r="BS114" i="4"/>
  <c r="AN115" i="4" l="1"/>
  <c r="AT115" i="4" s="1"/>
  <c r="AZ115" i="4" s="1"/>
  <c r="BF115" i="4"/>
  <c r="O116" i="4"/>
  <c r="AM115" i="4"/>
  <c r="AS115" i="4" s="1"/>
  <c r="AY115" i="4" s="1"/>
  <c r="BE115" i="4" s="1"/>
  <c r="N116" i="4"/>
  <c r="AJ115" i="4"/>
  <c r="AP115" i="4" s="1"/>
  <c r="AV115" i="4" s="1"/>
  <c r="BB115" i="4" s="1"/>
  <c r="K116" i="4"/>
  <c r="Y117" i="4"/>
  <c r="AK116" i="4"/>
  <c r="CB116" i="4"/>
  <c r="Z116" i="4"/>
  <c r="AC115" i="4"/>
  <c r="AO114" i="4"/>
  <c r="BJ114" i="4"/>
  <c r="BM113" i="4"/>
  <c r="BN113" i="4" s="1"/>
  <c r="J338" i="4"/>
  <c r="BS115" i="4"/>
  <c r="CF116" i="4" l="1"/>
  <c r="R116" i="4"/>
  <c r="U116" i="4"/>
  <c r="CI116" i="4"/>
  <c r="V116" i="4"/>
  <c r="CJ116" i="4"/>
  <c r="AL116" i="4"/>
  <c r="AR116" i="4" s="1"/>
  <c r="AX116" i="4" s="1"/>
  <c r="BD116" i="4" s="1"/>
  <c r="Z117" i="4"/>
  <c r="BK114" i="4"/>
  <c r="AU114" i="4"/>
  <c r="BA114" i="4" s="1"/>
  <c r="BH114" i="4"/>
  <c r="AO115" i="4"/>
  <c r="P116" i="4"/>
  <c r="BJ115" i="4"/>
  <c r="J340" i="4"/>
  <c r="AQ116" i="4"/>
  <c r="AW116" i="4" s="1"/>
  <c r="AK117" i="4"/>
  <c r="L118" i="4"/>
  <c r="CD116" i="4" l="1"/>
  <c r="AB116" i="4"/>
  <c r="CC116" i="4"/>
  <c r="AA116" i="4"/>
  <c r="BZ116" i="4"/>
  <c r="X116" i="4"/>
  <c r="BC116" i="4"/>
  <c r="BK115" i="4"/>
  <c r="W116" i="4"/>
  <c r="CK116" i="4"/>
  <c r="BI116" i="4"/>
  <c r="AU115" i="4"/>
  <c r="BA115" i="4" s="1"/>
  <c r="BH115" i="4"/>
  <c r="BV115" i="4" s="1"/>
  <c r="BY115" i="4" s="1"/>
  <c r="BV114" i="4"/>
  <c r="BY114" i="4" s="1"/>
  <c r="BL114" i="4"/>
  <c r="S118" i="4"/>
  <c r="CG118" i="4"/>
  <c r="AL117" i="4"/>
  <c r="AR117" i="4" s="1"/>
  <c r="AX117" i="4" s="1"/>
  <c r="BD117" i="4" s="1"/>
  <c r="M118" i="4"/>
  <c r="BO114" i="4"/>
  <c r="BG114" i="4"/>
  <c r="BP114" i="4" s="1"/>
  <c r="BQ114" i="4" s="1"/>
  <c r="J342" i="4"/>
  <c r="AQ117" i="4"/>
  <c r="AW117" i="4" s="1"/>
  <c r="AJ116" i="4" l="1"/>
  <c r="AP116" i="4" s="1"/>
  <c r="AV116" i="4" s="1"/>
  <c r="X117" i="4"/>
  <c r="BB116" i="4"/>
  <c r="AA117" i="4"/>
  <c r="AM116" i="4"/>
  <c r="AS116" i="4" s="1"/>
  <c r="AY116" i="4" s="1"/>
  <c r="BE116" i="4" s="1"/>
  <c r="AB117" i="4"/>
  <c r="AN116" i="4"/>
  <c r="AT116" i="4" s="1"/>
  <c r="AZ116" i="4" s="1"/>
  <c r="BF116" i="4" s="1"/>
  <c r="J344" i="4"/>
  <c r="BL115" i="4"/>
  <c r="BM114" i="4"/>
  <c r="BN114" i="4" s="1"/>
  <c r="BO115" i="4"/>
  <c r="BG115" i="4"/>
  <c r="BP115" i="4" s="1"/>
  <c r="BQ115" i="4" s="1"/>
  <c r="BI117" i="4"/>
  <c r="BS116" i="4"/>
  <c r="CA118" i="4"/>
  <c r="Y118" i="4"/>
  <c r="CE116" i="4"/>
  <c r="AC116" i="4"/>
  <c r="BC117" i="4"/>
  <c r="T118" i="4"/>
  <c r="CH118" i="4"/>
  <c r="AN117" i="4" l="1"/>
  <c r="AT117" i="4" s="1"/>
  <c r="AZ117" i="4" s="1"/>
  <c r="O118" i="4"/>
  <c r="BF117" i="4"/>
  <c r="AM117" i="4"/>
  <c r="AS117" i="4" s="1"/>
  <c r="AY117" i="4" s="1"/>
  <c r="BE117" i="4" s="1"/>
  <c r="N118" i="4"/>
  <c r="K118" i="4"/>
  <c r="AJ117" i="4"/>
  <c r="AP117" i="4" s="1"/>
  <c r="AV117" i="4" s="1"/>
  <c r="BB117" i="4" s="1"/>
  <c r="CB118" i="4"/>
  <c r="Z118" i="4"/>
  <c r="AO116" i="4"/>
  <c r="AC117" i="4"/>
  <c r="BJ116" i="4"/>
  <c r="Y119" i="4"/>
  <c r="AK118" i="4"/>
  <c r="BM115" i="4"/>
  <c r="BN115" i="4" s="1"/>
  <c r="J346" i="4"/>
  <c r="BS117" i="4"/>
  <c r="R118" i="4" l="1"/>
  <c r="CF118" i="4"/>
  <c r="U118" i="4"/>
  <c r="CI118" i="4"/>
  <c r="V118" i="4"/>
  <c r="CJ118" i="4"/>
  <c r="AQ118" i="4"/>
  <c r="AW118" i="4" s="1"/>
  <c r="AK119" i="4"/>
  <c r="L120" i="4"/>
  <c r="J348" i="4"/>
  <c r="BK116" i="4"/>
  <c r="AO117" i="4"/>
  <c r="P118" i="4"/>
  <c r="BJ117" i="4"/>
  <c r="AU116" i="4"/>
  <c r="BA116" i="4" s="1"/>
  <c r="BH116" i="4"/>
  <c r="AL118" i="4"/>
  <c r="AR118" i="4" s="1"/>
  <c r="AX118" i="4" s="1"/>
  <c r="BD118" i="4" s="1"/>
  <c r="Z119" i="4"/>
  <c r="AB118" i="4" l="1"/>
  <c r="CD118" i="4"/>
  <c r="AA118" i="4"/>
  <c r="CC118" i="4"/>
  <c r="BZ118" i="4"/>
  <c r="X118" i="4"/>
  <c r="J350" i="4"/>
  <c r="BK117" i="4"/>
  <c r="W118" i="4"/>
  <c r="CK118" i="4"/>
  <c r="BI118" i="4"/>
  <c r="AU117" i="4"/>
  <c r="BA117" i="4" s="1"/>
  <c r="BH117" i="4"/>
  <c r="BV117" i="4" s="1"/>
  <c r="BY117" i="4" s="1"/>
  <c r="AL119" i="4"/>
  <c r="AR119" i="4" s="1"/>
  <c r="AX119" i="4" s="1"/>
  <c r="BD119" i="4" s="1"/>
  <c r="M120" i="4"/>
  <c r="BV116" i="4"/>
  <c r="BY116" i="4" s="1"/>
  <c r="BL116" i="4"/>
  <c r="BO116" i="4"/>
  <c r="BG116" i="4"/>
  <c r="BP116" i="4" s="1"/>
  <c r="BQ116" i="4" s="1"/>
  <c r="S120" i="4"/>
  <c r="CG120" i="4"/>
  <c r="AQ119" i="4"/>
  <c r="AW119" i="4" s="1"/>
  <c r="BC118" i="4"/>
  <c r="AJ118" i="4" l="1"/>
  <c r="AP118" i="4" s="1"/>
  <c r="AV118" i="4" s="1"/>
  <c r="BB118" i="4" s="1"/>
  <c r="X119" i="4"/>
  <c r="AA119" i="4"/>
  <c r="AM118" i="4"/>
  <c r="AS118" i="4" s="1"/>
  <c r="AY118" i="4" s="1"/>
  <c r="BE118" i="4" s="1"/>
  <c r="AN118" i="4"/>
  <c r="AT118" i="4" s="1"/>
  <c r="AZ118" i="4" s="1"/>
  <c r="BF118" i="4" s="1"/>
  <c r="AB119" i="4"/>
  <c r="CA120" i="4"/>
  <c r="Y120" i="4"/>
  <c r="BC119" i="4"/>
  <c r="BO117" i="4"/>
  <c r="BG117" i="4"/>
  <c r="BP117" i="4" s="1"/>
  <c r="BQ117" i="4" s="1"/>
  <c r="BL117" i="4"/>
  <c r="BM116" i="4"/>
  <c r="BN116" i="4" s="1"/>
  <c r="CE118" i="4"/>
  <c r="AC118" i="4"/>
  <c r="T120" i="4"/>
  <c r="CH120" i="4"/>
  <c r="J352" i="4"/>
  <c r="BI119" i="4"/>
  <c r="BS118" i="4"/>
  <c r="AN119" i="4" l="1"/>
  <c r="AT119" i="4" s="1"/>
  <c r="AZ119" i="4" s="1"/>
  <c r="BF119" i="4"/>
  <c r="O120" i="4"/>
  <c r="AM119" i="4"/>
  <c r="AS119" i="4" s="1"/>
  <c r="AY119" i="4" s="1"/>
  <c r="BE119" i="4" s="1"/>
  <c r="N120" i="4"/>
  <c r="AJ119" i="4"/>
  <c r="AP119" i="4" s="1"/>
  <c r="AV119" i="4" s="1"/>
  <c r="BB119" i="4" s="1"/>
  <c r="K120" i="4"/>
  <c r="J354" i="4"/>
  <c r="AK120" i="4"/>
  <c r="Y121" i="4"/>
  <c r="AC119" i="4"/>
  <c r="AO118" i="4"/>
  <c r="BJ118" i="4"/>
  <c r="CB120" i="4"/>
  <c r="Z120" i="4"/>
  <c r="BS119" i="4"/>
  <c r="BM117" i="4"/>
  <c r="BN117" i="4" s="1"/>
  <c r="R120" i="4" l="1"/>
  <c r="CF120" i="4"/>
  <c r="CI120" i="4"/>
  <c r="U120" i="4"/>
  <c r="CJ120" i="4"/>
  <c r="V120" i="4"/>
  <c r="AQ120" i="4"/>
  <c r="AW120" i="4" s="1"/>
  <c r="AK121" i="4"/>
  <c r="L122" i="4"/>
  <c r="BK118" i="4"/>
  <c r="Z121" i="4"/>
  <c r="AL120" i="4"/>
  <c r="AR120" i="4" s="1"/>
  <c r="AX120" i="4" s="1"/>
  <c r="BD120" i="4" s="1"/>
  <c r="AU118" i="4"/>
  <c r="BA118" i="4" s="1"/>
  <c r="BH118" i="4"/>
  <c r="AO119" i="4"/>
  <c r="P120" i="4"/>
  <c r="BJ119" i="4"/>
  <c r="J356" i="4"/>
  <c r="CD120" i="4" l="1"/>
  <c r="AB120" i="4"/>
  <c r="AA120" i="4"/>
  <c r="CC120" i="4"/>
  <c r="BZ120" i="4"/>
  <c r="X120" i="4"/>
  <c r="BK119" i="4"/>
  <c r="W120" i="4"/>
  <c r="CK120" i="4"/>
  <c r="BI120" i="4"/>
  <c r="S122" i="4"/>
  <c r="CG122" i="4"/>
  <c r="AU119" i="4"/>
  <c r="BA119" i="4" s="1"/>
  <c r="BH119" i="4"/>
  <c r="BV119" i="4" s="1"/>
  <c r="BY119" i="4" s="1"/>
  <c r="BO118" i="4"/>
  <c r="BG118" i="4"/>
  <c r="BP118" i="4" s="1"/>
  <c r="BQ118" i="4" s="1"/>
  <c r="AQ121" i="4"/>
  <c r="AW121" i="4" s="1"/>
  <c r="AL121" i="4"/>
  <c r="AR121" i="4" s="1"/>
  <c r="AX121" i="4" s="1"/>
  <c r="BD121" i="4" s="1"/>
  <c r="M122" i="4"/>
  <c r="J358" i="4"/>
  <c r="BV118" i="4"/>
  <c r="BY118" i="4" s="1"/>
  <c r="BL118" i="4"/>
  <c r="BC120" i="4"/>
  <c r="X121" i="4" l="1"/>
  <c r="AJ120" i="4"/>
  <c r="AP120" i="4" s="1"/>
  <c r="AV120" i="4" s="1"/>
  <c r="BB120" i="4"/>
  <c r="AA121" i="4"/>
  <c r="AM120" i="4"/>
  <c r="AS120" i="4" s="1"/>
  <c r="AY120" i="4" s="1"/>
  <c r="BE120" i="4" s="1"/>
  <c r="AN120" i="4"/>
  <c r="AT120" i="4" s="1"/>
  <c r="AZ120" i="4" s="1"/>
  <c r="BF120" i="4" s="1"/>
  <c r="AB121" i="4"/>
  <c r="J360" i="4"/>
  <c r="BL119" i="4"/>
  <c r="BM118" i="4"/>
  <c r="BN118" i="4" s="1"/>
  <c r="CE120" i="4"/>
  <c r="AC120" i="4"/>
  <c r="BC121" i="4"/>
  <c r="BO119" i="4"/>
  <c r="BG119" i="4"/>
  <c r="BP119" i="4" s="1"/>
  <c r="BQ119" i="4" s="1"/>
  <c r="BI121" i="4"/>
  <c r="BS120" i="4"/>
  <c r="CA122" i="4"/>
  <c r="Y122" i="4"/>
  <c r="T122" i="4"/>
  <c r="CH122" i="4"/>
  <c r="AN121" i="4" l="1"/>
  <c r="AT121" i="4" s="1"/>
  <c r="AZ121" i="4" s="1"/>
  <c r="O122" i="4"/>
  <c r="BF121" i="4"/>
  <c r="AM121" i="4"/>
  <c r="AS121" i="4" s="1"/>
  <c r="AY121" i="4" s="1"/>
  <c r="BE121" i="4" s="1"/>
  <c r="N122" i="4"/>
  <c r="AJ121" i="4"/>
  <c r="AP121" i="4" s="1"/>
  <c r="AV121" i="4" s="1"/>
  <c r="BB121" i="4" s="1"/>
  <c r="K122" i="4"/>
  <c r="BS121" i="4"/>
  <c r="BM119" i="4"/>
  <c r="BN119" i="4" s="1"/>
  <c r="Y123" i="4"/>
  <c r="AK122" i="4"/>
  <c r="AC121" i="4"/>
  <c r="AO120" i="4"/>
  <c r="BJ120" i="4"/>
  <c r="J362" i="4"/>
  <c r="CB122" i="4"/>
  <c r="Z122" i="4"/>
  <c r="R122" i="4" l="1"/>
  <c r="CF122" i="4"/>
  <c r="CI122" i="4"/>
  <c r="U122" i="4"/>
  <c r="CJ122" i="4"/>
  <c r="V122" i="4"/>
  <c r="AQ122" i="4"/>
  <c r="AW122" i="4" s="1"/>
  <c r="J364" i="4"/>
  <c r="AU120" i="4"/>
  <c r="BA120" i="4" s="1"/>
  <c r="BH120" i="4"/>
  <c r="AK123" i="4"/>
  <c r="L124" i="4"/>
  <c r="BK120" i="4"/>
  <c r="AL122" i="4"/>
  <c r="AR122" i="4" s="1"/>
  <c r="AX122" i="4" s="1"/>
  <c r="BD122" i="4" s="1"/>
  <c r="Z123" i="4"/>
  <c r="AO121" i="4"/>
  <c r="P122" i="4"/>
  <c r="BJ121" i="4"/>
  <c r="AB122" i="4" l="1"/>
  <c r="CD122" i="4"/>
  <c r="CC122" i="4"/>
  <c r="AA122" i="4"/>
  <c r="BZ122" i="4"/>
  <c r="X122" i="4"/>
  <c r="BV120" i="4"/>
  <c r="BY120" i="4" s="1"/>
  <c r="BL120" i="4"/>
  <c r="BO120" i="4"/>
  <c r="BG120" i="4"/>
  <c r="BP120" i="4" s="1"/>
  <c r="BQ120" i="4" s="1"/>
  <c r="BK121" i="4"/>
  <c r="AQ123" i="4"/>
  <c r="AW123" i="4" s="1"/>
  <c r="J366" i="4"/>
  <c r="AL123" i="4"/>
  <c r="AR123" i="4" s="1"/>
  <c r="AX123" i="4" s="1"/>
  <c r="BD123" i="4" s="1"/>
  <c r="M124" i="4"/>
  <c r="W122" i="4"/>
  <c r="CK122" i="4"/>
  <c r="BI122" i="4"/>
  <c r="AU121" i="4"/>
  <c r="BA121" i="4" s="1"/>
  <c r="BH121" i="4"/>
  <c r="BV121" i="4" s="1"/>
  <c r="BY121" i="4" s="1"/>
  <c r="S124" i="4"/>
  <c r="CG124" i="4"/>
  <c r="BC122" i="4"/>
  <c r="AJ122" i="4" l="1"/>
  <c r="AP122" i="4" s="1"/>
  <c r="AV122" i="4" s="1"/>
  <c r="X123" i="4"/>
  <c r="BB122" i="4"/>
  <c r="AA123" i="4"/>
  <c r="AM122" i="4"/>
  <c r="AS122" i="4" s="1"/>
  <c r="AY122" i="4" s="1"/>
  <c r="BE122" i="4" s="1"/>
  <c r="AB123" i="4"/>
  <c r="AN122" i="4"/>
  <c r="AT122" i="4" s="1"/>
  <c r="AZ122" i="4" s="1"/>
  <c r="BF122" i="4" s="1"/>
  <c r="BC123" i="4"/>
  <c r="CA124" i="4"/>
  <c r="Y124" i="4"/>
  <c r="BO121" i="4"/>
  <c r="BG121" i="4"/>
  <c r="BP121" i="4" s="1"/>
  <c r="BQ121" i="4" s="1"/>
  <c r="BI123" i="4"/>
  <c r="BS122" i="4"/>
  <c r="J368" i="4"/>
  <c r="T124" i="4"/>
  <c r="CH124" i="4"/>
  <c r="BL121" i="4"/>
  <c r="BM120" i="4"/>
  <c r="BN120" i="4" s="1"/>
  <c r="CE122" i="4"/>
  <c r="AC122" i="4"/>
  <c r="O124" i="4" l="1"/>
  <c r="AN123" i="4"/>
  <c r="AT123" i="4" s="1"/>
  <c r="AZ123" i="4" s="1"/>
  <c r="BF123" i="4" s="1"/>
  <c r="AM123" i="4"/>
  <c r="AS123" i="4" s="1"/>
  <c r="AY123" i="4" s="1"/>
  <c r="BE123" i="4" s="1"/>
  <c r="N124" i="4"/>
  <c r="AJ123" i="4"/>
  <c r="AP123" i="4" s="1"/>
  <c r="AV123" i="4" s="1"/>
  <c r="BB123" i="4" s="1"/>
  <c r="K124" i="4"/>
  <c r="J370" i="4"/>
  <c r="CB124" i="4"/>
  <c r="Z124" i="4"/>
  <c r="BM121" i="4"/>
  <c r="BN121" i="4" s="1"/>
  <c r="BS123" i="4"/>
  <c r="AK124" i="4"/>
  <c r="Y125" i="4"/>
  <c r="AC123" i="4"/>
  <c r="AO122" i="4"/>
  <c r="BJ122" i="4"/>
  <c r="CF124" i="4" l="1"/>
  <c r="R124" i="4"/>
  <c r="U124" i="4"/>
  <c r="CI124" i="4"/>
  <c r="V124" i="4"/>
  <c r="CJ124" i="4"/>
  <c r="AU122" i="4"/>
  <c r="BA122" i="4" s="1"/>
  <c r="BH122" i="4"/>
  <c r="AO123" i="4"/>
  <c r="P124" i="4"/>
  <c r="BJ123" i="4"/>
  <c r="AL124" i="4"/>
  <c r="AR124" i="4" s="1"/>
  <c r="AX124" i="4" s="1"/>
  <c r="BD124" i="4" s="1"/>
  <c r="Z125" i="4"/>
  <c r="AQ124" i="4"/>
  <c r="AW124" i="4" s="1"/>
  <c r="J372" i="4"/>
  <c r="AK125" i="4"/>
  <c r="L126" i="4"/>
  <c r="BK122" i="4"/>
  <c r="AB124" i="4" l="1"/>
  <c r="CD124" i="4"/>
  <c r="AA124" i="4"/>
  <c r="CC124" i="4"/>
  <c r="BZ124" i="4"/>
  <c r="X124" i="4"/>
  <c r="AQ125" i="4"/>
  <c r="AW125" i="4" s="1"/>
  <c r="AU123" i="4"/>
  <c r="BA123" i="4" s="1"/>
  <c r="BH123" i="4"/>
  <c r="BV123" i="4" s="1"/>
  <c r="BY123" i="4" s="1"/>
  <c r="BC124" i="4"/>
  <c r="AL125" i="4"/>
  <c r="AR125" i="4" s="1"/>
  <c r="AX125" i="4" s="1"/>
  <c r="BD125" i="4" s="1"/>
  <c r="M126" i="4"/>
  <c r="W124" i="4"/>
  <c r="CK124" i="4"/>
  <c r="BI124" i="4"/>
  <c r="J374" i="4"/>
  <c r="BV122" i="4"/>
  <c r="BY122" i="4" s="1"/>
  <c r="BL122" i="4"/>
  <c r="S126" i="4"/>
  <c r="CG126" i="4"/>
  <c r="BK123" i="4"/>
  <c r="BO122" i="4"/>
  <c r="BG122" i="4"/>
  <c r="BP122" i="4" s="1"/>
  <c r="BQ122" i="4" s="1"/>
  <c r="X125" i="4" l="1"/>
  <c r="AJ124" i="4"/>
  <c r="AP124" i="4" s="1"/>
  <c r="AV124" i="4" s="1"/>
  <c r="BB124" i="4"/>
  <c r="AA125" i="4"/>
  <c r="AM124" i="4"/>
  <c r="AS124" i="4" s="1"/>
  <c r="AY124" i="4" s="1"/>
  <c r="BE124" i="4" s="1"/>
  <c r="AN124" i="4"/>
  <c r="AT124" i="4" s="1"/>
  <c r="AZ124" i="4" s="1"/>
  <c r="BF124" i="4" s="1"/>
  <c r="AB125" i="4"/>
  <c r="BI125" i="4"/>
  <c r="BS124" i="4"/>
  <c r="BL123" i="4"/>
  <c r="BM122" i="4"/>
  <c r="BN122" i="4" s="1"/>
  <c r="T126" i="4"/>
  <c r="CH126" i="4"/>
  <c r="J376" i="4"/>
  <c r="BO123" i="4"/>
  <c r="BG123" i="4"/>
  <c r="BP123" i="4" s="1"/>
  <c r="BQ123" i="4" s="1"/>
  <c r="CA126" i="4"/>
  <c r="Y126" i="4"/>
  <c r="CE124" i="4"/>
  <c r="AC124" i="4"/>
  <c r="BC125" i="4"/>
  <c r="AN125" i="4" l="1"/>
  <c r="AT125" i="4" s="1"/>
  <c r="AZ125" i="4" s="1"/>
  <c r="O126" i="4"/>
  <c r="BF125" i="4"/>
  <c r="AM125" i="4"/>
  <c r="AS125" i="4" s="1"/>
  <c r="AY125" i="4" s="1"/>
  <c r="BE125" i="4" s="1"/>
  <c r="N126" i="4"/>
  <c r="AJ125" i="4"/>
  <c r="AP125" i="4" s="1"/>
  <c r="AV125" i="4" s="1"/>
  <c r="BB125" i="4" s="1"/>
  <c r="K126" i="4"/>
  <c r="CB126" i="4"/>
  <c r="Z126" i="4"/>
  <c r="BM123" i="4"/>
  <c r="BN123" i="4" s="1"/>
  <c r="BS125" i="4"/>
  <c r="J378" i="4"/>
  <c r="Y127" i="4"/>
  <c r="AK126" i="4"/>
  <c r="AC125" i="4"/>
  <c r="AO124" i="4"/>
  <c r="BJ124" i="4"/>
  <c r="CF126" i="4" l="1"/>
  <c r="R126" i="4"/>
  <c r="V126" i="4"/>
  <c r="CJ126" i="4"/>
  <c r="U126" i="4"/>
  <c r="CI126" i="4"/>
  <c r="BK124" i="4"/>
  <c r="AU124" i="4"/>
  <c r="BA124" i="4" s="1"/>
  <c r="BH124" i="4"/>
  <c r="AO125" i="4"/>
  <c r="P126" i="4"/>
  <c r="BJ125" i="4"/>
  <c r="AQ126" i="4"/>
  <c r="AW126" i="4" s="1"/>
  <c r="J380" i="4"/>
  <c r="Z127" i="4"/>
  <c r="AL126" i="4"/>
  <c r="AR126" i="4" s="1"/>
  <c r="AX126" i="4" s="1"/>
  <c r="BD126" i="4" s="1"/>
  <c r="AK127" i="4"/>
  <c r="L128" i="4"/>
  <c r="CC126" i="4" l="1"/>
  <c r="AA126" i="4"/>
  <c r="CD126" i="4"/>
  <c r="AB126" i="4"/>
  <c r="BZ126" i="4"/>
  <c r="X126" i="4"/>
  <c r="BC126" i="4"/>
  <c r="AL127" i="4"/>
  <c r="AR127" i="4" s="1"/>
  <c r="AX127" i="4" s="1"/>
  <c r="BD127" i="4" s="1"/>
  <c r="M128" i="4"/>
  <c r="J382" i="4"/>
  <c r="W126" i="4"/>
  <c r="CK126" i="4"/>
  <c r="BI126" i="4"/>
  <c r="AU125" i="4"/>
  <c r="BA125" i="4" s="1"/>
  <c r="BH125" i="4"/>
  <c r="BV125" i="4" s="1"/>
  <c r="BY125" i="4" s="1"/>
  <c r="BV124" i="4"/>
  <c r="BY124" i="4" s="1"/>
  <c r="BL124" i="4"/>
  <c r="BK125" i="4"/>
  <c r="BO124" i="4"/>
  <c r="BG124" i="4"/>
  <c r="BP124" i="4" s="1"/>
  <c r="BQ124" i="4" s="1"/>
  <c r="S128" i="4"/>
  <c r="CG128" i="4"/>
  <c r="AQ127" i="4"/>
  <c r="AW127" i="4" s="1"/>
  <c r="AJ126" i="4" l="1"/>
  <c r="AP126" i="4" s="1"/>
  <c r="AV126" i="4" s="1"/>
  <c r="X127" i="4"/>
  <c r="BB126" i="4"/>
  <c r="AN126" i="4"/>
  <c r="AT126" i="4" s="1"/>
  <c r="AZ126" i="4" s="1"/>
  <c r="BF126" i="4" s="1"/>
  <c r="AB127" i="4"/>
  <c r="AA127" i="4"/>
  <c r="AM126" i="4"/>
  <c r="AS126" i="4" s="1"/>
  <c r="AY126" i="4" s="1"/>
  <c r="BE126" i="4" s="1"/>
  <c r="CE126" i="4"/>
  <c r="AC126" i="4"/>
  <c r="J384" i="4"/>
  <c r="CA128" i="4"/>
  <c r="Y128" i="4"/>
  <c r="BC127" i="4"/>
  <c r="T128" i="4"/>
  <c r="CH128" i="4"/>
  <c r="BL125" i="4"/>
  <c r="BM124" i="4"/>
  <c r="BN124" i="4" s="1"/>
  <c r="BO125" i="4"/>
  <c r="BG125" i="4"/>
  <c r="BP125" i="4" s="1"/>
  <c r="BQ125" i="4" s="1"/>
  <c r="BI127" i="4"/>
  <c r="BS126" i="4"/>
  <c r="O128" i="4" l="1"/>
  <c r="AN127" i="4"/>
  <c r="AT127" i="4" s="1"/>
  <c r="AZ127" i="4" s="1"/>
  <c r="BF127" i="4" s="1"/>
  <c r="AM127" i="4"/>
  <c r="AS127" i="4" s="1"/>
  <c r="AY127" i="4" s="1"/>
  <c r="BE127" i="4" s="1"/>
  <c r="N128" i="4"/>
  <c r="K128" i="4"/>
  <c r="AJ127" i="4"/>
  <c r="AP127" i="4" s="1"/>
  <c r="AV127" i="4" s="1"/>
  <c r="BB127" i="4" s="1"/>
  <c r="BS127" i="4"/>
  <c r="AK128" i="4"/>
  <c r="Y129" i="4"/>
  <c r="J386" i="4"/>
  <c r="AO126" i="4"/>
  <c r="AC127" i="4"/>
  <c r="BJ126" i="4"/>
  <c r="BM125" i="4"/>
  <c r="BN125" i="4" s="1"/>
  <c r="CB128" i="4"/>
  <c r="Z128" i="4"/>
  <c r="U128" i="4" l="1"/>
  <c r="CI128" i="4"/>
  <c r="CF128" i="4"/>
  <c r="R128" i="4"/>
  <c r="V128" i="4"/>
  <c r="CJ128" i="4"/>
  <c r="AK129" i="4"/>
  <c r="L130" i="4"/>
  <c r="J388" i="4"/>
  <c r="AQ128" i="4"/>
  <c r="AW128" i="4" s="1"/>
  <c r="BK126" i="4"/>
  <c r="AO127" i="4"/>
  <c r="P128" i="4"/>
  <c r="BJ127" i="4"/>
  <c r="Z129" i="4"/>
  <c r="AL128" i="4"/>
  <c r="AR128" i="4" s="1"/>
  <c r="AX128" i="4" s="1"/>
  <c r="BD128" i="4" s="1"/>
  <c r="AU126" i="4"/>
  <c r="BA126" i="4" s="1"/>
  <c r="BH126" i="4"/>
  <c r="CD128" i="4" l="1"/>
  <c r="AB128" i="4"/>
  <c r="BZ128" i="4"/>
  <c r="X128" i="4"/>
  <c r="CC128" i="4"/>
  <c r="AA128" i="4"/>
  <c r="AU127" i="4"/>
  <c r="BA127" i="4" s="1"/>
  <c r="BH127" i="4"/>
  <c r="BV127" i="4" s="1"/>
  <c r="BY127" i="4" s="1"/>
  <c r="BO126" i="4"/>
  <c r="BG126" i="4"/>
  <c r="BP126" i="4" s="1"/>
  <c r="BQ126" i="4" s="1"/>
  <c r="J390" i="4"/>
  <c r="S130" i="4"/>
  <c r="CG130" i="4"/>
  <c r="AQ129" i="4"/>
  <c r="AW129" i="4" s="1"/>
  <c r="BC128" i="4"/>
  <c r="W128" i="4"/>
  <c r="CK128" i="4"/>
  <c r="BI128" i="4"/>
  <c r="BV126" i="4"/>
  <c r="BY126" i="4" s="1"/>
  <c r="BL126" i="4"/>
  <c r="AL129" i="4"/>
  <c r="AR129" i="4" s="1"/>
  <c r="AX129" i="4" s="1"/>
  <c r="BD129" i="4" s="1"/>
  <c r="M130" i="4"/>
  <c r="BK127" i="4"/>
  <c r="AA129" i="4" l="1"/>
  <c r="AM128" i="4"/>
  <c r="AS128" i="4" s="1"/>
  <c r="AY128" i="4" s="1"/>
  <c r="BE128" i="4" s="1"/>
  <c r="AJ128" i="4"/>
  <c r="AP128" i="4" s="1"/>
  <c r="AV128" i="4" s="1"/>
  <c r="BB128" i="4" s="1"/>
  <c r="X129" i="4"/>
  <c r="AB129" i="4"/>
  <c r="AN128" i="4"/>
  <c r="AT128" i="4" s="1"/>
  <c r="AZ128" i="4" s="1"/>
  <c r="BF128" i="4" s="1"/>
  <c r="BC129" i="4"/>
  <c r="CA130" i="4"/>
  <c r="Y130" i="4"/>
  <c r="BL127" i="4"/>
  <c r="BM126" i="4"/>
  <c r="BN126" i="4" s="1"/>
  <c r="J392" i="4"/>
  <c r="BI129" i="4"/>
  <c r="BS128" i="4"/>
  <c r="T130" i="4"/>
  <c r="CH130" i="4"/>
  <c r="CE128" i="4"/>
  <c r="AC128" i="4"/>
  <c r="BO127" i="4"/>
  <c r="BG127" i="4"/>
  <c r="BP127" i="4" s="1"/>
  <c r="BQ127" i="4" s="1"/>
  <c r="AJ129" i="4" l="1"/>
  <c r="AP129" i="4" s="1"/>
  <c r="AV129" i="4" s="1"/>
  <c r="K130" i="4"/>
  <c r="BB129" i="4"/>
  <c r="AN129" i="4"/>
  <c r="AT129" i="4" s="1"/>
  <c r="AZ129" i="4" s="1"/>
  <c r="BF129" i="4" s="1"/>
  <c r="O130" i="4"/>
  <c r="N130" i="4"/>
  <c r="AM129" i="4"/>
  <c r="AS129" i="4" s="1"/>
  <c r="AY129" i="4" s="1"/>
  <c r="BE129" i="4" s="1"/>
  <c r="BM127" i="4"/>
  <c r="BN127" i="4" s="1"/>
  <c r="CB130" i="4"/>
  <c r="Z130" i="4"/>
  <c r="BS129" i="4"/>
  <c r="J394" i="4"/>
  <c r="AC129" i="4"/>
  <c r="AO128" i="4"/>
  <c r="BJ128" i="4"/>
  <c r="AK130" i="4"/>
  <c r="Y131" i="4"/>
  <c r="U130" i="4" l="1"/>
  <c r="CI130" i="4"/>
  <c r="V130" i="4"/>
  <c r="CJ130" i="4"/>
  <c r="R130" i="4"/>
  <c r="CF130" i="4"/>
  <c r="AK131" i="4"/>
  <c r="L132" i="4"/>
  <c r="AQ130" i="4"/>
  <c r="AW130" i="4" s="1"/>
  <c r="AL130" i="4"/>
  <c r="AR130" i="4" s="1"/>
  <c r="AX130" i="4" s="1"/>
  <c r="BD130" i="4" s="1"/>
  <c r="Z131" i="4"/>
  <c r="BK128" i="4"/>
  <c r="AU128" i="4"/>
  <c r="BA128" i="4" s="1"/>
  <c r="BH128" i="4"/>
  <c r="AO129" i="4"/>
  <c r="P130" i="4"/>
  <c r="BJ129" i="4"/>
  <c r="J396" i="4"/>
  <c r="BZ130" i="4" l="1"/>
  <c r="X130" i="4"/>
  <c r="CD130" i="4"/>
  <c r="AB130" i="4"/>
  <c r="AA130" i="4"/>
  <c r="CC130" i="4"/>
  <c r="AL131" i="4"/>
  <c r="AR131" i="4" s="1"/>
  <c r="AX131" i="4" s="1"/>
  <c r="BD131" i="4" s="1"/>
  <c r="M132" i="4"/>
  <c r="AU129" i="4"/>
  <c r="BA129" i="4" s="1"/>
  <c r="BH129" i="4"/>
  <c r="BV129" i="4" s="1"/>
  <c r="BY129" i="4" s="1"/>
  <c r="BV128" i="4"/>
  <c r="BY128" i="4" s="1"/>
  <c r="BL128" i="4"/>
  <c r="BO128" i="4"/>
  <c r="BG128" i="4"/>
  <c r="BP128" i="4" s="1"/>
  <c r="BQ128" i="4" s="1"/>
  <c r="W130" i="4"/>
  <c r="CK130" i="4"/>
  <c r="BI130" i="4"/>
  <c r="BC130" i="4"/>
  <c r="J398" i="4"/>
  <c r="AQ131" i="4"/>
  <c r="AW131" i="4" s="1"/>
  <c r="BK129" i="4"/>
  <c r="S132" i="4"/>
  <c r="CG132" i="4"/>
  <c r="AM130" i="4" l="1"/>
  <c r="AS130" i="4" s="1"/>
  <c r="AY130" i="4" s="1"/>
  <c r="BE130" i="4" s="1"/>
  <c r="AA131" i="4"/>
  <c r="AN130" i="4"/>
  <c r="AT130" i="4" s="1"/>
  <c r="AZ130" i="4" s="1"/>
  <c r="BF130" i="4" s="1"/>
  <c r="AB131" i="4"/>
  <c r="X131" i="4"/>
  <c r="AJ130" i="4"/>
  <c r="AP130" i="4" s="1"/>
  <c r="AV130" i="4" s="1"/>
  <c r="BB130" i="4" s="1"/>
  <c r="CA132" i="4"/>
  <c r="Y132" i="4"/>
  <c r="BL129" i="4"/>
  <c r="BM128" i="4"/>
  <c r="BN128" i="4" s="1"/>
  <c r="BI131" i="4"/>
  <c r="BS130" i="4"/>
  <c r="BC131" i="4"/>
  <c r="T132" i="4"/>
  <c r="CH132" i="4"/>
  <c r="CE130" i="4"/>
  <c r="AC130" i="4"/>
  <c r="J400" i="4"/>
  <c r="BO129" i="4"/>
  <c r="BG129" i="4"/>
  <c r="BP129" i="4" s="1"/>
  <c r="BQ129" i="4" s="1"/>
  <c r="AJ131" i="4" l="1"/>
  <c r="AP131" i="4" s="1"/>
  <c r="AV131" i="4" s="1"/>
  <c r="K132" i="4"/>
  <c r="BB131" i="4"/>
  <c r="AN131" i="4"/>
  <c r="AT131" i="4" s="1"/>
  <c r="AZ131" i="4" s="1"/>
  <c r="BF131" i="4" s="1"/>
  <c r="O132" i="4"/>
  <c r="N132" i="4"/>
  <c r="AM131" i="4"/>
  <c r="AS131" i="4" s="1"/>
  <c r="AY131" i="4" s="1"/>
  <c r="BE131" i="4" s="1"/>
  <c r="J402" i="4"/>
  <c r="Y133" i="4"/>
  <c r="AK132" i="4"/>
  <c r="BS131" i="4"/>
  <c r="AC131" i="4"/>
  <c r="AO130" i="4"/>
  <c r="BJ130" i="4"/>
  <c r="BM129" i="4"/>
  <c r="BN129" i="4" s="1"/>
  <c r="CB132" i="4"/>
  <c r="Z132" i="4"/>
  <c r="U132" i="4" l="1"/>
  <c r="CI132" i="4"/>
  <c r="V132" i="4"/>
  <c r="CJ132" i="4"/>
  <c r="R132" i="4"/>
  <c r="CF132" i="4"/>
  <c r="AK133" i="4"/>
  <c r="L134" i="4"/>
  <c r="J404" i="4"/>
  <c r="AQ132" i="4"/>
  <c r="AW132" i="4" s="1"/>
  <c r="BK130" i="4"/>
  <c r="AU130" i="4"/>
  <c r="BA130" i="4" s="1"/>
  <c r="BH130" i="4"/>
  <c r="AO131" i="4"/>
  <c r="P132" i="4"/>
  <c r="BJ131" i="4"/>
  <c r="Z133" i="4"/>
  <c r="AL132" i="4"/>
  <c r="AR132" i="4" s="1"/>
  <c r="AX132" i="4" s="1"/>
  <c r="BD132" i="4" s="1"/>
  <c r="BZ132" i="4" l="1"/>
  <c r="X132" i="4"/>
  <c r="AB132" i="4"/>
  <c r="CD132" i="4"/>
  <c r="CC132" i="4"/>
  <c r="AA132" i="4"/>
  <c r="BK131" i="4"/>
  <c r="BV130" i="4"/>
  <c r="BY130" i="4" s="1"/>
  <c r="BL130" i="4"/>
  <c r="BO130" i="4"/>
  <c r="BG130" i="4"/>
  <c r="BP130" i="4" s="1"/>
  <c r="BQ130" i="4" s="1"/>
  <c r="S134" i="4"/>
  <c r="CG134" i="4"/>
  <c r="AQ133" i="4"/>
  <c r="AW133" i="4" s="1"/>
  <c r="J406" i="4"/>
  <c r="W132" i="4"/>
  <c r="CK132" i="4"/>
  <c r="BI132" i="4"/>
  <c r="AU131" i="4"/>
  <c r="BA131" i="4" s="1"/>
  <c r="BH131" i="4"/>
  <c r="BV131" i="4" s="1"/>
  <c r="BY131" i="4" s="1"/>
  <c r="AL133" i="4"/>
  <c r="AR133" i="4" s="1"/>
  <c r="AX133" i="4" s="1"/>
  <c r="BD133" i="4" s="1"/>
  <c r="M134" i="4"/>
  <c r="BC132" i="4"/>
  <c r="AA133" i="4" l="1"/>
  <c r="AM132" i="4"/>
  <c r="AS132" i="4" s="1"/>
  <c r="AY132" i="4" s="1"/>
  <c r="BE132" i="4" s="1"/>
  <c r="AN132" i="4"/>
  <c r="AT132" i="4" s="1"/>
  <c r="AZ132" i="4" s="1"/>
  <c r="BF132" i="4" s="1"/>
  <c r="AB133" i="4"/>
  <c r="X133" i="4"/>
  <c r="AJ132" i="4"/>
  <c r="AP132" i="4" s="1"/>
  <c r="AV132" i="4" s="1"/>
  <c r="BB132" i="4" s="1"/>
  <c r="BL131" i="4"/>
  <c r="BM130" i="4"/>
  <c r="BN130" i="4" s="1"/>
  <c r="T134" i="4"/>
  <c r="CH134" i="4"/>
  <c r="J408" i="4"/>
  <c r="BO131" i="4"/>
  <c r="BG131" i="4"/>
  <c r="BP131" i="4" s="1"/>
  <c r="BQ131" i="4" s="1"/>
  <c r="BI133" i="4"/>
  <c r="BS132" i="4"/>
  <c r="BC133" i="4"/>
  <c r="CE132" i="4"/>
  <c r="AC132" i="4"/>
  <c r="CA134" i="4"/>
  <c r="Y134" i="4"/>
  <c r="AJ133" i="4" l="1"/>
  <c r="AP133" i="4" s="1"/>
  <c r="AV133" i="4" s="1"/>
  <c r="K134" i="4"/>
  <c r="BB133" i="4"/>
  <c r="AN133" i="4"/>
  <c r="AT133" i="4" s="1"/>
  <c r="AZ133" i="4" s="1"/>
  <c r="BF133" i="4" s="1"/>
  <c r="O134" i="4"/>
  <c r="AM133" i="4"/>
  <c r="AS133" i="4" s="1"/>
  <c r="AY133" i="4" s="1"/>
  <c r="BE133" i="4" s="1"/>
  <c r="N134" i="4"/>
  <c r="J410" i="4"/>
  <c r="BS133" i="4"/>
  <c r="Y135" i="4"/>
  <c r="AK134" i="4"/>
  <c r="CB134" i="4"/>
  <c r="Z134" i="4"/>
  <c r="AC133" i="4"/>
  <c r="AO132" i="4"/>
  <c r="BJ132" i="4"/>
  <c r="BM131" i="4"/>
  <c r="BN131" i="4" s="1"/>
  <c r="V134" i="4" l="1"/>
  <c r="CJ134" i="4"/>
  <c r="CI134" i="4"/>
  <c r="U134" i="4"/>
  <c r="CF134" i="4"/>
  <c r="R134" i="4"/>
  <c r="AQ134" i="4"/>
  <c r="AW134" i="4" s="1"/>
  <c r="AU132" i="4"/>
  <c r="BA132" i="4" s="1"/>
  <c r="BH132" i="4"/>
  <c r="AO133" i="4"/>
  <c r="P134" i="4"/>
  <c r="BJ133" i="4"/>
  <c r="AL134" i="4"/>
  <c r="AR134" i="4" s="1"/>
  <c r="AX134" i="4" s="1"/>
  <c r="BD134" i="4" s="1"/>
  <c r="Z135" i="4"/>
  <c r="BK132" i="4"/>
  <c r="AK135" i="4"/>
  <c r="L136" i="4"/>
  <c r="J412" i="4"/>
  <c r="BZ134" i="4" l="1"/>
  <c r="X134" i="4"/>
  <c r="AA134" i="4"/>
  <c r="CC134" i="4"/>
  <c r="CD134" i="4"/>
  <c r="AB134" i="4"/>
  <c r="AL135" i="4"/>
  <c r="AR135" i="4" s="1"/>
  <c r="AX135" i="4" s="1"/>
  <c r="BD135" i="4" s="1"/>
  <c r="M136" i="4"/>
  <c r="AQ135" i="4"/>
  <c r="AW135" i="4" s="1"/>
  <c r="W134" i="4"/>
  <c r="CK134" i="4"/>
  <c r="BI134" i="4"/>
  <c r="BO132" i="4"/>
  <c r="BG132" i="4"/>
  <c r="BP132" i="4" s="1"/>
  <c r="BQ132" i="4" s="1"/>
  <c r="J414" i="4"/>
  <c r="S136" i="4"/>
  <c r="CG136" i="4"/>
  <c r="BK133" i="4"/>
  <c r="AU133" i="4"/>
  <c r="BA133" i="4" s="1"/>
  <c r="BH133" i="4"/>
  <c r="BV133" i="4" s="1"/>
  <c r="BY133" i="4" s="1"/>
  <c r="BV132" i="4"/>
  <c r="BY132" i="4" s="1"/>
  <c r="BL132" i="4"/>
  <c r="BC134" i="4"/>
  <c r="AN134" i="4" l="1"/>
  <c r="AT134" i="4" s="1"/>
  <c r="AZ134" i="4" s="1"/>
  <c r="BF134" i="4" s="1"/>
  <c r="AB135" i="4"/>
  <c r="AM134" i="4"/>
  <c r="AS134" i="4" s="1"/>
  <c r="AY134" i="4" s="1"/>
  <c r="BE134" i="4" s="1"/>
  <c r="AA135" i="4"/>
  <c r="AJ134" i="4"/>
  <c r="AP134" i="4" s="1"/>
  <c r="AV134" i="4" s="1"/>
  <c r="BB134" i="4" s="1"/>
  <c r="X135" i="4"/>
  <c r="BC135" i="4"/>
  <c r="BO133" i="4"/>
  <c r="BG133" i="4"/>
  <c r="BP133" i="4" s="1"/>
  <c r="BQ133" i="4" s="1"/>
  <c r="BI135" i="4"/>
  <c r="BS134" i="4"/>
  <c r="CE134" i="4"/>
  <c r="AC134" i="4"/>
  <c r="J416" i="4"/>
  <c r="BL133" i="4"/>
  <c r="BM132" i="4"/>
  <c r="BN132" i="4" s="1"/>
  <c r="T136" i="4"/>
  <c r="CH136" i="4"/>
  <c r="CA136" i="4"/>
  <c r="Y136" i="4"/>
  <c r="AJ135" i="4" l="1"/>
  <c r="AP135" i="4" s="1"/>
  <c r="AV135" i="4" s="1"/>
  <c r="K136" i="4"/>
  <c r="BB135" i="4"/>
  <c r="AM135" i="4"/>
  <c r="AS135" i="4" s="1"/>
  <c r="AY135" i="4" s="1"/>
  <c r="BE135" i="4" s="1"/>
  <c r="N136" i="4"/>
  <c r="AN135" i="4"/>
  <c r="AT135" i="4" s="1"/>
  <c r="AZ135" i="4" s="1"/>
  <c r="BF135" i="4" s="1"/>
  <c r="O136" i="4"/>
  <c r="AO134" i="4"/>
  <c r="AC135" i="4"/>
  <c r="BJ134" i="4"/>
  <c r="CB136" i="4"/>
  <c r="Z136" i="4"/>
  <c r="BS135" i="4"/>
  <c r="BM133" i="4"/>
  <c r="BN133" i="4" s="1"/>
  <c r="J418" i="4"/>
  <c r="Y137" i="4"/>
  <c r="AK136" i="4"/>
  <c r="V136" i="4" l="1"/>
  <c r="CJ136" i="4"/>
  <c r="CI136" i="4"/>
  <c r="U136" i="4"/>
  <c r="R136" i="4"/>
  <c r="CF136" i="4"/>
  <c r="AQ136" i="4"/>
  <c r="AW136" i="4" s="1"/>
  <c r="Z137" i="4"/>
  <c r="AL136" i="4"/>
  <c r="AR136" i="4" s="1"/>
  <c r="AX136" i="4" s="1"/>
  <c r="BD136" i="4" s="1"/>
  <c r="BK134" i="4"/>
  <c r="AO135" i="4"/>
  <c r="P136" i="4"/>
  <c r="BJ135" i="4"/>
  <c r="AU134" i="4"/>
  <c r="BA134" i="4" s="1"/>
  <c r="BH134" i="4"/>
  <c r="AK137" i="4"/>
  <c r="L138" i="4"/>
  <c r="J420" i="4"/>
  <c r="BZ136" i="4" l="1"/>
  <c r="X136" i="4"/>
  <c r="CC136" i="4"/>
  <c r="AA136" i="4"/>
  <c r="CD136" i="4"/>
  <c r="AB136" i="4"/>
  <c r="BK135" i="4"/>
  <c r="W136" i="4"/>
  <c r="CK136" i="4"/>
  <c r="BI136" i="4"/>
  <c r="AU135" i="4"/>
  <c r="BA135" i="4" s="1"/>
  <c r="BH135" i="4"/>
  <c r="BV135" i="4" s="1"/>
  <c r="BY135" i="4" s="1"/>
  <c r="S138" i="4"/>
  <c r="CG138" i="4"/>
  <c r="BV134" i="4"/>
  <c r="BY134" i="4" s="1"/>
  <c r="BL134" i="4"/>
  <c r="BO134" i="4"/>
  <c r="BG134" i="4"/>
  <c r="BP134" i="4" s="1"/>
  <c r="BQ134" i="4" s="1"/>
  <c r="J422" i="4"/>
  <c r="AQ137" i="4"/>
  <c r="AW137" i="4" s="1"/>
  <c r="AL137" i="4"/>
  <c r="AR137" i="4" s="1"/>
  <c r="AX137" i="4" s="1"/>
  <c r="BD137" i="4" s="1"/>
  <c r="M138" i="4"/>
  <c r="BC136" i="4"/>
  <c r="AB137" i="4" l="1"/>
  <c r="AN136" i="4"/>
  <c r="AT136" i="4" s="1"/>
  <c r="AZ136" i="4" s="1"/>
  <c r="BF136" i="4" s="1"/>
  <c r="AM136" i="4"/>
  <c r="AS136" i="4" s="1"/>
  <c r="AY136" i="4" s="1"/>
  <c r="BE136" i="4" s="1"/>
  <c r="AA137" i="4"/>
  <c r="AJ136" i="4"/>
  <c r="AP136" i="4" s="1"/>
  <c r="AV136" i="4" s="1"/>
  <c r="BB136" i="4" s="1"/>
  <c r="X137" i="4"/>
  <c r="BL135" i="4"/>
  <c r="BM134" i="4"/>
  <c r="BN134" i="4" s="1"/>
  <c r="CA138" i="4"/>
  <c r="Y138" i="4"/>
  <c r="BO135" i="4"/>
  <c r="BG135" i="4"/>
  <c r="BP135" i="4" s="1"/>
  <c r="BQ135" i="4" s="1"/>
  <c r="CE136" i="4"/>
  <c r="AC136" i="4"/>
  <c r="T138" i="4"/>
  <c r="CH138" i="4"/>
  <c r="BS136" i="4"/>
  <c r="BI137" i="4"/>
  <c r="BC137" i="4"/>
  <c r="J424" i="4"/>
  <c r="N138" i="4" l="1"/>
  <c r="AM137" i="4"/>
  <c r="AS137" i="4" s="1"/>
  <c r="AY137" i="4" s="1"/>
  <c r="BE137" i="4" s="1"/>
  <c r="K138" i="4"/>
  <c r="AJ137" i="4"/>
  <c r="AP137" i="4" s="1"/>
  <c r="AV137" i="4" s="1"/>
  <c r="BB137" i="4" s="1"/>
  <c r="AN137" i="4"/>
  <c r="AT137" i="4" s="1"/>
  <c r="AZ137" i="4" s="1"/>
  <c r="BF137" i="4" s="1"/>
  <c r="O138" i="4"/>
  <c r="BS137" i="4"/>
  <c r="J426" i="4"/>
  <c r="AC137" i="4"/>
  <c r="AO136" i="4"/>
  <c r="BJ136" i="4"/>
  <c r="CB138" i="4"/>
  <c r="Z138" i="4"/>
  <c r="BM135" i="4"/>
  <c r="BN135" i="4" s="1"/>
  <c r="Y139" i="4"/>
  <c r="AK138" i="4"/>
  <c r="CJ138" i="4" l="1"/>
  <c r="V138" i="4"/>
  <c r="R138" i="4"/>
  <c r="CF138" i="4"/>
  <c r="CI138" i="4"/>
  <c r="U138" i="4"/>
  <c r="BK136" i="4"/>
  <c r="J428" i="4"/>
  <c r="AK139" i="4"/>
  <c r="L140" i="4"/>
  <c r="AU136" i="4"/>
  <c r="BA136" i="4" s="1"/>
  <c r="BH136" i="4"/>
  <c r="AO137" i="4"/>
  <c r="P138" i="4"/>
  <c r="BJ137" i="4"/>
  <c r="AQ138" i="4"/>
  <c r="AW138" i="4" s="1"/>
  <c r="AL138" i="4"/>
  <c r="AR138" i="4" s="1"/>
  <c r="AX138" i="4" s="1"/>
  <c r="BD138" i="4" s="1"/>
  <c r="Z139" i="4"/>
  <c r="CC138" i="4" l="1"/>
  <c r="AA138" i="4"/>
  <c r="BZ138" i="4"/>
  <c r="X138" i="4"/>
  <c r="CD138" i="4"/>
  <c r="AB138" i="4"/>
  <c r="BO136" i="4"/>
  <c r="BG136" i="4"/>
  <c r="BP136" i="4" s="1"/>
  <c r="BQ136" i="4" s="1"/>
  <c r="AQ139" i="4"/>
  <c r="AW139" i="4" s="1"/>
  <c r="AU137" i="4"/>
  <c r="BA137" i="4" s="1"/>
  <c r="BH137" i="4"/>
  <c r="BV137" i="4" s="1"/>
  <c r="BY137" i="4" s="1"/>
  <c r="J430" i="4"/>
  <c r="S140" i="4"/>
  <c r="CG140" i="4"/>
  <c r="W138" i="4"/>
  <c r="CK138" i="4"/>
  <c r="BI138" i="4"/>
  <c r="BV136" i="4"/>
  <c r="BY136" i="4" s="1"/>
  <c r="BL136" i="4"/>
  <c r="AL139" i="4"/>
  <c r="AR139" i="4" s="1"/>
  <c r="AX139" i="4" s="1"/>
  <c r="BD139" i="4" s="1"/>
  <c r="M140" i="4"/>
  <c r="BC138" i="4"/>
  <c r="BK137" i="4"/>
  <c r="AN138" i="4" l="1"/>
  <c r="AT138" i="4" s="1"/>
  <c r="AZ138" i="4" s="1"/>
  <c r="BF138" i="4" s="1"/>
  <c r="AB139" i="4"/>
  <c r="AJ138" i="4"/>
  <c r="AP138" i="4" s="1"/>
  <c r="AV138" i="4" s="1"/>
  <c r="X139" i="4"/>
  <c r="BB138" i="4"/>
  <c r="AM138" i="4"/>
  <c r="AS138" i="4" s="1"/>
  <c r="AY138" i="4" s="1"/>
  <c r="BE138" i="4" s="1"/>
  <c r="AA139" i="4"/>
  <c r="J432" i="4"/>
  <c r="BI139" i="4"/>
  <c r="BS138" i="4"/>
  <c r="BO137" i="4"/>
  <c r="BG137" i="4"/>
  <c r="BP137" i="4" s="1"/>
  <c r="BQ137" i="4" s="1"/>
  <c r="CH140" i="4"/>
  <c r="T140" i="4"/>
  <c r="BC139" i="4"/>
  <c r="BL137" i="4"/>
  <c r="BM136" i="4"/>
  <c r="BN136" i="4" s="1"/>
  <c r="CA140" i="4"/>
  <c r="Y140" i="4"/>
  <c r="CE138" i="4"/>
  <c r="AC138" i="4"/>
  <c r="N140" i="4" l="1"/>
  <c r="AM139" i="4"/>
  <c r="AS139" i="4" s="1"/>
  <c r="AY139" i="4" s="1"/>
  <c r="BE139" i="4"/>
  <c r="K140" i="4"/>
  <c r="AJ139" i="4"/>
  <c r="AP139" i="4" s="1"/>
  <c r="AV139" i="4" s="1"/>
  <c r="BB139" i="4" s="1"/>
  <c r="AN139" i="4"/>
  <c r="AT139" i="4" s="1"/>
  <c r="AZ139" i="4" s="1"/>
  <c r="BF139" i="4" s="1"/>
  <c r="O140" i="4"/>
  <c r="J434" i="4"/>
  <c r="AK140" i="4"/>
  <c r="Y141" i="4"/>
  <c r="BM137" i="4"/>
  <c r="BN137" i="4" s="1"/>
  <c r="BS139" i="4"/>
  <c r="CB140" i="4"/>
  <c r="Z140" i="4"/>
  <c r="AC139" i="4"/>
  <c r="AO138" i="4"/>
  <c r="BJ138" i="4"/>
  <c r="CJ140" i="4" l="1"/>
  <c r="V140" i="4"/>
  <c r="CF140" i="4"/>
  <c r="R140" i="4"/>
  <c r="U140" i="4"/>
  <c r="CI140" i="4"/>
  <c r="AQ140" i="4"/>
  <c r="AW140" i="4" s="1"/>
  <c r="AO139" i="4"/>
  <c r="P140" i="4"/>
  <c r="BJ139" i="4"/>
  <c r="Z141" i="4"/>
  <c r="AL140" i="4"/>
  <c r="AR140" i="4" s="1"/>
  <c r="AX140" i="4" s="1"/>
  <c r="BD140" i="4" s="1"/>
  <c r="AU138" i="4"/>
  <c r="BA138" i="4" s="1"/>
  <c r="BH138" i="4"/>
  <c r="J436" i="4"/>
  <c r="BK138" i="4"/>
  <c r="AK141" i="4"/>
  <c r="L142" i="4"/>
  <c r="AA140" i="4" l="1"/>
  <c r="CC140" i="4"/>
  <c r="BZ140" i="4"/>
  <c r="X140" i="4"/>
  <c r="AB140" i="4"/>
  <c r="CD140" i="4"/>
  <c r="BV138" i="4"/>
  <c r="BY138" i="4" s="1"/>
  <c r="BL138" i="4"/>
  <c r="AQ141" i="4"/>
  <c r="AW141" i="4" s="1"/>
  <c r="BO138" i="4"/>
  <c r="BG138" i="4"/>
  <c r="BP138" i="4" s="1"/>
  <c r="BQ138" i="4" s="1"/>
  <c r="J438" i="4"/>
  <c r="AL141" i="4"/>
  <c r="AR141" i="4" s="1"/>
  <c r="AX141" i="4" s="1"/>
  <c r="BD141" i="4" s="1"/>
  <c r="M142" i="4"/>
  <c r="CK140" i="4"/>
  <c r="W140" i="4"/>
  <c r="BI140" i="4"/>
  <c r="AU139" i="4"/>
  <c r="BA139" i="4" s="1"/>
  <c r="BH139" i="4"/>
  <c r="BV139" i="4" s="1"/>
  <c r="BY139" i="4" s="1"/>
  <c r="S142" i="4"/>
  <c r="CG142" i="4"/>
  <c r="BK139" i="4"/>
  <c r="BC140" i="4"/>
  <c r="AN140" i="4" l="1"/>
  <c r="AT140" i="4" s="1"/>
  <c r="AZ140" i="4" s="1"/>
  <c r="BF140" i="4" s="1"/>
  <c r="AB141" i="4"/>
  <c r="X141" i="4"/>
  <c r="AJ140" i="4"/>
  <c r="AP140" i="4" s="1"/>
  <c r="AV140" i="4" s="1"/>
  <c r="BB140" i="4" s="1"/>
  <c r="AM140" i="4"/>
  <c r="AS140" i="4" s="1"/>
  <c r="AY140" i="4" s="1"/>
  <c r="BE140" i="4" s="1"/>
  <c r="AA141" i="4"/>
  <c r="CA142" i="4"/>
  <c r="Y142" i="4"/>
  <c r="J440" i="4"/>
  <c r="BC141" i="4"/>
  <c r="T142" i="4"/>
  <c r="CH142" i="4"/>
  <c r="BL139" i="4"/>
  <c r="BM138" i="4"/>
  <c r="BN138" i="4" s="1"/>
  <c r="BO139" i="4"/>
  <c r="BG139" i="4"/>
  <c r="BP139" i="4" s="1"/>
  <c r="BQ139" i="4" s="1"/>
  <c r="BI141" i="4"/>
  <c r="BS140" i="4"/>
  <c r="CE140" i="4"/>
  <c r="AC140" i="4"/>
  <c r="K142" i="4" l="1"/>
  <c r="AJ141" i="4"/>
  <c r="AP141" i="4" s="1"/>
  <c r="AV141" i="4" s="1"/>
  <c r="BB141" i="4"/>
  <c r="N142" i="4"/>
  <c r="AM141" i="4"/>
  <c r="AS141" i="4" s="1"/>
  <c r="AY141" i="4" s="1"/>
  <c r="BE141" i="4" s="1"/>
  <c r="AN141" i="4"/>
  <c r="AT141" i="4" s="1"/>
  <c r="AZ141" i="4" s="1"/>
  <c r="BF141" i="4" s="1"/>
  <c r="O142" i="4"/>
  <c r="J442" i="4"/>
  <c r="BM139" i="4"/>
  <c r="BN139" i="4" s="1"/>
  <c r="AO140" i="4"/>
  <c r="AC141" i="4"/>
  <c r="BJ140" i="4"/>
  <c r="BS141" i="4"/>
  <c r="CB142" i="4"/>
  <c r="Z142" i="4"/>
  <c r="AK142" i="4"/>
  <c r="Y143" i="4"/>
  <c r="CJ142" i="4" l="1"/>
  <c r="V142" i="4"/>
  <c r="U142" i="4"/>
  <c r="CI142" i="4"/>
  <c r="R142" i="4"/>
  <c r="CF142" i="4"/>
  <c r="J444" i="4"/>
  <c r="AQ142" i="4"/>
  <c r="AW142" i="4" s="1"/>
  <c r="AU140" i="4"/>
  <c r="BA140" i="4" s="1"/>
  <c r="BH140" i="4"/>
  <c r="AK143" i="4"/>
  <c r="L144" i="4"/>
  <c r="BK140" i="4"/>
  <c r="AO141" i="4"/>
  <c r="P142" i="4"/>
  <c r="BJ141" i="4"/>
  <c r="AL142" i="4"/>
  <c r="AR142" i="4" s="1"/>
  <c r="AX142" i="4" s="1"/>
  <c r="BD142" i="4" s="1"/>
  <c r="Z143" i="4"/>
  <c r="BZ142" i="4" l="1"/>
  <c r="X142" i="4"/>
  <c r="AA142" i="4"/>
  <c r="CC142" i="4"/>
  <c r="CD142" i="4"/>
  <c r="AB142" i="4"/>
  <c r="S144" i="4"/>
  <c r="CG144" i="4"/>
  <c r="BO140" i="4"/>
  <c r="BG140" i="4"/>
  <c r="BP140" i="4" s="1"/>
  <c r="BQ140" i="4" s="1"/>
  <c r="AU141" i="4"/>
  <c r="BA141" i="4" s="1"/>
  <c r="BH141" i="4"/>
  <c r="BV141" i="4" s="1"/>
  <c r="BY141" i="4" s="1"/>
  <c r="W142" i="4"/>
  <c r="CK142" i="4"/>
  <c r="BI142" i="4"/>
  <c r="BK141" i="4"/>
  <c r="BC142" i="4"/>
  <c r="AQ143" i="4"/>
  <c r="AW143" i="4" s="1"/>
  <c r="BV140" i="4"/>
  <c r="BY140" i="4" s="1"/>
  <c r="BL140" i="4"/>
  <c r="AL143" i="4"/>
  <c r="AR143" i="4" s="1"/>
  <c r="AX143" i="4" s="1"/>
  <c r="BD143" i="4" s="1"/>
  <c r="M144" i="4"/>
  <c r="J446" i="4"/>
  <c r="AN142" i="4" l="1"/>
  <c r="AT142" i="4" s="1"/>
  <c r="AZ142" i="4" s="1"/>
  <c r="BF142" i="4" s="1"/>
  <c r="AB143" i="4"/>
  <c r="AM142" i="4"/>
  <c r="AS142" i="4" s="1"/>
  <c r="AY142" i="4" s="1"/>
  <c r="BE142" i="4" s="1"/>
  <c r="AA143" i="4"/>
  <c r="AJ142" i="4"/>
  <c r="AP142" i="4" s="1"/>
  <c r="AV142" i="4" s="1"/>
  <c r="BB142" i="4" s="1"/>
  <c r="X143" i="4"/>
  <c r="BS142" i="4"/>
  <c r="BI143" i="4"/>
  <c r="CE142" i="4"/>
  <c r="AC142" i="4"/>
  <c r="BL141" i="4"/>
  <c r="BM140" i="4"/>
  <c r="BN140" i="4" s="1"/>
  <c r="BO141" i="4"/>
  <c r="BG141" i="4"/>
  <c r="BP141" i="4" s="1"/>
  <c r="BQ141" i="4" s="1"/>
  <c r="J448" i="4"/>
  <c r="BC143" i="4"/>
  <c r="T144" i="4"/>
  <c r="CH144" i="4"/>
  <c r="CA144" i="4"/>
  <c r="Y144" i="4"/>
  <c r="N144" i="4" l="1"/>
  <c r="AM143" i="4"/>
  <c r="AS143" i="4" s="1"/>
  <c r="AY143" i="4" s="1"/>
  <c r="BE143" i="4" s="1"/>
  <c r="AJ143" i="4"/>
  <c r="AP143" i="4" s="1"/>
  <c r="AV143" i="4" s="1"/>
  <c r="BB143" i="4" s="1"/>
  <c r="K144" i="4"/>
  <c r="O144" i="4"/>
  <c r="AN143" i="4"/>
  <c r="AT143" i="4" s="1"/>
  <c r="AZ143" i="4" s="1"/>
  <c r="BF143" i="4" s="1"/>
  <c r="BM141" i="4"/>
  <c r="BN141" i="4" s="1"/>
  <c r="AC143" i="4"/>
  <c r="AO142" i="4"/>
  <c r="BJ142" i="4"/>
  <c r="Y145" i="4"/>
  <c r="AK144" i="4"/>
  <c r="BS143" i="4"/>
  <c r="CB144" i="4"/>
  <c r="Z144" i="4"/>
  <c r="J450" i="4"/>
  <c r="V144" i="4" l="1"/>
  <c r="CJ144" i="4"/>
  <c r="R144" i="4"/>
  <c r="CF144" i="4"/>
  <c r="CI144" i="4"/>
  <c r="U144" i="4"/>
  <c r="J452" i="4"/>
  <c r="BK142" i="4"/>
  <c r="AU142" i="4"/>
  <c r="BA142" i="4" s="1"/>
  <c r="BH142" i="4"/>
  <c r="Z145" i="4"/>
  <c r="AL144" i="4"/>
  <c r="AR144" i="4" s="1"/>
  <c r="AX144" i="4" s="1"/>
  <c r="BD144" i="4" s="1"/>
  <c r="AQ144" i="4"/>
  <c r="AW144" i="4" s="1"/>
  <c r="AK145" i="4"/>
  <c r="L146" i="4"/>
  <c r="AO143" i="4"/>
  <c r="P144" i="4"/>
  <c r="BJ143" i="4"/>
  <c r="CC144" i="4" l="1"/>
  <c r="AA144" i="4"/>
  <c r="BZ144" i="4"/>
  <c r="X144" i="4"/>
  <c r="CD144" i="4"/>
  <c r="AB144" i="4"/>
  <c r="W144" i="4"/>
  <c r="CK144" i="4"/>
  <c r="BI144" i="4"/>
  <c r="AL145" i="4"/>
  <c r="AR145" i="4" s="1"/>
  <c r="AX145" i="4" s="1"/>
  <c r="BD145" i="4" s="1"/>
  <c r="M146" i="4"/>
  <c r="S146" i="4"/>
  <c r="CG146" i="4"/>
  <c r="AU143" i="4"/>
  <c r="BA143" i="4" s="1"/>
  <c r="BH143" i="4"/>
  <c r="BV143" i="4" s="1"/>
  <c r="BY143" i="4" s="1"/>
  <c r="BC144" i="4"/>
  <c r="BK143" i="4"/>
  <c r="BO142" i="4"/>
  <c r="BG142" i="4"/>
  <c r="BP142" i="4" s="1"/>
  <c r="BQ142" i="4" s="1"/>
  <c r="AQ145" i="4"/>
  <c r="AW145" i="4" s="1"/>
  <c r="BV142" i="4"/>
  <c r="BY142" i="4" s="1"/>
  <c r="BL142" i="4"/>
  <c r="J454" i="4"/>
  <c r="AB145" i="4" l="1"/>
  <c r="AN144" i="4"/>
  <c r="AT144" i="4" s="1"/>
  <c r="AZ144" i="4" s="1"/>
  <c r="BF144" i="4"/>
  <c r="X145" i="4"/>
  <c r="AJ144" i="4"/>
  <c r="AP144" i="4" s="1"/>
  <c r="AV144" i="4" s="1"/>
  <c r="BB144" i="4" s="1"/>
  <c r="AA145" i="4"/>
  <c r="AM144" i="4"/>
  <c r="AS144" i="4" s="1"/>
  <c r="AY144" i="4" s="1"/>
  <c r="BE144" i="4" s="1"/>
  <c r="BC145" i="4"/>
  <c r="CH146" i="4"/>
  <c r="T146" i="4"/>
  <c r="BI145" i="4"/>
  <c r="BS144" i="4"/>
  <c r="BO143" i="4"/>
  <c r="BG143" i="4"/>
  <c r="BP143" i="4" s="1"/>
  <c r="BQ143" i="4" s="1"/>
  <c r="J456" i="4"/>
  <c r="BL143" i="4"/>
  <c r="BM142" i="4"/>
  <c r="BN142" i="4" s="1"/>
  <c r="CA146" i="4"/>
  <c r="Y146" i="4"/>
  <c r="CE144" i="4"/>
  <c r="AC144" i="4"/>
  <c r="AM145" i="4" l="1"/>
  <c r="AS145" i="4" s="1"/>
  <c r="AY145" i="4" s="1"/>
  <c r="BE145" i="4" s="1"/>
  <c r="N146" i="4"/>
  <c r="AJ145" i="4"/>
  <c r="AP145" i="4" s="1"/>
  <c r="AV145" i="4" s="1"/>
  <c r="BB145" i="4" s="1"/>
  <c r="K146" i="4"/>
  <c r="AN145" i="4"/>
  <c r="AT145" i="4" s="1"/>
  <c r="AZ145" i="4" s="1"/>
  <c r="BF145" i="4" s="1"/>
  <c r="O146" i="4"/>
  <c r="Y147" i="4"/>
  <c r="AK146" i="4"/>
  <c r="J458" i="4"/>
  <c r="CB146" i="4"/>
  <c r="Z146" i="4"/>
  <c r="BS145" i="4"/>
  <c r="AC145" i="4"/>
  <c r="AO144" i="4"/>
  <c r="BJ144" i="4"/>
  <c r="BM143" i="4"/>
  <c r="BN143" i="4" s="1"/>
  <c r="R146" i="4" l="1"/>
  <c r="CF146" i="4"/>
  <c r="CJ146" i="4"/>
  <c r="V146" i="4"/>
  <c r="U146" i="4"/>
  <c r="CI146" i="4"/>
  <c r="AL146" i="4"/>
  <c r="AR146" i="4" s="1"/>
  <c r="AX146" i="4" s="1"/>
  <c r="BD146" i="4" s="1"/>
  <c r="Z147" i="4"/>
  <c r="AU144" i="4"/>
  <c r="BA144" i="4" s="1"/>
  <c r="BH144" i="4"/>
  <c r="AO145" i="4"/>
  <c r="P146" i="4"/>
  <c r="BJ145" i="4"/>
  <c r="AK147" i="4"/>
  <c r="L148" i="4"/>
  <c r="J460" i="4"/>
  <c r="BK144" i="4"/>
  <c r="AQ146" i="4"/>
  <c r="AW146" i="4" s="1"/>
  <c r="AA146" i="4" l="1"/>
  <c r="CC146" i="4"/>
  <c r="CD146" i="4"/>
  <c r="AB146" i="4"/>
  <c r="BZ146" i="4"/>
  <c r="X146" i="4"/>
  <c r="AU145" i="4"/>
  <c r="BA145" i="4" s="1"/>
  <c r="BH145" i="4"/>
  <c r="BV145" i="4" s="1"/>
  <c r="BY145" i="4" s="1"/>
  <c r="J462" i="4"/>
  <c r="S148" i="4"/>
  <c r="CG148" i="4"/>
  <c r="W146" i="4"/>
  <c r="CK146" i="4"/>
  <c r="BI146" i="4"/>
  <c r="BV144" i="4"/>
  <c r="BY144" i="4" s="1"/>
  <c r="BL144" i="4"/>
  <c r="AL147" i="4"/>
  <c r="AR147" i="4" s="1"/>
  <c r="AX147" i="4" s="1"/>
  <c r="BD147" i="4" s="1"/>
  <c r="M148" i="4"/>
  <c r="BO144" i="4"/>
  <c r="BG144" i="4"/>
  <c r="BP144" i="4" s="1"/>
  <c r="BQ144" i="4" s="1"/>
  <c r="BC146" i="4"/>
  <c r="AQ147" i="4"/>
  <c r="AW147" i="4" s="1"/>
  <c r="BK145" i="4"/>
  <c r="AB147" i="4" l="1"/>
  <c r="AN146" i="4"/>
  <c r="AT146" i="4" s="1"/>
  <c r="AZ146" i="4" s="1"/>
  <c r="BF146" i="4" s="1"/>
  <c r="AJ146" i="4"/>
  <c r="AP146" i="4" s="1"/>
  <c r="AV146" i="4" s="1"/>
  <c r="BB146" i="4" s="1"/>
  <c r="X147" i="4"/>
  <c r="AM146" i="4"/>
  <c r="AS146" i="4" s="1"/>
  <c r="AY146" i="4" s="1"/>
  <c r="BE146" i="4" s="1"/>
  <c r="AA147" i="4"/>
  <c r="T148" i="4"/>
  <c r="CH148" i="4"/>
  <c r="BC147" i="4"/>
  <c r="J464" i="4"/>
  <c r="BL145" i="4"/>
  <c r="BM144" i="4"/>
  <c r="BN144" i="4" s="1"/>
  <c r="CA148" i="4"/>
  <c r="Y148" i="4"/>
  <c r="BO145" i="4"/>
  <c r="BG145" i="4"/>
  <c r="BP145" i="4" s="1"/>
  <c r="BQ145" i="4" s="1"/>
  <c r="BI147" i="4"/>
  <c r="BS146" i="4"/>
  <c r="CE146" i="4"/>
  <c r="AC146" i="4"/>
  <c r="K148" i="4" l="1"/>
  <c r="AJ147" i="4"/>
  <c r="AP147" i="4" s="1"/>
  <c r="AV147" i="4" s="1"/>
  <c r="BB147" i="4"/>
  <c r="N148" i="4"/>
  <c r="AM147" i="4"/>
  <c r="AS147" i="4" s="1"/>
  <c r="AY147" i="4" s="1"/>
  <c r="BE147" i="4" s="1"/>
  <c r="O148" i="4"/>
  <c r="AN147" i="4"/>
  <c r="AT147" i="4" s="1"/>
  <c r="AZ147" i="4" s="1"/>
  <c r="BF147" i="4" s="1"/>
  <c r="BS147" i="4"/>
  <c r="Y149" i="4"/>
  <c r="AK148" i="4"/>
  <c r="AC147" i="4"/>
  <c r="AO146" i="4"/>
  <c r="BJ146" i="4"/>
  <c r="BM145" i="4"/>
  <c r="BN145" i="4" s="1"/>
  <c r="J466" i="4"/>
  <c r="CB148" i="4"/>
  <c r="Z148" i="4"/>
  <c r="U148" i="4" l="1"/>
  <c r="CI148" i="4"/>
  <c r="CJ148" i="4"/>
  <c r="V148" i="4"/>
  <c r="R148" i="4"/>
  <c r="CF148" i="4"/>
  <c r="J468" i="4"/>
  <c r="AQ148" i="4"/>
  <c r="AW148" i="4" s="1"/>
  <c r="BK146" i="4"/>
  <c r="AU146" i="4"/>
  <c r="BA146" i="4" s="1"/>
  <c r="BH146" i="4"/>
  <c r="AK149" i="4"/>
  <c r="L150" i="4"/>
  <c r="AO147" i="4"/>
  <c r="P148" i="4"/>
  <c r="BJ147" i="4"/>
  <c r="Z149" i="4"/>
  <c r="AL148" i="4"/>
  <c r="AR148" i="4" s="1"/>
  <c r="AX148" i="4" s="1"/>
  <c r="BD148" i="4" s="1"/>
  <c r="BZ148" i="4" l="1"/>
  <c r="X148" i="4"/>
  <c r="AB148" i="4"/>
  <c r="CD148" i="4"/>
  <c r="CC148" i="4"/>
  <c r="AA148" i="4"/>
  <c r="BO146" i="4"/>
  <c r="BG146" i="4"/>
  <c r="BP146" i="4" s="1"/>
  <c r="BQ146" i="4" s="1"/>
  <c r="AU147" i="4"/>
  <c r="BA147" i="4" s="1"/>
  <c r="BH147" i="4"/>
  <c r="BV147" i="4" s="1"/>
  <c r="BY147" i="4" s="1"/>
  <c r="S150" i="4"/>
  <c r="CG150" i="4"/>
  <c r="BK147" i="4"/>
  <c r="BV146" i="4"/>
  <c r="BY146" i="4" s="1"/>
  <c r="BL146" i="4"/>
  <c r="BC148" i="4"/>
  <c r="J470" i="4"/>
  <c r="AL149" i="4"/>
  <c r="AR149" i="4" s="1"/>
  <c r="AX149" i="4" s="1"/>
  <c r="BD149" i="4" s="1"/>
  <c r="M150" i="4"/>
  <c r="AQ149" i="4"/>
  <c r="AW149" i="4" s="1"/>
  <c r="W148" i="4"/>
  <c r="CK148" i="4"/>
  <c r="BI148" i="4"/>
  <c r="AA149" i="4" l="1"/>
  <c r="AM148" i="4"/>
  <c r="AS148" i="4" s="1"/>
  <c r="AY148" i="4" s="1"/>
  <c r="BE148" i="4" s="1"/>
  <c r="AB149" i="4"/>
  <c r="AN148" i="4"/>
  <c r="AT148" i="4" s="1"/>
  <c r="AZ148" i="4" s="1"/>
  <c r="BF148" i="4" s="1"/>
  <c r="AJ148" i="4"/>
  <c r="AP148" i="4" s="1"/>
  <c r="AV148" i="4" s="1"/>
  <c r="BB148" i="4" s="1"/>
  <c r="X149" i="4"/>
  <c r="BI149" i="4"/>
  <c r="BS148" i="4"/>
  <c r="BL147" i="4"/>
  <c r="BM146" i="4"/>
  <c r="BN146" i="4" s="1"/>
  <c r="BC149" i="4"/>
  <c r="BO147" i="4"/>
  <c r="BG147" i="4"/>
  <c r="BP147" i="4" s="1"/>
  <c r="BQ147" i="4" s="1"/>
  <c r="T150" i="4"/>
  <c r="CH150" i="4"/>
  <c r="CA150" i="4"/>
  <c r="Y150" i="4"/>
  <c r="J472" i="4"/>
  <c r="CE148" i="4"/>
  <c r="AC148" i="4"/>
  <c r="K150" i="4" l="1"/>
  <c r="AJ149" i="4"/>
  <c r="AP149" i="4" s="1"/>
  <c r="AV149" i="4" s="1"/>
  <c r="BB149" i="4" s="1"/>
  <c r="AN149" i="4"/>
  <c r="AT149" i="4" s="1"/>
  <c r="AZ149" i="4" s="1"/>
  <c r="BF149" i="4" s="1"/>
  <c r="O150" i="4"/>
  <c r="N150" i="4"/>
  <c r="AM149" i="4"/>
  <c r="AS149" i="4" s="1"/>
  <c r="AY149" i="4" s="1"/>
  <c r="BE149" i="4" s="1"/>
  <c r="BS149" i="4"/>
  <c r="CB150" i="4"/>
  <c r="Z150" i="4"/>
  <c r="J474" i="4"/>
  <c r="BM147" i="4"/>
  <c r="BN147" i="4" s="1"/>
  <c r="Y151" i="4"/>
  <c r="AK150" i="4"/>
  <c r="AC149" i="4"/>
  <c r="AO148" i="4"/>
  <c r="BJ148" i="4"/>
  <c r="CI150" i="4" l="1"/>
  <c r="U150" i="4"/>
  <c r="CJ150" i="4"/>
  <c r="V150" i="4"/>
  <c r="CF150" i="4"/>
  <c r="R150" i="4"/>
  <c r="BK148" i="4"/>
  <c r="AO149" i="4"/>
  <c r="P150" i="4"/>
  <c r="BJ149" i="4"/>
  <c r="AQ150" i="4"/>
  <c r="AW150" i="4" s="1"/>
  <c r="AU148" i="4"/>
  <c r="BA148" i="4" s="1"/>
  <c r="BH148" i="4"/>
  <c r="Z151" i="4"/>
  <c r="AL150" i="4"/>
  <c r="AR150" i="4" s="1"/>
  <c r="AX150" i="4" s="1"/>
  <c r="BD150" i="4" s="1"/>
  <c r="J476" i="4"/>
  <c r="AK151" i="4"/>
  <c r="L152" i="4"/>
  <c r="BZ150" i="4" l="1"/>
  <c r="X150" i="4"/>
  <c r="AB150" i="4"/>
  <c r="CD150" i="4"/>
  <c r="CC150" i="4"/>
  <c r="AA150" i="4"/>
  <c r="AQ151" i="4"/>
  <c r="AW151" i="4" s="1"/>
  <c r="AU149" i="4"/>
  <c r="BA149" i="4" s="1"/>
  <c r="BH149" i="4"/>
  <c r="BV149" i="4" s="1"/>
  <c r="BY149" i="4" s="1"/>
  <c r="S152" i="4"/>
  <c r="CG152" i="4"/>
  <c r="AL151" i="4"/>
  <c r="AR151" i="4" s="1"/>
  <c r="AX151" i="4" s="1"/>
  <c r="BD151" i="4" s="1"/>
  <c r="M152" i="4"/>
  <c r="BO148" i="4"/>
  <c r="BG148" i="4"/>
  <c r="BP148" i="4" s="1"/>
  <c r="BQ148" i="4" s="1"/>
  <c r="BK149" i="4"/>
  <c r="W150" i="4"/>
  <c r="CK150" i="4"/>
  <c r="BI150" i="4"/>
  <c r="BV148" i="4"/>
  <c r="BY148" i="4" s="1"/>
  <c r="BL148" i="4"/>
  <c r="BC150" i="4"/>
  <c r="J478" i="4"/>
  <c r="AM150" i="4" l="1"/>
  <c r="AS150" i="4" s="1"/>
  <c r="AY150" i="4" s="1"/>
  <c r="BE150" i="4" s="1"/>
  <c r="AA151" i="4"/>
  <c r="AN150" i="4"/>
  <c r="AT150" i="4" s="1"/>
  <c r="AZ150" i="4" s="1"/>
  <c r="BF150" i="4" s="1"/>
  <c r="AB151" i="4"/>
  <c r="AJ150" i="4"/>
  <c r="AP150" i="4" s="1"/>
  <c r="AV150" i="4" s="1"/>
  <c r="BB150" i="4" s="1"/>
  <c r="X151" i="4"/>
  <c r="J480" i="4"/>
  <c r="BC151" i="4"/>
  <c r="BL149" i="4"/>
  <c r="BM148" i="4"/>
  <c r="BN148" i="4" s="1"/>
  <c r="T152" i="4"/>
  <c r="CH152" i="4"/>
  <c r="CA152" i="4"/>
  <c r="Y152" i="4"/>
  <c r="BS150" i="4"/>
  <c r="BI151" i="4"/>
  <c r="BO149" i="4"/>
  <c r="BG149" i="4"/>
  <c r="BP149" i="4" s="1"/>
  <c r="BQ149" i="4" s="1"/>
  <c r="CE150" i="4"/>
  <c r="AC150" i="4"/>
  <c r="K152" i="4" l="1"/>
  <c r="AJ151" i="4"/>
  <c r="AP151" i="4" s="1"/>
  <c r="AV151" i="4" s="1"/>
  <c r="BB151" i="4"/>
  <c r="AN151" i="4"/>
  <c r="AT151" i="4" s="1"/>
  <c r="AZ151" i="4" s="1"/>
  <c r="BF151" i="4" s="1"/>
  <c r="O152" i="4"/>
  <c r="AM151" i="4"/>
  <c r="AS151" i="4" s="1"/>
  <c r="AY151" i="4" s="1"/>
  <c r="BE151" i="4" s="1"/>
  <c r="N152" i="4"/>
  <c r="BS151" i="4"/>
  <c r="BM149" i="4"/>
  <c r="BN149" i="4" s="1"/>
  <c r="AO150" i="4"/>
  <c r="AC151" i="4"/>
  <c r="BJ150" i="4"/>
  <c r="CB152" i="4"/>
  <c r="Z152" i="4"/>
  <c r="AK152" i="4"/>
  <c r="Y153" i="4"/>
  <c r="J482" i="4"/>
  <c r="V152" i="4" l="1"/>
  <c r="CJ152" i="4"/>
  <c r="U152" i="4"/>
  <c r="CI152" i="4"/>
  <c r="CF152" i="4"/>
  <c r="R152" i="4"/>
  <c r="AQ152" i="4"/>
  <c r="AW152" i="4" s="1"/>
  <c r="BK150" i="4"/>
  <c r="AO151" i="4"/>
  <c r="P152" i="4"/>
  <c r="BJ151" i="4"/>
  <c r="Z153" i="4"/>
  <c r="AL152" i="4"/>
  <c r="AR152" i="4" s="1"/>
  <c r="AX152" i="4" s="1"/>
  <c r="BD152" i="4" s="1"/>
  <c r="J484" i="4"/>
  <c r="AU150" i="4"/>
  <c r="BA150" i="4" s="1"/>
  <c r="BH150" i="4"/>
  <c r="AK153" i="4"/>
  <c r="L154" i="4"/>
  <c r="BZ152" i="4" l="1"/>
  <c r="X152" i="4"/>
  <c r="AA152" i="4"/>
  <c r="CC152" i="4"/>
  <c r="AB152" i="4"/>
  <c r="CD152" i="4"/>
  <c r="J486" i="4"/>
  <c r="BV150" i="4"/>
  <c r="BY150" i="4" s="1"/>
  <c r="BL150" i="4"/>
  <c r="BK151" i="4"/>
  <c r="W152" i="4"/>
  <c r="CK152" i="4"/>
  <c r="BI152" i="4"/>
  <c r="S154" i="4"/>
  <c r="CG154" i="4"/>
  <c r="AQ153" i="4"/>
  <c r="AW153" i="4" s="1"/>
  <c r="BO150" i="4"/>
  <c r="BG150" i="4"/>
  <c r="BP150" i="4" s="1"/>
  <c r="BQ150" i="4" s="1"/>
  <c r="AL153" i="4"/>
  <c r="AR153" i="4" s="1"/>
  <c r="AX153" i="4" s="1"/>
  <c r="BD153" i="4" s="1"/>
  <c r="M154" i="4"/>
  <c r="AU151" i="4"/>
  <c r="BA151" i="4" s="1"/>
  <c r="BH151" i="4"/>
  <c r="BV151" i="4" s="1"/>
  <c r="BY151" i="4" s="1"/>
  <c r="BC152" i="4"/>
  <c r="AN152" i="4" l="1"/>
  <c r="AT152" i="4" s="1"/>
  <c r="AZ152" i="4" s="1"/>
  <c r="BF152" i="4" s="1"/>
  <c r="AB153" i="4"/>
  <c r="AA153" i="4"/>
  <c r="AM152" i="4"/>
  <c r="AS152" i="4" s="1"/>
  <c r="AY152" i="4" s="1"/>
  <c r="BE152" i="4" s="1"/>
  <c r="X153" i="4"/>
  <c r="AJ152" i="4"/>
  <c r="AP152" i="4" s="1"/>
  <c r="AV152" i="4" s="1"/>
  <c r="BB152" i="4" s="1"/>
  <c r="CA154" i="4"/>
  <c r="Y154" i="4"/>
  <c r="T154" i="4"/>
  <c r="CH154" i="4"/>
  <c r="BC153" i="4"/>
  <c r="BS152" i="4"/>
  <c r="BI153" i="4"/>
  <c r="BO151" i="4"/>
  <c r="BG151" i="4"/>
  <c r="BP151" i="4" s="1"/>
  <c r="BQ151" i="4" s="1"/>
  <c r="CE152" i="4"/>
  <c r="AC152" i="4"/>
  <c r="BL151" i="4"/>
  <c r="BM150" i="4"/>
  <c r="BN150" i="4" s="1"/>
  <c r="J488" i="4"/>
  <c r="K154" i="4" l="1"/>
  <c r="AJ153" i="4"/>
  <c r="AP153" i="4" s="1"/>
  <c r="AV153" i="4" s="1"/>
  <c r="BB153" i="4"/>
  <c r="AM153" i="4"/>
  <c r="AS153" i="4" s="1"/>
  <c r="AY153" i="4" s="1"/>
  <c r="BE153" i="4" s="1"/>
  <c r="N154" i="4"/>
  <c r="AN153" i="4"/>
  <c r="AT153" i="4" s="1"/>
  <c r="AZ153" i="4" s="1"/>
  <c r="BF153" i="4" s="1"/>
  <c r="O154" i="4"/>
  <c r="BS153" i="4"/>
  <c r="CB154" i="4"/>
  <c r="Z154" i="4"/>
  <c r="Y155" i="4"/>
  <c r="AK154" i="4"/>
  <c r="BM151" i="4"/>
  <c r="BN151" i="4" s="1"/>
  <c r="AC153" i="4"/>
  <c r="AO152" i="4"/>
  <c r="BJ152" i="4"/>
  <c r="J490" i="4"/>
  <c r="U154" i="4" l="1"/>
  <c r="CI154" i="4"/>
  <c r="CJ154" i="4"/>
  <c r="V154" i="4"/>
  <c r="CF154" i="4"/>
  <c r="R154" i="4"/>
  <c r="BK152" i="4"/>
  <c r="J492" i="4"/>
  <c r="AO153" i="4"/>
  <c r="P154" i="4"/>
  <c r="BJ153" i="4"/>
  <c r="AQ154" i="4"/>
  <c r="AW154" i="4" s="1"/>
  <c r="AK155" i="4"/>
  <c r="L156" i="4"/>
  <c r="AU152" i="4"/>
  <c r="BA152" i="4" s="1"/>
  <c r="BH152" i="4"/>
  <c r="AL154" i="4"/>
  <c r="AR154" i="4" s="1"/>
  <c r="AX154" i="4" s="1"/>
  <c r="BD154" i="4" s="1"/>
  <c r="Z155" i="4"/>
  <c r="BZ154" i="4" l="1"/>
  <c r="X154" i="4"/>
  <c r="CD154" i="4"/>
  <c r="AB154" i="4"/>
  <c r="CC154" i="4"/>
  <c r="AA154" i="4"/>
  <c r="CK154" i="4"/>
  <c r="W154" i="4"/>
  <c r="BI154" i="4"/>
  <c r="S156" i="4"/>
  <c r="CG156" i="4"/>
  <c r="BK153" i="4"/>
  <c r="BO152" i="4"/>
  <c r="BG152" i="4"/>
  <c r="BP152" i="4" s="1"/>
  <c r="BQ152" i="4" s="1"/>
  <c r="J494" i="4"/>
  <c r="AL155" i="4"/>
  <c r="AR155" i="4" s="1"/>
  <c r="AX155" i="4" s="1"/>
  <c r="BD155" i="4" s="1"/>
  <c r="M156" i="4"/>
  <c r="BV152" i="4"/>
  <c r="BY152" i="4" s="1"/>
  <c r="BL152" i="4"/>
  <c r="AU153" i="4"/>
  <c r="BA153" i="4" s="1"/>
  <c r="BH153" i="4"/>
  <c r="BV153" i="4" s="1"/>
  <c r="BY153" i="4" s="1"/>
  <c r="AQ155" i="4"/>
  <c r="AW155" i="4" s="1"/>
  <c r="BC154" i="4"/>
  <c r="AM154" i="4" l="1"/>
  <c r="AS154" i="4" s="1"/>
  <c r="AY154" i="4" s="1"/>
  <c r="BE154" i="4" s="1"/>
  <c r="AA155" i="4"/>
  <c r="AB155" i="4"/>
  <c r="AN154" i="4"/>
  <c r="AT154" i="4" s="1"/>
  <c r="AZ154" i="4" s="1"/>
  <c r="BF154" i="4" s="1"/>
  <c r="X155" i="4"/>
  <c r="AJ154" i="4"/>
  <c r="AP154" i="4" s="1"/>
  <c r="AV154" i="4" s="1"/>
  <c r="BB154" i="4" s="1"/>
  <c r="T156" i="4"/>
  <c r="CH156" i="4"/>
  <c r="CA156" i="4"/>
  <c r="Y156" i="4"/>
  <c r="BI155" i="4"/>
  <c r="BS154" i="4"/>
  <c r="J496" i="4"/>
  <c r="BL153" i="4"/>
  <c r="BM152" i="4"/>
  <c r="BN152" i="4" s="1"/>
  <c r="CE154" i="4"/>
  <c r="AC154" i="4"/>
  <c r="BC155" i="4"/>
  <c r="BO153" i="4"/>
  <c r="BG153" i="4"/>
  <c r="BP153" i="4" s="1"/>
  <c r="BQ153" i="4" s="1"/>
  <c r="K156" i="4" l="1"/>
  <c r="AJ155" i="4"/>
  <c r="AP155" i="4" s="1"/>
  <c r="AV155" i="4" s="1"/>
  <c r="BB155" i="4"/>
  <c r="AN155" i="4"/>
  <c r="AT155" i="4" s="1"/>
  <c r="AZ155" i="4" s="1"/>
  <c r="BF155" i="4" s="1"/>
  <c r="O156" i="4"/>
  <c r="AM155" i="4"/>
  <c r="AS155" i="4" s="1"/>
  <c r="AY155" i="4" s="1"/>
  <c r="BE155" i="4" s="1"/>
  <c r="N156" i="4"/>
  <c r="AC155" i="4"/>
  <c r="AO154" i="4"/>
  <c r="BJ154" i="4"/>
  <c r="Y157" i="4"/>
  <c r="AK156" i="4"/>
  <c r="J498" i="4"/>
  <c r="BS155" i="4"/>
  <c r="BM153" i="4"/>
  <c r="BN153" i="4" s="1"/>
  <c r="CB156" i="4"/>
  <c r="Z156" i="4"/>
  <c r="V156" i="4" l="1"/>
  <c r="CJ156" i="4"/>
  <c r="CI156" i="4"/>
  <c r="U156" i="4"/>
  <c r="CF156" i="4"/>
  <c r="R156" i="4"/>
  <c r="AQ156" i="4"/>
  <c r="AW156" i="4" s="1"/>
  <c r="AK157" i="4"/>
  <c r="L158" i="4"/>
  <c r="AU154" i="4"/>
  <c r="BA154" i="4" s="1"/>
  <c r="BH154" i="4"/>
  <c r="BK154" i="4"/>
  <c r="AO155" i="4"/>
  <c r="P156" i="4"/>
  <c r="BJ155" i="4"/>
  <c r="AL156" i="4"/>
  <c r="AR156" i="4" s="1"/>
  <c r="AX156" i="4" s="1"/>
  <c r="BD156" i="4" s="1"/>
  <c r="Z157" i="4"/>
  <c r="J500" i="4"/>
  <c r="BZ156" i="4" l="1"/>
  <c r="X156" i="4"/>
  <c r="CC156" i="4"/>
  <c r="AA156" i="4"/>
  <c r="CD156" i="4"/>
  <c r="AB156" i="4"/>
  <c r="AL157" i="4"/>
  <c r="AR157" i="4" s="1"/>
  <c r="AX157" i="4" s="1"/>
  <c r="BD157" i="4" s="1"/>
  <c r="M158" i="4"/>
  <c r="BK155" i="4"/>
  <c r="BV154" i="4"/>
  <c r="BY154" i="4" s="1"/>
  <c r="BL154" i="4"/>
  <c r="AQ157" i="4"/>
  <c r="AW157" i="4" s="1"/>
  <c r="BC156" i="4"/>
  <c r="AU155" i="4"/>
  <c r="BA155" i="4" s="1"/>
  <c r="BH155" i="4"/>
  <c r="BV155" i="4" s="1"/>
  <c r="BY155" i="4" s="1"/>
  <c r="BO154" i="4"/>
  <c r="BG154" i="4"/>
  <c r="BP154" i="4" s="1"/>
  <c r="BQ154" i="4" s="1"/>
  <c r="S158" i="4"/>
  <c r="CG158" i="4"/>
  <c r="W156" i="4"/>
  <c r="CK156" i="4"/>
  <c r="BI156" i="4"/>
  <c r="J502" i="4"/>
  <c r="AN156" i="4" l="1"/>
  <c r="AT156" i="4" s="1"/>
  <c r="AZ156" i="4" s="1"/>
  <c r="BF156" i="4" s="1"/>
  <c r="AB157" i="4"/>
  <c r="AA157" i="4"/>
  <c r="AM156" i="4"/>
  <c r="AS156" i="4" s="1"/>
  <c r="AY156" i="4" s="1"/>
  <c r="BE156" i="4" s="1"/>
  <c r="AJ156" i="4"/>
  <c r="AP156" i="4" s="1"/>
  <c r="AV156" i="4" s="1"/>
  <c r="BB156" i="4" s="1"/>
  <c r="X157" i="4"/>
  <c r="BC157" i="4"/>
  <c r="BL155" i="4"/>
  <c r="BM154" i="4"/>
  <c r="BN154" i="4" s="1"/>
  <c r="T158" i="4"/>
  <c r="CH158" i="4"/>
  <c r="CE156" i="4"/>
  <c r="AC156" i="4"/>
  <c r="BI157" i="4"/>
  <c r="BS156" i="4"/>
  <c r="BO155" i="4"/>
  <c r="BG155" i="4"/>
  <c r="BP155" i="4" s="1"/>
  <c r="BQ155" i="4" s="1"/>
  <c r="CA158" i="4"/>
  <c r="Y158" i="4"/>
  <c r="J504" i="4"/>
  <c r="K158" i="4" l="1"/>
  <c r="AJ157" i="4"/>
  <c r="AP157" i="4" s="1"/>
  <c r="AV157" i="4" s="1"/>
  <c r="BB157" i="4"/>
  <c r="N158" i="4"/>
  <c r="AM157" i="4"/>
  <c r="AS157" i="4" s="1"/>
  <c r="AY157" i="4" s="1"/>
  <c r="BE157" i="4" s="1"/>
  <c r="O158" i="4"/>
  <c r="AN157" i="4"/>
  <c r="AT157" i="4" s="1"/>
  <c r="AZ157" i="4" s="1"/>
  <c r="BF157" i="4" s="1"/>
  <c r="J506" i="4"/>
  <c r="Y159" i="4"/>
  <c r="AK158" i="4"/>
  <c r="CB158" i="4"/>
  <c r="Z158" i="4"/>
  <c r="BM155" i="4"/>
  <c r="BN155" i="4" s="1"/>
  <c r="AO156" i="4"/>
  <c r="AC157" i="4"/>
  <c r="BJ156" i="4"/>
  <c r="BS157" i="4"/>
  <c r="V158" i="4" l="1"/>
  <c r="CJ158" i="4"/>
  <c r="U158" i="4"/>
  <c r="CI158" i="4"/>
  <c r="CF158" i="4"/>
  <c r="R158" i="4"/>
  <c r="Z159" i="4"/>
  <c r="AL158" i="4"/>
  <c r="AR158" i="4" s="1"/>
  <c r="AX158" i="4" s="1"/>
  <c r="BD158" i="4" s="1"/>
  <c r="BK156" i="4"/>
  <c r="J508" i="4"/>
  <c r="AQ158" i="4"/>
  <c r="AW158" i="4" s="1"/>
  <c r="AO157" i="4"/>
  <c r="P158" i="4"/>
  <c r="BJ157" i="4"/>
  <c r="AU156" i="4"/>
  <c r="BA156" i="4" s="1"/>
  <c r="BH156" i="4"/>
  <c r="AK159" i="4"/>
  <c r="L160" i="4"/>
  <c r="BZ158" i="4" l="1"/>
  <c r="X158" i="4"/>
  <c r="CC158" i="4"/>
  <c r="AA158" i="4"/>
  <c r="CD158" i="4"/>
  <c r="AB158" i="4"/>
  <c r="BV156" i="4"/>
  <c r="BY156" i="4" s="1"/>
  <c r="BL156" i="4"/>
  <c r="BK157" i="4"/>
  <c r="AU157" i="4"/>
  <c r="BA157" i="4" s="1"/>
  <c r="BH157" i="4"/>
  <c r="BV157" i="4" s="1"/>
  <c r="BY157" i="4" s="1"/>
  <c r="AL159" i="4"/>
  <c r="AR159" i="4" s="1"/>
  <c r="AX159" i="4" s="1"/>
  <c r="BD159" i="4" s="1"/>
  <c r="M160" i="4"/>
  <c r="BO156" i="4"/>
  <c r="BG156" i="4"/>
  <c r="BP156" i="4" s="1"/>
  <c r="BQ156" i="4" s="1"/>
  <c r="S160" i="4"/>
  <c r="CG160" i="4"/>
  <c r="AQ159" i="4"/>
  <c r="AW159" i="4" s="1"/>
  <c r="J510" i="4"/>
  <c r="W158" i="4"/>
  <c r="CK158" i="4"/>
  <c r="BI158" i="4"/>
  <c r="BC158" i="4"/>
  <c r="AB159" i="4" l="1"/>
  <c r="AN158" i="4"/>
  <c r="AT158" i="4" s="1"/>
  <c r="AZ158" i="4" s="1"/>
  <c r="BF158" i="4" s="1"/>
  <c r="AA159" i="4"/>
  <c r="AM158" i="4"/>
  <c r="AS158" i="4" s="1"/>
  <c r="AY158" i="4" s="1"/>
  <c r="BE158" i="4" s="1"/>
  <c r="X159" i="4"/>
  <c r="AJ158" i="4"/>
  <c r="AP158" i="4" s="1"/>
  <c r="AV158" i="4" s="1"/>
  <c r="BB158" i="4" s="1"/>
  <c r="BC159" i="4"/>
  <c r="BL157" i="4"/>
  <c r="BM156" i="4"/>
  <c r="BN156" i="4" s="1"/>
  <c r="T160" i="4"/>
  <c r="CH160" i="4"/>
  <c r="BO157" i="4"/>
  <c r="BG157" i="4"/>
  <c r="BP157" i="4" s="1"/>
  <c r="BQ157" i="4" s="1"/>
  <c r="J512" i="4"/>
  <c r="BS158" i="4"/>
  <c r="BI159" i="4"/>
  <c r="CE158" i="4"/>
  <c r="AC158" i="4"/>
  <c r="CA160" i="4"/>
  <c r="Y160" i="4"/>
  <c r="AJ159" i="4" l="1"/>
  <c r="AP159" i="4" s="1"/>
  <c r="AV159" i="4" s="1"/>
  <c r="K160" i="4"/>
  <c r="BB159" i="4"/>
  <c r="AM159" i="4"/>
  <c r="AS159" i="4" s="1"/>
  <c r="AY159" i="4" s="1"/>
  <c r="BE159" i="4" s="1"/>
  <c r="N160" i="4"/>
  <c r="AN159" i="4"/>
  <c r="AT159" i="4" s="1"/>
  <c r="AZ159" i="4" s="1"/>
  <c r="BF159" i="4" s="1"/>
  <c r="O160" i="4"/>
  <c r="BS159" i="4"/>
  <c r="BM157" i="4"/>
  <c r="BN157" i="4" s="1"/>
  <c r="AK160" i="4"/>
  <c r="Y161" i="4"/>
  <c r="AO158" i="4"/>
  <c r="AC159" i="4"/>
  <c r="BJ158" i="4"/>
  <c r="J514" i="4"/>
  <c r="CB160" i="4"/>
  <c r="Z160" i="4"/>
  <c r="CJ160" i="4" l="1"/>
  <c r="V160" i="4"/>
  <c r="CI160" i="4"/>
  <c r="U160" i="4"/>
  <c r="R160" i="4"/>
  <c r="CF160" i="4"/>
  <c r="AQ160" i="4"/>
  <c r="AW160" i="4" s="1"/>
  <c r="J516" i="4"/>
  <c r="BK158" i="4"/>
  <c r="AO159" i="4"/>
  <c r="P160" i="4"/>
  <c r="BJ159" i="4"/>
  <c r="AU158" i="4"/>
  <c r="BA158" i="4" s="1"/>
  <c r="BH158" i="4"/>
  <c r="Z161" i="4"/>
  <c r="AL160" i="4"/>
  <c r="AR160" i="4" s="1"/>
  <c r="AX160" i="4" s="1"/>
  <c r="BD160" i="4" s="1"/>
  <c r="AK161" i="4"/>
  <c r="L162" i="4"/>
  <c r="BZ160" i="4" l="1"/>
  <c r="X160" i="4"/>
  <c r="CC160" i="4"/>
  <c r="AA160" i="4"/>
  <c r="AB160" i="4"/>
  <c r="CD160" i="4"/>
  <c r="BK159" i="4"/>
  <c r="AL161" i="4"/>
  <c r="AR161" i="4" s="1"/>
  <c r="AX161" i="4" s="1"/>
  <c r="BD161" i="4" s="1"/>
  <c r="M162" i="4"/>
  <c r="BV158" i="4"/>
  <c r="BY158" i="4" s="1"/>
  <c r="BL158" i="4"/>
  <c r="S162" i="4"/>
  <c r="CG162" i="4"/>
  <c r="AQ161" i="4"/>
  <c r="AW161" i="4" s="1"/>
  <c r="BO158" i="4"/>
  <c r="BG158" i="4"/>
  <c r="BP158" i="4" s="1"/>
  <c r="BQ158" i="4" s="1"/>
  <c r="W160" i="4"/>
  <c r="CK160" i="4"/>
  <c r="BI160" i="4"/>
  <c r="AU159" i="4"/>
  <c r="BA159" i="4" s="1"/>
  <c r="BH159" i="4"/>
  <c r="BV159" i="4" s="1"/>
  <c r="BY159" i="4" s="1"/>
  <c r="BC160" i="4"/>
  <c r="J518" i="4"/>
  <c r="AN160" i="4" l="1"/>
  <c r="AT160" i="4" s="1"/>
  <c r="AZ160" i="4" s="1"/>
  <c r="BF160" i="4" s="1"/>
  <c r="AB161" i="4"/>
  <c r="AM160" i="4"/>
  <c r="AS160" i="4" s="1"/>
  <c r="AY160" i="4" s="1"/>
  <c r="BE160" i="4" s="1"/>
  <c r="AA161" i="4"/>
  <c r="AJ160" i="4"/>
  <c r="AP160" i="4" s="1"/>
  <c r="AV160" i="4" s="1"/>
  <c r="BB160" i="4" s="1"/>
  <c r="X161" i="4"/>
  <c r="BL159" i="4"/>
  <c r="BM158" i="4"/>
  <c r="BN158" i="4" s="1"/>
  <c r="BO159" i="4"/>
  <c r="BG159" i="4"/>
  <c r="BP159" i="4" s="1"/>
  <c r="BQ159" i="4" s="1"/>
  <c r="CH162" i="4"/>
  <c r="T162" i="4"/>
  <c r="CE160" i="4"/>
  <c r="AC160" i="4"/>
  <c r="BI161" i="4"/>
  <c r="BS160" i="4"/>
  <c r="CA162" i="4"/>
  <c r="Y162" i="4"/>
  <c r="J520" i="4"/>
  <c r="BC161" i="4"/>
  <c r="AM161" i="4" l="1"/>
  <c r="AS161" i="4" s="1"/>
  <c r="AY161" i="4" s="1"/>
  <c r="BE161" i="4" s="1"/>
  <c r="N162" i="4"/>
  <c r="K162" i="4"/>
  <c r="AJ161" i="4"/>
  <c r="AP161" i="4" s="1"/>
  <c r="AV161" i="4" s="1"/>
  <c r="BB161" i="4" s="1"/>
  <c r="O162" i="4"/>
  <c r="AN161" i="4"/>
  <c r="AT161" i="4" s="1"/>
  <c r="AZ161" i="4" s="1"/>
  <c r="BF161" i="4" s="1"/>
  <c r="CB162" i="4"/>
  <c r="Z162" i="4"/>
  <c r="J522" i="4"/>
  <c r="AK162" i="4"/>
  <c r="Y163" i="4"/>
  <c r="BS161" i="4"/>
  <c r="AC161" i="4"/>
  <c r="AO160" i="4"/>
  <c r="BJ160" i="4"/>
  <c r="BM159" i="4"/>
  <c r="BN159" i="4" s="1"/>
  <c r="CJ162" i="4" l="1"/>
  <c r="V162" i="4"/>
  <c r="R162" i="4"/>
  <c r="CF162" i="4"/>
  <c r="CI162" i="4"/>
  <c r="U162" i="4"/>
  <c r="BK160" i="4"/>
  <c r="AU160" i="4"/>
  <c r="BA160" i="4" s="1"/>
  <c r="BH160" i="4"/>
  <c r="AL162" i="4"/>
  <c r="AR162" i="4" s="1"/>
  <c r="AX162" i="4" s="1"/>
  <c r="BD162" i="4" s="1"/>
  <c r="Z163" i="4"/>
  <c r="J524" i="4"/>
  <c r="AO161" i="4"/>
  <c r="P162" i="4"/>
  <c r="BJ161" i="4"/>
  <c r="AK163" i="4"/>
  <c r="L164" i="4"/>
  <c r="AQ162" i="4"/>
  <c r="AW162" i="4" s="1"/>
  <c r="CC162" i="4" l="1"/>
  <c r="AA162" i="4"/>
  <c r="BZ162" i="4"/>
  <c r="X162" i="4"/>
  <c r="CD162" i="4"/>
  <c r="AB162" i="4"/>
  <c r="BK161" i="4"/>
  <c r="BO160" i="4"/>
  <c r="BG160" i="4"/>
  <c r="BP160" i="4" s="1"/>
  <c r="BQ160" i="4" s="1"/>
  <c r="S164" i="4"/>
  <c r="CG164" i="4"/>
  <c r="AL163" i="4"/>
  <c r="AR163" i="4" s="1"/>
  <c r="AX163" i="4" s="1"/>
  <c r="BD163" i="4" s="1"/>
  <c r="M164" i="4"/>
  <c r="BV160" i="4"/>
  <c r="BY160" i="4" s="1"/>
  <c r="BL160" i="4"/>
  <c r="J526" i="4"/>
  <c r="W162" i="4"/>
  <c r="CK162" i="4"/>
  <c r="BI162" i="4"/>
  <c r="AU161" i="4"/>
  <c r="BA161" i="4" s="1"/>
  <c r="BH161" i="4"/>
  <c r="BV161" i="4" s="1"/>
  <c r="BY161" i="4" s="1"/>
  <c r="BC162" i="4"/>
  <c r="AQ163" i="4"/>
  <c r="AW163" i="4" s="1"/>
  <c r="AN162" i="4" l="1"/>
  <c r="AT162" i="4" s="1"/>
  <c r="AZ162" i="4" s="1"/>
  <c r="BF162" i="4" s="1"/>
  <c r="AB163" i="4"/>
  <c r="X163" i="4"/>
  <c r="AJ162" i="4"/>
  <c r="AP162" i="4" s="1"/>
  <c r="AV162" i="4" s="1"/>
  <c r="BB162" i="4" s="1"/>
  <c r="AM162" i="4"/>
  <c r="AS162" i="4" s="1"/>
  <c r="AY162" i="4" s="1"/>
  <c r="BE162" i="4" s="1"/>
  <c r="AA163" i="4"/>
  <c r="BC163" i="4"/>
  <c r="CA164" i="4"/>
  <c r="Y164" i="4"/>
  <c r="CE162" i="4"/>
  <c r="AC162" i="4"/>
  <c r="BO161" i="4"/>
  <c r="BG161" i="4"/>
  <c r="BP161" i="4" s="1"/>
  <c r="BQ161" i="4" s="1"/>
  <c r="BI163" i="4"/>
  <c r="BS162" i="4"/>
  <c r="BL161" i="4"/>
  <c r="BM160" i="4"/>
  <c r="BN160" i="4" s="1"/>
  <c r="T164" i="4"/>
  <c r="CH164" i="4"/>
  <c r="J528" i="4"/>
  <c r="AM163" i="4" l="1"/>
  <c r="AS163" i="4" s="1"/>
  <c r="AY163" i="4" s="1"/>
  <c r="BE163" i="4" s="1"/>
  <c r="N164" i="4"/>
  <c r="K164" i="4"/>
  <c r="AJ163" i="4"/>
  <c r="AP163" i="4" s="1"/>
  <c r="AV163" i="4" s="1"/>
  <c r="BB163" i="4" s="1"/>
  <c r="AN163" i="4"/>
  <c r="AT163" i="4" s="1"/>
  <c r="AZ163" i="4" s="1"/>
  <c r="BF163" i="4" s="1"/>
  <c r="O164" i="4"/>
  <c r="CB164" i="4"/>
  <c r="Z164" i="4"/>
  <c r="AK164" i="4"/>
  <c r="Y165" i="4"/>
  <c r="AO162" i="4"/>
  <c r="AC163" i="4"/>
  <c r="BJ162" i="4"/>
  <c r="BM161" i="4"/>
  <c r="BN161" i="4" s="1"/>
  <c r="BS163" i="4"/>
  <c r="J530" i="4"/>
  <c r="CJ164" i="4" l="1"/>
  <c r="V164" i="4"/>
  <c r="R164" i="4"/>
  <c r="CF164" i="4"/>
  <c r="U164" i="4"/>
  <c r="CI164" i="4"/>
  <c r="J532" i="4"/>
  <c r="BK162" i="4"/>
  <c r="AO163" i="4"/>
  <c r="P164" i="4"/>
  <c r="BJ163" i="4"/>
  <c r="AU162" i="4"/>
  <c r="BA162" i="4" s="1"/>
  <c r="BH162" i="4"/>
  <c r="AK165" i="4"/>
  <c r="L166" i="4"/>
  <c r="AQ164" i="4"/>
  <c r="AW164" i="4" s="1"/>
  <c r="Z165" i="4"/>
  <c r="AL164" i="4"/>
  <c r="AR164" i="4" s="1"/>
  <c r="AX164" i="4" s="1"/>
  <c r="BD164" i="4" s="1"/>
  <c r="CC164" i="4" l="1"/>
  <c r="AA164" i="4"/>
  <c r="BZ164" i="4"/>
  <c r="X164" i="4"/>
  <c r="AB164" i="4"/>
  <c r="CD164" i="4"/>
  <c r="BC164" i="4"/>
  <c r="AQ165" i="4"/>
  <c r="AW165" i="4" s="1"/>
  <c r="BV162" i="4"/>
  <c r="BY162" i="4" s="1"/>
  <c r="BL162" i="4"/>
  <c r="BO162" i="4"/>
  <c r="BG162" i="4"/>
  <c r="BP162" i="4" s="1"/>
  <c r="BQ162" i="4" s="1"/>
  <c r="S166" i="4"/>
  <c r="CG166" i="4"/>
  <c r="J534" i="4"/>
  <c r="BK163" i="4"/>
  <c r="W164" i="4"/>
  <c r="CK164" i="4"/>
  <c r="BI164" i="4"/>
  <c r="AU163" i="4"/>
  <c r="BA163" i="4" s="1"/>
  <c r="BH163" i="4"/>
  <c r="BV163" i="4" s="1"/>
  <c r="BY163" i="4" s="1"/>
  <c r="AL165" i="4"/>
  <c r="AR165" i="4" s="1"/>
  <c r="AX165" i="4" s="1"/>
  <c r="BD165" i="4" s="1"/>
  <c r="M166" i="4"/>
  <c r="AB165" i="4" l="1"/>
  <c r="AN164" i="4"/>
  <c r="AT164" i="4" s="1"/>
  <c r="AZ164" i="4" s="1"/>
  <c r="BF164" i="4" s="1"/>
  <c r="AJ164" i="4"/>
  <c r="AP164" i="4" s="1"/>
  <c r="AV164" i="4" s="1"/>
  <c r="X165" i="4"/>
  <c r="BB164" i="4"/>
  <c r="AA165" i="4"/>
  <c r="AM164" i="4"/>
  <c r="AS164" i="4" s="1"/>
  <c r="AY164" i="4" s="1"/>
  <c r="BE164" i="4" s="1"/>
  <c r="BL163" i="4"/>
  <c r="BM162" i="4"/>
  <c r="BN162" i="4" s="1"/>
  <c r="T166" i="4"/>
  <c r="CH166" i="4"/>
  <c r="BC165" i="4"/>
  <c r="CE164" i="4"/>
  <c r="AC164" i="4"/>
  <c r="CA166" i="4"/>
  <c r="Y166" i="4"/>
  <c r="J536" i="4"/>
  <c r="BO163" i="4"/>
  <c r="BG163" i="4"/>
  <c r="BP163" i="4" s="1"/>
  <c r="BQ163" i="4" s="1"/>
  <c r="BS164" i="4"/>
  <c r="BI165" i="4"/>
  <c r="AM165" i="4" l="1"/>
  <c r="AS165" i="4" s="1"/>
  <c r="AY165" i="4" s="1"/>
  <c r="BE165" i="4"/>
  <c r="N166" i="4"/>
  <c r="K166" i="4"/>
  <c r="AJ165" i="4"/>
  <c r="AP165" i="4" s="1"/>
  <c r="AV165" i="4" s="1"/>
  <c r="BB165" i="4" s="1"/>
  <c r="AN165" i="4"/>
  <c r="AT165" i="4" s="1"/>
  <c r="AZ165" i="4" s="1"/>
  <c r="BF165" i="4" s="1"/>
  <c r="O166" i="4"/>
  <c r="J538" i="4"/>
  <c r="CB166" i="4"/>
  <c r="Z166" i="4"/>
  <c r="AC165" i="4"/>
  <c r="AO164" i="4"/>
  <c r="BJ164" i="4"/>
  <c r="BS165" i="4"/>
  <c r="Y167" i="4"/>
  <c r="AK166" i="4"/>
  <c r="BM163" i="4"/>
  <c r="BN163" i="4" s="1"/>
  <c r="V166" i="4" l="1"/>
  <c r="CJ166" i="4"/>
  <c r="R166" i="4"/>
  <c r="CF166" i="4"/>
  <c r="CI166" i="4"/>
  <c r="U166" i="4"/>
  <c r="AK167" i="4"/>
  <c r="L168" i="4"/>
  <c r="Z167" i="4"/>
  <c r="AL166" i="4"/>
  <c r="AR166" i="4" s="1"/>
  <c r="AX166" i="4" s="1"/>
  <c r="BD166" i="4" s="1"/>
  <c r="BK164" i="4"/>
  <c r="AO165" i="4"/>
  <c r="P166" i="4"/>
  <c r="BJ165" i="4"/>
  <c r="AQ166" i="4"/>
  <c r="AW166" i="4" s="1"/>
  <c r="J540" i="4"/>
  <c r="AU164" i="4"/>
  <c r="BA164" i="4" s="1"/>
  <c r="BH164" i="4"/>
  <c r="CC166" i="4" l="1"/>
  <c r="AA166" i="4"/>
  <c r="BZ166" i="4"/>
  <c r="X166" i="4"/>
  <c r="AB166" i="4"/>
  <c r="CD166" i="4"/>
  <c r="BV164" i="4"/>
  <c r="BY164" i="4" s="1"/>
  <c r="BL164" i="4"/>
  <c r="BO164" i="4"/>
  <c r="BG164" i="4"/>
  <c r="BP164" i="4" s="1"/>
  <c r="BQ164" i="4" s="1"/>
  <c r="BK165" i="4"/>
  <c r="W166" i="4"/>
  <c r="CK166" i="4"/>
  <c r="BI166" i="4"/>
  <c r="AU165" i="4"/>
  <c r="BA165" i="4" s="1"/>
  <c r="BH165" i="4"/>
  <c r="BV165" i="4" s="1"/>
  <c r="BY165" i="4" s="1"/>
  <c r="AQ167" i="4"/>
  <c r="AW167" i="4" s="1"/>
  <c r="AL167" i="4"/>
  <c r="AR167" i="4" s="1"/>
  <c r="AX167" i="4" s="1"/>
  <c r="BD167" i="4" s="1"/>
  <c r="M168" i="4"/>
  <c r="BC166" i="4"/>
  <c r="S168" i="4"/>
  <c r="CG168" i="4"/>
  <c r="J542" i="4"/>
  <c r="AN166" i="4" l="1"/>
  <c r="AT166" i="4" s="1"/>
  <c r="AZ166" i="4" s="1"/>
  <c r="AB167" i="4"/>
  <c r="BF166" i="4"/>
  <c r="AJ166" i="4"/>
  <c r="AP166" i="4" s="1"/>
  <c r="AV166" i="4" s="1"/>
  <c r="X167" i="4"/>
  <c r="BB166" i="4"/>
  <c r="AA167" i="4"/>
  <c r="AM166" i="4"/>
  <c r="AS166" i="4" s="1"/>
  <c r="AY166" i="4" s="1"/>
  <c r="BE166" i="4" s="1"/>
  <c r="T168" i="4"/>
  <c r="CH168" i="4"/>
  <c r="BL165" i="4"/>
  <c r="BM164" i="4"/>
  <c r="BN164" i="4" s="1"/>
  <c r="BC167" i="4"/>
  <c r="BO165" i="4"/>
  <c r="BG165" i="4"/>
  <c r="BP165" i="4" s="1"/>
  <c r="BQ165" i="4" s="1"/>
  <c r="CE166" i="4"/>
  <c r="AC166" i="4"/>
  <c r="J544" i="4"/>
  <c r="CA168" i="4"/>
  <c r="Y168" i="4"/>
  <c r="BS166" i="4"/>
  <c r="BI167" i="4"/>
  <c r="AM167" i="4" l="1"/>
  <c r="AS167" i="4" s="1"/>
  <c r="AY167" i="4" s="1"/>
  <c r="BE167" i="4" s="1"/>
  <c r="N168" i="4"/>
  <c r="AJ167" i="4"/>
  <c r="AP167" i="4" s="1"/>
  <c r="AV167" i="4" s="1"/>
  <c r="BB167" i="4" s="1"/>
  <c r="K168" i="4"/>
  <c r="AN167" i="4"/>
  <c r="AT167" i="4" s="1"/>
  <c r="AZ167" i="4" s="1"/>
  <c r="BF167" i="4" s="1"/>
  <c r="O168" i="4"/>
  <c r="J546" i="4"/>
  <c r="BM165" i="4"/>
  <c r="BN165" i="4" s="1"/>
  <c r="BS167" i="4"/>
  <c r="CB168" i="4"/>
  <c r="Z168" i="4"/>
  <c r="AC167" i="4"/>
  <c r="AO166" i="4"/>
  <c r="BJ166" i="4"/>
  <c r="Y169" i="4"/>
  <c r="AK168" i="4"/>
  <c r="V168" i="4" l="1"/>
  <c r="CJ168" i="4"/>
  <c r="CI168" i="4"/>
  <c r="U168" i="4"/>
  <c r="CF168" i="4"/>
  <c r="R168" i="4"/>
  <c r="BK166" i="4"/>
  <c r="AK169" i="4"/>
  <c r="L170" i="4"/>
  <c r="AO167" i="4"/>
  <c r="P168" i="4"/>
  <c r="BJ167" i="4"/>
  <c r="AQ168" i="4"/>
  <c r="AW168" i="4" s="1"/>
  <c r="AU166" i="4"/>
  <c r="BA166" i="4" s="1"/>
  <c r="BH166" i="4"/>
  <c r="J548" i="4"/>
  <c r="AL168" i="4"/>
  <c r="AR168" i="4" s="1"/>
  <c r="AX168" i="4" s="1"/>
  <c r="BD168" i="4" s="1"/>
  <c r="Z169" i="4"/>
  <c r="BZ168" i="4" l="1"/>
  <c r="X168" i="4"/>
  <c r="CC168" i="4"/>
  <c r="AA168" i="4"/>
  <c r="CD168" i="4"/>
  <c r="AB168" i="4"/>
  <c r="W168" i="4"/>
  <c r="CK168" i="4"/>
  <c r="BI168" i="4"/>
  <c r="BV166" i="4"/>
  <c r="BY166" i="4" s="1"/>
  <c r="BL166" i="4"/>
  <c r="AL169" i="4"/>
  <c r="AR169" i="4" s="1"/>
  <c r="AX169" i="4" s="1"/>
  <c r="BD169" i="4" s="1"/>
  <c r="M170" i="4"/>
  <c r="J550" i="4"/>
  <c r="BO166" i="4"/>
  <c r="BG166" i="4"/>
  <c r="BP166" i="4" s="1"/>
  <c r="BQ166" i="4" s="1"/>
  <c r="AU167" i="4"/>
  <c r="BA167" i="4" s="1"/>
  <c r="BH167" i="4"/>
  <c r="BV167" i="4" s="1"/>
  <c r="BY167" i="4" s="1"/>
  <c r="S170" i="4"/>
  <c r="CG170" i="4"/>
  <c r="AQ169" i="4"/>
  <c r="AW169" i="4" s="1"/>
  <c r="BC168" i="4"/>
  <c r="BK167" i="4"/>
  <c r="AB169" i="4" l="1"/>
  <c r="AN168" i="4"/>
  <c r="AT168" i="4" s="1"/>
  <c r="AZ168" i="4" s="1"/>
  <c r="BF168" i="4" s="1"/>
  <c r="AA169" i="4"/>
  <c r="AM168" i="4"/>
  <c r="AS168" i="4" s="1"/>
  <c r="AY168" i="4" s="1"/>
  <c r="BE168" i="4" s="1"/>
  <c r="AJ168" i="4"/>
  <c r="AP168" i="4" s="1"/>
  <c r="AV168" i="4" s="1"/>
  <c r="BB168" i="4" s="1"/>
  <c r="X169" i="4"/>
  <c r="T170" i="4"/>
  <c r="CH170" i="4"/>
  <c r="BL167" i="4"/>
  <c r="BM166" i="4"/>
  <c r="BN166" i="4" s="1"/>
  <c r="BC169" i="4"/>
  <c r="CA170" i="4"/>
  <c r="Y170" i="4"/>
  <c r="BI169" i="4"/>
  <c r="BS168" i="4"/>
  <c r="BO167" i="4"/>
  <c r="BG167" i="4"/>
  <c r="BP167" i="4" s="1"/>
  <c r="BQ167" i="4" s="1"/>
  <c r="J552" i="4"/>
  <c r="CE168" i="4"/>
  <c r="AC168" i="4"/>
  <c r="K170" i="4" l="1"/>
  <c r="AJ169" i="4"/>
  <c r="AP169" i="4" s="1"/>
  <c r="AV169" i="4" s="1"/>
  <c r="BB169" i="4"/>
  <c r="N170" i="4"/>
  <c r="AM169" i="4"/>
  <c r="AS169" i="4" s="1"/>
  <c r="AY169" i="4" s="1"/>
  <c r="BE169" i="4" s="1"/>
  <c r="O170" i="4"/>
  <c r="AN169" i="4"/>
  <c r="AT169" i="4" s="1"/>
  <c r="AZ169" i="4" s="1"/>
  <c r="BF169" i="4" s="1"/>
  <c r="J554" i="4"/>
  <c r="Y171" i="4"/>
  <c r="AK170" i="4"/>
  <c r="BM167" i="4"/>
  <c r="BN167" i="4" s="1"/>
  <c r="CB170" i="4"/>
  <c r="Z170" i="4"/>
  <c r="BS169" i="4"/>
  <c r="AO168" i="4"/>
  <c r="AC169" i="4"/>
  <c r="BJ168" i="4"/>
  <c r="U170" i="4" l="1"/>
  <c r="CI170" i="4"/>
  <c r="CJ170" i="4"/>
  <c r="V170" i="4"/>
  <c r="R170" i="4"/>
  <c r="CF170" i="4"/>
  <c r="AU168" i="4"/>
  <c r="BA168" i="4" s="1"/>
  <c r="BH168" i="4"/>
  <c r="AO169" i="4"/>
  <c r="P170" i="4"/>
  <c r="BJ169" i="4"/>
  <c r="J556" i="4"/>
  <c r="AQ170" i="4"/>
  <c r="AW170" i="4" s="1"/>
  <c r="AK171" i="4"/>
  <c r="L172" i="4"/>
  <c r="AL170" i="4"/>
  <c r="AR170" i="4" s="1"/>
  <c r="AX170" i="4" s="1"/>
  <c r="BD170" i="4" s="1"/>
  <c r="Z171" i="4"/>
  <c r="BK168" i="4"/>
  <c r="BZ170" i="4" l="1"/>
  <c r="X170" i="4"/>
  <c r="CD170" i="4"/>
  <c r="AB170" i="4"/>
  <c r="CC170" i="4"/>
  <c r="AA170" i="4"/>
  <c r="J558" i="4"/>
  <c r="W170" i="4"/>
  <c r="CK170" i="4"/>
  <c r="BI170" i="4"/>
  <c r="S172" i="4"/>
  <c r="CG172" i="4"/>
  <c r="AQ171" i="4"/>
  <c r="AW171" i="4" s="1"/>
  <c r="BC170" i="4"/>
  <c r="BV168" i="4"/>
  <c r="BY168" i="4" s="1"/>
  <c r="BL168" i="4"/>
  <c r="BK169" i="4"/>
  <c r="AU169" i="4"/>
  <c r="BA169" i="4" s="1"/>
  <c r="BH169" i="4"/>
  <c r="BV169" i="4" s="1"/>
  <c r="BY169" i="4" s="1"/>
  <c r="AL171" i="4"/>
  <c r="AR171" i="4" s="1"/>
  <c r="AX171" i="4" s="1"/>
  <c r="BD171" i="4" s="1"/>
  <c r="M172" i="4"/>
  <c r="BO168" i="4"/>
  <c r="BG168" i="4"/>
  <c r="BP168" i="4" s="1"/>
  <c r="BQ168" i="4" s="1"/>
  <c r="AA171" i="4" l="1"/>
  <c r="AM170" i="4"/>
  <c r="AS170" i="4" s="1"/>
  <c r="AY170" i="4" s="1"/>
  <c r="BE170" i="4" s="1"/>
  <c r="AB171" i="4"/>
  <c r="AN170" i="4"/>
  <c r="AT170" i="4" s="1"/>
  <c r="AZ170" i="4" s="1"/>
  <c r="BF170" i="4" s="1"/>
  <c r="X171" i="4"/>
  <c r="AJ170" i="4"/>
  <c r="AP170" i="4" s="1"/>
  <c r="AV170" i="4" s="1"/>
  <c r="BB170" i="4" s="1"/>
  <c r="CA172" i="4"/>
  <c r="Y172" i="4"/>
  <c r="BI171" i="4"/>
  <c r="BS170" i="4"/>
  <c r="BL169" i="4"/>
  <c r="BM168" i="4"/>
  <c r="BN168" i="4" s="1"/>
  <c r="BO169" i="4"/>
  <c r="BG169" i="4"/>
  <c r="BP169" i="4" s="1"/>
  <c r="BQ169" i="4" s="1"/>
  <c r="T172" i="4"/>
  <c r="CH172" i="4"/>
  <c r="CE170" i="4"/>
  <c r="AC170" i="4"/>
  <c r="J560" i="4"/>
  <c r="BC171" i="4"/>
  <c r="AN171" i="4" l="1"/>
  <c r="AT171" i="4" s="1"/>
  <c r="AZ171" i="4" s="1"/>
  <c r="BF171" i="4" s="1"/>
  <c r="O172" i="4"/>
  <c r="AJ171" i="4"/>
  <c r="AP171" i="4" s="1"/>
  <c r="AV171" i="4" s="1"/>
  <c r="BB171" i="4" s="1"/>
  <c r="K172" i="4"/>
  <c r="AM171" i="4"/>
  <c r="AS171" i="4" s="1"/>
  <c r="AY171" i="4" s="1"/>
  <c r="BE171" i="4" s="1"/>
  <c r="N172" i="4"/>
  <c r="BS171" i="4"/>
  <c r="AK172" i="4"/>
  <c r="Y173" i="4"/>
  <c r="AC171" i="4"/>
  <c r="AO170" i="4"/>
  <c r="BJ170" i="4"/>
  <c r="BM169" i="4"/>
  <c r="BN169" i="4" s="1"/>
  <c r="J562" i="4"/>
  <c r="CB172" i="4"/>
  <c r="Z172" i="4"/>
  <c r="CI172" i="4" l="1"/>
  <c r="U172" i="4"/>
  <c r="R172" i="4"/>
  <c r="CF172" i="4"/>
  <c r="V172" i="4"/>
  <c r="CJ172" i="4"/>
  <c r="BK170" i="4"/>
  <c r="AK173" i="4"/>
  <c r="L174" i="4"/>
  <c r="AQ172" i="4"/>
  <c r="AW172" i="4" s="1"/>
  <c r="AU170" i="4"/>
  <c r="BA170" i="4" s="1"/>
  <c r="BH170" i="4"/>
  <c r="AO171" i="4"/>
  <c r="P172" i="4"/>
  <c r="BJ171" i="4"/>
  <c r="J564" i="4"/>
  <c r="AL172" i="4"/>
  <c r="AR172" i="4" s="1"/>
  <c r="AX172" i="4" s="1"/>
  <c r="BD172" i="4" s="1"/>
  <c r="Z173" i="4"/>
  <c r="CD172" i="4" l="1"/>
  <c r="AB172" i="4"/>
  <c r="BZ172" i="4"/>
  <c r="X172" i="4"/>
  <c r="AA172" i="4"/>
  <c r="CC172" i="4"/>
  <c r="J566" i="4"/>
  <c r="CK172" i="4"/>
  <c r="W172" i="4"/>
  <c r="BI172" i="4"/>
  <c r="AU171" i="4"/>
  <c r="BA171" i="4" s="1"/>
  <c r="BH171" i="4"/>
  <c r="BV171" i="4" s="1"/>
  <c r="BY171" i="4" s="1"/>
  <c r="AQ173" i="4"/>
  <c r="AW173" i="4" s="1"/>
  <c r="BC172" i="4"/>
  <c r="AL173" i="4"/>
  <c r="AR173" i="4" s="1"/>
  <c r="AX173" i="4" s="1"/>
  <c r="BD173" i="4" s="1"/>
  <c r="M174" i="4"/>
  <c r="BV170" i="4"/>
  <c r="BY170" i="4" s="1"/>
  <c r="BL170" i="4"/>
  <c r="BO170" i="4"/>
  <c r="BG170" i="4"/>
  <c r="BP170" i="4" s="1"/>
  <c r="BQ170" i="4" s="1"/>
  <c r="BK171" i="4"/>
  <c r="S174" i="4"/>
  <c r="CG174" i="4"/>
  <c r="AA173" i="4" l="1"/>
  <c r="AM172" i="4"/>
  <c r="AS172" i="4" s="1"/>
  <c r="AY172" i="4" s="1"/>
  <c r="BE172" i="4" s="1"/>
  <c r="X173" i="4"/>
  <c r="AJ172" i="4"/>
  <c r="AP172" i="4" s="1"/>
  <c r="AV172" i="4" s="1"/>
  <c r="BB172" i="4" s="1"/>
  <c r="AN172" i="4"/>
  <c r="AT172" i="4" s="1"/>
  <c r="AZ172" i="4" s="1"/>
  <c r="BF172" i="4" s="1"/>
  <c r="AB173" i="4"/>
  <c r="BO171" i="4"/>
  <c r="BG171" i="4"/>
  <c r="BP171" i="4" s="1"/>
  <c r="BQ171" i="4" s="1"/>
  <c r="BI173" i="4"/>
  <c r="BS172" i="4"/>
  <c r="CE172" i="4"/>
  <c r="AC172" i="4"/>
  <c r="CA174" i="4"/>
  <c r="Y174" i="4"/>
  <c r="BC173" i="4"/>
  <c r="BL171" i="4"/>
  <c r="BM170" i="4"/>
  <c r="BN170" i="4" s="1"/>
  <c r="T174" i="4"/>
  <c r="CH174" i="4"/>
  <c r="J568" i="4"/>
  <c r="AN173" i="4" l="1"/>
  <c r="AT173" i="4" s="1"/>
  <c r="AZ173" i="4" s="1"/>
  <c r="BF173" i="4"/>
  <c r="O174" i="4"/>
  <c r="K174" i="4"/>
  <c r="AJ173" i="4"/>
  <c r="AP173" i="4" s="1"/>
  <c r="AV173" i="4" s="1"/>
  <c r="BB173" i="4" s="1"/>
  <c r="N174" i="4"/>
  <c r="AM173" i="4"/>
  <c r="AS173" i="4" s="1"/>
  <c r="AY173" i="4" s="1"/>
  <c r="BE173" i="4" s="1"/>
  <c r="BM171" i="4"/>
  <c r="BN171" i="4" s="1"/>
  <c r="CB174" i="4"/>
  <c r="Z174" i="4"/>
  <c r="Y175" i="4"/>
  <c r="AK174" i="4"/>
  <c r="BS173" i="4"/>
  <c r="J570" i="4"/>
  <c r="AC173" i="4"/>
  <c r="AO172" i="4"/>
  <c r="BJ172" i="4"/>
  <c r="CI174" i="4" l="1"/>
  <c r="U174" i="4"/>
  <c r="R174" i="4"/>
  <c r="CF174" i="4"/>
  <c r="CJ174" i="4"/>
  <c r="V174" i="4"/>
  <c r="AQ174" i="4"/>
  <c r="AW174" i="4" s="1"/>
  <c r="BK172" i="4"/>
  <c r="AU172" i="4"/>
  <c r="BA172" i="4" s="1"/>
  <c r="BH172" i="4"/>
  <c r="AO173" i="4"/>
  <c r="P174" i="4"/>
  <c r="BJ173" i="4"/>
  <c r="AK175" i="4"/>
  <c r="L176" i="4"/>
  <c r="J572" i="4"/>
  <c r="AL174" i="4"/>
  <c r="AR174" i="4" s="1"/>
  <c r="AX174" i="4" s="1"/>
  <c r="BD174" i="4" s="1"/>
  <c r="Z175" i="4"/>
  <c r="AB174" i="4" l="1"/>
  <c r="CD174" i="4"/>
  <c r="BZ174" i="4"/>
  <c r="X174" i="4"/>
  <c r="CC174" i="4"/>
  <c r="AA174" i="4"/>
  <c r="J574" i="4"/>
  <c r="S176" i="4"/>
  <c r="CG176" i="4"/>
  <c r="AL175" i="4"/>
  <c r="AR175" i="4" s="1"/>
  <c r="AX175" i="4" s="1"/>
  <c r="BD175" i="4" s="1"/>
  <c r="M176" i="4"/>
  <c r="BK173" i="4"/>
  <c r="BV172" i="4"/>
  <c r="BY172" i="4" s="1"/>
  <c r="BL172" i="4"/>
  <c r="W174" i="4"/>
  <c r="CK174" i="4"/>
  <c r="BI174" i="4"/>
  <c r="AU173" i="4"/>
  <c r="BA173" i="4" s="1"/>
  <c r="BH173" i="4"/>
  <c r="BV173" i="4" s="1"/>
  <c r="BY173" i="4" s="1"/>
  <c r="BO172" i="4"/>
  <c r="BG172" i="4"/>
  <c r="BP172" i="4" s="1"/>
  <c r="BQ172" i="4" s="1"/>
  <c r="AQ175" i="4"/>
  <c r="AW175" i="4" s="1"/>
  <c r="BC174" i="4"/>
  <c r="AM174" i="4" l="1"/>
  <c r="AS174" i="4" s="1"/>
  <c r="AY174" i="4" s="1"/>
  <c r="BE174" i="4" s="1"/>
  <c r="AA175" i="4"/>
  <c r="AJ174" i="4"/>
  <c r="AP174" i="4" s="1"/>
  <c r="AV174" i="4" s="1"/>
  <c r="BB174" i="4" s="1"/>
  <c r="X175" i="4"/>
  <c r="AB175" i="4"/>
  <c r="AN174" i="4"/>
  <c r="AT174" i="4" s="1"/>
  <c r="AZ174" i="4" s="1"/>
  <c r="BF174" i="4" s="1"/>
  <c r="BC175" i="4"/>
  <c r="T176" i="4"/>
  <c r="CH176" i="4"/>
  <c r="BS174" i="4"/>
  <c r="BI175" i="4"/>
  <c r="CA176" i="4"/>
  <c r="Y176" i="4"/>
  <c r="BL173" i="4"/>
  <c r="BM172" i="4"/>
  <c r="BN172" i="4" s="1"/>
  <c r="BO173" i="4"/>
  <c r="BG173" i="4"/>
  <c r="BP173" i="4" s="1"/>
  <c r="BQ173" i="4" s="1"/>
  <c r="CE174" i="4"/>
  <c r="AC174" i="4"/>
  <c r="J576" i="4"/>
  <c r="AN175" i="4" l="1"/>
  <c r="AT175" i="4" s="1"/>
  <c r="AZ175" i="4" s="1"/>
  <c r="BF175" i="4" s="1"/>
  <c r="O176" i="4"/>
  <c r="K176" i="4"/>
  <c r="AJ175" i="4"/>
  <c r="AP175" i="4" s="1"/>
  <c r="AV175" i="4" s="1"/>
  <c r="BB175" i="4" s="1"/>
  <c r="AM175" i="4"/>
  <c r="AS175" i="4" s="1"/>
  <c r="AY175" i="4" s="1"/>
  <c r="BE175" i="4" s="1"/>
  <c r="N176" i="4"/>
  <c r="Y177" i="4"/>
  <c r="AK176" i="4"/>
  <c r="J578" i="4"/>
  <c r="BS175" i="4"/>
  <c r="CB176" i="4"/>
  <c r="Z176" i="4"/>
  <c r="AC175" i="4"/>
  <c r="AO174" i="4"/>
  <c r="BJ174" i="4"/>
  <c r="BM173" i="4"/>
  <c r="BN173" i="4" s="1"/>
  <c r="U176" i="4" l="1"/>
  <c r="CI176" i="4"/>
  <c r="CF176" i="4"/>
  <c r="R176" i="4"/>
  <c r="CJ176" i="4"/>
  <c r="V176" i="4"/>
  <c r="BK174" i="4"/>
  <c r="J580" i="4"/>
  <c r="AL176" i="4"/>
  <c r="AR176" i="4" s="1"/>
  <c r="AX176" i="4" s="1"/>
  <c r="BD176" i="4" s="1"/>
  <c r="Z177" i="4"/>
  <c r="AQ176" i="4"/>
  <c r="AW176" i="4" s="1"/>
  <c r="AU174" i="4"/>
  <c r="BA174" i="4" s="1"/>
  <c r="BH174" i="4"/>
  <c r="AO175" i="4"/>
  <c r="P176" i="4"/>
  <c r="BJ175" i="4"/>
  <c r="AK177" i="4"/>
  <c r="L178" i="4"/>
  <c r="AB176" i="4" l="1"/>
  <c r="CD176" i="4"/>
  <c r="BZ176" i="4"/>
  <c r="X176" i="4"/>
  <c r="CC176" i="4"/>
  <c r="AA176" i="4"/>
  <c r="AL177" i="4"/>
  <c r="AR177" i="4" s="1"/>
  <c r="AX177" i="4" s="1"/>
  <c r="BD177" i="4" s="1"/>
  <c r="M178" i="4"/>
  <c r="CK176" i="4"/>
  <c r="W176" i="4"/>
  <c r="BI176" i="4"/>
  <c r="J582" i="4"/>
  <c r="BO174" i="4"/>
  <c r="BG174" i="4"/>
  <c r="BP174" i="4" s="1"/>
  <c r="BQ174" i="4" s="1"/>
  <c r="BK175" i="4"/>
  <c r="BV174" i="4"/>
  <c r="BY174" i="4" s="1"/>
  <c r="BL174" i="4"/>
  <c r="S178" i="4"/>
  <c r="CG178" i="4"/>
  <c r="BC176" i="4"/>
  <c r="AU175" i="4"/>
  <c r="BA175" i="4" s="1"/>
  <c r="BH175" i="4"/>
  <c r="BV175" i="4" s="1"/>
  <c r="BY175" i="4" s="1"/>
  <c r="AQ177" i="4"/>
  <c r="AW177" i="4" s="1"/>
  <c r="AM176" i="4" l="1"/>
  <c r="AS176" i="4" s="1"/>
  <c r="AY176" i="4" s="1"/>
  <c r="BE176" i="4"/>
  <c r="AA177" i="4"/>
  <c r="X177" i="4"/>
  <c r="AJ176" i="4"/>
  <c r="AP176" i="4" s="1"/>
  <c r="AV176" i="4" s="1"/>
  <c r="BB176" i="4" s="1"/>
  <c r="AN176" i="4"/>
  <c r="AT176" i="4" s="1"/>
  <c r="AZ176" i="4" s="1"/>
  <c r="BF176" i="4" s="1"/>
  <c r="AB177" i="4"/>
  <c r="BL175" i="4"/>
  <c r="BM174" i="4"/>
  <c r="BN174" i="4" s="1"/>
  <c r="BC177" i="4"/>
  <c r="BO175" i="4"/>
  <c r="BG175" i="4"/>
  <c r="BP175" i="4" s="1"/>
  <c r="BQ175" i="4" s="1"/>
  <c r="CA178" i="4"/>
  <c r="Y178" i="4"/>
  <c r="BS176" i="4"/>
  <c r="BI177" i="4"/>
  <c r="J584" i="4"/>
  <c r="CE176" i="4"/>
  <c r="AC176" i="4"/>
  <c r="T178" i="4"/>
  <c r="CH178" i="4"/>
  <c r="AN177" i="4" l="1"/>
  <c r="AT177" i="4" s="1"/>
  <c r="AZ177" i="4" s="1"/>
  <c r="BF177" i="4" s="1"/>
  <c r="O178" i="4"/>
  <c r="AJ177" i="4"/>
  <c r="AP177" i="4" s="1"/>
  <c r="AV177" i="4" s="1"/>
  <c r="BB177" i="4" s="1"/>
  <c r="K178" i="4"/>
  <c r="AM177" i="4"/>
  <c r="AS177" i="4" s="1"/>
  <c r="AY177" i="4" s="1"/>
  <c r="BE177" i="4" s="1"/>
  <c r="N178" i="4"/>
  <c r="CB178" i="4"/>
  <c r="Z178" i="4"/>
  <c r="Y179" i="4"/>
  <c r="AK178" i="4"/>
  <c r="J586" i="4"/>
  <c r="BS177" i="4"/>
  <c r="AO176" i="4"/>
  <c r="AC177" i="4"/>
  <c r="BJ176" i="4"/>
  <c r="BM175" i="4"/>
  <c r="BN175" i="4" s="1"/>
  <c r="U178" i="4" l="1"/>
  <c r="CI178" i="4"/>
  <c r="R178" i="4"/>
  <c r="CF178" i="4"/>
  <c r="V178" i="4"/>
  <c r="CJ178" i="4"/>
  <c r="BK176" i="4"/>
  <c r="AO177" i="4"/>
  <c r="P178" i="4"/>
  <c r="BJ177" i="4"/>
  <c r="AK179" i="4"/>
  <c r="L180" i="4"/>
  <c r="J588" i="4"/>
  <c r="AQ178" i="4"/>
  <c r="AW178" i="4" s="1"/>
  <c r="AL178" i="4"/>
  <c r="AR178" i="4" s="1"/>
  <c r="AX178" i="4" s="1"/>
  <c r="BD178" i="4" s="1"/>
  <c r="Z179" i="4"/>
  <c r="AU176" i="4"/>
  <c r="BA176" i="4" s="1"/>
  <c r="BH176" i="4"/>
  <c r="CD178" i="4" l="1"/>
  <c r="AB178" i="4"/>
  <c r="BZ178" i="4"/>
  <c r="X178" i="4"/>
  <c r="CC178" i="4"/>
  <c r="AA178" i="4"/>
  <c r="AQ179" i="4"/>
  <c r="AW179" i="4" s="1"/>
  <c r="AL179" i="4"/>
  <c r="AR179" i="4" s="1"/>
  <c r="AX179" i="4" s="1"/>
  <c r="BD179" i="4" s="1"/>
  <c r="M180" i="4"/>
  <c r="BV176" i="4"/>
  <c r="BY176" i="4" s="1"/>
  <c r="BL176" i="4"/>
  <c r="W178" i="4"/>
  <c r="CK178" i="4"/>
  <c r="BI178" i="4"/>
  <c r="BO176" i="4"/>
  <c r="BG176" i="4"/>
  <c r="BP176" i="4" s="1"/>
  <c r="BQ176" i="4" s="1"/>
  <c r="J590" i="4"/>
  <c r="S180" i="4"/>
  <c r="CG180" i="4"/>
  <c r="BK177" i="4"/>
  <c r="BC178" i="4"/>
  <c r="AU177" i="4"/>
  <c r="BA177" i="4" s="1"/>
  <c r="BH177" i="4"/>
  <c r="BV177" i="4" s="1"/>
  <c r="BY177" i="4" s="1"/>
  <c r="AA179" i="4" l="1"/>
  <c r="AM178" i="4"/>
  <c r="AS178" i="4" s="1"/>
  <c r="AY178" i="4" s="1"/>
  <c r="BE178" i="4" s="1"/>
  <c r="X179" i="4"/>
  <c r="AJ178" i="4"/>
  <c r="AP178" i="4" s="1"/>
  <c r="AV178" i="4" s="1"/>
  <c r="BB178" i="4" s="1"/>
  <c r="AB179" i="4"/>
  <c r="AN178" i="4"/>
  <c r="AT178" i="4" s="1"/>
  <c r="AZ178" i="4" s="1"/>
  <c r="BF178" i="4" s="1"/>
  <c r="BI179" i="4"/>
  <c r="BS178" i="4"/>
  <c r="CA180" i="4"/>
  <c r="Y180" i="4"/>
  <c r="CE178" i="4"/>
  <c r="AC178" i="4"/>
  <c r="BL177" i="4"/>
  <c r="BM176" i="4"/>
  <c r="BN176" i="4" s="1"/>
  <c r="T180" i="4"/>
  <c r="CH180" i="4"/>
  <c r="BO177" i="4"/>
  <c r="BG177" i="4"/>
  <c r="BP177" i="4" s="1"/>
  <c r="BQ177" i="4" s="1"/>
  <c r="BC179" i="4"/>
  <c r="J592" i="4"/>
  <c r="AN179" i="4" l="1"/>
  <c r="AT179" i="4" s="1"/>
  <c r="AZ179" i="4" s="1"/>
  <c r="BF179" i="4" s="1"/>
  <c r="O180" i="4"/>
  <c r="K180" i="4"/>
  <c r="AJ179" i="4"/>
  <c r="AP179" i="4" s="1"/>
  <c r="AV179" i="4" s="1"/>
  <c r="BB179" i="4" s="1"/>
  <c r="AM179" i="4"/>
  <c r="AS179" i="4" s="1"/>
  <c r="AY179" i="4" s="1"/>
  <c r="BE179" i="4" s="1"/>
  <c r="N180" i="4"/>
  <c r="J594" i="4"/>
  <c r="BM177" i="4"/>
  <c r="BN177" i="4" s="1"/>
  <c r="AC179" i="4"/>
  <c r="AO178" i="4"/>
  <c r="BJ178" i="4"/>
  <c r="BS179" i="4"/>
  <c r="CB180" i="4"/>
  <c r="Z180" i="4"/>
  <c r="AK180" i="4"/>
  <c r="Y181" i="4"/>
  <c r="U180" i="4" l="1"/>
  <c r="CI180" i="4"/>
  <c r="CF180" i="4"/>
  <c r="R180" i="4"/>
  <c r="V180" i="4"/>
  <c r="CJ180" i="4"/>
  <c r="AK181" i="4"/>
  <c r="L182" i="4"/>
  <c r="AQ180" i="4"/>
  <c r="AW180" i="4" s="1"/>
  <c r="Z181" i="4"/>
  <c r="AL180" i="4"/>
  <c r="AR180" i="4" s="1"/>
  <c r="AX180" i="4" s="1"/>
  <c r="BD180" i="4" s="1"/>
  <c r="J596" i="4"/>
  <c r="AO179" i="4"/>
  <c r="P180" i="4"/>
  <c r="BJ179" i="4"/>
  <c r="BK178" i="4"/>
  <c r="AU178" i="4"/>
  <c r="BA178" i="4" s="1"/>
  <c r="BH178" i="4"/>
  <c r="CD180" i="4" l="1"/>
  <c r="AB180" i="4"/>
  <c r="BZ180" i="4"/>
  <c r="X180" i="4"/>
  <c r="CC180" i="4"/>
  <c r="AA180" i="4"/>
  <c r="BK179" i="4"/>
  <c r="AL181" i="4"/>
  <c r="AR181" i="4" s="1"/>
  <c r="AX181" i="4" s="1"/>
  <c r="BD181" i="4" s="1"/>
  <c r="M182" i="4"/>
  <c r="AU179" i="4"/>
  <c r="BA179" i="4" s="1"/>
  <c r="BH179" i="4"/>
  <c r="BV179" i="4" s="1"/>
  <c r="BY179" i="4" s="1"/>
  <c r="BC180" i="4"/>
  <c r="BV178" i="4"/>
  <c r="BY178" i="4" s="1"/>
  <c r="BL178" i="4"/>
  <c r="BO178" i="4"/>
  <c r="BG178" i="4"/>
  <c r="BP178" i="4" s="1"/>
  <c r="BQ178" i="4" s="1"/>
  <c r="AQ181" i="4"/>
  <c r="AW181" i="4" s="1"/>
  <c r="J598" i="4"/>
  <c r="W180" i="4"/>
  <c r="CK180" i="4"/>
  <c r="BI180" i="4"/>
  <c r="S182" i="4"/>
  <c r="CG182" i="4"/>
  <c r="AA181" i="4" l="1"/>
  <c r="AM180" i="4"/>
  <c r="AS180" i="4" s="1"/>
  <c r="AY180" i="4" s="1"/>
  <c r="BE180" i="4" s="1"/>
  <c r="X181" i="4"/>
  <c r="AJ180" i="4"/>
  <c r="AP180" i="4" s="1"/>
  <c r="AV180" i="4" s="1"/>
  <c r="BB180" i="4" s="1"/>
  <c r="AN180" i="4"/>
  <c r="AT180" i="4" s="1"/>
  <c r="AZ180" i="4" s="1"/>
  <c r="BF180" i="4" s="1"/>
  <c r="AB181" i="4"/>
  <c r="BO179" i="4"/>
  <c r="BG179" i="4"/>
  <c r="BP179" i="4" s="1"/>
  <c r="BQ179" i="4" s="1"/>
  <c r="J600" i="4"/>
  <c r="BC181" i="4"/>
  <c r="CA182" i="4"/>
  <c r="Y182" i="4"/>
  <c r="BI181" i="4"/>
  <c r="BS180" i="4"/>
  <c r="T182" i="4"/>
  <c r="CH182" i="4"/>
  <c r="CE180" i="4"/>
  <c r="AC180" i="4"/>
  <c r="BL179" i="4"/>
  <c r="BM178" i="4"/>
  <c r="BN178" i="4" s="1"/>
  <c r="AN181" i="4" l="1"/>
  <c r="AT181" i="4" s="1"/>
  <c r="AZ181" i="4" s="1"/>
  <c r="BF181" i="4"/>
  <c r="O182" i="4"/>
  <c r="AJ181" i="4"/>
  <c r="AP181" i="4" s="1"/>
  <c r="AV181" i="4" s="1"/>
  <c r="BB181" i="4" s="1"/>
  <c r="K182" i="4"/>
  <c r="AM181" i="4"/>
  <c r="AS181" i="4" s="1"/>
  <c r="AY181" i="4" s="1"/>
  <c r="BE181" i="4" s="1"/>
  <c r="N182" i="4"/>
  <c r="AC181" i="4"/>
  <c r="AO180" i="4"/>
  <c r="BJ180" i="4"/>
  <c r="Y183" i="4"/>
  <c r="AK182" i="4"/>
  <c r="J602" i="4"/>
  <c r="CB182" i="4"/>
  <c r="Z182" i="4"/>
  <c r="BS181" i="4"/>
  <c r="BM179" i="4"/>
  <c r="BN179" i="4" s="1"/>
  <c r="U182" i="4" l="1"/>
  <c r="CI182" i="4"/>
  <c r="R182" i="4"/>
  <c r="CF182" i="4"/>
  <c r="V182" i="4"/>
  <c r="CJ182" i="4"/>
  <c r="Z183" i="4"/>
  <c r="AL182" i="4"/>
  <c r="AR182" i="4" s="1"/>
  <c r="AX182" i="4" s="1"/>
  <c r="BD182" i="4" s="1"/>
  <c r="AU180" i="4"/>
  <c r="BA180" i="4" s="1"/>
  <c r="BH180" i="4"/>
  <c r="J604" i="4"/>
  <c r="AQ182" i="4"/>
  <c r="AW182" i="4" s="1"/>
  <c r="AK183" i="4"/>
  <c r="L184" i="4"/>
  <c r="BK180" i="4"/>
  <c r="AO181" i="4"/>
  <c r="P182" i="4"/>
  <c r="BJ181" i="4"/>
  <c r="CD182" i="4" l="1"/>
  <c r="AB182" i="4"/>
  <c r="BZ182" i="4"/>
  <c r="X182" i="4"/>
  <c r="CC182" i="4"/>
  <c r="AA182" i="4"/>
  <c r="S184" i="4"/>
  <c r="CG184" i="4"/>
  <c r="BV180" i="4"/>
  <c r="BY180" i="4" s="1"/>
  <c r="BL180" i="4"/>
  <c r="BO180" i="4"/>
  <c r="BG180" i="4"/>
  <c r="BP180" i="4" s="1"/>
  <c r="BQ180" i="4" s="1"/>
  <c r="AQ183" i="4"/>
  <c r="AW183" i="4" s="1"/>
  <c r="J606" i="4"/>
  <c r="BK181" i="4"/>
  <c r="W182" i="4"/>
  <c r="CK182" i="4"/>
  <c r="BI182" i="4"/>
  <c r="AU181" i="4"/>
  <c r="BA181" i="4" s="1"/>
  <c r="BH181" i="4"/>
  <c r="BV181" i="4" s="1"/>
  <c r="BY181" i="4" s="1"/>
  <c r="BC182" i="4"/>
  <c r="AL183" i="4"/>
  <c r="AR183" i="4" s="1"/>
  <c r="AX183" i="4" s="1"/>
  <c r="BD183" i="4" s="1"/>
  <c r="M184" i="4"/>
  <c r="AM182" i="4" l="1"/>
  <c r="AS182" i="4" s="1"/>
  <c r="AY182" i="4" s="1"/>
  <c r="BE182" i="4" s="1"/>
  <c r="AA183" i="4"/>
  <c r="X183" i="4"/>
  <c r="AJ182" i="4"/>
  <c r="AP182" i="4" s="1"/>
  <c r="AV182" i="4" s="1"/>
  <c r="BB182" i="4" s="1"/>
  <c r="AB183" i="4"/>
  <c r="AN182" i="4"/>
  <c r="AT182" i="4" s="1"/>
  <c r="AZ182" i="4" s="1"/>
  <c r="BF182" i="4" s="1"/>
  <c r="BL181" i="4"/>
  <c r="BM180" i="4"/>
  <c r="BN180" i="4" s="1"/>
  <c r="BO181" i="4"/>
  <c r="BG181" i="4"/>
  <c r="BP181" i="4" s="1"/>
  <c r="BQ181" i="4" s="1"/>
  <c r="CA184" i="4"/>
  <c r="Y184" i="4"/>
  <c r="CE182" i="4"/>
  <c r="AC182" i="4"/>
  <c r="T184" i="4"/>
  <c r="CH184" i="4"/>
  <c r="BC183" i="4"/>
  <c r="J608" i="4"/>
  <c r="BI183" i="4"/>
  <c r="BS182" i="4"/>
  <c r="AN183" i="4" l="1"/>
  <c r="AT183" i="4" s="1"/>
  <c r="AZ183" i="4" s="1"/>
  <c r="BF183" i="4"/>
  <c r="O184" i="4"/>
  <c r="K184" i="4"/>
  <c r="AJ183" i="4"/>
  <c r="AP183" i="4" s="1"/>
  <c r="AV183" i="4" s="1"/>
  <c r="BB183" i="4" s="1"/>
  <c r="AM183" i="4"/>
  <c r="AS183" i="4" s="1"/>
  <c r="AY183" i="4" s="1"/>
  <c r="BE183" i="4" s="1"/>
  <c r="N184" i="4"/>
  <c r="CB184" i="4"/>
  <c r="Z184" i="4"/>
  <c r="AO182" i="4"/>
  <c r="AC183" i="4"/>
  <c r="BJ182" i="4"/>
  <c r="J610" i="4"/>
  <c r="Y185" i="4"/>
  <c r="AK184" i="4"/>
  <c r="BM181" i="4"/>
  <c r="BN181" i="4" s="1"/>
  <c r="BS183" i="4"/>
  <c r="CI184" i="4" l="1"/>
  <c r="U184" i="4"/>
  <c r="CF184" i="4"/>
  <c r="R184" i="4"/>
  <c r="CJ184" i="4"/>
  <c r="V184" i="4"/>
  <c r="J612" i="4"/>
  <c r="AU182" i="4"/>
  <c r="BA182" i="4" s="1"/>
  <c r="BH182" i="4"/>
  <c r="BK182" i="4"/>
  <c r="Z185" i="4"/>
  <c r="AL184" i="4"/>
  <c r="AR184" i="4" s="1"/>
  <c r="AX184" i="4" s="1"/>
  <c r="BD184" i="4" s="1"/>
  <c r="AK185" i="4"/>
  <c r="L186" i="4"/>
  <c r="AO183" i="4"/>
  <c r="P184" i="4"/>
  <c r="BJ183" i="4"/>
  <c r="AQ184" i="4"/>
  <c r="AW184" i="4" s="1"/>
  <c r="AB184" i="4" l="1"/>
  <c r="CD184" i="4"/>
  <c r="BZ184" i="4"/>
  <c r="X184" i="4"/>
  <c r="AA184" i="4"/>
  <c r="CC184" i="4"/>
  <c r="BV182" i="4"/>
  <c r="BY182" i="4" s="1"/>
  <c r="BL182" i="4"/>
  <c r="BC184" i="4"/>
  <c r="J614" i="4"/>
  <c r="BO182" i="4"/>
  <c r="BG182" i="4"/>
  <c r="BP182" i="4" s="1"/>
  <c r="BQ182" i="4" s="1"/>
  <c r="S186" i="4"/>
  <c r="CG186" i="4"/>
  <c r="AU183" i="4"/>
  <c r="BA183" i="4" s="1"/>
  <c r="BH183" i="4"/>
  <c r="BV183" i="4" s="1"/>
  <c r="BY183" i="4" s="1"/>
  <c r="AQ185" i="4"/>
  <c r="AW185" i="4" s="1"/>
  <c r="AL185" i="4"/>
  <c r="AR185" i="4" s="1"/>
  <c r="AX185" i="4" s="1"/>
  <c r="BD185" i="4" s="1"/>
  <c r="M186" i="4"/>
  <c r="BK183" i="4"/>
  <c r="CK184" i="4"/>
  <c r="W184" i="4"/>
  <c r="BI184" i="4"/>
  <c r="AM184" i="4" l="1"/>
  <c r="AS184" i="4" s="1"/>
  <c r="AY184" i="4" s="1"/>
  <c r="BE184" i="4" s="1"/>
  <c r="AA185" i="4"/>
  <c r="AJ184" i="4"/>
  <c r="AP184" i="4" s="1"/>
  <c r="AV184" i="4" s="1"/>
  <c r="BB184" i="4" s="1"/>
  <c r="X185" i="4"/>
  <c r="AN184" i="4"/>
  <c r="AT184" i="4" s="1"/>
  <c r="AZ184" i="4" s="1"/>
  <c r="BF184" i="4" s="1"/>
  <c r="AB185" i="4"/>
  <c r="J616" i="4"/>
  <c r="BC185" i="4"/>
  <c r="BO183" i="4"/>
  <c r="BG183" i="4"/>
  <c r="BP183" i="4" s="1"/>
  <c r="BQ183" i="4" s="1"/>
  <c r="BI185" i="4"/>
  <c r="BS184" i="4"/>
  <c r="CE184" i="4"/>
  <c r="AC184" i="4"/>
  <c r="T186" i="4"/>
  <c r="CH186" i="4"/>
  <c r="CA186" i="4"/>
  <c r="Y186" i="4"/>
  <c r="BL183" i="4"/>
  <c r="BM182" i="4"/>
  <c r="BN182" i="4" s="1"/>
  <c r="O186" i="4" l="1"/>
  <c r="AN185" i="4"/>
  <c r="AT185" i="4" s="1"/>
  <c r="AZ185" i="4" s="1"/>
  <c r="BF185" i="4" s="1"/>
  <c r="K186" i="4"/>
  <c r="AJ185" i="4"/>
  <c r="AP185" i="4" s="1"/>
  <c r="AV185" i="4" s="1"/>
  <c r="BB185" i="4" s="1"/>
  <c r="AM185" i="4"/>
  <c r="AS185" i="4" s="1"/>
  <c r="AY185" i="4" s="1"/>
  <c r="BE185" i="4" s="1"/>
  <c r="N186" i="4"/>
  <c r="BS185" i="4"/>
  <c r="BM183" i="4"/>
  <c r="BN183" i="4" s="1"/>
  <c r="CB186" i="4"/>
  <c r="Z186" i="4"/>
  <c r="AO184" i="4"/>
  <c r="AC185" i="4"/>
  <c r="BJ184" i="4"/>
  <c r="J618" i="4"/>
  <c r="Y187" i="4"/>
  <c r="AK186" i="4"/>
  <c r="CI186" i="4" l="1"/>
  <c r="U186" i="4"/>
  <c r="R186" i="4"/>
  <c r="CF186" i="4"/>
  <c r="CJ186" i="4"/>
  <c r="V186" i="4"/>
  <c r="BK184" i="4"/>
  <c r="AL186" i="4"/>
  <c r="AR186" i="4" s="1"/>
  <c r="AX186" i="4" s="1"/>
  <c r="BD186" i="4" s="1"/>
  <c r="Z187" i="4"/>
  <c r="AK187" i="4"/>
  <c r="L188" i="4"/>
  <c r="J620" i="4"/>
  <c r="AO185" i="4"/>
  <c r="P186" i="4"/>
  <c r="BJ185" i="4"/>
  <c r="AU184" i="4"/>
  <c r="BA184" i="4" s="1"/>
  <c r="BH184" i="4"/>
  <c r="AQ186" i="4"/>
  <c r="AW186" i="4" s="1"/>
  <c r="CD186" i="4" l="1"/>
  <c r="AB186" i="4"/>
  <c r="BZ186" i="4"/>
  <c r="X186" i="4"/>
  <c r="CC186" i="4"/>
  <c r="AA186" i="4"/>
  <c r="J622" i="4"/>
  <c r="BK185" i="4"/>
  <c r="BO184" i="4"/>
  <c r="BG184" i="4"/>
  <c r="BP184" i="4" s="1"/>
  <c r="BQ184" i="4" s="1"/>
  <c r="CG188" i="4"/>
  <c r="S188" i="4"/>
  <c r="AQ187" i="4"/>
  <c r="AW187" i="4" s="1"/>
  <c r="W186" i="4"/>
  <c r="CK186" i="4"/>
  <c r="BI186" i="4"/>
  <c r="AU185" i="4"/>
  <c r="BA185" i="4" s="1"/>
  <c r="BH185" i="4"/>
  <c r="BV185" i="4" s="1"/>
  <c r="BY185" i="4" s="1"/>
  <c r="AL187" i="4"/>
  <c r="AR187" i="4" s="1"/>
  <c r="AX187" i="4" s="1"/>
  <c r="BD187" i="4" s="1"/>
  <c r="M188" i="4"/>
  <c r="BC186" i="4"/>
  <c r="BV184" i="4"/>
  <c r="BY184" i="4" s="1"/>
  <c r="BL184" i="4"/>
  <c r="AA187" i="4" l="1"/>
  <c r="AM186" i="4"/>
  <c r="AS186" i="4" s="1"/>
  <c r="AY186" i="4" s="1"/>
  <c r="BE186" i="4" s="1"/>
  <c r="AJ186" i="4"/>
  <c r="AP186" i="4" s="1"/>
  <c r="AV186" i="4" s="1"/>
  <c r="BB186" i="4" s="1"/>
  <c r="X187" i="4"/>
  <c r="AB187" i="4"/>
  <c r="AN186" i="4"/>
  <c r="AT186" i="4" s="1"/>
  <c r="AZ186" i="4" s="1"/>
  <c r="BF186" i="4" s="1"/>
  <c r="T188" i="4"/>
  <c r="CH188" i="4"/>
  <c r="BO185" i="4"/>
  <c r="BG185" i="4"/>
  <c r="BP185" i="4" s="1"/>
  <c r="BQ185" i="4" s="1"/>
  <c r="CE186" i="4"/>
  <c r="AC186" i="4"/>
  <c r="BL185" i="4"/>
  <c r="BM184" i="4"/>
  <c r="BN184" i="4" s="1"/>
  <c r="BC187" i="4"/>
  <c r="CA188" i="4"/>
  <c r="Y188" i="4"/>
  <c r="BI187" i="4"/>
  <c r="BS186" i="4"/>
  <c r="J624" i="4"/>
  <c r="O188" i="4" l="1"/>
  <c r="AN187" i="4"/>
  <c r="AT187" i="4" s="1"/>
  <c r="AZ187" i="4" s="1"/>
  <c r="BF187" i="4" s="1"/>
  <c r="AJ187" i="4"/>
  <c r="AP187" i="4" s="1"/>
  <c r="AV187" i="4" s="1"/>
  <c r="BB187" i="4" s="1"/>
  <c r="K188" i="4"/>
  <c r="N188" i="4"/>
  <c r="AM187" i="4"/>
  <c r="AS187" i="4" s="1"/>
  <c r="AY187" i="4" s="1"/>
  <c r="BE187" i="4" s="1"/>
  <c r="BM185" i="4"/>
  <c r="BN185" i="4" s="1"/>
  <c r="AC187" i="4"/>
  <c r="AO186" i="4"/>
  <c r="BJ186" i="4"/>
  <c r="AK188" i="4"/>
  <c r="Y189" i="4"/>
  <c r="BS187" i="4"/>
  <c r="J626" i="4"/>
  <c r="CB188" i="4"/>
  <c r="Z188" i="4"/>
  <c r="U188" i="4" l="1"/>
  <c r="CI188" i="4"/>
  <c r="R188" i="4"/>
  <c r="CF188" i="4"/>
  <c r="CJ188" i="4"/>
  <c r="V188" i="4"/>
  <c r="AQ188" i="4"/>
  <c r="AW188" i="4" s="1"/>
  <c r="BK186" i="4"/>
  <c r="AU186" i="4"/>
  <c r="BA186" i="4" s="1"/>
  <c r="BH186" i="4"/>
  <c r="AO187" i="4"/>
  <c r="P188" i="4"/>
  <c r="BJ187" i="4"/>
  <c r="J628" i="4"/>
  <c r="Z189" i="4"/>
  <c r="AL188" i="4"/>
  <c r="AR188" i="4" s="1"/>
  <c r="AX188" i="4" s="1"/>
  <c r="BD188" i="4" s="1"/>
  <c r="AK189" i="4"/>
  <c r="L190" i="4"/>
  <c r="CD188" i="4" l="1"/>
  <c r="AB188" i="4"/>
  <c r="BZ188" i="4"/>
  <c r="X188" i="4"/>
  <c r="AA188" i="4"/>
  <c r="CC188" i="4"/>
  <c r="BK187" i="4"/>
  <c r="AU187" i="4"/>
  <c r="BA187" i="4" s="1"/>
  <c r="BH187" i="4"/>
  <c r="BV187" i="4" s="1"/>
  <c r="BY187" i="4" s="1"/>
  <c r="BV186" i="4"/>
  <c r="BY186" i="4" s="1"/>
  <c r="BL186" i="4"/>
  <c r="BO186" i="4"/>
  <c r="BG186" i="4"/>
  <c r="BP186" i="4" s="1"/>
  <c r="BQ186" i="4" s="1"/>
  <c r="S190" i="4"/>
  <c r="CG190" i="4"/>
  <c r="AQ189" i="4"/>
  <c r="AW189" i="4" s="1"/>
  <c r="W188" i="4"/>
  <c r="CK188" i="4"/>
  <c r="BI188" i="4"/>
  <c r="BC188" i="4"/>
  <c r="AL189" i="4"/>
  <c r="AR189" i="4" s="1"/>
  <c r="AX189" i="4" s="1"/>
  <c r="BD189" i="4" s="1"/>
  <c r="M190" i="4"/>
  <c r="J630" i="4"/>
  <c r="AA189" i="4" l="1"/>
  <c r="AM188" i="4"/>
  <c r="AS188" i="4" s="1"/>
  <c r="AY188" i="4" s="1"/>
  <c r="BE188" i="4" s="1"/>
  <c r="X189" i="4"/>
  <c r="AJ188" i="4"/>
  <c r="AP188" i="4" s="1"/>
  <c r="AV188" i="4" s="1"/>
  <c r="BB188" i="4" s="1"/>
  <c r="AB189" i="4"/>
  <c r="AN188" i="4"/>
  <c r="AT188" i="4" s="1"/>
  <c r="AZ188" i="4" s="1"/>
  <c r="BF188" i="4" s="1"/>
  <c r="CA190" i="4"/>
  <c r="Y190" i="4"/>
  <c r="BL187" i="4"/>
  <c r="BM186" i="4"/>
  <c r="BN186" i="4" s="1"/>
  <c r="BI189" i="4"/>
  <c r="BS188" i="4"/>
  <c r="BO187" i="4"/>
  <c r="BG187" i="4"/>
  <c r="BP187" i="4" s="1"/>
  <c r="BQ187" i="4" s="1"/>
  <c r="J632" i="4"/>
  <c r="T190" i="4"/>
  <c r="CH190" i="4"/>
  <c r="CE188" i="4"/>
  <c r="AC188" i="4"/>
  <c r="BC189" i="4"/>
  <c r="O190" i="4" l="1"/>
  <c r="AN189" i="4"/>
  <c r="AT189" i="4" s="1"/>
  <c r="AZ189" i="4" s="1"/>
  <c r="BF189" i="4" s="1"/>
  <c r="AJ189" i="4"/>
  <c r="AP189" i="4" s="1"/>
  <c r="AV189" i="4" s="1"/>
  <c r="BB189" i="4" s="1"/>
  <c r="K190" i="4"/>
  <c r="AM189" i="4"/>
  <c r="AS189" i="4" s="1"/>
  <c r="AY189" i="4" s="1"/>
  <c r="BE189" i="4" s="1"/>
  <c r="N190" i="4"/>
  <c r="BS189" i="4"/>
  <c r="AC189" i="4"/>
  <c r="AO188" i="4"/>
  <c r="BJ188" i="4"/>
  <c r="BM187" i="4"/>
  <c r="BN187" i="4" s="1"/>
  <c r="AK190" i="4"/>
  <c r="Y191" i="4"/>
  <c r="CB190" i="4"/>
  <c r="Z190" i="4"/>
  <c r="J634" i="4"/>
  <c r="U190" i="4" l="1"/>
  <c r="CI190" i="4"/>
  <c r="R190" i="4"/>
  <c r="CF190" i="4"/>
  <c r="CJ190" i="4"/>
  <c r="V190" i="4"/>
  <c r="J636" i="4"/>
  <c r="AQ190" i="4"/>
  <c r="AW190" i="4" s="1"/>
  <c r="BK188" i="4"/>
  <c r="AL190" i="4"/>
  <c r="AR190" i="4" s="1"/>
  <c r="AX190" i="4" s="1"/>
  <c r="BD190" i="4" s="1"/>
  <c r="Z191" i="4"/>
  <c r="AU188" i="4"/>
  <c r="BA188" i="4" s="1"/>
  <c r="BH188" i="4"/>
  <c r="AO189" i="4"/>
  <c r="P190" i="4"/>
  <c r="BJ189" i="4"/>
  <c r="AK191" i="4"/>
  <c r="L192" i="4"/>
  <c r="CD190" i="4" l="1"/>
  <c r="AB190" i="4"/>
  <c r="BZ190" i="4"/>
  <c r="X190" i="4"/>
  <c r="AA190" i="4"/>
  <c r="CC190" i="4"/>
  <c r="BC190" i="4"/>
  <c r="BV188" i="4"/>
  <c r="BY188" i="4" s="1"/>
  <c r="BL188" i="4"/>
  <c r="AL191" i="4"/>
  <c r="AR191" i="4" s="1"/>
  <c r="AX191" i="4" s="1"/>
  <c r="BD191" i="4" s="1"/>
  <c r="M192" i="4"/>
  <c r="BK189" i="4"/>
  <c r="BO188" i="4"/>
  <c r="BG188" i="4"/>
  <c r="BP188" i="4" s="1"/>
  <c r="BQ188" i="4" s="1"/>
  <c r="S192" i="4"/>
  <c r="CG192" i="4"/>
  <c r="J638" i="4"/>
  <c r="W190" i="4"/>
  <c r="CK190" i="4"/>
  <c r="BI190" i="4"/>
  <c r="AU189" i="4"/>
  <c r="BA189" i="4" s="1"/>
  <c r="BH189" i="4"/>
  <c r="BV189" i="4" s="1"/>
  <c r="BY189" i="4" s="1"/>
  <c r="AQ191" i="4"/>
  <c r="AW191" i="4" s="1"/>
  <c r="AM190" i="4" l="1"/>
  <c r="AS190" i="4" s="1"/>
  <c r="AY190" i="4" s="1"/>
  <c r="BE190" i="4" s="1"/>
  <c r="AA191" i="4"/>
  <c r="AJ190" i="4"/>
  <c r="AP190" i="4" s="1"/>
  <c r="AV190" i="4" s="1"/>
  <c r="BB190" i="4" s="1"/>
  <c r="X191" i="4"/>
  <c r="AB191" i="4"/>
  <c r="AN190" i="4"/>
  <c r="AT190" i="4" s="1"/>
  <c r="AZ190" i="4" s="1"/>
  <c r="BF190" i="4" s="1"/>
  <c r="BI191" i="4"/>
  <c r="BS190" i="4"/>
  <c r="CE190" i="4"/>
  <c r="AC190" i="4"/>
  <c r="BL189" i="4"/>
  <c r="BM188" i="4"/>
  <c r="BN188" i="4" s="1"/>
  <c r="J640" i="4"/>
  <c r="BC191" i="4"/>
  <c r="CA192" i="4"/>
  <c r="Y192" i="4"/>
  <c r="BO189" i="4"/>
  <c r="BG189" i="4"/>
  <c r="BP189" i="4" s="1"/>
  <c r="BQ189" i="4" s="1"/>
  <c r="T192" i="4"/>
  <c r="CH192" i="4"/>
  <c r="AJ191" i="4" l="1"/>
  <c r="AP191" i="4" s="1"/>
  <c r="AV191" i="4" s="1"/>
  <c r="K192" i="4"/>
  <c r="BB191" i="4"/>
  <c r="AN191" i="4"/>
  <c r="AT191" i="4" s="1"/>
  <c r="AZ191" i="4" s="1"/>
  <c r="BF191" i="4" s="1"/>
  <c r="O192" i="4"/>
  <c r="N192" i="4"/>
  <c r="AM191" i="4"/>
  <c r="AS191" i="4" s="1"/>
  <c r="AY191" i="4" s="1"/>
  <c r="BE191" i="4" s="1"/>
  <c r="AO190" i="4"/>
  <c r="AC191" i="4"/>
  <c r="BJ190" i="4"/>
  <c r="AK192" i="4"/>
  <c r="Y193" i="4"/>
  <c r="J642" i="4"/>
  <c r="CB192" i="4"/>
  <c r="Z192" i="4"/>
  <c r="BS191" i="4"/>
  <c r="BM189" i="4"/>
  <c r="BN189" i="4" s="1"/>
  <c r="CI192" i="4" l="1"/>
  <c r="U192" i="4"/>
  <c r="V192" i="4"/>
  <c r="CJ192" i="4"/>
  <c r="R192" i="4"/>
  <c r="CF192" i="4"/>
  <c r="AQ192" i="4"/>
  <c r="AW192" i="4" s="1"/>
  <c r="Z193" i="4"/>
  <c r="AL192" i="4"/>
  <c r="AR192" i="4" s="1"/>
  <c r="AX192" i="4" s="1"/>
  <c r="BD192" i="4" s="1"/>
  <c r="J644" i="4"/>
  <c r="BK190" i="4"/>
  <c r="AO191" i="4"/>
  <c r="P192" i="4"/>
  <c r="BJ191" i="4"/>
  <c r="AU190" i="4"/>
  <c r="BA190" i="4" s="1"/>
  <c r="BH190" i="4"/>
  <c r="AK193" i="4"/>
  <c r="L194" i="4"/>
  <c r="BZ192" i="4" l="1"/>
  <c r="X192" i="4"/>
  <c r="CD192" i="4"/>
  <c r="AB192" i="4"/>
  <c r="CC192" i="4"/>
  <c r="AA192" i="4"/>
  <c r="BO190" i="4"/>
  <c r="BG190" i="4"/>
  <c r="BP190" i="4" s="1"/>
  <c r="BQ190" i="4" s="1"/>
  <c r="AL193" i="4"/>
  <c r="AR193" i="4" s="1"/>
  <c r="AX193" i="4" s="1"/>
  <c r="BD193" i="4" s="1"/>
  <c r="M194" i="4"/>
  <c r="BC192" i="4"/>
  <c r="J646" i="4"/>
  <c r="BV190" i="4"/>
  <c r="BY190" i="4" s="1"/>
  <c r="BL190" i="4"/>
  <c r="BK191" i="4"/>
  <c r="W192" i="4"/>
  <c r="CK192" i="4"/>
  <c r="BI192" i="4"/>
  <c r="AU191" i="4"/>
  <c r="BA191" i="4" s="1"/>
  <c r="BH191" i="4"/>
  <c r="BV191" i="4" s="1"/>
  <c r="BY191" i="4" s="1"/>
  <c r="S194" i="4"/>
  <c r="CG194" i="4"/>
  <c r="AQ193" i="4"/>
  <c r="AW193" i="4" s="1"/>
  <c r="AM192" i="4" l="1"/>
  <c r="AS192" i="4" s="1"/>
  <c r="AY192" i="4" s="1"/>
  <c r="AA193" i="4"/>
  <c r="BE192" i="4"/>
  <c r="AN192" i="4"/>
  <c r="AT192" i="4" s="1"/>
  <c r="AZ192" i="4" s="1"/>
  <c r="AB193" i="4"/>
  <c r="BF192" i="4"/>
  <c r="AJ192" i="4"/>
  <c r="AP192" i="4" s="1"/>
  <c r="AV192" i="4" s="1"/>
  <c r="BB192" i="4" s="1"/>
  <c r="X193" i="4"/>
  <c r="BL191" i="4"/>
  <c r="BM190" i="4"/>
  <c r="BN190" i="4" s="1"/>
  <c r="BC193" i="4"/>
  <c r="T194" i="4"/>
  <c r="CH194" i="4"/>
  <c r="J648" i="4"/>
  <c r="BO191" i="4"/>
  <c r="BG191" i="4"/>
  <c r="BP191" i="4" s="1"/>
  <c r="BQ191" i="4" s="1"/>
  <c r="CE192" i="4"/>
  <c r="AC192" i="4"/>
  <c r="CA194" i="4"/>
  <c r="Y194" i="4"/>
  <c r="BI193" i="4"/>
  <c r="BS192" i="4"/>
  <c r="AJ193" i="4" l="1"/>
  <c r="AP193" i="4" s="1"/>
  <c r="AV193" i="4" s="1"/>
  <c r="K194" i="4"/>
  <c r="BB193" i="4"/>
  <c r="AN193" i="4"/>
  <c r="AT193" i="4" s="1"/>
  <c r="AZ193" i="4" s="1"/>
  <c r="BF193" i="4" s="1"/>
  <c r="O194" i="4"/>
  <c r="N194" i="4"/>
  <c r="AM193" i="4"/>
  <c r="AS193" i="4" s="1"/>
  <c r="AY193" i="4" s="1"/>
  <c r="BE193" i="4" s="1"/>
  <c r="J650" i="4"/>
  <c r="BS193" i="4"/>
  <c r="AK194" i="4"/>
  <c r="Y195" i="4"/>
  <c r="BM191" i="4"/>
  <c r="BN191" i="4" s="1"/>
  <c r="AC193" i="4"/>
  <c r="AO192" i="4"/>
  <c r="BJ192" i="4"/>
  <c r="CB194" i="4"/>
  <c r="Z194" i="4"/>
  <c r="CJ194" i="4" l="1"/>
  <c r="V194" i="4"/>
  <c r="CI194" i="4"/>
  <c r="U194" i="4"/>
  <c r="R194" i="4"/>
  <c r="CF194" i="4"/>
  <c r="AO193" i="4"/>
  <c r="P194" i="4"/>
  <c r="BJ193" i="4"/>
  <c r="AK195" i="4"/>
  <c r="L196" i="4"/>
  <c r="BK192" i="4"/>
  <c r="AU192" i="4"/>
  <c r="BA192" i="4" s="1"/>
  <c r="BH192" i="4"/>
  <c r="AL194" i="4"/>
  <c r="AR194" i="4" s="1"/>
  <c r="AX194" i="4" s="1"/>
  <c r="BD194" i="4" s="1"/>
  <c r="Z195" i="4"/>
  <c r="AQ194" i="4"/>
  <c r="AW194" i="4" s="1"/>
  <c r="J652" i="4"/>
  <c r="BZ194" i="4" l="1"/>
  <c r="X194" i="4"/>
  <c r="CC194" i="4"/>
  <c r="AA194" i="4"/>
  <c r="CD194" i="4"/>
  <c r="AB194" i="4"/>
  <c r="BC194" i="4"/>
  <c r="AL195" i="4"/>
  <c r="AR195" i="4" s="1"/>
  <c r="AX195" i="4" s="1"/>
  <c r="BD195" i="4" s="1"/>
  <c r="M196" i="4"/>
  <c r="BK193" i="4"/>
  <c r="CK194" i="4"/>
  <c r="W194" i="4"/>
  <c r="BI194" i="4"/>
  <c r="AU193" i="4"/>
  <c r="BA193" i="4" s="1"/>
  <c r="BH193" i="4"/>
  <c r="BV193" i="4" s="1"/>
  <c r="BY193" i="4" s="1"/>
  <c r="AQ195" i="4"/>
  <c r="AW195" i="4" s="1"/>
  <c r="BV192" i="4"/>
  <c r="BY192" i="4" s="1"/>
  <c r="BL192" i="4"/>
  <c r="BO192" i="4"/>
  <c r="BG192" i="4"/>
  <c r="BP192" i="4" s="1"/>
  <c r="BQ192" i="4" s="1"/>
  <c r="J654" i="4"/>
  <c r="S196" i="4"/>
  <c r="CG196" i="4"/>
  <c r="AB195" i="4" l="1"/>
  <c r="AN194" i="4"/>
  <c r="AT194" i="4" s="1"/>
  <c r="AZ194" i="4" s="1"/>
  <c r="BF194" i="4"/>
  <c r="AA195" i="4"/>
  <c r="AM194" i="4"/>
  <c r="AS194" i="4" s="1"/>
  <c r="AY194" i="4" s="1"/>
  <c r="BE194" i="4" s="1"/>
  <c r="AJ194" i="4"/>
  <c r="AP194" i="4" s="1"/>
  <c r="AV194" i="4" s="1"/>
  <c r="BB194" i="4" s="1"/>
  <c r="X195" i="4"/>
  <c r="T196" i="4"/>
  <c r="CH196" i="4"/>
  <c r="CE194" i="4"/>
  <c r="AC194" i="4"/>
  <c r="BL193" i="4"/>
  <c r="BM192" i="4"/>
  <c r="BN192" i="4" s="1"/>
  <c r="CA196" i="4"/>
  <c r="Y196" i="4"/>
  <c r="J656" i="4"/>
  <c r="BC195" i="4"/>
  <c r="BO193" i="4"/>
  <c r="BG193" i="4"/>
  <c r="BP193" i="4" s="1"/>
  <c r="BQ193" i="4" s="1"/>
  <c r="BI195" i="4"/>
  <c r="BS194" i="4"/>
  <c r="K196" i="4" l="1"/>
  <c r="AJ195" i="4"/>
  <c r="AP195" i="4" s="1"/>
  <c r="AV195" i="4" s="1"/>
  <c r="BB195" i="4"/>
  <c r="AM195" i="4"/>
  <c r="AS195" i="4" s="1"/>
  <c r="AY195" i="4" s="1"/>
  <c r="BE195" i="4" s="1"/>
  <c r="N196" i="4"/>
  <c r="AN195" i="4"/>
  <c r="AT195" i="4" s="1"/>
  <c r="AZ195" i="4" s="1"/>
  <c r="BF195" i="4" s="1"/>
  <c r="O196" i="4"/>
  <c r="BM193" i="4"/>
  <c r="BN193" i="4" s="1"/>
  <c r="AC195" i="4"/>
  <c r="AO194" i="4"/>
  <c r="BJ194" i="4"/>
  <c r="CB196" i="4"/>
  <c r="Z196" i="4"/>
  <c r="J658" i="4"/>
  <c r="AK196" i="4"/>
  <c r="Y197" i="4"/>
  <c r="BS195" i="4"/>
  <c r="V196" i="4" l="1"/>
  <c r="CJ196" i="4"/>
  <c r="CI196" i="4"/>
  <c r="U196" i="4"/>
  <c r="CF196" i="4"/>
  <c r="R196" i="4"/>
  <c r="BK194" i="4"/>
  <c r="AO195" i="4"/>
  <c r="P196" i="4"/>
  <c r="BJ195" i="4"/>
  <c r="AL196" i="4"/>
  <c r="AR196" i="4" s="1"/>
  <c r="AX196" i="4" s="1"/>
  <c r="BD196" i="4" s="1"/>
  <c r="Z197" i="4"/>
  <c r="J660" i="4"/>
  <c r="AK197" i="4"/>
  <c r="L198" i="4"/>
  <c r="AQ196" i="4"/>
  <c r="AW196" i="4" s="1"/>
  <c r="AU194" i="4"/>
  <c r="BA194" i="4" s="1"/>
  <c r="BH194" i="4"/>
  <c r="BZ196" i="4" l="1"/>
  <c r="X196" i="4"/>
  <c r="AA196" i="4"/>
  <c r="CC196" i="4"/>
  <c r="AB196" i="4"/>
  <c r="CD196" i="4"/>
  <c r="J662" i="4"/>
  <c r="BC196" i="4"/>
  <c r="W196" i="4"/>
  <c r="CK196" i="4"/>
  <c r="BI196" i="4"/>
  <c r="BV194" i="4"/>
  <c r="BY194" i="4" s="1"/>
  <c r="BL194" i="4"/>
  <c r="AL197" i="4"/>
  <c r="AR197" i="4" s="1"/>
  <c r="AX197" i="4" s="1"/>
  <c r="BD197" i="4" s="1"/>
  <c r="M198" i="4"/>
  <c r="BK195" i="4"/>
  <c r="BO194" i="4"/>
  <c r="BG194" i="4"/>
  <c r="BP194" i="4" s="1"/>
  <c r="BQ194" i="4" s="1"/>
  <c r="S198" i="4"/>
  <c r="CG198" i="4"/>
  <c r="AQ197" i="4"/>
  <c r="AW197" i="4" s="1"/>
  <c r="AU195" i="4"/>
  <c r="BA195" i="4" s="1"/>
  <c r="BH195" i="4"/>
  <c r="BV195" i="4" s="1"/>
  <c r="BY195" i="4" s="1"/>
  <c r="AB197" i="4" l="1"/>
  <c r="AN196" i="4"/>
  <c r="AT196" i="4" s="1"/>
  <c r="AZ196" i="4" s="1"/>
  <c r="BF196" i="4" s="1"/>
  <c r="AM196" i="4"/>
  <c r="AS196" i="4" s="1"/>
  <c r="AY196" i="4" s="1"/>
  <c r="BE196" i="4" s="1"/>
  <c r="AA197" i="4"/>
  <c r="AJ196" i="4"/>
  <c r="AP196" i="4" s="1"/>
  <c r="AV196" i="4" s="1"/>
  <c r="BB196" i="4" s="1"/>
  <c r="X197" i="4"/>
  <c r="CE196" i="4"/>
  <c r="AC196" i="4"/>
  <c r="J664" i="4"/>
  <c r="BL195" i="4"/>
  <c r="BM194" i="4"/>
  <c r="BN194" i="4" s="1"/>
  <c r="CA198" i="4"/>
  <c r="Y198" i="4"/>
  <c r="BO195" i="4"/>
  <c r="BG195" i="4"/>
  <c r="BP195" i="4" s="1"/>
  <c r="BQ195" i="4" s="1"/>
  <c r="BC197" i="4"/>
  <c r="BI197" i="4"/>
  <c r="BS196" i="4"/>
  <c r="T198" i="4"/>
  <c r="CH198" i="4"/>
  <c r="AM197" i="4" l="1"/>
  <c r="AS197" i="4" s="1"/>
  <c r="AY197" i="4" s="1"/>
  <c r="BE197" i="4" s="1"/>
  <c r="N198" i="4"/>
  <c r="K198" i="4"/>
  <c r="AJ197" i="4"/>
  <c r="AP197" i="4" s="1"/>
  <c r="AV197" i="4" s="1"/>
  <c r="BB197" i="4" s="1"/>
  <c r="AN197" i="4"/>
  <c r="AT197" i="4" s="1"/>
  <c r="AZ197" i="4" s="1"/>
  <c r="BF197" i="4" s="1"/>
  <c r="O198" i="4"/>
  <c r="CB198" i="4"/>
  <c r="Z198" i="4"/>
  <c r="BM195" i="4"/>
  <c r="BN195" i="4" s="1"/>
  <c r="BS197" i="4"/>
  <c r="AO196" i="4"/>
  <c r="AC197" i="4"/>
  <c r="BJ196" i="4"/>
  <c r="Y199" i="4"/>
  <c r="AK198" i="4"/>
  <c r="CJ198" i="4" l="1"/>
  <c r="V198" i="4"/>
  <c r="R198" i="4"/>
  <c r="CF198" i="4"/>
  <c r="U198" i="4"/>
  <c r="CI198" i="4"/>
  <c r="AQ198" i="4"/>
  <c r="AW198" i="4" s="1"/>
  <c r="AK199" i="4"/>
  <c r="L200" i="4"/>
  <c r="BK196" i="4"/>
  <c r="Z199" i="4"/>
  <c r="AL198" i="4"/>
  <c r="AR198" i="4" s="1"/>
  <c r="AX198" i="4" s="1"/>
  <c r="BD198" i="4" s="1"/>
  <c r="AO197" i="4"/>
  <c r="P198" i="4"/>
  <c r="BJ197" i="4"/>
  <c r="AU196" i="4"/>
  <c r="BA196" i="4" s="1"/>
  <c r="BH196" i="4"/>
  <c r="AA198" i="4" l="1"/>
  <c r="CC198" i="4"/>
  <c r="BZ198" i="4"/>
  <c r="X198" i="4"/>
  <c r="AB198" i="4"/>
  <c r="CD198" i="4"/>
  <c r="BO196" i="4"/>
  <c r="BG196" i="4"/>
  <c r="BP196" i="4" s="1"/>
  <c r="BQ196" i="4" s="1"/>
  <c r="W198" i="4"/>
  <c r="CK198" i="4"/>
  <c r="BI198" i="4"/>
  <c r="S200" i="4"/>
  <c r="CG200" i="4"/>
  <c r="AL199" i="4"/>
  <c r="AR199" i="4" s="1"/>
  <c r="AX199" i="4" s="1"/>
  <c r="BD199" i="4" s="1"/>
  <c r="M200" i="4"/>
  <c r="BV196" i="4"/>
  <c r="BY196" i="4" s="1"/>
  <c r="BL196" i="4"/>
  <c r="BK197" i="4"/>
  <c r="AU197" i="4"/>
  <c r="BA197" i="4" s="1"/>
  <c r="BH197" i="4"/>
  <c r="BV197" i="4" s="1"/>
  <c r="BY197" i="4" s="1"/>
  <c r="AQ199" i="4"/>
  <c r="AW199" i="4" s="1"/>
  <c r="BC198" i="4"/>
  <c r="AB199" i="4" l="1"/>
  <c r="AN198" i="4"/>
  <c r="AT198" i="4" s="1"/>
  <c r="AZ198" i="4" s="1"/>
  <c r="BF198" i="4" s="1"/>
  <c r="AJ198" i="4"/>
  <c r="AP198" i="4" s="1"/>
  <c r="AV198" i="4" s="1"/>
  <c r="BB198" i="4" s="1"/>
  <c r="X199" i="4"/>
  <c r="AM198" i="4"/>
  <c r="AS198" i="4" s="1"/>
  <c r="AY198" i="4" s="1"/>
  <c r="BE198" i="4" s="1"/>
  <c r="AA199" i="4"/>
  <c r="BL197" i="4"/>
  <c r="BM196" i="4"/>
  <c r="BN196" i="4" s="1"/>
  <c r="BI199" i="4"/>
  <c r="BS198" i="4"/>
  <c r="CE198" i="4"/>
  <c r="AC198" i="4"/>
  <c r="BC199" i="4"/>
  <c r="T200" i="4"/>
  <c r="CH200" i="4"/>
  <c r="CA200" i="4"/>
  <c r="Y200" i="4"/>
  <c r="BO197" i="4"/>
  <c r="BG197" i="4"/>
  <c r="BP197" i="4" s="1"/>
  <c r="BQ197" i="4" s="1"/>
  <c r="AJ199" i="4" l="1"/>
  <c r="AP199" i="4" s="1"/>
  <c r="AV199" i="4" s="1"/>
  <c r="K200" i="4"/>
  <c r="BB199" i="4"/>
  <c r="N200" i="4"/>
  <c r="AM199" i="4"/>
  <c r="AS199" i="4" s="1"/>
  <c r="AY199" i="4" s="1"/>
  <c r="BE199" i="4" s="1"/>
  <c r="O200" i="4"/>
  <c r="AN199" i="4"/>
  <c r="AT199" i="4" s="1"/>
  <c r="AZ199" i="4" s="1"/>
  <c r="BF199" i="4" s="1"/>
  <c r="AC199" i="4"/>
  <c r="AO198" i="4"/>
  <c r="BJ198" i="4"/>
  <c r="Y201" i="4"/>
  <c r="AK200" i="4"/>
  <c r="BS199" i="4"/>
  <c r="BM197" i="4"/>
  <c r="BN197" i="4" s="1"/>
  <c r="CB200" i="4"/>
  <c r="Z200" i="4"/>
  <c r="U200" i="4" l="1"/>
  <c r="CI200" i="4"/>
  <c r="R200" i="4"/>
  <c r="CF200" i="4"/>
  <c r="CJ200" i="4"/>
  <c r="V200" i="4"/>
  <c r="BK198" i="4"/>
  <c r="AK201" i="4"/>
  <c r="L202" i="4"/>
  <c r="AL200" i="4"/>
  <c r="AR200" i="4" s="1"/>
  <c r="AX200" i="4" s="1"/>
  <c r="BD200" i="4" s="1"/>
  <c r="Z201" i="4"/>
  <c r="AU198" i="4"/>
  <c r="BA198" i="4" s="1"/>
  <c r="BH198" i="4"/>
  <c r="AQ200" i="4"/>
  <c r="AW200" i="4" s="1"/>
  <c r="AO199" i="4"/>
  <c r="P200" i="4"/>
  <c r="BJ199" i="4"/>
  <c r="AB200" i="4" l="1"/>
  <c r="CD200" i="4"/>
  <c r="BZ200" i="4"/>
  <c r="X200" i="4"/>
  <c r="CC200" i="4"/>
  <c r="AA200" i="4"/>
  <c r="BK199" i="4"/>
  <c r="S202" i="4"/>
  <c r="CG202" i="4"/>
  <c r="AQ201" i="4"/>
  <c r="AW201" i="4" s="1"/>
  <c r="BO198" i="4"/>
  <c r="BG198" i="4"/>
  <c r="BP198" i="4" s="1"/>
  <c r="BQ198" i="4" s="1"/>
  <c r="W200" i="4"/>
  <c r="CK200" i="4"/>
  <c r="BI200" i="4"/>
  <c r="AL201" i="4"/>
  <c r="AR201" i="4" s="1"/>
  <c r="AX201" i="4" s="1"/>
  <c r="BD201" i="4" s="1"/>
  <c r="M202" i="4"/>
  <c r="BC200" i="4"/>
  <c r="BV198" i="4"/>
  <c r="BY198" i="4" s="1"/>
  <c r="BL198" i="4"/>
  <c r="AU199" i="4"/>
  <c r="BA199" i="4" s="1"/>
  <c r="BH199" i="4"/>
  <c r="BV199" i="4" s="1"/>
  <c r="BY199" i="4" s="1"/>
  <c r="AA201" i="4" l="1"/>
  <c r="AM200" i="4"/>
  <c r="AS200" i="4" s="1"/>
  <c r="AY200" i="4" s="1"/>
  <c r="BE200" i="4" s="1"/>
  <c r="X201" i="4"/>
  <c r="AJ200" i="4"/>
  <c r="AP200" i="4" s="1"/>
  <c r="AV200" i="4" s="1"/>
  <c r="BB200" i="4" s="1"/>
  <c r="AB201" i="4"/>
  <c r="AN200" i="4"/>
  <c r="AT200" i="4" s="1"/>
  <c r="AZ200" i="4" s="1"/>
  <c r="BF200" i="4" s="1"/>
  <c r="BI201" i="4"/>
  <c r="BS200" i="4"/>
  <c r="CE200" i="4"/>
  <c r="AC200" i="4"/>
  <c r="CA202" i="4"/>
  <c r="Y202" i="4"/>
  <c r="BO199" i="4"/>
  <c r="BG199" i="4"/>
  <c r="BP199" i="4" s="1"/>
  <c r="BQ199" i="4" s="1"/>
  <c r="BL199" i="4"/>
  <c r="BM198" i="4"/>
  <c r="BN198" i="4" s="1"/>
  <c r="BC201" i="4"/>
  <c r="T202" i="4"/>
  <c r="CH202" i="4"/>
  <c r="O202" i="4" l="1"/>
  <c r="AN201" i="4"/>
  <c r="AT201" i="4" s="1"/>
  <c r="AZ201" i="4" s="1"/>
  <c r="BF201" i="4" s="1"/>
  <c r="AJ201" i="4"/>
  <c r="AP201" i="4" s="1"/>
  <c r="AV201" i="4" s="1"/>
  <c r="BB201" i="4" s="1"/>
  <c r="K202" i="4"/>
  <c r="AM201" i="4"/>
  <c r="AS201" i="4" s="1"/>
  <c r="AY201" i="4" s="1"/>
  <c r="BE201" i="4" s="1"/>
  <c r="N202" i="4"/>
  <c r="AC201" i="4"/>
  <c r="AO200" i="4"/>
  <c r="BJ200" i="4"/>
  <c r="BS201" i="4"/>
  <c r="BM199" i="4"/>
  <c r="BN199" i="4" s="1"/>
  <c r="CB202" i="4"/>
  <c r="Z202" i="4"/>
  <c r="Y203" i="4"/>
  <c r="AK202" i="4"/>
  <c r="CF202" i="4" l="1"/>
  <c r="R202" i="4"/>
  <c r="U202" i="4"/>
  <c r="CI202" i="4"/>
  <c r="V202" i="4"/>
  <c r="CJ202" i="4"/>
  <c r="AQ202" i="4"/>
  <c r="AW202" i="4" s="1"/>
  <c r="AL202" i="4"/>
  <c r="AR202" i="4" s="1"/>
  <c r="AX202" i="4" s="1"/>
  <c r="BD202" i="4" s="1"/>
  <c r="Z203" i="4"/>
  <c r="BK200" i="4"/>
  <c r="AU200" i="4"/>
  <c r="BA200" i="4" s="1"/>
  <c r="BH200" i="4"/>
  <c r="AO201" i="4"/>
  <c r="P202" i="4"/>
  <c r="BJ201" i="4"/>
  <c r="AK203" i="4"/>
  <c r="L204" i="4"/>
  <c r="AB202" i="4" l="1"/>
  <c r="CD202" i="4"/>
  <c r="CC202" i="4"/>
  <c r="AA202" i="4"/>
  <c r="BZ202" i="4"/>
  <c r="X202" i="4"/>
  <c r="AQ203" i="4"/>
  <c r="AW203" i="4" s="1"/>
  <c r="BO200" i="4"/>
  <c r="BG200" i="4"/>
  <c r="BP200" i="4" s="1"/>
  <c r="BQ200" i="4" s="1"/>
  <c r="CK202" i="4"/>
  <c r="W202" i="4"/>
  <c r="BI202" i="4"/>
  <c r="AU201" i="4"/>
  <c r="BA201" i="4" s="1"/>
  <c r="BH201" i="4"/>
  <c r="BV201" i="4" s="1"/>
  <c r="BY201" i="4" s="1"/>
  <c r="S204" i="4"/>
  <c r="CG204" i="4"/>
  <c r="AL203" i="4"/>
  <c r="AR203" i="4" s="1"/>
  <c r="AX203" i="4" s="1"/>
  <c r="BD203" i="4" s="1"/>
  <c r="M204" i="4"/>
  <c r="BK201" i="4"/>
  <c r="BV200" i="4"/>
  <c r="BY200" i="4" s="1"/>
  <c r="BL200" i="4"/>
  <c r="BC202" i="4"/>
  <c r="X203" i="4" l="1"/>
  <c r="AJ202" i="4"/>
  <c r="AP202" i="4" s="1"/>
  <c r="AV202" i="4" s="1"/>
  <c r="BB202" i="4"/>
  <c r="AM202" i="4"/>
  <c r="AS202" i="4" s="1"/>
  <c r="AY202" i="4" s="1"/>
  <c r="BE202" i="4" s="1"/>
  <c r="AA203" i="4"/>
  <c r="AB203" i="4"/>
  <c r="AN202" i="4"/>
  <c r="AT202" i="4" s="1"/>
  <c r="AZ202" i="4" s="1"/>
  <c r="BF202" i="4" s="1"/>
  <c r="BO201" i="4"/>
  <c r="BG201" i="4"/>
  <c r="BP201" i="4" s="1"/>
  <c r="BQ201" i="4" s="1"/>
  <c r="BL201" i="4"/>
  <c r="BM200" i="4"/>
  <c r="BN200" i="4" s="1"/>
  <c r="CE202" i="4"/>
  <c r="AC202" i="4"/>
  <c r="BC203" i="4"/>
  <c r="CA204" i="4"/>
  <c r="Y204" i="4"/>
  <c r="BI203" i="4"/>
  <c r="BS202" i="4"/>
  <c r="T204" i="4"/>
  <c r="CH204" i="4"/>
  <c r="N204" i="4" l="1"/>
  <c r="AM203" i="4"/>
  <c r="AS203" i="4" s="1"/>
  <c r="AY203" i="4" s="1"/>
  <c r="BE203" i="4" s="1"/>
  <c r="O204" i="4"/>
  <c r="AN203" i="4"/>
  <c r="AT203" i="4" s="1"/>
  <c r="AZ203" i="4" s="1"/>
  <c r="BF203" i="4" s="1"/>
  <c r="AJ203" i="4"/>
  <c r="AP203" i="4" s="1"/>
  <c r="AV203" i="4" s="1"/>
  <c r="BB203" i="4" s="1"/>
  <c r="K204" i="4"/>
  <c r="CB204" i="4"/>
  <c r="Z204" i="4"/>
  <c r="AC203" i="4"/>
  <c r="AO202" i="4"/>
  <c r="BJ202" i="4"/>
  <c r="BS203" i="4"/>
  <c r="Y205" i="4"/>
  <c r="AK204" i="4"/>
  <c r="BM201" i="4"/>
  <c r="BN201" i="4" s="1"/>
  <c r="V204" i="4" l="1"/>
  <c r="CJ204" i="4"/>
  <c r="CF204" i="4"/>
  <c r="R204" i="4"/>
  <c r="U204" i="4"/>
  <c r="CI204" i="4"/>
  <c r="Z205" i="4"/>
  <c r="AL204" i="4"/>
  <c r="AR204" i="4" s="1"/>
  <c r="AX204" i="4" s="1"/>
  <c r="BD204" i="4" s="1"/>
  <c r="AQ204" i="4"/>
  <c r="AW204" i="4" s="1"/>
  <c r="AK205" i="4"/>
  <c r="L206" i="4"/>
  <c r="BK202" i="4"/>
  <c r="AU202" i="4"/>
  <c r="BA202" i="4" s="1"/>
  <c r="BH202" i="4"/>
  <c r="AO203" i="4"/>
  <c r="P204" i="4"/>
  <c r="BJ203" i="4"/>
  <c r="AA204" i="4" l="1"/>
  <c r="CC204" i="4"/>
  <c r="BZ204" i="4"/>
  <c r="X204" i="4"/>
  <c r="CD204" i="4"/>
  <c r="AB204" i="4"/>
  <c r="S206" i="4"/>
  <c r="CG206" i="4"/>
  <c r="BO202" i="4"/>
  <c r="BG202" i="4"/>
  <c r="BP202" i="4" s="1"/>
  <c r="BQ202" i="4" s="1"/>
  <c r="BK203" i="4"/>
  <c r="W204" i="4"/>
  <c r="CK204" i="4"/>
  <c r="BI204" i="4"/>
  <c r="AU203" i="4"/>
  <c r="BA203" i="4" s="1"/>
  <c r="BH203" i="4"/>
  <c r="BV203" i="4" s="1"/>
  <c r="BY203" i="4" s="1"/>
  <c r="BV202" i="4"/>
  <c r="BY202" i="4" s="1"/>
  <c r="BL202" i="4"/>
  <c r="AQ205" i="4"/>
  <c r="AW205" i="4" s="1"/>
  <c r="BC204" i="4"/>
  <c r="AL205" i="4"/>
  <c r="AR205" i="4" s="1"/>
  <c r="AX205" i="4" s="1"/>
  <c r="BD205" i="4" s="1"/>
  <c r="M206" i="4"/>
  <c r="AB205" i="4" l="1"/>
  <c r="AN204" i="4"/>
  <c r="AT204" i="4" s="1"/>
  <c r="AZ204" i="4" s="1"/>
  <c r="BF204" i="4" s="1"/>
  <c r="X205" i="4"/>
  <c r="AJ204" i="4"/>
  <c r="AP204" i="4" s="1"/>
  <c r="AV204" i="4" s="1"/>
  <c r="BB204" i="4" s="1"/>
  <c r="AA205" i="4"/>
  <c r="AM204" i="4"/>
  <c r="AS204" i="4" s="1"/>
  <c r="AY204" i="4" s="1"/>
  <c r="BE204" i="4" s="1"/>
  <c r="BO203" i="4"/>
  <c r="BG203" i="4"/>
  <c r="BP203" i="4" s="1"/>
  <c r="BQ203" i="4" s="1"/>
  <c r="CE204" i="4"/>
  <c r="AC204" i="4"/>
  <c r="BC205" i="4"/>
  <c r="BL203" i="4"/>
  <c r="BM202" i="4"/>
  <c r="BN202" i="4" s="1"/>
  <c r="CA206" i="4"/>
  <c r="Y206" i="4"/>
  <c r="T206" i="4"/>
  <c r="CH206" i="4"/>
  <c r="BI205" i="4"/>
  <c r="BS204" i="4"/>
  <c r="AM205" i="4" l="1"/>
  <c r="AS205" i="4" s="1"/>
  <c r="AY205" i="4" s="1"/>
  <c r="BE205" i="4" s="1"/>
  <c r="N206" i="4"/>
  <c r="K206" i="4"/>
  <c r="AJ205" i="4"/>
  <c r="AP205" i="4" s="1"/>
  <c r="AV205" i="4" s="1"/>
  <c r="BB205" i="4" s="1"/>
  <c r="AN205" i="4"/>
  <c r="AT205" i="4" s="1"/>
  <c r="AZ205" i="4" s="1"/>
  <c r="BF205" i="4" s="1"/>
  <c r="O206" i="4"/>
  <c r="CB206" i="4"/>
  <c r="Z206" i="4"/>
  <c r="AK206" i="4"/>
  <c r="Y207" i="4"/>
  <c r="BM203" i="4"/>
  <c r="BN203" i="4" s="1"/>
  <c r="AC205" i="4"/>
  <c r="AO204" i="4"/>
  <c r="BJ204" i="4"/>
  <c r="BS205" i="4"/>
  <c r="U206" i="4" l="1"/>
  <c r="CI206" i="4"/>
  <c r="V206" i="4"/>
  <c r="CJ206" i="4"/>
  <c r="CF206" i="4"/>
  <c r="R206" i="4"/>
  <c r="AK207" i="4"/>
  <c r="L208" i="4"/>
  <c r="AO205" i="4"/>
  <c r="P206" i="4"/>
  <c r="BJ205" i="4"/>
  <c r="AQ206" i="4"/>
  <c r="AW206" i="4" s="1"/>
  <c r="BK204" i="4"/>
  <c r="AU204" i="4"/>
  <c r="BA204" i="4" s="1"/>
  <c r="BH204" i="4"/>
  <c r="AL206" i="4"/>
  <c r="AR206" i="4" s="1"/>
  <c r="AX206" i="4" s="1"/>
  <c r="BD206" i="4" s="1"/>
  <c r="Z207" i="4"/>
  <c r="BZ206" i="4" l="1"/>
  <c r="X206" i="4"/>
  <c r="AB206" i="4"/>
  <c r="CD206" i="4"/>
  <c r="AA206" i="4"/>
  <c r="CC206" i="4"/>
  <c r="BK205" i="4"/>
  <c r="AL207" i="4"/>
  <c r="AR207" i="4" s="1"/>
  <c r="AX207" i="4" s="1"/>
  <c r="BD207" i="4" s="1"/>
  <c r="M208" i="4"/>
  <c r="BV204" i="4"/>
  <c r="BY204" i="4" s="1"/>
  <c r="BL204" i="4"/>
  <c r="BO204" i="4"/>
  <c r="BG204" i="4"/>
  <c r="BP204" i="4" s="1"/>
  <c r="BQ204" i="4" s="1"/>
  <c r="BC206" i="4"/>
  <c r="W206" i="4"/>
  <c r="CK206" i="4"/>
  <c r="BI206" i="4"/>
  <c r="AU205" i="4"/>
  <c r="BA205" i="4" s="1"/>
  <c r="BH205" i="4"/>
  <c r="BV205" i="4" s="1"/>
  <c r="BY205" i="4" s="1"/>
  <c r="S208" i="4"/>
  <c r="CG208" i="4"/>
  <c r="AQ207" i="4"/>
  <c r="AW207" i="4" s="1"/>
  <c r="AA207" i="4" l="1"/>
  <c r="AM206" i="4"/>
  <c r="AS206" i="4" s="1"/>
  <c r="AY206" i="4" s="1"/>
  <c r="BE206" i="4" s="1"/>
  <c r="AB207" i="4"/>
  <c r="AN206" i="4"/>
  <c r="AT206" i="4" s="1"/>
  <c r="AZ206" i="4" s="1"/>
  <c r="BF206" i="4" s="1"/>
  <c r="X207" i="4"/>
  <c r="AJ206" i="4"/>
  <c r="AP206" i="4" s="1"/>
  <c r="AV206" i="4" s="1"/>
  <c r="BB206" i="4" s="1"/>
  <c r="CA208" i="4"/>
  <c r="Y208" i="4"/>
  <c r="BO205" i="4"/>
  <c r="BG205" i="4"/>
  <c r="BP205" i="4" s="1"/>
  <c r="BQ205" i="4" s="1"/>
  <c r="BI207" i="4"/>
  <c r="BS206" i="4"/>
  <c r="BC207" i="4"/>
  <c r="CE206" i="4"/>
  <c r="AC206" i="4"/>
  <c r="BL205" i="4"/>
  <c r="BM204" i="4"/>
  <c r="BN204" i="4" s="1"/>
  <c r="T208" i="4"/>
  <c r="CH208" i="4"/>
  <c r="AJ207" i="4" l="1"/>
  <c r="AP207" i="4" s="1"/>
  <c r="AV207" i="4" s="1"/>
  <c r="K208" i="4"/>
  <c r="BB207" i="4"/>
  <c r="AN207" i="4"/>
  <c r="AT207" i="4" s="1"/>
  <c r="AZ207" i="4" s="1"/>
  <c r="BF207" i="4" s="1"/>
  <c r="O208" i="4"/>
  <c r="AM207" i="4"/>
  <c r="AS207" i="4" s="1"/>
  <c r="AY207" i="4" s="1"/>
  <c r="BE207" i="4" s="1"/>
  <c r="N208" i="4"/>
  <c r="BS207" i="4"/>
  <c r="AK208" i="4"/>
  <c r="Y209" i="4"/>
  <c r="CB208" i="4"/>
  <c r="Z208" i="4"/>
  <c r="BM205" i="4"/>
  <c r="BN205" i="4" s="1"/>
  <c r="AC207" i="4"/>
  <c r="AO206" i="4"/>
  <c r="BJ206" i="4"/>
  <c r="U208" i="4" l="1"/>
  <c r="CI208" i="4"/>
  <c r="CJ208" i="4"/>
  <c r="V208" i="4"/>
  <c r="CF208" i="4"/>
  <c r="R208" i="4"/>
  <c r="AQ208" i="4"/>
  <c r="AW208" i="4" s="1"/>
  <c r="AO207" i="4"/>
  <c r="P208" i="4"/>
  <c r="BJ207" i="4"/>
  <c r="BK206" i="4"/>
  <c r="AK209" i="4"/>
  <c r="L210" i="4"/>
  <c r="AU206" i="4"/>
  <c r="BA206" i="4" s="1"/>
  <c r="BH206" i="4"/>
  <c r="AL208" i="4"/>
  <c r="AR208" i="4" s="1"/>
  <c r="AX208" i="4" s="1"/>
  <c r="BD208" i="4" s="1"/>
  <c r="Z209" i="4"/>
  <c r="BZ208" i="4" l="1"/>
  <c r="X208" i="4"/>
  <c r="AB208" i="4"/>
  <c r="CD208" i="4"/>
  <c r="CC208" i="4"/>
  <c r="AA208" i="4"/>
  <c r="AL209" i="4"/>
  <c r="AR209" i="4" s="1"/>
  <c r="AX209" i="4" s="1"/>
  <c r="BD209" i="4"/>
  <c r="M210" i="4"/>
  <c r="BK207" i="4"/>
  <c r="S210" i="4"/>
  <c r="CG210" i="4"/>
  <c r="BV206" i="4"/>
  <c r="BY206" i="4" s="1"/>
  <c r="BL206" i="4"/>
  <c r="BO206" i="4"/>
  <c r="BG206" i="4"/>
  <c r="BP206" i="4" s="1"/>
  <c r="BQ206" i="4" s="1"/>
  <c r="AU207" i="4"/>
  <c r="BA207" i="4" s="1"/>
  <c r="BH207" i="4"/>
  <c r="BV207" i="4" s="1"/>
  <c r="BY207" i="4" s="1"/>
  <c r="AQ209" i="4"/>
  <c r="AW209" i="4" s="1"/>
  <c r="BC208" i="4"/>
  <c r="W208" i="4"/>
  <c r="CK208" i="4"/>
  <c r="BI208" i="4"/>
  <c r="AM208" i="4" l="1"/>
  <c r="AS208" i="4" s="1"/>
  <c r="AY208" i="4" s="1"/>
  <c r="BE208" i="4" s="1"/>
  <c r="AA209" i="4"/>
  <c r="AB209" i="4"/>
  <c r="AN208" i="4"/>
  <c r="AT208" i="4" s="1"/>
  <c r="AZ208" i="4" s="1"/>
  <c r="BF208" i="4" s="1"/>
  <c r="X209" i="4"/>
  <c r="AJ208" i="4"/>
  <c r="AP208" i="4" s="1"/>
  <c r="AV208" i="4" s="1"/>
  <c r="BB208" i="4" s="1"/>
  <c r="BC209" i="4"/>
  <c r="CA210" i="4"/>
  <c r="Y210" i="4"/>
  <c r="T210" i="4"/>
  <c r="CH210" i="4"/>
  <c r="BL207" i="4"/>
  <c r="BM206" i="4"/>
  <c r="BN206" i="4" s="1"/>
  <c r="BO207" i="4"/>
  <c r="BG207" i="4"/>
  <c r="BP207" i="4" s="1"/>
  <c r="BQ207" i="4" s="1"/>
  <c r="BI209" i="4"/>
  <c r="BS208" i="4"/>
  <c r="CE208" i="4"/>
  <c r="AC208" i="4"/>
  <c r="K210" i="4" l="1"/>
  <c r="AJ209" i="4"/>
  <c r="AP209" i="4" s="1"/>
  <c r="AV209" i="4" s="1"/>
  <c r="BB209" i="4"/>
  <c r="AN209" i="4"/>
  <c r="AT209" i="4" s="1"/>
  <c r="AZ209" i="4" s="1"/>
  <c r="BF209" i="4" s="1"/>
  <c r="O210" i="4"/>
  <c r="AM209" i="4"/>
  <c r="AS209" i="4" s="1"/>
  <c r="AY209" i="4" s="1"/>
  <c r="BE209" i="4" s="1"/>
  <c r="N210" i="4"/>
  <c r="Y211" i="4"/>
  <c r="AK210" i="4"/>
  <c r="BM207" i="4"/>
  <c r="BN207" i="4" s="1"/>
  <c r="BS209" i="4"/>
  <c r="AO208" i="4"/>
  <c r="AC209" i="4"/>
  <c r="BJ208" i="4"/>
  <c r="CB210" i="4"/>
  <c r="Z210" i="4"/>
  <c r="CI210" i="4" l="1"/>
  <c r="U210" i="4"/>
  <c r="CJ210" i="4"/>
  <c r="V210" i="4"/>
  <c r="CF210" i="4"/>
  <c r="R210" i="4"/>
  <c r="AL210" i="4"/>
  <c r="AR210" i="4" s="1"/>
  <c r="AX210" i="4" s="1"/>
  <c r="BD210" i="4" s="1"/>
  <c r="Z211" i="4"/>
  <c r="AQ210" i="4"/>
  <c r="AW210" i="4" s="1"/>
  <c r="AK211" i="4"/>
  <c r="L212" i="4"/>
  <c r="AU208" i="4"/>
  <c r="BA208" i="4" s="1"/>
  <c r="BH208" i="4"/>
  <c r="BK208" i="4"/>
  <c r="AO209" i="4"/>
  <c r="P210" i="4"/>
  <c r="BJ209" i="4"/>
  <c r="BZ210" i="4" l="1"/>
  <c r="X210" i="4"/>
  <c r="CD210" i="4"/>
  <c r="AB210" i="4"/>
  <c r="CC210" i="4"/>
  <c r="AA210" i="4"/>
  <c r="S212" i="4"/>
  <c r="CG212" i="4"/>
  <c r="BC210" i="4"/>
  <c r="BV208" i="4"/>
  <c r="BY208" i="4" s="1"/>
  <c r="BL208" i="4"/>
  <c r="BK209" i="4"/>
  <c r="AL211" i="4"/>
  <c r="AR211" i="4" s="1"/>
  <c r="AX211" i="4" s="1"/>
  <c r="BD211" i="4" s="1"/>
  <c r="M212" i="4"/>
  <c r="BO208" i="4"/>
  <c r="BG208" i="4"/>
  <c r="BP208" i="4" s="1"/>
  <c r="BQ208" i="4" s="1"/>
  <c r="AQ211" i="4"/>
  <c r="AW211" i="4" s="1"/>
  <c r="W210" i="4"/>
  <c r="CK210" i="4"/>
  <c r="BI210" i="4"/>
  <c r="AU209" i="4"/>
  <c r="BA209" i="4" s="1"/>
  <c r="BH209" i="4"/>
  <c r="BV209" i="4" s="1"/>
  <c r="BY209" i="4" s="1"/>
  <c r="AM210" i="4" l="1"/>
  <c r="AS210" i="4" s="1"/>
  <c r="AY210" i="4" s="1"/>
  <c r="BE210" i="4" s="1"/>
  <c r="AA211" i="4"/>
  <c r="AN210" i="4"/>
  <c r="AT210" i="4" s="1"/>
  <c r="AZ210" i="4" s="1"/>
  <c r="BF210" i="4" s="1"/>
  <c r="AB211" i="4"/>
  <c r="X211" i="4"/>
  <c r="AJ210" i="4"/>
  <c r="AP210" i="4" s="1"/>
  <c r="AV210" i="4" s="1"/>
  <c r="BB210" i="4" s="1"/>
  <c r="BL209" i="4"/>
  <c r="BM208" i="4"/>
  <c r="BN208" i="4" s="1"/>
  <c r="BC211" i="4"/>
  <c r="BO209" i="4"/>
  <c r="BG209" i="4"/>
  <c r="BP209" i="4" s="1"/>
  <c r="BQ209" i="4" s="1"/>
  <c r="BI211" i="4"/>
  <c r="BS210" i="4"/>
  <c r="CE210" i="4"/>
  <c r="AC210" i="4"/>
  <c r="T212" i="4"/>
  <c r="CH212" i="4"/>
  <c r="CA212" i="4"/>
  <c r="Y212" i="4"/>
  <c r="AN211" i="4" l="1"/>
  <c r="AT211" i="4" s="1"/>
  <c r="AZ211" i="4" s="1"/>
  <c r="BF211" i="4"/>
  <c r="O212" i="4"/>
  <c r="AJ211" i="4"/>
  <c r="AP211" i="4" s="1"/>
  <c r="AV211" i="4" s="1"/>
  <c r="BB211" i="4" s="1"/>
  <c r="K212" i="4"/>
  <c r="AM211" i="4"/>
  <c r="AS211" i="4" s="1"/>
  <c r="AY211" i="4" s="1"/>
  <c r="BE211" i="4" s="1"/>
  <c r="N212" i="4"/>
  <c r="BS211" i="4"/>
  <c r="CB212" i="4"/>
  <c r="Z212" i="4"/>
  <c r="AO210" i="4"/>
  <c r="AC211" i="4"/>
  <c r="BJ210" i="4"/>
  <c r="Y213" i="4"/>
  <c r="AK212" i="4"/>
  <c r="BM209" i="4"/>
  <c r="BN209" i="4" s="1"/>
  <c r="CI212" i="4" l="1"/>
  <c r="U212" i="4"/>
  <c r="R212" i="4"/>
  <c r="CF212" i="4"/>
  <c r="CJ212" i="4"/>
  <c r="V212" i="4"/>
  <c r="BK210" i="4"/>
  <c r="AO211" i="4"/>
  <c r="P212" i="4"/>
  <c r="BJ211" i="4"/>
  <c r="AQ212" i="4"/>
  <c r="AW212" i="4" s="1"/>
  <c r="AU210" i="4"/>
  <c r="BA210" i="4" s="1"/>
  <c r="BH210" i="4"/>
  <c r="AL212" i="4"/>
  <c r="AR212" i="4" s="1"/>
  <c r="AX212" i="4" s="1"/>
  <c r="BD212" i="4" s="1"/>
  <c r="Z213" i="4"/>
  <c r="AK213" i="4"/>
  <c r="L214" i="4"/>
  <c r="CD212" i="4" l="1"/>
  <c r="AB212" i="4"/>
  <c r="BZ212" i="4"/>
  <c r="X212" i="4"/>
  <c r="CC212" i="4"/>
  <c r="AA212" i="4"/>
  <c r="BK211" i="4"/>
  <c r="BC212" i="4"/>
  <c r="AQ213" i="4"/>
  <c r="AW213" i="4" s="1"/>
  <c r="AL213" i="4"/>
  <c r="AR213" i="4" s="1"/>
  <c r="AX213" i="4" s="1"/>
  <c r="BD213" i="4" s="1"/>
  <c r="M214" i="4"/>
  <c r="W212" i="4"/>
  <c r="CK212" i="4"/>
  <c r="BI212" i="4"/>
  <c r="AU211" i="4"/>
  <c r="BA211" i="4" s="1"/>
  <c r="BH211" i="4"/>
  <c r="BV211" i="4" s="1"/>
  <c r="BY211" i="4" s="1"/>
  <c r="S214" i="4"/>
  <c r="CG214" i="4"/>
  <c r="BV210" i="4"/>
  <c r="BY210" i="4" s="1"/>
  <c r="BL210" i="4"/>
  <c r="BO210" i="4"/>
  <c r="BG210" i="4"/>
  <c r="BP210" i="4" s="1"/>
  <c r="BQ210" i="4" s="1"/>
  <c r="AM212" i="4" l="1"/>
  <c r="AS212" i="4" s="1"/>
  <c r="AY212" i="4" s="1"/>
  <c r="BE212" i="4" s="1"/>
  <c r="AA213" i="4"/>
  <c r="X213" i="4"/>
  <c r="AJ212" i="4"/>
  <c r="AP212" i="4" s="1"/>
  <c r="AV212" i="4" s="1"/>
  <c r="BB212" i="4" s="1"/>
  <c r="AB213" i="4"/>
  <c r="AN212" i="4"/>
  <c r="AT212" i="4" s="1"/>
  <c r="AZ212" i="4" s="1"/>
  <c r="BF212" i="4" s="1"/>
  <c r="CA214" i="4"/>
  <c r="Y214" i="4"/>
  <c r="BO211" i="4"/>
  <c r="BG211" i="4"/>
  <c r="BP211" i="4" s="1"/>
  <c r="BQ211" i="4" s="1"/>
  <c r="BI213" i="4"/>
  <c r="BS212" i="4"/>
  <c r="CE212" i="4"/>
  <c r="AC212" i="4"/>
  <c r="BL211" i="4"/>
  <c r="BM210" i="4"/>
  <c r="BN210" i="4" s="1"/>
  <c r="T214" i="4"/>
  <c r="CH214" i="4"/>
  <c r="BC213" i="4"/>
  <c r="AN213" i="4" l="1"/>
  <c r="AT213" i="4" s="1"/>
  <c r="AZ213" i="4" s="1"/>
  <c r="BF213" i="4" s="1"/>
  <c r="O214" i="4"/>
  <c r="AJ213" i="4"/>
  <c r="AP213" i="4" s="1"/>
  <c r="AV213" i="4" s="1"/>
  <c r="BB213" i="4" s="1"/>
  <c r="K214" i="4"/>
  <c r="AM213" i="4"/>
  <c r="AS213" i="4" s="1"/>
  <c r="AY213" i="4" s="1"/>
  <c r="BE213" i="4" s="1"/>
  <c r="N214" i="4"/>
  <c r="BS213" i="4"/>
  <c r="CB214" i="4"/>
  <c r="Z214" i="4"/>
  <c r="BM211" i="4"/>
  <c r="BN211" i="4" s="1"/>
  <c r="Y215" i="4"/>
  <c r="AK214" i="4"/>
  <c r="AO212" i="4"/>
  <c r="AC213" i="4"/>
  <c r="BJ212" i="4"/>
  <c r="CF214" i="4" l="1"/>
  <c r="R214" i="4"/>
  <c r="U214" i="4"/>
  <c r="CI214" i="4"/>
  <c r="CJ214" i="4"/>
  <c r="V214" i="4"/>
  <c r="BK212" i="4"/>
  <c r="AO213" i="4"/>
  <c r="P214" i="4"/>
  <c r="BJ213" i="4"/>
  <c r="AK215" i="4"/>
  <c r="L216" i="4"/>
  <c r="AQ214" i="4"/>
  <c r="AW214" i="4" s="1"/>
  <c r="Z215" i="4"/>
  <c r="AL214" i="4"/>
  <c r="AR214" i="4" s="1"/>
  <c r="AX214" i="4" s="1"/>
  <c r="BD214" i="4" s="1"/>
  <c r="AU212" i="4"/>
  <c r="BA212" i="4" s="1"/>
  <c r="BH212" i="4"/>
  <c r="CD214" i="4" l="1"/>
  <c r="AB214" i="4"/>
  <c r="CC214" i="4"/>
  <c r="AA214" i="4"/>
  <c r="BZ214" i="4"/>
  <c r="X214" i="4"/>
  <c r="S216" i="4"/>
  <c r="CG216" i="4"/>
  <c r="BK213" i="4"/>
  <c r="AU213" i="4"/>
  <c r="BA213" i="4" s="1"/>
  <c r="BH213" i="4"/>
  <c r="BV213" i="4" s="1"/>
  <c r="BY213" i="4" s="1"/>
  <c r="BV212" i="4"/>
  <c r="BY212" i="4" s="1"/>
  <c r="BL212" i="4"/>
  <c r="BO212" i="4"/>
  <c r="BG212" i="4"/>
  <c r="BP212" i="4" s="1"/>
  <c r="BQ212" i="4" s="1"/>
  <c r="AQ215" i="4"/>
  <c r="AW215" i="4" s="1"/>
  <c r="W214" i="4"/>
  <c r="CK214" i="4"/>
  <c r="BI214" i="4"/>
  <c r="AL215" i="4"/>
  <c r="AR215" i="4" s="1"/>
  <c r="AX215" i="4" s="1"/>
  <c r="BD215" i="4" s="1"/>
  <c r="M216" i="4"/>
  <c r="BC214" i="4"/>
  <c r="X215" i="4" l="1"/>
  <c r="AJ214" i="4"/>
  <c r="AP214" i="4" s="1"/>
  <c r="AV214" i="4" s="1"/>
  <c r="BB214" i="4"/>
  <c r="AA215" i="4"/>
  <c r="AM214" i="4"/>
  <c r="AS214" i="4" s="1"/>
  <c r="AY214" i="4" s="1"/>
  <c r="BE214" i="4" s="1"/>
  <c r="AN214" i="4"/>
  <c r="AT214" i="4" s="1"/>
  <c r="AZ214" i="4" s="1"/>
  <c r="BF214" i="4" s="1"/>
  <c r="AB215" i="4"/>
  <c r="T216" i="4"/>
  <c r="CH216" i="4"/>
  <c r="BO213" i="4"/>
  <c r="BG213" i="4"/>
  <c r="BP213" i="4" s="1"/>
  <c r="BQ213" i="4" s="1"/>
  <c r="CE214" i="4"/>
  <c r="AC214" i="4"/>
  <c r="BI215" i="4"/>
  <c r="BS214" i="4"/>
  <c r="CA216" i="4"/>
  <c r="Y216" i="4"/>
  <c r="BC215" i="4"/>
  <c r="BL213" i="4"/>
  <c r="BM212" i="4"/>
  <c r="BN212" i="4" s="1"/>
  <c r="O216" i="4" l="1"/>
  <c r="AN215" i="4"/>
  <c r="AT215" i="4" s="1"/>
  <c r="AZ215" i="4" s="1"/>
  <c r="BF215" i="4" s="1"/>
  <c r="AM215" i="4"/>
  <c r="AS215" i="4" s="1"/>
  <c r="AY215" i="4" s="1"/>
  <c r="BE215" i="4" s="1"/>
  <c r="N216" i="4"/>
  <c r="AJ215" i="4"/>
  <c r="AP215" i="4" s="1"/>
  <c r="AV215" i="4" s="1"/>
  <c r="BB215" i="4" s="1"/>
  <c r="K216" i="4"/>
  <c r="BS215" i="4"/>
  <c r="BM213" i="4"/>
  <c r="BN213" i="4" s="1"/>
  <c r="AC215" i="4"/>
  <c r="AO214" i="4"/>
  <c r="BJ214" i="4"/>
  <c r="AK216" i="4"/>
  <c r="Y217" i="4"/>
  <c r="CB216" i="4"/>
  <c r="Z216" i="4"/>
  <c r="CF216" i="4" l="1"/>
  <c r="R216" i="4"/>
  <c r="U216" i="4"/>
  <c r="CI216" i="4"/>
  <c r="V216" i="4"/>
  <c r="CJ216" i="4"/>
  <c r="AU214" i="4"/>
  <c r="BA214" i="4" s="1"/>
  <c r="BH214" i="4"/>
  <c r="BK214" i="4"/>
  <c r="AO215" i="4"/>
  <c r="P216" i="4"/>
  <c r="BJ215" i="4"/>
  <c r="Z217" i="4"/>
  <c r="AL216" i="4"/>
  <c r="AR216" i="4" s="1"/>
  <c r="AX216" i="4" s="1"/>
  <c r="BD216" i="4" s="1"/>
  <c r="AK217" i="4"/>
  <c r="L218" i="4"/>
  <c r="AQ216" i="4"/>
  <c r="AW216" i="4" s="1"/>
  <c r="CD216" i="4" l="1"/>
  <c r="AB216" i="4"/>
  <c r="CC216" i="4"/>
  <c r="AA216" i="4"/>
  <c r="BZ216" i="4"/>
  <c r="X216" i="4"/>
  <c r="AL217" i="4"/>
  <c r="AR217" i="4" s="1"/>
  <c r="AX217" i="4" s="1"/>
  <c r="BD217" i="4" s="1"/>
  <c r="M218" i="4"/>
  <c r="BK215" i="4"/>
  <c r="BV214" i="4"/>
  <c r="BY214" i="4" s="1"/>
  <c r="BL214" i="4"/>
  <c r="CK216" i="4"/>
  <c r="W216" i="4"/>
  <c r="BI216" i="4"/>
  <c r="AU215" i="4"/>
  <c r="BA215" i="4" s="1"/>
  <c r="BH215" i="4"/>
  <c r="BV215" i="4" s="1"/>
  <c r="BY215" i="4" s="1"/>
  <c r="BC216" i="4"/>
  <c r="S218" i="4"/>
  <c r="CG218" i="4"/>
  <c r="AQ217" i="4"/>
  <c r="AW217" i="4" s="1"/>
  <c r="BO214" i="4"/>
  <c r="BG214" i="4"/>
  <c r="BP214" i="4" s="1"/>
  <c r="BQ214" i="4" s="1"/>
  <c r="X217" i="4" l="1"/>
  <c r="AJ216" i="4"/>
  <c r="AP216" i="4" s="1"/>
  <c r="AV216" i="4" s="1"/>
  <c r="BB216" i="4"/>
  <c r="AA217" i="4"/>
  <c r="AM216" i="4"/>
  <c r="AS216" i="4" s="1"/>
  <c r="AY216" i="4" s="1"/>
  <c r="BE216" i="4" s="1"/>
  <c r="AN216" i="4"/>
  <c r="AT216" i="4" s="1"/>
  <c r="AZ216" i="4" s="1"/>
  <c r="BF216" i="4" s="1"/>
  <c r="AB217" i="4"/>
  <c r="CA218" i="4"/>
  <c r="Y218" i="4"/>
  <c r="BI217" i="4"/>
  <c r="BS216" i="4"/>
  <c r="BO215" i="4"/>
  <c r="BG215" i="4"/>
  <c r="BP215" i="4" s="1"/>
  <c r="BQ215" i="4" s="1"/>
  <c r="CE216" i="4"/>
  <c r="AC216" i="4"/>
  <c r="BL215" i="4"/>
  <c r="BM214" i="4"/>
  <c r="BN214" i="4" s="1"/>
  <c r="T218" i="4"/>
  <c r="CH218" i="4"/>
  <c r="BC217" i="4"/>
  <c r="O218" i="4" l="1"/>
  <c r="AN217" i="4"/>
  <c r="AT217" i="4" s="1"/>
  <c r="AZ217" i="4" s="1"/>
  <c r="BF217" i="4" s="1"/>
  <c r="N218" i="4"/>
  <c r="AM217" i="4"/>
  <c r="AS217" i="4" s="1"/>
  <c r="AY217" i="4" s="1"/>
  <c r="BE217" i="4" s="1"/>
  <c r="K218" i="4"/>
  <c r="AJ217" i="4"/>
  <c r="AP217" i="4" s="1"/>
  <c r="AV217" i="4" s="1"/>
  <c r="BB217" i="4" s="1"/>
  <c r="BM215" i="4"/>
  <c r="BN215" i="4" s="1"/>
  <c r="CB218" i="4"/>
  <c r="Z218" i="4"/>
  <c r="BS217" i="4"/>
  <c r="AC217" i="4"/>
  <c r="AO216" i="4"/>
  <c r="BJ216" i="4"/>
  <c r="AK218" i="4"/>
  <c r="Y219" i="4"/>
  <c r="CF218" i="4" l="1"/>
  <c r="R218" i="4"/>
  <c r="U218" i="4"/>
  <c r="CI218" i="4"/>
  <c r="V218" i="4"/>
  <c r="CJ218" i="4"/>
  <c r="AU216" i="4"/>
  <c r="BA216" i="4" s="1"/>
  <c r="BH216" i="4"/>
  <c r="AO217" i="4"/>
  <c r="P218" i="4"/>
  <c r="BJ217" i="4"/>
  <c r="AL218" i="4"/>
  <c r="AR218" i="4" s="1"/>
  <c r="AX218" i="4" s="1"/>
  <c r="BD218" i="4" s="1"/>
  <c r="Z219" i="4"/>
  <c r="AK219" i="4"/>
  <c r="L220" i="4"/>
  <c r="AQ218" i="4"/>
  <c r="AW218" i="4" s="1"/>
  <c r="BK216" i="4"/>
  <c r="CD218" i="4" l="1"/>
  <c r="AB218" i="4"/>
  <c r="AA218" i="4"/>
  <c r="CC218" i="4"/>
  <c r="BZ218" i="4"/>
  <c r="X218" i="4"/>
  <c r="BK217" i="4"/>
  <c r="AU217" i="4"/>
  <c r="BA217" i="4" s="1"/>
  <c r="BH217" i="4"/>
  <c r="BV217" i="4" s="1"/>
  <c r="BY217" i="4" s="1"/>
  <c r="BV216" i="4"/>
  <c r="BY216" i="4" s="1"/>
  <c r="BL216" i="4"/>
  <c r="BC218" i="4"/>
  <c r="S220" i="4"/>
  <c r="CG220" i="4"/>
  <c r="AQ219" i="4"/>
  <c r="AW219" i="4" s="1"/>
  <c r="AL219" i="4"/>
  <c r="AR219" i="4" s="1"/>
  <c r="AX219" i="4" s="1"/>
  <c r="BD219" i="4" s="1"/>
  <c r="M220" i="4"/>
  <c r="W218" i="4"/>
  <c r="CK218" i="4"/>
  <c r="BI218" i="4"/>
  <c r="BO216" i="4"/>
  <c r="BG216" i="4"/>
  <c r="BP216" i="4" s="1"/>
  <c r="BQ216" i="4" s="1"/>
  <c r="AJ218" i="4" l="1"/>
  <c r="AP218" i="4" s="1"/>
  <c r="AV218" i="4" s="1"/>
  <c r="X219" i="4"/>
  <c r="BB218" i="4"/>
  <c r="AM218" i="4"/>
  <c r="AS218" i="4" s="1"/>
  <c r="AY218" i="4" s="1"/>
  <c r="BE218" i="4" s="1"/>
  <c r="AA219" i="4"/>
  <c r="AB219" i="4"/>
  <c r="AN218" i="4"/>
  <c r="AT218" i="4" s="1"/>
  <c r="AZ218" i="4" s="1"/>
  <c r="BF218" i="4" s="1"/>
  <c r="BL217" i="4"/>
  <c r="BM216" i="4"/>
  <c r="BN216" i="4" s="1"/>
  <c r="CH220" i="4"/>
  <c r="T220" i="4"/>
  <c r="BC219" i="4"/>
  <c r="BO217" i="4"/>
  <c r="BG217" i="4"/>
  <c r="BP217" i="4" s="1"/>
  <c r="BQ217" i="4" s="1"/>
  <c r="BI219" i="4"/>
  <c r="BS218" i="4"/>
  <c r="CA220" i="4"/>
  <c r="Y220" i="4"/>
  <c r="CE218" i="4"/>
  <c r="AC218" i="4"/>
  <c r="AN219" i="4" l="1"/>
  <c r="AT219" i="4" s="1"/>
  <c r="AZ219" i="4" s="1"/>
  <c r="BF219" i="4" s="1"/>
  <c r="O220" i="4"/>
  <c r="AM219" i="4"/>
  <c r="AS219" i="4" s="1"/>
  <c r="AY219" i="4" s="1"/>
  <c r="BE219" i="4" s="1"/>
  <c r="N220" i="4"/>
  <c r="AJ219" i="4"/>
  <c r="AP219" i="4" s="1"/>
  <c r="AV219" i="4" s="1"/>
  <c r="BB219" i="4" s="1"/>
  <c r="K220" i="4"/>
  <c r="AC219" i="4"/>
  <c r="AO218" i="4"/>
  <c r="BJ218" i="4"/>
  <c r="CB220" i="4"/>
  <c r="Z220" i="4"/>
  <c r="BS219" i="4"/>
  <c r="BM217" i="4"/>
  <c r="BN217" i="4" s="1"/>
  <c r="Y221" i="4"/>
  <c r="AK220" i="4"/>
  <c r="R220" i="4" l="1"/>
  <c r="CF220" i="4"/>
  <c r="CI220" i="4"/>
  <c r="U220" i="4"/>
  <c r="CJ220" i="4"/>
  <c r="V220" i="4"/>
  <c r="AQ220" i="4"/>
  <c r="AW220" i="4" s="1"/>
  <c r="AK221" i="4"/>
  <c r="L222" i="4"/>
  <c r="AO219" i="4"/>
  <c r="P220" i="4"/>
  <c r="BJ219" i="4"/>
  <c r="Z221" i="4"/>
  <c r="AL220" i="4"/>
  <c r="AR220" i="4" s="1"/>
  <c r="AX220" i="4" s="1"/>
  <c r="BD220" i="4" s="1"/>
  <c r="BK218" i="4"/>
  <c r="AU218" i="4"/>
  <c r="BA218" i="4" s="1"/>
  <c r="BH218" i="4"/>
  <c r="AB220" i="4" l="1"/>
  <c r="CD220" i="4"/>
  <c r="AA220" i="4"/>
  <c r="CC220" i="4"/>
  <c r="BZ220" i="4"/>
  <c r="X220" i="4"/>
  <c r="AL221" i="4"/>
  <c r="AR221" i="4" s="1"/>
  <c r="AX221" i="4" s="1"/>
  <c r="BD221" i="4" s="1"/>
  <c r="M222" i="4"/>
  <c r="W220" i="4"/>
  <c r="CK220" i="4"/>
  <c r="BI220" i="4"/>
  <c r="BO218" i="4"/>
  <c r="BG218" i="4"/>
  <c r="BP218" i="4" s="1"/>
  <c r="BQ218" i="4" s="1"/>
  <c r="BK219" i="4"/>
  <c r="AU219" i="4"/>
  <c r="BA219" i="4" s="1"/>
  <c r="BH219" i="4"/>
  <c r="BV219" i="4" s="1"/>
  <c r="BY219" i="4" s="1"/>
  <c r="BV218" i="4"/>
  <c r="BY218" i="4" s="1"/>
  <c r="BL218" i="4"/>
  <c r="S222" i="4"/>
  <c r="CG222" i="4"/>
  <c r="AQ221" i="4"/>
  <c r="AW221" i="4" s="1"/>
  <c r="BC220" i="4"/>
  <c r="X221" i="4" l="1"/>
  <c r="AJ220" i="4"/>
  <c r="AP220" i="4" s="1"/>
  <c r="AV220" i="4" s="1"/>
  <c r="BB220" i="4"/>
  <c r="AA221" i="4"/>
  <c r="AM220" i="4"/>
  <c r="AS220" i="4" s="1"/>
  <c r="AY220" i="4" s="1"/>
  <c r="BE220" i="4" s="1"/>
  <c r="AB221" i="4"/>
  <c r="AN220" i="4"/>
  <c r="AT220" i="4" s="1"/>
  <c r="AZ220" i="4" s="1"/>
  <c r="BF220" i="4" s="1"/>
  <c r="T222" i="4"/>
  <c r="CH222" i="4"/>
  <c r="CA222" i="4"/>
  <c r="Y222" i="4"/>
  <c r="BL219" i="4"/>
  <c r="BM218" i="4"/>
  <c r="BN218" i="4" s="1"/>
  <c r="CE220" i="4"/>
  <c r="AC220" i="4"/>
  <c r="BI221" i="4"/>
  <c r="BS220" i="4"/>
  <c r="BO219" i="4"/>
  <c r="BG219" i="4"/>
  <c r="BP219" i="4" s="1"/>
  <c r="BQ219" i="4" s="1"/>
  <c r="BC221" i="4"/>
  <c r="AN221" i="4" l="1"/>
  <c r="AT221" i="4" s="1"/>
  <c r="AZ221" i="4" s="1"/>
  <c r="BF221" i="4"/>
  <c r="O222" i="4"/>
  <c r="N222" i="4"/>
  <c r="AM221" i="4"/>
  <c r="AS221" i="4" s="1"/>
  <c r="AY221" i="4" s="1"/>
  <c r="BE221" i="4" s="1"/>
  <c r="AJ221" i="4"/>
  <c r="AP221" i="4" s="1"/>
  <c r="AV221" i="4" s="1"/>
  <c r="BB221" i="4" s="1"/>
  <c r="K222" i="4"/>
  <c r="Y223" i="4"/>
  <c r="AK222" i="4"/>
  <c r="BS221" i="4"/>
  <c r="AC221" i="4"/>
  <c r="AO220" i="4"/>
  <c r="BJ220" i="4"/>
  <c r="BM219" i="4"/>
  <c r="BN219" i="4" s="1"/>
  <c r="CB222" i="4"/>
  <c r="Z222" i="4"/>
  <c r="CF222" i="4" l="1"/>
  <c r="R222" i="4"/>
  <c r="CI222" i="4"/>
  <c r="U222" i="4"/>
  <c r="CJ222" i="4"/>
  <c r="V222" i="4"/>
  <c r="Z223" i="4"/>
  <c r="AL222" i="4"/>
  <c r="AR222" i="4" s="1"/>
  <c r="AX222" i="4" s="1"/>
  <c r="BD222" i="4" s="1"/>
  <c r="AQ222" i="4"/>
  <c r="AW222" i="4" s="1"/>
  <c r="AK223" i="4"/>
  <c r="L224" i="4"/>
  <c r="BK220" i="4"/>
  <c r="AU220" i="4"/>
  <c r="BA220" i="4" s="1"/>
  <c r="BH220" i="4"/>
  <c r="AO221" i="4"/>
  <c r="P222" i="4"/>
  <c r="BJ221" i="4"/>
  <c r="CD222" i="4" l="1"/>
  <c r="AB222" i="4"/>
  <c r="CC222" i="4"/>
  <c r="AA222" i="4"/>
  <c r="BZ222" i="4"/>
  <c r="X222" i="4"/>
  <c r="S224" i="4"/>
  <c r="CG224" i="4"/>
  <c r="W222" i="4"/>
  <c r="CK222" i="4"/>
  <c r="BI222" i="4"/>
  <c r="BV220" i="4"/>
  <c r="BY220" i="4" s="1"/>
  <c r="BL220" i="4"/>
  <c r="AQ223" i="4"/>
  <c r="AW223" i="4" s="1"/>
  <c r="BK221" i="4"/>
  <c r="AU221" i="4"/>
  <c r="BA221" i="4" s="1"/>
  <c r="BH221" i="4"/>
  <c r="BV221" i="4" s="1"/>
  <c r="BY221" i="4" s="1"/>
  <c r="BO220" i="4"/>
  <c r="BG220" i="4"/>
  <c r="BP220" i="4" s="1"/>
  <c r="BQ220" i="4" s="1"/>
  <c r="BC222" i="4"/>
  <c r="AL223" i="4"/>
  <c r="AR223" i="4" s="1"/>
  <c r="AX223" i="4" s="1"/>
  <c r="BD223" i="4" s="1"/>
  <c r="M224" i="4"/>
  <c r="AJ222" i="4" l="1"/>
  <c r="AP222" i="4" s="1"/>
  <c r="AV222" i="4" s="1"/>
  <c r="BB222" i="4" s="1"/>
  <c r="X223" i="4"/>
  <c r="AM222" i="4"/>
  <c r="AS222" i="4" s="1"/>
  <c r="AY222" i="4" s="1"/>
  <c r="BE222" i="4" s="1"/>
  <c r="AA223" i="4"/>
  <c r="AB223" i="4"/>
  <c r="AN222" i="4"/>
  <c r="AT222" i="4" s="1"/>
  <c r="AZ222" i="4" s="1"/>
  <c r="BF222" i="4" s="1"/>
  <c r="CA224" i="4"/>
  <c r="Y224" i="4"/>
  <c r="BL221" i="4"/>
  <c r="BM220" i="4"/>
  <c r="BN220" i="4" s="1"/>
  <c r="BO221" i="4"/>
  <c r="BG221" i="4"/>
  <c r="BP221" i="4" s="1"/>
  <c r="BQ221" i="4" s="1"/>
  <c r="BC223" i="4"/>
  <c r="BI223" i="4"/>
  <c r="BS222" i="4"/>
  <c r="T224" i="4"/>
  <c r="CH224" i="4"/>
  <c r="CE222" i="4"/>
  <c r="AC222" i="4"/>
  <c r="AM223" i="4" l="1"/>
  <c r="AS223" i="4" s="1"/>
  <c r="AY223" i="4" s="1"/>
  <c r="BE223" i="4" s="1"/>
  <c r="N224" i="4"/>
  <c r="O224" i="4"/>
  <c r="AN223" i="4"/>
  <c r="AT223" i="4" s="1"/>
  <c r="AZ223" i="4" s="1"/>
  <c r="BF223" i="4" s="1"/>
  <c r="K224" i="4"/>
  <c r="AJ223" i="4"/>
  <c r="AP223" i="4" s="1"/>
  <c r="AV223" i="4" s="1"/>
  <c r="BB223" i="4" s="1"/>
  <c r="AC223" i="4"/>
  <c r="AO222" i="4"/>
  <c r="BJ222" i="4"/>
  <c r="BM221" i="4"/>
  <c r="BN221" i="4" s="1"/>
  <c r="Y225" i="4"/>
  <c r="AK224" i="4"/>
  <c r="BS223" i="4"/>
  <c r="CB224" i="4"/>
  <c r="Z224" i="4"/>
  <c r="R224" i="4" l="1"/>
  <c r="CF224" i="4"/>
  <c r="V224" i="4"/>
  <c r="CJ224" i="4"/>
  <c r="CI224" i="4"/>
  <c r="U224" i="4"/>
  <c r="AK225" i="4"/>
  <c r="L226" i="4"/>
  <c r="BK222" i="4"/>
  <c r="AQ224" i="4"/>
  <c r="AW224" i="4" s="1"/>
  <c r="AU222" i="4"/>
  <c r="BA222" i="4" s="1"/>
  <c r="BH222" i="4"/>
  <c r="AO223" i="4"/>
  <c r="P224" i="4"/>
  <c r="BJ223" i="4"/>
  <c r="Z225" i="4"/>
  <c r="AL224" i="4"/>
  <c r="AR224" i="4" s="1"/>
  <c r="AX224" i="4" s="1"/>
  <c r="BD224" i="4" s="1"/>
  <c r="CC224" i="4" l="1"/>
  <c r="AA224" i="4"/>
  <c r="CD224" i="4"/>
  <c r="AB224" i="4"/>
  <c r="BZ224" i="4"/>
  <c r="X224" i="4"/>
  <c r="BO222" i="4"/>
  <c r="BG222" i="4"/>
  <c r="BP222" i="4" s="1"/>
  <c r="BQ222" i="4" s="1"/>
  <c r="BK223" i="4"/>
  <c r="S226" i="4"/>
  <c r="CG226" i="4"/>
  <c r="AQ225" i="4"/>
  <c r="AW225" i="4" s="1"/>
  <c r="BC224" i="4"/>
  <c r="AL225" i="4"/>
  <c r="AR225" i="4" s="1"/>
  <c r="AX225" i="4" s="1"/>
  <c r="BD225" i="4" s="1"/>
  <c r="M226" i="4"/>
  <c r="W224" i="4"/>
  <c r="CK224" i="4"/>
  <c r="BI224" i="4"/>
  <c r="AU223" i="4"/>
  <c r="BA223" i="4" s="1"/>
  <c r="BH223" i="4"/>
  <c r="BV223" i="4" s="1"/>
  <c r="BY223" i="4" s="1"/>
  <c r="BV222" i="4"/>
  <c r="BY222" i="4" s="1"/>
  <c r="BL222" i="4"/>
  <c r="AJ224" i="4" l="1"/>
  <c r="AP224" i="4" s="1"/>
  <c r="AV224" i="4" s="1"/>
  <c r="X225" i="4"/>
  <c r="BB224" i="4"/>
  <c r="AB225" i="4"/>
  <c r="AN224" i="4"/>
  <c r="AT224" i="4" s="1"/>
  <c r="AZ224" i="4" s="1"/>
  <c r="BF224" i="4" s="1"/>
  <c r="AM224" i="4"/>
  <c r="AS224" i="4" s="1"/>
  <c r="AY224" i="4" s="1"/>
  <c r="BE224" i="4" s="1"/>
  <c r="AA225" i="4"/>
  <c r="BO223" i="4"/>
  <c r="BG223" i="4"/>
  <c r="BP223" i="4" s="1"/>
  <c r="BQ223" i="4" s="1"/>
  <c r="BI225" i="4"/>
  <c r="BS224" i="4"/>
  <c r="CA226" i="4"/>
  <c r="Y226" i="4"/>
  <c r="CE224" i="4"/>
  <c r="AC224" i="4"/>
  <c r="T226" i="4"/>
  <c r="CH226" i="4"/>
  <c r="BL223" i="4"/>
  <c r="BM222" i="4"/>
  <c r="BN222" i="4" s="1"/>
  <c r="BC225" i="4"/>
  <c r="N226" i="4" l="1"/>
  <c r="AM225" i="4"/>
  <c r="AS225" i="4" s="1"/>
  <c r="AY225" i="4" s="1"/>
  <c r="BE225" i="4" s="1"/>
  <c r="AN225" i="4"/>
  <c r="AT225" i="4" s="1"/>
  <c r="AZ225" i="4" s="1"/>
  <c r="BF225" i="4" s="1"/>
  <c r="O226" i="4"/>
  <c r="K226" i="4"/>
  <c r="AJ225" i="4"/>
  <c r="AP225" i="4" s="1"/>
  <c r="AV225" i="4" s="1"/>
  <c r="BB225" i="4" s="1"/>
  <c r="AO224" i="4"/>
  <c r="AC225" i="4"/>
  <c r="BJ224" i="4"/>
  <c r="Y227" i="4"/>
  <c r="AK226" i="4"/>
  <c r="BS225" i="4"/>
  <c r="BM223" i="4"/>
  <c r="BN223" i="4" s="1"/>
  <c r="CB226" i="4"/>
  <c r="Z226" i="4"/>
  <c r="R226" i="4" l="1"/>
  <c r="CF226" i="4"/>
  <c r="V226" i="4"/>
  <c r="CJ226" i="4"/>
  <c r="CI226" i="4"/>
  <c r="U226" i="4"/>
  <c r="AK227" i="4"/>
  <c r="L228" i="4"/>
  <c r="BK224" i="4"/>
  <c r="AO225" i="4"/>
  <c r="P226" i="4"/>
  <c r="BJ225" i="4"/>
  <c r="AQ226" i="4"/>
  <c r="AW226" i="4" s="1"/>
  <c r="AL226" i="4"/>
  <c r="AR226" i="4" s="1"/>
  <c r="AX226" i="4" s="1"/>
  <c r="BD226" i="4" s="1"/>
  <c r="Z227" i="4"/>
  <c r="AU224" i="4"/>
  <c r="BA224" i="4" s="1"/>
  <c r="BH224" i="4"/>
  <c r="AA226" i="4" l="1"/>
  <c r="CC226" i="4"/>
  <c r="AB226" i="4"/>
  <c r="CD226" i="4"/>
  <c r="BZ226" i="4"/>
  <c r="X226" i="4"/>
  <c r="BV224" i="4"/>
  <c r="BY224" i="4" s="1"/>
  <c r="BL224" i="4"/>
  <c r="BO224" i="4"/>
  <c r="BG224" i="4"/>
  <c r="BP224" i="4" s="1"/>
  <c r="BQ224" i="4" s="1"/>
  <c r="AL227" i="4"/>
  <c r="AR227" i="4" s="1"/>
  <c r="AX227" i="4" s="1"/>
  <c r="BD227" i="4" s="1"/>
  <c r="M228" i="4"/>
  <c r="BC226" i="4"/>
  <c r="BK225" i="4"/>
  <c r="CK226" i="4"/>
  <c r="W226" i="4"/>
  <c r="BI226" i="4"/>
  <c r="S228" i="4"/>
  <c r="CG228" i="4"/>
  <c r="AU225" i="4"/>
  <c r="BA225" i="4" s="1"/>
  <c r="BH225" i="4"/>
  <c r="BV225" i="4" s="1"/>
  <c r="BY225" i="4" s="1"/>
  <c r="AQ227" i="4"/>
  <c r="AW227" i="4" s="1"/>
  <c r="X227" i="4" l="1"/>
  <c r="AJ226" i="4"/>
  <c r="AP226" i="4" s="1"/>
  <c r="AV226" i="4" s="1"/>
  <c r="BB226" i="4"/>
  <c r="AB227" i="4"/>
  <c r="AN226" i="4"/>
  <c r="AT226" i="4" s="1"/>
  <c r="AZ226" i="4" s="1"/>
  <c r="BF226" i="4" s="1"/>
  <c r="AA227" i="4"/>
  <c r="AM226" i="4"/>
  <c r="AS226" i="4" s="1"/>
  <c r="AY226" i="4" s="1"/>
  <c r="BE226" i="4" s="1"/>
  <c r="CA228" i="4"/>
  <c r="Y228" i="4"/>
  <c r="CE226" i="4"/>
  <c r="AC226" i="4"/>
  <c r="BL225" i="4"/>
  <c r="BM224" i="4"/>
  <c r="BN224" i="4" s="1"/>
  <c r="BS226" i="4"/>
  <c r="BI227" i="4"/>
  <c r="T228" i="4"/>
  <c r="CH228" i="4"/>
  <c r="BC227" i="4"/>
  <c r="BO225" i="4"/>
  <c r="BG225" i="4"/>
  <c r="BP225" i="4" s="1"/>
  <c r="BQ225" i="4" s="1"/>
  <c r="N228" i="4" l="1"/>
  <c r="AM227" i="4"/>
  <c r="AS227" i="4" s="1"/>
  <c r="AY227" i="4" s="1"/>
  <c r="BE227" i="4" s="1"/>
  <c r="AN227" i="4"/>
  <c r="AT227" i="4" s="1"/>
  <c r="AZ227" i="4" s="1"/>
  <c r="BF227" i="4" s="1"/>
  <c r="O228" i="4"/>
  <c r="AJ227" i="4"/>
  <c r="AP227" i="4" s="1"/>
  <c r="AV227" i="4" s="1"/>
  <c r="BB227" i="4" s="1"/>
  <c r="K228" i="4"/>
  <c r="BS227" i="4"/>
  <c r="CB228" i="4"/>
  <c r="Z228" i="4"/>
  <c r="BM225" i="4"/>
  <c r="BN225" i="4" s="1"/>
  <c r="AO226" i="4"/>
  <c r="AC227" i="4"/>
  <c r="BJ226" i="4"/>
  <c r="AK228" i="4"/>
  <c r="Y229" i="4"/>
  <c r="CF228" i="4" l="1"/>
  <c r="R228" i="4"/>
  <c r="CJ228" i="4"/>
  <c r="V228" i="4"/>
  <c r="U228" i="4"/>
  <c r="CI228" i="4"/>
  <c r="BK226" i="4"/>
  <c r="AU226" i="4"/>
  <c r="BA226" i="4" s="1"/>
  <c r="BH226" i="4"/>
  <c r="AK229" i="4"/>
  <c r="L230" i="4"/>
  <c r="AO227" i="4"/>
  <c r="P228" i="4"/>
  <c r="BJ227" i="4"/>
  <c r="AQ228" i="4"/>
  <c r="AW228" i="4" s="1"/>
  <c r="AL228" i="4"/>
  <c r="AR228" i="4" s="1"/>
  <c r="AX228" i="4" s="1"/>
  <c r="BD228" i="4" s="1"/>
  <c r="Z229" i="4"/>
  <c r="AA228" i="4" l="1"/>
  <c r="CC228" i="4"/>
  <c r="AB228" i="4"/>
  <c r="CD228" i="4"/>
  <c r="BZ228" i="4"/>
  <c r="X228" i="4"/>
  <c r="AU227" i="4"/>
  <c r="BA227" i="4" s="1"/>
  <c r="BH227" i="4"/>
  <c r="BV227" i="4" s="1"/>
  <c r="BY227" i="4" s="1"/>
  <c r="BC228" i="4"/>
  <c r="AQ229" i="4"/>
  <c r="AW229" i="4" s="1"/>
  <c r="BV226" i="4"/>
  <c r="BY226" i="4" s="1"/>
  <c r="BL226" i="4"/>
  <c r="BO226" i="4"/>
  <c r="BG226" i="4"/>
  <c r="BP226" i="4" s="1"/>
  <c r="BQ226" i="4" s="1"/>
  <c r="W228" i="4"/>
  <c r="CK228" i="4"/>
  <c r="BI228" i="4"/>
  <c r="AL229" i="4"/>
  <c r="AR229" i="4" s="1"/>
  <c r="AX229" i="4" s="1"/>
  <c r="BD229" i="4" s="1"/>
  <c r="M230" i="4"/>
  <c r="S230" i="4"/>
  <c r="CG230" i="4"/>
  <c r="BK227" i="4"/>
  <c r="X229" i="4" l="1"/>
  <c r="AJ228" i="4"/>
  <c r="AP228" i="4" s="1"/>
  <c r="AV228" i="4" s="1"/>
  <c r="BB228" i="4"/>
  <c r="AN228" i="4"/>
  <c r="AT228" i="4" s="1"/>
  <c r="AZ228" i="4" s="1"/>
  <c r="BF228" i="4" s="1"/>
  <c r="AB229" i="4"/>
  <c r="AM228" i="4"/>
  <c r="AS228" i="4" s="1"/>
  <c r="AY228" i="4" s="1"/>
  <c r="BE228" i="4" s="1"/>
  <c r="AA229" i="4"/>
  <c r="T230" i="4"/>
  <c r="CH230" i="4"/>
  <c r="BC229" i="4"/>
  <c r="BI229" i="4"/>
  <c r="BS228" i="4"/>
  <c r="CE228" i="4"/>
  <c r="AC228" i="4"/>
  <c r="BO227" i="4"/>
  <c r="BG227" i="4"/>
  <c r="BP227" i="4" s="1"/>
  <c r="BQ227" i="4" s="1"/>
  <c r="CA230" i="4"/>
  <c r="Y230" i="4"/>
  <c r="BL227" i="4"/>
  <c r="BM226" i="4"/>
  <c r="BN226" i="4" s="1"/>
  <c r="AM229" i="4" l="1"/>
  <c r="AS229" i="4" s="1"/>
  <c r="AY229" i="4" s="1"/>
  <c r="BE229" i="4" s="1"/>
  <c r="N230" i="4"/>
  <c r="O230" i="4"/>
  <c r="AN229" i="4"/>
  <c r="AT229" i="4" s="1"/>
  <c r="AZ229" i="4" s="1"/>
  <c r="BF229" i="4" s="1"/>
  <c r="K230" i="4"/>
  <c r="AJ229" i="4"/>
  <c r="AP229" i="4" s="1"/>
  <c r="AV229" i="4" s="1"/>
  <c r="BB229" i="4" s="1"/>
  <c r="AC229" i="4"/>
  <c r="AO228" i="4"/>
  <c r="BJ228" i="4"/>
  <c r="BM227" i="4"/>
  <c r="BN227" i="4" s="1"/>
  <c r="Y231" i="4"/>
  <c r="AK230" i="4"/>
  <c r="BS229" i="4"/>
  <c r="CB230" i="4"/>
  <c r="Z230" i="4"/>
  <c r="V230" i="4" l="1"/>
  <c r="CJ230" i="4"/>
  <c r="R230" i="4"/>
  <c r="CF230" i="4"/>
  <c r="U230" i="4"/>
  <c r="CI230" i="4"/>
  <c r="AK231" i="4"/>
  <c r="L232" i="4"/>
  <c r="BK228" i="4"/>
  <c r="AO229" i="4"/>
  <c r="P230" i="4"/>
  <c r="BJ229" i="4"/>
  <c r="AQ230" i="4"/>
  <c r="AW230" i="4" s="1"/>
  <c r="AL230" i="4"/>
  <c r="AR230" i="4" s="1"/>
  <c r="AX230" i="4" s="1"/>
  <c r="BD230" i="4" s="1"/>
  <c r="Z231" i="4"/>
  <c r="AU228" i="4"/>
  <c r="BA228" i="4" s="1"/>
  <c r="BH228" i="4"/>
  <c r="AA230" i="4" l="1"/>
  <c r="CC230" i="4"/>
  <c r="BZ230" i="4"/>
  <c r="X230" i="4"/>
  <c r="AB230" i="4"/>
  <c r="CD230" i="4"/>
  <c r="W230" i="4"/>
  <c r="CK230" i="4"/>
  <c r="BI230" i="4"/>
  <c r="AU229" i="4"/>
  <c r="BA229" i="4" s="1"/>
  <c r="BH229" i="4"/>
  <c r="BV229" i="4" s="1"/>
  <c r="BY229" i="4" s="1"/>
  <c r="AL231" i="4"/>
  <c r="AR231" i="4" s="1"/>
  <c r="AX231" i="4" s="1"/>
  <c r="BD231" i="4" s="1"/>
  <c r="M232" i="4"/>
  <c r="AQ231" i="4"/>
  <c r="AW231" i="4" s="1"/>
  <c r="S232" i="4"/>
  <c r="CG232" i="4"/>
  <c r="BK229" i="4"/>
  <c r="BO228" i="4"/>
  <c r="BG228" i="4"/>
  <c r="BP228" i="4" s="1"/>
  <c r="BQ228" i="4" s="1"/>
  <c r="BC230" i="4"/>
  <c r="BV228" i="4"/>
  <c r="BY228" i="4" s="1"/>
  <c r="BL228" i="4"/>
  <c r="AB231" i="4" l="1"/>
  <c r="AN230" i="4"/>
  <c r="AT230" i="4" s="1"/>
  <c r="AZ230" i="4" s="1"/>
  <c r="BF230" i="4"/>
  <c r="X231" i="4"/>
  <c r="AJ230" i="4"/>
  <c r="AP230" i="4" s="1"/>
  <c r="AV230" i="4" s="1"/>
  <c r="BB230" i="4" s="1"/>
  <c r="AA231" i="4"/>
  <c r="AM230" i="4"/>
  <c r="AS230" i="4" s="1"/>
  <c r="AY230" i="4" s="1"/>
  <c r="BE230" i="4" s="1"/>
  <c r="BC231" i="4"/>
  <c r="T232" i="4"/>
  <c r="CH232" i="4"/>
  <c r="BI231" i="4"/>
  <c r="BS230" i="4"/>
  <c r="BL229" i="4"/>
  <c r="BM228" i="4"/>
  <c r="BN228" i="4" s="1"/>
  <c r="CA232" i="4"/>
  <c r="Y232" i="4"/>
  <c r="BO229" i="4"/>
  <c r="BG229" i="4"/>
  <c r="BP229" i="4" s="1"/>
  <c r="BQ229" i="4" s="1"/>
  <c r="CE230" i="4"/>
  <c r="AC230" i="4"/>
  <c r="AM231" i="4" l="1"/>
  <c r="AS231" i="4" s="1"/>
  <c r="AY231" i="4" s="1"/>
  <c r="BE231" i="4" s="1"/>
  <c r="N232" i="4"/>
  <c r="AJ231" i="4"/>
  <c r="AP231" i="4" s="1"/>
  <c r="AV231" i="4" s="1"/>
  <c r="BB231" i="4" s="1"/>
  <c r="K232" i="4"/>
  <c r="AN231" i="4"/>
  <c r="AT231" i="4" s="1"/>
  <c r="AZ231" i="4" s="1"/>
  <c r="BF231" i="4" s="1"/>
  <c r="O232" i="4"/>
  <c r="CB232" i="4"/>
  <c r="Z232" i="4"/>
  <c r="BM229" i="4"/>
  <c r="BN229" i="4" s="1"/>
  <c r="Y233" i="4"/>
  <c r="AK232" i="4"/>
  <c r="AC231" i="4"/>
  <c r="AO230" i="4"/>
  <c r="BJ230" i="4"/>
  <c r="BS231" i="4"/>
  <c r="CF232" i="4" l="1"/>
  <c r="R232" i="4"/>
  <c r="CJ232" i="4"/>
  <c r="V232" i="4"/>
  <c r="U232" i="4"/>
  <c r="CI232" i="4"/>
  <c r="AQ232" i="4"/>
  <c r="AW232" i="4" s="1"/>
  <c r="AL232" i="4"/>
  <c r="AR232" i="4" s="1"/>
  <c r="AX232" i="4" s="1"/>
  <c r="BD232" i="4" s="1"/>
  <c r="Z233" i="4"/>
  <c r="AK233" i="4"/>
  <c r="L234" i="4"/>
  <c r="AO231" i="4"/>
  <c r="P232" i="4"/>
  <c r="BJ231" i="4"/>
  <c r="BK230" i="4"/>
  <c r="AU230" i="4"/>
  <c r="BA230" i="4" s="1"/>
  <c r="BH230" i="4"/>
  <c r="CC232" i="4" l="1"/>
  <c r="AA232" i="4"/>
  <c r="CD232" i="4"/>
  <c r="AB232" i="4"/>
  <c r="BZ232" i="4"/>
  <c r="X232" i="4"/>
  <c r="BO230" i="4"/>
  <c r="BG230" i="4"/>
  <c r="BP230" i="4" s="1"/>
  <c r="BQ230" i="4" s="1"/>
  <c r="S234" i="4"/>
  <c r="CG234" i="4"/>
  <c r="BK231" i="4"/>
  <c r="W232" i="4"/>
  <c r="CK232" i="4"/>
  <c r="BI232" i="4"/>
  <c r="AL233" i="4"/>
  <c r="AR233" i="4" s="1"/>
  <c r="AX233" i="4" s="1"/>
  <c r="BD233" i="4" s="1"/>
  <c r="M234" i="4"/>
  <c r="AU231" i="4"/>
  <c r="BA231" i="4" s="1"/>
  <c r="BH231" i="4"/>
  <c r="BV231" i="4" s="1"/>
  <c r="BY231" i="4" s="1"/>
  <c r="BV230" i="4"/>
  <c r="BY230" i="4" s="1"/>
  <c r="BL230" i="4"/>
  <c r="AQ233" i="4"/>
  <c r="AW233" i="4" s="1"/>
  <c r="BC232" i="4"/>
  <c r="AJ232" i="4" l="1"/>
  <c r="AP232" i="4" s="1"/>
  <c r="AV232" i="4" s="1"/>
  <c r="X233" i="4"/>
  <c r="BB232" i="4"/>
  <c r="AB233" i="4"/>
  <c r="AN232" i="4"/>
  <c r="AT232" i="4" s="1"/>
  <c r="AZ232" i="4" s="1"/>
  <c r="BF232" i="4" s="1"/>
  <c r="AM232" i="4"/>
  <c r="AS232" i="4" s="1"/>
  <c r="AY232" i="4" s="1"/>
  <c r="BE232" i="4" s="1"/>
  <c r="AA233" i="4"/>
  <c r="T234" i="4"/>
  <c r="CH234" i="4"/>
  <c r="CA234" i="4"/>
  <c r="Y234" i="4"/>
  <c r="BO231" i="4"/>
  <c r="BG231" i="4"/>
  <c r="BP231" i="4" s="1"/>
  <c r="BQ231" i="4" s="1"/>
  <c r="BI233" i="4"/>
  <c r="BS232" i="4"/>
  <c r="BL231" i="4"/>
  <c r="BM230" i="4"/>
  <c r="BN230" i="4" s="1"/>
  <c r="BC233" i="4"/>
  <c r="CE232" i="4"/>
  <c r="AC232" i="4"/>
  <c r="AM233" i="4" l="1"/>
  <c r="AS233" i="4" s="1"/>
  <c r="AY233" i="4" s="1"/>
  <c r="BE233" i="4" s="1"/>
  <c r="N234" i="4"/>
  <c r="O234" i="4"/>
  <c r="AN233" i="4"/>
  <c r="AT233" i="4" s="1"/>
  <c r="AZ233" i="4" s="1"/>
  <c r="BF233" i="4" s="1"/>
  <c r="K234" i="4"/>
  <c r="AJ233" i="4"/>
  <c r="AP233" i="4" s="1"/>
  <c r="AV233" i="4" s="1"/>
  <c r="BB233" i="4" s="1"/>
  <c r="BS233" i="4"/>
  <c r="AK234" i="4"/>
  <c r="Y235" i="4"/>
  <c r="AO232" i="4"/>
  <c r="AC233" i="4"/>
  <c r="BJ232" i="4"/>
  <c r="BM231" i="4"/>
  <c r="BN231" i="4" s="1"/>
  <c r="CB234" i="4"/>
  <c r="Z234" i="4"/>
  <c r="CF234" i="4" l="1"/>
  <c r="R234" i="4"/>
  <c r="V234" i="4"/>
  <c r="CJ234" i="4"/>
  <c r="CI234" i="4"/>
  <c r="U234" i="4"/>
  <c r="BK232" i="4"/>
  <c r="AL234" i="4"/>
  <c r="AR234" i="4" s="1"/>
  <c r="AX234" i="4" s="1"/>
  <c r="BD234" i="4" s="1"/>
  <c r="Z235" i="4"/>
  <c r="AK235" i="4"/>
  <c r="L236" i="4"/>
  <c r="AQ234" i="4"/>
  <c r="AW234" i="4" s="1"/>
  <c r="AO233" i="4"/>
  <c r="P234" i="4"/>
  <c r="BJ233" i="4"/>
  <c r="AU232" i="4"/>
  <c r="BA232" i="4" s="1"/>
  <c r="BH232" i="4"/>
  <c r="CC234" i="4" l="1"/>
  <c r="AA234" i="4"/>
  <c r="AB234" i="4"/>
  <c r="CD234" i="4"/>
  <c r="BZ234" i="4"/>
  <c r="X234" i="4"/>
  <c r="BO232" i="4"/>
  <c r="BG232" i="4"/>
  <c r="BP232" i="4" s="1"/>
  <c r="BQ232" i="4" s="1"/>
  <c r="AQ235" i="4"/>
  <c r="AW235" i="4" s="1"/>
  <c r="BV232" i="4"/>
  <c r="BY232" i="4" s="1"/>
  <c r="BL232" i="4"/>
  <c r="BK233" i="4"/>
  <c r="AL235" i="4"/>
  <c r="AR235" i="4" s="1"/>
  <c r="AX235" i="4" s="1"/>
  <c r="BD235" i="4" s="1"/>
  <c r="M236" i="4"/>
  <c r="BC234" i="4"/>
  <c r="S236" i="4"/>
  <c r="CG236" i="4"/>
  <c r="W234" i="4"/>
  <c r="CK234" i="4"/>
  <c r="BI234" i="4"/>
  <c r="AU233" i="4"/>
  <c r="BA233" i="4" s="1"/>
  <c r="BH233" i="4"/>
  <c r="BV233" i="4" s="1"/>
  <c r="BY233" i="4" s="1"/>
  <c r="AJ234" i="4" l="1"/>
  <c r="AP234" i="4" s="1"/>
  <c r="AV234" i="4" s="1"/>
  <c r="X235" i="4"/>
  <c r="BB234" i="4"/>
  <c r="AN234" i="4"/>
  <c r="AT234" i="4" s="1"/>
  <c r="AZ234" i="4" s="1"/>
  <c r="BF234" i="4" s="1"/>
  <c r="AB235" i="4"/>
  <c r="AM234" i="4"/>
  <c r="AS234" i="4" s="1"/>
  <c r="AY234" i="4" s="1"/>
  <c r="BE234" i="4" s="1"/>
  <c r="AA235" i="4"/>
  <c r="CA236" i="4"/>
  <c r="Y236" i="4"/>
  <c r="BC235" i="4"/>
  <c r="BL233" i="4"/>
  <c r="BM232" i="4"/>
  <c r="BN232" i="4" s="1"/>
  <c r="T236" i="4"/>
  <c r="CH236" i="4"/>
  <c r="BO233" i="4"/>
  <c r="BG233" i="4"/>
  <c r="BP233" i="4" s="1"/>
  <c r="BQ233" i="4" s="1"/>
  <c r="BI235" i="4"/>
  <c r="BS234" i="4"/>
  <c r="CE234" i="4"/>
  <c r="AC234" i="4"/>
  <c r="N236" i="4" l="1"/>
  <c r="AM235" i="4"/>
  <c r="AS235" i="4" s="1"/>
  <c r="AY235" i="4" s="1"/>
  <c r="BE235" i="4" s="1"/>
  <c r="AN235" i="4"/>
  <c r="AT235" i="4" s="1"/>
  <c r="AZ235" i="4" s="1"/>
  <c r="BF235" i="4" s="1"/>
  <c r="O236" i="4"/>
  <c r="K236" i="4"/>
  <c r="AJ235" i="4"/>
  <c r="AP235" i="4" s="1"/>
  <c r="AV235" i="4" s="1"/>
  <c r="BB235" i="4" s="1"/>
  <c r="BM233" i="4"/>
  <c r="BN233" i="4" s="1"/>
  <c r="AC235" i="4"/>
  <c r="AO234" i="4"/>
  <c r="BJ234" i="4"/>
  <c r="BS235" i="4"/>
  <c r="CB236" i="4"/>
  <c r="Z236" i="4"/>
  <c r="AK236" i="4"/>
  <c r="Y237" i="4"/>
  <c r="V236" i="4" l="1"/>
  <c r="CJ236" i="4"/>
  <c r="R236" i="4"/>
  <c r="CF236" i="4"/>
  <c r="U236" i="4"/>
  <c r="CI236" i="4"/>
  <c r="AU234" i="4"/>
  <c r="BA234" i="4" s="1"/>
  <c r="BH234" i="4"/>
  <c r="AK237" i="4"/>
  <c r="L238" i="4"/>
  <c r="BK234" i="4"/>
  <c r="AO235" i="4"/>
  <c r="P236" i="4"/>
  <c r="BJ235" i="4"/>
  <c r="AQ236" i="4"/>
  <c r="AW236" i="4" s="1"/>
  <c r="AL236" i="4"/>
  <c r="AR236" i="4" s="1"/>
  <c r="AX236" i="4" s="1"/>
  <c r="BD236" i="4" s="1"/>
  <c r="Z237" i="4"/>
  <c r="AA236" i="4" l="1"/>
  <c r="CC236" i="4"/>
  <c r="BZ236" i="4"/>
  <c r="X236" i="4"/>
  <c r="CD236" i="4"/>
  <c r="AB236" i="4"/>
  <c r="AU235" i="4"/>
  <c r="BA235" i="4" s="1"/>
  <c r="BH235" i="4"/>
  <c r="BV235" i="4" s="1"/>
  <c r="BY235" i="4" s="1"/>
  <c r="W236" i="4"/>
  <c r="CK236" i="4"/>
  <c r="BI236" i="4"/>
  <c r="BC236" i="4"/>
  <c r="AQ237" i="4"/>
  <c r="AW237" i="4" s="1"/>
  <c r="BO234" i="4"/>
  <c r="BG234" i="4"/>
  <c r="BP234" i="4" s="1"/>
  <c r="BQ234" i="4" s="1"/>
  <c r="BK235" i="4"/>
  <c r="AL237" i="4"/>
  <c r="AR237" i="4" s="1"/>
  <c r="AX237" i="4" s="1"/>
  <c r="BD237" i="4" s="1"/>
  <c r="M238" i="4"/>
  <c r="S238" i="4"/>
  <c r="CG238" i="4"/>
  <c r="BV234" i="4"/>
  <c r="BY234" i="4" s="1"/>
  <c r="BL234" i="4"/>
  <c r="AN236" i="4" l="1"/>
  <c r="AT236" i="4" s="1"/>
  <c r="AZ236" i="4" s="1"/>
  <c r="BF236" i="4" s="1"/>
  <c r="AB237" i="4"/>
  <c r="AJ236" i="4"/>
  <c r="AP236" i="4" s="1"/>
  <c r="AV236" i="4" s="1"/>
  <c r="BB236" i="4" s="1"/>
  <c r="X237" i="4"/>
  <c r="AM236" i="4"/>
  <c r="AS236" i="4" s="1"/>
  <c r="AY236" i="4" s="1"/>
  <c r="BE236" i="4" s="1"/>
  <c r="AA237" i="4"/>
  <c r="BC237" i="4"/>
  <c r="T238" i="4"/>
  <c r="CH238" i="4"/>
  <c r="BO235" i="4"/>
  <c r="BG235" i="4"/>
  <c r="BP235" i="4" s="1"/>
  <c r="BQ235" i="4" s="1"/>
  <c r="CA238" i="4"/>
  <c r="Y238" i="4"/>
  <c r="BI237" i="4"/>
  <c r="BS236" i="4"/>
  <c r="CE236" i="4"/>
  <c r="AC236" i="4"/>
  <c r="BL235" i="4"/>
  <c r="BM234" i="4"/>
  <c r="BN234" i="4" s="1"/>
  <c r="N238" i="4" l="1"/>
  <c r="AM237" i="4"/>
  <c r="AS237" i="4" s="1"/>
  <c r="AY237" i="4" s="1"/>
  <c r="BE237" i="4" s="1"/>
  <c r="AJ237" i="4"/>
  <c r="AP237" i="4" s="1"/>
  <c r="AV237" i="4" s="1"/>
  <c r="BB237" i="4" s="1"/>
  <c r="K238" i="4"/>
  <c r="AN237" i="4"/>
  <c r="AT237" i="4" s="1"/>
  <c r="AZ237" i="4" s="1"/>
  <c r="BF237" i="4" s="1"/>
  <c r="O238" i="4"/>
  <c r="AC237" i="4"/>
  <c r="AO236" i="4"/>
  <c r="BJ236" i="4"/>
  <c r="CB238" i="4"/>
  <c r="Z238" i="4"/>
  <c r="Y239" i="4"/>
  <c r="AK238" i="4"/>
  <c r="BM235" i="4"/>
  <c r="BN235" i="4" s="1"/>
  <c r="BS237" i="4"/>
  <c r="CJ238" i="4" l="1"/>
  <c r="V238" i="4"/>
  <c r="R238" i="4"/>
  <c r="CF238" i="4"/>
  <c r="CI238" i="4"/>
  <c r="U238" i="4"/>
  <c r="AL238" i="4"/>
  <c r="AR238" i="4" s="1"/>
  <c r="AX238" i="4" s="1"/>
  <c r="BD238" i="4" s="1"/>
  <c r="Z239" i="4"/>
  <c r="AO237" i="4"/>
  <c r="P238" i="4"/>
  <c r="BJ237" i="4"/>
  <c r="BK236" i="4"/>
  <c r="AU236" i="4"/>
  <c r="BA236" i="4" s="1"/>
  <c r="BH236" i="4"/>
  <c r="AQ238" i="4"/>
  <c r="AW238" i="4" s="1"/>
  <c r="AK239" i="4"/>
  <c r="L240" i="4"/>
  <c r="CC238" i="4" l="1"/>
  <c r="AA238" i="4"/>
  <c r="BZ238" i="4"/>
  <c r="X238" i="4"/>
  <c r="CD238" i="4"/>
  <c r="AB238" i="4"/>
  <c r="AQ239" i="4"/>
  <c r="AW239" i="4" s="1"/>
  <c r="BO236" i="4"/>
  <c r="BG236" i="4"/>
  <c r="BP236" i="4" s="1"/>
  <c r="BQ236" i="4" s="1"/>
  <c r="S240" i="4"/>
  <c r="CG240" i="4"/>
  <c r="BK237" i="4"/>
  <c r="AU237" i="4"/>
  <c r="BA237" i="4" s="1"/>
  <c r="BH237" i="4"/>
  <c r="BV237" i="4" s="1"/>
  <c r="BY237" i="4" s="1"/>
  <c r="BC238" i="4"/>
  <c r="BV236" i="4"/>
  <c r="BY236" i="4" s="1"/>
  <c r="BL236" i="4"/>
  <c r="AL239" i="4"/>
  <c r="AR239" i="4" s="1"/>
  <c r="AX239" i="4" s="1"/>
  <c r="BD239" i="4" s="1"/>
  <c r="M240" i="4"/>
  <c r="W238" i="4"/>
  <c r="CK238" i="4"/>
  <c r="BI238" i="4"/>
  <c r="AN238" i="4" l="1"/>
  <c r="AT238" i="4" s="1"/>
  <c r="AZ238" i="4" s="1"/>
  <c r="BF238" i="4" s="1"/>
  <c r="AB239" i="4"/>
  <c r="X239" i="4"/>
  <c r="AJ238" i="4"/>
  <c r="AP238" i="4" s="1"/>
  <c r="AV238" i="4" s="1"/>
  <c r="BB238" i="4" s="1"/>
  <c r="AM238" i="4"/>
  <c r="AS238" i="4" s="1"/>
  <c r="AY238" i="4" s="1"/>
  <c r="BE238" i="4" s="1"/>
  <c r="AA239" i="4"/>
  <c r="CE238" i="4"/>
  <c r="AC238" i="4"/>
  <c r="BS238" i="4"/>
  <c r="BI239" i="4"/>
  <c r="BO237" i="4"/>
  <c r="BG237" i="4"/>
  <c r="BP237" i="4" s="1"/>
  <c r="BQ237" i="4" s="1"/>
  <c r="BL237" i="4"/>
  <c r="BM236" i="4"/>
  <c r="BN236" i="4" s="1"/>
  <c r="T240" i="4"/>
  <c r="CH240" i="4"/>
  <c r="CA240" i="4"/>
  <c r="Y240" i="4"/>
  <c r="BC239" i="4"/>
  <c r="N240" i="4" l="1"/>
  <c r="AM239" i="4"/>
  <c r="AS239" i="4" s="1"/>
  <c r="AY239" i="4" s="1"/>
  <c r="BE239" i="4" s="1"/>
  <c r="AJ239" i="4"/>
  <c r="AP239" i="4" s="1"/>
  <c r="AV239" i="4" s="1"/>
  <c r="BB239" i="4" s="1"/>
  <c r="K240" i="4"/>
  <c r="O240" i="4"/>
  <c r="AN239" i="4"/>
  <c r="AT239" i="4" s="1"/>
  <c r="AZ239" i="4" s="1"/>
  <c r="BF239" i="4" s="1"/>
  <c r="CB240" i="4"/>
  <c r="Z240" i="4"/>
  <c r="BM237" i="4"/>
  <c r="BN237" i="4" s="1"/>
  <c r="BS239" i="4"/>
  <c r="AC239" i="4"/>
  <c r="AO238" i="4"/>
  <c r="BJ238" i="4"/>
  <c r="AK240" i="4"/>
  <c r="Y241" i="4"/>
  <c r="V240" i="4" l="1"/>
  <c r="CJ240" i="4"/>
  <c r="R240" i="4"/>
  <c r="CF240" i="4"/>
  <c r="CI240" i="4"/>
  <c r="U240" i="4"/>
  <c r="AU238" i="4"/>
  <c r="BA238" i="4" s="1"/>
  <c r="BH238" i="4"/>
  <c r="BK238" i="4"/>
  <c r="AO239" i="4"/>
  <c r="P240" i="4"/>
  <c r="BJ239" i="4"/>
  <c r="Z241" i="4"/>
  <c r="AL240" i="4"/>
  <c r="AR240" i="4" s="1"/>
  <c r="AX240" i="4" s="1"/>
  <c r="BD240" i="4" s="1"/>
  <c r="AK241" i="4"/>
  <c r="L242" i="4"/>
  <c r="AQ240" i="4"/>
  <c r="AW240" i="4" s="1"/>
  <c r="AA240" i="4" l="1"/>
  <c r="CC240" i="4"/>
  <c r="BZ240" i="4"/>
  <c r="X240" i="4"/>
  <c r="CD240" i="4"/>
  <c r="AB240" i="4"/>
  <c r="BK239" i="4"/>
  <c r="S242" i="4"/>
  <c r="CG242" i="4"/>
  <c r="AU239" i="4"/>
  <c r="BA239" i="4" s="1"/>
  <c r="BH239" i="4"/>
  <c r="BV239" i="4" s="1"/>
  <c r="BY239" i="4" s="1"/>
  <c r="BC240" i="4"/>
  <c r="W240" i="4"/>
  <c r="CK240" i="4"/>
  <c r="BI240" i="4"/>
  <c r="AQ241" i="4"/>
  <c r="AW241" i="4" s="1"/>
  <c r="AL241" i="4"/>
  <c r="AR241" i="4" s="1"/>
  <c r="AX241" i="4" s="1"/>
  <c r="BD241" i="4" s="1"/>
  <c r="M242" i="4"/>
  <c r="BV238" i="4"/>
  <c r="BY238" i="4" s="1"/>
  <c r="BL238" i="4"/>
  <c r="BO238" i="4"/>
  <c r="BG238" i="4"/>
  <c r="BP238" i="4" s="1"/>
  <c r="BQ238" i="4" s="1"/>
  <c r="AB241" i="4" l="1"/>
  <c r="AN240" i="4"/>
  <c r="AT240" i="4" s="1"/>
  <c r="AZ240" i="4" s="1"/>
  <c r="BF240" i="4" s="1"/>
  <c r="X241" i="4"/>
  <c r="AJ240" i="4"/>
  <c r="AP240" i="4" s="1"/>
  <c r="AV240" i="4" s="1"/>
  <c r="BB240" i="4" s="1"/>
  <c r="AM240" i="4"/>
  <c r="AS240" i="4" s="1"/>
  <c r="AY240" i="4" s="1"/>
  <c r="BE240" i="4" s="1"/>
  <c r="AA241" i="4"/>
  <c r="CE240" i="4"/>
  <c r="AC240" i="4"/>
  <c r="CA242" i="4"/>
  <c r="Y242" i="4"/>
  <c r="T242" i="4"/>
  <c r="CH242" i="4"/>
  <c r="BL239" i="4"/>
  <c r="BM238" i="4"/>
  <c r="BN238" i="4" s="1"/>
  <c r="BO239" i="4"/>
  <c r="BG239" i="4"/>
  <c r="BP239" i="4" s="1"/>
  <c r="BQ239" i="4" s="1"/>
  <c r="BC241" i="4"/>
  <c r="BS240" i="4"/>
  <c r="BI241" i="4"/>
  <c r="AM241" i="4" l="1"/>
  <c r="AS241" i="4" s="1"/>
  <c r="AY241" i="4" s="1"/>
  <c r="BE241" i="4" s="1"/>
  <c r="N242" i="4"/>
  <c r="AJ241" i="4"/>
  <c r="AP241" i="4" s="1"/>
  <c r="AV241" i="4" s="1"/>
  <c r="BB241" i="4" s="1"/>
  <c r="K242" i="4"/>
  <c r="O242" i="4"/>
  <c r="AN241" i="4"/>
  <c r="AT241" i="4" s="1"/>
  <c r="AZ241" i="4" s="1"/>
  <c r="BF241" i="4" s="1"/>
  <c r="BM239" i="4"/>
  <c r="BN239" i="4" s="1"/>
  <c r="BS241" i="4"/>
  <c r="CB242" i="4"/>
  <c r="Z242" i="4"/>
  <c r="AK242" i="4"/>
  <c r="Y243" i="4"/>
  <c r="AO240" i="4"/>
  <c r="AC241" i="4"/>
  <c r="BJ240" i="4"/>
  <c r="V242" i="4" l="1"/>
  <c r="CJ242" i="4"/>
  <c r="CF242" i="4"/>
  <c r="R242" i="4"/>
  <c r="U242" i="4"/>
  <c r="CI242" i="4"/>
  <c r="AO241" i="4"/>
  <c r="P242" i="4"/>
  <c r="BJ241" i="4"/>
  <c r="AQ242" i="4"/>
  <c r="AW242" i="4" s="1"/>
  <c r="BK240" i="4"/>
  <c r="AU240" i="4"/>
  <c r="BA240" i="4" s="1"/>
  <c r="BH240" i="4"/>
  <c r="AK243" i="4"/>
  <c r="L244" i="4"/>
  <c r="AL242" i="4"/>
  <c r="AR242" i="4" s="1"/>
  <c r="AX242" i="4" s="1"/>
  <c r="BD242" i="4" s="1"/>
  <c r="Z243" i="4"/>
  <c r="CC242" i="4" l="1"/>
  <c r="AA242" i="4"/>
  <c r="BZ242" i="4"/>
  <c r="X242" i="4"/>
  <c r="AB242" i="4"/>
  <c r="CD242" i="4"/>
  <c r="S244" i="4"/>
  <c r="CG244" i="4"/>
  <c r="W242" i="4"/>
  <c r="CK242" i="4"/>
  <c r="BI242" i="4"/>
  <c r="AU241" i="4"/>
  <c r="BA241" i="4" s="1"/>
  <c r="BH241" i="4"/>
  <c r="BV241" i="4" s="1"/>
  <c r="BY241" i="4" s="1"/>
  <c r="AL243" i="4"/>
  <c r="AR243" i="4" s="1"/>
  <c r="AX243" i="4" s="1"/>
  <c r="BD243" i="4" s="1"/>
  <c r="M244" i="4"/>
  <c r="BC242" i="4"/>
  <c r="AQ243" i="4"/>
  <c r="AW243" i="4" s="1"/>
  <c r="BO240" i="4"/>
  <c r="BG240" i="4"/>
  <c r="BP240" i="4" s="1"/>
  <c r="BQ240" i="4" s="1"/>
  <c r="BK241" i="4"/>
  <c r="BV240" i="4"/>
  <c r="BY240" i="4" s="1"/>
  <c r="BL240" i="4"/>
  <c r="AB243" i="4" l="1"/>
  <c r="AN242" i="4"/>
  <c r="AT242" i="4" s="1"/>
  <c r="AZ242" i="4" s="1"/>
  <c r="BF242" i="4" s="1"/>
  <c r="X243" i="4"/>
  <c r="AJ242" i="4"/>
  <c r="AP242" i="4" s="1"/>
  <c r="AV242" i="4" s="1"/>
  <c r="BB242" i="4" s="1"/>
  <c r="AM242" i="4"/>
  <c r="AS242" i="4" s="1"/>
  <c r="AY242" i="4" s="1"/>
  <c r="BE242" i="4" s="1"/>
  <c r="AA243" i="4"/>
  <c r="T244" i="4"/>
  <c r="CH244" i="4"/>
  <c r="BL241" i="4"/>
  <c r="BM240" i="4"/>
  <c r="BN240" i="4" s="1"/>
  <c r="CE242" i="4"/>
  <c r="AC242" i="4"/>
  <c r="BO241" i="4"/>
  <c r="BG241" i="4"/>
  <c r="BP241" i="4" s="1"/>
  <c r="BQ241" i="4" s="1"/>
  <c r="BI243" i="4"/>
  <c r="BS242" i="4"/>
  <c r="CA244" i="4"/>
  <c r="Y244" i="4"/>
  <c r="BC243" i="4"/>
  <c r="N244" i="4" l="1"/>
  <c r="AM243" i="4"/>
  <c r="AS243" i="4" s="1"/>
  <c r="AY243" i="4" s="1"/>
  <c r="BE243" i="4" s="1"/>
  <c r="AJ243" i="4"/>
  <c r="AP243" i="4" s="1"/>
  <c r="AV243" i="4" s="1"/>
  <c r="BB243" i="4" s="1"/>
  <c r="K244" i="4"/>
  <c r="AN243" i="4"/>
  <c r="AT243" i="4" s="1"/>
  <c r="AZ243" i="4" s="1"/>
  <c r="BF243" i="4" s="1"/>
  <c r="O244" i="4"/>
  <c r="BM241" i="4"/>
  <c r="BN241" i="4" s="1"/>
  <c r="CB244" i="4"/>
  <c r="Z244" i="4"/>
  <c r="AC243" i="4"/>
  <c r="AO242" i="4"/>
  <c r="BJ242" i="4"/>
  <c r="AK244" i="4"/>
  <c r="Y245" i="4"/>
  <c r="BS243" i="4"/>
  <c r="R244" i="4" l="1"/>
  <c r="CF244" i="4"/>
  <c r="V244" i="4"/>
  <c r="CJ244" i="4"/>
  <c r="CI244" i="4"/>
  <c r="U244" i="4"/>
  <c r="AK245" i="4"/>
  <c r="L246" i="4"/>
  <c r="AQ244" i="4"/>
  <c r="AW244" i="4" s="1"/>
  <c r="AU242" i="4"/>
  <c r="BA242" i="4" s="1"/>
  <c r="BH242" i="4"/>
  <c r="AO243" i="4"/>
  <c r="P244" i="4"/>
  <c r="BJ243" i="4"/>
  <c r="AL244" i="4"/>
  <c r="AR244" i="4" s="1"/>
  <c r="AX244" i="4" s="1"/>
  <c r="BD244" i="4" s="1"/>
  <c r="Z245" i="4"/>
  <c r="BK242" i="4"/>
  <c r="AA244" i="4" l="1"/>
  <c r="CC244" i="4"/>
  <c r="AB244" i="4"/>
  <c r="CD244" i="4"/>
  <c r="BZ244" i="4"/>
  <c r="X244" i="4"/>
  <c r="AU243" i="4"/>
  <c r="BA243" i="4" s="1"/>
  <c r="BH243" i="4"/>
  <c r="BV243" i="4" s="1"/>
  <c r="BY243" i="4" s="1"/>
  <c r="BO242" i="4"/>
  <c r="BG242" i="4"/>
  <c r="BP242" i="4" s="1"/>
  <c r="BQ242" i="4" s="1"/>
  <c r="BC244" i="4"/>
  <c r="BV242" i="4"/>
  <c r="BY242" i="4" s="1"/>
  <c r="BL242" i="4"/>
  <c r="S246" i="4"/>
  <c r="CG246" i="4"/>
  <c r="AQ245" i="4"/>
  <c r="AW245" i="4" s="1"/>
  <c r="AL245" i="4"/>
  <c r="AR245" i="4" s="1"/>
  <c r="AX245" i="4" s="1"/>
  <c r="BD245" i="4" s="1"/>
  <c r="M246" i="4"/>
  <c r="BK243" i="4"/>
  <c r="W244" i="4"/>
  <c r="CK244" i="4"/>
  <c r="BI244" i="4"/>
  <c r="X245" i="4" l="1"/>
  <c r="AJ244" i="4"/>
  <c r="AP244" i="4" s="1"/>
  <c r="AV244" i="4" s="1"/>
  <c r="BB244" i="4"/>
  <c r="AN244" i="4"/>
  <c r="AT244" i="4" s="1"/>
  <c r="AZ244" i="4" s="1"/>
  <c r="BF244" i="4" s="1"/>
  <c r="AB245" i="4"/>
  <c r="AM244" i="4"/>
  <c r="AS244" i="4" s="1"/>
  <c r="AY244" i="4" s="1"/>
  <c r="BE244" i="4" s="1"/>
  <c r="AA245" i="4"/>
  <c r="CA246" i="4"/>
  <c r="Y246" i="4"/>
  <c r="T246" i="4"/>
  <c r="CH246" i="4"/>
  <c r="BI245" i="4"/>
  <c r="BS244" i="4"/>
  <c r="BO243" i="4"/>
  <c r="BG243" i="4"/>
  <c r="BP243" i="4" s="1"/>
  <c r="BQ243" i="4" s="1"/>
  <c r="BL243" i="4"/>
  <c r="BM242" i="4"/>
  <c r="BN242" i="4" s="1"/>
  <c r="CE244" i="4"/>
  <c r="AC244" i="4"/>
  <c r="BC245" i="4"/>
  <c r="AM245" i="4" l="1"/>
  <c r="AS245" i="4" s="1"/>
  <c r="AY245" i="4" s="1"/>
  <c r="BE245" i="4" s="1"/>
  <c r="N246" i="4"/>
  <c r="O246" i="4"/>
  <c r="AN245" i="4"/>
  <c r="AT245" i="4" s="1"/>
  <c r="AZ245" i="4" s="1"/>
  <c r="BF245" i="4" s="1"/>
  <c r="AJ245" i="4"/>
  <c r="AP245" i="4" s="1"/>
  <c r="AV245" i="4" s="1"/>
  <c r="BB245" i="4" s="1"/>
  <c r="K246" i="4"/>
  <c r="BM243" i="4"/>
  <c r="BN243" i="4" s="1"/>
  <c r="CB246" i="4"/>
  <c r="Z246" i="4"/>
  <c r="Y247" i="4"/>
  <c r="AK246" i="4"/>
  <c r="BS245" i="4"/>
  <c r="AO244" i="4"/>
  <c r="AC245" i="4"/>
  <c r="BJ244" i="4"/>
  <c r="R246" i="4" l="1"/>
  <c r="CF246" i="4"/>
  <c r="CJ246" i="4"/>
  <c r="V246" i="4"/>
  <c r="U246" i="4"/>
  <c r="CI246" i="4"/>
  <c r="AQ246" i="4"/>
  <c r="AW246" i="4" s="1"/>
  <c r="AK247" i="4"/>
  <c r="L248" i="4"/>
  <c r="BK244" i="4"/>
  <c r="Z247" i="4"/>
  <c r="AL246" i="4"/>
  <c r="AR246" i="4" s="1"/>
  <c r="AX246" i="4" s="1"/>
  <c r="BD246" i="4" s="1"/>
  <c r="AO245" i="4"/>
  <c r="P246" i="4"/>
  <c r="BJ245" i="4"/>
  <c r="AU244" i="4"/>
  <c r="BA244" i="4" s="1"/>
  <c r="BH244" i="4"/>
  <c r="CC246" i="4" l="1"/>
  <c r="AA246" i="4"/>
  <c r="AB246" i="4"/>
  <c r="CD246" i="4"/>
  <c r="BZ246" i="4"/>
  <c r="X246" i="4"/>
  <c r="BK245" i="4"/>
  <c r="AU245" i="4"/>
  <c r="BA245" i="4" s="1"/>
  <c r="BH245" i="4"/>
  <c r="BV245" i="4" s="1"/>
  <c r="BY245" i="4" s="1"/>
  <c r="BV244" i="4"/>
  <c r="BY244" i="4" s="1"/>
  <c r="BL244" i="4"/>
  <c r="S248" i="4"/>
  <c r="CG248" i="4"/>
  <c r="AQ247" i="4"/>
  <c r="AW247" i="4" s="1"/>
  <c r="BO244" i="4"/>
  <c r="BG244" i="4"/>
  <c r="BP244" i="4" s="1"/>
  <c r="BQ244" i="4" s="1"/>
  <c r="W246" i="4"/>
  <c r="CK246" i="4"/>
  <c r="BI246" i="4"/>
  <c r="AL247" i="4"/>
  <c r="AR247" i="4" s="1"/>
  <c r="AX247" i="4" s="1"/>
  <c r="BD247" i="4" s="1"/>
  <c r="M248" i="4"/>
  <c r="BC246" i="4"/>
  <c r="X247" i="4" l="1"/>
  <c r="AJ246" i="4"/>
  <c r="AP246" i="4" s="1"/>
  <c r="AV246" i="4" s="1"/>
  <c r="BB246" i="4"/>
  <c r="AN246" i="4"/>
  <c r="AT246" i="4" s="1"/>
  <c r="AZ246" i="4" s="1"/>
  <c r="AB247" i="4"/>
  <c r="BF246" i="4"/>
  <c r="AA247" i="4"/>
  <c r="AM246" i="4"/>
  <c r="AS246" i="4" s="1"/>
  <c r="AY246" i="4" s="1"/>
  <c r="BE246" i="4" s="1"/>
  <c r="BS246" i="4"/>
  <c r="BI247" i="4"/>
  <c r="CA248" i="4"/>
  <c r="Y248" i="4"/>
  <c r="BO245" i="4"/>
  <c r="BG245" i="4"/>
  <c r="BP245" i="4" s="1"/>
  <c r="BQ245" i="4" s="1"/>
  <c r="BC247" i="4"/>
  <c r="CE246" i="4"/>
  <c r="AC246" i="4"/>
  <c r="BL245" i="4"/>
  <c r="BM244" i="4"/>
  <c r="BN244" i="4" s="1"/>
  <c r="T248" i="4"/>
  <c r="CH248" i="4"/>
  <c r="AM247" i="4" l="1"/>
  <c r="AS247" i="4" s="1"/>
  <c r="AY247" i="4" s="1"/>
  <c r="BE247" i="4" s="1"/>
  <c r="N248" i="4"/>
  <c r="AN247" i="4"/>
  <c r="AT247" i="4" s="1"/>
  <c r="AZ247" i="4" s="1"/>
  <c r="BF247" i="4" s="1"/>
  <c r="O248" i="4"/>
  <c r="AJ247" i="4"/>
  <c r="AP247" i="4" s="1"/>
  <c r="AV247" i="4" s="1"/>
  <c r="BB247" i="4" s="1"/>
  <c r="K248" i="4"/>
  <c r="AK248" i="4"/>
  <c r="Y249" i="4"/>
  <c r="CB248" i="4"/>
  <c r="Z248" i="4"/>
  <c r="AO246" i="4"/>
  <c r="AC247" i="4"/>
  <c r="BJ246" i="4"/>
  <c r="BS247" i="4"/>
  <c r="BM245" i="4"/>
  <c r="BN245" i="4" s="1"/>
  <c r="CF248" i="4" l="1"/>
  <c r="R248" i="4"/>
  <c r="CJ248" i="4"/>
  <c r="V248" i="4"/>
  <c r="CI248" i="4"/>
  <c r="U248" i="4"/>
  <c r="AU246" i="4"/>
  <c r="BA246" i="4" s="1"/>
  <c r="BH246" i="4"/>
  <c r="AO247" i="4"/>
  <c r="P248" i="4"/>
  <c r="BJ247" i="4"/>
  <c r="Z249" i="4"/>
  <c r="AL248" i="4"/>
  <c r="AR248" i="4" s="1"/>
  <c r="AX248" i="4" s="1"/>
  <c r="BD248" i="4" s="1"/>
  <c r="AK249" i="4"/>
  <c r="L250" i="4"/>
  <c r="AQ248" i="4"/>
  <c r="AW248" i="4" s="1"/>
  <c r="BK246" i="4"/>
  <c r="AA248" i="4" l="1"/>
  <c r="CC248" i="4"/>
  <c r="AB248" i="4"/>
  <c r="CD248" i="4"/>
  <c r="BZ248" i="4"/>
  <c r="X248" i="4"/>
  <c r="BC248" i="4"/>
  <c r="AL249" i="4"/>
  <c r="AR249" i="4" s="1"/>
  <c r="AX249" i="4" s="1"/>
  <c r="BD249" i="4" s="1"/>
  <c r="M250" i="4"/>
  <c r="W248" i="4"/>
  <c r="CK248" i="4"/>
  <c r="BI248" i="4"/>
  <c r="AQ249" i="4"/>
  <c r="AW249" i="4" s="1"/>
  <c r="BK247" i="4"/>
  <c r="S250" i="4"/>
  <c r="CG250" i="4"/>
  <c r="BV246" i="4"/>
  <c r="BY246" i="4" s="1"/>
  <c r="BL246" i="4"/>
  <c r="AU247" i="4"/>
  <c r="BA247" i="4" s="1"/>
  <c r="BH247" i="4"/>
  <c r="BV247" i="4" s="1"/>
  <c r="BY247" i="4" s="1"/>
  <c r="BO246" i="4"/>
  <c r="BG246" i="4"/>
  <c r="BP246" i="4" s="1"/>
  <c r="BQ246" i="4" s="1"/>
  <c r="AJ248" i="4" l="1"/>
  <c r="AP248" i="4" s="1"/>
  <c r="AV248" i="4" s="1"/>
  <c r="X249" i="4"/>
  <c r="BB248" i="4"/>
  <c r="AB249" i="4"/>
  <c r="AN248" i="4"/>
  <c r="AT248" i="4" s="1"/>
  <c r="AZ248" i="4" s="1"/>
  <c r="BF248" i="4" s="1"/>
  <c r="AM248" i="4"/>
  <c r="AS248" i="4" s="1"/>
  <c r="AY248" i="4" s="1"/>
  <c r="BE248" i="4" s="1"/>
  <c r="AA249" i="4"/>
  <c r="BO247" i="4"/>
  <c r="BG247" i="4"/>
  <c r="BP247" i="4" s="1"/>
  <c r="BQ247" i="4" s="1"/>
  <c r="BC249" i="4"/>
  <c r="BL247" i="4"/>
  <c r="BM246" i="4"/>
  <c r="BN246" i="4" s="1"/>
  <c r="CE248" i="4"/>
  <c r="AC248" i="4"/>
  <c r="CA250" i="4"/>
  <c r="Y250" i="4"/>
  <c r="BI249" i="4"/>
  <c r="BS248" i="4"/>
  <c r="T250" i="4"/>
  <c r="CH250" i="4"/>
  <c r="AM249" i="4" l="1"/>
  <c r="AS249" i="4" s="1"/>
  <c r="AY249" i="4" s="1"/>
  <c r="BE249" i="4" s="1"/>
  <c r="N250" i="4"/>
  <c r="AN249" i="4"/>
  <c r="AT249" i="4" s="1"/>
  <c r="AZ249" i="4" s="1"/>
  <c r="BF249" i="4" s="1"/>
  <c r="O250" i="4"/>
  <c r="AJ249" i="4"/>
  <c r="AP249" i="4" s="1"/>
  <c r="AV249" i="4" s="1"/>
  <c r="BB249" i="4" s="1"/>
  <c r="K250" i="4"/>
  <c r="CB250" i="4"/>
  <c r="Z250" i="4"/>
  <c r="BM247" i="4"/>
  <c r="BN247" i="4" s="1"/>
  <c r="BS249" i="4"/>
  <c r="AK250" i="4"/>
  <c r="Y251" i="4"/>
  <c r="AC249" i="4"/>
  <c r="AO248" i="4"/>
  <c r="BJ248" i="4"/>
  <c r="R250" i="4" l="1"/>
  <c r="CF250" i="4"/>
  <c r="V250" i="4"/>
  <c r="CJ250" i="4"/>
  <c r="U250" i="4"/>
  <c r="CI250" i="4"/>
  <c r="AQ250" i="4"/>
  <c r="AW250" i="4" s="1"/>
  <c r="AU248" i="4"/>
  <c r="BA248" i="4" s="1"/>
  <c r="BH248" i="4"/>
  <c r="AK251" i="4"/>
  <c r="L252" i="4"/>
  <c r="BK248" i="4"/>
  <c r="AL250" i="4"/>
  <c r="AR250" i="4" s="1"/>
  <c r="AX250" i="4" s="1"/>
  <c r="BD250" i="4" s="1"/>
  <c r="Z251" i="4"/>
  <c r="AO249" i="4"/>
  <c r="P250" i="4"/>
  <c r="BJ249" i="4"/>
  <c r="AA250" i="4" l="1"/>
  <c r="CC250" i="4"/>
  <c r="CD250" i="4"/>
  <c r="AB250" i="4"/>
  <c r="BZ250" i="4"/>
  <c r="X250" i="4"/>
  <c r="W250" i="4"/>
  <c r="CK250" i="4"/>
  <c r="BI250" i="4"/>
  <c r="AU249" i="4"/>
  <c r="BA249" i="4" s="1"/>
  <c r="BH249" i="4"/>
  <c r="BV249" i="4" s="1"/>
  <c r="BY249" i="4" s="1"/>
  <c r="BO248" i="4"/>
  <c r="BG248" i="4"/>
  <c r="BP248" i="4" s="1"/>
  <c r="BQ248" i="4" s="1"/>
  <c r="BK249" i="4"/>
  <c r="S252" i="4"/>
  <c r="CG252" i="4"/>
  <c r="BV248" i="4"/>
  <c r="BY248" i="4" s="1"/>
  <c r="BL248" i="4"/>
  <c r="AL251" i="4"/>
  <c r="AR251" i="4" s="1"/>
  <c r="AX251" i="4" s="1"/>
  <c r="BD251" i="4" s="1"/>
  <c r="M252" i="4"/>
  <c r="AQ251" i="4"/>
  <c r="AW251" i="4" s="1"/>
  <c r="BC250" i="4"/>
  <c r="X251" i="4" l="1"/>
  <c r="AJ250" i="4"/>
  <c r="AP250" i="4" s="1"/>
  <c r="AV250" i="4" s="1"/>
  <c r="BB250" i="4"/>
  <c r="AN250" i="4"/>
  <c r="AT250" i="4" s="1"/>
  <c r="AZ250" i="4" s="1"/>
  <c r="BF250" i="4" s="1"/>
  <c r="AB251" i="4"/>
  <c r="AA251" i="4"/>
  <c r="AM250" i="4"/>
  <c r="AS250" i="4" s="1"/>
  <c r="AY250" i="4" s="1"/>
  <c r="BE250" i="4" s="1"/>
  <c r="CA252" i="4"/>
  <c r="Y252" i="4"/>
  <c r="BO249" i="4"/>
  <c r="BG249" i="4"/>
  <c r="BP249" i="4" s="1"/>
  <c r="BQ249" i="4" s="1"/>
  <c r="BL249" i="4"/>
  <c r="BM248" i="4"/>
  <c r="BN248" i="4" s="1"/>
  <c r="BC251" i="4"/>
  <c r="T252" i="4"/>
  <c r="CH252" i="4"/>
  <c r="BI251" i="4"/>
  <c r="BS250" i="4"/>
  <c r="CE250" i="4"/>
  <c r="AC250" i="4"/>
  <c r="AN251" i="4" l="1"/>
  <c r="AT251" i="4" s="1"/>
  <c r="AZ251" i="4" s="1"/>
  <c r="BF251" i="4" s="1"/>
  <c r="O252" i="4"/>
  <c r="N252" i="4"/>
  <c r="AM251" i="4"/>
  <c r="AS251" i="4" s="1"/>
  <c r="AY251" i="4" s="1"/>
  <c r="BE251" i="4" s="1"/>
  <c r="K252" i="4"/>
  <c r="AJ251" i="4"/>
  <c r="AP251" i="4" s="1"/>
  <c r="AV251" i="4" s="1"/>
  <c r="BB251" i="4" s="1"/>
  <c r="CB252" i="4"/>
  <c r="Z252" i="4"/>
  <c r="AK252" i="4"/>
  <c r="Y253" i="4"/>
  <c r="AC251" i="4"/>
  <c r="AO250" i="4"/>
  <c r="BJ250" i="4"/>
  <c r="BS251" i="4"/>
  <c r="BM249" i="4"/>
  <c r="BN249" i="4" s="1"/>
  <c r="U252" i="4" l="1"/>
  <c r="CI252" i="4"/>
  <c r="CF252" i="4"/>
  <c r="R252" i="4"/>
  <c r="CJ252" i="4"/>
  <c r="V252" i="4"/>
  <c r="AK253" i="4"/>
  <c r="L254" i="4"/>
  <c r="Z253" i="4"/>
  <c r="AL252" i="4"/>
  <c r="AR252" i="4" s="1"/>
  <c r="AX252" i="4" s="1"/>
  <c r="BD252" i="4" s="1"/>
  <c r="AU250" i="4"/>
  <c r="BA250" i="4" s="1"/>
  <c r="BH250" i="4"/>
  <c r="AO251" i="4"/>
  <c r="P252" i="4"/>
  <c r="BJ251" i="4"/>
  <c r="AQ252" i="4"/>
  <c r="AW252" i="4" s="1"/>
  <c r="BK250" i="4"/>
  <c r="CD252" i="4" l="1"/>
  <c r="AB252" i="4"/>
  <c r="BZ252" i="4"/>
  <c r="X252" i="4"/>
  <c r="AA252" i="4"/>
  <c r="CC252" i="4"/>
  <c r="AU251" i="4"/>
  <c r="BA251" i="4" s="1"/>
  <c r="BH251" i="4"/>
  <c r="BV251" i="4" s="1"/>
  <c r="BY251" i="4" s="1"/>
  <c r="BC252" i="4"/>
  <c r="AL253" i="4"/>
  <c r="AR253" i="4" s="1"/>
  <c r="AX253" i="4" s="1"/>
  <c r="BD253" i="4" s="1"/>
  <c r="M254" i="4"/>
  <c r="CK252" i="4"/>
  <c r="W252" i="4"/>
  <c r="BI252" i="4"/>
  <c r="BV250" i="4"/>
  <c r="BY250" i="4" s="1"/>
  <c r="BL250" i="4"/>
  <c r="AQ253" i="4"/>
  <c r="AW253" i="4" s="1"/>
  <c r="BK251" i="4"/>
  <c r="S254" i="4"/>
  <c r="CG254" i="4"/>
  <c r="BO250" i="4"/>
  <c r="BG250" i="4"/>
  <c r="BP250" i="4" s="1"/>
  <c r="BQ250" i="4" s="1"/>
  <c r="AA253" i="4" l="1"/>
  <c r="AM252" i="4"/>
  <c r="AS252" i="4" s="1"/>
  <c r="AY252" i="4" s="1"/>
  <c r="BE252" i="4" s="1"/>
  <c r="X253" i="4"/>
  <c r="AJ252" i="4"/>
  <c r="AP252" i="4" s="1"/>
  <c r="AV252" i="4" s="1"/>
  <c r="BB252" i="4" s="1"/>
  <c r="AB253" i="4"/>
  <c r="AN252" i="4"/>
  <c r="AT252" i="4" s="1"/>
  <c r="AZ252" i="4" s="1"/>
  <c r="BF252" i="4" s="1"/>
  <c r="BL251" i="4"/>
  <c r="BM250" i="4"/>
  <c r="BN250" i="4" s="1"/>
  <c r="CE252" i="4"/>
  <c r="AC252" i="4"/>
  <c r="T254" i="4"/>
  <c r="CH254" i="4"/>
  <c r="BC253" i="4"/>
  <c r="BI253" i="4"/>
  <c r="BS252" i="4"/>
  <c r="BO251" i="4"/>
  <c r="BG251" i="4"/>
  <c r="BP251" i="4" s="1"/>
  <c r="BQ251" i="4" s="1"/>
  <c r="CA254" i="4"/>
  <c r="Y254" i="4"/>
  <c r="AN253" i="4" l="1"/>
  <c r="AT253" i="4" s="1"/>
  <c r="AZ253" i="4" s="1"/>
  <c r="BF253" i="4"/>
  <c r="O254" i="4"/>
  <c r="AJ253" i="4"/>
  <c r="AP253" i="4" s="1"/>
  <c r="AV253" i="4" s="1"/>
  <c r="BB253" i="4" s="1"/>
  <c r="K254" i="4"/>
  <c r="AM253" i="4"/>
  <c r="AS253" i="4" s="1"/>
  <c r="AY253" i="4" s="1"/>
  <c r="BE253" i="4" s="1"/>
  <c r="N254" i="4"/>
  <c r="AC253" i="4"/>
  <c r="AO252" i="4"/>
  <c r="BJ252" i="4"/>
  <c r="CB254" i="4"/>
  <c r="Z254" i="4"/>
  <c r="Y255" i="4"/>
  <c r="AK254" i="4"/>
  <c r="BS253" i="4"/>
  <c r="BM251" i="4"/>
  <c r="BN251" i="4" s="1"/>
  <c r="CF254" i="4" l="1"/>
  <c r="R254" i="4"/>
  <c r="U254" i="4"/>
  <c r="CI254" i="4"/>
  <c r="V254" i="4"/>
  <c r="CJ254" i="4"/>
  <c r="AQ254" i="4"/>
  <c r="AW254" i="4" s="1"/>
  <c r="AU252" i="4"/>
  <c r="BA252" i="4" s="1"/>
  <c r="BH252" i="4"/>
  <c r="AK255" i="4"/>
  <c r="L256" i="4"/>
  <c r="AO253" i="4"/>
  <c r="P254" i="4"/>
  <c r="BJ253" i="4"/>
  <c r="Z255" i="4"/>
  <c r="AL254" i="4"/>
  <c r="AR254" i="4" s="1"/>
  <c r="AX254" i="4" s="1"/>
  <c r="BD254" i="4" s="1"/>
  <c r="BK252" i="4"/>
  <c r="AB254" i="4" l="1"/>
  <c r="CD254" i="4"/>
  <c r="AA254" i="4"/>
  <c r="CC254" i="4"/>
  <c r="BZ254" i="4"/>
  <c r="X254" i="4"/>
  <c r="AQ255" i="4"/>
  <c r="AW255" i="4" s="1"/>
  <c r="W254" i="4"/>
  <c r="CK254" i="4"/>
  <c r="BI254" i="4"/>
  <c r="S256" i="4"/>
  <c r="CG256" i="4"/>
  <c r="BK253" i="4"/>
  <c r="BO252" i="4"/>
  <c r="BG252" i="4"/>
  <c r="BP252" i="4" s="1"/>
  <c r="BQ252" i="4" s="1"/>
  <c r="AL255" i="4"/>
  <c r="AR255" i="4" s="1"/>
  <c r="AX255" i="4" s="1"/>
  <c r="BD255" i="4" s="1"/>
  <c r="M256" i="4"/>
  <c r="AU253" i="4"/>
  <c r="BA253" i="4" s="1"/>
  <c r="BH253" i="4"/>
  <c r="BV253" i="4" s="1"/>
  <c r="BY253" i="4" s="1"/>
  <c r="BV252" i="4"/>
  <c r="BY252" i="4" s="1"/>
  <c r="BL252" i="4"/>
  <c r="BC254" i="4"/>
  <c r="X255" i="4" l="1"/>
  <c r="AJ254" i="4"/>
  <c r="AP254" i="4" s="1"/>
  <c r="AV254" i="4" s="1"/>
  <c r="BB254" i="4"/>
  <c r="AA255" i="4"/>
  <c r="AM254" i="4"/>
  <c r="AS254" i="4" s="1"/>
  <c r="AY254" i="4" s="1"/>
  <c r="BE254" i="4" s="1"/>
  <c r="AB255" i="4"/>
  <c r="AN254" i="4"/>
  <c r="AT254" i="4" s="1"/>
  <c r="AZ254" i="4" s="1"/>
  <c r="BF254" i="4" s="1"/>
  <c r="CE254" i="4"/>
  <c r="AC254" i="4"/>
  <c r="T256" i="4"/>
  <c r="CH256" i="4"/>
  <c r="BI255" i="4"/>
  <c r="BS254" i="4"/>
  <c r="BC255" i="4"/>
  <c r="CA256" i="4"/>
  <c r="Y256" i="4"/>
  <c r="BL253" i="4"/>
  <c r="BM252" i="4"/>
  <c r="BN252" i="4" s="1"/>
  <c r="BO253" i="4"/>
  <c r="BG253" i="4"/>
  <c r="BP253" i="4" s="1"/>
  <c r="BQ253" i="4" s="1"/>
  <c r="AN255" i="4" l="1"/>
  <c r="AT255" i="4" s="1"/>
  <c r="AZ255" i="4" s="1"/>
  <c r="BF255" i="4" s="1"/>
  <c r="O256" i="4"/>
  <c r="N256" i="4"/>
  <c r="AM255" i="4"/>
  <c r="AS255" i="4" s="1"/>
  <c r="AY255" i="4" s="1"/>
  <c r="BE255" i="4" s="1"/>
  <c r="AJ255" i="4"/>
  <c r="AP255" i="4" s="1"/>
  <c r="AV255" i="4" s="1"/>
  <c r="BB255" i="4" s="1"/>
  <c r="K256" i="4"/>
  <c r="AC255" i="4"/>
  <c r="AO254" i="4"/>
  <c r="BJ254" i="4"/>
  <c r="BM253" i="4"/>
  <c r="BN253" i="4" s="1"/>
  <c r="Y257" i="4"/>
  <c r="AK256" i="4"/>
  <c r="CB256" i="4"/>
  <c r="Z256" i="4"/>
  <c r="BS255" i="4"/>
  <c r="R256" i="4" l="1"/>
  <c r="CF256" i="4"/>
  <c r="U256" i="4"/>
  <c r="CI256" i="4"/>
  <c r="V256" i="4"/>
  <c r="CJ256" i="4"/>
  <c r="AK257" i="4"/>
  <c r="L258" i="4"/>
  <c r="AQ256" i="4"/>
  <c r="AW256" i="4" s="1"/>
  <c r="AU254" i="4"/>
  <c r="BA254" i="4" s="1"/>
  <c r="BH254" i="4"/>
  <c r="Z257" i="4"/>
  <c r="AL256" i="4"/>
  <c r="AR256" i="4" s="1"/>
  <c r="AX256" i="4" s="1"/>
  <c r="BD256" i="4" s="1"/>
  <c r="BK254" i="4"/>
  <c r="AO255" i="4"/>
  <c r="P256" i="4"/>
  <c r="BJ255" i="4"/>
  <c r="CD256" i="4" l="1"/>
  <c r="AB256" i="4"/>
  <c r="CC256" i="4"/>
  <c r="AA256" i="4"/>
  <c r="BZ256" i="4"/>
  <c r="X256" i="4"/>
  <c r="BK255" i="4"/>
  <c r="BV254" i="4"/>
  <c r="BY254" i="4" s="1"/>
  <c r="BL254" i="4"/>
  <c r="AU255" i="4"/>
  <c r="BA255" i="4" s="1"/>
  <c r="BH255" i="4"/>
  <c r="BV255" i="4" s="1"/>
  <c r="BY255" i="4" s="1"/>
  <c r="AL257" i="4"/>
  <c r="AR257" i="4" s="1"/>
  <c r="AX257" i="4" s="1"/>
  <c r="BD257" i="4" s="1"/>
  <c r="M258" i="4"/>
  <c r="BO254" i="4"/>
  <c r="BG254" i="4"/>
  <c r="BP254" i="4" s="1"/>
  <c r="BQ254" i="4" s="1"/>
  <c r="BC256" i="4"/>
  <c r="S258" i="4"/>
  <c r="CG258" i="4"/>
  <c r="AQ257" i="4"/>
  <c r="AW257" i="4" s="1"/>
  <c r="W256" i="4"/>
  <c r="CK256" i="4"/>
  <c r="BI256" i="4"/>
  <c r="X257" i="4" l="1"/>
  <c r="AJ256" i="4"/>
  <c r="AP256" i="4" s="1"/>
  <c r="AV256" i="4" s="1"/>
  <c r="BB256" i="4"/>
  <c r="AM256" i="4"/>
  <c r="AS256" i="4" s="1"/>
  <c r="AY256" i="4" s="1"/>
  <c r="BE256" i="4" s="1"/>
  <c r="AA257" i="4"/>
  <c r="AB257" i="4"/>
  <c r="AN256" i="4"/>
  <c r="AT256" i="4" s="1"/>
  <c r="AZ256" i="4" s="1"/>
  <c r="BF256" i="4" s="1"/>
  <c r="BL255" i="4"/>
  <c r="BM254" i="4"/>
  <c r="BN254" i="4" s="1"/>
  <c r="BO255" i="4"/>
  <c r="BG255" i="4"/>
  <c r="BP255" i="4" s="1"/>
  <c r="BQ255" i="4" s="1"/>
  <c r="BC257" i="4"/>
  <c r="CA258" i="4"/>
  <c r="Y258" i="4"/>
  <c r="T258" i="4"/>
  <c r="CH258" i="4"/>
  <c r="BS256" i="4"/>
  <c r="BI257" i="4"/>
  <c r="CE256" i="4"/>
  <c r="AC256" i="4"/>
  <c r="O258" i="4" l="1"/>
  <c r="AN257" i="4"/>
  <c r="AT257" i="4" s="1"/>
  <c r="AZ257" i="4" s="1"/>
  <c r="BF257" i="4"/>
  <c r="N258" i="4"/>
  <c r="AM257" i="4"/>
  <c r="AS257" i="4" s="1"/>
  <c r="AY257" i="4" s="1"/>
  <c r="BE257" i="4" s="1"/>
  <c r="AJ257" i="4"/>
  <c r="AP257" i="4" s="1"/>
  <c r="AV257" i="4" s="1"/>
  <c r="BB257" i="4" s="1"/>
  <c r="K258" i="4"/>
  <c r="AO256" i="4"/>
  <c r="AC257" i="4"/>
  <c r="BJ256" i="4"/>
  <c r="BS257" i="4"/>
  <c r="AK258" i="4"/>
  <c r="Y259" i="4"/>
  <c r="BM255" i="4"/>
  <c r="BN255" i="4" s="1"/>
  <c r="CB258" i="4"/>
  <c r="Z258" i="4"/>
  <c r="R258" i="4" l="1"/>
  <c r="CF258" i="4"/>
  <c r="U258" i="4"/>
  <c r="CI258" i="4"/>
  <c r="CJ258" i="4"/>
  <c r="V258" i="4"/>
  <c r="AL258" i="4"/>
  <c r="AR258" i="4" s="1"/>
  <c r="AX258" i="4" s="1"/>
  <c r="BD258" i="4" s="1"/>
  <c r="Z259" i="4"/>
  <c r="AQ258" i="4"/>
  <c r="AW258" i="4" s="1"/>
  <c r="BK256" i="4"/>
  <c r="AK259" i="4"/>
  <c r="L260" i="4"/>
  <c r="AO257" i="4"/>
  <c r="P258" i="4"/>
  <c r="BJ257" i="4"/>
  <c r="AU256" i="4"/>
  <c r="BA256" i="4" s="1"/>
  <c r="BH256" i="4"/>
  <c r="AB258" i="4" l="1"/>
  <c r="CD258" i="4"/>
  <c r="CC258" i="4"/>
  <c r="AA258" i="4"/>
  <c r="BZ258" i="4"/>
  <c r="X258" i="4"/>
  <c r="AL259" i="4"/>
  <c r="AR259" i="4" s="1"/>
  <c r="AX259" i="4" s="1"/>
  <c r="BD259" i="4" s="1"/>
  <c r="M260" i="4"/>
  <c r="BO256" i="4"/>
  <c r="BG256" i="4"/>
  <c r="BP256" i="4" s="1"/>
  <c r="BQ256" i="4" s="1"/>
  <c r="W258" i="4"/>
  <c r="CK258" i="4"/>
  <c r="BI258" i="4"/>
  <c r="AU257" i="4"/>
  <c r="BA257" i="4" s="1"/>
  <c r="BH257" i="4"/>
  <c r="BV257" i="4" s="1"/>
  <c r="BY257" i="4" s="1"/>
  <c r="S260" i="4"/>
  <c r="CG260" i="4"/>
  <c r="BK257" i="4"/>
  <c r="AQ259" i="4"/>
  <c r="AW259" i="4" s="1"/>
  <c r="BV256" i="4"/>
  <c r="BY256" i="4" s="1"/>
  <c r="BL256" i="4"/>
  <c r="BC258" i="4"/>
  <c r="X259" i="4" l="1"/>
  <c r="AJ258" i="4"/>
  <c r="AP258" i="4" s="1"/>
  <c r="AV258" i="4" s="1"/>
  <c r="BB258" i="4"/>
  <c r="AM258" i="4"/>
  <c r="AS258" i="4" s="1"/>
  <c r="AY258" i="4" s="1"/>
  <c r="AA259" i="4"/>
  <c r="BE258" i="4"/>
  <c r="AB259" i="4"/>
  <c r="AN258" i="4"/>
  <c r="AT258" i="4" s="1"/>
  <c r="AZ258" i="4" s="1"/>
  <c r="BF258" i="4" s="1"/>
  <c r="CH260" i="4"/>
  <c r="T260" i="4"/>
  <c r="CA260" i="4"/>
  <c r="Y260" i="4"/>
  <c r="BO257" i="4"/>
  <c r="BG257" i="4"/>
  <c r="BP257" i="4" s="1"/>
  <c r="BQ257" i="4" s="1"/>
  <c r="CE258" i="4"/>
  <c r="AC258" i="4"/>
  <c r="BI259" i="4"/>
  <c r="BS258" i="4"/>
  <c r="BL257" i="4"/>
  <c r="BM256" i="4"/>
  <c r="BN256" i="4" s="1"/>
  <c r="BC259" i="4"/>
  <c r="AM259" i="4" l="1"/>
  <c r="AS259" i="4" s="1"/>
  <c r="AY259" i="4" s="1"/>
  <c r="BE259" i="4" s="1"/>
  <c r="N260" i="4"/>
  <c r="O260" i="4"/>
  <c r="AN259" i="4"/>
  <c r="AT259" i="4" s="1"/>
  <c r="AZ259" i="4" s="1"/>
  <c r="BF259" i="4" s="1"/>
  <c r="AJ259" i="4"/>
  <c r="AP259" i="4" s="1"/>
  <c r="AV259" i="4" s="1"/>
  <c r="BB259" i="4" s="1"/>
  <c r="K260" i="4"/>
  <c r="BS259" i="4"/>
  <c r="BM257" i="4"/>
  <c r="BN257" i="4" s="1"/>
  <c r="CB260" i="4"/>
  <c r="Z260" i="4"/>
  <c r="AO258" i="4"/>
  <c r="AC259" i="4"/>
  <c r="BJ258" i="4"/>
  <c r="Y261" i="4"/>
  <c r="AK260" i="4"/>
  <c r="CF260" i="4" l="1"/>
  <c r="R260" i="4"/>
  <c r="CJ260" i="4"/>
  <c r="V260" i="4"/>
  <c r="CI260" i="4"/>
  <c r="U260" i="4"/>
  <c r="Z261" i="4"/>
  <c r="AL260" i="4"/>
  <c r="AR260" i="4" s="1"/>
  <c r="AX260" i="4" s="1"/>
  <c r="BD260" i="4" s="1"/>
  <c r="BK258" i="4"/>
  <c r="AO259" i="4"/>
  <c r="P260" i="4"/>
  <c r="BJ259" i="4"/>
  <c r="AQ260" i="4"/>
  <c r="AW260" i="4" s="1"/>
  <c r="AK261" i="4"/>
  <c r="L262" i="4"/>
  <c r="AU258" i="4"/>
  <c r="BA258" i="4" s="1"/>
  <c r="BH258" i="4"/>
  <c r="CC260" i="4" l="1"/>
  <c r="AA260" i="4"/>
  <c r="AB260" i="4"/>
  <c r="CD260" i="4"/>
  <c r="BZ260" i="4"/>
  <c r="X260" i="4"/>
  <c r="BO258" i="4"/>
  <c r="BG258" i="4"/>
  <c r="BP258" i="4" s="1"/>
  <c r="BQ258" i="4" s="1"/>
  <c r="W260" i="4"/>
  <c r="CK260" i="4"/>
  <c r="BI260" i="4"/>
  <c r="S262" i="4"/>
  <c r="CG262" i="4"/>
  <c r="BV258" i="4"/>
  <c r="BY258" i="4" s="1"/>
  <c r="BL258" i="4"/>
  <c r="BK259" i="4"/>
  <c r="AU259" i="4"/>
  <c r="BA259" i="4" s="1"/>
  <c r="BH259" i="4"/>
  <c r="BV259" i="4" s="1"/>
  <c r="BY259" i="4" s="1"/>
  <c r="BC260" i="4"/>
  <c r="AQ261" i="4"/>
  <c r="AW261" i="4" s="1"/>
  <c r="AL261" i="4"/>
  <c r="AR261" i="4" s="1"/>
  <c r="AX261" i="4" s="1"/>
  <c r="BD261" i="4" s="1"/>
  <c r="M262" i="4"/>
  <c r="AJ260" i="4" l="1"/>
  <c r="AP260" i="4" s="1"/>
  <c r="AV260" i="4" s="1"/>
  <c r="X261" i="4"/>
  <c r="BB260" i="4"/>
  <c r="AN260" i="4"/>
  <c r="AT260" i="4" s="1"/>
  <c r="AZ260" i="4" s="1"/>
  <c r="BF260" i="4" s="1"/>
  <c r="AB261" i="4"/>
  <c r="AM260" i="4"/>
  <c r="AS260" i="4" s="1"/>
  <c r="AY260" i="4" s="1"/>
  <c r="BE260" i="4" s="1"/>
  <c r="AA261" i="4"/>
  <c r="T262" i="4"/>
  <c r="CH262" i="4"/>
  <c r="CE260" i="4"/>
  <c r="AC260" i="4"/>
  <c r="BC261" i="4"/>
  <c r="BL259" i="4"/>
  <c r="BM258" i="4"/>
  <c r="BN258" i="4" s="1"/>
  <c r="CA262" i="4"/>
  <c r="Y262" i="4"/>
  <c r="BI261" i="4"/>
  <c r="BS260" i="4"/>
  <c r="BO259" i="4"/>
  <c r="BG259" i="4"/>
  <c r="BP259" i="4" s="1"/>
  <c r="BQ259" i="4" s="1"/>
  <c r="N262" i="4" l="1"/>
  <c r="AM261" i="4"/>
  <c r="AS261" i="4" s="1"/>
  <c r="AY261" i="4" s="1"/>
  <c r="BE261" i="4" s="1"/>
  <c r="O262" i="4"/>
  <c r="AN261" i="4"/>
  <c r="AT261" i="4" s="1"/>
  <c r="AZ261" i="4" s="1"/>
  <c r="BF261" i="4" s="1"/>
  <c r="AJ261" i="4"/>
  <c r="AP261" i="4" s="1"/>
  <c r="AV261" i="4" s="1"/>
  <c r="BB261" i="4" s="1"/>
  <c r="K262" i="4"/>
  <c r="Y263" i="4"/>
  <c r="AK262" i="4"/>
  <c r="AC261" i="4"/>
  <c r="AO260" i="4"/>
  <c r="BJ260" i="4"/>
  <c r="BS261" i="4"/>
  <c r="BM259" i="4"/>
  <c r="BN259" i="4" s="1"/>
  <c r="CB262" i="4"/>
  <c r="Z262" i="4"/>
  <c r="CF262" i="4" l="1"/>
  <c r="R262" i="4"/>
  <c r="V262" i="4"/>
  <c r="CJ262" i="4"/>
  <c r="CI262" i="4"/>
  <c r="U262" i="4"/>
  <c r="BK260" i="4"/>
  <c r="AU260" i="4"/>
  <c r="BA260" i="4" s="1"/>
  <c r="BH260" i="4"/>
  <c r="AO261" i="4"/>
  <c r="P262" i="4"/>
  <c r="BJ261" i="4"/>
  <c r="AL262" i="4"/>
  <c r="AR262" i="4" s="1"/>
  <c r="AX262" i="4" s="1"/>
  <c r="BD262" i="4" s="1"/>
  <c r="Z263" i="4"/>
  <c r="AQ262" i="4"/>
  <c r="AW262" i="4" s="1"/>
  <c r="AK263" i="4"/>
  <c r="L264" i="4"/>
  <c r="CC262" i="4" l="1"/>
  <c r="AA262" i="4"/>
  <c r="AB262" i="4"/>
  <c r="CD262" i="4"/>
  <c r="BZ262" i="4"/>
  <c r="X262" i="4"/>
  <c r="BK261" i="4"/>
  <c r="AU261" i="4"/>
  <c r="BA261" i="4" s="1"/>
  <c r="BH261" i="4"/>
  <c r="BV261" i="4" s="1"/>
  <c r="BY261" i="4" s="1"/>
  <c r="AQ263" i="4"/>
  <c r="AW263" i="4" s="1"/>
  <c r="BV260" i="4"/>
  <c r="BY260" i="4" s="1"/>
  <c r="BL260" i="4"/>
  <c r="BO260" i="4"/>
  <c r="BG260" i="4"/>
  <c r="BP260" i="4" s="1"/>
  <c r="BQ260" i="4" s="1"/>
  <c r="W262" i="4"/>
  <c r="CK262" i="4"/>
  <c r="BI262" i="4"/>
  <c r="S264" i="4"/>
  <c r="CG264" i="4"/>
  <c r="BC262" i="4"/>
  <c r="AL263" i="4"/>
  <c r="AR263" i="4" s="1"/>
  <c r="AX263" i="4" s="1"/>
  <c r="BD263" i="4" s="1"/>
  <c r="M264" i="4"/>
  <c r="AJ262" i="4" l="1"/>
  <c r="AP262" i="4" s="1"/>
  <c r="AV262" i="4" s="1"/>
  <c r="X263" i="4"/>
  <c r="BB262" i="4"/>
  <c r="AB263" i="4"/>
  <c r="AN262" i="4"/>
  <c r="AT262" i="4" s="1"/>
  <c r="AZ262" i="4" s="1"/>
  <c r="BF262" i="4" s="1"/>
  <c r="AM262" i="4"/>
  <c r="AS262" i="4" s="1"/>
  <c r="AY262" i="4" s="1"/>
  <c r="BE262" i="4" s="1"/>
  <c r="AA263" i="4"/>
  <c r="BS262" i="4"/>
  <c r="BI263" i="4"/>
  <c r="BC263" i="4"/>
  <c r="BO261" i="4"/>
  <c r="BG261" i="4"/>
  <c r="BP261" i="4" s="1"/>
  <c r="BQ261" i="4" s="1"/>
  <c r="CE262" i="4"/>
  <c r="AC262" i="4"/>
  <c r="T264" i="4"/>
  <c r="CH264" i="4"/>
  <c r="CA264" i="4"/>
  <c r="Y264" i="4"/>
  <c r="BL261" i="4"/>
  <c r="BM260" i="4"/>
  <c r="BN260" i="4" s="1"/>
  <c r="AM263" i="4" l="1"/>
  <c r="AS263" i="4" s="1"/>
  <c r="AY263" i="4" s="1"/>
  <c r="BE263" i="4" s="1"/>
  <c r="N264" i="4"/>
  <c r="O264" i="4"/>
  <c r="AN263" i="4"/>
  <c r="AT263" i="4" s="1"/>
  <c r="AZ263" i="4" s="1"/>
  <c r="BF263" i="4" s="1"/>
  <c r="AJ263" i="4"/>
  <c r="AP263" i="4" s="1"/>
  <c r="AV263" i="4" s="1"/>
  <c r="BB263" i="4" s="1"/>
  <c r="K264" i="4"/>
  <c r="CB264" i="4"/>
  <c r="Z264" i="4"/>
  <c r="AK264" i="4"/>
  <c r="Y265" i="4"/>
  <c r="AC263" i="4"/>
  <c r="AO262" i="4"/>
  <c r="BJ262" i="4"/>
  <c r="BS263" i="4"/>
  <c r="BM261" i="4"/>
  <c r="BN261" i="4" s="1"/>
  <c r="R264" i="4" l="1"/>
  <c r="CF264" i="4"/>
  <c r="V264" i="4"/>
  <c r="CJ264" i="4"/>
  <c r="U264" i="4"/>
  <c r="CI264" i="4"/>
  <c r="AQ264" i="4"/>
  <c r="AW264" i="4" s="1"/>
  <c r="AU262" i="4"/>
  <c r="BA262" i="4" s="1"/>
  <c r="BH262" i="4"/>
  <c r="AL264" i="4"/>
  <c r="AR264" i="4" s="1"/>
  <c r="AX264" i="4" s="1"/>
  <c r="BD264" i="4" s="1"/>
  <c r="Z265" i="4"/>
  <c r="AK265" i="4"/>
  <c r="L266" i="4"/>
  <c r="BK262" i="4"/>
  <c r="AO263" i="4"/>
  <c r="P264" i="4"/>
  <c r="BJ263" i="4"/>
  <c r="CC264" i="4" l="1"/>
  <c r="AA264" i="4"/>
  <c r="AB264" i="4"/>
  <c r="CD264" i="4"/>
  <c r="BZ264" i="4"/>
  <c r="X264" i="4"/>
  <c r="BO262" i="4"/>
  <c r="BG262" i="4"/>
  <c r="BP262" i="4" s="1"/>
  <c r="BQ262" i="4" s="1"/>
  <c r="AL265" i="4"/>
  <c r="AR265" i="4" s="1"/>
  <c r="AX265" i="4" s="1"/>
  <c r="BD265" i="4" s="1"/>
  <c r="M266" i="4"/>
  <c r="W264" i="4"/>
  <c r="CK264" i="4"/>
  <c r="BI264" i="4"/>
  <c r="S266" i="4"/>
  <c r="CG266" i="4"/>
  <c r="AQ265" i="4"/>
  <c r="AW265" i="4" s="1"/>
  <c r="BK263" i="4"/>
  <c r="BV262" i="4"/>
  <c r="BY262" i="4" s="1"/>
  <c r="BL262" i="4"/>
  <c r="AU263" i="4"/>
  <c r="BA263" i="4" s="1"/>
  <c r="BH263" i="4"/>
  <c r="BV263" i="4" s="1"/>
  <c r="BY263" i="4" s="1"/>
  <c r="BC264" i="4"/>
  <c r="X265" i="4" l="1"/>
  <c r="AJ264" i="4"/>
  <c r="AP264" i="4" s="1"/>
  <c r="AV264" i="4" s="1"/>
  <c r="BB264" i="4"/>
  <c r="AB265" i="4"/>
  <c r="AN264" i="4"/>
  <c r="AT264" i="4" s="1"/>
  <c r="AZ264" i="4" s="1"/>
  <c r="BF264" i="4" s="1"/>
  <c r="AM264" i="4"/>
  <c r="AS264" i="4" s="1"/>
  <c r="AY264" i="4" s="1"/>
  <c r="BE264" i="4" s="1"/>
  <c r="AA265" i="4"/>
  <c r="T266" i="4"/>
  <c r="CH266" i="4"/>
  <c r="CE264" i="4"/>
  <c r="AC264" i="4"/>
  <c r="BO263" i="4"/>
  <c r="BG263" i="4"/>
  <c r="BP263" i="4" s="1"/>
  <c r="BQ263" i="4" s="1"/>
  <c r="BL263" i="4"/>
  <c r="BM262" i="4"/>
  <c r="BN262" i="4" s="1"/>
  <c r="BC265" i="4"/>
  <c r="CA266" i="4"/>
  <c r="Y266" i="4"/>
  <c r="BI265" i="4"/>
  <c r="BS264" i="4"/>
  <c r="N266" i="4" l="1"/>
  <c r="AM265" i="4"/>
  <c r="AS265" i="4" s="1"/>
  <c r="AY265" i="4" s="1"/>
  <c r="BE265" i="4" s="1"/>
  <c r="O266" i="4"/>
  <c r="AN265" i="4"/>
  <c r="AT265" i="4" s="1"/>
  <c r="AZ265" i="4" s="1"/>
  <c r="BF265" i="4" s="1"/>
  <c r="K266" i="4"/>
  <c r="AJ265" i="4"/>
  <c r="AP265" i="4" s="1"/>
  <c r="AV265" i="4" s="1"/>
  <c r="BB265" i="4" s="1"/>
  <c r="BM263" i="4"/>
  <c r="BN263" i="4" s="1"/>
  <c r="AO264" i="4"/>
  <c r="AC265" i="4"/>
  <c r="BJ264" i="4"/>
  <c r="BS265" i="4"/>
  <c r="Y267" i="4"/>
  <c r="AK266" i="4"/>
  <c r="CB266" i="4"/>
  <c r="Z266" i="4"/>
  <c r="CJ266" i="4" l="1"/>
  <c r="V266" i="4"/>
  <c r="R266" i="4"/>
  <c r="CF266" i="4"/>
  <c r="U266" i="4"/>
  <c r="CI266" i="4"/>
  <c r="AK267" i="4"/>
  <c r="L268" i="4"/>
  <c r="AQ266" i="4"/>
  <c r="AW266" i="4" s="1"/>
  <c r="AL266" i="4"/>
  <c r="AR266" i="4" s="1"/>
  <c r="AX266" i="4" s="1"/>
  <c r="BD266" i="4" s="1"/>
  <c r="Z267" i="4"/>
  <c r="AU264" i="4"/>
  <c r="BA264" i="4" s="1"/>
  <c r="BH264" i="4"/>
  <c r="BK264" i="4"/>
  <c r="AO265" i="4"/>
  <c r="P266" i="4"/>
  <c r="BJ265" i="4"/>
  <c r="AA266" i="4" l="1"/>
  <c r="CC266" i="4"/>
  <c r="BZ266" i="4"/>
  <c r="X266" i="4"/>
  <c r="CD266" i="4"/>
  <c r="AB266" i="4"/>
  <c r="BK265" i="4"/>
  <c r="BC266" i="4"/>
  <c r="S268" i="4"/>
  <c r="CG268" i="4"/>
  <c r="AQ267" i="4"/>
  <c r="AW267" i="4" s="1"/>
  <c r="AU265" i="4"/>
  <c r="BA265" i="4" s="1"/>
  <c r="BH265" i="4"/>
  <c r="BV265" i="4" s="1"/>
  <c r="BY265" i="4" s="1"/>
  <c r="BO264" i="4"/>
  <c r="BG264" i="4"/>
  <c r="BP264" i="4" s="1"/>
  <c r="BQ264" i="4" s="1"/>
  <c r="AL267" i="4"/>
  <c r="AR267" i="4" s="1"/>
  <c r="AX267" i="4" s="1"/>
  <c r="BD267" i="4" s="1"/>
  <c r="M268" i="4"/>
  <c r="W266" i="4"/>
  <c r="CK266" i="4"/>
  <c r="BI266" i="4"/>
  <c r="BV264" i="4"/>
  <c r="BY264" i="4" s="1"/>
  <c r="BL264" i="4"/>
  <c r="AN266" i="4" l="1"/>
  <c r="AT266" i="4" s="1"/>
  <c r="AZ266" i="4" s="1"/>
  <c r="BF266" i="4" s="1"/>
  <c r="AB267" i="4"/>
  <c r="X267" i="4"/>
  <c r="AJ266" i="4"/>
  <c r="AP266" i="4" s="1"/>
  <c r="AV266" i="4" s="1"/>
  <c r="BB266" i="4" s="1"/>
  <c r="AA267" i="4"/>
  <c r="AM266" i="4"/>
  <c r="AS266" i="4" s="1"/>
  <c r="AY266" i="4" s="1"/>
  <c r="BE266" i="4" s="1"/>
  <c r="BL265" i="4"/>
  <c r="BM264" i="4"/>
  <c r="BN264" i="4" s="1"/>
  <c r="BC267" i="4"/>
  <c r="CA268" i="4"/>
  <c r="Y268" i="4"/>
  <c r="BI267" i="4"/>
  <c r="BS266" i="4"/>
  <c r="BO265" i="4"/>
  <c r="BG265" i="4"/>
  <c r="BP265" i="4" s="1"/>
  <c r="BQ265" i="4" s="1"/>
  <c r="T268" i="4"/>
  <c r="CH268" i="4"/>
  <c r="CE266" i="4"/>
  <c r="AC266" i="4"/>
  <c r="N268" i="4" l="1"/>
  <c r="AM267" i="4"/>
  <c r="AS267" i="4" s="1"/>
  <c r="AY267" i="4" s="1"/>
  <c r="BE267" i="4" s="1"/>
  <c r="O268" i="4"/>
  <c r="AN267" i="4"/>
  <c r="AT267" i="4" s="1"/>
  <c r="AZ267" i="4" s="1"/>
  <c r="BF267" i="4" s="1"/>
  <c r="AJ267" i="4"/>
  <c r="AP267" i="4" s="1"/>
  <c r="AV267" i="4" s="1"/>
  <c r="BB267" i="4" s="1"/>
  <c r="K268" i="4"/>
  <c r="BS267" i="4"/>
  <c r="BM265" i="4"/>
  <c r="BN265" i="4" s="1"/>
  <c r="Y269" i="4"/>
  <c r="AK268" i="4"/>
  <c r="AC267" i="4"/>
  <c r="AO266" i="4"/>
  <c r="BJ266" i="4"/>
  <c r="CB268" i="4"/>
  <c r="Z268" i="4"/>
  <c r="CF268" i="4" l="1"/>
  <c r="R268" i="4"/>
  <c r="CJ268" i="4"/>
  <c r="V268" i="4"/>
  <c r="U268" i="4"/>
  <c r="CI268" i="4"/>
  <c r="AU266" i="4"/>
  <c r="BA266" i="4" s="1"/>
  <c r="BH266" i="4"/>
  <c r="AQ268" i="4"/>
  <c r="AW268" i="4" s="1"/>
  <c r="Z269" i="4"/>
  <c r="AL268" i="4"/>
  <c r="AR268" i="4" s="1"/>
  <c r="AX268" i="4" s="1"/>
  <c r="BD268" i="4" s="1"/>
  <c r="AK269" i="4"/>
  <c r="L270" i="4"/>
  <c r="AO267" i="4"/>
  <c r="P268" i="4"/>
  <c r="BJ267" i="4"/>
  <c r="BK266" i="4"/>
  <c r="CC268" i="4" l="1"/>
  <c r="AA268" i="4"/>
  <c r="CD268" i="4"/>
  <c r="AB268" i="4"/>
  <c r="BZ268" i="4"/>
  <c r="X268" i="4"/>
  <c r="S270" i="4"/>
  <c r="CG270" i="4"/>
  <c r="AQ269" i="4"/>
  <c r="AW269" i="4" s="1"/>
  <c r="AU267" i="4"/>
  <c r="BA267" i="4" s="1"/>
  <c r="BH267" i="4"/>
  <c r="BV267" i="4" s="1"/>
  <c r="BY267" i="4" s="1"/>
  <c r="BC268" i="4"/>
  <c r="BK267" i="4"/>
  <c r="AL269" i="4"/>
  <c r="AR269" i="4" s="1"/>
  <c r="AX269" i="4" s="1"/>
  <c r="BD269" i="4" s="1"/>
  <c r="M270" i="4"/>
  <c r="BV266" i="4"/>
  <c r="BY266" i="4" s="1"/>
  <c r="BL266" i="4"/>
  <c r="W268" i="4"/>
  <c r="CK268" i="4"/>
  <c r="BI268" i="4"/>
  <c r="BO266" i="4"/>
  <c r="BG266" i="4"/>
  <c r="BP266" i="4" s="1"/>
  <c r="BQ266" i="4" s="1"/>
  <c r="X269" i="4" l="1"/>
  <c r="AJ268" i="4"/>
  <c r="AP268" i="4" s="1"/>
  <c r="AV268" i="4" s="1"/>
  <c r="BB268" i="4"/>
  <c r="AB269" i="4"/>
  <c r="AN268" i="4"/>
  <c r="AT268" i="4" s="1"/>
  <c r="AZ268" i="4" s="1"/>
  <c r="BF268" i="4" s="1"/>
  <c r="AM268" i="4"/>
  <c r="AS268" i="4" s="1"/>
  <c r="AY268" i="4" s="1"/>
  <c r="BE268" i="4" s="1"/>
  <c r="AA269" i="4"/>
  <c r="BL267" i="4"/>
  <c r="BM266" i="4"/>
  <c r="BN266" i="4" s="1"/>
  <c r="T270" i="4"/>
  <c r="CH270" i="4"/>
  <c r="BC269" i="4"/>
  <c r="CE268" i="4"/>
  <c r="AC268" i="4"/>
  <c r="BO267" i="4"/>
  <c r="BG267" i="4"/>
  <c r="BP267" i="4" s="1"/>
  <c r="BQ267" i="4" s="1"/>
  <c r="BI269" i="4"/>
  <c r="BS268" i="4"/>
  <c r="CA270" i="4"/>
  <c r="Y270" i="4"/>
  <c r="N270" i="4" l="1"/>
  <c r="AM269" i="4"/>
  <c r="AS269" i="4" s="1"/>
  <c r="AY269" i="4" s="1"/>
  <c r="BE269" i="4" s="1"/>
  <c r="AN269" i="4"/>
  <c r="AT269" i="4" s="1"/>
  <c r="AZ269" i="4" s="1"/>
  <c r="BF269" i="4" s="1"/>
  <c r="O270" i="4"/>
  <c r="K270" i="4"/>
  <c r="AJ269" i="4"/>
  <c r="AP269" i="4" s="1"/>
  <c r="AV269" i="4" s="1"/>
  <c r="BB269" i="4" s="1"/>
  <c r="AO268" i="4"/>
  <c r="AC269" i="4"/>
  <c r="BJ268" i="4"/>
  <c r="BS269" i="4"/>
  <c r="BM267" i="4"/>
  <c r="BN267" i="4" s="1"/>
  <c r="AK270" i="4"/>
  <c r="Y271" i="4"/>
  <c r="CB270" i="4"/>
  <c r="Z270" i="4"/>
  <c r="CJ270" i="4" l="1"/>
  <c r="V270" i="4"/>
  <c r="CF270" i="4"/>
  <c r="R270" i="4"/>
  <c r="U270" i="4"/>
  <c r="CI270" i="4"/>
  <c r="BK268" i="4"/>
  <c r="AO269" i="4"/>
  <c r="P270" i="4"/>
  <c r="BJ269" i="4"/>
  <c r="AU268" i="4"/>
  <c r="BA268" i="4" s="1"/>
  <c r="BH268" i="4"/>
  <c r="AK271" i="4"/>
  <c r="L272" i="4"/>
  <c r="AQ270" i="4"/>
  <c r="AW270" i="4" s="1"/>
  <c r="AL270" i="4"/>
  <c r="AR270" i="4" s="1"/>
  <c r="AX270" i="4" s="1"/>
  <c r="BD270" i="4" s="1"/>
  <c r="Z271" i="4"/>
  <c r="CC270" i="4" l="1"/>
  <c r="AA270" i="4"/>
  <c r="BZ270" i="4"/>
  <c r="X270" i="4"/>
  <c r="AB270" i="4"/>
  <c r="CD270" i="4"/>
  <c r="BK269" i="4"/>
  <c r="AL271" i="4"/>
  <c r="AR271" i="4" s="1"/>
  <c r="AX271" i="4" s="1"/>
  <c r="BD271" i="4" s="1"/>
  <c r="M272" i="4"/>
  <c r="AQ271" i="4"/>
  <c r="AW271" i="4" s="1"/>
  <c r="BO268" i="4"/>
  <c r="BG268" i="4"/>
  <c r="BP268" i="4" s="1"/>
  <c r="BQ268" i="4" s="1"/>
  <c r="AU269" i="4"/>
  <c r="BA269" i="4" s="1"/>
  <c r="BH269" i="4"/>
  <c r="BV269" i="4" s="1"/>
  <c r="BY269" i="4" s="1"/>
  <c r="S272" i="4"/>
  <c r="CG272" i="4"/>
  <c r="BV268" i="4"/>
  <c r="BY268" i="4" s="1"/>
  <c r="BL268" i="4"/>
  <c r="W270" i="4"/>
  <c r="CK270" i="4"/>
  <c r="BI270" i="4"/>
  <c r="BC270" i="4"/>
  <c r="AN270" i="4" l="1"/>
  <c r="AT270" i="4" s="1"/>
  <c r="AZ270" i="4" s="1"/>
  <c r="BF270" i="4" s="1"/>
  <c r="AB271" i="4"/>
  <c r="AJ270" i="4"/>
  <c r="AP270" i="4" s="1"/>
  <c r="AV270" i="4" s="1"/>
  <c r="X271" i="4"/>
  <c r="BB270" i="4"/>
  <c r="AA271" i="4"/>
  <c r="AM270" i="4"/>
  <c r="AS270" i="4" s="1"/>
  <c r="AY270" i="4" s="1"/>
  <c r="BE270" i="4" s="1"/>
  <c r="BL269" i="4"/>
  <c r="BM268" i="4"/>
  <c r="BN268" i="4" s="1"/>
  <c r="BC271" i="4"/>
  <c r="CH272" i="4"/>
  <c r="T272" i="4"/>
  <c r="CE270" i="4"/>
  <c r="AC270" i="4"/>
  <c r="BI271" i="4"/>
  <c r="BS270" i="4"/>
  <c r="CA272" i="4"/>
  <c r="Y272" i="4"/>
  <c r="BO269" i="4"/>
  <c r="BG269" i="4"/>
  <c r="BP269" i="4" s="1"/>
  <c r="BQ269" i="4" s="1"/>
  <c r="N272" i="4" l="1"/>
  <c r="AM271" i="4"/>
  <c r="AS271" i="4" s="1"/>
  <c r="AY271" i="4" s="1"/>
  <c r="BE271" i="4" s="1"/>
  <c r="AJ271" i="4"/>
  <c r="AP271" i="4" s="1"/>
  <c r="AV271" i="4" s="1"/>
  <c r="BB271" i="4" s="1"/>
  <c r="K272" i="4"/>
  <c r="AN271" i="4"/>
  <c r="AT271" i="4" s="1"/>
  <c r="AZ271" i="4" s="1"/>
  <c r="BF271" i="4" s="1"/>
  <c r="O272" i="4"/>
  <c r="CB272" i="4"/>
  <c r="Z272" i="4"/>
  <c r="AO270" i="4"/>
  <c r="AC271" i="4"/>
  <c r="BJ270" i="4"/>
  <c r="Y273" i="4"/>
  <c r="AK272" i="4"/>
  <c r="BM269" i="4"/>
  <c r="BN269" i="4" s="1"/>
  <c r="BS271" i="4"/>
  <c r="V272" i="4" l="1"/>
  <c r="CJ272" i="4"/>
  <c r="R272" i="4"/>
  <c r="CF272" i="4"/>
  <c r="U272" i="4"/>
  <c r="CI272" i="4"/>
  <c r="AK273" i="4"/>
  <c r="L274" i="4"/>
  <c r="AQ272" i="4"/>
  <c r="AW272" i="4" s="1"/>
  <c r="AU270" i="4"/>
  <c r="BA270" i="4" s="1"/>
  <c r="BH270" i="4"/>
  <c r="BK270" i="4"/>
  <c r="AL272" i="4"/>
  <c r="AR272" i="4" s="1"/>
  <c r="AX272" i="4" s="1"/>
  <c r="BD272" i="4" s="1"/>
  <c r="Z273" i="4"/>
  <c r="AO271" i="4"/>
  <c r="P272" i="4"/>
  <c r="BJ271" i="4"/>
  <c r="AA272" i="4" l="1"/>
  <c r="CC272" i="4"/>
  <c r="BZ272" i="4"/>
  <c r="X272" i="4"/>
  <c r="AB272" i="4"/>
  <c r="CD272" i="4"/>
  <c r="BK271" i="4"/>
  <c r="BC272" i="4"/>
  <c r="AL273" i="4"/>
  <c r="AR273" i="4" s="1"/>
  <c r="AX273" i="4" s="1"/>
  <c r="BD273" i="4" s="1"/>
  <c r="M274" i="4"/>
  <c r="BO270" i="4"/>
  <c r="BG270" i="4"/>
  <c r="BP270" i="4" s="1"/>
  <c r="BQ270" i="4" s="1"/>
  <c r="AU271" i="4"/>
  <c r="BA271" i="4" s="1"/>
  <c r="BH271" i="4"/>
  <c r="BV271" i="4" s="1"/>
  <c r="BY271" i="4" s="1"/>
  <c r="AQ273" i="4"/>
  <c r="AW273" i="4" s="1"/>
  <c r="BV270" i="4"/>
  <c r="BY270" i="4" s="1"/>
  <c r="BL270" i="4"/>
  <c r="W272" i="4"/>
  <c r="CK272" i="4"/>
  <c r="BI272" i="4"/>
  <c r="S274" i="4"/>
  <c r="CG274" i="4"/>
  <c r="AN272" i="4" l="1"/>
  <c r="AT272" i="4" s="1"/>
  <c r="AZ272" i="4" s="1"/>
  <c r="BF272" i="4" s="1"/>
  <c r="AB273" i="4"/>
  <c r="AJ272" i="4"/>
  <c r="AP272" i="4" s="1"/>
  <c r="AV272" i="4" s="1"/>
  <c r="X273" i="4"/>
  <c r="BB272" i="4"/>
  <c r="AA273" i="4"/>
  <c r="AM272" i="4"/>
  <c r="AS272" i="4" s="1"/>
  <c r="AY272" i="4" s="1"/>
  <c r="BE272" i="4" s="1"/>
  <c r="T274" i="4"/>
  <c r="CH274" i="4"/>
  <c r="BO271" i="4"/>
  <c r="BG271" i="4"/>
  <c r="BP271" i="4" s="1"/>
  <c r="BQ271" i="4" s="1"/>
  <c r="CA274" i="4"/>
  <c r="Y274" i="4"/>
  <c r="BI273" i="4"/>
  <c r="BS272" i="4"/>
  <c r="CE272" i="4"/>
  <c r="AC272" i="4"/>
  <c r="BL271" i="4"/>
  <c r="BM270" i="4"/>
  <c r="BN270" i="4" s="1"/>
  <c r="BC273" i="4"/>
  <c r="AM273" i="4" l="1"/>
  <c r="AS273" i="4" s="1"/>
  <c r="AY273" i="4" s="1"/>
  <c r="BE273" i="4" s="1"/>
  <c r="N274" i="4"/>
  <c r="AJ273" i="4"/>
  <c r="AP273" i="4" s="1"/>
  <c r="AV273" i="4" s="1"/>
  <c r="K274" i="4"/>
  <c r="BB273" i="4"/>
  <c r="O274" i="4"/>
  <c r="AN273" i="4"/>
  <c r="AT273" i="4" s="1"/>
  <c r="AZ273" i="4" s="1"/>
  <c r="BF273" i="4" s="1"/>
  <c r="BS273" i="4"/>
  <c r="AC273" i="4"/>
  <c r="AO272" i="4"/>
  <c r="BJ272" i="4"/>
  <c r="BM271" i="4"/>
  <c r="BN271" i="4" s="1"/>
  <c r="AK274" i="4"/>
  <c r="Y275" i="4"/>
  <c r="CB274" i="4"/>
  <c r="Z274" i="4"/>
  <c r="R274" i="4" l="1"/>
  <c r="CF274" i="4"/>
  <c r="U274" i="4"/>
  <c r="CI274" i="4"/>
  <c r="CJ274" i="4"/>
  <c r="V274" i="4"/>
  <c r="BK272" i="4"/>
  <c r="AK275" i="4"/>
  <c r="L276" i="4"/>
  <c r="AQ274" i="4"/>
  <c r="AW274" i="4" s="1"/>
  <c r="AL274" i="4"/>
  <c r="AR274" i="4" s="1"/>
  <c r="AX274" i="4" s="1"/>
  <c r="BD274" i="4" s="1"/>
  <c r="Z275" i="4"/>
  <c r="AU272" i="4"/>
  <c r="BA272" i="4" s="1"/>
  <c r="BH272" i="4"/>
  <c r="AO273" i="4"/>
  <c r="P274" i="4"/>
  <c r="BJ273" i="4"/>
  <c r="CD274" i="4" l="1"/>
  <c r="AB274" i="4"/>
  <c r="CC274" i="4"/>
  <c r="AA274" i="4"/>
  <c r="BZ274" i="4"/>
  <c r="X274" i="4"/>
  <c r="AQ275" i="4"/>
  <c r="AW275" i="4" s="1"/>
  <c r="AU273" i="4"/>
  <c r="BA273" i="4" s="1"/>
  <c r="BH273" i="4"/>
  <c r="BV273" i="4" s="1"/>
  <c r="BY273" i="4" s="1"/>
  <c r="AL275" i="4"/>
  <c r="AR275" i="4" s="1"/>
  <c r="AX275" i="4" s="1"/>
  <c r="BD275" i="4" s="1"/>
  <c r="M276" i="4"/>
  <c r="BK273" i="4"/>
  <c r="BO272" i="4"/>
  <c r="BG272" i="4"/>
  <c r="BP272" i="4" s="1"/>
  <c r="BQ272" i="4" s="1"/>
  <c r="S276" i="4"/>
  <c r="CG276" i="4"/>
  <c r="W274" i="4"/>
  <c r="CK274" i="4"/>
  <c r="BI274" i="4"/>
  <c r="BV272" i="4"/>
  <c r="BY272" i="4" s="1"/>
  <c r="BL272" i="4"/>
  <c r="BC274" i="4"/>
  <c r="X275" i="4" l="1"/>
  <c r="AJ274" i="4"/>
  <c r="AP274" i="4" s="1"/>
  <c r="AV274" i="4" s="1"/>
  <c r="BB274" i="4"/>
  <c r="AM274" i="4"/>
  <c r="AS274" i="4" s="1"/>
  <c r="AY274" i="4" s="1"/>
  <c r="BE274" i="4" s="1"/>
  <c r="AA275" i="4"/>
  <c r="AB275" i="4"/>
  <c r="AN274" i="4"/>
  <c r="AT274" i="4" s="1"/>
  <c r="AZ274" i="4" s="1"/>
  <c r="BF274" i="4" s="1"/>
  <c r="T276" i="4"/>
  <c r="CH276" i="4"/>
  <c r="BO273" i="4"/>
  <c r="BG273" i="4"/>
  <c r="BP273" i="4" s="1"/>
  <c r="BQ273" i="4" s="1"/>
  <c r="BC275" i="4"/>
  <c r="BL273" i="4"/>
  <c r="BM272" i="4"/>
  <c r="BN272" i="4" s="1"/>
  <c r="BS274" i="4"/>
  <c r="BI275" i="4"/>
  <c r="CE274" i="4"/>
  <c r="AC274" i="4"/>
  <c r="CA276" i="4"/>
  <c r="Y276" i="4"/>
  <c r="O276" i="4" l="1"/>
  <c r="AN275" i="4"/>
  <c r="AT275" i="4" s="1"/>
  <c r="AZ275" i="4" s="1"/>
  <c r="BF275" i="4" s="1"/>
  <c r="AM275" i="4"/>
  <c r="AS275" i="4" s="1"/>
  <c r="AY275" i="4" s="1"/>
  <c r="BE275" i="4" s="1"/>
  <c r="N276" i="4"/>
  <c r="K276" i="4"/>
  <c r="AJ275" i="4"/>
  <c r="AP275" i="4" s="1"/>
  <c r="AV275" i="4" s="1"/>
  <c r="BB275" i="4" s="1"/>
  <c r="BS275" i="4"/>
  <c r="BM273" i="4"/>
  <c r="BN273" i="4" s="1"/>
  <c r="Y277" i="4"/>
  <c r="AK276" i="4"/>
  <c r="AC275" i="4"/>
  <c r="AO274" i="4"/>
  <c r="BJ274" i="4"/>
  <c r="CB276" i="4"/>
  <c r="Z276" i="4"/>
  <c r="CI276" i="4" l="1"/>
  <c r="U276" i="4"/>
  <c r="CF276" i="4"/>
  <c r="R276" i="4"/>
  <c r="V276" i="4"/>
  <c r="CJ276" i="4"/>
  <c r="AK277" i="4"/>
  <c r="L278" i="4"/>
  <c r="Z277" i="4"/>
  <c r="AL276" i="4"/>
  <c r="AR276" i="4" s="1"/>
  <c r="AX276" i="4" s="1"/>
  <c r="BD276" i="4" s="1"/>
  <c r="AQ276" i="4"/>
  <c r="AW276" i="4" s="1"/>
  <c r="BK274" i="4"/>
  <c r="AO275" i="4"/>
  <c r="P276" i="4"/>
  <c r="BJ275" i="4"/>
  <c r="AU274" i="4"/>
  <c r="BA274" i="4" s="1"/>
  <c r="BH274" i="4"/>
  <c r="CD276" i="4" l="1"/>
  <c r="AB276" i="4"/>
  <c r="BZ276" i="4"/>
  <c r="X276" i="4"/>
  <c r="CC276" i="4"/>
  <c r="AA276" i="4"/>
  <c r="CK276" i="4"/>
  <c r="W276" i="4"/>
  <c r="BI276" i="4"/>
  <c r="BO274" i="4"/>
  <c r="BG274" i="4"/>
  <c r="BP274" i="4" s="1"/>
  <c r="BQ274" i="4" s="1"/>
  <c r="BC276" i="4"/>
  <c r="AL277" i="4"/>
  <c r="AR277" i="4" s="1"/>
  <c r="AX277" i="4" s="1"/>
  <c r="BD277" i="4" s="1"/>
  <c r="M278" i="4"/>
  <c r="AQ277" i="4"/>
  <c r="AW277" i="4" s="1"/>
  <c r="BV274" i="4"/>
  <c r="BY274" i="4" s="1"/>
  <c r="BL274" i="4"/>
  <c r="BK275" i="4"/>
  <c r="S278" i="4"/>
  <c r="CG278" i="4"/>
  <c r="AU275" i="4"/>
  <c r="BA275" i="4" s="1"/>
  <c r="BH275" i="4"/>
  <c r="BV275" i="4" s="1"/>
  <c r="BY275" i="4" s="1"/>
  <c r="AM276" i="4" l="1"/>
  <c r="AS276" i="4" s="1"/>
  <c r="AY276" i="4" s="1"/>
  <c r="BE276" i="4" s="1"/>
  <c r="AA277" i="4"/>
  <c r="X277" i="4"/>
  <c r="AJ276" i="4"/>
  <c r="AP276" i="4" s="1"/>
  <c r="AV276" i="4" s="1"/>
  <c r="BB276" i="4" s="1"/>
  <c r="AN276" i="4"/>
  <c r="AT276" i="4" s="1"/>
  <c r="AZ276" i="4" s="1"/>
  <c r="BF276" i="4" s="1"/>
  <c r="AB277" i="4"/>
  <c r="BC277" i="4"/>
  <c r="BO275" i="4"/>
  <c r="BG275" i="4"/>
  <c r="BP275" i="4" s="1"/>
  <c r="BQ275" i="4" s="1"/>
  <c r="CE276" i="4"/>
  <c r="AC276" i="4"/>
  <c r="T278" i="4"/>
  <c r="CH278" i="4"/>
  <c r="BI277" i="4"/>
  <c r="BS276" i="4"/>
  <c r="BL275" i="4"/>
  <c r="BM274" i="4"/>
  <c r="BN274" i="4" s="1"/>
  <c r="CA278" i="4"/>
  <c r="Y278" i="4"/>
  <c r="AN277" i="4" l="1"/>
  <c r="AT277" i="4" s="1"/>
  <c r="AZ277" i="4" s="1"/>
  <c r="BF277" i="4"/>
  <c r="O278" i="4"/>
  <c r="AJ277" i="4"/>
  <c r="AP277" i="4" s="1"/>
  <c r="AV277" i="4" s="1"/>
  <c r="BB277" i="4" s="1"/>
  <c r="K278" i="4"/>
  <c r="AM277" i="4"/>
  <c r="AS277" i="4" s="1"/>
  <c r="AY277" i="4" s="1"/>
  <c r="BE277" i="4" s="1"/>
  <c r="N278" i="4"/>
  <c r="BM275" i="4"/>
  <c r="BN275" i="4" s="1"/>
  <c r="BS277" i="4"/>
  <c r="CB278" i="4"/>
  <c r="Z278" i="4"/>
  <c r="AO276" i="4"/>
  <c r="AC277" i="4"/>
  <c r="BJ276" i="4"/>
  <c r="Y279" i="4"/>
  <c r="AK278" i="4"/>
  <c r="R278" i="4" l="1"/>
  <c r="CF278" i="4"/>
  <c r="U278" i="4"/>
  <c r="CI278" i="4"/>
  <c r="CJ278" i="4"/>
  <c r="V278" i="4"/>
  <c r="AQ278" i="4"/>
  <c r="AW278" i="4" s="1"/>
  <c r="AK279" i="4"/>
  <c r="L280" i="4"/>
  <c r="AO277" i="4"/>
  <c r="P278" i="4"/>
  <c r="BJ277" i="4"/>
  <c r="AU276" i="4"/>
  <c r="BA276" i="4" s="1"/>
  <c r="BH276" i="4"/>
  <c r="Z279" i="4"/>
  <c r="AL278" i="4"/>
  <c r="AR278" i="4" s="1"/>
  <c r="AX278" i="4" s="1"/>
  <c r="BD278" i="4" s="1"/>
  <c r="BK276" i="4"/>
  <c r="AB278" i="4" l="1"/>
  <c r="CD278" i="4"/>
  <c r="AA278" i="4"/>
  <c r="CC278" i="4"/>
  <c r="BZ278" i="4"/>
  <c r="X278" i="4"/>
  <c r="BC278" i="4"/>
  <c r="AL279" i="4"/>
  <c r="AR279" i="4" s="1"/>
  <c r="AX279" i="4" s="1"/>
  <c r="BD279" i="4" s="1"/>
  <c r="M280" i="4"/>
  <c r="AQ279" i="4"/>
  <c r="AW279" i="4" s="1"/>
  <c r="BK277" i="4"/>
  <c r="S280" i="4"/>
  <c r="CG280" i="4"/>
  <c r="BO276" i="4"/>
  <c r="BG276" i="4"/>
  <c r="BP276" i="4" s="1"/>
  <c r="BQ276" i="4" s="1"/>
  <c r="BV276" i="4"/>
  <c r="BY276" i="4" s="1"/>
  <c r="BL276" i="4"/>
  <c r="W278" i="4"/>
  <c r="CK278" i="4"/>
  <c r="BI278" i="4"/>
  <c r="AU277" i="4"/>
  <c r="BA277" i="4" s="1"/>
  <c r="BH277" i="4"/>
  <c r="BV277" i="4" s="1"/>
  <c r="BY277" i="4" s="1"/>
  <c r="AJ278" i="4" l="1"/>
  <c r="AP278" i="4" s="1"/>
  <c r="AV278" i="4" s="1"/>
  <c r="X279" i="4"/>
  <c r="BB278" i="4"/>
  <c r="AM278" i="4"/>
  <c r="AS278" i="4" s="1"/>
  <c r="AY278" i="4" s="1"/>
  <c r="BE278" i="4" s="1"/>
  <c r="AA279" i="4"/>
  <c r="AB279" i="4"/>
  <c r="AN278" i="4"/>
  <c r="AT278" i="4" s="1"/>
  <c r="AZ278" i="4" s="1"/>
  <c r="BF278" i="4" s="1"/>
  <c r="T280" i="4"/>
  <c r="CH280" i="4"/>
  <c r="BO277" i="4"/>
  <c r="BG277" i="4"/>
  <c r="BP277" i="4" s="1"/>
  <c r="BQ277" i="4" s="1"/>
  <c r="CE278" i="4"/>
  <c r="AC278" i="4"/>
  <c r="BC279" i="4"/>
  <c r="BL277" i="4"/>
  <c r="BM276" i="4"/>
  <c r="BN276" i="4" s="1"/>
  <c r="BS278" i="4"/>
  <c r="BI279" i="4"/>
  <c r="CA280" i="4"/>
  <c r="Y280" i="4"/>
  <c r="AM279" i="4" l="1"/>
  <c r="AS279" i="4" s="1"/>
  <c r="AY279" i="4" s="1"/>
  <c r="BE279" i="4" s="1"/>
  <c r="N280" i="4"/>
  <c r="AN279" i="4"/>
  <c r="AT279" i="4" s="1"/>
  <c r="AZ279" i="4" s="1"/>
  <c r="BF279" i="4" s="1"/>
  <c r="O280" i="4"/>
  <c r="K280" i="4"/>
  <c r="AJ279" i="4"/>
  <c r="AP279" i="4" s="1"/>
  <c r="AV279" i="4" s="1"/>
  <c r="BB279" i="4" s="1"/>
  <c r="BS279" i="4"/>
  <c r="Y281" i="4"/>
  <c r="AK280" i="4"/>
  <c r="BM277" i="4"/>
  <c r="BN277" i="4" s="1"/>
  <c r="AC279" i="4"/>
  <c r="AO278" i="4"/>
  <c r="BJ278" i="4"/>
  <c r="CB280" i="4"/>
  <c r="Z280" i="4"/>
  <c r="R280" i="4" l="1"/>
  <c r="CF280" i="4"/>
  <c r="V280" i="4"/>
  <c r="CJ280" i="4"/>
  <c r="U280" i="4"/>
  <c r="CI280" i="4"/>
  <c r="AQ280" i="4"/>
  <c r="AW280" i="4" s="1"/>
  <c r="BK278" i="4"/>
  <c r="AU278" i="4"/>
  <c r="BA278" i="4" s="1"/>
  <c r="BH278" i="4"/>
  <c r="AO279" i="4"/>
  <c r="P280" i="4"/>
  <c r="BJ279" i="4"/>
  <c r="Z281" i="4"/>
  <c r="AL280" i="4"/>
  <c r="AR280" i="4" s="1"/>
  <c r="AX280" i="4" s="1"/>
  <c r="BD280" i="4" s="1"/>
  <c r="AK281" i="4"/>
  <c r="L282" i="4"/>
  <c r="CC280" i="4" l="1"/>
  <c r="AA280" i="4"/>
  <c r="AB280" i="4"/>
  <c r="CD280" i="4"/>
  <c r="BZ280" i="4"/>
  <c r="X280" i="4"/>
  <c r="AL281" i="4"/>
  <c r="AR281" i="4" s="1"/>
  <c r="AX281" i="4" s="1"/>
  <c r="BD281" i="4" s="1"/>
  <c r="M282" i="4"/>
  <c r="W280" i="4"/>
  <c r="CK280" i="4"/>
  <c r="BI280" i="4"/>
  <c r="BO278" i="4"/>
  <c r="BG278" i="4"/>
  <c r="BP278" i="4" s="1"/>
  <c r="BQ278" i="4" s="1"/>
  <c r="AQ281" i="4"/>
  <c r="AW281" i="4" s="1"/>
  <c r="BK279" i="4"/>
  <c r="AU279" i="4"/>
  <c r="BA279" i="4" s="1"/>
  <c r="BH279" i="4"/>
  <c r="BV279" i="4" s="1"/>
  <c r="BY279" i="4" s="1"/>
  <c r="BV278" i="4"/>
  <c r="BY278" i="4" s="1"/>
  <c r="BL278" i="4"/>
  <c r="S282" i="4"/>
  <c r="CG282" i="4"/>
  <c r="BC280" i="4"/>
  <c r="X281" i="4" l="1"/>
  <c r="AJ280" i="4"/>
  <c r="AP280" i="4" s="1"/>
  <c r="AV280" i="4" s="1"/>
  <c r="BB280" i="4"/>
  <c r="AB281" i="4"/>
  <c r="AN280" i="4"/>
  <c r="AT280" i="4" s="1"/>
  <c r="AZ280" i="4" s="1"/>
  <c r="BF280" i="4" s="1"/>
  <c r="AM280" i="4"/>
  <c r="AS280" i="4" s="1"/>
  <c r="AY280" i="4" s="1"/>
  <c r="BE280" i="4" s="1"/>
  <c r="AA281" i="4"/>
  <c r="CA282" i="4"/>
  <c r="Y282" i="4"/>
  <c r="CE280" i="4"/>
  <c r="AC280" i="4"/>
  <c r="BC281" i="4"/>
  <c r="BO279" i="4"/>
  <c r="BG279" i="4"/>
  <c r="BP279" i="4" s="1"/>
  <c r="BQ279" i="4" s="1"/>
  <c r="T282" i="4"/>
  <c r="CH282" i="4"/>
  <c r="BI281" i="4"/>
  <c r="BS280" i="4"/>
  <c r="BL279" i="4"/>
  <c r="BM278" i="4"/>
  <c r="BN278" i="4" s="1"/>
  <c r="AM281" i="4" l="1"/>
  <c r="AS281" i="4" s="1"/>
  <c r="AY281" i="4" s="1"/>
  <c r="BE281" i="4" s="1"/>
  <c r="N282" i="4"/>
  <c r="AN281" i="4"/>
  <c r="AT281" i="4" s="1"/>
  <c r="AZ281" i="4" s="1"/>
  <c r="BF281" i="4" s="1"/>
  <c r="O282" i="4"/>
  <c r="AJ281" i="4"/>
  <c r="AP281" i="4" s="1"/>
  <c r="AV281" i="4" s="1"/>
  <c r="BB281" i="4" s="1"/>
  <c r="K282" i="4"/>
  <c r="CB282" i="4"/>
  <c r="Z282" i="4"/>
  <c r="BM279" i="4"/>
  <c r="BN279" i="4" s="1"/>
  <c r="BS281" i="4"/>
  <c r="AO280" i="4"/>
  <c r="AC281" i="4"/>
  <c r="BJ280" i="4"/>
  <c r="AK282" i="4"/>
  <c r="Y283" i="4"/>
  <c r="CJ282" i="4" l="1"/>
  <c r="V282" i="4"/>
  <c r="R282" i="4"/>
  <c r="CF282" i="4"/>
  <c r="CI282" i="4"/>
  <c r="U282" i="4"/>
  <c r="AQ282" i="4"/>
  <c r="AW282" i="4" s="1"/>
  <c r="AK283" i="4"/>
  <c r="L284" i="4"/>
  <c r="AO281" i="4"/>
  <c r="P282" i="4"/>
  <c r="BJ281" i="4"/>
  <c r="BK280" i="4"/>
  <c r="AL282" i="4"/>
  <c r="AR282" i="4" s="1"/>
  <c r="AX282" i="4" s="1"/>
  <c r="BD282" i="4" s="1"/>
  <c r="Z283" i="4"/>
  <c r="AU280" i="4"/>
  <c r="BA280" i="4" s="1"/>
  <c r="BH280" i="4"/>
  <c r="CC282" i="4" l="1"/>
  <c r="AA282" i="4"/>
  <c r="BZ282" i="4"/>
  <c r="X282" i="4"/>
  <c r="AB282" i="4"/>
  <c r="CD282" i="4"/>
  <c r="BV280" i="4"/>
  <c r="BY280" i="4" s="1"/>
  <c r="BL280" i="4"/>
  <c r="BO280" i="4"/>
  <c r="BG280" i="4"/>
  <c r="BP280" i="4" s="1"/>
  <c r="BQ280" i="4" s="1"/>
  <c r="AL283" i="4"/>
  <c r="AR283" i="4" s="1"/>
  <c r="AX283" i="4" s="1"/>
  <c r="BD283" i="4" s="1"/>
  <c r="M284" i="4"/>
  <c r="BC282" i="4"/>
  <c r="AU281" i="4"/>
  <c r="BA281" i="4" s="1"/>
  <c r="BH281" i="4"/>
  <c r="BV281" i="4" s="1"/>
  <c r="BY281" i="4" s="1"/>
  <c r="S284" i="4"/>
  <c r="CG284" i="4"/>
  <c r="AQ283" i="4"/>
  <c r="AW283" i="4" s="1"/>
  <c r="W282" i="4"/>
  <c r="CK282" i="4"/>
  <c r="BI282" i="4"/>
  <c r="BK281" i="4"/>
  <c r="AN282" i="4" l="1"/>
  <c r="AT282" i="4" s="1"/>
  <c r="AZ282" i="4" s="1"/>
  <c r="BF282" i="4" s="1"/>
  <c r="AB283" i="4"/>
  <c r="X283" i="4"/>
  <c r="AJ282" i="4"/>
  <c r="AP282" i="4" s="1"/>
  <c r="AV282" i="4" s="1"/>
  <c r="BB282" i="4" s="1"/>
  <c r="AM282" i="4"/>
  <c r="AS282" i="4" s="1"/>
  <c r="AY282" i="4" s="1"/>
  <c r="BE282" i="4" s="1"/>
  <c r="AA283" i="4"/>
  <c r="BC283" i="4"/>
  <c r="BO281" i="4"/>
  <c r="BG281" i="4"/>
  <c r="BP281" i="4" s="1"/>
  <c r="BQ281" i="4" s="1"/>
  <c r="T284" i="4"/>
  <c r="CH284" i="4"/>
  <c r="BL281" i="4"/>
  <c r="BM280" i="4"/>
  <c r="BN280" i="4" s="1"/>
  <c r="CE282" i="4"/>
  <c r="AC282" i="4"/>
  <c r="CA284" i="4"/>
  <c r="Y284" i="4"/>
  <c r="BI283" i="4"/>
  <c r="BS282" i="4"/>
  <c r="AM283" i="4" l="1"/>
  <c r="AS283" i="4" s="1"/>
  <c r="AY283" i="4" s="1"/>
  <c r="N284" i="4"/>
  <c r="BE283" i="4"/>
  <c r="AJ283" i="4"/>
  <c r="AP283" i="4" s="1"/>
  <c r="AV283" i="4" s="1"/>
  <c r="BB283" i="4" s="1"/>
  <c r="K284" i="4"/>
  <c r="O284" i="4"/>
  <c r="AN283" i="4"/>
  <c r="AT283" i="4" s="1"/>
  <c r="AZ283" i="4" s="1"/>
  <c r="BF283" i="4" s="1"/>
  <c r="BS283" i="4"/>
  <c r="BM281" i="4"/>
  <c r="BN281" i="4" s="1"/>
  <c r="CB284" i="4"/>
  <c r="Z284" i="4"/>
  <c r="AC283" i="4"/>
  <c r="AO282" i="4"/>
  <c r="BJ282" i="4"/>
  <c r="AK284" i="4"/>
  <c r="Y285" i="4"/>
  <c r="V284" i="4" l="1"/>
  <c r="CJ284" i="4"/>
  <c r="R284" i="4"/>
  <c r="CF284" i="4"/>
  <c r="U284" i="4"/>
  <c r="CI284" i="4"/>
  <c r="AO283" i="4"/>
  <c r="P284" i="4"/>
  <c r="BJ283" i="4"/>
  <c r="AL284" i="4"/>
  <c r="AR284" i="4" s="1"/>
  <c r="AX284" i="4" s="1"/>
  <c r="BD284" i="4" s="1"/>
  <c r="Z285" i="4"/>
  <c r="AK285" i="4"/>
  <c r="L286" i="4"/>
  <c r="AU282" i="4"/>
  <c r="BA282" i="4" s="1"/>
  <c r="BH282" i="4"/>
  <c r="AQ284" i="4"/>
  <c r="AW284" i="4" s="1"/>
  <c r="BK282" i="4"/>
  <c r="CC284" i="4" l="1"/>
  <c r="AA284" i="4"/>
  <c r="BZ284" i="4"/>
  <c r="X284" i="4"/>
  <c r="AB284" i="4"/>
  <c r="CD284" i="4"/>
  <c r="AQ285" i="4"/>
  <c r="AW285" i="4" s="1"/>
  <c r="BK283" i="4"/>
  <c r="S286" i="4"/>
  <c r="CG286" i="4"/>
  <c r="AU283" i="4"/>
  <c r="BA283" i="4" s="1"/>
  <c r="BH283" i="4"/>
  <c r="BV283" i="4" s="1"/>
  <c r="BY283" i="4" s="1"/>
  <c r="BC284" i="4"/>
  <c r="BO282" i="4"/>
  <c r="BG282" i="4"/>
  <c r="BP282" i="4" s="1"/>
  <c r="BQ282" i="4" s="1"/>
  <c r="AL285" i="4"/>
  <c r="AR285" i="4" s="1"/>
  <c r="AX285" i="4" s="1"/>
  <c r="BD285" i="4" s="1"/>
  <c r="M286" i="4"/>
  <c r="BV282" i="4"/>
  <c r="BY282" i="4" s="1"/>
  <c r="BL282" i="4"/>
  <c r="CK284" i="4"/>
  <c r="W284" i="4"/>
  <c r="BI284" i="4"/>
  <c r="AB285" i="4" l="1"/>
  <c r="AN284" i="4"/>
  <c r="AT284" i="4" s="1"/>
  <c r="AZ284" i="4" s="1"/>
  <c r="BF284" i="4" s="1"/>
  <c r="AJ284" i="4"/>
  <c r="AP284" i="4" s="1"/>
  <c r="AV284" i="4" s="1"/>
  <c r="X285" i="4"/>
  <c r="BB284" i="4"/>
  <c r="AM284" i="4"/>
  <c r="AS284" i="4" s="1"/>
  <c r="AY284" i="4" s="1"/>
  <c r="BE284" i="4" s="1"/>
  <c r="AA285" i="4"/>
  <c r="BO283" i="4"/>
  <c r="BG283" i="4"/>
  <c r="BP283" i="4" s="1"/>
  <c r="BQ283" i="4" s="1"/>
  <c r="T286" i="4"/>
  <c r="CH286" i="4"/>
  <c r="CA286" i="4"/>
  <c r="Y286" i="4"/>
  <c r="CE284" i="4"/>
  <c r="AC284" i="4"/>
  <c r="BL283" i="4"/>
  <c r="BM282" i="4"/>
  <c r="BN282" i="4" s="1"/>
  <c r="BI285" i="4"/>
  <c r="BS284" i="4"/>
  <c r="BC285" i="4"/>
  <c r="K286" i="4" l="1"/>
  <c r="AJ285" i="4"/>
  <c r="AP285" i="4" s="1"/>
  <c r="AV285" i="4" s="1"/>
  <c r="BB285" i="4"/>
  <c r="AM285" i="4"/>
  <c r="AS285" i="4" s="1"/>
  <c r="AY285" i="4" s="1"/>
  <c r="BE285" i="4" s="1"/>
  <c r="N286" i="4"/>
  <c r="AN285" i="4"/>
  <c r="AT285" i="4" s="1"/>
  <c r="AZ285" i="4" s="1"/>
  <c r="BF285" i="4" s="1"/>
  <c r="O286" i="4"/>
  <c r="BS285" i="4"/>
  <c r="AC285" i="4"/>
  <c r="AO284" i="4"/>
  <c r="BJ284" i="4"/>
  <c r="Y287" i="4"/>
  <c r="AK286" i="4"/>
  <c r="CB286" i="4"/>
  <c r="Z286" i="4"/>
  <c r="BM283" i="4"/>
  <c r="BN283" i="4" s="1"/>
  <c r="V286" i="4" l="1"/>
  <c r="CJ286" i="4"/>
  <c r="CI286" i="4"/>
  <c r="U286" i="4"/>
  <c r="R286" i="4"/>
  <c r="CF286" i="4"/>
  <c r="AK287" i="4"/>
  <c r="L288" i="4"/>
  <c r="Z287" i="4"/>
  <c r="AL286" i="4"/>
  <c r="AR286" i="4" s="1"/>
  <c r="AX286" i="4" s="1"/>
  <c r="BD286" i="4" s="1"/>
  <c r="BK284" i="4"/>
  <c r="AO285" i="4"/>
  <c r="P286" i="4"/>
  <c r="BJ285" i="4"/>
  <c r="AQ286" i="4"/>
  <c r="AW286" i="4" s="1"/>
  <c r="AU284" i="4"/>
  <c r="BA284" i="4" s="1"/>
  <c r="BH284" i="4"/>
  <c r="BZ286" i="4" l="1"/>
  <c r="X286" i="4"/>
  <c r="CC286" i="4"/>
  <c r="AA286" i="4"/>
  <c r="CD286" i="4"/>
  <c r="AB286" i="4"/>
  <c r="AQ287" i="4"/>
  <c r="AW287" i="4" s="1"/>
  <c r="W286" i="4"/>
  <c r="CK286" i="4"/>
  <c r="BI286" i="4"/>
  <c r="BV284" i="4"/>
  <c r="BY284" i="4" s="1"/>
  <c r="BL284" i="4"/>
  <c r="BC286" i="4"/>
  <c r="AL287" i="4"/>
  <c r="AR287" i="4" s="1"/>
  <c r="AX287" i="4" s="1"/>
  <c r="BD287" i="4" s="1"/>
  <c r="M288" i="4"/>
  <c r="S288" i="4"/>
  <c r="CG288" i="4"/>
  <c r="BO284" i="4"/>
  <c r="BG284" i="4"/>
  <c r="BP284" i="4" s="1"/>
  <c r="BQ284" i="4" s="1"/>
  <c r="BK285" i="4"/>
  <c r="AU285" i="4"/>
  <c r="BA285" i="4" s="1"/>
  <c r="BH285" i="4"/>
  <c r="BV285" i="4" s="1"/>
  <c r="BY285" i="4" s="1"/>
  <c r="AN286" i="4" l="1"/>
  <c r="AT286" i="4" s="1"/>
  <c r="AZ286" i="4" s="1"/>
  <c r="BF286" i="4" s="1"/>
  <c r="AB287" i="4"/>
  <c r="AM286" i="4"/>
  <c r="AS286" i="4" s="1"/>
  <c r="AY286" i="4" s="1"/>
  <c r="AA287" i="4"/>
  <c r="BE286" i="4"/>
  <c r="AJ286" i="4"/>
  <c r="AP286" i="4" s="1"/>
  <c r="AV286" i="4" s="1"/>
  <c r="BB286" i="4" s="1"/>
  <c r="X287" i="4"/>
  <c r="CE286" i="4"/>
  <c r="AC286" i="4"/>
  <c r="BO285" i="4"/>
  <c r="BG285" i="4"/>
  <c r="BP285" i="4" s="1"/>
  <c r="BQ285" i="4" s="1"/>
  <c r="CA288" i="4"/>
  <c r="Y288" i="4"/>
  <c r="T288" i="4"/>
  <c r="CH288" i="4"/>
  <c r="BL285" i="4"/>
  <c r="BM284" i="4"/>
  <c r="BN284" i="4" s="1"/>
  <c r="BI287" i="4"/>
  <c r="BS286" i="4"/>
  <c r="BC287" i="4"/>
  <c r="N288" i="4" l="1"/>
  <c r="AM287" i="4"/>
  <c r="AS287" i="4" s="1"/>
  <c r="AY287" i="4" s="1"/>
  <c r="BE287" i="4" s="1"/>
  <c r="K288" i="4"/>
  <c r="AJ287" i="4"/>
  <c r="AP287" i="4" s="1"/>
  <c r="AV287" i="4" s="1"/>
  <c r="BB287" i="4" s="1"/>
  <c r="AN287" i="4"/>
  <c r="AT287" i="4" s="1"/>
  <c r="AZ287" i="4" s="1"/>
  <c r="BF287" i="4" s="1"/>
  <c r="O288" i="4"/>
  <c r="CB288" i="4"/>
  <c r="Z288" i="4"/>
  <c r="BM285" i="4"/>
  <c r="BN285" i="4" s="1"/>
  <c r="AK288" i="4"/>
  <c r="Y289" i="4"/>
  <c r="BS287" i="4"/>
  <c r="AO286" i="4"/>
  <c r="AC287" i="4"/>
  <c r="BJ286" i="4"/>
  <c r="R288" i="4" l="1"/>
  <c r="CF288" i="4"/>
  <c r="CJ288" i="4"/>
  <c r="V288" i="4"/>
  <c r="U288" i="4"/>
  <c r="CI288" i="4"/>
  <c r="BK286" i="4"/>
  <c r="AO287" i="4"/>
  <c r="P288" i="4"/>
  <c r="BJ287" i="4"/>
  <c r="AK289" i="4"/>
  <c r="L290" i="4"/>
  <c r="AU286" i="4"/>
  <c r="BA286" i="4" s="1"/>
  <c r="BH286" i="4"/>
  <c r="AL288" i="4"/>
  <c r="AR288" i="4" s="1"/>
  <c r="AX288" i="4" s="1"/>
  <c r="BD288" i="4" s="1"/>
  <c r="Z289" i="4"/>
  <c r="AQ288" i="4"/>
  <c r="AW288" i="4" s="1"/>
  <c r="CC288" i="4" l="1"/>
  <c r="AA288" i="4"/>
  <c r="AB288" i="4"/>
  <c r="CD288" i="4"/>
  <c r="BZ288" i="4"/>
  <c r="X288" i="4"/>
  <c r="AU287" i="4"/>
  <c r="BA287" i="4" s="1"/>
  <c r="BH287" i="4"/>
  <c r="BV287" i="4" s="1"/>
  <c r="BY287" i="4" s="1"/>
  <c r="AL289" i="4"/>
  <c r="AR289" i="4" s="1"/>
  <c r="AX289" i="4" s="1"/>
  <c r="BD289" i="4" s="1"/>
  <c r="M290" i="4"/>
  <c r="S290" i="4"/>
  <c r="CG290" i="4"/>
  <c r="BC288" i="4"/>
  <c r="BO286" i="4"/>
  <c r="BG286" i="4"/>
  <c r="BP286" i="4" s="1"/>
  <c r="BQ286" i="4" s="1"/>
  <c r="AQ289" i="4"/>
  <c r="AW289" i="4" s="1"/>
  <c r="BV286" i="4"/>
  <c r="BY286" i="4" s="1"/>
  <c r="BL286" i="4"/>
  <c r="BK287" i="4"/>
  <c r="W288" i="4"/>
  <c r="CK288" i="4"/>
  <c r="BI288" i="4"/>
  <c r="AJ288" i="4" l="1"/>
  <c r="AP288" i="4" s="1"/>
  <c r="AV288" i="4" s="1"/>
  <c r="X289" i="4"/>
  <c r="BB288" i="4"/>
  <c r="AB289" i="4"/>
  <c r="AN288" i="4"/>
  <c r="AT288" i="4" s="1"/>
  <c r="AZ288" i="4" s="1"/>
  <c r="BF288" i="4" s="1"/>
  <c r="AA289" i="4"/>
  <c r="AM288" i="4"/>
  <c r="AS288" i="4" s="1"/>
  <c r="AY288" i="4" s="1"/>
  <c r="BE288" i="4" s="1"/>
  <c r="CH290" i="4"/>
  <c r="T290" i="4"/>
  <c r="BL287" i="4"/>
  <c r="BM286" i="4"/>
  <c r="BN286" i="4" s="1"/>
  <c r="CA290" i="4"/>
  <c r="Y290" i="4"/>
  <c r="BC289" i="4"/>
  <c r="CE288" i="4"/>
  <c r="AC288" i="4"/>
  <c r="BI289" i="4"/>
  <c r="BS288" i="4"/>
  <c r="BO287" i="4"/>
  <c r="BG287" i="4"/>
  <c r="BP287" i="4" s="1"/>
  <c r="BQ287" i="4" s="1"/>
  <c r="N290" i="4" l="1"/>
  <c r="AM289" i="4"/>
  <c r="AS289" i="4" s="1"/>
  <c r="AY289" i="4" s="1"/>
  <c r="BE289" i="4" s="1"/>
  <c r="O290" i="4"/>
  <c r="AN289" i="4"/>
  <c r="AT289" i="4" s="1"/>
  <c r="AZ289" i="4" s="1"/>
  <c r="BF289" i="4" s="1"/>
  <c r="K290" i="4"/>
  <c r="AJ289" i="4"/>
  <c r="AP289" i="4" s="1"/>
  <c r="AV289" i="4" s="1"/>
  <c r="BB289" i="4" s="1"/>
  <c r="AK290" i="4"/>
  <c r="Y291" i="4"/>
  <c r="CB290" i="4"/>
  <c r="Z290" i="4"/>
  <c r="BM287" i="4"/>
  <c r="BN287" i="4" s="1"/>
  <c r="BS289" i="4"/>
  <c r="AC289" i="4"/>
  <c r="AO288" i="4"/>
  <c r="BJ288" i="4"/>
  <c r="CJ290" i="4" l="1"/>
  <c r="V290" i="4"/>
  <c r="CF290" i="4"/>
  <c r="R290" i="4"/>
  <c r="U290" i="4"/>
  <c r="CI290" i="4"/>
  <c r="AL290" i="4"/>
  <c r="AR290" i="4" s="1"/>
  <c r="AX290" i="4" s="1"/>
  <c r="BD290" i="4" s="1"/>
  <c r="Z291" i="4"/>
  <c r="AU288" i="4"/>
  <c r="BA288" i="4" s="1"/>
  <c r="BH288" i="4"/>
  <c r="BK288" i="4"/>
  <c r="AO289" i="4"/>
  <c r="P290" i="4"/>
  <c r="BJ289" i="4"/>
  <c r="AQ290" i="4"/>
  <c r="AW290" i="4" s="1"/>
  <c r="AK291" i="4"/>
  <c r="L292" i="4"/>
  <c r="CC290" i="4" l="1"/>
  <c r="AA290" i="4"/>
  <c r="BZ290" i="4"/>
  <c r="X290" i="4"/>
  <c r="AB290" i="4"/>
  <c r="CD290" i="4"/>
  <c r="S292" i="4"/>
  <c r="CG292" i="4"/>
  <c r="AQ291" i="4"/>
  <c r="AW291" i="4" s="1"/>
  <c r="AU289" i="4"/>
  <c r="BA289" i="4" s="1"/>
  <c r="BH289" i="4"/>
  <c r="BV289" i="4" s="1"/>
  <c r="BY289" i="4" s="1"/>
  <c r="BV288" i="4"/>
  <c r="BY288" i="4" s="1"/>
  <c r="BL288" i="4"/>
  <c r="BO288" i="4"/>
  <c r="BG288" i="4"/>
  <c r="BP288" i="4" s="1"/>
  <c r="BQ288" i="4" s="1"/>
  <c r="BK289" i="4"/>
  <c r="AL291" i="4"/>
  <c r="AR291" i="4" s="1"/>
  <c r="AX291" i="4" s="1"/>
  <c r="BD291" i="4" s="1"/>
  <c r="M292" i="4"/>
  <c r="BC290" i="4"/>
  <c r="W290" i="4"/>
  <c r="CK290" i="4"/>
  <c r="BI290" i="4"/>
  <c r="AB291" i="4" l="1"/>
  <c r="AN290" i="4"/>
  <c r="AT290" i="4" s="1"/>
  <c r="AZ290" i="4" s="1"/>
  <c r="BF290" i="4" s="1"/>
  <c r="X291" i="4"/>
  <c r="AJ290" i="4"/>
  <c r="AP290" i="4" s="1"/>
  <c r="AV290" i="4" s="1"/>
  <c r="BB290" i="4"/>
  <c r="AA291" i="4"/>
  <c r="AM290" i="4"/>
  <c r="AS290" i="4" s="1"/>
  <c r="AY290" i="4" s="1"/>
  <c r="BE290" i="4" s="1"/>
  <c r="BC291" i="4"/>
  <c r="BI291" i="4"/>
  <c r="BS290" i="4"/>
  <c r="BO289" i="4"/>
  <c r="BG289" i="4"/>
  <c r="BP289" i="4" s="1"/>
  <c r="BQ289" i="4" s="1"/>
  <c r="CE290" i="4"/>
  <c r="AC290" i="4"/>
  <c r="BL289" i="4"/>
  <c r="BM288" i="4"/>
  <c r="BN288" i="4" s="1"/>
  <c r="T292" i="4"/>
  <c r="CH292" i="4"/>
  <c r="CA292" i="4"/>
  <c r="Y292" i="4"/>
  <c r="N292" i="4" l="1"/>
  <c r="AM291" i="4"/>
  <c r="AS291" i="4" s="1"/>
  <c r="AY291" i="4" s="1"/>
  <c r="BE291" i="4" s="1"/>
  <c r="K292" i="4"/>
  <c r="AJ291" i="4"/>
  <c r="AP291" i="4" s="1"/>
  <c r="AV291" i="4" s="1"/>
  <c r="BB291" i="4" s="1"/>
  <c r="AN291" i="4"/>
  <c r="AT291" i="4" s="1"/>
  <c r="AZ291" i="4" s="1"/>
  <c r="BF291" i="4" s="1"/>
  <c r="O292" i="4"/>
  <c r="Y293" i="4"/>
  <c r="AK292" i="4"/>
  <c r="BM289" i="4"/>
  <c r="BN289" i="4" s="1"/>
  <c r="CB292" i="4"/>
  <c r="Z292" i="4"/>
  <c r="BS291" i="4"/>
  <c r="AO290" i="4"/>
  <c r="AC291" i="4"/>
  <c r="BJ290" i="4"/>
  <c r="R292" i="4" l="1"/>
  <c r="CF292" i="4"/>
  <c r="V292" i="4"/>
  <c r="CJ292" i="4"/>
  <c r="U292" i="4"/>
  <c r="CI292" i="4"/>
  <c r="AL292" i="4"/>
  <c r="AR292" i="4" s="1"/>
  <c r="AX292" i="4" s="1"/>
  <c r="BD292" i="4" s="1"/>
  <c r="Z293" i="4"/>
  <c r="BK290" i="4"/>
  <c r="AU290" i="4"/>
  <c r="BA290" i="4" s="1"/>
  <c r="BH290" i="4"/>
  <c r="AQ292" i="4"/>
  <c r="AW292" i="4" s="1"/>
  <c r="AO291" i="4"/>
  <c r="P292" i="4"/>
  <c r="BJ291" i="4"/>
  <c r="AK293" i="4"/>
  <c r="L294" i="4"/>
  <c r="CC292" i="4" l="1"/>
  <c r="AA292" i="4"/>
  <c r="AB292" i="4"/>
  <c r="CD292" i="4"/>
  <c r="BZ292" i="4"/>
  <c r="X292" i="4"/>
  <c r="S294" i="4"/>
  <c r="CG294" i="4"/>
  <c r="BK291" i="4"/>
  <c r="AU291" i="4"/>
  <c r="BA291" i="4" s="1"/>
  <c r="BH291" i="4"/>
  <c r="BV291" i="4" s="1"/>
  <c r="BY291" i="4" s="1"/>
  <c r="CK292" i="4"/>
  <c r="W292" i="4"/>
  <c r="BI292" i="4"/>
  <c r="BV290" i="4"/>
  <c r="BY290" i="4" s="1"/>
  <c r="BL290" i="4"/>
  <c r="AL293" i="4"/>
  <c r="AR293" i="4" s="1"/>
  <c r="AX293" i="4" s="1"/>
  <c r="BD293" i="4" s="1"/>
  <c r="M294" i="4"/>
  <c r="BO290" i="4"/>
  <c r="BG290" i="4"/>
  <c r="BP290" i="4" s="1"/>
  <c r="BQ290" i="4" s="1"/>
  <c r="AQ293" i="4"/>
  <c r="AW293" i="4" s="1"/>
  <c r="BC292" i="4"/>
  <c r="AJ292" i="4" l="1"/>
  <c r="AP292" i="4" s="1"/>
  <c r="AV292" i="4" s="1"/>
  <c r="X293" i="4"/>
  <c r="BB292" i="4"/>
  <c r="AN292" i="4"/>
  <c r="AT292" i="4" s="1"/>
  <c r="AZ292" i="4" s="1"/>
  <c r="BF292" i="4" s="1"/>
  <c r="AB293" i="4"/>
  <c r="AM292" i="4"/>
  <c r="AS292" i="4" s="1"/>
  <c r="AY292" i="4" s="1"/>
  <c r="BE292" i="4" s="1"/>
  <c r="AA293" i="4"/>
  <c r="BO291" i="4"/>
  <c r="BG291" i="4"/>
  <c r="BP291" i="4" s="1"/>
  <c r="BQ291" i="4" s="1"/>
  <c r="T294" i="4"/>
  <c r="CH294" i="4"/>
  <c r="BL291" i="4"/>
  <c r="BM290" i="4"/>
  <c r="BN290" i="4" s="1"/>
  <c r="CE292" i="4"/>
  <c r="AC292" i="4"/>
  <c r="BI293" i="4"/>
  <c r="BS292" i="4"/>
  <c r="BC293" i="4"/>
  <c r="CA294" i="4"/>
  <c r="Y294" i="4"/>
  <c r="AM293" i="4" l="1"/>
  <c r="AS293" i="4" s="1"/>
  <c r="AY293" i="4" s="1"/>
  <c r="BE293" i="4" s="1"/>
  <c r="N294" i="4"/>
  <c r="AN293" i="4"/>
  <c r="AT293" i="4" s="1"/>
  <c r="AZ293" i="4" s="1"/>
  <c r="BF293" i="4" s="1"/>
  <c r="O294" i="4"/>
  <c r="K294" i="4"/>
  <c r="AJ293" i="4"/>
  <c r="AP293" i="4" s="1"/>
  <c r="AV293" i="4" s="1"/>
  <c r="BB293" i="4" s="1"/>
  <c r="BM291" i="4"/>
  <c r="BN291" i="4" s="1"/>
  <c r="AO292" i="4"/>
  <c r="AC293" i="4"/>
  <c r="BJ292" i="4"/>
  <c r="Y295" i="4"/>
  <c r="AK294" i="4"/>
  <c r="BS293" i="4"/>
  <c r="CB294" i="4"/>
  <c r="Z294" i="4"/>
  <c r="V294" i="4" l="1"/>
  <c r="CJ294" i="4"/>
  <c r="R294" i="4"/>
  <c r="CF294" i="4"/>
  <c r="U294" i="4"/>
  <c r="CI294" i="4"/>
  <c r="AQ294" i="4"/>
  <c r="AW294" i="4" s="1"/>
  <c r="Z295" i="4"/>
  <c r="AL294" i="4"/>
  <c r="AR294" i="4" s="1"/>
  <c r="AX294" i="4" s="1"/>
  <c r="BD294" i="4" s="1"/>
  <c r="AO293" i="4"/>
  <c r="P294" i="4"/>
  <c r="BJ293" i="4"/>
  <c r="AU292" i="4"/>
  <c r="BA292" i="4" s="1"/>
  <c r="BH292" i="4"/>
  <c r="AK295" i="4"/>
  <c r="L296" i="4"/>
  <c r="BK292" i="4"/>
  <c r="AA294" i="4" l="1"/>
  <c r="CC294" i="4"/>
  <c r="BZ294" i="4"/>
  <c r="X294" i="4"/>
  <c r="CD294" i="4"/>
  <c r="AB294" i="4"/>
  <c r="W294" i="4"/>
  <c r="CK294" i="4"/>
  <c r="BI294" i="4"/>
  <c r="S296" i="4"/>
  <c r="CG296" i="4"/>
  <c r="BV292" i="4"/>
  <c r="BY292" i="4" s="1"/>
  <c r="BL292" i="4"/>
  <c r="BK293" i="4"/>
  <c r="AU293" i="4"/>
  <c r="BA293" i="4" s="1"/>
  <c r="BH293" i="4"/>
  <c r="BV293" i="4" s="1"/>
  <c r="BY293" i="4" s="1"/>
  <c r="BO292" i="4"/>
  <c r="BG292" i="4"/>
  <c r="BP292" i="4" s="1"/>
  <c r="BQ292" i="4" s="1"/>
  <c r="AL295" i="4"/>
  <c r="AR295" i="4" s="1"/>
  <c r="AX295" i="4" s="1"/>
  <c r="BD295" i="4" s="1"/>
  <c r="M296" i="4"/>
  <c r="BC294" i="4"/>
  <c r="AQ295" i="4"/>
  <c r="AW295" i="4" s="1"/>
  <c r="AN294" i="4" l="1"/>
  <c r="AT294" i="4" s="1"/>
  <c r="AZ294" i="4" s="1"/>
  <c r="BF294" i="4" s="1"/>
  <c r="AB295" i="4"/>
  <c r="X295" i="4"/>
  <c r="AJ294" i="4"/>
  <c r="AP294" i="4" s="1"/>
  <c r="AV294" i="4" s="1"/>
  <c r="BB294" i="4" s="1"/>
  <c r="AM294" i="4"/>
  <c r="AS294" i="4" s="1"/>
  <c r="AY294" i="4" s="1"/>
  <c r="BE294" i="4" s="1"/>
  <c r="AA295" i="4"/>
  <c r="T296" i="4"/>
  <c r="CH296" i="4"/>
  <c r="BI295" i="4"/>
  <c r="BS294" i="4"/>
  <c r="BO293" i="4"/>
  <c r="BG293" i="4"/>
  <c r="BP293" i="4" s="1"/>
  <c r="BQ293" i="4" s="1"/>
  <c r="CA296" i="4"/>
  <c r="Y296" i="4"/>
  <c r="CE294" i="4"/>
  <c r="AC294" i="4"/>
  <c r="BC295" i="4"/>
  <c r="BL293" i="4"/>
  <c r="BM292" i="4"/>
  <c r="BN292" i="4" s="1"/>
  <c r="N296" i="4" l="1"/>
  <c r="AM295" i="4"/>
  <c r="AS295" i="4" s="1"/>
  <c r="AY295" i="4" s="1"/>
  <c r="BE295" i="4" s="1"/>
  <c r="O296" i="4"/>
  <c r="AN295" i="4"/>
  <c r="AT295" i="4" s="1"/>
  <c r="AZ295" i="4" s="1"/>
  <c r="BF295" i="4" s="1"/>
  <c r="AJ295" i="4"/>
  <c r="AP295" i="4" s="1"/>
  <c r="AV295" i="4" s="1"/>
  <c r="BB295" i="4" s="1"/>
  <c r="K296" i="4"/>
  <c r="BM293" i="4"/>
  <c r="BN293" i="4" s="1"/>
  <c r="AO294" i="4"/>
  <c r="AC295" i="4"/>
  <c r="BJ294" i="4"/>
  <c r="BS295" i="4"/>
  <c r="Y297" i="4"/>
  <c r="AK296" i="4"/>
  <c r="CB296" i="4"/>
  <c r="Z296" i="4"/>
  <c r="R296" i="4" l="1"/>
  <c r="CF296" i="4"/>
  <c r="CJ296" i="4"/>
  <c r="V296" i="4"/>
  <c r="CI296" i="4"/>
  <c r="U296" i="4"/>
  <c r="BK294" i="4"/>
  <c r="AO295" i="4"/>
  <c r="P296" i="4"/>
  <c r="BJ295" i="4"/>
  <c r="AU294" i="4"/>
  <c r="BA294" i="4" s="1"/>
  <c r="BH294" i="4"/>
  <c r="Z297" i="4"/>
  <c r="AL296" i="4"/>
  <c r="AR296" i="4" s="1"/>
  <c r="AX296" i="4" s="1"/>
  <c r="BD296" i="4" s="1"/>
  <c r="AQ296" i="4"/>
  <c r="AW296" i="4" s="1"/>
  <c r="AK297" i="4"/>
  <c r="L298" i="4"/>
  <c r="CC296" i="4" l="1"/>
  <c r="AA296" i="4"/>
  <c r="CD296" i="4"/>
  <c r="AB296" i="4"/>
  <c r="BZ296" i="4"/>
  <c r="X296" i="4"/>
  <c r="S298" i="4"/>
  <c r="CG298" i="4"/>
  <c r="BO294" i="4"/>
  <c r="BG294" i="4"/>
  <c r="BP294" i="4" s="1"/>
  <c r="BQ294" i="4" s="1"/>
  <c r="AQ297" i="4"/>
  <c r="AW297" i="4" s="1"/>
  <c r="BK295" i="4"/>
  <c r="AU295" i="4"/>
  <c r="BA295" i="4" s="1"/>
  <c r="BH295" i="4"/>
  <c r="BV295" i="4" s="1"/>
  <c r="BY295" i="4" s="1"/>
  <c r="BV294" i="4"/>
  <c r="BY294" i="4" s="1"/>
  <c r="BL294" i="4"/>
  <c r="AL297" i="4"/>
  <c r="AR297" i="4" s="1"/>
  <c r="AX297" i="4" s="1"/>
  <c r="BD297" i="4" s="1"/>
  <c r="M298" i="4"/>
  <c r="BC296" i="4"/>
  <c r="W296" i="4"/>
  <c r="CK296" i="4"/>
  <c r="BI296" i="4"/>
  <c r="AJ296" i="4" l="1"/>
  <c r="AP296" i="4" s="1"/>
  <c r="AV296" i="4" s="1"/>
  <c r="X297" i="4"/>
  <c r="BB296" i="4"/>
  <c r="AB297" i="4"/>
  <c r="AN296" i="4"/>
  <c r="AT296" i="4" s="1"/>
  <c r="AZ296" i="4" s="1"/>
  <c r="BF296" i="4" s="1"/>
  <c r="AA297" i="4"/>
  <c r="AM296" i="4"/>
  <c r="AS296" i="4" s="1"/>
  <c r="AY296" i="4" s="1"/>
  <c r="BE296" i="4" s="1"/>
  <c r="CE296" i="4"/>
  <c r="AC296" i="4"/>
  <c r="BL295" i="4"/>
  <c r="BM294" i="4"/>
  <c r="BN294" i="4" s="1"/>
  <c r="T298" i="4"/>
  <c r="CH298" i="4"/>
  <c r="BC297" i="4"/>
  <c r="BO295" i="4"/>
  <c r="BG295" i="4"/>
  <c r="BP295" i="4" s="1"/>
  <c r="BQ295" i="4" s="1"/>
  <c r="BS296" i="4"/>
  <c r="BI297" i="4"/>
  <c r="CA298" i="4"/>
  <c r="Y298" i="4"/>
  <c r="AM297" i="4" l="1"/>
  <c r="AS297" i="4" s="1"/>
  <c r="AY297" i="4" s="1"/>
  <c r="BE297" i="4" s="1"/>
  <c r="N298" i="4"/>
  <c r="AN297" i="4"/>
  <c r="AT297" i="4" s="1"/>
  <c r="AZ297" i="4" s="1"/>
  <c r="BF297" i="4" s="1"/>
  <c r="O298" i="4"/>
  <c r="AJ297" i="4"/>
  <c r="AP297" i="4" s="1"/>
  <c r="AV297" i="4" s="1"/>
  <c r="BB297" i="4" s="1"/>
  <c r="K298" i="4"/>
  <c r="Y299" i="4"/>
  <c r="AK298" i="4"/>
  <c r="CB298" i="4"/>
  <c r="Z298" i="4"/>
  <c r="BS297" i="4"/>
  <c r="AO296" i="4"/>
  <c r="AC297" i="4"/>
  <c r="BJ296" i="4"/>
  <c r="BM295" i="4"/>
  <c r="BN295" i="4" s="1"/>
  <c r="CJ298" i="4" l="1"/>
  <c r="V298" i="4"/>
  <c r="R298" i="4"/>
  <c r="CF298" i="4"/>
  <c r="U298" i="4"/>
  <c r="CI298" i="4"/>
  <c r="AO297" i="4"/>
  <c r="P298" i="4"/>
  <c r="BJ297" i="4"/>
  <c r="AL298" i="4"/>
  <c r="AR298" i="4" s="1"/>
  <c r="AX298" i="4" s="1"/>
  <c r="BD298" i="4" s="1"/>
  <c r="Z299" i="4"/>
  <c r="BK296" i="4"/>
  <c r="AQ298" i="4"/>
  <c r="AW298" i="4" s="1"/>
  <c r="AU296" i="4"/>
  <c r="BA296" i="4" s="1"/>
  <c r="BH296" i="4"/>
  <c r="AK299" i="4"/>
  <c r="L300" i="4"/>
  <c r="CC298" i="4" l="1"/>
  <c r="AA298" i="4"/>
  <c r="BZ298" i="4"/>
  <c r="X298" i="4"/>
  <c r="AB298" i="4"/>
  <c r="CD298" i="4"/>
  <c r="BK297" i="4"/>
  <c r="AU297" i="4"/>
  <c r="BA297" i="4" s="1"/>
  <c r="BH297" i="4"/>
  <c r="BV297" i="4" s="1"/>
  <c r="BY297" i="4" s="1"/>
  <c r="BC298" i="4"/>
  <c r="S300" i="4"/>
  <c r="CG300" i="4"/>
  <c r="AQ299" i="4"/>
  <c r="AW299" i="4" s="1"/>
  <c r="BO296" i="4"/>
  <c r="BG296" i="4"/>
  <c r="BP296" i="4" s="1"/>
  <c r="BQ296" i="4" s="1"/>
  <c r="W298" i="4"/>
  <c r="CK298" i="4"/>
  <c r="BI298" i="4"/>
  <c r="BV296" i="4"/>
  <c r="BY296" i="4" s="1"/>
  <c r="BL296" i="4"/>
  <c r="AL299" i="4"/>
  <c r="AR299" i="4" s="1"/>
  <c r="AX299" i="4" s="1"/>
  <c r="BD299" i="4" s="1"/>
  <c r="M300" i="4"/>
  <c r="AN298" i="4" l="1"/>
  <c r="AT298" i="4" s="1"/>
  <c r="AZ298" i="4" s="1"/>
  <c r="BF298" i="4" s="1"/>
  <c r="AB299" i="4"/>
  <c r="X299" i="4"/>
  <c r="AJ298" i="4"/>
  <c r="AP298" i="4" s="1"/>
  <c r="AV298" i="4" s="1"/>
  <c r="BB298" i="4" s="1"/>
  <c r="AM298" i="4"/>
  <c r="AS298" i="4" s="1"/>
  <c r="AY298" i="4" s="1"/>
  <c r="BE298" i="4" s="1"/>
  <c r="AA299" i="4"/>
  <c r="BC299" i="4"/>
  <c r="CE298" i="4"/>
  <c r="AC298" i="4"/>
  <c r="BO297" i="4"/>
  <c r="BG297" i="4"/>
  <c r="BP297" i="4" s="1"/>
  <c r="BQ297" i="4" s="1"/>
  <c r="BL297" i="4"/>
  <c r="BM296" i="4"/>
  <c r="BN296" i="4" s="1"/>
  <c r="BI299" i="4"/>
  <c r="BS298" i="4"/>
  <c r="CA300" i="4"/>
  <c r="Y300" i="4"/>
  <c r="T300" i="4"/>
  <c r="CH300" i="4"/>
  <c r="AM299" i="4" l="1"/>
  <c r="AS299" i="4" s="1"/>
  <c r="AY299" i="4" s="1"/>
  <c r="BE299" i="4"/>
  <c r="N300" i="4"/>
  <c r="AJ299" i="4"/>
  <c r="AP299" i="4" s="1"/>
  <c r="AV299" i="4" s="1"/>
  <c r="K300" i="4"/>
  <c r="BB299" i="4"/>
  <c r="AN299" i="4"/>
  <c r="AT299" i="4" s="1"/>
  <c r="AZ299" i="4" s="1"/>
  <c r="BF299" i="4" s="1"/>
  <c r="O300" i="4"/>
  <c r="BS299" i="4"/>
  <c r="BM297" i="4"/>
  <c r="BN297" i="4" s="1"/>
  <c r="CB300" i="4"/>
  <c r="Z300" i="4"/>
  <c r="AC299" i="4"/>
  <c r="AO298" i="4"/>
  <c r="BJ298" i="4"/>
  <c r="Y301" i="4"/>
  <c r="AK300" i="4"/>
  <c r="R300" i="4" l="1"/>
  <c r="CF300" i="4"/>
  <c r="V300" i="4"/>
  <c r="CJ300" i="4"/>
  <c r="U300" i="4"/>
  <c r="CI300" i="4"/>
  <c r="Z301" i="4"/>
  <c r="AL300" i="4"/>
  <c r="AR300" i="4" s="1"/>
  <c r="AX300" i="4" s="1"/>
  <c r="BD300" i="4" s="1"/>
  <c r="BK298" i="4"/>
  <c r="AO299" i="4"/>
  <c r="P300" i="4"/>
  <c r="BJ299" i="4"/>
  <c r="AQ300" i="4"/>
  <c r="AW300" i="4" s="1"/>
  <c r="AK301" i="4"/>
  <c r="L302" i="4"/>
  <c r="AU298" i="4"/>
  <c r="BA298" i="4" s="1"/>
  <c r="BH298" i="4"/>
  <c r="CC300" i="4" l="1"/>
  <c r="AA300" i="4"/>
  <c r="CD300" i="4"/>
  <c r="AB300" i="4"/>
  <c r="BZ300" i="4"/>
  <c r="X300" i="4"/>
  <c r="W300" i="4"/>
  <c r="CK300" i="4"/>
  <c r="BI300" i="4"/>
  <c r="BK299" i="4"/>
  <c r="AU299" i="4"/>
  <c r="BA299" i="4" s="1"/>
  <c r="BH299" i="4"/>
  <c r="BV299" i="4" s="1"/>
  <c r="BY299" i="4" s="1"/>
  <c r="AL301" i="4"/>
  <c r="AR301" i="4" s="1"/>
  <c r="AX301" i="4" s="1"/>
  <c r="BD301" i="4" s="1"/>
  <c r="M302" i="4"/>
  <c r="BO298" i="4"/>
  <c r="BG298" i="4"/>
  <c r="BP298" i="4" s="1"/>
  <c r="BQ298" i="4" s="1"/>
  <c r="AQ301" i="4"/>
  <c r="AW301" i="4" s="1"/>
  <c r="BV298" i="4"/>
  <c r="BY298" i="4" s="1"/>
  <c r="BL298" i="4"/>
  <c r="S302" i="4"/>
  <c r="CG302" i="4"/>
  <c r="BC300" i="4"/>
  <c r="X301" i="4" l="1"/>
  <c r="AJ300" i="4"/>
  <c r="AP300" i="4" s="1"/>
  <c r="AV300" i="4" s="1"/>
  <c r="BB300" i="4"/>
  <c r="AN300" i="4"/>
  <c r="AT300" i="4" s="1"/>
  <c r="AZ300" i="4" s="1"/>
  <c r="BF300" i="4" s="1"/>
  <c r="AB301" i="4"/>
  <c r="AM300" i="4"/>
  <c r="AS300" i="4" s="1"/>
  <c r="AY300" i="4" s="1"/>
  <c r="BE300" i="4" s="1"/>
  <c r="AA301" i="4"/>
  <c r="BI301" i="4"/>
  <c r="BS300" i="4"/>
  <c r="CA302" i="4"/>
  <c r="Y302" i="4"/>
  <c r="BL299" i="4"/>
  <c r="BM298" i="4"/>
  <c r="BN298" i="4" s="1"/>
  <c r="BO299" i="4"/>
  <c r="BG299" i="4"/>
  <c r="BP299" i="4" s="1"/>
  <c r="BQ299" i="4" s="1"/>
  <c r="BC301" i="4"/>
  <c r="T302" i="4"/>
  <c r="CH302" i="4"/>
  <c r="CE300" i="4"/>
  <c r="AC300" i="4"/>
  <c r="AM301" i="4" l="1"/>
  <c r="AS301" i="4" s="1"/>
  <c r="AY301" i="4" s="1"/>
  <c r="BE301" i="4" s="1"/>
  <c r="N302" i="4"/>
  <c r="O302" i="4"/>
  <c r="AN301" i="4"/>
  <c r="AT301" i="4" s="1"/>
  <c r="AZ301" i="4" s="1"/>
  <c r="BF301" i="4" s="1"/>
  <c r="K302" i="4"/>
  <c r="AJ301" i="4"/>
  <c r="AP301" i="4" s="1"/>
  <c r="AV301" i="4" s="1"/>
  <c r="BB301" i="4" s="1"/>
  <c r="BM299" i="4"/>
  <c r="BN299" i="4" s="1"/>
  <c r="CB302" i="4"/>
  <c r="Z302" i="4"/>
  <c r="BS301" i="4"/>
  <c r="AC301" i="4"/>
  <c r="AO300" i="4"/>
  <c r="BJ300" i="4"/>
  <c r="Y303" i="4"/>
  <c r="AK302" i="4"/>
  <c r="CF302" i="4" l="1"/>
  <c r="R302" i="4"/>
  <c r="U302" i="4"/>
  <c r="CI302" i="4"/>
  <c r="V302" i="4"/>
  <c r="CJ302" i="4"/>
  <c r="AK303" i="4"/>
  <c r="L304" i="4"/>
  <c r="Z303" i="4"/>
  <c r="AL302" i="4"/>
  <c r="AR302" i="4" s="1"/>
  <c r="AX302" i="4" s="1"/>
  <c r="BD302" i="4" s="1"/>
  <c r="AO301" i="4"/>
  <c r="P302" i="4"/>
  <c r="BJ301" i="4"/>
  <c r="AQ302" i="4"/>
  <c r="AW302" i="4" s="1"/>
  <c r="BK300" i="4"/>
  <c r="AU300" i="4"/>
  <c r="BA300" i="4" s="1"/>
  <c r="BH300" i="4"/>
  <c r="CD302" i="4" l="1"/>
  <c r="AB302" i="4"/>
  <c r="CC302" i="4"/>
  <c r="AA302" i="4"/>
  <c r="BZ302" i="4"/>
  <c r="X302" i="4"/>
  <c r="BV300" i="4"/>
  <c r="BY300" i="4" s="1"/>
  <c r="BL300" i="4"/>
  <c r="AL303" i="4"/>
  <c r="AR303" i="4" s="1"/>
  <c r="AX303" i="4" s="1"/>
  <c r="BD303" i="4" s="1"/>
  <c r="M304" i="4"/>
  <c r="S304" i="4"/>
  <c r="CG304" i="4"/>
  <c r="BO300" i="4"/>
  <c r="BG300" i="4"/>
  <c r="BP300" i="4" s="1"/>
  <c r="BQ300" i="4" s="1"/>
  <c r="BC302" i="4"/>
  <c r="BK301" i="4"/>
  <c r="AU301" i="4"/>
  <c r="BA301" i="4" s="1"/>
  <c r="BH301" i="4"/>
  <c r="BV301" i="4" s="1"/>
  <c r="BY301" i="4" s="1"/>
  <c r="AQ303" i="4"/>
  <c r="AW303" i="4" s="1"/>
  <c r="W302" i="4"/>
  <c r="CK302" i="4"/>
  <c r="BI302" i="4"/>
  <c r="X303" i="4" l="1"/>
  <c r="AJ302" i="4"/>
  <c r="AP302" i="4" s="1"/>
  <c r="AV302" i="4" s="1"/>
  <c r="BB302" i="4"/>
  <c r="AM302" i="4"/>
  <c r="AS302" i="4" s="1"/>
  <c r="AY302" i="4" s="1"/>
  <c r="BE302" i="4" s="1"/>
  <c r="AA303" i="4"/>
  <c r="AN302" i="4"/>
  <c r="AT302" i="4" s="1"/>
  <c r="AZ302" i="4" s="1"/>
  <c r="BF302" i="4" s="1"/>
  <c r="AB303" i="4"/>
  <c r="T304" i="4"/>
  <c r="CH304" i="4"/>
  <c r="CA304" i="4"/>
  <c r="Y304" i="4"/>
  <c r="BS302" i="4"/>
  <c r="BI303" i="4"/>
  <c r="BL301" i="4"/>
  <c r="BM300" i="4"/>
  <c r="BN300" i="4" s="1"/>
  <c r="BO301" i="4"/>
  <c r="BG301" i="4"/>
  <c r="BP301" i="4" s="1"/>
  <c r="BQ301" i="4" s="1"/>
  <c r="CE302" i="4"/>
  <c r="AC302" i="4"/>
  <c r="BC303" i="4"/>
  <c r="AN303" i="4" l="1"/>
  <c r="AT303" i="4" s="1"/>
  <c r="AZ303" i="4" s="1"/>
  <c r="BF303" i="4"/>
  <c r="O304" i="4"/>
  <c r="AM303" i="4"/>
  <c r="AS303" i="4" s="1"/>
  <c r="AY303" i="4" s="1"/>
  <c r="BE303" i="4" s="1"/>
  <c r="N304" i="4"/>
  <c r="AJ303" i="4"/>
  <c r="AP303" i="4" s="1"/>
  <c r="AV303" i="4" s="1"/>
  <c r="BB303" i="4" s="1"/>
  <c r="K304" i="4"/>
  <c r="BS303" i="4"/>
  <c r="AK304" i="4"/>
  <c r="Y305" i="4"/>
  <c r="AC303" i="4"/>
  <c r="AO302" i="4"/>
  <c r="BJ302" i="4"/>
  <c r="CB304" i="4"/>
  <c r="Z304" i="4"/>
  <c r="BM301" i="4"/>
  <c r="BN301" i="4" s="1"/>
  <c r="R304" i="4" l="1"/>
  <c r="CF304" i="4"/>
  <c r="CI304" i="4"/>
  <c r="U304" i="4"/>
  <c r="V304" i="4"/>
  <c r="CJ304" i="4"/>
  <c r="AO303" i="4"/>
  <c r="P304" i="4"/>
  <c r="BJ303" i="4"/>
  <c r="AQ304" i="4"/>
  <c r="AW304" i="4" s="1"/>
  <c r="AL304" i="4"/>
  <c r="AR304" i="4" s="1"/>
  <c r="AX304" i="4" s="1"/>
  <c r="BD304" i="4" s="1"/>
  <c r="Z305" i="4"/>
  <c r="AU302" i="4"/>
  <c r="BA302" i="4" s="1"/>
  <c r="BH302" i="4"/>
  <c r="AK305" i="4"/>
  <c r="L306" i="4"/>
  <c r="BK302" i="4"/>
  <c r="CD304" i="4" l="1"/>
  <c r="AB304" i="4"/>
  <c r="AA304" i="4"/>
  <c r="CC304" i="4"/>
  <c r="BZ304" i="4"/>
  <c r="X304" i="4"/>
  <c r="BO302" i="4"/>
  <c r="BG302" i="4"/>
  <c r="BP302" i="4" s="1"/>
  <c r="BQ302" i="4" s="1"/>
  <c r="BK303" i="4"/>
  <c r="BV302" i="4"/>
  <c r="BY302" i="4" s="1"/>
  <c r="BL302" i="4"/>
  <c r="BC304" i="4"/>
  <c r="CK304" i="4"/>
  <c r="W304" i="4"/>
  <c r="BI304" i="4"/>
  <c r="AU303" i="4"/>
  <c r="BA303" i="4" s="1"/>
  <c r="BH303" i="4"/>
  <c r="BV303" i="4" s="1"/>
  <c r="BY303" i="4" s="1"/>
  <c r="AL305" i="4"/>
  <c r="AR305" i="4" s="1"/>
  <c r="AX305" i="4" s="1"/>
  <c r="BD305" i="4" s="1"/>
  <c r="M306" i="4"/>
  <c r="S306" i="4"/>
  <c r="CG306" i="4"/>
  <c r="AQ305" i="4"/>
  <c r="AW305" i="4" s="1"/>
  <c r="AJ304" i="4" l="1"/>
  <c r="AP304" i="4" s="1"/>
  <c r="AV304" i="4" s="1"/>
  <c r="X305" i="4"/>
  <c r="BB304" i="4"/>
  <c r="AA305" i="4"/>
  <c r="AM304" i="4"/>
  <c r="AS304" i="4" s="1"/>
  <c r="AY304" i="4" s="1"/>
  <c r="BE304" i="4" s="1"/>
  <c r="AB305" i="4"/>
  <c r="AN304" i="4"/>
  <c r="AT304" i="4" s="1"/>
  <c r="AZ304" i="4" s="1"/>
  <c r="BF304" i="4" s="1"/>
  <c r="T306" i="4"/>
  <c r="CH306" i="4"/>
  <c r="BL303" i="4"/>
  <c r="BM302" i="4"/>
  <c r="BN302" i="4" s="1"/>
  <c r="BC305" i="4"/>
  <c r="CE304" i="4"/>
  <c r="AC304" i="4"/>
  <c r="BO303" i="4"/>
  <c r="BG303" i="4"/>
  <c r="BP303" i="4" s="1"/>
  <c r="BQ303" i="4" s="1"/>
  <c r="BI305" i="4"/>
  <c r="BS304" i="4"/>
  <c r="CA306" i="4"/>
  <c r="Y306" i="4"/>
  <c r="AN305" i="4" l="1"/>
  <c r="AT305" i="4" s="1"/>
  <c r="AZ305" i="4" s="1"/>
  <c r="BF305" i="4" s="1"/>
  <c r="O306" i="4"/>
  <c r="N306" i="4"/>
  <c r="AM305" i="4"/>
  <c r="AS305" i="4" s="1"/>
  <c r="AY305" i="4" s="1"/>
  <c r="BE305" i="4" s="1"/>
  <c r="AJ305" i="4"/>
  <c r="AP305" i="4" s="1"/>
  <c r="AV305" i="4" s="1"/>
  <c r="BB305" i="4" s="1"/>
  <c r="K306" i="4"/>
  <c r="AK306" i="4"/>
  <c r="Y307" i="4"/>
  <c r="BM303" i="4"/>
  <c r="BN303" i="4" s="1"/>
  <c r="BS305" i="4"/>
  <c r="AO304" i="4"/>
  <c r="AC305" i="4"/>
  <c r="BJ304" i="4"/>
  <c r="CB306" i="4"/>
  <c r="Z306" i="4"/>
  <c r="R306" i="4" l="1"/>
  <c r="CF306" i="4"/>
  <c r="CI306" i="4"/>
  <c r="U306" i="4"/>
  <c r="CJ306" i="4"/>
  <c r="V306" i="4"/>
  <c r="AL306" i="4"/>
  <c r="AR306" i="4" s="1"/>
  <c r="AX306" i="4" s="1"/>
  <c r="Z307" i="4"/>
  <c r="BD306" i="4"/>
  <c r="AU304" i="4"/>
  <c r="BA304" i="4" s="1"/>
  <c r="BH304" i="4"/>
  <c r="AK307" i="4"/>
  <c r="L308" i="4"/>
  <c r="BK304" i="4"/>
  <c r="AO305" i="4"/>
  <c r="P306" i="4"/>
  <c r="BJ305" i="4"/>
  <c r="AQ306" i="4"/>
  <c r="AW306" i="4" s="1"/>
  <c r="CD306" i="4" l="1"/>
  <c r="AB306" i="4"/>
  <c r="CC306" i="4"/>
  <c r="AA306" i="4"/>
  <c r="BZ306" i="4"/>
  <c r="X306" i="4"/>
  <c r="BC306" i="4"/>
  <c r="AU305" i="4"/>
  <c r="BA305" i="4" s="1"/>
  <c r="BH305" i="4"/>
  <c r="BV305" i="4" s="1"/>
  <c r="BY305" i="4" s="1"/>
  <c r="AQ307" i="4"/>
  <c r="AW307" i="4" s="1"/>
  <c r="W306" i="4"/>
  <c r="CK306" i="4"/>
  <c r="BI306" i="4"/>
  <c r="S308" i="4"/>
  <c r="CG308" i="4"/>
  <c r="AL307" i="4"/>
  <c r="AR307" i="4" s="1"/>
  <c r="AX307" i="4" s="1"/>
  <c r="BD307" i="4" s="1"/>
  <c r="M308" i="4"/>
  <c r="BO304" i="4"/>
  <c r="BG304" i="4"/>
  <c r="BP304" i="4" s="1"/>
  <c r="BQ304" i="4" s="1"/>
  <c r="BK305" i="4"/>
  <c r="BV304" i="4"/>
  <c r="BY304" i="4" s="1"/>
  <c r="BL304" i="4"/>
  <c r="X307" i="4" l="1"/>
  <c r="AJ306" i="4"/>
  <c r="AP306" i="4" s="1"/>
  <c r="AV306" i="4" s="1"/>
  <c r="BB306" i="4"/>
  <c r="AA307" i="4"/>
  <c r="AM306" i="4"/>
  <c r="AS306" i="4" s="1"/>
  <c r="AY306" i="4" s="1"/>
  <c r="BE306" i="4" s="1"/>
  <c r="AN306" i="4"/>
  <c r="AT306" i="4" s="1"/>
  <c r="AZ306" i="4" s="1"/>
  <c r="BF306" i="4" s="1"/>
  <c r="AB307" i="4"/>
  <c r="T308" i="4"/>
  <c r="CH308" i="4"/>
  <c r="CA308" i="4"/>
  <c r="Y308" i="4"/>
  <c r="CE306" i="4"/>
  <c r="AC306" i="4"/>
  <c r="BC307" i="4"/>
  <c r="BO305" i="4"/>
  <c r="BG305" i="4"/>
  <c r="BP305" i="4" s="1"/>
  <c r="BQ305" i="4" s="1"/>
  <c r="BL305" i="4"/>
  <c r="BM304" i="4"/>
  <c r="BN304" i="4" s="1"/>
  <c r="BI307" i="4"/>
  <c r="BS306" i="4"/>
  <c r="AN307" i="4" l="1"/>
  <c r="AT307" i="4" s="1"/>
  <c r="AZ307" i="4" s="1"/>
  <c r="BF307" i="4"/>
  <c r="O308" i="4"/>
  <c r="N308" i="4"/>
  <c r="AM307" i="4"/>
  <c r="AS307" i="4" s="1"/>
  <c r="AY307" i="4" s="1"/>
  <c r="BE307" i="4" s="1"/>
  <c r="AJ307" i="4"/>
  <c r="AP307" i="4" s="1"/>
  <c r="AV307" i="4" s="1"/>
  <c r="BB307" i="4" s="1"/>
  <c r="K308" i="4"/>
  <c r="AO306" i="4"/>
  <c r="AC307" i="4"/>
  <c r="BJ306" i="4"/>
  <c r="Y309" i="4"/>
  <c r="AK308" i="4"/>
  <c r="BM305" i="4"/>
  <c r="BN305" i="4" s="1"/>
  <c r="BS307" i="4"/>
  <c r="CB308" i="4"/>
  <c r="Z308" i="4"/>
  <c r="R308" i="4" l="1"/>
  <c r="CF308" i="4"/>
  <c r="CI308" i="4"/>
  <c r="U308" i="4"/>
  <c r="V308" i="4"/>
  <c r="CJ308" i="4"/>
  <c r="AK309" i="4"/>
  <c r="L310" i="4"/>
  <c r="Z309" i="4"/>
  <c r="AL308" i="4"/>
  <c r="AR308" i="4" s="1"/>
  <c r="AX308" i="4" s="1"/>
  <c r="BD308" i="4" s="1"/>
  <c r="BK306" i="4"/>
  <c r="AU306" i="4"/>
  <c r="BA306" i="4" s="1"/>
  <c r="BH306" i="4"/>
  <c r="AQ308" i="4"/>
  <c r="AW308" i="4" s="1"/>
  <c r="AO307" i="4"/>
  <c r="P308" i="4"/>
  <c r="BJ307" i="4"/>
  <c r="AB308" i="4" l="1"/>
  <c r="CD308" i="4"/>
  <c r="AA308" i="4"/>
  <c r="CC308" i="4"/>
  <c r="BZ308" i="4"/>
  <c r="X308" i="4"/>
  <c r="BK307" i="4"/>
  <c r="W308" i="4"/>
  <c r="CK308" i="4"/>
  <c r="BI308" i="4"/>
  <c r="BC308" i="4"/>
  <c r="S310" i="4"/>
  <c r="CG310" i="4"/>
  <c r="BV306" i="4"/>
  <c r="BY306" i="4" s="1"/>
  <c r="BL306" i="4"/>
  <c r="AQ309" i="4"/>
  <c r="AW309" i="4" s="1"/>
  <c r="AU307" i="4"/>
  <c r="BA307" i="4" s="1"/>
  <c r="BH307" i="4"/>
  <c r="BV307" i="4" s="1"/>
  <c r="BY307" i="4" s="1"/>
  <c r="AL309" i="4"/>
  <c r="AR309" i="4" s="1"/>
  <c r="AX309" i="4" s="1"/>
  <c r="BD309" i="4" s="1"/>
  <c r="M310" i="4"/>
  <c r="BO306" i="4"/>
  <c r="BG306" i="4"/>
  <c r="BP306" i="4" s="1"/>
  <c r="BQ306" i="4" s="1"/>
  <c r="AJ308" i="4" l="1"/>
  <c r="AP308" i="4" s="1"/>
  <c r="AV308" i="4" s="1"/>
  <c r="X309" i="4"/>
  <c r="BB308" i="4"/>
  <c r="AM308" i="4"/>
  <c r="AS308" i="4" s="1"/>
  <c r="AY308" i="4" s="1"/>
  <c r="BE308" i="4" s="1"/>
  <c r="AA309" i="4"/>
  <c r="AN308" i="4"/>
  <c r="AT308" i="4" s="1"/>
  <c r="AZ308" i="4" s="1"/>
  <c r="BF308" i="4" s="1"/>
  <c r="AB309" i="4"/>
  <c r="BC309" i="4"/>
  <c r="BI309" i="4"/>
  <c r="BS308" i="4"/>
  <c r="CE308" i="4"/>
  <c r="AC308" i="4"/>
  <c r="BL307" i="4"/>
  <c r="BM306" i="4"/>
  <c r="BN306" i="4" s="1"/>
  <c r="BO307" i="4"/>
  <c r="BG307" i="4"/>
  <c r="BP307" i="4" s="1"/>
  <c r="BQ307" i="4" s="1"/>
  <c r="CA310" i="4"/>
  <c r="Y310" i="4"/>
  <c r="T310" i="4"/>
  <c r="CH310" i="4"/>
  <c r="N310" i="4" l="1"/>
  <c r="AM309" i="4"/>
  <c r="AS309" i="4" s="1"/>
  <c r="AY309" i="4" s="1"/>
  <c r="BE309" i="4" s="1"/>
  <c r="AN309" i="4"/>
  <c r="AT309" i="4" s="1"/>
  <c r="AZ309" i="4" s="1"/>
  <c r="BF309" i="4" s="1"/>
  <c r="O310" i="4"/>
  <c r="AJ309" i="4"/>
  <c r="AP309" i="4" s="1"/>
  <c r="AV309" i="4" s="1"/>
  <c r="BB309" i="4" s="1"/>
  <c r="K310" i="4"/>
  <c r="AO308" i="4"/>
  <c r="AC309" i="4"/>
  <c r="BJ308" i="4"/>
  <c r="CB310" i="4"/>
  <c r="Z310" i="4"/>
  <c r="BS309" i="4"/>
  <c r="Y311" i="4"/>
  <c r="AK310" i="4"/>
  <c r="BM307" i="4"/>
  <c r="BN307" i="4" s="1"/>
  <c r="R310" i="4" l="1"/>
  <c r="CF310" i="4"/>
  <c r="V310" i="4"/>
  <c r="CJ310" i="4"/>
  <c r="U310" i="4"/>
  <c r="CI310" i="4"/>
  <c r="AK311" i="4"/>
  <c r="L312" i="4"/>
  <c r="AQ310" i="4"/>
  <c r="AW310" i="4" s="1"/>
  <c r="AL310" i="4"/>
  <c r="AR310" i="4" s="1"/>
  <c r="AX310" i="4" s="1"/>
  <c r="BD310" i="4" s="1"/>
  <c r="Z311" i="4"/>
  <c r="AO309" i="4"/>
  <c r="P310" i="4"/>
  <c r="BJ309" i="4"/>
  <c r="BK308" i="4"/>
  <c r="AU308" i="4"/>
  <c r="BA308" i="4" s="1"/>
  <c r="BH308" i="4"/>
  <c r="AA310" i="4" l="1"/>
  <c r="CC310" i="4"/>
  <c r="CD310" i="4"/>
  <c r="AB310" i="4"/>
  <c r="BZ310" i="4"/>
  <c r="X310" i="4"/>
  <c r="BO308" i="4"/>
  <c r="BG308" i="4"/>
  <c r="BP308" i="4" s="1"/>
  <c r="BQ308" i="4" s="1"/>
  <c r="BC310" i="4"/>
  <c r="BK309" i="4"/>
  <c r="AL311" i="4"/>
  <c r="AR311" i="4" s="1"/>
  <c r="AX311" i="4" s="1"/>
  <c r="BD311" i="4" s="1"/>
  <c r="M312" i="4"/>
  <c r="S312" i="4"/>
  <c r="CG312" i="4"/>
  <c r="AQ311" i="4"/>
  <c r="AW311" i="4" s="1"/>
  <c r="BV308" i="4"/>
  <c r="BY308" i="4" s="1"/>
  <c r="BL308" i="4"/>
  <c r="W310" i="4"/>
  <c r="CK310" i="4"/>
  <c r="BI310" i="4"/>
  <c r="AU309" i="4"/>
  <c r="BA309" i="4" s="1"/>
  <c r="BH309" i="4"/>
  <c r="BV309" i="4" s="1"/>
  <c r="BY309" i="4" s="1"/>
  <c r="AJ310" i="4" l="1"/>
  <c r="AP310" i="4" s="1"/>
  <c r="AV310" i="4" s="1"/>
  <c r="X311" i="4"/>
  <c r="BB310" i="4"/>
  <c r="AN310" i="4"/>
  <c r="AT310" i="4" s="1"/>
  <c r="AZ310" i="4" s="1"/>
  <c r="BF310" i="4" s="1"/>
  <c r="AB311" i="4"/>
  <c r="AM310" i="4"/>
  <c r="AS310" i="4" s="1"/>
  <c r="AY310" i="4" s="1"/>
  <c r="BE310" i="4" s="1"/>
  <c r="AA311" i="4"/>
  <c r="BL309" i="4"/>
  <c r="BM308" i="4"/>
  <c r="BN308" i="4" s="1"/>
  <c r="CA312" i="4"/>
  <c r="Y312" i="4"/>
  <c r="T312" i="4"/>
  <c r="CH312" i="4"/>
  <c r="BC311" i="4"/>
  <c r="BO309" i="4"/>
  <c r="BG309" i="4"/>
  <c r="BP309" i="4" s="1"/>
  <c r="BQ309" i="4" s="1"/>
  <c r="BI311" i="4"/>
  <c r="BS310" i="4"/>
  <c r="CE310" i="4"/>
  <c r="AC310" i="4"/>
  <c r="N312" i="4" l="1"/>
  <c r="AM311" i="4"/>
  <c r="AS311" i="4" s="1"/>
  <c r="AY311" i="4" s="1"/>
  <c r="BE311" i="4" s="1"/>
  <c r="AN311" i="4"/>
  <c r="AT311" i="4" s="1"/>
  <c r="AZ311" i="4" s="1"/>
  <c r="BF311" i="4" s="1"/>
  <c r="O312" i="4"/>
  <c r="AJ311" i="4"/>
  <c r="AP311" i="4" s="1"/>
  <c r="AV311" i="4" s="1"/>
  <c r="BB311" i="4" s="1"/>
  <c r="K312" i="4"/>
  <c r="AK312" i="4"/>
  <c r="Y313" i="4"/>
  <c r="AC311" i="4"/>
  <c r="AO310" i="4"/>
  <c r="BJ310" i="4"/>
  <c r="BM309" i="4"/>
  <c r="BN309" i="4" s="1"/>
  <c r="BS311" i="4"/>
  <c r="CB312" i="4"/>
  <c r="Z312" i="4"/>
  <c r="CJ312" i="4" l="1"/>
  <c r="V312" i="4"/>
  <c r="CF312" i="4"/>
  <c r="R312" i="4"/>
  <c r="U312" i="4"/>
  <c r="CI312" i="4"/>
  <c r="AO311" i="4"/>
  <c r="P312" i="4"/>
  <c r="BJ311" i="4"/>
  <c r="AK313" i="4"/>
  <c r="L314" i="4"/>
  <c r="AQ312" i="4"/>
  <c r="AW312" i="4" s="1"/>
  <c r="AU310" i="4"/>
  <c r="BA310" i="4" s="1"/>
  <c r="BH310" i="4"/>
  <c r="AL312" i="4"/>
  <c r="AR312" i="4" s="1"/>
  <c r="AX312" i="4" s="1"/>
  <c r="BD312" i="4" s="1"/>
  <c r="Z313" i="4"/>
  <c r="BK310" i="4"/>
  <c r="CC312" i="4" l="1"/>
  <c r="AA312" i="4"/>
  <c r="BZ312" i="4"/>
  <c r="X312" i="4"/>
  <c r="AB312" i="4"/>
  <c r="CD312" i="4"/>
  <c r="BK311" i="4"/>
  <c r="AQ313" i="4"/>
  <c r="AW313" i="4" s="1"/>
  <c r="BV310" i="4"/>
  <c r="BY310" i="4" s="1"/>
  <c r="BL310" i="4"/>
  <c r="BO310" i="4"/>
  <c r="BG310" i="4"/>
  <c r="BP310" i="4" s="1"/>
  <c r="BQ310" i="4" s="1"/>
  <c r="BC312" i="4"/>
  <c r="S314" i="4"/>
  <c r="CG314" i="4"/>
  <c r="AL313" i="4"/>
  <c r="AR313" i="4" s="1"/>
  <c r="AX313" i="4" s="1"/>
  <c r="BD313" i="4" s="1"/>
  <c r="M314" i="4"/>
  <c r="W312" i="4"/>
  <c r="CK312" i="4"/>
  <c r="BI312" i="4"/>
  <c r="AU311" i="4"/>
  <c r="BA311" i="4" s="1"/>
  <c r="BH311" i="4"/>
  <c r="BV311" i="4" s="1"/>
  <c r="BY311" i="4" s="1"/>
  <c r="AB313" i="4" l="1"/>
  <c r="AN312" i="4"/>
  <c r="AT312" i="4" s="1"/>
  <c r="AZ312" i="4" s="1"/>
  <c r="BF312" i="4" s="1"/>
  <c r="AJ312" i="4"/>
  <c r="AP312" i="4" s="1"/>
  <c r="AV312" i="4" s="1"/>
  <c r="X313" i="4"/>
  <c r="BB312" i="4"/>
  <c r="AA313" i="4"/>
  <c r="AM312" i="4"/>
  <c r="AS312" i="4" s="1"/>
  <c r="AY312" i="4" s="1"/>
  <c r="BE312" i="4" s="1"/>
  <c r="CE312" i="4"/>
  <c r="AC312" i="4"/>
  <c r="T314" i="4"/>
  <c r="CH314" i="4"/>
  <c r="BL311" i="4"/>
  <c r="BM310" i="4"/>
  <c r="BN310" i="4" s="1"/>
  <c r="BC313" i="4"/>
  <c r="BO311" i="4"/>
  <c r="BG311" i="4"/>
  <c r="BP311" i="4" s="1"/>
  <c r="BQ311" i="4" s="1"/>
  <c r="CA314" i="4"/>
  <c r="Y314" i="4"/>
  <c r="BI313" i="4"/>
  <c r="BS312" i="4"/>
  <c r="AM313" i="4" l="1"/>
  <c r="AS313" i="4" s="1"/>
  <c r="AY313" i="4" s="1"/>
  <c r="BE313" i="4" s="1"/>
  <c r="N314" i="4"/>
  <c r="AJ313" i="4"/>
  <c r="AP313" i="4" s="1"/>
  <c r="AV313" i="4" s="1"/>
  <c r="BB313" i="4" s="1"/>
  <c r="K314" i="4"/>
  <c r="O314" i="4"/>
  <c r="AN313" i="4"/>
  <c r="AT313" i="4" s="1"/>
  <c r="AZ313" i="4" s="1"/>
  <c r="BF313" i="4" s="1"/>
  <c r="CB314" i="4"/>
  <c r="Z314" i="4"/>
  <c r="BM311" i="4"/>
  <c r="BN311" i="4" s="1"/>
  <c r="Y315" i="4"/>
  <c r="AK314" i="4"/>
  <c r="AO312" i="4"/>
  <c r="AC313" i="4"/>
  <c r="BJ312" i="4"/>
  <c r="BS313" i="4"/>
  <c r="V314" i="4" l="1"/>
  <c r="CJ314" i="4"/>
  <c r="R314" i="4"/>
  <c r="CF314" i="4"/>
  <c r="CI314" i="4"/>
  <c r="U314" i="4"/>
  <c r="AQ314" i="4"/>
  <c r="AW314" i="4" s="1"/>
  <c r="AK315" i="4"/>
  <c r="L316" i="4"/>
  <c r="AL314" i="4"/>
  <c r="AR314" i="4" s="1"/>
  <c r="AX314" i="4" s="1"/>
  <c r="BD314" i="4" s="1"/>
  <c r="Z315" i="4"/>
  <c r="BK312" i="4"/>
  <c r="AO313" i="4"/>
  <c r="P314" i="4"/>
  <c r="BJ313" i="4"/>
  <c r="AU312" i="4"/>
  <c r="BA312" i="4" s="1"/>
  <c r="BH312" i="4"/>
  <c r="CC314" i="4" l="1"/>
  <c r="AA314" i="4"/>
  <c r="BZ314" i="4"/>
  <c r="X314" i="4"/>
  <c r="AB314" i="4"/>
  <c r="CD314" i="4"/>
  <c r="BK313" i="4"/>
  <c r="AL315" i="4"/>
  <c r="AR315" i="4" s="1"/>
  <c r="AX315" i="4" s="1"/>
  <c r="BD315" i="4" s="1"/>
  <c r="M316" i="4"/>
  <c r="BO312" i="4"/>
  <c r="BG312" i="4"/>
  <c r="BP312" i="4" s="1"/>
  <c r="BQ312" i="4" s="1"/>
  <c r="BV312" i="4"/>
  <c r="BY312" i="4" s="1"/>
  <c r="BL312" i="4"/>
  <c r="AQ315" i="4"/>
  <c r="AW315" i="4" s="1"/>
  <c r="W314" i="4"/>
  <c r="CK314" i="4"/>
  <c r="BI314" i="4"/>
  <c r="BC314" i="4"/>
  <c r="AU313" i="4"/>
  <c r="BA313" i="4" s="1"/>
  <c r="BH313" i="4"/>
  <c r="BV313" i="4" s="1"/>
  <c r="BY313" i="4" s="1"/>
  <c r="CG316" i="4"/>
  <c r="S316" i="4"/>
  <c r="AB315" i="4" l="1"/>
  <c r="AN314" i="4"/>
  <c r="AT314" i="4" s="1"/>
  <c r="AZ314" i="4" s="1"/>
  <c r="BF314" i="4" s="1"/>
  <c r="AJ314" i="4"/>
  <c r="AP314" i="4" s="1"/>
  <c r="AV314" i="4" s="1"/>
  <c r="X315" i="4"/>
  <c r="BB314" i="4"/>
  <c r="AM314" i="4"/>
  <c r="AS314" i="4" s="1"/>
  <c r="AY314" i="4" s="1"/>
  <c r="BE314" i="4" s="1"/>
  <c r="AA315" i="4"/>
  <c r="T316" i="4"/>
  <c r="CH316" i="4"/>
  <c r="BI315" i="4"/>
  <c r="BS314" i="4"/>
  <c r="BL313" i="4"/>
  <c r="BM312" i="4"/>
  <c r="BN312" i="4" s="1"/>
  <c r="CA316" i="4"/>
  <c r="Y316" i="4"/>
  <c r="BC315" i="4"/>
  <c r="CE314" i="4"/>
  <c r="AC314" i="4"/>
  <c r="BO313" i="4"/>
  <c r="BG313" i="4"/>
  <c r="BP313" i="4" s="1"/>
  <c r="BQ313" i="4" s="1"/>
  <c r="AM315" i="4" l="1"/>
  <c r="AS315" i="4" s="1"/>
  <c r="AY315" i="4" s="1"/>
  <c r="BE315" i="4" s="1"/>
  <c r="N316" i="4"/>
  <c r="AJ315" i="4"/>
  <c r="AP315" i="4" s="1"/>
  <c r="AV315" i="4" s="1"/>
  <c r="BB315" i="4" s="1"/>
  <c r="K316" i="4"/>
  <c r="AN315" i="4"/>
  <c r="AT315" i="4" s="1"/>
  <c r="AZ315" i="4" s="1"/>
  <c r="BF315" i="4" s="1"/>
  <c r="O316" i="4"/>
  <c r="AK316" i="4"/>
  <c r="Y317" i="4"/>
  <c r="BS315" i="4"/>
  <c r="CB316" i="4"/>
  <c r="Z316" i="4"/>
  <c r="AC315" i="4"/>
  <c r="AO314" i="4"/>
  <c r="BJ314" i="4"/>
  <c r="BM313" i="4"/>
  <c r="BN313" i="4" s="1"/>
  <c r="CJ316" i="4" l="1"/>
  <c r="V316" i="4"/>
  <c r="R316" i="4"/>
  <c r="CF316" i="4"/>
  <c r="U316" i="4"/>
  <c r="CI316" i="4"/>
  <c r="Z317" i="4"/>
  <c r="AL316" i="4"/>
  <c r="AR316" i="4" s="1"/>
  <c r="AX316" i="4" s="1"/>
  <c r="BD316" i="4" s="1"/>
  <c r="AK317" i="4"/>
  <c r="L318" i="4"/>
  <c r="AQ316" i="4"/>
  <c r="AW316" i="4" s="1"/>
  <c r="AO315" i="4"/>
  <c r="P316" i="4"/>
  <c r="BJ315" i="4"/>
  <c r="BK314" i="4"/>
  <c r="AU314" i="4"/>
  <c r="BA314" i="4" s="1"/>
  <c r="BH314" i="4"/>
  <c r="CC316" i="4" l="1"/>
  <c r="AA316" i="4"/>
  <c r="BZ316" i="4"/>
  <c r="X316" i="4"/>
  <c r="AB316" i="4"/>
  <c r="CD316" i="4"/>
  <c r="BV314" i="4"/>
  <c r="BY314" i="4" s="1"/>
  <c r="BL314" i="4"/>
  <c r="BC316" i="4"/>
  <c r="S318" i="4"/>
  <c r="CG318" i="4"/>
  <c r="CK316" i="4"/>
  <c r="W316" i="4"/>
  <c r="BI316" i="4"/>
  <c r="AU315" i="4"/>
  <c r="BA315" i="4" s="1"/>
  <c r="BH315" i="4"/>
  <c r="BV315" i="4" s="1"/>
  <c r="BY315" i="4" s="1"/>
  <c r="AQ317" i="4"/>
  <c r="AW317" i="4" s="1"/>
  <c r="BO314" i="4"/>
  <c r="BG314" i="4"/>
  <c r="BP314" i="4" s="1"/>
  <c r="BQ314" i="4" s="1"/>
  <c r="BK315" i="4"/>
  <c r="AL317" i="4"/>
  <c r="AR317" i="4" s="1"/>
  <c r="AX317" i="4" s="1"/>
  <c r="BD317" i="4" s="1"/>
  <c r="M318" i="4"/>
  <c r="AB317" i="4" l="1"/>
  <c r="AN316" i="4"/>
  <c r="AT316" i="4" s="1"/>
  <c r="AZ316" i="4" s="1"/>
  <c r="BF316" i="4" s="1"/>
  <c r="AJ316" i="4"/>
  <c r="AP316" i="4" s="1"/>
  <c r="AV316" i="4" s="1"/>
  <c r="X317" i="4"/>
  <c r="BB316" i="4"/>
  <c r="AA317" i="4"/>
  <c r="AM316" i="4"/>
  <c r="AS316" i="4" s="1"/>
  <c r="AY316" i="4" s="1"/>
  <c r="BE316" i="4" s="1"/>
  <c r="BI317" i="4"/>
  <c r="BS316" i="4"/>
  <c r="CE316" i="4"/>
  <c r="AC316" i="4"/>
  <c r="BC317" i="4"/>
  <c r="CA318" i="4"/>
  <c r="Y318" i="4"/>
  <c r="BO315" i="4"/>
  <c r="BG315" i="4"/>
  <c r="BP315" i="4" s="1"/>
  <c r="BQ315" i="4" s="1"/>
  <c r="T318" i="4"/>
  <c r="CH318" i="4"/>
  <c r="BL315" i="4"/>
  <c r="BM314" i="4"/>
  <c r="BN314" i="4" s="1"/>
  <c r="K318" i="4" l="1"/>
  <c r="AJ317" i="4"/>
  <c r="AP317" i="4" s="1"/>
  <c r="AV317" i="4" s="1"/>
  <c r="BB317" i="4"/>
  <c r="AM317" i="4"/>
  <c r="AS317" i="4" s="1"/>
  <c r="AY317" i="4" s="1"/>
  <c r="BE317" i="4" s="1"/>
  <c r="N318" i="4"/>
  <c r="AN317" i="4"/>
  <c r="AT317" i="4" s="1"/>
  <c r="AZ317" i="4" s="1"/>
  <c r="BF317" i="4" s="1"/>
  <c r="O318" i="4"/>
  <c r="Y319" i="4"/>
  <c r="AK318" i="4"/>
  <c r="AC317" i="4"/>
  <c r="AO316" i="4"/>
  <c r="BJ316" i="4"/>
  <c r="BS317" i="4"/>
  <c r="CB318" i="4"/>
  <c r="Z318" i="4"/>
  <c r="BM315" i="4"/>
  <c r="BN315" i="4" s="1"/>
  <c r="CJ318" i="4" l="1"/>
  <c r="V318" i="4"/>
  <c r="CI318" i="4"/>
  <c r="U318" i="4"/>
  <c r="CF318" i="4"/>
  <c r="R318" i="4"/>
  <c r="AU316" i="4"/>
  <c r="BA316" i="4" s="1"/>
  <c r="BH316" i="4"/>
  <c r="AO317" i="4"/>
  <c r="P318" i="4"/>
  <c r="BJ317" i="4"/>
  <c r="AK319" i="4"/>
  <c r="L320" i="4"/>
  <c r="AQ318" i="4"/>
  <c r="AW318" i="4" s="1"/>
  <c r="AL318" i="4"/>
  <c r="AR318" i="4" s="1"/>
  <c r="AX318" i="4" s="1"/>
  <c r="BD318" i="4" s="1"/>
  <c r="Z319" i="4"/>
  <c r="BK316" i="4"/>
  <c r="BZ318" i="4" l="1"/>
  <c r="X318" i="4"/>
  <c r="CC318" i="4"/>
  <c r="AA318" i="4"/>
  <c r="CD318" i="4"/>
  <c r="AB318" i="4"/>
  <c r="AQ319" i="4"/>
  <c r="AW319" i="4" s="1"/>
  <c r="W318" i="4"/>
  <c r="CK318" i="4"/>
  <c r="BI318" i="4"/>
  <c r="AL319" i="4"/>
  <c r="AR319" i="4" s="1"/>
  <c r="AX319" i="4" s="1"/>
  <c r="BD319" i="4" s="1"/>
  <c r="M320" i="4"/>
  <c r="BC318" i="4"/>
  <c r="BK317" i="4"/>
  <c r="BV316" i="4"/>
  <c r="BY316" i="4" s="1"/>
  <c r="BL316" i="4"/>
  <c r="S320" i="4"/>
  <c r="CG320" i="4"/>
  <c r="AU317" i="4"/>
  <c r="BA317" i="4" s="1"/>
  <c r="BH317" i="4"/>
  <c r="BV317" i="4" s="1"/>
  <c r="BY317" i="4" s="1"/>
  <c r="BO316" i="4"/>
  <c r="BG316" i="4"/>
  <c r="BP316" i="4" s="1"/>
  <c r="BQ316" i="4" s="1"/>
  <c r="AN318" i="4" l="1"/>
  <c r="AT318" i="4" s="1"/>
  <c r="AZ318" i="4" s="1"/>
  <c r="BF318" i="4" s="1"/>
  <c r="AB319" i="4"/>
  <c r="AM318" i="4"/>
  <c r="AS318" i="4" s="1"/>
  <c r="AY318" i="4" s="1"/>
  <c r="BE318" i="4" s="1"/>
  <c r="AA319" i="4"/>
  <c r="AJ318" i="4"/>
  <c r="AP318" i="4" s="1"/>
  <c r="AV318" i="4" s="1"/>
  <c r="BB318" i="4" s="1"/>
  <c r="X319" i="4"/>
  <c r="CE318" i="4"/>
  <c r="AC318" i="4"/>
  <c r="BC319" i="4"/>
  <c r="BS318" i="4"/>
  <c r="BI319" i="4"/>
  <c r="T320" i="4"/>
  <c r="CH320" i="4"/>
  <c r="CA320" i="4"/>
  <c r="Y320" i="4"/>
  <c r="BL317" i="4"/>
  <c r="BM316" i="4"/>
  <c r="BN316" i="4" s="1"/>
  <c r="BO317" i="4"/>
  <c r="BG317" i="4"/>
  <c r="BP317" i="4" s="1"/>
  <c r="BQ317" i="4" s="1"/>
  <c r="K320" i="4" l="1"/>
  <c r="AJ319" i="4"/>
  <c r="AP319" i="4" s="1"/>
  <c r="AV319" i="4" s="1"/>
  <c r="BB319" i="4"/>
  <c r="N320" i="4"/>
  <c r="AM319" i="4"/>
  <c r="AS319" i="4" s="1"/>
  <c r="AY319" i="4" s="1"/>
  <c r="BE319" i="4" s="1"/>
  <c r="AN319" i="4"/>
  <c r="AT319" i="4" s="1"/>
  <c r="AZ319" i="4" s="1"/>
  <c r="BF319" i="4" s="1"/>
  <c r="O320" i="4"/>
  <c r="Y321" i="4"/>
  <c r="AK320" i="4"/>
  <c r="BS319" i="4"/>
  <c r="AO318" i="4"/>
  <c r="AC319" i="4"/>
  <c r="BJ318" i="4"/>
  <c r="BM317" i="4"/>
  <c r="BN317" i="4" s="1"/>
  <c r="CB320" i="4"/>
  <c r="Z320" i="4"/>
  <c r="V320" i="4" l="1"/>
  <c r="CJ320" i="4"/>
  <c r="U320" i="4"/>
  <c r="CI320" i="4"/>
  <c r="CF320" i="4"/>
  <c r="R320" i="4"/>
  <c r="AO319" i="4"/>
  <c r="P320" i="4"/>
  <c r="BJ319" i="4"/>
  <c r="AU318" i="4"/>
  <c r="BA318" i="4" s="1"/>
  <c r="BH318" i="4"/>
  <c r="AL320" i="4"/>
  <c r="AR320" i="4" s="1"/>
  <c r="AX320" i="4" s="1"/>
  <c r="BD320" i="4" s="1"/>
  <c r="Z321" i="4"/>
  <c r="AQ320" i="4"/>
  <c r="AW320" i="4" s="1"/>
  <c r="AK321" i="4"/>
  <c r="L322" i="4"/>
  <c r="BK318" i="4"/>
  <c r="BZ320" i="4" l="1"/>
  <c r="X320" i="4"/>
  <c r="AA320" i="4"/>
  <c r="CC320" i="4"/>
  <c r="CD320" i="4"/>
  <c r="AB320" i="4"/>
  <c r="S322" i="4"/>
  <c r="CG322" i="4"/>
  <c r="BV318" i="4"/>
  <c r="BY318" i="4" s="1"/>
  <c r="BL318" i="4"/>
  <c r="BK319" i="4"/>
  <c r="AL321" i="4"/>
  <c r="AR321" i="4" s="1"/>
  <c r="AX321" i="4" s="1"/>
  <c r="BD321" i="4" s="1"/>
  <c r="M322" i="4"/>
  <c r="BC320" i="4"/>
  <c r="W320" i="4"/>
  <c r="CK320" i="4"/>
  <c r="BI320" i="4"/>
  <c r="AU319" i="4"/>
  <c r="BA319" i="4" s="1"/>
  <c r="BH319" i="4"/>
  <c r="BV319" i="4" s="1"/>
  <c r="BY319" i="4" s="1"/>
  <c r="AQ321" i="4"/>
  <c r="AW321" i="4" s="1"/>
  <c r="BO318" i="4"/>
  <c r="BG318" i="4"/>
  <c r="BP318" i="4" s="1"/>
  <c r="BQ318" i="4" s="1"/>
  <c r="AN320" i="4" l="1"/>
  <c r="AT320" i="4" s="1"/>
  <c r="AZ320" i="4" s="1"/>
  <c r="BF320" i="4" s="1"/>
  <c r="AB321" i="4"/>
  <c r="AM320" i="4"/>
  <c r="AS320" i="4" s="1"/>
  <c r="AY320" i="4" s="1"/>
  <c r="BE320" i="4" s="1"/>
  <c r="AA321" i="4"/>
  <c r="X321" i="4"/>
  <c r="AJ320" i="4"/>
  <c r="AP320" i="4" s="1"/>
  <c r="AV320" i="4" s="1"/>
  <c r="BB320" i="4" s="1"/>
  <c r="BO319" i="4"/>
  <c r="BG319" i="4"/>
  <c r="BP319" i="4" s="1"/>
  <c r="BQ319" i="4" s="1"/>
  <c r="BL319" i="4"/>
  <c r="BM318" i="4"/>
  <c r="BN318" i="4" s="1"/>
  <c r="BI321" i="4"/>
  <c r="BS320" i="4"/>
  <c r="CA322" i="4"/>
  <c r="Y322" i="4"/>
  <c r="BC321" i="4"/>
  <c r="T322" i="4"/>
  <c r="CH322" i="4"/>
  <c r="CE320" i="4"/>
  <c r="AC320" i="4"/>
  <c r="N322" i="4" l="1"/>
  <c r="AM321" i="4"/>
  <c r="AS321" i="4" s="1"/>
  <c r="AY321" i="4" s="1"/>
  <c r="BE321" i="4"/>
  <c r="AJ321" i="4"/>
  <c r="AP321" i="4" s="1"/>
  <c r="AV321" i="4" s="1"/>
  <c r="K322" i="4"/>
  <c r="BB321" i="4"/>
  <c r="AN321" i="4"/>
  <c r="AT321" i="4" s="1"/>
  <c r="AZ321" i="4" s="1"/>
  <c r="BF321" i="4" s="1"/>
  <c r="O322" i="4"/>
  <c r="BM319" i="4"/>
  <c r="BN319" i="4" s="1"/>
  <c r="CB322" i="4"/>
  <c r="Z322" i="4"/>
  <c r="AC321" i="4"/>
  <c r="AO320" i="4"/>
  <c r="BJ320" i="4"/>
  <c r="AK322" i="4"/>
  <c r="Y323" i="4"/>
  <c r="BS321" i="4"/>
  <c r="CJ322" i="4" l="1"/>
  <c r="V322" i="4"/>
  <c r="CF322" i="4"/>
  <c r="R322" i="4"/>
  <c r="U322" i="4"/>
  <c r="CI322" i="4"/>
  <c r="BK320" i="4"/>
  <c r="AL322" i="4"/>
  <c r="AR322" i="4" s="1"/>
  <c r="AX322" i="4" s="1"/>
  <c r="BD322" i="4" s="1"/>
  <c r="Z323" i="4"/>
  <c r="AU320" i="4"/>
  <c r="BA320" i="4" s="1"/>
  <c r="BH320" i="4"/>
  <c r="AO321" i="4"/>
  <c r="P322" i="4"/>
  <c r="BJ321" i="4"/>
  <c r="AK323" i="4"/>
  <c r="L324" i="4"/>
  <c r="AQ322" i="4"/>
  <c r="AW322" i="4" s="1"/>
  <c r="AA322" i="4" l="1"/>
  <c r="CC322" i="4"/>
  <c r="BZ322" i="4"/>
  <c r="X322" i="4"/>
  <c r="CD322" i="4"/>
  <c r="AB322" i="4"/>
  <c r="AL323" i="4"/>
  <c r="AR323" i="4" s="1"/>
  <c r="AX323" i="4" s="1"/>
  <c r="BD323" i="4" s="1"/>
  <c r="M324" i="4"/>
  <c r="AQ323" i="4"/>
  <c r="AW323" i="4" s="1"/>
  <c r="S324" i="4"/>
  <c r="CG324" i="4"/>
  <c r="BK321" i="4"/>
  <c r="BC322" i="4"/>
  <c r="W322" i="4"/>
  <c r="CK322" i="4"/>
  <c r="BI322" i="4"/>
  <c r="AU321" i="4"/>
  <c r="BA321" i="4" s="1"/>
  <c r="BH321" i="4"/>
  <c r="BV321" i="4" s="1"/>
  <c r="BY321" i="4" s="1"/>
  <c r="BV320" i="4"/>
  <c r="BY320" i="4" s="1"/>
  <c r="BL320" i="4"/>
  <c r="BO320" i="4"/>
  <c r="BG320" i="4"/>
  <c r="BP320" i="4" s="1"/>
  <c r="BQ320" i="4" s="1"/>
  <c r="AN322" i="4" l="1"/>
  <c r="AT322" i="4" s="1"/>
  <c r="AZ322" i="4" s="1"/>
  <c r="BF322" i="4" s="1"/>
  <c r="AB323" i="4"/>
  <c r="X323" i="4"/>
  <c r="AJ322" i="4"/>
  <c r="AP322" i="4" s="1"/>
  <c r="AV322" i="4" s="1"/>
  <c r="BB322" i="4" s="1"/>
  <c r="AM322" i="4"/>
  <c r="AS322" i="4" s="1"/>
  <c r="AY322" i="4" s="1"/>
  <c r="BE322" i="4" s="1"/>
  <c r="AA323" i="4"/>
  <c r="BI323" i="4"/>
  <c r="BS322" i="4"/>
  <c r="CE322" i="4"/>
  <c r="AC322" i="4"/>
  <c r="BC323" i="4"/>
  <c r="T324" i="4"/>
  <c r="CH324" i="4"/>
  <c r="BL321" i="4"/>
  <c r="BM320" i="4"/>
  <c r="BN320" i="4" s="1"/>
  <c r="CA324" i="4"/>
  <c r="Y324" i="4"/>
  <c r="BO321" i="4"/>
  <c r="BG321" i="4"/>
  <c r="BP321" i="4" s="1"/>
  <c r="BQ321" i="4" s="1"/>
  <c r="N324" i="4" l="1"/>
  <c r="AM323" i="4"/>
  <c r="AS323" i="4" s="1"/>
  <c r="AY323" i="4" s="1"/>
  <c r="BE323" i="4" s="1"/>
  <c r="K324" i="4"/>
  <c r="AJ323" i="4"/>
  <c r="AP323" i="4" s="1"/>
  <c r="AV323" i="4" s="1"/>
  <c r="BB323" i="4" s="1"/>
  <c r="AN323" i="4"/>
  <c r="AT323" i="4" s="1"/>
  <c r="AZ323" i="4" s="1"/>
  <c r="BF323" i="4" s="1"/>
  <c r="O324" i="4"/>
  <c r="Y325" i="4"/>
  <c r="AK324" i="4"/>
  <c r="CB324" i="4"/>
  <c r="Z324" i="4"/>
  <c r="BM321" i="4"/>
  <c r="BN321" i="4" s="1"/>
  <c r="AC323" i="4"/>
  <c r="AO322" i="4"/>
  <c r="BJ322" i="4"/>
  <c r="BS323" i="4"/>
  <c r="V324" i="4" l="1"/>
  <c r="CJ324" i="4"/>
  <c r="R324" i="4"/>
  <c r="CF324" i="4"/>
  <c r="U324" i="4"/>
  <c r="CI324" i="4"/>
  <c r="AO323" i="4"/>
  <c r="P324" i="4"/>
  <c r="BJ323" i="4"/>
  <c r="AL324" i="4"/>
  <c r="AR324" i="4" s="1"/>
  <c r="AX324" i="4" s="1"/>
  <c r="BD324" i="4" s="1"/>
  <c r="Z325" i="4"/>
  <c r="AQ324" i="4"/>
  <c r="AW324" i="4" s="1"/>
  <c r="AK325" i="4"/>
  <c r="L326" i="4"/>
  <c r="BK322" i="4"/>
  <c r="AU322" i="4"/>
  <c r="BA322" i="4" s="1"/>
  <c r="BH322" i="4"/>
  <c r="AA324" i="4" l="1"/>
  <c r="CC324" i="4"/>
  <c r="BZ324" i="4"/>
  <c r="X324" i="4"/>
  <c r="CD324" i="4"/>
  <c r="AB324" i="4"/>
  <c r="BO322" i="4"/>
  <c r="BG322" i="4"/>
  <c r="BP322" i="4" s="1"/>
  <c r="BQ322" i="4" s="1"/>
  <c r="AL325" i="4"/>
  <c r="AR325" i="4" s="1"/>
  <c r="AX325" i="4" s="1"/>
  <c r="BD325" i="4" s="1"/>
  <c r="M326" i="4"/>
  <c r="BK323" i="4"/>
  <c r="BC324" i="4"/>
  <c r="W324" i="4"/>
  <c r="CK324" i="4"/>
  <c r="BI324" i="4"/>
  <c r="AQ325" i="4"/>
  <c r="AW325" i="4" s="1"/>
  <c r="BV322" i="4"/>
  <c r="BY322" i="4" s="1"/>
  <c r="BL322" i="4"/>
  <c r="S326" i="4"/>
  <c r="CG326" i="4"/>
  <c r="AU323" i="4"/>
  <c r="BA323" i="4" s="1"/>
  <c r="BH323" i="4"/>
  <c r="BV323" i="4" s="1"/>
  <c r="BY323" i="4" s="1"/>
  <c r="AB325" i="4" l="1"/>
  <c r="AN324" i="4"/>
  <c r="AT324" i="4" s="1"/>
  <c r="AZ324" i="4" s="1"/>
  <c r="BF324" i="4" s="1"/>
  <c r="X325" i="4"/>
  <c r="AJ324" i="4"/>
  <c r="AP324" i="4" s="1"/>
  <c r="AV324" i="4" s="1"/>
  <c r="BB324" i="4" s="1"/>
  <c r="AA325" i="4"/>
  <c r="AM324" i="4"/>
  <c r="AS324" i="4" s="1"/>
  <c r="AY324" i="4" s="1"/>
  <c r="BE324" i="4" s="1"/>
  <c r="BI325" i="4"/>
  <c r="BS324" i="4"/>
  <c r="CE324" i="4"/>
  <c r="AC324" i="4"/>
  <c r="BL323" i="4"/>
  <c r="BM322" i="4"/>
  <c r="BN322" i="4" s="1"/>
  <c r="T326" i="4"/>
  <c r="CH326" i="4"/>
  <c r="BC325" i="4"/>
  <c r="BO323" i="4"/>
  <c r="BG323" i="4"/>
  <c r="BP323" i="4" s="1"/>
  <c r="BQ323" i="4" s="1"/>
  <c r="CA326" i="4"/>
  <c r="Y326" i="4"/>
  <c r="N326" i="4" l="1"/>
  <c r="AM325" i="4"/>
  <c r="AS325" i="4" s="1"/>
  <c r="AY325" i="4" s="1"/>
  <c r="BE325" i="4" s="1"/>
  <c r="AJ325" i="4"/>
  <c r="AP325" i="4" s="1"/>
  <c r="AV325" i="4" s="1"/>
  <c r="K326" i="4"/>
  <c r="BB325" i="4"/>
  <c r="O326" i="4"/>
  <c r="AN325" i="4"/>
  <c r="AT325" i="4" s="1"/>
  <c r="AZ325" i="4" s="1"/>
  <c r="BF325" i="4" s="1"/>
  <c r="BM323" i="4"/>
  <c r="BN323" i="4" s="1"/>
  <c r="BS325" i="4"/>
  <c r="AC325" i="4"/>
  <c r="AO324" i="4"/>
  <c r="BJ324" i="4"/>
  <c r="Y327" i="4"/>
  <c r="AK326" i="4"/>
  <c r="CB326" i="4"/>
  <c r="Z326" i="4"/>
  <c r="V326" i="4" l="1"/>
  <c r="CJ326" i="4"/>
  <c r="CF326" i="4"/>
  <c r="R326" i="4"/>
  <c r="CI326" i="4"/>
  <c r="U326" i="4"/>
  <c r="AK327" i="4"/>
  <c r="L328" i="4"/>
  <c r="BK324" i="4"/>
  <c r="AU324" i="4"/>
  <c r="BA324" i="4" s="1"/>
  <c r="BH324" i="4"/>
  <c r="AO325" i="4"/>
  <c r="P326" i="4"/>
  <c r="BJ325" i="4"/>
  <c r="Z327" i="4"/>
  <c r="AL326" i="4"/>
  <c r="AR326" i="4" s="1"/>
  <c r="AX326" i="4" s="1"/>
  <c r="BD326" i="4" s="1"/>
  <c r="AQ326" i="4"/>
  <c r="AW326" i="4" s="1"/>
  <c r="AA326" i="4" l="1"/>
  <c r="CC326" i="4"/>
  <c r="BZ326" i="4"/>
  <c r="X326" i="4"/>
  <c r="CD326" i="4"/>
  <c r="AB326" i="4"/>
  <c r="BO324" i="4"/>
  <c r="BG324" i="4"/>
  <c r="BP324" i="4" s="1"/>
  <c r="BQ324" i="4" s="1"/>
  <c r="AL327" i="4"/>
  <c r="AR327" i="4" s="1"/>
  <c r="AX327" i="4" s="1"/>
  <c r="BD327" i="4" s="1"/>
  <c r="M328" i="4"/>
  <c r="CG328" i="4"/>
  <c r="S328" i="4"/>
  <c r="AQ327" i="4"/>
  <c r="AW327" i="4" s="1"/>
  <c r="BK325" i="4"/>
  <c r="AU325" i="4"/>
  <c r="BA325" i="4" s="1"/>
  <c r="BH325" i="4"/>
  <c r="BV325" i="4" s="1"/>
  <c r="BY325" i="4" s="1"/>
  <c r="BC326" i="4"/>
  <c r="W326" i="4"/>
  <c r="CK326" i="4"/>
  <c r="BI326" i="4"/>
  <c r="BV324" i="4"/>
  <c r="BY324" i="4" s="1"/>
  <c r="BL324" i="4"/>
  <c r="AN326" i="4" l="1"/>
  <c r="AT326" i="4" s="1"/>
  <c r="AZ326" i="4" s="1"/>
  <c r="BF326" i="4" s="1"/>
  <c r="AB327" i="4"/>
  <c r="AJ326" i="4"/>
  <c r="AP326" i="4" s="1"/>
  <c r="AV326" i="4" s="1"/>
  <c r="X327" i="4"/>
  <c r="BB326" i="4"/>
  <c r="AA327" i="4"/>
  <c r="AM326" i="4"/>
  <c r="AS326" i="4" s="1"/>
  <c r="AY326" i="4" s="1"/>
  <c r="BE326" i="4" s="1"/>
  <c r="BO325" i="4"/>
  <c r="BG325" i="4"/>
  <c r="BP325" i="4" s="1"/>
  <c r="BQ325" i="4" s="1"/>
  <c r="T328" i="4"/>
  <c r="CH328" i="4"/>
  <c r="BC327" i="4"/>
  <c r="CE326" i="4"/>
  <c r="AC326" i="4"/>
  <c r="CA328" i="4"/>
  <c r="Y328" i="4"/>
  <c r="BL325" i="4"/>
  <c r="BM324" i="4"/>
  <c r="BN324" i="4" s="1"/>
  <c r="BI327" i="4"/>
  <c r="BS326" i="4"/>
  <c r="K328" i="4" l="1"/>
  <c r="AJ327" i="4"/>
  <c r="AP327" i="4" s="1"/>
  <c r="AV327" i="4" s="1"/>
  <c r="BB327" i="4" s="1"/>
  <c r="AM327" i="4"/>
  <c r="AS327" i="4" s="1"/>
  <c r="AY327" i="4" s="1"/>
  <c r="BE327" i="4" s="1"/>
  <c r="N328" i="4"/>
  <c r="AN327" i="4"/>
  <c r="AT327" i="4" s="1"/>
  <c r="AZ327" i="4" s="1"/>
  <c r="BF327" i="4" s="1"/>
  <c r="O328" i="4"/>
  <c r="BS327" i="4"/>
  <c r="CB328" i="4"/>
  <c r="Z328" i="4"/>
  <c r="AO326" i="4"/>
  <c r="AC327" i="4"/>
  <c r="BJ326" i="4"/>
  <c r="BM325" i="4"/>
  <c r="BN325" i="4" s="1"/>
  <c r="AK328" i="4"/>
  <c r="Y329" i="4"/>
  <c r="V328" i="4" l="1"/>
  <c r="CJ328" i="4"/>
  <c r="CI328" i="4"/>
  <c r="U328" i="4"/>
  <c r="R328" i="4"/>
  <c r="CF328" i="4"/>
  <c r="BK326" i="4"/>
  <c r="AO327" i="4"/>
  <c r="P328" i="4"/>
  <c r="BJ327" i="4"/>
  <c r="AK329" i="4"/>
  <c r="L330" i="4"/>
  <c r="AQ328" i="4"/>
  <c r="AW328" i="4" s="1"/>
  <c r="AU326" i="4"/>
  <c r="BA326" i="4" s="1"/>
  <c r="BH326" i="4"/>
  <c r="AL328" i="4"/>
  <c r="AR328" i="4" s="1"/>
  <c r="AX328" i="4" s="1"/>
  <c r="BD328" i="4" s="1"/>
  <c r="Z329" i="4"/>
  <c r="BZ328" i="4" l="1"/>
  <c r="X328" i="4"/>
  <c r="CC328" i="4"/>
  <c r="AA328" i="4"/>
  <c r="AB328" i="4"/>
  <c r="CD328" i="4"/>
  <c r="AQ329" i="4"/>
  <c r="AW329" i="4" s="1"/>
  <c r="W328" i="4"/>
  <c r="CK328" i="4"/>
  <c r="BI328" i="4"/>
  <c r="BO326" i="4"/>
  <c r="BG326" i="4"/>
  <c r="BP326" i="4" s="1"/>
  <c r="BQ326" i="4" s="1"/>
  <c r="BK327" i="4"/>
  <c r="AL329" i="4"/>
  <c r="AR329" i="4" s="1"/>
  <c r="AX329" i="4" s="1"/>
  <c r="BD329" i="4" s="1"/>
  <c r="M330" i="4"/>
  <c r="AU327" i="4"/>
  <c r="BA327" i="4" s="1"/>
  <c r="BH327" i="4"/>
  <c r="BV327" i="4" s="1"/>
  <c r="BY327" i="4" s="1"/>
  <c r="BV326" i="4"/>
  <c r="BY326" i="4" s="1"/>
  <c r="BL326" i="4"/>
  <c r="BC328" i="4"/>
  <c r="S330" i="4"/>
  <c r="CG330" i="4"/>
  <c r="AN328" i="4" l="1"/>
  <c r="AT328" i="4" s="1"/>
  <c r="AZ328" i="4" s="1"/>
  <c r="BF328" i="4" s="1"/>
  <c r="AB329" i="4"/>
  <c r="AA329" i="4"/>
  <c r="AM328" i="4"/>
  <c r="AS328" i="4" s="1"/>
  <c r="AY328" i="4" s="1"/>
  <c r="BE328" i="4" s="1"/>
  <c r="X329" i="4"/>
  <c r="AJ328" i="4"/>
  <c r="AP328" i="4" s="1"/>
  <c r="AV328" i="4" s="1"/>
  <c r="BB328" i="4" s="1"/>
  <c r="BI329" i="4"/>
  <c r="BS328" i="4"/>
  <c r="CE328" i="4"/>
  <c r="AC328" i="4"/>
  <c r="BO327" i="4"/>
  <c r="BG327" i="4"/>
  <c r="BP327" i="4" s="1"/>
  <c r="BQ327" i="4" s="1"/>
  <c r="CA330" i="4"/>
  <c r="Y330" i="4"/>
  <c r="BL327" i="4"/>
  <c r="BM326" i="4"/>
  <c r="BN326" i="4" s="1"/>
  <c r="BC329" i="4"/>
  <c r="T330" i="4"/>
  <c r="CH330" i="4"/>
  <c r="K330" i="4" l="1"/>
  <c r="AJ329" i="4"/>
  <c r="AP329" i="4" s="1"/>
  <c r="AV329" i="4" s="1"/>
  <c r="BB329" i="4"/>
  <c r="AM329" i="4"/>
  <c r="AS329" i="4" s="1"/>
  <c r="AY329" i="4" s="1"/>
  <c r="BE329" i="4" s="1"/>
  <c r="N330" i="4"/>
  <c r="AN329" i="4"/>
  <c r="AT329" i="4" s="1"/>
  <c r="AZ329" i="4" s="1"/>
  <c r="BF329" i="4" s="1"/>
  <c r="O330" i="4"/>
  <c r="BM327" i="4"/>
  <c r="BN327" i="4" s="1"/>
  <c r="AK330" i="4"/>
  <c r="Y331" i="4"/>
  <c r="AC329" i="4"/>
  <c r="AO328" i="4"/>
  <c r="BJ328" i="4"/>
  <c r="CB330" i="4"/>
  <c r="Z330" i="4"/>
  <c r="BS329" i="4"/>
  <c r="CI330" i="4" l="1"/>
  <c r="U330" i="4"/>
  <c r="V330" i="4"/>
  <c r="CJ330" i="4"/>
  <c r="CF330" i="4"/>
  <c r="R330" i="4"/>
  <c r="AU328" i="4"/>
  <c r="BA328" i="4" s="1"/>
  <c r="BH328" i="4"/>
  <c r="AQ330" i="4"/>
  <c r="AW330" i="4" s="1"/>
  <c r="BK328" i="4"/>
  <c r="AO329" i="4"/>
  <c r="P330" i="4"/>
  <c r="BJ329" i="4"/>
  <c r="AK331" i="4"/>
  <c r="L332" i="4"/>
  <c r="AL330" i="4"/>
  <c r="AR330" i="4" s="1"/>
  <c r="AX330" i="4" s="1"/>
  <c r="BD330" i="4" s="1"/>
  <c r="Z331" i="4"/>
  <c r="BZ330" i="4" l="1"/>
  <c r="X330" i="4"/>
  <c r="CD330" i="4"/>
  <c r="AB330" i="4"/>
  <c r="CC330" i="4"/>
  <c r="AA330" i="4"/>
  <c r="CK330" i="4"/>
  <c r="W330" i="4"/>
  <c r="BI330" i="4"/>
  <c r="BV328" i="4"/>
  <c r="BY328" i="4" s="1"/>
  <c r="BL328" i="4"/>
  <c r="AQ331" i="4"/>
  <c r="AW331" i="4" s="1"/>
  <c r="AU329" i="4"/>
  <c r="BA329" i="4" s="1"/>
  <c r="BH329" i="4"/>
  <c r="BV329" i="4" s="1"/>
  <c r="BY329" i="4" s="1"/>
  <c r="AL331" i="4"/>
  <c r="AR331" i="4" s="1"/>
  <c r="AX331" i="4" s="1"/>
  <c r="BD331" i="4" s="1"/>
  <c r="M332" i="4"/>
  <c r="S332" i="4"/>
  <c r="CG332" i="4"/>
  <c r="BC330" i="4"/>
  <c r="BO328" i="4"/>
  <c r="BG328" i="4"/>
  <c r="BP328" i="4" s="1"/>
  <c r="BQ328" i="4" s="1"/>
  <c r="BK329" i="4"/>
  <c r="AM330" i="4" l="1"/>
  <c r="AS330" i="4" s="1"/>
  <c r="AY330" i="4" s="1"/>
  <c r="AA331" i="4"/>
  <c r="BE330" i="4"/>
  <c r="AN330" i="4"/>
  <c r="AT330" i="4" s="1"/>
  <c r="AZ330" i="4" s="1"/>
  <c r="BF330" i="4" s="1"/>
  <c r="AB331" i="4"/>
  <c r="AJ330" i="4"/>
  <c r="AP330" i="4" s="1"/>
  <c r="AV330" i="4" s="1"/>
  <c r="BB330" i="4" s="1"/>
  <c r="X331" i="4"/>
  <c r="T332" i="4"/>
  <c r="CH332" i="4"/>
  <c r="CA332" i="4"/>
  <c r="Y332" i="4"/>
  <c r="BL329" i="4"/>
  <c r="BM328" i="4"/>
  <c r="BN328" i="4" s="1"/>
  <c r="BO329" i="4"/>
  <c r="BG329" i="4"/>
  <c r="BP329" i="4" s="1"/>
  <c r="BQ329" i="4" s="1"/>
  <c r="BI331" i="4"/>
  <c r="BS330" i="4"/>
  <c r="CE330" i="4"/>
  <c r="AC330" i="4"/>
  <c r="BC331" i="4"/>
  <c r="AN331" i="4" l="1"/>
  <c r="AT331" i="4" s="1"/>
  <c r="AZ331" i="4" s="1"/>
  <c r="BF331" i="4" s="1"/>
  <c r="O332" i="4"/>
  <c r="K332" i="4"/>
  <c r="AJ331" i="4"/>
  <c r="AP331" i="4" s="1"/>
  <c r="AV331" i="4" s="1"/>
  <c r="BB331" i="4" s="1"/>
  <c r="N332" i="4"/>
  <c r="AM331" i="4"/>
  <c r="AS331" i="4" s="1"/>
  <c r="AY331" i="4" s="1"/>
  <c r="BE331" i="4" s="1"/>
  <c r="BS331" i="4"/>
  <c r="AC331" i="4"/>
  <c r="AO330" i="4"/>
  <c r="BJ330" i="4"/>
  <c r="AK332" i="4"/>
  <c r="Y333" i="4"/>
  <c r="BM329" i="4"/>
  <c r="BN329" i="4" s="1"/>
  <c r="CB332" i="4"/>
  <c r="Z332" i="4"/>
  <c r="U332" i="4" l="1"/>
  <c r="CI332" i="4"/>
  <c r="CF332" i="4"/>
  <c r="R332" i="4"/>
  <c r="CJ332" i="4"/>
  <c r="V332" i="4"/>
  <c r="AK333" i="4"/>
  <c r="L334" i="4"/>
  <c r="AU330" i="4"/>
  <c r="BA330" i="4" s="1"/>
  <c r="BH330" i="4"/>
  <c r="AO331" i="4"/>
  <c r="P332" i="4"/>
  <c r="BJ331" i="4"/>
  <c r="AQ332" i="4"/>
  <c r="AW332" i="4" s="1"/>
  <c r="AL332" i="4"/>
  <c r="AR332" i="4" s="1"/>
  <c r="AX332" i="4" s="1"/>
  <c r="BD332" i="4" s="1"/>
  <c r="Z333" i="4"/>
  <c r="BK330" i="4"/>
  <c r="CD332" i="4" l="1"/>
  <c r="AB332" i="4"/>
  <c r="BZ332" i="4"/>
  <c r="X332" i="4"/>
  <c r="AA332" i="4"/>
  <c r="CC332" i="4"/>
  <c r="BK331" i="4"/>
  <c r="AU331" i="4"/>
  <c r="BA331" i="4" s="1"/>
  <c r="BH331" i="4"/>
  <c r="BV331" i="4" s="1"/>
  <c r="BY331" i="4" s="1"/>
  <c r="BV330" i="4"/>
  <c r="BY330" i="4" s="1"/>
  <c r="BL330" i="4"/>
  <c r="AL333" i="4"/>
  <c r="AR333" i="4" s="1"/>
  <c r="AX333" i="4" s="1"/>
  <c r="BD333" i="4" s="1"/>
  <c r="M334" i="4"/>
  <c r="BC332" i="4"/>
  <c r="W332" i="4"/>
  <c r="CK332" i="4"/>
  <c r="BI332" i="4"/>
  <c r="BO330" i="4"/>
  <c r="BG330" i="4"/>
  <c r="BP330" i="4" s="1"/>
  <c r="BQ330" i="4" s="1"/>
  <c r="S334" i="4"/>
  <c r="CG334" i="4"/>
  <c r="AQ333" i="4"/>
  <c r="AW333" i="4" s="1"/>
  <c r="AA333" i="4" l="1"/>
  <c r="AM332" i="4"/>
  <c r="AS332" i="4" s="1"/>
  <c r="AY332" i="4" s="1"/>
  <c r="BE332" i="4" s="1"/>
  <c r="AJ332" i="4"/>
  <c r="AP332" i="4" s="1"/>
  <c r="AV332" i="4" s="1"/>
  <c r="X333" i="4"/>
  <c r="BB332" i="4"/>
  <c r="AN332" i="4"/>
  <c r="AT332" i="4" s="1"/>
  <c r="AZ332" i="4" s="1"/>
  <c r="BF332" i="4" s="1"/>
  <c r="AB333" i="4"/>
  <c r="BL331" i="4"/>
  <c r="BM330" i="4"/>
  <c r="BN330" i="4" s="1"/>
  <c r="BO331" i="4"/>
  <c r="BG331" i="4"/>
  <c r="BP331" i="4" s="1"/>
  <c r="BQ331" i="4" s="1"/>
  <c r="BI333" i="4"/>
  <c r="BS332" i="4"/>
  <c r="CE332" i="4"/>
  <c r="AC332" i="4"/>
  <c r="CA334" i="4"/>
  <c r="Y334" i="4"/>
  <c r="T334" i="4"/>
  <c r="CH334" i="4"/>
  <c r="BC333" i="4"/>
  <c r="AN333" i="4" l="1"/>
  <c r="AT333" i="4" s="1"/>
  <c r="AZ333" i="4" s="1"/>
  <c r="BF333" i="4" s="1"/>
  <c r="O334" i="4"/>
  <c r="AJ333" i="4"/>
  <c r="AP333" i="4" s="1"/>
  <c r="AV333" i="4" s="1"/>
  <c r="BB333" i="4" s="1"/>
  <c r="K334" i="4"/>
  <c r="AM333" i="4"/>
  <c r="AS333" i="4" s="1"/>
  <c r="AY333" i="4" s="1"/>
  <c r="BE333" i="4" s="1"/>
  <c r="N334" i="4"/>
  <c r="AO332" i="4"/>
  <c r="AC333" i="4"/>
  <c r="BJ332" i="4"/>
  <c r="CB334" i="4"/>
  <c r="Z334" i="4"/>
  <c r="BS333" i="4"/>
  <c r="BM331" i="4"/>
  <c r="BN331" i="4" s="1"/>
  <c r="Y335" i="4"/>
  <c r="AK334" i="4"/>
  <c r="R334" i="4" l="1"/>
  <c r="CF334" i="4"/>
  <c r="U334" i="4"/>
  <c r="CI334" i="4"/>
  <c r="CJ334" i="4"/>
  <c r="V334" i="4"/>
  <c r="AO333" i="4"/>
  <c r="P334" i="4"/>
  <c r="BJ333" i="4"/>
  <c r="AK335" i="4"/>
  <c r="L336" i="4"/>
  <c r="BK332" i="4"/>
  <c r="AU332" i="4"/>
  <c r="BA332" i="4" s="1"/>
  <c r="BH332" i="4"/>
  <c r="AL334" i="4"/>
  <c r="AR334" i="4" s="1"/>
  <c r="AX334" i="4" s="1"/>
  <c r="BD334" i="4" s="1"/>
  <c r="Z335" i="4"/>
  <c r="AQ334" i="4"/>
  <c r="AW334" i="4" s="1"/>
  <c r="AB334" i="4" l="1"/>
  <c r="CD334" i="4"/>
  <c r="CC334" i="4"/>
  <c r="AA334" i="4"/>
  <c r="BZ334" i="4"/>
  <c r="X334" i="4"/>
  <c r="BK333" i="4"/>
  <c r="BV332" i="4"/>
  <c r="BY332" i="4" s="1"/>
  <c r="BL332" i="4"/>
  <c r="BC334" i="4"/>
  <c r="AQ335" i="4"/>
  <c r="AW335" i="4" s="1"/>
  <c r="AU333" i="4"/>
  <c r="BA333" i="4" s="1"/>
  <c r="BH333" i="4"/>
  <c r="BV333" i="4" s="1"/>
  <c r="BY333" i="4" s="1"/>
  <c r="S336" i="4"/>
  <c r="CG336" i="4"/>
  <c r="AL335" i="4"/>
  <c r="AR335" i="4" s="1"/>
  <c r="AX335" i="4" s="1"/>
  <c r="BD335" i="4" s="1"/>
  <c r="M336" i="4"/>
  <c r="W334" i="4"/>
  <c r="CK334" i="4"/>
  <c r="BI334" i="4"/>
  <c r="BO332" i="4"/>
  <c r="BG332" i="4"/>
  <c r="BP332" i="4" s="1"/>
  <c r="BQ332" i="4" s="1"/>
  <c r="AJ334" i="4" l="1"/>
  <c r="AP334" i="4" s="1"/>
  <c r="AV334" i="4" s="1"/>
  <c r="X335" i="4"/>
  <c r="BB334" i="4"/>
  <c r="AM334" i="4"/>
  <c r="AS334" i="4" s="1"/>
  <c r="AY334" i="4" s="1"/>
  <c r="BE334" i="4" s="1"/>
  <c r="AA335" i="4"/>
  <c r="AN334" i="4"/>
  <c r="AT334" i="4" s="1"/>
  <c r="AZ334" i="4" s="1"/>
  <c r="BF334" i="4" s="1"/>
  <c r="AB335" i="4"/>
  <c r="CE334" i="4"/>
  <c r="AC334" i="4"/>
  <c r="BO333" i="4"/>
  <c r="BG333" i="4"/>
  <c r="BP333" i="4" s="1"/>
  <c r="BQ333" i="4" s="1"/>
  <c r="BC335" i="4"/>
  <c r="CA336" i="4"/>
  <c r="Y336" i="4"/>
  <c r="BL333" i="4"/>
  <c r="BM332" i="4"/>
  <c r="BN332" i="4" s="1"/>
  <c r="T336" i="4"/>
  <c r="CH336" i="4"/>
  <c r="BI335" i="4"/>
  <c r="BS334" i="4"/>
  <c r="O336" i="4" l="1"/>
  <c r="AN335" i="4"/>
  <c r="AT335" i="4" s="1"/>
  <c r="AZ335" i="4" s="1"/>
  <c r="BF335" i="4" s="1"/>
  <c r="AM335" i="4"/>
  <c r="AS335" i="4" s="1"/>
  <c r="AY335" i="4" s="1"/>
  <c r="BE335" i="4" s="1"/>
  <c r="N336" i="4"/>
  <c r="K336" i="4"/>
  <c r="AJ335" i="4"/>
  <c r="AP335" i="4" s="1"/>
  <c r="AV335" i="4" s="1"/>
  <c r="BB335" i="4" s="1"/>
  <c r="AC335" i="4"/>
  <c r="AO334" i="4"/>
  <c r="BJ334" i="4"/>
  <c r="AK336" i="4"/>
  <c r="Y337" i="4"/>
  <c r="BM333" i="4"/>
  <c r="BN333" i="4" s="1"/>
  <c r="BS335" i="4"/>
  <c r="CB336" i="4"/>
  <c r="Z336" i="4"/>
  <c r="CF336" i="4" l="1"/>
  <c r="R336" i="4"/>
  <c r="U336" i="4"/>
  <c r="CI336" i="4"/>
  <c r="CJ336" i="4"/>
  <c r="V336" i="4"/>
  <c r="AK337" i="4"/>
  <c r="L338" i="4"/>
  <c r="AQ336" i="4"/>
  <c r="AW336" i="4" s="1"/>
  <c r="AU334" i="4"/>
  <c r="BA334" i="4" s="1"/>
  <c r="BH334" i="4"/>
  <c r="AO335" i="4"/>
  <c r="P336" i="4"/>
  <c r="BJ335" i="4"/>
  <c r="BK334" i="4"/>
  <c r="Z337" i="4"/>
  <c r="AL336" i="4"/>
  <c r="AR336" i="4" s="1"/>
  <c r="AX336" i="4" s="1"/>
  <c r="BD336" i="4" s="1"/>
  <c r="CD336" i="4" l="1"/>
  <c r="AB336" i="4"/>
  <c r="CC336" i="4"/>
  <c r="AA336" i="4"/>
  <c r="BZ336" i="4"/>
  <c r="X336" i="4"/>
  <c r="BK335" i="4"/>
  <c r="W336" i="4"/>
  <c r="CK336" i="4"/>
  <c r="BI336" i="4"/>
  <c r="AU335" i="4"/>
  <c r="BA335" i="4" s="1"/>
  <c r="BH335" i="4"/>
  <c r="BV335" i="4" s="1"/>
  <c r="BY335" i="4" s="1"/>
  <c r="BV334" i="4"/>
  <c r="BY334" i="4" s="1"/>
  <c r="BL334" i="4"/>
  <c r="BO334" i="4"/>
  <c r="BG334" i="4"/>
  <c r="BP334" i="4" s="1"/>
  <c r="BQ334" i="4" s="1"/>
  <c r="S338" i="4"/>
  <c r="CG338" i="4"/>
  <c r="AL337" i="4"/>
  <c r="AR337" i="4" s="1"/>
  <c r="AX337" i="4" s="1"/>
  <c r="BD337" i="4" s="1"/>
  <c r="M338" i="4"/>
  <c r="BC336" i="4"/>
  <c r="AQ337" i="4"/>
  <c r="AW337" i="4" s="1"/>
  <c r="AJ336" i="4" l="1"/>
  <c r="AP336" i="4" s="1"/>
  <c r="AV336" i="4" s="1"/>
  <c r="X337" i="4"/>
  <c r="BB336" i="4"/>
  <c r="AA337" i="4"/>
  <c r="AM336" i="4"/>
  <c r="AS336" i="4" s="1"/>
  <c r="AY336" i="4" s="1"/>
  <c r="BE336" i="4" s="1"/>
  <c r="AN336" i="4"/>
  <c r="AT336" i="4" s="1"/>
  <c r="AZ336" i="4" s="1"/>
  <c r="BF336" i="4" s="1"/>
  <c r="AB337" i="4"/>
  <c r="BI337" i="4"/>
  <c r="BS336" i="4"/>
  <c r="CE336" i="4"/>
  <c r="AC336" i="4"/>
  <c r="BC337" i="4"/>
  <c r="T338" i="4"/>
  <c r="CH338" i="4"/>
  <c r="BL335" i="4"/>
  <c r="BM334" i="4"/>
  <c r="BN334" i="4" s="1"/>
  <c r="BO335" i="4"/>
  <c r="BG335" i="4"/>
  <c r="BP335" i="4" s="1"/>
  <c r="BQ335" i="4" s="1"/>
  <c r="CA338" i="4"/>
  <c r="Y338" i="4"/>
  <c r="AN337" i="4" l="1"/>
  <c r="AT337" i="4" s="1"/>
  <c r="AZ337" i="4" s="1"/>
  <c r="O338" i="4"/>
  <c r="BF337" i="4"/>
  <c r="AM337" i="4"/>
  <c r="AS337" i="4" s="1"/>
  <c r="AY337" i="4" s="1"/>
  <c r="BE337" i="4" s="1"/>
  <c r="N338" i="4"/>
  <c r="AJ337" i="4"/>
  <c r="AP337" i="4" s="1"/>
  <c r="AV337" i="4" s="1"/>
  <c r="BB337" i="4" s="1"/>
  <c r="K338" i="4"/>
  <c r="CB338" i="4"/>
  <c r="Z338" i="4"/>
  <c r="Y339" i="4"/>
  <c r="AK338" i="4"/>
  <c r="AC337" i="4"/>
  <c r="AO336" i="4"/>
  <c r="BJ336" i="4"/>
  <c r="BM335" i="4"/>
  <c r="BN335" i="4" s="1"/>
  <c r="BS337" i="4"/>
  <c r="R338" i="4" l="1"/>
  <c r="CF338" i="4"/>
  <c r="CI338" i="4"/>
  <c r="U338" i="4"/>
  <c r="CJ338" i="4"/>
  <c r="V338" i="4"/>
  <c r="AK339" i="4"/>
  <c r="L340" i="4"/>
  <c r="BK336" i="4"/>
  <c r="AQ338" i="4"/>
  <c r="AW338" i="4" s="1"/>
  <c r="AL338" i="4"/>
  <c r="AR338" i="4" s="1"/>
  <c r="AX338" i="4" s="1"/>
  <c r="BD338" i="4" s="1"/>
  <c r="Z339" i="4"/>
  <c r="AU336" i="4"/>
  <c r="BA336" i="4" s="1"/>
  <c r="BH336" i="4"/>
  <c r="AO337" i="4"/>
  <c r="P338" i="4"/>
  <c r="BJ337" i="4"/>
  <c r="AB338" i="4" l="1"/>
  <c r="CD338" i="4"/>
  <c r="CC338" i="4"/>
  <c r="AA338" i="4"/>
  <c r="BZ338" i="4"/>
  <c r="X338" i="4"/>
  <c r="BC338" i="4"/>
  <c r="W338" i="4"/>
  <c r="CK338" i="4"/>
  <c r="BI338" i="4"/>
  <c r="AU337" i="4"/>
  <c r="BA337" i="4" s="1"/>
  <c r="BH337" i="4"/>
  <c r="BV337" i="4" s="1"/>
  <c r="BY337" i="4" s="1"/>
  <c r="BV336" i="4"/>
  <c r="BY336" i="4" s="1"/>
  <c r="BL336" i="4"/>
  <c r="BO336" i="4"/>
  <c r="BG336" i="4"/>
  <c r="BP336" i="4" s="1"/>
  <c r="BQ336" i="4" s="1"/>
  <c r="S340" i="4"/>
  <c r="CG340" i="4"/>
  <c r="BK337" i="4"/>
  <c r="AL339" i="4"/>
  <c r="AR339" i="4" s="1"/>
  <c r="AX339" i="4" s="1"/>
  <c r="BD339" i="4" s="1"/>
  <c r="M340" i="4"/>
  <c r="AQ339" i="4"/>
  <c r="AW339" i="4" s="1"/>
  <c r="AJ338" i="4" l="1"/>
  <c r="AP338" i="4" s="1"/>
  <c r="AV338" i="4" s="1"/>
  <c r="X339" i="4"/>
  <c r="BB338" i="4"/>
  <c r="AM338" i="4"/>
  <c r="AS338" i="4" s="1"/>
  <c r="AY338" i="4" s="1"/>
  <c r="AA339" i="4"/>
  <c r="BE338" i="4"/>
  <c r="AB339" i="4"/>
  <c r="AN338" i="4"/>
  <c r="AT338" i="4" s="1"/>
  <c r="AZ338" i="4" s="1"/>
  <c r="BF338" i="4" s="1"/>
  <c r="BS338" i="4"/>
  <c r="BI339" i="4"/>
  <c r="BO337" i="4"/>
  <c r="BG337" i="4"/>
  <c r="BP337" i="4" s="1"/>
  <c r="BQ337" i="4" s="1"/>
  <c r="CE338" i="4"/>
  <c r="AC338" i="4"/>
  <c r="T340" i="4"/>
  <c r="CH340" i="4"/>
  <c r="CA340" i="4"/>
  <c r="Y340" i="4"/>
  <c r="BC339" i="4"/>
  <c r="BL337" i="4"/>
  <c r="BM336" i="4"/>
  <c r="BN336" i="4" s="1"/>
  <c r="AM339" i="4" l="1"/>
  <c r="AS339" i="4" s="1"/>
  <c r="AY339" i="4" s="1"/>
  <c r="BE339" i="4" s="1"/>
  <c r="N340" i="4"/>
  <c r="AN339" i="4"/>
  <c r="AT339" i="4" s="1"/>
  <c r="AZ339" i="4" s="1"/>
  <c r="BF339" i="4" s="1"/>
  <c r="O340" i="4"/>
  <c r="AJ339" i="4"/>
  <c r="AP339" i="4" s="1"/>
  <c r="AV339" i="4" s="1"/>
  <c r="BB339" i="4" s="1"/>
  <c r="K340" i="4"/>
  <c r="AO338" i="4"/>
  <c r="AC339" i="4"/>
  <c r="BJ338" i="4"/>
  <c r="CB340" i="4"/>
  <c r="Z340" i="4"/>
  <c r="BM337" i="4"/>
  <c r="BN337" i="4" s="1"/>
  <c r="Y341" i="4"/>
  <c r="AK340" i="4"/>
  <c r="BS339" i="4"/>
  <c r="V340" i="4" l="1"/>
  <c r="CJ340" i="4"/>
  <c r="R340" i="4"/>
  <c r="CF340" i="4"/>
  <c r="CI340" i="4"/>
  <c r="U340" i="4"/>
  <c r="AU338" i="4"/>
  <c r="BA338" i="4" s="1"/>
  <c r="BH338" i="4"/>
  <c r="AK341" i="4"/>
  <c r="L342" i="4"/>
  <c r="AQ340" i="4"/>
  <c r="AW340" i="4" s="1"/>
  <c r="Z341" i="4"/>
  <c r="AL340" i="4"/>
  <c r="AR340" i="4" s="1"/>
  <c r="AX340" i="4" s="1"/>
  <c r="BD340" i="4" s="1"/>
  <c r="BK338" i="4"/>
  <c r="AO339" i="4"/>
  <c r="P340" i="4"/>
  <c r="BJ339" i="4"/>
  <c r="CC340" i="4" l="1"/>
  <c r="AA340" i="4"/>
  <c r="BZ340" i="4"/>
  <c r="X340" i="4"/>
  <c r="CD340" i="4"/>
  <c r="AB340" i="4"/>
  <c r="BC340" i="4"/>
  <c r="AL341" i="4"/>
  <c r="AR341" i="4" s="1"/>
  <c r="AX341" i="4" s="1"/>
  <c r="BD341" i="4" s="1"/>
  <c r="M342" i="4"/>
  <c r="BV338" i="4"/>
  <c r="BY338" i="4" s="1"/>
  <c r="BL338" i="4"/>
  <c r="BK339" i="4"/>
  <c r="CK340" i="4"/>
  <c r="W340" i="4"/>
  <c r="BI340" i="4"/>
  <c r="AU339" i="4"/>
  <c r="BA339" i="4" s="1"/>
  <c r="BH339" i="4"/>
  <c r="BV339" i="4" s="1"/>
  <c r="BY339" i="4" s="1"/>
  <c r="S342" i="4"/>
  <c r="CG342" i="4"/>
  <c r="AQ341" i="4"/>
  <c r="AW341" i="4" s="1"/>
  <c r="BO338" i="4"/>
  <c r="BG338" i="4"/>
  <c r="BP338" i="4" s="1"/>
  <c r="BQ338" i="4" s="1"/>
  <c r="AN340" i="4" l="1"/>
  <c r="AT340" i="4" s="1"/>
  <c r="AZ340" i="4" s="1"/>
  <c r="BF340" i="4" s="1"/>
  <c r="AB341" i="4"/>
  <c r="AJ340" i="4"/>
  <c r="AP340" i="4" s="1"/>
  <c r="AV340" i="4" s="1"/>
  <c r="X341" i="4"/>
  <c r="BB340" i="4"/>
  <c r="AM340" i="4"/>
  <c r="AS340" i="4" s="1"/>
  <c r="AY340" i="4" s="1"/>
  <c r="BE340" i="4" s="1"/>
  <c r="AA341" i="4"/>
  <c r="BL339" i="4"/>
  <c r="BM338" i="4"/>
  <c r="BN338" i="4" s="1"/>
  <c r="T342" i="4"/>
  <c r="CH342" i="4"/>
  <c r="BC341" i="4"/>
  <c r="CA342" i="4"/>
  <c r="Y342" i="4"/>
  <c r="BO339" i="4"/>
  <c r="BG339" i="4"/>
  <c r="BP339" i="4" s="1"/>
  <c r="BQ339" i="4" s="1"/>
  <c r="CE340" i="4"/>
  <c r="AC340" i="4"/>
  <c r="BI341" i="4"/>
  <c r="BS340" i="4"/>
  <c r="K342" i="4" l="1"/>
  <c r="AJ341" i="4"/>
  <c r="AP341" i="4" s="1"/>
  <c r="AV341" i="4" s="1"/>
  <c r="BB341" i="4"/>
  <c r="AM341" i="4"/>
  <c r="AS341" i="4" s="1"/>
  <c r="AY341" i="4" s="1"/>
  <c r="BE341" i="4" s="1"/>
  <c r="N342" i="4"/>
  <c r="AN341" i="4"/>
  <c r="AT341" i="4" s="1"/>
  <c r="AZ341" i="4" s="1"/>
  <c r="BF341" i="4" s="1"/>
  <c r="O342" i="4"/>
  <c r="BS341" i="4"/>
  <c r="CB342" i="4"/>
  <c r="Z342" i="4"/>
  <c r="AC341" i="4"/>
  <c r="AO340" i="4"/>
  <c r="BJ340" i="4"/>
  <c r="Y343" i="4"/>
  <c r="AK342" i="4"/>
  <c r="BM339" i="4"/>
  <c r="BN339" i="4" s="1"/>
  <c r="U342" i="4" l="1"/>
  <c r="CI342" i="4"/>
  <c r="CJ342" i="4"/>
  <c r="V342" i="4"/>
  <c r="R342" i="4"/>
  <c r="CF342" i="4"/>
  <c r="AU340" i="4"/>
  <c r="BA340" i="4" s="1"/>
  <c r="BH340" i="4"/>
  <c r="AO341" i="4"/>
  <c r="P342" i="4"/>
  <c r="BJ341" i="4"/>
  <c r="AL342" i="4"/>
  <c r="AR342" i="4" s="1"/>
  <c r="AX342" i="4" s="1"/>
  <c r="BD342" i="4" s="1"/>
  <c r="Z343" i="4"/>
  <c r="AQ342" i="4"/>
  <c r="AW342" i="4" s="1"/>
  <c r="AK343" i="4"/>
  <c r="L344" i="4"/>
  <c r="BK340" i="4"/>
  <c r="BZ342" i="4" l="1"/>
  <c r="X342" i="4"/>
  <c r="CD342" i="4"/>
  <c r="AB342" i="4"/>
  <c r="AA342" i="4"/>
  <c r="CC342" i="4"/>
  <c r="AQ343" i="4"/>
  <c r="AW343" i="4" s="1"/>
  <c r="W342" i="4"/>
  <c r="CK342" i="4"/>
  <c r="BI342" i="4"/>
  <c r="BC342" i="4"/>
  <c r="S344" i="4"/>
  <c r="CG344" i="4"/>
  <c r="AL343" i="4"/>
  <c r="AR343" i="4" s="1"/>
  <c r="AX343" i="4" s="1"/>
  <c r="BD343" i="4" s="1"/>
  <c r="M344" i="4"/>
  <c r="BK341" i="4"/>
  <c r="BV340" i="4"/>
  <c r="BY340" i="4" s="1"/>
  <c r="BL340" i="4"/>
  <c r="AU341" i="4"/>
  <c r="BA341" i="4" s="1"/>
  <c r="BH341" i="4"/>
  <c r="BV341" i="4" s="1"/>
  <c r="BY341" i="4" s="1"/>
  <c r="BO340" i="4"/>
  <c r="BG340" i="4"/>
  <c r="BP340" i="4" s="1"/>
  <c r="BQ340" i="4" s="1"/>
  <c r="AA343" i="4" l="1"/>
  <c r="AM342" i="4"/>
  <c r="AS342" i="4" s="1"/>
  <c r="AY342" i="4" s="1"/>
  <c r="BE342" i="4"/>
  <c r="AB343" i="4"/>
  <c r="AN342" i="4"/>
  <c r="AT342" i="4" s="1"/>
  <c r="AZ342" i="4" s="1"/>
  <c r="BF342" i="4" s="1"/>
  <c r="AJ342" i="4"/>
  <c r="AP342" i="4" s="1"/>
  <c r="AV342" i="4" s="1"/>
  <c r="BB342" i="4" s="1"/>
  <c r="X343" i="4"/>
  <c r="CA344" i="4"/>
  <c r="Y344" i="4"/>
  <c r="BL341" i="4"/>
  <c r="BM340" i="4"/>
  <c r="BN340" i="4" s="1"/>
  <c r="CE342" i="4"/>
  <c r="AC342" i="4"/>
  <c r="BI343" i="4"/>
  <c r="BS342" i="4"/>
  <c r="T344" i="4"/>
  <c r="CH344" i="4"/>
  <c r="BO341" i="4"/>
  <c r="BG341" i="4"/>
  <c r="BP341" i="4" s="1"/>
  <c r="BQ341" i="4" s="1"/>
  <c r="BC343" i="4"/>
  <c r="AJ343" i="4" l="1"/>
  <c r="AP343" i="4" s="1"/>
  <c r="AV343" i="4" s="1"/>
  <c r="K344" i="4"/>
  <c r="BB343" i="4"/>
  <c r="AN343" i="4"/>
  <c r="AT343" i="4" s="1"/>
  <c r="AZ343" i="4" s="1"/>
  <c r="BF343" i="4" s="1"/>
  <c r="O344" i="4"/>
  <c r="AM343" i="4"/>
  <c r="AS343" i="4" s="1"/>
  <c r="AY343" i="4" s="1"/>
  <c r="BE343" i="4" s="1"/>
  <c r="N344" i="4"/>
  <c r="BM341" i="4"/>
  <c r="BN341" i="4" s="1"/>
  <c r="BS343" i="4"/>
  <c r="CB344" i="4"/>
  <c r="Z344" i="4"/>
  <c r="AC343" i="4"/>
  <c r="AO342" i="4"/>
  <c r="BJ342" i="4"/>
  <c r="Y345" i="4"/>
  <c r="AK344" i="4"/>
  <c r="U344" i="4" l="1"/>
  <c r="CI344" i="4"/>
  <c r="V344" i="4"/>
  <c r="CJ344" i="4"/>
  <c r="R344" i="4"/>
  <c r="CF344" i="4"/>
  <c r="AQ344" i="4"/>
  <c r="AW344" i="4" s="1"/>
  <c r="AK345" i="4"/>
  <c r="L346" i="4"/>
  <c r="AO343" i="4"/>
  <c r="P344" i="4"/>
  <c r="BJ343" i="4"/>
  <c r="Z345" i="4"/>
  <c r="AL344" i="4"/>
  <c r="AR344" i="4" s="1"/>
  <c r="AX344" i="4" s="1"/>
  <c r="BD344" i="4" s="1"/>
  <c r="AU342" i="4"/>
  <c r="BA342" i="4" s="1"/>
  <c r="BH342" i="4"/>
  <c r="BK342" i="4"/>
  <c r="BZ344" i="4" l="1"/>
  <c r="X344" i="4"/>
  <c r="CD344" i="4"/>
  <c r="AB344" i="4"/>
  <c r="CC344" i="4"/>
  <c r="AA344" i="4"/>
  <c r="BK343" i="4"/>
  <c r="AQ345" i="4"/>
  <c r="AW345" i="4" s="1"/>
  <c r="BV342" i="4"/>
  <c r="BY342" i="4" s="1"/>
  <c r="BL342" i="4"/>
  <c r="S346" i="4"/>
  <c r="CG346" i="4"/>
  <c r="BC344" i="4"/>
  <c r="AL345" i="4"/>
  <c r="AR345" i="4" s="1"/>
  <c r="AX345" i="4" s="1"/>
  <c r="BD345" i="4" s="1"/>
  <c r="M346" i="4"/>
  <c r="CK344" i="4"/>
  <c r="W344" i="4"/>
  <c r="BI344" i="4"/>
  <c r="AU343" i="4"/>
  <c r="BA343" i="4" s="1"/>
  <c r="BH343" i="4"/>
  <c r="BV343" i="4" s="1"/>
  <c r="BY343" i="4" s="1"/>
  <c r="BO342" i="4"/>
  <c r="BG342" i="4"/>
  <c r="BP342" i="4" s="1"/>
  <c r="BQ342" i="4" s="1"/>
  <c r="AA345" i="4" l="1"/>
  <c r="AM344" i="4"/>
  <c r="AS344" i="4" s="1"/>
  <c r="AY344" i="4" s="1"/>
  <c r="BE344" i="4" s="1"/>
  <c r="AN344" i="4"/>
  <c r="AT344" i="4" s="1"/>
  <c r="AZ344" i="4" s="1"/>
  <c r="BF344" i="4" s="1"/>
  <c r="AB345" i="4"/>
  <c r="AJ344" i="4"/>
  <c r="AP344" i="4" s="1"/>
  <c r="AV344" i="4" s="1"/>
  <c r="BB344" i="4" s="1"/>
  <c r="X345" i="4"/>
  <c r="BI345" i="4"/>
  <c r="BS344" i="4"/>
  <c r="BC345" i="4"/>
  <c r="BO343" i="4"/>
  <c r="BG343" i="4"/>
  <c r="BP343" i="4" s="1"/>
  <c r="BQ343" i="4" s="1"/>
  <c r="BL343" i="4"/>
  <c r="BM342" i="4"/>
  <c r="BN342" i="4" s="1"/>
  <c r="CH346" i="4"/>
  <c r="T346" i="4"/>
  <c r="CA346" i="4"/>
  <c r="Y346" i="4"/>
  <c r="CE344" i="4"/>
  <c r="AC344" i="4"/>
  <c r="K346" i="4" l="1"/>
  <c r="AJ345" i="4"/>
  <c r="AP345" i="4" s="1"/>
  <c r="AV345" i="4" s="1"/>
  <c r="BB345" i="4"/>
  <c r="AN345" i="4"/>
  <c r="AT345" i="4" s="1"/>
  <c r="AZ345" i="4" s="1"/>
  <c r="BF345" i="4" s="1"/>
  <c r="O346" i="4"/>
  <c r="AM345" i="4"/>
  <c r="AS345" i="4" s="1"/>
  <c r="AY345" i="4" s="1"/>
  <c r="BE345" i="4" s="1"/>
  <c r="N346" i="4"/>
  <c r="AK346" i="4"/>
  <c r="Y347" i="4"/>
  <c r="CB346" i="4"/>
  <c r="Z346" i="4"/>
  <c r="BM343" i="4"/>
  <c r="BN343" i="4" s="1"/>
  <c r="AC345" i="4"/>
  <c r="AO344" i="4"/>
  <c r="BJ344" i="4"/>
  <c r="BS345" i="4"/>
  <c r="U346" i="4" l="1"/>
  <c r="CI346" i="4"/>
  <c r="V346" i="4"/>
  <c r="CJ346" i="4"/>
  <c r="CF346" i="4"/>
  <c r="R346" i="4"/>
  <c r="AL346" i="4"/>
  <c r="AR346" i="4" s="1"/>
  <c r="AX346" i="4" s="1"/>
  <c r="BD346" i="4" s="1"/>
  <c r="Z347" i="4"/>
  <c r="AK347" i="4"/>
  <c r="L348" i="4"/>
  <c r="AU344" i="4"/>
  <c r="BA344" i="4" s="1"/>
  <c r="BH344" i="4"/>
  <c r="BK344" i="4"/>
  <c r="AQ346" i="4"/>
  <c r="AW346" i="4" s="1"/>
  <c r="AO345" i="4"/>
  <c r="P346" i="4"/>
  <c r="BJ345" i="4"/>
  <c r="BZ346" i="4" l="1"/>
  <c r="X346" i="4"/>
  <c r="AB346" i="4"/>
  <c r="CD346" i="4"/>
  <c r="CC346" i="4"/>
  <c r="AA346" i="4"/>
  <c r="S348" i="4"/>
  <c r="CG348" i="4"/>
  <c r="AQ347" i="4"/>
  <c r="AW347" i="4" s="1"/>
  <c r="BK345" i="4"/>
  <c r="W346" i="4"/>
  <c r="CK346" i="4"/>
  <c r="BI346" i="4"/>
  <c r="AU345" i="4"/>
  <c r="BA345" i="4" s="1"/>
  <c r="BH345" i="4"/>
  <c r="BV345" i="4" s="1"/>
  <c r="BY345" i="4" s="1"/>
  <c r="BO344" i="4"/>
  <c r="BG344" i="4"/>
  <c r="BP344" i="4" s="1"/>
  <c r="BQ344" i="4" s="1"/>
  <c r="AL347" i="4"/>
  <c r="AR347" i="4" s="1"/>
  <c r="AX347" i="4" s="1"/>
  <c r="BD347" i="4" s="1"/>
  <c r="M348" i="4"/>
  <c r="BC346" i="4"/>
  <c r="BV344" i="4"/>
  <c r="BY344" i="4" s="1"/>
  <c r="BL344" i="4"/>
  <c r="AA347" i="4" l="1"/>
  <c r="AM346" i="4"/>
  <c r="AS346" i="4" s="1"/>
  <c r="AY346" i="4" s="1"/>
  <c r="BE346" i="4" s="1"/>
  <c r="AN346" i="4"/>
  <c r="AT346" i="4" s="1"/>
  <c r="AZ346" i="4" s="1"/>
  <c r="BF346" i="4" s="1"/>
  <c r="AB347" i="4"/>
  <c r="X347" i="4"/>
  <c r="AJ346" i="4"/>
  <c r="AP346" i="4" s="1"/>
  <c r="AV346" i="4" s="1"/>
  <c r="BB346" i="4" s="1"/>
  <c r="T348" i="4"/>
  <c r="CH348" i="4"/>
  <c r="BC347" i="4"/>
  <c r="BL345" i="4"/>
  <c r="BM344" i="4"/>
  <c r="BN344" i="4" s="1"/>
  <c r="BO345" i="4"/>
  <c r="BG345" i="4"/>
  <c r="BP345" i="4" s="1"/>
  <c r="BQ345" i="4" s="1"/>
  <c r="BI347" i="4"/>
  <c r="BS346" i="4"/>
  <c r="CE346" i="4"/>
  <c r="AC346" i="4"/>
  <c r="CA348" i="4"/>
  <c r="Y348" i="4"/>
  <c r="O348" i="4" l="1"/>
  <c r="AN347" i="4"/>
  <c r="AT347" i="4" s="1"/>
  <c r="AZ347" i="4" s="1"/>
  <c r="BF347" i="4" s="1"/>
  <c r="K348" i="4"/>
  <c r="AJ347" i="4"/>
  <c r="AP347" i="4" s="1"/>
  <c r="AV347" i="4" s="1"/>
  <c r="BB347" i="4" s="1"/>
  <c r="AM347" i="4"/>
  <c r="AS347" i="4" s="1"/>
  <c r="AY347" i="4" s="1"/>
  <c r="BE347" i="4" s="1"/>
  <c r="N348" i="4"/>
  <c r="BM345" i="4"/>
  <c r="BN345" i="4" s="1"/>
  <c r="BS347" i="4"/>
  <c r="Y349" i="4"/>
  <c r="AK348" i="4"/>
  <c r="AC347" i="4"/>
  <c r="AO346" i="4"/>
  <c r="BJ346" i="4"/>
  <c r="CB348" i="4"/>
  <c r="Z348" i="4"/>
  <c r="U348" i="4" l="1"/>
  <c r="CI348" i="4"/>
  <c r="CF348" i="4"/>
  <c r="R348" i="4"/>
  <c r="CJ348" i="4"/>
  <c r="V348" i="4"/>
  <c r="BK346" i="4"/>
  <c r="Z349" i="4"/>
  <c r="AL348" i="4"/>
  <c r="AR348" i="4" s="1"/>
  <c r="AX348" i="4" s="1"/>
  <c r="BD348" i="4" s="1"/>
  <c r="AU346" i="4"/>
  <c r="BA346" i="4" s="1"/>
  <c r="BH346" i="4"/>
  <c r="AQ348" i="4"/>
  <c r="AW348" i="4" s="1"/>
  <c r="AK349" i="4"/>
  <c r="L350" i="4"/>
  <c r="AO347" i="4"/>
  <c r="P348" i="4"/>
  <c r="BJ347" i="4"/>
  <c r="CD348" i="4" l="1"/>
  <c r="AB348" i="4"/>
  <c r="BZ348" i="4"/>
  <c r="X348" i="4"/>
  <c r="AA348" i="4"/>
  <c r="CC348" i="4"/>
  <c r="BC348" i="4"/>
  <c r="BV346" i="4"/>
  <c r="BY346" i="4" s="1"/>
  <c r="BL346" i="4"/>
  <c r="W348" i="4"/>
  <c r="CK348" i="4"/>
  <c r="BI348" i="4"/>
  <c r="BK347" i="4"/>
  <c r="AQ349" i="4"/>
  <c r="AW349" i="4" s="1"/>
  <c r="AU347" i="4"/>
  <c r="BA347" i="4" s="1"/>
  <c r="BH347" i="4"/>
  <c r="BV347" i="4" s="1"/>
  <c r="BY347" i="4" s="1"/>
  <c r="BO346" i="4"/>
  <c r="BG346" i="4"/>
  <c r="BP346" i="4" s="1"/>
  <c r="BQ346" i="4" s="1"/>
  <c r="S350" i="4"/>
  <c r="CG350" i="4"/>
  <c r="AL349" i="4"/>
  <c r="AR349" i="4" s="1"/>
  <c r="AX349" i="4" s="1"/>
  <c r="BD349" i="4" s="1"/>
  <c r="M350" i="4"/>
  <c r="AA349" i="4" l="1"/>
  <c r="AM348" i="4"/>
  <c r="AS348" i="4" s="1"/>
  <c r="AY348" i="4" s="1"/>
  <c r="BE348" i="4" s="1"/>
  <c r="X349" i="4"/>
  <c r="AJ348" i="4"/>
  <c r="AP348" i="4" s="1"/>
  <c r="AV348" i="4" s="1"/>
  <c r="BB348" i="4" s="1"/>
  <c r="AB349" i="4"/>
  <c r="AN348" i="4"/>
  <c r="AT348" i="4" s="1"/>
  <c r="AZ348" i="4" s="1"/>
  <c r="BF348" i="4" s="1"/>
  <c r="BI349" i="4"/>
  <c r="BS348" i="4"/>
  <c r="T350" i="4"/>
  <c r="CH350" i="4"/>
  <c r="BL347" i="4"/>
  <c r="BM346" i="4"/>
  <c r="BN346" i="4" s="1"/>
  <c r="BC349" i="4"/>
  <c r="CA350" i="4"/>
  <c r="Y350" i="4"/>
  <c r="CE348" i="4"/>
  <c r="AC348" i="4"/>
  <c r="BO347" i="4"/>
  <c r="BG347" i="4"/>
  <c r="BP347" i="4" s="1"/>
  <c r="BQ347" i="4" s="1"/>
  <c r="AN349" i="4" l="1"/>
  <c r="AT349" i="4" s="1"/>
  <c r="AZ349" i="4" s="1"/>
  <c r="BF349" i="4" s="1"/>
  <c r="O350" i="4"/>
  <c r="K350" i="4"/>
  <c r="AJ349" i="4"/>
  <c r="AP349" i="4" s="1"/>
  <c r="AV349" i="4" s="1"/>
  <c r="BB349" i="4" s="1"/>
  <c r="N350" i="4"/>
  <c r="AM349" i="4"/>
  <c r="AS349" i="4" s="1"/>
  <c r="AY349" i="4" s="1"/>
  <c r="BE349" i="4" s="1"/>
  <c r="BM347" i="4"/>
  <c r="BN347" i="4" s="1"/>
  <c r="AC349" i="4"/>
  <c r="AO348" i="4"/>
  <c r="BJ348" i="4"/>
  <c r="Y351" i="4"/>
  <c r="AK350" i="4"/>
  <c r="CB350" i="4"/>
  <c r="Z350" i="4"/>
  <c r="BS349" i="4"/>
  <c r="CI350" i="4" l="1"/>
  <c r="U350" i="4"/>
  <c r="R350" i="4"/>
  <c r="CF350" i="4"/>
  <c r="CJ350" i="4"/>
  <c r="V350" i="4"/>
  <c r="AK351" i="4"/>
  <c r="L352" i="4"/>
  <c r="AU348" i="4"/>
  <c r="BA348" i="4" s="1"/>
  <c r="BH348" i="4"/>
  <c r="AO349" i="4"/>
  <c r="P350" i="4"/>
  <c r="BJ349" i="4"/>
  <c r="AQ350" i="4"/>
  <c r="AW350" i="4" s="1"/>
  <c r="BK348" i="4"/>
  <c r="AL350" i="4"/>
  <c r="AR350" i="4" s="1"/>
  <c r="AX350" i="4" s="1"/>
  <c r="BD350" i="4" s="1"/>
  <c r="Z351" i="4"/>
  <c r="AB350" i="4" l="1"/>
  <c r="CD350" i="4"/>
  <c r="BZ350" i="4"/>
  <c r="X350" i="4"/>
  <c r="CC350" i="4"/>
  <c r="AA350" i="4"/>
  <c r="BC350" i="4"/>
  <c r="AL351" i="4"/>
  <c r="AR351" i="4" s="1"/>
  <c r="AX351" i="4" s="1"/>
  <c r="BD351" i="4" s="1"/>
  <c r="M352" i="4"/>
  <c r="BV348" i="4"/>
  <c r="BY348" i="4" s="1"/>
  <c r="BL348" i="4"/>
  <c r="S352" i="4"/>
  <c r="CG352" i="4"/>
  <c r="W350" i="4"/>
  <c r="CK350" i="4"/>
  <c r="BI350" i="4"/>
  <c r="AU349" i="4"/>
  <c r="BA349" i="4" s="1"/>
  <c r="BH349" i="4"/>
  <c r="BV349" i="4" s="1"/>
  <c r="BY349" i="4" s="1"/>
  <c r="BO348" i="4"/>
  <c r="BG348" i="4"/>
  <c r="BP348" i="4" s="1"/>
  <c r="BQ348" i="4" s="1"/>
  <c r="BK349" i="4"/>
  <c r="AQ351" i="4"/>
  <c r="AW351" i="4" s="1"/>
  <c r="AM350" i="4" l="1"/>
  <c r="AS350" i="4" s="1"/>
  <c r="AY350" i="4" s="1"/>
  <c r="BE350" i="4" s="1"/>
  <c r="AA351" i="4"/>
  <c r="AJ350" i="4"/>
  <c r="AP350" i="4" s="1"/>
  <c r="AV350" i="4" s="1"/>
  <c r="BB350" i="4" s="1"/>
  <c r="X351" i="4"/>
  <c r="AN350" i="4"/>
  <c r="AT350" i="4" s="1"/>
  <c r="AZ350" i="4" s="1"/>
  <c r="BF350" i="4" s="1"/>
  <c r="AB351" i="4"/>
  <c r="BO349" i="4"/>
  <c r="BG349" i="4"/>
  <c r="BP349" i="4" s="1"/>
  <c r="BQ349" i="4" s="1"/>
  <c r="CA352" i="4"/>
  <c r="Y352" i="4"/>
  <c r="BC351" i="4"/>
  <c r="BI351" i="4"/>
  <c r="BS350" i="4"/>
  <c r="CE350" i="4"/>
  <c r="AC350" i="4"/>
  <c r="T352" i="4"/>
  <c r="CH352" i="4"/>
  <c r="BL349" i="4"/>
  <c r="BM348" i="4"/>
  <c r="BN348" i="4" s="1"/>
  <c r="AJ351" i="4" l="1"/>
  <c r="AP351" i="4" s="1"/>
  <c r="AV351" i="4" s="1"/>
  <c r="K352" i="4"/>
  <c r="BB351" i="4"/>
  <c r="AN351" i="4"/>
  <c r="AT351" i="4" s="1"/>
  <c r="AZ351" i="4" s="1"/>
  <c r="BF351" i="4" s="1"/>
  <c r="O352" i="4"/>
  <c r="AM351" i="4"/>
  <c r="AS351" i="4" s="1"/>
  <c r="AY351" i="4" s="1"/>
  <c r="BE351" i="4" s="1"/>
  <c r="N352" i="4"/>
  <c r="AK352" i="4"/>
  <c r="Y353" i="4"/>
  <c r="BS351" i="4"/>
  <c r="AO350" i="4"/>
  <c r="AC351" i="4"/>
  <c r="BJ350" i="4"/>
  <c r="BM349" i="4"/>
  <c r="BN349" i="4" s="1"/>
  <c r="CB352" i="4"/>
  <c r="Z352" i="4"/>
  <c r="V352" i="4" l="1"/>
  <c r="CJ352" i="4"/>
  <c r="U352" i="4"/>
  <c r="CI352" i="4"/>
  <c r="CF352" i="4"/>
  <c r="R352" i="4"/>
  <c r="AU350" i="4"/>
  <c r="BA350" i="4" s="1"/>
  <c r="BH350" i="4"/>
  <c r="AQ352" i="4"/>
  <c r="AW352" i="4" s="1"/>
  <c r="AL352" i="4"/>
  <c r="AR352" i="4" s="1"/>
  <c r="AX352" i="4" s="1"/>
  <c r="BD352" i="4" s="1"/>
  <c r="Z353" i="4"/>
  <c r="AK353" i="4"/>
  <c r="L354" i="4"/>
  <c r="BK350" i="4"/>
  <c r="AO351" i="4"/>
  <c r="P352" i="4"/>
  <c r="BJ351" i="4"/>
  <c r="BZ352" i="4" l="1"/>
  <c r="X352" i="4"/>
  <c r="AA352" i="4"/>
  <c r="CC352" i="4"/>
  <c r="AB352" i="4"/>
  <c r="CD352" i="4"/>
  <c r="AU351" i="4"/>
  <c r="BA351" i="4" s="1"/>
  <c r="BH351" i="4"/>
  <c r="BV351" i="4" s="1"/>
  <c r="BY351" i="4" s="1"/>
  <c r="BV350" i="4"/>
  <c r="BY350" i="4" s="1"/>
  <c r="BL350" i="4"/>
  <c r="W352" i="4"/>
  <c r="CK352" i="4"/>
  <c r="BI352" i="4"/>
  <c r="S354" i="4"/>
  <c r="CG354" i="4"/>
  <c r="BO350" i="4"/>
  <c r="BG350" i="4"/>
  <c r="BP350" i="4" s="1"/>
  <c r="BQ350" i="4" s="1"/>
  <c r="BK351" i="4"/>
  <c r="AL353" i="4"/>
  <c r="AR353" i="4" s="1"/>
  <c r="AX353" i="4" s="1"/>
  <c r="BD353" i="4" s="1"/>
  <c r="M354" i="4"/>
  <c r="BC352" i="4"/>
  <c r="AQ353" i="4"/>
  <c r="AW353" i="4" s="1"/>
  <c r="AN352" i="4" l="1"/>
  <c r="AT352" i="4" s="1"/>
  <c r="AZ352" i="4" s="1"/>
  <c r="BF352" i="4" s="1"/>
  <c r="AB353" i="4"/>
  <c r="AA353" i="4"/>
  <c r="AM352" i="4"/>
  <c r="AS352" i="4" s="1"/>
  <c r="AY352" i="4" s="1"/>
  <c r="BE352" i="4" s="1"/>
  <c r="AJ352" i="4"/>
  <c r="AP352" i="4" s="1"/>
  <c r="AV352" i="4" s="1"/>
  <c r="BB352" i="4" s="1"/>
  <c r="X353" i="4"/>
  <c r="CA354" i="4"/>
  <c r="Y354" i="4"/>
  <c r="BL351" i="4"/>
  <c r="BM350" i="4"/>
  <c r="BN350" i="4" s="1"/>
  <c r="BO351" i="4"/>
  <c r="BG351" i="4"/>
  <c r="BP351" i="4" s="1"/>
  <c r="BQ351" i="4" s="1"/>
  <c r="BI353" i="4"/>
  <c r="BS352" i="4"/>
  <c r="CE352" i="4"/>
  <c r="AC352" i="4"/>
  <c r="T354" i="4"/>
  <c r="CH354" i="4"/>
  <c r="BC353" i="4"/>
  <c r="AJ353" i="4" l="1"/>
  <c r="AP353" i="4" s="1"/>
  <c r="AV353" i="4" s="1"/>
  <c r="K354" i="4"/>
  <c r="BB353" i="4"/>
  <c r="N354" i="4"/>
  <c r="AM353" i="4"/>
  <c r="AS353" i="4" s="1"/>
  <c r="AY353" i="4" s="1"/>
  <c r="BE353" i="4" s="1"/>
  <c r="AN353" i="4"/>
  <c r="AT353" i="4" s="1"/>
  <c r="AZ353" i="4" s="1"/>
  <c r="BF353" i="4" s="1"/>
  <c r="O354" i="4"/>
  <c r="BM351" i="4"/>
  <c r="BN351" i="4" s="1"/>
  <c r="AC353" i="4"/>
  <c r="AO352" i="4"/>
  <c r="BJ352" i="4"/>
  <c r="BS353" i="4"/>
  <c r="CB354" i="4"/>
  <c r="Z354" i="4"/>
  <c r="Y355" i="4"/>
  <c r="AK354" i="4"/>
  <c r="V354" i="4" l="1"/>
  <c r="CJ354" i="4"/>
  <c r="CI354" i="4"/>
  <c r="U354" i="4"/>
  <c r="CF354" i="4"/>
  <c r="R354" i="4"/>
  <c r="AU352" i="4"/>
  <c r="BA352" i="4" s="1"/>
  <c r="BH352" i="4"/>
  <c r="BK352" i="4"/>
  <c r="AL354" i="4"/>
  <c r="AR354" i="4" s="1"/>
  <c r="AX354" i="4" s="1"/>
  <c r="BD354" i="4" s="1"/>
  <c r="Z355" i="4"/>
  <c r="AO353" i="4"/>
  <c r="P354" i="4"/>
  <c r="BJ353" i="4"/>
  <c r="AK355" i="4"/>
  <c r="L356" i="4"/>
  <c r="AQ354" i="4"/>
  <c r="AW354" i="4" s="1"/>
  <c r="BZ354" i="4" l="1"/>
  <c r="X354" i="4"/>
  <c r="CC354" i="4"/>
  <c r="AA354" i="4"/>
  <c r="AB354" i="4"/>
  <c r="CD354" i="4"/>
  <c r="BK353" i="4"/>
  <c r="W354" i="4"/>
  <c r="CK354" i="4"/>
  <c r="BI354" i="4"/>
  <c r="AU353" i="4"/>
  <c r="BA353" i="4" s="1"/>
  <c r="BH353" i="4"/>
  <c r="BV353" i="4" s="1"/>
  <c r="BY353" i="4" s="1"/>
  <c r="AL355" i="4"/>
  <c r="AR355" i="4" s="1"/>
  <c r="AX355" i="4" s="1"/>
  <c r="BD355" i="4" s="1"/>
  <c r="M356" i="4"/>
  <c r="BC354" i="4"/>
  <c r="S356" i="4"/>
  <c r="CG356" i="4"/>
  <c r="AQ355" i="4"/>
  <c r="AW355" i="4" s="1"/>
  <c r="BV352" i="4"/>
  <c r="BY352" i="4" s="1"/>
  <c r="BL352" i="4"/>
  <c r="BO352" i="4"/>
  <c r="BG352" i="4"/>
  <c r="BP352" i="4" s="1"/>
  <c r="BQ352" i="4" s="1"/>
  <c r="AN354" i="4" l="1"/>
  <c r="AT354" i="4" s="1"/>
  <c r="AZ354" i="4" s="1"/>
  <c r="BF354" i="4" s="1"/>
  <c r="AB355" i="4"/>
  <c r="AA355" i="4"/>
  <c r="AM354" i="4"/>
  <c r="AS354" i="4" s="1"/>
  <c r="AY354" i="4" s="1"/>
  <c r="BE354" i="4" s="1"/>
  <c r="X355" i="4"/>
  <c r="AJ354" i="4"/>
  <c r="AP354" i="4" s="1"/>
  <c r="AV354" i="4" s="1"/>
  <c r="BB354" i="4" s="1"/>
  <c r="BI355" i="4"/>
  <c r="BS354" i="4"/>
  <c r="CE354" i="4"/>
  <c r="AC354" i="4"/>
  <c r="BO353" i="4"/>
  <c r="BG353" i="4"/>
  <c r="BP353" i="4" s="1"/>
  <c r="BQ353" i="4" s="1"/>
  <c r="CA356" i="4"/>
  <c r="Y356" i="4"/>
  <c r="BC355" i="4"/>
  <c r="T356" i="4"/>
  <c r="CH356" i="4"/>
  <c r="BL353" i="4"/>
  <c r="BM352" i="4"/>
  <c r="BN352" i="4" s="1"/>
  <c r="K356" i="4" l="1"/>
  <c r="AJ355" i="4"/>
  <c r="AP355" i="4" s="1"/>
  <c r="AV355" i="4" s="1"/>
  <c r="BB355" i="4"/>
  <c r="AM355" i="4"/>
  <c r="AS355" i="4" s="1"/>
  <c r="AY355" i="4" s="1"/>
  <c r="BE355" i="4" s="1"/>
  <c r="N356" i="4"/>
  <c r="AN355" i="4"/>
  <c r="AT355" i="4" s="1"/>
  <c r="AZ355" i="4" s="1"/>
  <c r="BF355" i="4" s="1"/>
  <c r="O356" i="4"/>
  <c r="CB356" i="4"/>
  <c r="Z356" i="4"/>
  <c r="Y357" i="4"/>
  <c r="AK356" i="4"/>
  <c r="AC355" i="4"/>
  <c r="AO354" i="4"/>
  <c r="BJ354" i="4"/>
  <c r="BM353" i="4"/>
  <c r="BN353" i="4" s="1"/>
  <c r="BS355" i="4"/>
  <c r="V356" i="4" l="1"/>
  <c r="CJ356" i="4"/>
  <c r="U356" i="4"/>
  <c r="CI356" i="4"/>
  <c r="R356" i="4"/>
  <c r="CF356" i="4"/>
  <c r="BK354" i="4"/>
  <c r="AO355" i="4"/>
  <c r="P356" i="4"/>
  <c r="BJ355" i="4"/>
  <c r="AQ356" i="4"/>
  <c r="AW356" i="4" s="1"/>
  <c r="AK357" i="4"/>
  <c r="L358" i="4"/>
  <c r="AL356" i="4"/>
  <c r="AR356" i="4" s="1"/>
  <c r="AX356" i="4" s="1"/>
  <c r="BD356" i="4" s="1"/>
  <c r="Z357" i="4"/>
  <c r="AU354" i="4"/>
  <c r="BA354" i="4" s="1"/>
  <c r="BH354" i="4"/>
  <c r="BZ356" i="4" l="1"/>
  <c r="X356" i="4"/>
  <c r="AA356" i="4"/>
  <c r="CC356" i="4"/>
  <c r="AB356" i="4"/>
  <c r="CD356" i="4"/>
  <c r="BK355" i="4"/>
  <c r="AQ357" i="4"/>
  <c r="AW357" i="4" s="1"/>
  <c r="BC356" i="4"/>
  <c r="W356" i="4"/>
  <c r="CK356" i="4"/>
  <c r="BI356" i="4"/>
  <c r="AU355" i="4"/>
  <c r="BA355" i="4" s="1"/>
  <c r="BH355" i="4"/>
  <c r="BV355" i="4" s="1"/>
  <c r="BY355" i="4" s="1"/>
  <c r="BO354" i="4"/>
  <c r="BG354" i="4"/>
  <c r="BP354" i="4" s="1"/>
  <c r="BQ354" i="4" s="1"/>
  <c r="AL357" i="4"/>
  <c r="AR357" i="4" s="1"/>
  <c r="AX357" i="4" s="1"/>
  <c r="BD357" i="4" s="1"/>
  <c r="M358" i="4"/>
  <c r="BV354" i="4"/>
  <c r="BY354" i="4" s="1"/>
  <c r="BL354" i="4"/>
  <c r="S358" i="4"/>
  <c r="CG358" i="4"/>
  <c r="AN356" i="4" l="1"/>
  <c r="AT356" i="4" s="1"/>
  <c r="AZ356" i="4" s="1"/>
  <c r="BF356" i="4" s="1"/>
  <c r="AB357" i="4"/>
  <c r="AM356" i="4"/>
  <c r="AS356" i="4" s="1"/>
  <c r="AY356" i="4" s="1"/>
  <c r="BE356" i="4" s="1"/>
  <c r="AA357" i="4"/>
  <c r="AJ356" i="4"/>
  <c r="AP356" i="4" s="1"/>
  <c r="AV356" i="4" s="1"/>
  <c r="BB356" i="4" s="1"/>
  <c r="X357" i="4"/>
  <c r="BI357" i="4"/>
  <c r="BS356" i="4"/>
  <c r="CE356" i="4"/>
  <c r="AC356" i="4"/>
  <c r="BO355" i="4"/>
  <c r="BG355" i="4"/>
  <c r="BP355" i="4" s="1"/>
  <c r="BQ355" i="4" s="1"/>
  <c r="BL355" i="4"/>
  <c r="BM354" i="4"/>
  <c r="BN354" i="4" s="1"/>
  <c r="T358" i="4"/>
  <c r="CH358" i="4"/>
  <c r="BC357" i="4"/>
  <c r="CA358" i="4"/>
  <c r="Y358" i="4"/>
  <c r="AJ357" i="4" l="1"/>
  <c r="AP357" i="4" s="1"/>
  <c r="AV357" i="4" s="1"/>
  <c r="K358" i="4"/>
  <c r="BB357" i="4"/>
  <c r="AM357" i="4"/>
  <c r="AS357" i="4" s="1"/>
  <c r="AY357" i="4" s="1"/>
  <c r="BE357" i="4" s="1"/>
  <c r="N358" i="4"/>
  <c r="O358" i="4"/>
  <c r="AN357" i="4"/>
  <c r="AT357" i="4" s="1"/>
  <c r="AZ357" i="4" s="1"/>
  <c r="BF357" i="4" s="1"/>
  <c r="BS357" i="4"/>
  <c r="AC357" i="4"/>
  <c r="AO356" i="4"/>
  <c r="BJ356" i="4"/>
  <c r="CB358" i="4"/>
  <c r="Z358" i="4"/>
  <c r="Y359" i="4"/>
  <c r="AK358" i="4"/>
  <c r="BM355" i="4"/>
  <c r="BN355" i="4" s="1"/>
  <c r="V358" i="4" l="1"/>
  <c r="CJ358" i="4"/>
  <c r="CI358" i="4"/>
  <c r="U358" i="4"/>
  <c r="CF358" i="4"/>
  <c r="R358" i="4"/>
  <c r="AK359" i="4"/>
  <c r="L360" i="4"/>
  <c r="AU356" i="4"/>
  <c r="BA356" i="4" s="1"/>
  <c r="BH356" i="4"/>
  <c r="AQ358" i="4"/>
  <c r="AW358" i="4" s="1"/>
  <c r="Z359" i="4"/>
  <c r="AL358" i="4"/>
  <c r="AR358" i="4" s="1"/>
  <c r="AX358" i="4" s="1"/>
  <c r="BD358" i="4" s="1"/>
  <c r="BK356" i="4"/>
  <c r="AO357" i="4"/>
  <c r="P358" i="4"/>
  <c r="BJ357" i="4"/>
  <c r="BZ358" i="4" l="1"/>
  <c r="X358" i="4"/>
  <c r="AA358" i="4"/>
  <c r="CC358" i="4"/>
  <c r="AB358" i="4"/>
  <c r="CD358" i="4"/>
  <c r="BK357" i="4"/>
  <c r="BV356" i="4"/>
  <c r="BY356" i="4" s="1"/>
  <c r="BL356" i="4"/>
  <c r="S360" i="4"/>
  <c r="CG360" i="4"/>
  <c r="W358" i="4"/>
  <c r="CK358" i="4"/>
  <c r="BI358" i="4"/>
  <c r="AU357" i="4"/>
  <c r="BA357" i="4" s="1"/>
  <c r="BH357" i="4"/>
  <c r="BV357" i="4" s="1"/>
  <c r="BY357" i="4" s="1"/>
  <c r="AL359" i="4"/>
  <c r="AR359" i="4" s="1"/>
  <c r="AX359" i="4" s="1"/>
  <c r="BD359" i="4" s="1"/>
  <c r="M360" i="4"/>
  <c r="BC358" i="4"/>
  <c r="BO356" i="4"/>
  <c r="BG356" i="4"/>
  <c r="BP356" i="4" s="1"/>
  <c r="BQ356" i="4" s="1"/>
  <c r="AQ359" i="4"/>
  <c r="AW359" i="4" s="1"/>
  <c r="AB359" i="4" l="1"/>
  <c r="AN358" i="4"/>
  <c r="AT358" i="4" s="1"/>
  <c r="AZ358" i="4" s="1"/>
  <c r="BF358" i="4" s="1"/>
  <c r="AM358" i="4"/>
  <c r="AS358" i="4" s="1"/>
  <c r="AY358" i="4" s="1"/>
  <c r="BE358" i="4" s="1"/>
  <c r="AA359" i="4"/>
  <c r="AJ358" i="4"/>
  <c r="AP358" i="4" s="1"/>
  <c r="AV358" i="4" s="1"/>
  <c r="BB358" i="4" s="1"/>
  <c r="X359" i="4"/>
  <c r="T360" i="4"/>
  <c r="CH360" i="4"/>
  <c r="BL357" i="4"/>
  <c r="BM356" i="4"/>
  <c r="BN356" i="4" s="1"/>
  <c r="BO357" i="4"/>
  <c r="BG357" i="4"/>
  <c r="BP357" i="4" s="1"/>
  <c r="BQ357" i="4" s="1"/>
  <c r="BI359" i="4"/>
  <c r="BS358" i="4"/>
  <c r="CA360" i="4"/>
  <c r="Y360" i="4"/>
  <c r="BC359" i="4"/>
  <c r="CE358" i="4"/>
  <c r="AC358" i="4"/>
  <c r="AM359" i="4" l="1"/>
  <c r="AS359" i="4" s="1"/>
  <c r="AY359" i="4" s="1"/>
  <c r="BE359" i="4" s="1"/>
  <c r="N360" i="4"/>
  <c r="K360" i="4"/>
  <c r="AJ359" i="4"/>
  <c r="AP359" i="4" s="1"/>
  <c r="AV359" i="4" s="1"/>
  <c r="BB359" i="4" s="1"/>
  <c r="AN359" i="4"/>
  <c r="AT359" i="4" s="1"/>
  <c r="AZ359" i="4" s="1"/>
  <c r="BF359" i="4" s="1"/>
  <c r="O360" i="4"/>
  <c r="AO358" i="4"/>
  <c r="AC359" i="4"/>
  <c r="BJ358" i="4"/>
  <c r="BS359" i="4"/>
  <c r="BM357" i="4"/>
  <c r="BN357" i="4" s="1"/>
  <c r="AK360" i="4"/>
  <c r="Y361" i="4"/>
  <c r="CB360" i="4"/>
  <c r="Z360" i="4"/>
  <c r="CJ360" i="4" l="1"/>
  <c r="V360" i="4"/>
  <c r="R360" i="4"/>
  <c r="CF360" i="4"/>
  <c r="U360" i="4"/>
  <c r="CI360" i="4"/>
  <c r="AK361" i="4"/>
  <c r="L362" i="4"/>
  <c r="AU358" i="4"/>
  <c r="BA358" i="4" s="1"/>
  <c r="BH358" i="4"/>
  <c r="AL360" i="4"/>
  <c r="AR360" i="4" s="1"/>
  <c r="AX360" i="4" s="1"/>
  <c r="BD360" i="4" s="1"/>
  <c r="Z361" i="4"/>
  <c r="BK358" i="4"/>
  <c r="AQ360" i="4"/>
  <c r="AW360" i="4" s="1"/>
  <c r="AO359" i="4"/>
  <c r="P360" i="4"/>
  <c r="BJ359" i="4"/>
  <c r="AA360" i="4" l="1"/>
  <c r="CC360" i="4"/>
  <c r="BZ360" i="4"/>
  <c r="X360" i="4"/>
  <c r="AB360" i="4"/>
  <c r="CD360" i="4"/>
  <c r="BO358" i="4"/>
  <c r="BG358" i="4"/>
  <c r="BP358" i="4" s="1"/>
  <c r="BQ358" i="4" s="1"/>
  <c r="S362" i="4"/>
  <c r="CG362" i="4"/>
  <c r="AU359" i="4"/>
  <c r="BA359" i="4" s="1"/>
  <c r="BH359" i="4"/>
  <c r="BV359" i="4" s="1"/>
  <c r="BY359" i="4" s="1"/>
  <c r="BV358" i="4"/>
  <c r="BY358" i="4" s="1"/>
  <c r="BL358" i="4"/>
  <c r="CK360" i="4"/>
  <c r="W360" i="4"/>
  <c r="BI360" i="4"/>
  <c r="BK359" i="4"/>
  <c r="AQ361" i="4"/>
  <c r="AW361" i="4" s="1"/>
  <c r="BC360" i="4"/>
  <c r="AL361" i="4"/>
  <c r="AR361" i="4" s="1"/>
  <c r="AX361" i="4" s="1"/>
  <c r="BD361" i="4" s="1"/>
  <c r="M362" i="4"/>
  <c r="AN360" i="4" l="1"/>
  <c r="AT360" i="4" s="1"/>
  <c r="AZ360" i="4" s="1"/>
  <c r="BF360" i="4" s="1"/>
  <c r="AB361" i="4"/>
  <c r="X361" i="4"/>
  <c r="AJ360" i="4"/>
  <c r="AP360" i="4" s="1"/>
  <c r="AV360" i="4" s="1"/>
  <c r="BB360" i="4"/>
  <c r="AA361" i="4"/>
  <c r="AM360" i="4"/>
  <c r="AS360" i="4" s="1"/>
  <c r="AY360" i="4" s="1"/>
  <c r="BE360" i="4" s="1"/>
  <c r="BL359" i="4"/>
  <c r="BM358" i="4"/>
  <c r="BN358" i="4" s="1"/>
  <c r="BI361" i="4"/>
  <c r="BS360" i="4"/>
  <c r="CE360" i="4"/>
  <c r="AC360" i="4"/>
  <c r="BO359" i="4"/>
  <c r="BG359" i="4"/>
  <c r="BP359" i="4" s="1"/>
  <c r="BQ359" i="4" s="1"/>
  <c r="CA362" i="4"/>
  <c r="Y362" i="4"/>
  <c r="BC361" i="4"/>
  <c r="T362" i="4"/>
  <c r="CH362" i="4"/>
  <c r="AM361" i="4" l="1"/>
  <c r="AS361" i="4" s="1"/>
  <c r="AY361" i="4" s="1"/>
  <c r="BE361" i="4" s="1"/>
  <c r="N362" i="4"/>
  <c r="K362" i="4"/>
  <c r="AJ361" i="4"/>
  <c r="AP361" i="4" s="1"/>
  <c r="AV361" i="4" s="1"/>
  <c r="BB361" i="4" s="1"/>
  <c r="O362" i="4"/>
  <c r="AN361" i="4"/>
  <c r="AT361" i="4" s="1"/>
  <c r="AZ361" i="4" s="1"/>
  <c r="BF361" i="4" s="1"/>
  <c r="AO360" i="4"/>
  <c r="AC361" i="4"/>
  <c r="BJ360" i="4"/>
  <c r="Y363" i="4"/>
  <c r="AK362" i="4"/>
  <c r="BM359" i="4"/>
  <c r="BN359" i="4" s="1"/>
  <c r="CB362" i="4"/>
  <c r="Z362" i="4"/>
  <c r="BS361" i="4"/>
  <c r="V362" i="4" l="1"/>
  <c r="CJ362" i="4"/>
  <c r="U362" i="4"/>
  <c r="CI362" i="4"/>
  <c r="CF362" i="4"/>
  <c r="R362" i="4"/>
  <c r="AL362" i="4"/>
  <c r="AR362" i="4" s="1"/>
  <c r="AX362" i="4" s="1"/>
  <c r="BD362" i="4" s="1"/>
  <c r="Z363" i="4"/>
  <c r="AO361" i="4"/>
  <c r="P362" i="4"/>
  <c r="BJ361" i="4"/>
  <c r="AQ362" i="4"/>
  <c r="AW362" i="4" s="1"/>
  <c r="AK363" i="4"/>
  <c r="L364" i="4"/>
  <c r="BK360" i="4"/>
  <c r="AU360" i="4"/>
  <c r="BA360" i="4" s="1"/>
  <c r="BH360" i="4"/>
  <c r="BZ362" i="4" l="1"/>
  <c r="X362" i="4"/>
  <c r="CC362" i="4"/>
  <c r="AA362" i="4"/>
  <c r="CD362" i="4"/>
  <c r="AB362" i="4"/>
  <c r="BK361" i="4"/>
  <c r="S364" i="4"/>
  <c r="CG364" i="4"/>
  <c r="BV360" i="4"/>
  <c r="BY360" i="4" s="1"/>
  <c r="BL360" i="4"/>
  <c r="AU361" i="4"/>
  <c r="BA361" i="4" s="1"/>
  <c r="BH361" i="4"/>
  <c r="BV361" i="4" s="1"/>
  <c r="BY361" i="4" s="1"/>
  <c r="AL363" i="4"/>
  <c r="AR363" i="4" s="1"/>
  <c r="AX363" i="4" s="1"/>
  <c r="BD363" i="4" s="1"/>
  <c r="M364" i="4"/>
  <c r="BO360" i="4"/>
  <c r="BG360" i="4"/>
  <c r="BP360" i="4" s="1"/>
  <c r="BQ360" i="4" s="1"/>
  <c r="W362" i="4"/>
  <c r="CK362" i="4"/>
  <c r="BI362" i="4"/>
  <c r="BC362" i="4"/>
  <c r="AQ363" i="4"/>
  <c r="AW363" i="4" s="1"/>
  <c r="AB363" i="4" l="1"/>
  <c r="AN362" i="4"/>
  <c r="AT362" i="4" s="1"/>
  <c r="AZ362" i="4" s="1"/>
  <c r="BF362" i="4" s="1"/>
  <c r="AM362" i="4"/>
  <c r="AS362" i="4" s="1"/>
  <c r="AY362" i="4" s="1"/>
  <c r="BE362" i="4" s="1"/>
  <c r="AA363" i="4"/>
  <c r="X363" i="4"/>
  <c r="AJ362" i="4"/>
  <c r="AP362" i="4" s="1"/>
  <c r="AV362" i="4" s="1"/>
  <c r="BB362" i="4" s="1"/>
  <c r="CH364" i="4"/>
  <c r="T364" i="4"/>
  <c r="BL361" i="4"/>
  <c r="BM360" i="4"/>
  <c r="BN360" i="4" s="1"/>
  <c r="BO361" i="4"/>
  <c r="BG361" i="4"/>
  <c r="BP361" i="4" s="1"/>
  <c r="BQ361" i="4" s="1"/>
  <c r="CA364" i="4"/>
  <c r="Y364" i="4"/>
  <c r="BI363" i="4"/>
  <c r="BS362" i="4"/>
  <c r="CE362" i="4"/>
  <c r="AC362" i="4"/>
  <c r="BC363" i="4"/>
  <c r="AM363" i="4" l="1"/>
  <c r="AS363" i="4" s="1"/>
  <c r="AY363" i="4" s="1"/>
  <c r="BE363" i="4" s="1"/>
  <c r="N364" i="4"/>
  <c r="AJ363" i="4"/>
  <c r="AP363" i="4" s="1"/>
  <c r="AV363" i="4" s="1"/>
  <c r="K364" i="4"/>
  <c r="BB363" i="4"/>
  <c r="AN363" i="4"/>
  <c r="AT363" i="4" s="1"/>
  <c r="AZ363" i="4" s="1"/>
  <c r="BF363" i="4" s="1"/>
  <c r="O364" i="4"/>
  <c r="AC363" i="4"/>
  <c r="AO362" i="4"/>
  <c r="BJ362" i="4"/>
  <c r="BS363" i="4"/>
  <c r="CB364" i="4"/>
  <c r="Z364" i="4"/>
  <c r="Y365" i="4"/>
  <c r="AK364" i="4"/>
  <c r="BM361" i="4"/>
  <c r="BN361" i="4" s="1"/>
  <c r="CJ364" i="4" l="1"/>
  <c r="V364" i="4"/>
  <c r="CF364" i="4"/>
  <c r="R364" i="4"/>
  <c r="U364" i="4"/>
  <c r="CI364" i="4"/>
  <c r="AK365" i="4"/>
  <c r="L366" i="4"/>
  <c r="AO363" i="4"/>
  <c r="P364" i="4"/>
  <c r="BJ363" i="4"/>
  <c r="AQ364" i="4"/>
  <c r="AW364" i="4" s="1"/>
  <c r="BK362" i="4"/>
  <c r="AU362" i="4"/>
  <c r="BA362" i="4" s="1"/>
  <c r="BH362" i="4"/>
  <c r="Z365" i="4"/>
  <c r="AL364" i="4"/>
  <c r="AR364" i="4" s="1"/>
  <c r="AX364" i="4" s="1"/>
  <c r="BD364" i="4" s="1"/>
  <c r="AA364" i="4" l="1"/>
  <c r="CC364" i="4"/>
  <c r="BZ364" i="4"/>
  <c r="X364" i="4"/>
  <c r="AB364" i="4"/>
  <c r="CD364" i="4"/>
  <c r="S366" i="4"/>
  <c r="CG366" i="4"/>
  <c r="W364" i="4"/>
  <c r="CK364" i="4"/>
  <c r="BI364" i="4"/>
  <c r="AU363" i="4"/>
  <c r="BA363" i="4" s="1"/>
  <c r="BH363" i="4"/>
  <c r="BV363" i="4" s="1"/>
  <c r="BY363" i="4" s="1"/>
  <c r="BV362" i="4"/>
  <c r="BY362" i="4" s="1"/>
  <c r="BL362" i="4"/>
  <c r="AQ365" i="4"/>
  <c r="AW365" i="4" s="1"/>
  <c r="BK363" i="4"/>
  <c r="BO362" i="4"/>
  <c r="BG362" i="4"/>
  <c r="BP362" i="4" s="1"/>
  <c r="BQ362" i="4" s="1"/>
  <c r="AL365" i="4"/>
  <c r="AR365" i="4" s="1"/>
  <c r="AX365" i="4" s="1"/>
  <c r="BD365" i="4" s="1"/>
  <c r="M366" i="4"/>
  <c r="BC364" i="4"/>
  <c r="AN364" i="4" l="1"/>
  <c r="AT364" i="4" s="1"/>
  <c r="AZ364" i="4" s="1"/>
  <c r="BF364" i="4" s="1"/>
  <c r="AB365" i="4"/>
  <c r="X365" i="4"/>
  <c r="AJ364" i="4"/>
  <c r="AP364" i="4" s="1"/>
  <c r="AV364" i="4" s="1"/>
  <c r="BB364" i="4"/>
  <c r="AA365" i="4"/>
  <c r="AM364" i="4"/>
  <c r="AS364" i="4" s="1"/>
  <c r="AY364" i="4" s="1"/>
  <c r="BE364" i="4" s="1"/>
  <c r="BI365" i="4"/>
  <c r="BS364" i="4"/>
  <c r="T366" i="4"/>
  <c r="CH366" i="4"/>
  <c r="BO363" i="4"/>
  <c r="BG363" i="4"/>
  <c r="BP363" i="4" s="1"/>
  <c r="BQ363" i="4" s="1"/>
  <c r="BC365" i="4"/>
  <c r="CE364" i="4"/>
  <c r="AC364" i="4"/>
  <c r="CA366" i="4"/>
  <c r="Y366" i="4"/>
  <c r="BL363" i="4"/>
  <c r="BM362" i="4"/>
  <c r="BN362" i="4" s="1"/>
  <c r="AM365" i="4" l="1"/>
  <c r="AS365" i="4" s="1"/>
  <c r="AY365" i="4" s="1"/>
  <c r="BE365" i="4"/>
  <c r="N366" i="4"/>
  <c r="AJ365" i="4"/>
  <c r="AP365" i="4" s="1"/>
  <c r="AV365" i="4" s="1"/>
  <c r="BB365" i="4" s="1"/>
  <c r="K366" i="4"/>
  <c r="O366" i="4"/>
  <c r="AN365" i="4"/>
  <c r="AT365" i="4" s="1"/>
  <c r="AZ365" i="4" s="1"/>
  <c r="BF365" i="4" s="1"/>
  <c r="AC365" i="4"/>
  <c r="AO364" i="4"/>
  <c r="BJ364" i="4"/>
  <c r="BM363" i="4"/>
  <c r="BN363" i="4" s="1"/>
  <c r="AK366" i="4"/>
  <c r="Y367" i="4"/>
  <c r="CB366" i="4"/>
  <c r="Z366" i="4"/>
  <c r="BS365" i="4"/>
  <c r="CJ366" i="4" l="1"/>
  <c r="V366" i="4"/>
  <c r="R366" i="4"/>
  <c r="CF366" i="4"/>
  <c r="U366" i="4"/>
  <c r="CI366" i="4"/>
  <c r="AU364" i="4"/>
  <c r="BA364" i="4" s="1"/>
  <c r="BH364" i="4"/>
  <c r="AL366" i="4"/>
  <c r="AR366" i="4" s="1"/>
  <c r="AX366" i="4" s="1"/>
  <c r="BD366" i="4" s="1"/>
  <c r="Z367" i="4"/>
  <c r="AK367" i="4"/>
  <c r="L368" i="4"/>
  <c r="AQ366" i="4"/>
  <c r="AW366" i="4" s="1"/>
  <c r="BK364" i="4"/>
  <c r="AO365" i="4"/>
  <c r="P366" i="4"/>
  <c r="BJ365" i="4"/>
  <c r="AA366" i="4" l="1"/>
  <c r="CC366" i="4"/>
  <c r="BZ366" i="4"/>
  <c r="X366" i="4"/>
  <c r="AB366" i="4"/>
  <c r="CD366" i="4"/>
  <c r="BC366" i="4"/>
  <c r="S368" i="4"/>
  <c r="CG368" i="4"/>
  <c r="AQ367" i="4"/>
  <c r="AW367" i="4" s="1"/>
  <c r="BV364" i="4"/>
  <c r="BY364" i="4" s="1"/>
  <c r="BL364" i="4"/>
  <c r="W366" i="4"/>
  <c r="CK366" i="4"/>
  <c r="BI366" i="4"/>
  <c r="BO364" i="4"/>
  <c r="BG364" i="4"/>
  <c r="BP364" i="4" s="1"/>
  <c r="BQ364" i="4" s="1"/>
  <c r="BK365" i="4"/>
  <c r="AU365" i="4"/>
  <c r="BA365" i="4" s="1"/>
  <c r="BH365" i="4"/>
  <c r="BV365" i="4" s="1"/>
  <c r="BY365" i="4" s="1"/>
  <c r="AL367" i="4"/>
  <c r="AR367" i="4" s="1"/>
  <c r="AX367" i="4" s="1"/>
  <c r="BD367" i="4" s="1"/>
  <c r="M368" i="4"/>
  <c r="AB367" i="4" l="1"/>
  <c r="AN366" i="4"/>
  <c r="AT366" i="4" s="1"/>
  <c r="AZ366" i="4" s="1"/>
  <c r="BF366" i="4" s="1"/>
  <c r="X367" i="4"/>
  <c r="AJ366" i="4"/>
  <c r="AP366" i="4" s="1"/>
  <c r="AV366" i="4" s="1"/>
  <c r="BB366" i="4" s="1"/>
  <c r="AM366" i="4"/>
  <c r="AS366" i="4" s="1"/>
  <c r="AY366" i="4" s="1"/>
  <c r="BE366" i="4" s="1"/>
  <c r="AA367" i="4"/>
  <c r="CE366" i="4"/>
  <c r="AC366" i="4"/>
  <c r="BL365" i="4"/>
  <c r="BM364" i="4"/>
  <c r="BN364" i="4" s="1"/>
  <c r="BC367" i="4"/>
  <c r="CA368" i="4"/>
  <c r="Y368" i="4"/>
  <c r="T368" i="4"/>
  <c r="CH368" i="4"/>
  <c r="BO365" i="4"/>
  <c r="BG365" i="4"/>
  <c r="BP365" i="4" s="1"/>
  <c r="BQ365" i="4" s="1"/>
  <c r="BS366" i="4"/>
  <c r="BI367" i="4"/>
  <c r="AJ367" i="4" l="1"/>
  <c r="AP367" i="4" s="1"/>
  <c r="AV367" i="4" s="1"/>
  <c r="K368" i="4"/>
  <c r="BB367" i="4"/>
  <c r="AM367" i="4"/>
  <c r="AS367" i="4" s="1"/>
  <c r="AY367" i="4" s="1"/>
  <c r="BE367" i="4" s="1"/>
  <c r="N368" i="4"/>
  <c r="O368" i="4"/>
  <c r="AN367" i="4"/>
  <c r="AT367" i="4" s="1"/>
  <c r="AZ367" i="4" s="1"/>
  <c r="BF367" i="4" s="1"/>
  <c r="CB368" i="4"/>
  <c r="Z368" i="4"/>
  <c r="AK368" i="4"/>
  <c r="Y369" i="4"/>
  <c r="BS367" i="4"/>
  <c r="AC367" i="4"/>
  <c r="AO366" i="4"/>
  <c r="BJ366" i="4"/>
  <c r="BM365" i="4"/>
  <c r="BN365" i="4" s="1"/>
  <c r="U368" i="4" l="1"/>
  <c r="CI368" i="4"/>
  <c r="V368" i="4"/>
  <c r="CJ368" i="4"/>
  <c r="CF368" i="4"/>
  <c r="R368" i="4"/>
  <c r="AK369" i="4"/>
  <c r="L370" i="4"/>
  <c r="BK366" i="4"/>
  <c r="AQ368" i="4"/>
  <c r="AW368" i="4" s="1"/>
  <c r="Z369" i="4"/>
  <c r="AL368" i="4"/>
  <c r="AR368" i="4" s="1"/>
  <c r="AX368" i="4" s="1"/>
  <c r="BD368" i="4" s="1"/>
  <c r="AO367" i="4"/>
  <c r="P368" i="4"/>
  <c r="BJ367" i="4"/>
  <c r="AU366" i="4"/>
  <c r="BA366" i="4" s="1"/>
  <c r="BH366" i="4"/>
  <c r="BZ368" i="4" l="1"/>
  <c r="X368" i="4"/>
  <c r="AB368" i="4"/>
  <c r="CD368" i="4"/>
  <c r="CC368" i="4"/>
  <c r="AA368" i="4"/>
  <c r="BV366" i="4"/>
  <c r="BY366" i="4" s="1"/>
  <c r="BL366" i="4"/>
  <c r="BK367" i="4"/>
  <c r="AU367" i="4"/>
  <c r="BA367" i="4" s="1"/>
  <c r="BH367" i="4"/>
  <c r="BV367" i="4" s="1"/>
  <c r="BY367" i="4" s="1"/>
  <c r="BO366" i="4"/>
  <c r="BG366" i="4"/>
  <c r="BP366" i="4" s="1"/>
  <c r="BQ366" i="4" s="1"/>
  <c r="S370" i="4"/>
  <c r="CG370" i="4"/>
  <c r="AQ369" i="4"/>
  <c r="AW369" i="4" s="1"/>
  <c r="AL369" i="4"/>
  <c r="AR369" i="4" s="1"/>
  <c r="AX369" i="4" s="1"/>
  <c r="BD369" i="4" s="1"/>
  <c r="M370" i="4"/>
  <c r="BC368" i="4"/>
  <c r="CK368" i="4"/>
  <c r="W368" i="4"/>
  <c r="BI368" i="4"/>
  <c r="AM368" i="4" l="1"/>
  <c r="AS368" i="4" s="1"/>
  <c r="AY368" i="4" s="1"/>
  <c r="BE368" i="4" s="1"/>
  <c r="AA369" i="4"/>
  <c r="AN368" i="4"/>
  <c r="AT368" i="4" s="1"/>
  <c r="AZ368" i="4" s="1"/>
  <c r="BF368" i="4" s="1"/>
  <c r="AB369" i="4"/>
  <c r="X369" i="4"/>
  <c r="AJ368" i="4"/>
  <c r="AP368" i="4" s="1"/>
  <c r="AV368" i="4" s="1"/>
  <c r="BB368" i="4" s="1"/>
  <c r="T370" i="4"/>
  <c r="CH370" i="4"/>
  <c r="BC369" i="4"/>
  <c r="CA370" i="4"/>
  <c r="Y370" i="4"/>
  <c r="BI369" i="4"/>
  <c r="BS368" i="4"/>
  <c r="CE368" i="4"/>
  <c r="AC368" i="4"/>
  <c r="BO367" i="4"/>
  <c r="BG367" i="4"/>
  <c r="BP367" i="4" s="1"/>
  <c r="BQ367" i="4" s="1"/>
  <c r="BL367" i="4"/>
  <c r="BM366" i="4"/>
  <c r="BN366" i="4" s="1"/>
  <c r="AN369" i="4" l="1"/>
  <c r="AT369" i="4" s="1"/>
  <c r="AZ369" i="4" s="1"/>
  <c r="BF369" i="4" s="1"/>
  <c r="O370" i="4"/>
  <c r="K370" i="4"/>
  <c r="AJ369" i="4"/>
  <c r="AP369" i="4" s="1"/>
  <c r="AV369" i="4" s="1"/>
  <c r="BB369" i="4" s="1"/>
  <c r="AM369" i="4"/>
  <c r="AS369" i="4" s="1"/>
  <c r="AY369" i="4" s="1"/>
  <c r="BE369" i="4" s="1"/>
  <c r="N370" i="4"/>
  <c r="BM367" i="4"/>
  <c r="BN367" i="4" s="1"/>
  <c r="BS369" i="4"/>
  <c r="AK370" i="4"/>
  <c r="Y371" i="4"/>
  <c r="AC369" i="4"/>
  <c r="AO368" i="4"/>
  <c r="BJ368" i="4"/>
  <c r="CB370" i="4"/>
  <c r="Z370" i="4"/>
  <c r="CI370" i="4" l="1"/>
  <c r="U370" i="4"/>
  <c r="CF370" i="4"/>
  <c r="R370" i="4"/>
  <c r="CJ370" i="4"/>
  <c r="V370" i="4"/>
  <c r="AU368" i="4"/>
  <c r="BA368" i="4" s="1"/>
  <c r="BH368" i="4"/>
  <c r="AK371" i="4"/>
  <c r="L372" i="4"/>
  <c r="BK368" i="4"/>
  <c r="AO369" i="4"/>
  <c r="P370" i="4"/>
  <c r="BJ369" i="4"/>
  <c r="AQ370" i="4"/>
  <c r="AW370" i="4" s="1"/>
  <c r="AL370" i="4"/>
  <c r="AR370" i="4" s="1"/>
  <c r="AX370" i="4" s="1"/>
  <c r="BD370" i="4" s="1"/>
  <c r="Z371" i="4"/>
  <c r="CD370" i="4" l="1"/>
  <c r="AB370" i="4"/>
  <c r="BZ370" i="4"/>
  <c r="X370" i="4"/>
  <c r="CC370" i="4"/>
  <c r="AA370" i="4"/>
  <c r="S372" i="4"/>
  <c r="CG372" i="4"/>
  <c r="W370" i="4"/>
  <c r="CK370" i="4"/>
  <c r="BI370" i="4"/>
  <c r="AU369" i="4"/>
  <c r="BA369" i="4" s="1"/>
  <c r="BH369" i="4"/>
  <c r="BV369" i="4" s="1"/>
  <c r="BY369" i="4" s="1"/>
  <c r="BC370" i="4"/>
  <c r="AL371" i="4"/>
  <c r="AR371" i="4" s="1"/>
  <c r="AX371" i="4" s="1"/>
  <c r="BD371" i="4" s="1"/>
  <c r="M372" i="4"/>
  <c r="BV368" i="4"/>
  <c r="BY368" i="4" s="1"/>
  <c r="BL368" i="4"/>
  <c r="BK369" i="4"/>
  <c r="AQ371" i="4"/>
  <c r="AW371" i="4" s="1"/>
  <c r="BO368" i="4"/>
  <c r="BG368" i="4"/>
  <c r="BP368" i="4" s="1"/>
  <c r="BQ368" i="4" s="1"/>
  <c r="AA371" i="4" l="1"/>
  <c r="AM370" i="4"/>
  <c r="AS370" i="4" s="1"/>
  <c r="AY370" i="4" s="1"/>
  <c r="BE370" i="4" s="1"/>
  <c r="X371" i="4"/>
  <c r="AJ370" i="4"/>
  <c r="AP370" i="4" s="1"/>
  <c r="AV370" i="4" s="1"/>
  <c r="BB370" i="4" s="1"/>
  <c r="AN370" i="4"/>
  <c r="AT370" i="4" s="1"/>
  <c r="AZ370" i="4" s="1"/>
  <c r="BF370" i="4" s="1"/>
  <c r="AB371" i="4"/>
  <c r="BO369" i="4"/>
  <c r="BG369" i="4"/>
  <c r="BP369" i="4" s="1"/>
  <c r="BQ369" i="4" s="1"/>
  <c r="CE370" i="4"/>
  <c r="AC370" i="4"/>
  <c r="BI371" i="4"/>
  <c r="BS370" i="4"/>
  <c r="CA372" i="4"/>
  <c r="Y372" i="4"/>
  <c r="BL369" i="4"/>
  <c r="BM368" i="4"/>
  <c r="BN368" i="4" s="1"/>
  <c r="BC371" i="4"/>
  <c r="T372" i="4"/>
  <c r="CH372" i="4"/>
  <c r="O372" i="4" l="1"/>
  <c r="AN371" i="4"/>
  <c r="AT371" i="4" s="1"/>
  <c r="AZ371" i="4" s="1"/>
  <c r="BF371" i="4"/>
  <c r="K372" i="4"/>
  <c r="AJ371" i="4"/>
  <c r="AP371" i="4" s="1"/>
  <c r="AV371" i="4" s="1"/>
  <c r="BB371" i="4" s="1"/>
  <c r="N372" i="4"/>
  <c r="AM371" i="4"/>
  <c r="AS371" i="4" s="1"/>
  <c r="AY371" i="4" s="1"/>
  <c r="BE371" i="4" s="1"/>
  <c r="BM369" i="4"/>
  <c r="BN369" i="4" s="1"/>
  <c r="AK372" i="4"/>
  <c r="Y373" i="4"/>
  <c r="BS371" i="4"/>
  <c r="AO370" i="4"/>
  <c r="AC371" i="4"/>
  <c r="BJ370" i="4"/>
  <c r="CB372" i="4"/>
  <c r="Z372" i="4"/>
  <c r="CI372" i="4" l="1"/>
  <c r="U372" i="4"/>
  <c r="R372" i="4"/>
  <c r="CF372" i="4"/>
  <c r="CJ372" i="4"/>
  <c r="V372" i="4"/>
  <c r="AK373" i="4"/>
  <c r="L374" i="4"/>
  <c r="AQ372" i="4"/>
  <c r="AW372" i="4" s="1"/>
  <c r="Z373" i="4"/>
  <c r="AL372" i="4"/>
  <c r="AR372" i="4" s="1"/>
  <c r="AX372" i="4" s="1"/>
  <c r="BD372" i="4" s="1"/>
  <c r="BK370" i="4"/>
  <c r="AO371" i="4"/>
  <c r="P372" i="4"/>
  <c r="BJ371" i="4"/>
  <c r="AU370" i="4"/>
  <c r="BA370" i="4" s="1"/>
  <c r="BH370" i="4"/>
  <c r="AB372" i="4" l="1"/>
  <c r="CD372" i="4"/>
  <c r="BZ372" i="4"/>
  <c r="X372" i="4"/>
  <c r="CC372" i="4"/>
  <c r="AA372" i="4"/>
  <c r="BO370" i="4"/>
  <c r="BG370" i="4"/>
  <c r="BP370" i="4" s="1"/>
  <c r="BQ370" i="4" s="1"/>
  <c r="W372" i="4"/>
  <c r="CK372" i="4"/>
  <c r="BI372" i="4"/>
  <c r="AU371" i="4"/>
  <c r="BA371" i="4" s="1"/>
  <c r="BH371" i="4"/>
  <c r="BV371" i="4" s="1"/>
  <c r="BY371" i="4" s="1"/>
  <c r="BK371" i="4"/>
  <c r="S374" i="4"/>
  <c r="CG374" i="4"/>
  <c r="BV370" i="4"/>
  <c r="BY370" i="4" s="1"/>
  <c r="BL370" i="4"/>
  <c r="BC372" i="4"/>
  <c r="AQ373" i="4"/>
  <c r="AW373" i="4" s="1"/>
  <c r="AL373" i="4"/>
  <c r="AR373" i="4" s="1"/>
  <c r="AX373" i="4" s="1"/>
  <c r="BD373" i="4" s="1"/>
  <c r="M374" i="4"/>
  <c r="AA373" i="4" l="1"/>
  <c r="AM372" i="4"/>
  <c r="AS372" i="4" s="1"/>
  <c r="AY372" i="4" s="1"/>
  <c r="BE372" i="4" s="1"/>
  <c r="X373" i="4"/>
  <c r="AJ372" i="4"/>
  <c r="AP372" i="4" s="1"/>
  <c r="AV372" i="4" s="1"/>
  <c r="BB372" i="4" s="1"/>
  <c r="AB373" i="4"/>
  <c r="AN372" i="4"/>
  <c r="AT372" i="4" s="1"/>
  <c r="AZ372" i="4" s="1"/>
  <c r="BF372" i="4" s="1"/>
  <c r="CA374" i="4"/>
  <c r="Y374" i="4"/>
  <c r="BL371" i="4"/>
  <c r="BM370" i="4"/>
  <c r="BN370" i="4" s="1"/>
  <c r="T374" i="4"/>
  <c r="CH374" i="4"/>
  <c r="CE372" i="4"/>
  <c r="AC372" i="4"/>
  <c r="BO371" i="4"/>
  <c r="BG371" i="4"/>
  <c r="BP371" i="4" s="1"/>
  <c r="BQ371" i="4" s="1"/>
  <c r="BI373" i="4"/>
  <c r="BS372" i="4"/>
  <c r="BC373" i="4"/>
  <c r="AN373" i="4" l="1"/>
  <c r="AT373" i="4" s="1"/>
  <c r="AZ373" i="4" s="1"/>
  <c r="BF373" i="4" s="1"/>
  <c r="O374" i="4"/>
  <c r="K374" i="4"/>
  <c r="AJ373" i="4"/>
  <c r="AP373" i="4" s="1"/>
  <c r="AV373" i="4" s="1"/>
  <c r="BB373" i="4" s="1"/>
  <c r="AM373" i="4"/>
  <c r="AS373" i="4" s="1"/>
  <c r="AY373" i="4" s="1"/>
  <c r="BE373" i="4" s="1"/>
  <c r="N374" i="4"/>
  <c r="CB374" i="4"/>
  <c r="Z374" i="4"/>
  <c r="BM371" i="4"/>
  <c r="BN371" i="4" s="1"/>
  <c r="BS373" i="4"/>
  <c r="Y375" i="4"/>
  <c r="AK374" i="4"/>
  <c r="AO372" i="4"/>
  <c r="AC373" i="4"/>
  <c r="BJ372" i="4"/>
  <c r="R374" i="4" l="1"/>
  <c r="CF374" i="4"/>
  <c r="CI374" i="4"/>
  <c r="U374" i="4"/>
  <c r="CJ374" i="4"/>
  <c r="V374" i="4"/>
  <c r="AQ374" i="4"/>
  <c r="AW374" i="4" s="1"/>
  <c r="AK375" i="4"/>
  <c r="L376" i="4"/>
  <c r="AO373" i="4"/>
  <c r="P374" i="4"/>
  <c r="BJ373" i="4"/>
  <c r="AU372" i="4"/>
  <c r="BA372" i="4" s="1"/>
  <c r="BH372" i="4"/>
  <c r="AL374" i="4"/>
  <c r="AR374" i="4" s="1"/>
  <c r="AX374" i="4" s="1"/>
  <c r="BD374" i="4" s="1"/>
  <c r="Z375" i="4"/>
  <c r="BK372" i="4"/>
  <c r="CD374" i="4" l="1"/>
  <c r="AB374" i="4"/>
  <c r="CC374" i="4"/>
  <c r="AA374" i="4"/>
  <c r="BZ374" i="4"/>
  <c r="X374" i="4"/>
  <c r="AU373" i="4"/>
  <c r="BA373" i="4" s="1"/>
  <c r="BH373" i="4"/>
  <c r="BV373" i="4" s="1"/>
  <c r="BY373" i="4" s="1"/>
  <c r="S376" i="4"/>
  <c r="CG376" i="4"/>
  <c r="AQ375" i="4"/>
  <c r="AW375" i="4" s="1"/>
  <c r="AL375" i="4"/>
  <c r="AR375" i="4" s="1"/>
  <c r="AX375" i="4" s="1"/>
  <c r="BD375" i="4" s="1"/>
  <c r="M376" i="4"/>
  <c r="BV372" i="4"/>
  <c r="BY372" i="4" s="1"/>
  <c r="BL372" i="4"/>
  <c r="BK373" i="4"/>
  <c r="BO372" i="4"/>
  <c r="BG372" i="4"/>
  <c r="BP372" i="4" s="1"/>
  <c r="BQ372" i="4" s="1"/>
  <c r="W374" i="4"/>
  <c r="CK374" i="4"/>
  <c r="BI374" i="4"/>
  <c r="BC374" i="4"/>
  <c r="X375" i="4" l="1"/>
  <c r="AJ374" i="4"/>
  <c r="AP374" i="4" s="1"/>
  <c r="AV374" i="4" s="1"/>
  <c r="BB374" i="4"/>
  <c r="AA375" i="4"/>
  <c r="AM374" i="4"/>
  <c r="AS374" i="4" s="1"/>
  <c r="AY374" i="4" s="1"/>
  <c r="BE374" i="4" s="1"/>
  <c r="AN374" i="4"/>
  <c r="AT374" i="4" s="1"/>
  <c r="AZ374" i="4" s="1"/>
  <c r="BF374" i="4" s="1"/>
  <c r="AB375" i="4"/>
  <c r="BI375" i="4"/>
  <c r="BS374" i="4"/>
  <c r="BC375" i="4"/>
  <c r="CA376" i="4"/>
  <c r="Y376" i="4"/>
  <c r="BO373" i="4"/>
  <c r="BG373" i="4"/>
  <c r="BP373" i="4" s="1"/>
  <c r="BQ373" i="4" s="1"/>
  <c r="BL373" i="4"/>
  <c r="BM372" i="4"/>
  <c r="BN372" i="4" s="1"/>
  <c r="T376" i="4"/>
  <c r="CH376" i="4"/>
  <c r="CE374" i="4"/>
  <c r="AC374" i="4"/>
  <c r="AN375" i="4" l="1"/>
  <c r="AT375" i="4" s="1"/>
  <c r="AZ375" i="4" s="1"/>
  <c r="BF375" i="4" s="1"/>
  <c r="O376" i="4"/>
  <c r="AM375" i="4"/>
  <c r="AS375" i="4" s="1"/>
  <c r="AY375" i="4" s="1"/>
  <c r="BE375" i="4" s="1"/>
  <c r="N376" i="4"/>
  <c r="K376" i="4"/>
  <c r="AJ375" i="4"/>
  <c r="AP375" i="4" s="1"/>
  <c r="AV375" i="4" s="1"/>
  <c r="BB375" i="4" s="1"/>
  <c r="Y377" i="4"/>
  <c r="AK376" i="4"/>
  <c r="CB376" i="4"/>
  <c r="Z376" i="4"/>
  <c r="AC375" i="4"/>
  <c r="AO374" i="4"/>
  <c r="BJ374" i="4"/>
  <c r="BM373" i="4"/>
  <c r="BN373" i="4" s="1"/>
  <c r="BS375" i="4"/>
  <c r="U376" i="4" l="1"/>
  <c r="CI376" i="4"/>
  <c r="CF376" i="4"/>
  <c r="R376" i="4"/>
  <c r="CJ376" i="4"/>
  <c r="V376" i="4"/>
  <c r="AU374" i="4"/>
  <c r="BA374" i="4" s="1"/>
  <c r="BH374" i="4"/>
  <c r="BK374" i="4"/>
  <c r="AO375" i="4"/>
  <c r="P376" i="4"/>
  <c r="BJ375" i="4"/>
  <c r="AQ376" i="4"/>
  <c r="AW376" i="4" s="1"/>
  <c r="AK377" i="4"/>
  <c r="L378" i="4"/>
  <c r="Z377" i="4"/>
  <c r="AL376" i="4"/>
  <c r="AR376" i="4" s="1"/>
  <c r="AX376" i="4" s="1"/>
  <c r="BD376" i="4" s="1"/>
  <c r="AB376" i="4" l="1"/>
  <c r="CD376" i="4"/>
  <c r="BZ376" i="4"/>
  <c r="X376" i="4"/>
  <c r="AA376" i="4"/>
  <c r="CC376" i="4"/>
  <c r="BV374" i="4"/>
  <c r="BY374" i="4" s="1"/>
  <c r="BL374" i="4"/>
  <c r="BK375" i="4"/>
  <c r="AL377" i="4"/>
  <c r="AR377" i="4" s="1"/>
  <c r="AX377" i="4" s="1"/>
  <c r="BD377" i="4" s="1"/>
  <c r="M378" i="4"/>
  <c r="S378" i="4"/>
  <c r="CG378" i="4"/>
  <c r="BO374" i="4"/>
  <c r="BG374" i="4"/>
  <c r="BP374" i="4" s="1"/>
  <c r="BQ374" i="4" s="1"/>
  <c r="W376" i="4"/>
  <c r="CK376" i="4"/>
  <c r="BI376" i="4"/>
  <c r="AU375" i="4"/>
  <c r="BA375" i="4" s="1"/>
  <c r="BH375" i="4"/>
  <c r="BV375" i="4" s="1"/>
  <c r="BY375" i="4" s="1"/>
  <c r="AQ377" i="4"/>
  <c r="AW377" i="4" s="1"/>
  <c r="BC376" i="4"/>
  <c r="AA377" i="4" l="1"/>
  <c r="AM376" i="4"/>
  <c r="AS376" i="4" s="1"/>
  <c r="AY376" i="4" s="1"/>
  <c r="BE376" i="4" s="1"/>
  <c r="X377" i="4"/>
  <c r="AJ376" i="4"/>
  <c r="AP376" i="4" s="1"/>
  <c r="AV376" i="4" s="1"/>
  <c r="BB376" i="4" s="1"/>
  <c r="AN376" i="4"/>
  <c r="AT376" i="4" s="1"/>
  <c r="AZ376" i="4" s="1"/>
  <c r="BF376" i="4" s="1"/>
  <c r="AB377" i="4"/>
  <c r="T378" i="4"/>
  <c r="CH378" i="4"/>
  <c r="CE376" i="4"/>
  <c r="AC376" i="4"/>
  <c r="BS376" i="4"/>
  <c r="BI377" i="4"/>
  <c r="CA378" i="4"/>
  <c r="Y378" i="4"/>
  <c r="BO375" i="4"/>
  <c r="BG375" i="4"/>
  <c r="BP375" i="4" s="1"/>
  <c r="BQ375" i="4" s="1"/>
  <c r="BL375" i="4"/>
  <c r="BM374" i="4"/>
  <c r="BN374" i="4" s="1"/>
  <c r="BC377" i="4"/>
  <c r="AN377" i="4" l="1"/>
  <c r="AT377" i="4" s="1"/>
  <c r="AZ377" i="4" s="1"/>
  <c r="BF377" i="4" s="1"/>
  <c r="O378" i="4"/>
  <c r="K378" i="4"/>
  <c r="AJ377" i="4"/>
  <c r="AP377" i="4" s="1"/>
  <c r="AV377" i="4" s="1"/>
  <c r="BB377" i="4" s="1"/>
  <c r="AM377" i="4"/>
  <c r="AS377" i="4" s="1"/>
  <c r="AY377" i="4" s="1"/>
  <c r="BE377" i="4" s="1"/>
  <c r="N378" i="4"/>
  <c r="BM375" i="4"/>
  <c r="BN375" i="4" s="1"/>
  <c r="Y379" i="4"/>
  <c r="AK378" i="4"/>
  <c r="BS377" i="4"/>
  <c r="AC377" i="4"/>
  <c r="AO376" i="4"/>
  <c r="BJ376" i="4"/>
  <c r="CB378" i="4"/>
  <c r="Z378" i="4"/>
  <c r="CI378" i="4" l="1"/>
  <c r="U378" i="4"/>
  <c r="CF378" i="4"/>
  <c r="R378" i="4"/>
  <c r="CJ378" i="4"/>
  <c r="V378" i="4"/>
  <c r="AK379" i="4"/>
  <c r="L380" i="4"/>
  <c r="AQ378" i="4"/>
  <c r="AW378" i="4" s="1"/>
  <c r="BK376" i="4"/>
  <c r="AL378" i="4"/>
  <c r="AR378" i="4" s="1"/>
  <c r="AX378" i="4" s="1"/>
  <c r="BD378" i="4" s="1"/>
  <c r="Z379" i="4"/>
  <c r="AU376" i="4"/>
  <c r="BA376" i="4" s="1"/>
  <c r="BH376" i="4"/>
  <c r="AO377" i="4"/>
  <c r="P378" i="4"/>
  <c r="BJ377" i="4"/>
  <c r="CD378" i="4" l="1"/>
  <c r="AB378" i="4"/>
  <c r="BZ378" i="4"/>
  <c r="X378" i="4"/>
  <c r="CC378" i="4"/>
  <c r="AA378" i="4"/>
  <c r="BC378" i="4"/>
  <c r="AU377" i="4"/>
  <c r="BA377" i="4" s="1"/>
  <c r="BH377" i="4"/>
  <c r="BV377" i="4" s="1"/>
  <c r="BY377" i="4" s="1"/>
  <c r="BO376" i="4"/>
  <c r="BG376" i="4"/>
  <c r="BP376" i="4" s="1"/>
  <c r="BQ376" i="4" s="1"/>
  <c r="W378" i="4"/>
  <c r="CK378" i="4"/>
  <c r="BI378" i="4"/>
  <c r="BK377" i="4"/>
  <c r="BV376" i="4"/>
  <c r="BY376" i="4" s="1"/>
  <c r="BL376" i="4"/>
  <c r="S380" i="4"/>
  <c r="CG380" i="4"/>
  <c r="AL379" i="4"/>
  <c r="AR379" i="4" s="1"/>
  <c r="AX379" i="4" s="1"/>
  <c r="BD379" i="4" s="1"/>
  <c r="M380" i="4"/>
  <c r="AQ379" i="4"/>
  <c r="AW379" i="4" s="1"/>
  <c r="AA379" i="4" l="1"/>
  <c r="AM378" i="4"/>
  <c r="AS378" i="4" s="1"/>
  <c r="AY378" i="4" s="1"/>
  <c r="BE378" i="4"/>
  <c r="X379" i="4"/>
  <c r="AJ378" i="4"/>
  <c r="AP378" i="4" s="1"/>
  <c r="AV378" i="4" s="1"/>
  <c r="BB378" i="4"/>
  <c r="AN378" i="4"/>
  <c r="AT378" i="4" s="1"/>
  <c r="AZ378" i="4" s="1"/>
  <c r="BF378" i="4" s="1"/>
  <c r="AB379" i="4"/>
  <c r="CE378" i="4"/>
  <c r="AC378" i="4"/>
  <c r="CA380" i="4"/>
  <c r="Y380" i="4"/>
  <c r="BL377" i="4"/>
  <c r="BM376" i="4"/>
  <c r="BN376" i="4" s="1"/>
  <c r="BC379" i="4"/>
  <c r="BO377" i="4"/>
  <c r="BG377" i="4"/>
  <c r="BP377" i="4" s="1"/>
  <c r="BQ377" i="4" s="1"/>
  <c r="T380" i="4"/>
  <c r="CH380" i="4"/>
  <c r="BI379" i="4"/>
  <c r="BS378" i="4"/>
  <c r="O380" i="4" l="1"/>
  <c r="AN379" i="4"/>
  <c r="AT379" i="4" s="1"/>
  <c r="AZ379" i="4" s="1"/>
  <c r="BF379" i="4" s="1"/>
  <c r="AJ379" i="4"/>
  <c r="AP379" i="4" s="1"/>
  <c r="AV379" i="4" s="1"/>
  <c r="BB379" i="4" s="1"/>
  <c r="K380" i="4"/>
  <c r="N380" i="4"/>
  <c r="AM379" i="4"/>
  <c r="AS379" i="4" s="1"/>
  <c r="AY379" i="4" s="1"/>
  <c r="BE379" i="4" s="1"/>
  <c r="CB380" i="4"/>
  <c r="Z380" i="4"/>
  <c r="BM377" i="4"/>
  <c r="BN377" i="4" s="1"/>
  <c r="BS379" i="4"/>
  <c r="AK380" i="4"/>
  <c r="Y381" i="4"/>
  <c r="AC379" i="4"/>
  <c r="AO378" i="4"/>
  <c r="BJ378" i="4"/>
  <c r="CI380" i="4" l="1"/>
  <c r="U380" i="4"/>
  <c r="CF380" i="4"/>
  <c r="R380" i="4"/>
  <c r="CJ380" i="4"/>
  <c r="V380" i="4"/>
  <c r="BK378" i="4"/>
  <c r="AO379" i="4"/>
  <c r="P380" i="4"/>
  <c r="BJ379" i="4"/>
  <c r="AK381" i="4"/>
  <c r="L382" i="4"/>
  <c r="AQ380" i="4"/>
  <c r="AW380" i="4" s="1"/>
  <c r="Z381" i="4"/>
  <c r="AL380" i="4"/>
  <c r="AR380" i="4" s="1"/>
  <c r="AX380" i="4" s="1"/>
  <c r="BD380" i="4" s="1"/>
  <c r="AU378" i="4"/>
  <c r="BA378" i="4" s="1"/>
  <c r="BH378" i="4"/>
  <c r="AB380" i="4" l="1"/>
  <c r="CD380" i="4"/>
  <c r="BZ380" i="4"/>
  <c r="X380" i="4"/>
  <c r="AA380" i="4"/>
  <c r="CC380" i="4"/>
  <c r="BK379" i="4"/>
  <c r="AU379" i="4"/>
  <c r="BA379" i="4" s="1"/>
  <c r="BH379" i="4"/>
  <c r="BV379" i="4" s="1"/>
  <c r="BY379" i="4" s="1"/>
  <c r="BO378" i="4"/>
  <c r="BG378" i="4"/>
  <c r="BP378" i="4" s="1"/>
  <c r="BQ378" i="4" s="1"/>
  <c r="AL381" i="4"/>
  <c r="AR381" i="4" s="1"/>
  <c r="AX381" i="4" s="1"/>
  <c r="BD381" i="4" s="1"/>
  <c r="M382" i="4"/>
  <c r="W380" i="4"/>
  <c r="CK380" i="4"/>
  <c r="BI380" i="4"/>
  <c r="BV378" i="4"/>
  <c r="BY378" i="4" s="1"/>
  <c r="BL378" i="4"/>
  <c r="BC380" i="4"/>
  <c r="S382" i="4"/>
  <c r="CG382" i="4"/>
  <c r="AQ381" i="4"/>
  <c r="AW381" i="4" s="1"/>
  <c r="AA381" i="4" l="1"/>
  <c r="AM380" i="4"/>
  <c r="AS380" i="4" s="1"/>
  <c r="AY380" i="4" s="1"/>
  <c r="BE380" i="4" s="1"/>
  <c r="X381" i="4"/>
  <c r="AJ380" i="4"/>
  <c r="AP380" i="4" s="1"/>
  <c r="AV380" i="4" s="1"/>
  <c r="BB380" i="4" s="1"/>
  <c r="AB381" i="4"/>
  <c r="AN380" i="4"/>
  <c r="AT380" i="4" s="1"/>
  <c r="AZ380" i="4" s="1"/>
  <c r="BF380" i="4" s="1"/>
  <c r="T382" i="4"/>
  <c r="CH382" i="4"/>
  <c r="BL379" i="4"/>
  <c r="BM378" i="4"/>
  <c r="BN378" i="4" s="1"/>
  <c r="BI381" i="4"/>
  <c r="BS380" i="4"/>
  <c r="CE380" i="4"/>
  <c r="AC380" i="4"/>
  <c r="BO379" i="4"/>
  <c r="BG379" i="4"/>
  <c r="BP379" i="4" s="1"/>
  <c r="BQ379" i="4" s="1"/>
  <c r="CA382" i="4"/>
  <c r="Y382" i="4"/>
  <c r="BC381" i="4"/>
  <c r="AN381" i="4" l="1"/>
  <c r="AT381" i="4" s="1"/>
  <c r="AZ381" i="4" s="1"/>
  <c r="BF381" i="4" s="1"/>
  <c r="O382" i="4"/>
  <c r="K382" i="4"/>
  <c r="AJ381" i="4"/>
  <c r="AP381" i="4" s="1"/>
  <c r="AV381" i="4" s="1"/>
  <c r="BB381" i="4" s="1"/>
  <c r="AM381" i="4"/>
  <c r="AS381" i="4" s="1"/>
  <c r="AY381" i="4" s="1"/>
  <c r="BE381" i="4" s="1"/>
  <c r="N382" i="4"/>
  <c r="BS381" i="4"/>
  <c r="BM379" i="4"/>
  <c r="BN379" i="4" s="1"/>
  <c r="AO380" i="4"/>
  <c r="AC381" i="4"/>
  <c r="BJ380" i="4"/>
  <c r="Y383" i="4"/>
  <c r="AK382" i="4"/>
  <c r="CB382" i="4"/>
  <c r="Z382" i="4"/>
  <c r="U382" i="4" l="1"/>
  <c r="CI382" i="4"/>
  <c r="R382" i="4"/>
  <c r="CF382" i="4"/>
  <c r="CJ382" i="4"/>
  <c r="V382" i="4"/>
  <c r="AK383" i="4"/>
  <c r="L384" i="4"/>
  <c r="AO381" i="4"/>
  <c r="P382" i="4"/>
  <c r="BJ381" i="4"/>
  <c r="BK380" i="4"/>
  <c r="AU380" i="4"/>
  <c r="BA380" i="4" s="1"/>
  <c r="BH380" i="4"/>
  <c r="AL382" i="4"/>
  <c r="AR382" i="4" s="1"/>
  <c r="AX382" i="4" s="1"/>
  <c r="BD382" i="4" s="1"/>
  <c r="Z383" i="4"/>
  <c r="AQ382" i="4"/>
  <c r="AW382" i="4" s="1"/>
  <c r="AB382" i="4" l="1"/>
  <c r="CD382" i="4"/>
  <c r="BZ382" i="4"/>
  <c r="X382" i="4"/>
  <c r="CC382" i="4"/>
  <c r="AA382" i="4"/>
  <c r="BC382" i="4"/>
  <c r="BK381" i="4"/>
  <c r="BV380" i="4"/>
  <c r="BY380" i="4" s="1"/>
  <c r="BL380" i="4"/>
  <c r="W382" i="4"/>
  <c r="CK382" i="4"/>
  <c r="BI382" i="4"/>
  <c r="AL383" i="4"/>
  <c r="AR383" i="4" s="1"/>
  <c r="AX383" i="4" s="1"/>
  <c r="BD383" i="4" s="1"/>
  <c r="M384" i="4"/>
  <c r="AQ383" i="4"/>
  <c r="AW383" i="4" s="1"/>
  <c r="BO380" i="4"/>
  <c r="BG380" i="4"/>
  <c r="BP380" i="4" s="1"/>
  <c r="BQ380" i="4" s="1"/>
  <c r="AU381" i="4"/>
  <c r="BA381" i="4" s="1"/>
  <c r="BH381" i="4"/>
  <c r="BV381" i="4" s="1"/>
  <c r="BY381" i="4" s="1"/>
  <c r="S384" i="4"/>
  <c r="CG384" i="4"/>
  <c r="AM382" i="4" l="1"/>
  <c r="AS382" i="4" s="1"/>
  <c r="AY382" i="4" s="1"/>
  <c r="BE382" i="4" s="1"/>
  <c r="AA383" i="4"/>
  <c r="X383" i="4"/>
  <c r="AJ382" i="4"/>
  <c r="AP382" i="4" s="1"/>
  <c r="AV382" i="4" s="1"/>
  <c r="BB382" i="4" s="1"/>
  <c r="AB383" i="4"/>
  <c r="AN382" i="4"/>
  <c r="AT382" i="4" s="1"/>
  <c r="AZ382" i="4" s="1"/>
  <c r="BF382" i="4" s="1"/>
  <c r="CA384" i="4"/>
  <c r="Y384" i="4"/>
  <c r="BC383" i="4"/>
  <c r="BL381" i="4"/>
  <c r="BM380" i="4"/>
  <c r="BN380" i="4" s="1"/>
  <c r="T384" i="4"/>
  <c r="CH384" i="4"/>
  <c r="BI383" i="4"/>
  <c r="BS382" i="4"/>
  <c r="BO381" i="4"/>
  <c r="BG381" i="4"/>
  <c r="BP381" i="4" s="1"/>
  <c r="BQ381" i="4" s="1"/>
  <c r="CE382" i="4"/>
  <c r="AC382" i="4"/>
  <c r="O384" i="4" l="1"/>
  <c r="AN383" i="4"/>
  <c r="AT383" i="4" s="1"/>
  <c r="AZ383" i="4" s="1"/>
  <c r="BF383" i="4" s="1"/>
  <c r="AJ383" i="4"/>
  <c r="AP383" i="4" s="1"/>
  <c r="AV383" i="4" s="1"/>
  <c r="BB383" i="4" s="1"/>
  <c r="K384" i="4"/>
  <c r="AM383" i="4"/>
  <c r="AS383" i="4" s="1"/>
  <c r="AY383" i="4" s="1"/>
  <c r="BE383" i="4" s="1"/>
  <c r="N384" i="4"/>
  <c r="CB384" i="4"/>
  <c r="Z384" i="4"/>
  <c r="BM381" i="4"/>
  <c r="BN381" i="4" s="1"/>
  <c r="BS383" i="4"/>
  <c r="Y385" i="4"/>
  <c r="AK384" i="4"/>
  <c r="AO382" i="4"/>
  <c r="AC383" i="4"/>
  <c r="BJ382" i="4"/>
  <c r="CI384" i="4" l="1"/>
  <c r="U384" i="4"/>
  <c r="R384" i="4"/>
  <c r="CF384" i="4"/>
  <c r="CJ384" i="4"/>
  <c r="V384" i="4"/>
  <c r="Z385" i="4"/>
  <c r="AL384" i="4"/>
  <c r="AR384" i="4" s="1"/>
  <c r="AX384" i="4" s="1"/>
  <c r="BD384" i="4" s="1"/>
  <c r="AQ384" i="4"/>
  <c r="AW384" i="4" s="1"/>
  <c r="AK385" i="4"/>
  <c r="L386" i="4"/>
  <c r="BK382" i="4"/>
  <c r="AO383" i="4"/>
  <c r="P384" i="4"/>
  <c r="BJ383" i="4"/>
  <c r="AU382" i="4"/>
  <c r="BA382" i="4" s="1"/>
  <c r="BH382" i="4"/>
  <c r="AB384" i="4" l="1"/>
  <c r="CD384" i="4"/>
  <c r="BZ384" i="4"/>
  <c r="X384" i="4"/>
  <c r="CC384" i="4"/>
  <c r="AA384" i="4"/>
  <c r="BK383" i="4"/>
  <c r="AL385" i="4"/>
  <c r="AR385" i="4" s="1"/>
  <c r="AX385" i="4" s="1"/>
  <c r="BD385" i="4" s="1"/>
  <c r="M386" i="4"/>
  <c r="AQ385" i="4"/>
  <c r="AW385" i="4" s="1"/>
  <c r="BO382" i="4"/>
  <c r="BG382" i="4"/>
  <c r="BP382" i="4" s="1"/>
  <c r="BQ382" i="4" s="1"/>
  <c r="BV382" i="4"/>
  <c r="BY382" i="4" s="1"/>
  <c r="BL382" i="4"/>
  <c r="CK384" i="4"/>
  <c r="W384" i="4"/>
  <c r="BI384" i="4"/>
  <c r="BC384" i="4"/>
  <c r="AU383" i="4"/>
  <c r="BA383" i="4" s="1"/>
  <c r="BH383" i="4"/>
  <c r="BV383" i="4" s="1"/>
  <c r="BY383" i="4" s="1"/>
  <c r="S386" i="4"/>
  <c r="CG386" i="4"/>
  <c r="AM384" i="4" l="1"/>
  <c r="AS384" i="4" s="1"/>
  <c r="AY384" i="4" s="1"/>
  <c r="AA385" i="4"/>
  <c r="BE384" i="4"/>
  <c r="AJ384" i="4"/>
  <c r="AP384" i="4" s="1"/>
  <c r="AV384" i="4" s="1"/>
  <c r="X385" i="4"/>
  <c r="BB384" i="4"/>
  <c r="AB385" i="4"/>
  <c r="AN384" i="4"/>
  <c r="AT384" i="4" s="1"/>
  <c r="AZ384" i="4" s="1"/>
  <c r="BF384" i="4" s="1"/>
  <c r="BI385" i="4"/>
  <c r="BS384" i="4"/>
  <c r="BC385" i="4"/>
  <c r="CA386" i="4"/>
  <c r="Y386" i="4"/>
  <c r="CE384" i="4"/>
  <c r="AC384" i="4"/>
  <c r="T386" i="4"/>
  <c r="CH386" i="4"/>
  <c r="BO383" i="4"/>
  <c r="BG383" i="4"/>
  <c r="BP383" i="4" s="1"/>
  <c r="BQ383" i="4" s="1"/>
  <c r="BL383" i="4"/>
  <c r="BM382" i="4"/>
  <c r="BN382" i="4" s="1"/>
  <c r="AJ385" i="4" l="1"/>
  <c r="AP385" i="4" s="1"/>
  <c r="AV385" i="4" s="1"/>
  <c r="K386" i="4"/>
  <c r="BB385" i="4"/>
  <c r="O386" i="4"/>
  <c r="AN385" i="4"/>
  <c r="AT385" i="4" s="1"/>
  <c r="AZ385" i="4" s="1"/>
  <c r="BF385" i="4" s="1"/>
  <c r="AM385" i="4"/>
  <c r="AS385" i="4" s="1"/>
  <c r="AY385" i="4" s="1"/>
  <c r="BE385" i="4" s="1"/>
  <c r="N386" i="4"/>
  <c r="BS385" i="4"/>
  <c r="AO384" i="4"/>
  <c r="AC385" i="4"/>
  <c r="BJ384" i="4"/>
  <c r="CB386" i="4"/>
  <c r="Z386" i="4"/>
  <c r="Y387" i="4"/>
  <c r="AK386" i="4"/>
  <c r="BM383" i="4"/>
  <c r="BN383" i="4" s="1"/>
  <c r="U386" i="4" l="1"/>
  <c r="CI386" i="4"/>
  <c r="V386" i="4"/>
  <c r="CJ386" i="4"/>
  <c r="CF386" i="4"/>
  <c r="R386" i="4"/>
  <c r="AK387" i="4"/>
  <c r="L388" i="4"/>
  <c r="BK384" i="4"/>
  <c r="AO385" i="4"/>
  <c r="P386" i="4"/>
  <c r="BJ385" i="4"/>
  <c r="AQ386" i="4"/>
  <c r="AW386" i="4" s="1"/>
  <c r="AL386" i="4"/>
  <c r="AR386" i="4" s="1"/>
  <c r="AX386" i="4" s="1"/>
  <c r="BD386" i="4" s="1"/>
  <c r="Z387" i="4"/>
  <c r="AU384" i="4"/>
  <c r="BA384" i="4" s="1"/>
  <c r="BH384" i="4"/>
  <c r="BZ386" i="4" l="1"/>
  <c r="X386" i="4"/>
  <c r="CD386" i="4"/>
  <c r="AB386" i="4"/>
  <c r="CC386" i="4"/>
  <c r="AA386" i="4"/>
  <c r="AL387" i="4"/>
  <c r="AR387" i="4" s="1"/>
  <c r="AX387" i="4" s="1"/>
  <c r="BD387" i="4" s="1"/>
  <c r="M388" i="4"/>
  <c r="AU385" i="4"/>
  <c r="BA385" i="4" s="1"/>
  <c r="BH385" i="4"/>
  <c r="BV385" i="4" s="1"/>
  <c r="BY385" i="4" s="1"/>
  <c r="BO384" i="4"/>
  <c r="BG384" i="4"/>
  <c r="BP384" i="4" s="1"/>
  <c r="BQ384" i="4" s="1"/>
  <c r="BK385" i="4"/>
  <c r="AQ387" i="4"/>
  <c r="AW387" i="4" s="1"/>
  <c r="BV384" i="4"/>
  <c r="BY384" i="4" s="1"/>
  <c r="BL384" i="4"/>
  <c r="S388" i="4"/>
  <c r="CG388" i="4"/>
  <c r="BC386" i="4"/>
  <c r="W386" i="4"/>
  <c r="CK386" i="4"/>
  <c r="BI386" i="4"/>
  <c r="AA387" i="4" l="1"/>
  <c r="AM386" i="4"/>
  <c r="AS386" i="4" s="1"/>
  <c r="AY386" i="4" s="1"/>
  <c r="BE386" i="4" s="1"/>
  <c r="AN386" i="4"/>
  <c r="AT386" i="4" s="1"/>
  <c r="AZ386" i="4" s="1"/>
  <c r="BF386" i="4" s="1"/>
  <c r="AB387" i="4"/>
  <c r="X387" i="4"/>
  <c r="AJ386" i="4"/>
  <c r="AP386" i="4" s="1"/>
  <c r="AV386" i="4" s="1"/>
  <c r="BB386" i="4" s="1"/>
  <c r="CA388" i="4"/>
  <c r="Y388" i="4"/>
  <c r="BI387" i="4"/>
  <c r="BS386" i="4"/>
  <c r="T388" i="4"/>
  <c r="CH388" i="4"/>
  <c r="BO385" i="4"/>
  <c r="BG385" i="4"/>
  <c r="BP385" i="4" s="1"/>
  <c r="BQ385" i="4" s="1"/>
  <c r="BL385" i="4"/>
  <c r="BM384" i="4"/>
  <c r="BN384" i="4" s="1"/>
  <c r="CE386" i="4"/>
  <c r="AC386" i="4"/>
  <c r="BC387" i="4"/>
  <c r="K388" i="4" l="1"/>
  <c r="AJ387" i="4"/>
  <c r="AP387" i="4" s="1"/>
  <c r="AV387" i="4" s="1"/>
  <c r="BB387" i="4"/>
  <c r="O388" i="4"/>
  <c r="AN387" i="4"/>
  <c r="AT387" i="4" s="1"/>
  <c r="AZ387" i="4" s="1"/>
  <c r="BF387" i="4" s="1"/>
  <c r="N388" i="4"/>
  <c r="AM387" i="4"/>
  <c r="AS387" i="4" s="1"/>
  <c r="AY387" i="4" s="1"/>
  <c r="BE387" i="4" s="1"/>
  <c r="AO386" i="4"/>
  <c r="AC387" i="4"/>
  <c r="BJ386" i="4"/>
  <c r="BS387" i="4"/>
  <c r="BM385" i="4"/>
  <c r="BN385" i="4" s="1"/>
  <c r="AK388" i="4"/>
  <c r="Y389" i="4"/>
  <c r="CB388" i="4"/>
  <c r="Z388" i="4"/>
  <c r="V388" i="4" l="1"/>
  <c r="CJ388" i="4"/>
  <c r="U388" i="4"/>
  <c r="CI388" i="4"/>
  <c r="CF388" i="4"/>
  <c r="R388" i="4"/>
  <c r="AQ388" i="4"/>
  <c r="AW388" i="4" s="1"/>
  <c r="AU386" i="4"/>
  <c r="BA386" i="4" s="1"/>
  <c r="BH386" i="4"/>
  <c r="BK386" i="4"/>
  <c r="AO387" i="4"/>
  <c r="P388" i="4"/>
  <c r="BJ387" i="4"/>
  <c r="AL388" i="4"/>
  <c r="AR388" i="4" s="1"/>
  <c r="AX388" i="4" s="1"/>
  <c r="BD388" i="4" s="1"/>
  <c r="Z389" i="4"/>
  <c r="AK389" i="4"/>
  <c r="L390" i="4"/>
  <c r="BZ388" i="4" l="1"/>
  <c r="X388" i="4"/>
  <c r="AA388" i="4"/>
  <c r="CC388" i="4"/>
  <c r="AB388" i="4"/>
  <c r="CD388" i="4"/>
  <c r="AL389" i="4"/>
  <c r="AR389" i="4" s="1"/>
  <c r="AX389" i="4" s="1"/>
  <c r="BD389" i="4" s="1"/>
  <c r="M390" i="4"/>
  <c r="BO386" i="4"/>
  <c r="BG386" i="4"/>
  <c r="BP386" i="4" s="1"/>
  <c r="BQ386" i="4" s="1"/>
  <c r="BK387" i="4"/>
  <c r="W388" i="4"/>
  <c r="CK388" i="4"/>
  <c r="BI388" i="4"/>
  <c r="S390" i="4"/>
  <c r="CG390" i="4"/>
  <c r="AQ389" i="4"/>
  <c r="AW389" i="4" s="1"/>
  <c r="BV386" i="4"/>
  <c r="BY386" i="4" s="1"/>
  <c r="BL386" i="4"/>
  <c r="BC388" i="4"/>
  <c r="AU387" i="4"/>
  <c r="BA387" i="4" s="1"/>
  <c r="BH387" i="4"/>
  <c r="BV387" i="4" s="1"/>
  <c r="BY387" i="4" s="1"/>
  <c r="AN388" i="4" l="1"/>
  <c r="AT388" i="4" s="1"/>
  <c r="AZ388" i="4" s="1"/>
  <c r="BF388" i="4" s="1"/>
  <c r="AB389" i="4"/>
  <c r="AM388" i="4"/>
  <c r="AS388" i="4" s="1"/>
  <c r="AY388" i="4" s="1"/>
  <c r="BE388" i="4" s="1"/>
  <c r="AA389" i="4"/>
  <c r="X389" i="4"/>
  <c r="AJ388" i="4"/>
  <c r="AP388" i="4" s="1"/>
  <c r="AV388" i="4" s="1"/>
  <c r="BB388" i="4" s="1"/>
  <c r="BI389" i="4"/>
  <c r="BS388" i="4"/>
  <c r="T390" i="4"/>
  <c r="CH390" i="4"/>
  <c r="CA390" i="4"/>
  <c r="Y390" i="4"/>
  <c r="BL387" i="4"/>
  <c r="BM386" i="4"/>
  <c r="BN386" i="4" s="1"/>
  <c r="BC389" i="4"/>
  <c r="BO387" i="4"/>
  <c r="BG387" i="4"/>
  <c r="BP387" i="4" s="1"/>
  <c r="BQ387" i="4" s="1"/>
  <c r="CE388" i="4"/>
  <c r="AC388" i="4"/>
  <c r="AM389" i="4" l="1"/>
  <c r="AS389" i="4" s="1"/>
  <c r="AY389" i="4" s="1"/>
  <c r="BE389" i="4" s="1"/>
  <c r="N390" i="4"/>
  <c r="AJ389" i="4"/>
  <c r="AP389" i="4" s="1"/>
  <c r="AV389" i="4" s="1"/>
  <c r="BB389" i="4" s="1"/>
  <c r="K390" i="4"/>
  <c r="AN389" i="4"/>
  <c r="AT389" i="4" s="1"/>
  <c r="AZ389" i="4" s="1"/>
  <c r="BF389" i="4" s="1"/>
  <c r="O390" i="4"/>
  <c r="BM387" i="4"/>
  <c r="BN387" i="4" s="1"/>
  <c r="AC389" i="4"/>
  <c r="AO388" i="4"/>
  <c r="BJ388" i="4"/>
  <c r="Y391" i="4"/>
  <c r="AK390" i="4"/>
  <c r="BS389" i="4"/>
  <c r="CB390" i="4"/>
  <c r="Z390" i="4"/>
  <c r="V390" i="4" l="1"/>
  <c r="CJ390" i="4"/>
  <c r="R390" i="4"/>
  <c r="CF390" i="4"/>
  <c r="U390" i="4"/>
  <c r="CI390" i="4"/>
  <c r="AK391" i="4"/>
  <c r="L392" i="4"/>
  <c r="AQ390" i="4"/>
  <c r="AW390" i="4" s="1"/>
  <c r="AL390" i="4"/>
  <c r="AR390" i="4" s="1"/>
  <c r="AX390" i="4" s="1"/>
  <c r="BD390" i="4" s="1"/>
  <c r="Z391" i="4"/>
  <c r="BK388" i="4"/>
  <c r="AU388" i="4"/>
  <c r="BA388" i="4" s="1"/>
  <c r="BH388" i="4"/>
  <c r="AO389" i="4"/>
  <c r="P390" i="4"/>
  <c r="BJ389" i="4"/>
  <c r="CC390" i="4" l="1"/>
  <c r="AA390" i="4"/>
  <c r="BZ390" i="4"/>
  <c r="X390" i="4"/>
  <c r="AB390" i="4"/>
  <c r="CD390" i="4"/>
  <c r="W390" i="4"/>
  <c r="CK390" i="4"/>
  <c r="BI390" i="4"/>
  <c r="BV388" i="4"/>
  <c r="BY388" i="4" s="1"/>
  <c r="BL388" i="4"/>
  <c r="AL391" i="4"/>
  <c r="AR391" i="4" s="1"/>
  <c r="AX391" i="4" s="1"/>
  <c r="BD391" i="4" s="1"/>
  <c r="M392" i="4"/>
  <c r="BK389" i="4"/>
  <c r="AU389" i="4"/>
  <c r="BA389" i="4" s="1"/>
  <c r="BH389" i="4"/>
  <c r="BV389" i="4" s="1"/>
  <c r="BY389" i="4" s="1"/>
  <c r="BO388" i="4"/>
  <c r="BG388" i="4"/>
  <c r="BP388" i="4" s="1"/>
  <c r="BQ388" i="4" s="1"/>
  <c r="S392" i="4"/>
  <c r="CG392" i="4"/>
  <c r="AQ391" i="4"/>
  <c r="AW391" i="4" s="1"/>
  <c r="BC390" i="4"/>
  <c r="AN390" i="4" l="1"/>
  <c r="AT390" i="4" s="1"/>
  <c r="AZ390" i="4" s="1"/>
  <c r="BF390" i="4" s="1"/>
  <c r="AB391" i="4"/>
  <c r="X391" i="4"/>
  <c r="AJ390" i="4"/>
  <c r="AP390" i="4" s="1"/>
  <c r="AV390" i="4" s="1"/>
  <c r="BB390" i="4" s="1"/>
  <c r="AM390" i="4"/>
  <c r="AS390" i="4" s="1"/>
  <c r="AY390" i="4" s="1"/>
  <c r="BE390" i="4" s="1"/>
  <c r="AA391" i="4"/>
  <c r="BI391" i="4"/>
  <c r="BS390" i="4"/>
  <c r="BO389" i="4"/>
  <c r="BG389" i="4"/>
  <c r="BP389" i="4" s="1"/>
  <c r="BQ389" i="4" s="1"/>
  <c r="CA392" i="4"/>
  <c r="Y392" i="4"/>
  <c r="CE390" i="4"/>
  <c r="AC390" i="4"/>
  <c r="T392" i="4"/>
  <c r="CH392" i="4"/>
  <c r="BL389" i="4"/>
  <c r="BM388" i="4"/>
  <c r="BN388" i="4" s="1"/>
  <c r="BC391" i="4"/>
  <c r="AM391" i="4" l="1"/>
  <c r="AS391" i="4" s="1"/>
  <c r="AY391" i="4" s="1"/>
  <c r="BE391" i="4" s="1"/>
  <c r="N392" i="4"/>
  <c r="K392" i="4"/>
  <c r="AJ391" i="4"/>
  <c r="AP391" i="4" s="1"/>
  <c r="AV391" i="4" s="1"/>
  <c r="BB391" i="4" s="1"/>
  <c r="AN391" i="4"/>
  <c r="AT391" i="4" s="1"/>
  <c r="AZ391" i="4" s="1"/>
  <c r="BF391" i="4" s="1"/>
  <c r="O392" i="4"/>
  <c r="AK392" i="4"/>
  <c r="Y393" i="4"/>
  <c r="AO390" i="4"/>
  <c r="AC391" i="4"/>
  <c r="BJ390" i="4"/>
  <c r="BM389" i="4"/>
  <c r="BN389" i="4" s="1"/>
  <c r="CB392" i="4"/>
  <c r="Z392" i="4"/>
  <c r="BS391" i="4"/>
  <c r="CJ392" i="4" l="1"/>
  <c r="V392" i="4"/>
  <c r="CF392" i="4"/>
  <c r="R392" i="4"/>
  <c r="U392" i="4"/>
  <c r="CI392" i="4"/>
  <c r="BK390" i="4"/>
  <c r="AO391" i="4"/>
  <c r="P392" i="4"/>
  <c r="BJ391" i="4"/>
  <c r="AU390" i="4"/>
  <c r="BA390" i="4" s="1"/>
  <c r="BH390" i="4"/>
  <c r="Z393" i="4"/>
  <c r="AL392" i="4"/>
  <c r="AR392" i="4" s="1"/>
  <c r="AX392" i="4" s="1"/>
  <c r="BD392" i="4" s="1"/>
  <c r="AK393" i="4"/>
  <c r="L394" i="4"/>
  <c r="AQ392" i="4"/>
  <c r="AW392" i="4" s="1"/>
  <c r="CC392" i="4" l="1"/>
  <c r="AA392" i="4"/>
  <c r="BZ392" i="4"/>
  <c r="X392" i="4"/>
  <c r="CD392" i="4"/>
  <c r="AB392" i="4"/>
  <c r="AL393" i="4"/>
  <c r="AR393" i="4" s="1"/>
  <c r="AX393" i="4" s="1"/>
  <c r="BD393" i="4" s="1"/>
  <c r="M394" i="4"/>
  <c r="BV390" i="4"/>
  <c r="BY390" i="4" s="1"/>
  <c r="BL390" i="4"/>
  <c r="CK392" i="4"/>
  <c r="W392" i="4"/>
  <c r="BI392" i="4"/>
  <c r="BC392" i="4"/>
  <c r="BO390" i="4"/>
  <c r="BG390" i="4"/>
  <c r="BP390" i="4" s="1"/>
  <c r="BQ390" i="4" s="1"/>
  <c r="BK391" i="4"/>
  <c r="S394" i="4"/>
  <c r="CG394" i="4"/>
  <c r="AU391" i="4"/>
  <c r="BA391" i="4" s="1"/>
  <c r="BH391" i="4"/>
  <c r="BV391" i="4" s="1"/>
  <c r="BY391" i="4" s="1"/>
  <c r="AQ393" i="4"/>
  <c r="AW393" i="4" s="1"/>
  <c r="AB393" i="4" l="1"/>
  <c r="AN392" i="4"/>
  <c r="AT392" i="4" s="1"/>
  <c r="AZ392" i="4" s="1"/>
  <c r="BF392" i="4" s="1"/>
  <c r="X393" i="4"/>
  <c r="AJ392" i="4"/>
  <c r="AP392" i="4" s="1"/>
  <c r="AV392" i="4" s="1"/>
  <c r="BB392" i="4" s="1"/>
  <c r="AM392" i="4"/>
  <c r="AS392" i="4" s="1"/>
  <c r="AY392" i="4" s="1"/>
  <c r="BE392" i="4" s="1"/>
  <c r="AA393" i="4"/>
  <c r="CA394" i="4"/>
  <c r="Y394" i="4"/>
  <c r="BI393" i="4"/>
  <c r="BS392" i="4"/>
  <c r="CE392" i="4"/>
  <c r="AC392" i="4"/>
  <c r="BL391" i="4"/>
  <c r="BM390" i="4"/>
  <c r="BN390" i="4" s="1"/>
  <c r="BC393" i="4"/>
  <c r="T394" i="4"/>
  <c r="CH394" i="4"/>
  <c r="BO391" i="4"/>
  <c r="BG391" i="4"/>
  <c r="BP391" i="4" s="1"/>
  <c r="BQ391" i="4" s="1"/>
  <c r="AM393" i="4" l="1"/>
  <c r="AS393" i="4" s="1"/>
  <c r="AY393" i="4" s="1"/>
  <c r="BE393" i="4" s="1"/>
  <c r="N394" i="4"/>
  <c r="AJ393" i="4"/>
  <c r="AP393" i="4" s="1"/>
  <c r="AV393" i="4" s="1"/>
  <c r="BB393" i="4" s="1"/>
  <c r="K394" i="4"/>
  <c r="AN393" i="4"/>
  <c r="AT393" i="4" s="1"/>
  <c r="AZ393" i="4" s="1"/>
  <c r="BF393" i="4" s="1"/>
  <c r="O394" i="4"/>
  <c r="AO392" i="4"/>
  <c r="AC393" i="4"/>
  <c r="BJ392" i="4"/>
  <c r="BM391" i="4"/>
  <c r="BN391" i="4" s="1"/>
  <c r="BS393" i="4"/>
  <c r="CB394" i="4"/>
  <c r="Z394" i="4"/>
  <c r="AK394" i="4"/>
  <c r="Y395" i="4"/>
  <c r="CJ394" i="4" l="1"/>
  <c r="V394" i="4"/>
  <c r="CF394" i="4"/>
  <c r="R394" i="4"/>
  <c r="U394" i="4"/>
  <c r="CI394" i="4"/>
  <c r="BK392" i="4"/>
  <c r="AU392" i="4"/>
  <c r="BA392" i="4" s="1"/>
  <c r="BH392" i="4"/>
  <c r="AO393" i="4"/>
  <c r="P394" i="4"/>
  <c r="BJ393" i="4"/>
  <c r="AK395" i="4"/>
  <c r="L396" i="4"/>
  <c r="AQ394" i="4"/>
  <c r="AW394" i="4" s="1"/>
  <c r="AL394" i="4"/>
  <c r="AR394" i="4" s="1"/>
  <c r="AX394" i="4" s="1"/>
  <c r="BD394" i="4" s="1"/>
  <c r="Z395" i="4"/>
  <c r="AA394" i="4" l="1"/>
  <c r="CC394" i="4"/>
  <c r="BZ394" i="4"/>
  <c r="X394" i="4"/>
  <c r="CD394" i="4"/>
  <c r="AB394" i="4"/>
  <c r="W394" i="4"/>
  <c r="CK394" i="4"/>
  <c r="BI394" i="4"/>
  <c r="AU393" i="4"/>
  <c r="BA393" i="4" s="1"/>
  <c r="BH393" i="4"/>
  <c r="BV393" i="4" s="1"/>
  <c r="BY393" i="4" s="1"/>
  <c r="BV392" i="4"/>
  <c r="BY392" i="4" s="1"/>
  <c r="BL392" i="4"/>
  <c r="BK393" i="4"/>
  <c r="BO392" i="4"/>
  <c r="BG392" i="4"/>
  <c r="BP392" i="4" s="1"/>
  <c r="BQ392" i="4" s="1"/>
  <c r="AQ395" i="4"/>
  <c r="AW395" i="4" s="1"/>
  <c r="AL395" i="4"/>
  <c r="AR395" i="4" s="1"/>
  <c r="AX395" i="4" s="1"/>
  <c r="BD395" i="4" s="1"/>
  <c r="M396" i="4"/>
  <c r="BC394" i="4"/>
  <c r="S396" i="4"/>
  <c r="CG396" i="4"/>
  <c r="AB395" i="4" l="1"/>
  <c r="AN394" i="4"/>
  <c r="AT394" i="4" s="1"/>
  <c r="AZ394" i="4" s="1"/>
  <c r="BF394" i="4" s="1"/>
  <c r="AJ394" i="4"/>
  <c r="AP394" i="4" s="1"/>
  <c r="AV394" i="4" s="1"/>
  <c r="X395" i="4"/>
  <c r="BB394" i="4"/>
  <c r="AM394" i="4"/>
  <c r="AS394" i="4" s="1"/>
  <c r="AY394" i="4" s="1"/>
  <c r="BE394" i="4" s="1"/>
  <c r="AA395" i="4"/>
  <c r="CA396" i="4"/>
  <c r="Y396" i="4"/>
  <c r="T396" i="4"/>
  <c r="CH396" i="4"/>
  <c r="BC395" i="4"/>
  <c r="BI395" i="4"/>
  <c r="BS394" i="4"/>
  <c r="BL393" i="4"/>
  <c r="BM392" i="4"/>
  <c r="BN392" i="4" s="1"/>
  <c r="BO393" i="4"/>
  <c r="BG393" i="4"/>
  <c r="BP393" i="4" s="1"/>
  <c r="BQ393" i="4" s="1"/>
  <c r="CE394" i="4"/>
  <c r="AC394" i="4"/>
  <c r="AJ395" i="4" l="1"/>
  <c r="AP395" i="4" s="1"/>
  <c r="AV395" i="4" s="1"/>
  <c r="K396" i="4"/>
  <c r="BB395" i="4"/>
  <c r="AM395" i="4"/>
  <c r="AS395" i="4" s="1"/>
  <c r="AY395" i="4" s="1"/>
  <c r="BE395" i="4" s="1"/>
  <c r="N396" i="4"/>
  <c r="AN395" i="4"/>
  <c r="AT395" i="4" s="1"/>
  <c r="AZ395" i="4" s="1"/>
  <c r="BF395" i="4" s="1"/>
  <c r="O396" i="4"/>
  <c r="AC395" i="4"/>
  <c r="AO394" i="4"/>
  <c r="BJ394" i="4"/>
  <c r="BM393" i="4"/>
  <c r="BN393" i="4" s="1"/>
  <c r="BS395" i="4"/>
  <c r="Y397" i="4"/>
  <c r="AK396" i="4"/>
  <c r="CB396" i="4"/>
  <c r="Z396" i="4"/>
  <c r="CJ396" i="4" l="1"/>
  <c r="V396" i="4"/>
  <c r="U396" i="4"/>
  <c r="CI396" i="4"/>
  <c r="CF396" i="4"/>
  <c r="R396" i="4"/>
  <c r="AQ396" i="4"/>
  <c r="AW396" i="4" s="1"/>
  <c r="Z397" i="4"/>
  <c r="AL396" i="4"/>
  <c r="AR396" i="4" s="1"/>
  <c r="AX396" i="4" s="1"/>
  <c r="BD396" i="4" s="1"/>
  <c r="BK394" i="4"/>
  <c r="AK397" i="4"/>
  <c r="L398" i="4"/>
  <c r="AU394" i="4"/>
  <c r="BA394" i="4" s="1"/>
  <c r="BH394" i="4"/>
  <c r="AO395" i="4"/>
  <c r="P396" i="4"/>
  <c r="BJ395" i="4"/>
  <c r="BZ396" i="4" l="1"/>
  <c r="X396" i="4"/>
  <c r="CC396" i="4"/>
  <c r="AA396" i="4"/>
  <c r="AB396" i="4"/>
  <c r="CD396" i="4"/>
  <c r="BO394" i="4"/>
  <c r="BG394" i="4"/>
  <c r="BP394" i="4" s="1"/>
  <c r="BQ394" i="4" s="1"/>
  <c r="S398" i="4"/>
  <c r="CG398" i="4"/>
  <c r="BK395" i="4"/>
  <c r="BV394" i="4"/>
  <c r="BY394" i="4" s="1"/>
  <c r="BL394" i="4"/>
  <c r="W396" i="4"/>
  <c r="CK396" i="4"/>
  <c r="BI396" i="4"/>
  <c r="BC396" i="4"/>
  <c r="AQ397" i="4"/>
  <c r="AW397" i="4" s="1"/>
  <c r="AL397" i="4"/>
  <c r="AR397" i="4" s="1"/>
  <c r="AX397" i="4" s="1"/>
  <c r="BD397" i="4" s="1"/>
  <c r="M398" i="4"/>
  <c r="AU395" i="4"/>
  <c r="BA395" i="4" s="1"/>
  <c r="BH395" i="4"/>
  <c r="BV395" i="4" s="1"/>
  <c r="BY395" i="4" s="1"/>
  <c r="AB397" i="4" l="1"/>
  <c r="AN396" i="4"/>
  <c r="AT396" i="4" s="1"/>
  <c r="AZ396" i="4" s="1"/>
  <c r="BF396" i="4" s="1"/>
  <c r="AM396" i="4"/>
  <c r="AS396" i="4" s="1"/>
  <c r="AY396" i="4" s="1"/>
  <c r="BE396" i="4" s="1"/>
  <c r="AA397" i="4"/>
  <c r="AJ396" i="4"/>
  <c r="AP396" i="4" s="1"/>
  <c r="AV396" i="4" s="1"/>
  <c r="BB396" i="4" s="1"/>
  <c r="X397" i="4"/>
  <c r="BO395" i="4"/>
  <c r="BG395" i="4"/>
  <c r="BP395" i="4" s="1"/>
  <c r="BQ395" i="4" s="1"/>
  <c r="CE396" i="4"/>
  <c r="AC396" i="4"/>
  <c r="BL395" i="4"/>
  <c r="BM394" i="4"/>
  <c r="BN394" i="4" s="1"/>
  <c r="CA398" i="4"/>
  <c r="Y398" i="4"/>
  <c r="BI397" i="4"/>
  <c r="BS396" i="4"/>
  <c r="T398" i="4"/>
  <c r="CH398" i="4"/>
  <c r="BC397" i="4"/>
  <c r="AJ397" i="4" l="1"/>
  <c r="AP397" i="4" s="1"/>
  <c r="AV397" i="4" s="1"/>
  <c r="K398" i="4"/>
  <c r="BB397" i="4"/>
  <c r="AM397" i="4"/>
  <c r="AS397" i="4" s="1"/>
  <c r="AY397" i="4" s="1"/>
  <c r="BE397" i="4" s="1"/>
  <c r="N398" i="4"/>
  <c r="O398" i="4"/>
  <c r="AN397" i="4"/>
  <c r="AT397" i="4" s="1"/>
  <c r="AZ397" i="4" s="1"/>
  <c r="BF397" i="4" s="1"/>
  <c r="Y399" i="4"/>
  <c r="AK398" i="4"/>
  <c r="BM395" i="4"/>
  <c r="BN395" i="4" s="1"/>
  <c r="BS397" i="4"/>
  <c r="CB398" i="4"/>
  <c r="Z398" i="4"/>
  <c r="AC397" i="4"/>
  <c r="AO396" i="4"/>
  <c r="BJ396" i="4"/>
  <c r="CJ398" i="4" l="1"/>
  <c r="V398" i="4"/>
  <c r="CI398" i="4"/>
  <c r="U398" i="4"/>
  <c r="CF398" i="4"/>
  <c r="R398" i="4"/>
  <c r="BK396" i="4"/>
  <c r="AQ398" i="4"/>
  <c r="AW398" i="4" s="1"/>
  <c r="AK399" i="4"/>
  <c r="L400" i="4"/>
  <c r="AU396" i="4"/>
  <c r="BA396" i="4" s="1"/>
  <c r="BH396" i="4"/>
  <c r="AO397" i="4"/>
  <c r="P398" i="4"/>
  <c r="BJ397" i="4"/>
  <c r="AL398" i="4"/>
  <c r="AR398" i="4" s="1"/>
  <c r="AX398" i="4" s="1"/>
  <c r="BD398" i="4" s="1"/>
  <c r="Z399" i="4"/>
  <c r="BZ398" i="4" l="1"/>
  <c r="X398" i="4"/>
  <c r="CC398" i="4"/>
  <c r="AA398" i="4"/>
  <c r="AB398" i="4"/>
  <c r="CD398" i="4"/>
  <c r="AL399" i="4"/>
  <c r="AR399" i="4" s="1"/>
  <c r="AX399" i="4" s="1"/>
  <c r="BD399" i="4" s="1"/>
  <c r="M400" i="4"/>
  <c r="BK397" i="4"/>
  <c r="BV396" i="4"/>
  <c r="BY396" i="4" s="1"/>
  <c r="BL396" i="4"/>
  <c r="S400" i="4"/>
  <c r="CG400" i="4"/>
  <c r="AQ399" i="4"/>
  <c r="AW399" i="4" s="1"/>
  <c r="BO396" i="4"/>
  <c r="BG396" i="4"/>
  <c r="BP396" i="4" s="1"/>
  <c r="BQ396" i="4" s="1"/>
  <c r="W398" i="4"/>
  <c r="CK398" i="4"/>
  <c r="BI398" i="4"/>
  <c r="AU397" i="4"/>
  <c r="BA397" i="4" s="1"/>
  <c r="BH397" i="4"/>
  <c r="BV397" i="4" s="1"/>
  <c r="BY397" i="4" s="1"/>
  <c r="BC398" i="4"/>
  <c r="AB399" i="4" l="1"/>
  <c r="AN398" i="4"/>
  <c r="AT398" i="4" s="1"/>
  <c r="AZ398" i="4" s="1"/>
  <c r="BF398" i="4" s="1"/>
  <c r="AM398" i="4"/>
  <c r="AS398" i="4" s="1"/>
  <c r="AY398" i="4" s="1"/>
  <c r="BE398" i="4" s="1"/>
  <c r="AA399" i="4"/>
  <c r="X399" i="4"/>
  <c r="AJ398" i="4"/>
  <c r="AP398" i="4" s="1"/>
  <c r="AV398" i="4" s="1"/>
  <c r="BB398" i="4" s="1"/>
  <c r="CE398" i="4"/>
  <c r="AC398" i="4"/>
  <c r="T400" i="4"/>
  <c r="CH400" i="4"/>
  <c r="CA400" i="4"/>
  <c r="Y400" i="4"/>
  <c r="BI399" i="4"/>
  <c r="BS398" i="4"/>
  <c r="BL397" i="4"/>
  <c r="BM396" i="4"/>
  <c r="BN396" i="4" s="1"/>
  <c r="BO397" i="4"/>
  <c r="BG397" i="4"/>
  <c r="BP397" i="4" s="1"/>
  <c r="BQ397" i="4" s="1"/>
  <c r="BC399" i="4"/>
  <c r="AJ399" i="4" l="1"/>
  <c r="AP399" i="4" s="1"/>
  <c r="AV399" i="4" s="1"/>
  <c r="K400" i="4"/>
  <c r="BB399" i="4"/>
  <c r="N400" i="4"/>
  <c r="AM399" i="4"/>
  <c r="AS399" i="4" s="1"/>
  <c r="AY399" i="4" s="1"/>
  <c r="BE399" i="4" s="1"/>
  <c r="AN399" i="4"/>
  <c r="AT399" i="4" s="1"/>
  <c r="AZ399" i="4" s="1"/>
  <c r="BF399" i="4" s="1"/>
  <c r="O400" i="4"/>
  <c r="BS399" i="4"/>
  <c r="BM397" i="4"/>
  <c r="BN397" i="4" s="1"/>
  <c r="AO398" i="4"/>
  <c r="AC399" i="4"/>
  <c r="BJ398" i="4"/>
  <c r="AK400" i="4"/>
  <c r="Y401" i="4"/>
  <c r="CB400" i="4"/>
  <c r="Z400" i="4"/>
  <c r="V400" i="4" l="1"/>
  <c r="CJ400" i="4"/>
  <c r="CI400" i="4"/>
  <c r="U400" i="4"/>
  <c r="CF400" i="4"/>
  <c r="R400" i="4"/>
  <c r="AK401" i="4"/>
  <c r="L402" i="4"/>
  <c r="AU398" i="4"/>
  <c r="BA398" i="4" s="1"/>
  <c r="BH398" i="4"/>
  <c r="BK398" i="4"/>
  <c r="AQ400" i="4"/>
  <c r="AW400" i="4" s="1"/>
  <c r="Z401" i="4"/>
  <c r="AL400" i="4"/>
  <c r="AR400" i="4" s="1"/>
  <c r="AX400" i="4" s="1"/>
  <c r="BD400" i="4" s="1"/>
  <c r="AO399" i="4"/>
  <c r="P400" i="4"/>
  <c r="BJ399" i="4"/>
  <c r="BZ400" i="4" l="1"/>
  <c r="X400" i="4"/>
  <c r="AA400" i="4"/>
  <c r="CC400" i="4"/>
  <c r="CD400" i="4"/>
  <c r="AB400" i="4"/>
  <c r="W400" i="4"/>
  <c r="CK400" i="4"/>
  <c r="BI400" i="4"/>
  <c r="BO398" i="4"/>
  <c r="BG398" i="4"/>
  <c r="BP398" i="4" s="1"/>
  <c r="BQ398" i="4" s="1"/>
  <c r="BK399" i="4"/>
  <c r="AU399" i="4"/>
  <c r="BA399" i="4" s="1"/>
  <c r="BH399" i="4"/>
  <c r="BV399" i="4" s="1"/>
  <c r="BY399" i="4" s="1"/>
  <c r="S402" i="4"/>
  <c r="CG402" i="4"/>
  <c r="AQ401" i="4"/>
  <c r="AW401" i="4" s="1"/>
  <c r="BC400" i="4"/>
  <c r="BV398" i="4"/>
  <c r="BY398" i="4" s="1"/>
  <c r="BL398" i="4"/>
  <c r="AL401" i="4"/>
  <c r="AR401" i="4" s="1"/>
  <c r="AX401" i="4" s="1"/>
  <c r="BD401" i="4" s="1"/>
  <c r="M402" i="4"/>
  <c r="AN400" i="4" l="1"/>
  <c r="AT400" i="4" s="1"/>
  <c r="AZ400" i="4" s="1"/>
  <c r="BF400" i="4" s="1"/>
  <c r="AB401" i="4"/>
  <c r="AM400" i="4"/>
  <c r="AS400" i="4" s="1"/>
  <c r="AY400" i="4" s="1"/>
  <c r="BE400" i="4" s="1"/>
  <c r="AA401" i="4"/>
  <c r="X401" i="4"/>
  <c r="AJ400" i="4"/>
  <c r="AP400" i="4" s="1"/>
  <c r="AV400" i="4" s="1"/>
  <c r="BB400" i="4" s="1"/>
  <c r="T402" i="4"/>
  <c r="CH402" i="4"/>
  <c r="BL399" i="4"/>
  <c r="BM398" i="4"/>
  <c r="BN398" i="4" s="1"/>
  <c r="BC401" i="4"/>
  <c r="CA402" i="4"/>
  <c r="Y402" i="4"/>
  <c r="BO399" i="4"/>
  <c r="BG399" i="4"/>
  <c r="BP399" i="4" s="1"/>
  <c r="BQ399" i="4" s="1"/>
  <c r="CE400" i="4"/>
  <c r="AC400" i="4"/>
  <c r="BI401" i="4"/>
  <c r="BS400" i="4"/>
  <c r="K402" i="4" l="1"/>
  <c r="AJ401" i="4"/>
  <c r="AP401" i="4" s="1"/>
  <c r="AV401" i="4" s="1"/>
  <c r="BB401" i="4"/>
  <c r="AM401" i="4"/>
  <c r="AS401" i="4" s="1"/>
  <c r="AY401" i="4" s="1"/>
  <c r="BE401" i="4" s="1"/>
  <c r="N402" i="4"/>
  <c r="AN401" i="4"/>
  <c r="AT401" i="4" s="1"/>
  <c r="AZ401" i="4" s="1"/>
  <c r="BF401" i="4" s="1"/>
  <c r="O402" i="4"/>
  <c r="BS401" i="4"/>
  <c r="BM399" i="4"/>
  <c r="BN399" i="4" s="1"/>
  <c r="Y403" i="4"/>
  <c r="AK402" i="4"/>
  <c r="CB402" i="4"/>
  <c r="Z402" i="4"/>
  <c r="AC401" i="4"/>
  <c r="AO400" i="4"/>
  <c r="BJ400" i="4"/>
  <c r="U402" i="4" l="1"/>
  <c r="CI402" i="4"/>
  <c r="CJ402" i="4"/>
  <c r="V402" i="4"/>
  <c r="CF402" i="4"/>
  <c r="R402" i="4"/>
  <c r="AL402" i="4"/>
  <c r="AR402" i="4" s="1"/>
  <c r="AX402" i="4" s="1"/>
  <c r="BD402" i="4" s="1"/>
  <c r="Z403" i="4"/>
  <c r="AK403" i="4"/>
  <c r="L404" i="4"/>
  <c r="AQ402" i="4"/>
  <c r="AW402" i="4" s="1"/>
  <c r="BK400" i="4"/>
  <c r="AU400" i="4"/>
  <c r="BA400" i="4" s="1"/>
  <c r="BH400" i="4"/>
  <c r="AO401" i="4"/>
  <c r="P402" i="4"/>
  <c r="BJ401" i="4"/>
  <c r="BZ402" i="4" l="1"/>
  <c r="X402" i="4"/>
  <c r="CD402" i="4"/>
  <c r="AB402" i="4"/>
  <c r="CC402" i="4"/>
  <c r="AA402" i="4"/>
  <c r="S404" i="4"/>
  <c r="CG404" i="4"/>
  <c r="AQ403" i="4"/>
  <c r="AW403" i="4" s="1"/>
  <c r="BK401" i="4"/>
  <c r="AU401" i="4"/>
  <c r="BA401" i="4" s="1"/>
  <c r="BH401" i="4"/>
  <c r="BV401" i="4" s="1"/>
  <c r="BY401" i="4" s="1"/>
  <c r="BO400" i="4"/>
  <c r="BG400" i="4"/>
  <c r="BP400" i="4" s="1"/>
  <c r="BQ400" i="4" s="1"/>
  <c r="AL403" i="4"/>
  <c r="AR403" i="4" s="1"/>
  <c r="AX403" i="4" s="1"/>
  <c r="BD403" i="4" s="1"/>
  <c r="M404" i="4"/>
  <c r="W402" i="4"/>
  <c r="CK402" i="4"/>
  <c r="BI402" i="4"/>
  <c r="BV400" i="4"/>
  <c r="BY400" i="4" s="1"/>
  <c r="BL400" i="4"/>
  <c r="BC402" i="4"/>
  <c r="AM402" i="4" l="1"/>
  <c r="AS402" i="4" s="1"/>
  <c r="AY402" i="4" s="1"/>
  <c r="BE402" i="4" s="1"/>
  <c r="AA403" i="4"/>
  <c r="AN402" i="4"/>
  <c r="AT402" i="4" s="1"/>
  <c r="AZ402" i="4" s="1"/>
  <c r="BF402" i="4" s="1"/>
  <c r="AB403" i="4"/>
  <c r="X403" i="4"/>
  <c r="AJ402" i="4"/>
  <c r="AP402" i="4" s="1"/>
  <c r="AV402" i="4" s="1"/>
  <c r="BB402" i="4" s="1"/>
  <c r="BO401" i="4"/>
  <c r="BG401" i="4"/>
  <c r="BP401" i="4" s="1"/>
  <c r="BQ401" i="4" s="1"/>
  <c r="CE402" i="4"/>
  <c r="AC402" i="4"/>
  <c r="CH404" i="4"/>
  <c r="T404" i="4"/>
  <c r="CA404" i="4"/>
  <c r="Y404" i="4"/>
  <c r="BC403" i="4"/>
  <c r="BL401" i="4"/>
  <c r="BM400" i="4"/>
  <c r="BN400" i="4" s="1"/>
  <c r="BI403" i="4"/>
  <c r="BS402" i="4"/>
  <c r="AN403" i="4" l="1"/>
  <c r="AT403" i="4" s="1"/>
  <c r="AZ403" i="4" s="1"/>
  <c r="BF403" i="4"/>
  <c r="O404" i="4"/>
  <c r="AJ403" i="4"/>
  <c r="AP403" i="4" s="1"/>
  <c r="AV403" i="4" s="1"/>
  <c r="BB403" i="4" s="1"/>
  <c r="K404" i="4"/>
  <c r="N404" i="4"/>
  <c r="AM403" i="4"/>
  <c r="AS403" i="4" s="1"/>
  <c r="AY403" i="4" s="1"/>
  <c r="BE403" i="4" s="1"/>
  <c r="AO402" i="4"/>
  <c r="AC403" i="4"/>
  <c r="BJ402" i="4"/>
  <c r="BS403" i="4"/>
  <c r="BM401" i="4"/>
  <c r="BN401" i="4" s="1"/>
  <c r="CB404" i="4"/>
  <c r="Z404" i="4"/>
  <c r="Y405" i="4"/>
  <c r="AK404" i="4"/>
  <c r="R404" i="4" l="1"/>
  <c r="CF404" i="4"/>
  <c r="U404" i="4"/>
  <c r="CI404" i="4"/>
  <c r="CJ404" i="4"/>
  <c r="V404" i="4"/>
  <c r="Z405" i="4"/>
  <c r="AL404" i="4"/>
  <c r="AR404" i="4" s="1"/>
  <c r="AX404" i="4" s="1"/>
  <c r="BD404" i="4" s="1"/>
  <c r="BK402" i="4"/>
  <c r="AO403" i="4"/>
  <c r="P404" i="4"/>
  <c r="BJ403" i="4"/>
  <c r="AQ404" i="4"/>
  <c r="AW404" i="4" s="1"/>
  <c r="AK405" i="4"/>
  <c r="L406" i="4"/>
  <c r="AU402" i="4"/>
  <c r="BA402" i="4" s="1"/>
  <c r="BH402" i="4"/>
  <c r="CD404" i="4" l="1"/>
  <c r="AB404" i="4"/>
  <c r="CC404" i="4"/>
  <c r="AA404" i="4"/>
  <c r="BZ404" i="4"/>
  <c r="X404" i="4"/>
  <c r="BV402" i="4"/>
  <c r="BY402" i="4" s="1"/>
  <c r="BL402" i="4"/>
  <c r="AU403" i="4"/>
  <c r="BA403" i="4" s="1"/>
  <c r="BH403" i="4"/>
  <c r="BV403" i="4" s="1"/>
  <c r="BY403" i="4" s="1"/>
  <c r="BK403" i="4"/>
  <c r="BO402" i="4"/>
  <c r="BG402" i="4"/>
  <c r="BP402" i="4" s="1"/>
  <c r="BQ402" i="4" s="1"/>
  <c r="S406" i="4"/>
  <c r="CG406" i="4"/>
  <c r="AQ405" i="4"/>
  <c r="AW405" i="4" s="1"/>
  <c r="BC404" i="4"/>
  <c r="W404" i="4"/>
  <c r="CK404" i="4"/>
  <c r="BI404" i="4"/>
  <c r="AL405" i="4"/>
  <c r="AR405" i="4" s="1"/>
  <c r="AX405" i="4" s="1"/>
  <c r="BD405" i="4" s="1"/>
  <c r="M406" i="4"/>
  <c r="X405" i="4" l="1"/>
  <c r="AJ404" i="4"/>
  <c r="AP404" i="4" s="1"/>
  <c r="AV404" i="4" s="1"/>
  <c r="BB404" i="4"/>
  <c r="AM404" i="4"/>
  <c r="AS404" i="4" s="1"/>
  <c r="AY404" i="4" s="1"/>
  <c r="BE404" i="4"/>
  <c r="AA405" i="4"/>
  <c r="AB405" i="4"/>
  <c r="AN404" i="4"/>
  <c r="AT404" i="4" s="1"/>
  <c r="AZ404" i="4" s="1"/>
  <c r="BF404" i="4" s="1"/>
  <c r="CE404" i="4"/>
  <c r="AC404" i="4"/>
  <c r="T406" i="4"/>
  <c r="CH406" i="4"/>
  <c r="BO403" i="4"/>
  <c r="BG403" i="4"/>
  <c r="BP403" i="4" s="1"/>
  <c r="BQ403" i="4" s="1"/>
  <c r="CA406" i="4"/>
  <c r="Y406" i="4"/>
  <c r="BL403" i="4"/>
  <c r="BM402" i="4"/>
  <c r="BN402" i="4" s="1"/>
  <c r="BC405" i="4"/>
  <c r="BI405" i="4"/>
  <c r="BS404" i="4"/>
  <c r="O406" i="4" l="1"/>
  <c r="AN405" i="4"/>
  <c r="AT405" i="4" s="1"/>
  <c r="AZ405" i="4" s="1"/>
  <c r="BF405" i="4" s="1"/>
  <c r="AM405" i="4"/>
  <c r="AS405" i="4" s="1"/>
  <c r="AY405" i="4" s="1"/>
  <c r="BE405" i="4" s="1"/>
  <c r="N406" i="4"/>
  <c r="AJ405" i="4"/>
  <c r="AP405" i="4" s="1"/>
  <c r="AV405" i="4" s="1"/>
  <c r="BB405" i="4" s="1"/>
  <c r="K406" i="4"/>
  <c r="Y407" i="4"/>
  <c r="AK406" i="4"/>
  <c r="AO404" i="4"/>
  <c r="AC405" i="4"/>
  <c r="BJ404" i="4"/>
  <c r="BS405" i="4"/>
  <c r="CB406" i="4"/>
  <c r="Z406" i="4"/>
  <c r="BM403" i="4"/>
  <c r="BN403" i="4" s="1"/>
  <c r="R406" i="4" l="1"/>
  <c r="CF406" i="4"/>
  <c r="CI406" i="4"/>
  <c r="U406" i="4"/>
  <c r="V406" i="4"/>
  <c r="CJ406" i="4"/>
  <c r="AO405" i="4"/>
  <c r="P406" i="4"/>
  <c r="BJ405" i="4"/>
  <c r="AQ406" i="4"/>
  <c r="AW406" i="4" s="1"/>
  <c r="AU404" i="4"/>
  <c r="BA404" i="4" s="1"/>
  <c r="BH404" i="4"/>
  <c r="BK404" i="4"/>
  <c r="AK407" i="4"/>
  <c r="L408" i="4"/>
  <c r="Z407" i="4"/>
  <c r="AL406" i="4"/>
  <c r="AR406" i="4" s="1"/>
  <c r="AX406" i="4" s="1"/>
  <c r="BD406" i="4" s="1"/>
  <c r="CD406" i="4" l="1"/>
  <c r="AB406" i="4"/>
  <c r="AA406" i="4"/>
  <c r="CC406" i="4"/>
  <c r="BZ406" i="4"/>
  <c r="X406" i="4"/>
  <c r="W406" i="4"/>
  <c r="CK406" i="4"/>
  <c r="BI406" i="4"/>
  <c r="BO404" i="4"/>
  <c r="BG404" i="4"/>
  <c r="BP404" i="4" s="1"/>
  <c r="BQ404" i="4" s="1"/>
  <c r="BK405" i="4"/>
  <c r="AQ407" i="4"/>
  <c r="AW407" i="4" s="1"/>
  <c r="BV404" i="4"/>
  <c r="BY404" i="4" s="1"/>
  <c r="BL404" i="4"/>
  <c r="AL407" i="4"/>
  <c r="AR407" i="4" s="1"/>
  <c r="AX407" i="4" s="1"/>
  <c r="BD407" i="4" s="1"/>
  <c r="M408" i="4"/>
  <c r="S408" i="4"/>
  <c r="CG408" i="4"/>
  <c r="AU405" i="4"/>
  <c r="BA405" i="4" s="1"/>
  <c r="BH405" i="4"/>
  <c r="BV405" i="4" s="1"/>
  <c r="BY405" i="4" s="1"/>
  <c r="BC406" i="4"/>
  <c r="AJ406" i="4" l="1"/>
  <c r="AP406" i="4" s="1"/>
  <c r="AV406" i="4" s="1"/>
  <c r="X407" i="4"/>
  <c r="BB406" i="4"/>
  <c r="AM406" i="4"/>
  <c r="AS406" i="4" s="1"/>
  <c r="AY406" i="4" s="1"/>
  <c r="BE406" i="4" s="1"/>
  <c r="AA407" i="4"/>
  <c r="AN406" i="4"/>
  <c r="AT406" i="4" s="1"/>
  <c r="AZ406" i="4" s="1"/>
  <c r="BF406" i="4" s="1"/>
  <c r="AB407" i="4"/>
  <c r="CE406" i="4"/>
  <c r="AC406" i="4"/>
  <c r="BO405" i="4"/>
  <c r="BG405" i="4"/>
  <c r="BP405" i="4" s="1"/>
  <c r="BQ405" i="4" s="1"/>
  <c r="CA408" i="4"/>
  <c r="Y408" i="4"/>
  <c r="BS406" i="4"/>
  <c r="BI407" i="4"/>
  <c r="T408" i="4"/>
  <c r="CH408" i="4"/>
  <c r="BL405" i="4"/>
  <c r="BM404" i="4"/>
  <c r="BN404" i="4" s="1"/>
  <c r="BC407" i="4"/>
  <c r="AM407" i="4" l="1"/>
  <c r="AS407" i="4" s="1"/>
  <c r="AY407" i="4" s="1"/>
  <c r="BE407" i="4" s="1"/>
  <c r="N408" i="4"/>
  <c r="AN407" i="4"/>
  <c r="AT407" i="4" s="1"/>
  <c r="AZ407" i="4" s="1"/>
  <c r="BF407" i="4" s="1"/>
  <c r="O408" i="4"/>
  <c r="K408" i="4"/>
  <c r="AJ407" i="4"/>
  <c r="AP407" i="4" s="1"/>
  <c r="AV407" i="4" s="1"/>
  <c r="BB407" i="4" s="1"/>
  <c r="AK408" i="4"/>
  <c r="Y409" i="4"/>
  <c r="CB408" i="4"/>
  <c r="Z408" i="4"/>
  <c r="BM405" i="4"/>
  <c r="BN405" i="4" s="1"/>
  <c r="AO406" i="4"/>
  <c r="AC407" i="4"/>
  <c r="BJ406" i="4"/>
  <c r="BS407" i="4"/>
  <c r="V408" i="4" l="1"/>
  <c r="CJ408" i="4"/>
  <c r="R408" i="4"/>
  <c r="CF408" i="4"/>
  <c r="U408" i="4"/>
  <c r="CI408" i="4"/>
  <c r="AO407" i="4"/>
  <c r="P408" i="4"/>
  <c r="BJ407" i="4"/>
  <c r="AK409" i="4"/>
  <c r="L410" i="4"/>
  <c r="Z409" i="4"/>
  <c r="AL408" i="4"/>
  <c r="AR408" i="4" s="1"/>
  <c r="AX408" i="4" s="1"/>
  <c r="BD408" i="4" s="1"/>
  <c r="AQ408" i="4"/>
  <c r="AW408" i="4" s="1"/>
  <c r="AU406" i="4"/>
  <c r="BA406" i="4" s="1"/>
  <c r="BH406" i="4"/>
  <c r="BK406" i="4"/>
  <c r="AA408" i="4" l="1"/>
  <c r="CC408" i="4"/>
  <c r="BZ408" i="4"/>
  <c r="X408" i="4"/>
  <c r="AB408" i="4"/>
  <c r="CD408" i="4"/>
  <c r="BO406" i="4"/>
  <c r="BG406" i="4"/>
  <c r="BP406" i="4" s="1"/>
  <c r="BQ406" i="4" s="1"/>
  <c r="S410" i="4"/>
  <c r="CG410" i="4"/>
  <c r="AQ409" i="4"/>
  <c r="AW409" i="4" s="1"/>
  <c r="AU407" i="4"/>
  <c r="BA407" i="4" s="1"/>
  <c r="BH407" i="4"/>
  <c r="BV407" i="4" s="1"/>
  <c r="BY407" i="4" s="1"/>
  <c r="AL409" i="4"/>
  <c r="AR409" i="4" s="1"/>
  <c r="AX409" i="4" s="1"/>
  <c r="BD409" i="4" s="1"/>
  <c r="M410" i="4"/>
  <c r="BV406" i="4"/>
  <c r="BY406" i="4" s="1"/>
  <c r="BL406" i="4"/>
  <c r="BK407" i="4"/>
  <c r="BC408" i="4"/>
  <c r="W408" i="4"/>
  <c r="CK408" i="4"/>
  <c r="BI408" i="4"/>
  <c r="AB409" i="4" l="1"/>
  <c r="AN408" i="4"/>
  <c r="AT408" i="4" s="1"/>
  <c r="AZ408" i="4" s="1"/>
  <c r="BF408" i="4" s="1"/>
  <c r="X409" i="4"/>
  <c r="AJ408" i="4"/>
  <c r="AP408" i="4" s="1"/>
  <c r="AV408" i="4" s="1"/>
  <c r="BB408" i="4"/>
  <c r="AA409" i="4"/>
  <c r="AM408" i="4"/>
  <c r="AS408" i="4" s="1"/>
  <c r="AY408" i="4" s="1"/>
  <c r="BE408" i="4" s="1"/>
  <c r="BO407" i="4"/>
  <c r="BG407" i="4"/>
  <c r="BP407" i="4" s="1"/>
  <c r="BQ407" i="4" s="1"/>
  <c r="BC409" i="4"/>
  <c r="T410" i="4"/>
  <c r="CH410" i="4"/>
  <c r="BL407" i="4"/>
  <c r="BM406" i="4"/>
  <c r="BN406" i="4" s="1"/>
  <c r="CA410" i="4"/>
  <c r="Y410" i="4"/>
  <c r="BI409" i="4"/>
  <c r="BS408" i="4"/>
  <c r="CE408" i="4"/>
  <c r="AC408" i="4"/>
  <c r="AM409" i="4" l="1"/>
  <c r="AS409" i="4" s="1"/>
  <c r="AY409" i="4" s="1"/>
  <c r="BE409" i="4" s="1"/>
  <c r="N410" i="4"/>
  <c r="K410" i="4"/>
  <c r="AJ409" i="4"/>
  <c r="AP409" i="4" s="1"/>
  <c r="AV409" i="4" s="1"/>
  <c r="BB409" i="4" s="1"/>
  <c r="AN409" i="4"/>
  <c r="AT409" i="4" s="1"/>
  <c r="AZ409" i="4" s="1"/>
  <c r="BF409" i="4" s="1"/>
  <c r="O410" i="4"/>
  <c r="BM407" i="4"/>
  <c r="BN407" i="4" s="1"/>
  <c r="CB410" i="4"/>
  <c r="Z410" i="4"/>
  <c r="AK410" i="4"/>
  <c r="Y411" i="4"/>
  <c r="AC409" i="4"/>
  <c r="AO408" i="4"/>
  <c r="BJ408" i="4"/>
  <c r="BS409" i="4"/>
  <c r="V410" i="4" l="1"/>
  <c r="CJ410" i="4"/>
  <c r="CF410" i="4"/>
  <c r="R410" i="4"/>
  <c r="U410" i="4"/>
  <c r="CI410" i="4"/>
  <c r="AK411" i="4"/>
  <c r="L412" i="4"/>
  <c r="BK408" i="4"/>
  <c r="AQ410" i="4"/>
  <c r="AW410" i="4" s="1"/>
  <c r="AL410" i="4"/>
  <c r="AR410" i="4" s="1"/>
  <c r="AX410" i="4" s="1"/>
  <c r="BD410" i="4" s="1"/>
  <c r="Z411" i="4"/>
  <c r="AU408" i="4"/>
  <c r="BA408" i="4" s="1"/>
  <c r="BH408" i="4"/>
  <c r="AO409" i="4"/>
  <c r="P410" i="4"/>
  <c r="BJ409" i="4"/>
  <c r="CC410" i="4" l="1"/>
  <c r="AA410" i="4"/>
  <c r="BZ410" i="4"/>
  <c r="X410" i="4"/>
  <c r="CD410" i="4"/>
  <c r="AB410" i="4"/>
  <c r="S412" i="4"/>
  <c r="CG412" i="4"/>
  <c r="AQ411" i="4"/>
  <c r="AW411" i="4" s="1"/>
  <c r="CK410" i="4"/>
  <c r="W410" i="4"/>
  <c r="BI410" i="4"/>
  <c r="BV408" i="4"/>
  <c r="BY408" i="4" s="1"/>
  <c r="BL408" i="4"/>
  <c r="AL411" i="4"/>
  <c r="AR411" i="4" s="1"/>
  <c r="AX411" i="4" s="1"/>
  <c r="BD411" i="4" s="1"/>
  <c r="M412" i="4"/>
  <c r="BK409" i="4"/>
  <c r="AU409" i="4"/>
  <c r="BA409" i="4" s="1"/>
  <c r="BH409" i="4"/>
  <c r="BV409" i="4" s="1"/>
  <c r="BY409" i="4" s="1"/>
  <c r="BO408" i="4"/>
  <c r="BG408" i="4"/>
  <c r="BP408" i="4" s="1"/>
  <c r="BQ408" i="4" s="1"/>
  <c r="BC410" i="4"/>
  <c r="AN410" i="4" l="1"/>
  <c r="AT410" i="4" s="1"/>
  <c r="AZ410" i="4" s="1"/>
  <c r="BF410" i="4" s="1"/>
  <c r="AB411" i="4"/>
  <c r="X411" i="4"/>
  <c r="AJ410" i="4"/>
  <c r="AP410" i="4" s="1"/>
  <c r="AV410" i="4" s="1"/>
  <c r="BB410" i="4" s="1"/>
  <c r="AA411" i="4"/>
  <c r="AM410" i="4"/>
  <c r="AS410" i="4" s="1"/>
  <c r="AY410" i="4" s="1"/>
  <c r="BE410" i="4" s="1"/>
  <c r="CH412" i="4"/>
  <c r="T412" i="4"/>
  <c r="CE410" i="4"/>
  <c r="AC410" i="4"/>
  <c r="BC411" i="4"/>
  <c r="CA412" i="4"/>
  <c r="Y412" i="4"/>
  <c r="BO409" i="4"/>
  <c r="BG409" i="4"/>
  <c r="BP409" i="4" s="1"/>
  <c r="BQ409" i="4" s="1"/>
  <c r="BL409" i="4"/>
  <c r="BM408" i="4"/>
  <c r="BN408" i="4" s="1"/>
  <c r="BI411" i="4"/>
  <c r="BS410" i="4"/>
  <c r="AM411" i="4" l="1"/>
  <c r="AS411" i="4" s="1"/>
  <c r="AY411" i="4" s="1"/>
  <c r="N412" i="4"/>
  <c r="BE411" i="4"/>
  <c r="K412" i="4"/>
  <c r="AJ411" i="4"/>
  <c r="AP411" i="4" s="1"/>
  <c r="AV411" i="4" s="1"/>
  <c r="BB411" i="4" s="1"/>
  <c r="AN411" i="4"/>
  <c r="AT411" i="4" s="1"/>
  <c r="AZ411" i="4" s="1"/>
  <c r="BF411" i="4" s="1"/>
  <c r="O412" i="4"/>
  <c r="BS411" i="4"/>
  <c r="AC411" i="4"/>
  <c r="AO410" i="4"/>
  <c r="BJ410" i="4"/>
  <c r="CB412" i="4"/>
  <c r="Z412" i="4"/>
  <c r="BM409" i="4"/>
  <c r="BN409" i="4" s="1"/>
  <c r="Y413" i="4"/>
  <c r="AK412" i="4"/>
  <c r="CJ412" i="4" l="1"/>
  <c r="V412" i="4"/>
  <c r="CF412" i="4"/>
  <c r="R412" i="4"/>
  <c r="U412" i="4"/>
  <c r="CI412" i="4"/>
  <c r="AK413" i="4"/>
  <c r="L414" i="4"/>
  <c r="Z413" i="4"/>
  <c r="AL412" i="4"/>
  <c r="AR412" i="4" s="1"/>
  <c r="AX412" i="4" s="1"/>
  <c r="BD412" i="4" s="1"/>
  <c r="BK410" i="4"/>
  <c r="AU410" i="4"/>
  <c r="BA410" i="4" s="1"/>
  <c r="BH410" i="4"/>
  <c r="AO411" i="4"/>
  <c r="P412" i="4"/>
  <c r="BJ411" i="4"/>
  <c r="AQ412" i="4"/>
  <c r="AW412" i="4" s="1"/>
  <c r="CC412" i="4" l="1"/>
  <c r="AA412" i="4"/>
  <c r="BZ412" i="4"/>
  <c r="X412" i="4"/>
  <c r="AB412" i="4"/>
  <c r="CD412" i="4"/>
  <c r="BC412" i="4"/>
  <c r="W412" i="4"/>
  <c r="CK412" i="4"/>
  <c r="BI412" i="4"/>
  <c r="BO410" i="4"/>
  <c r="BG410" i="4"/>
  <c r="BP410" i="4" s="1"/>
  <c r="BQ410" i="4" s="1"/>
  <c r="S414" i="4"/>
  <c r="CG414" i="4"/>
  <c r="BK411" i="4"/>
  <c r="AU411" i="4"/>
  <c r="BA411" i="4" s="1"/>
  <c r="BH411" i="4"/>
  <c r="BV411" i="4" s="1"/>
  <c r="BY411" i="4" s="1"/>
  <c r="BV410" i="4"/>
  <c r="BY410" i="4" s="1"/>
  <c r="BL410" i="4"/>
  <c r="AL413" i="4"/>
  <c r="AR413" i="4" s="1"/>
  <c r="AX413" i="4" s="1"/>
  <c r="BD413" i="4" s="1"/>
  <c r="M414" i="4"/>
  <c r="AQ413" i="4"/>
  <c r="AW413" i="4" s="1"/>
  <c r="AB413" i="4" l="1"/>
  <c r="AN412" i="4"/>
  <c r="AT412" i="4" s="1"/>
  <c r="AZ412" i="4" s="1"/>
  <c r="BF412" i="4" s="1"/>
  <c r="AJ412" i="4"/>
  <c r="AP412" i="4" s="1"/>
  <c r="AV412" i="4" s="1"/>
  <c r="X413" i="4"/>
  <c r="BB412" i="4"/>
  <c r="AA413" i="4"/>
  <c r="AM412" i="4"/>
  <c r="AS412" i="4" s="1"/>
  <c r="AY412" i="4" s="1"/>
  <c r="BE412" i="4" s="1"/>
  <c r="BL411" i="4"/>
  <c r="BM410" i="4"/>
  <c r="BN410" i="4" s="1"/>
  <c r="CE412" i="4"/>
  <c r="AC412" i="4"/>
  <c r="T414" i="4"/>
  <c r="CH414" i="4"/>
  <c r="BI413" i="4"/>
  <c r="BS412" i="4"/>
  <c r="CA414" i="4"/>
  <c r="Y414" i="4"/>
  <c r="BC413" i="4"/>
  <c r="BO411" i="4"/>
  <c r="BG411" i="4"/>
  <c r="BP411" i="4" s="1"/>
  <c r="BQ411" i="4" s="1"/>
  <c r="AJ413" i="4" l="1"/>
  <c r="AP413" i="4" s="1"/>
  <c r="AV413" i="4" s="1"/>
  <c r="K414" i="4"/>
  <c r="BB413" i="4"/>
  <c r="AM413" i="4"/>
  <c r="AS413" i="4" s="1"/>
  <c r="AY413" i="4" s="1"/>
  <c r="BE413" i="4" s="1"/>
  <c r="N414" i="4"/>
  <c r="AN413" i="4"/>
  <c r="AT413" i="4" s="1"/>
  <c r="AZ413" i="4" s="1"/>
  <c r="BF413" i="4" s="1"/>
  <c r="O414" i="4"/>
  <c r="CB414" i="4"/>
  <c r="Z414" i="4"/>
  <c r="BS413" i="4"/>
  <c r="AC413" i="4"/>
  <c r="AO412" i="4"/>
  <c r="BJ412" i="4"/>
  <c r="AK414" i="4"/>
  <c r="Y415" i="4"/>
  <c r="BM411" i="4"/>
  <c r="BN411" i="4" s="1"/>
  <c r="CI414" i="4" l="1"/>
  <c r="U414" i="4"/>
  <c r="V414" i="4"/>
  <c r="CJ414" i="4"/>
  <c r="CF414" i="4"/>
  <c r="R414" i="4"/>
  <c r="AU412" i="4"/>
  <c r="BA412" i="4" s="1"/>
  <c r="BH412" i="4"/>
  <c r="AO413" i="4"/>
  <c r="P414" i="4"/>
  <c r="BJ413" i="4"/>
  <c r="BK412" i="4"/>
  <c r="AK415" i="4"/>
  <c r="L416" i="4"/>
  <c r="AQ414" i="4"/>
  <c r="AW414" i="4" s="1"/>
  <c r="AL414" i="4"/>
  <c r="AR414" i="4" s="1"/>
  <c r="AX414" i="4" s="1"/>
  <c r="BD414" i="4" s="1"/>
  <c r="Z415" i="4"/>
  <c r="BZ414" i="4" l="1"/>
  <c r="X414" i="4"/>
  <c r="CD414" i="4"/>
  <c r="AB414" i="4"/>
  <c r="CC414" i="4"/>
  <c r="AA414" i="4"/>
  <c r="CG416" i="4"/>
  <c r="S416" i="4"/>
  <c r="W414" i="4"/>
  <c r="CK414" i="4"/>
  <c r="BI414" i="4"/>
  <c r="AU413" i="4"/>
  <c r="BA413" i="4" s="1"/>
  <c r="BH413" i="4"/>
  <c r="BV413" i="4" s="1"/>
  <c r="BY413" i="4" s="1"/>
  <c r="AL415" i="4"/>
  <c r="AR415" i="4" s="1"/>
  <c r="AX415" i="4" s="1"/>
  <c r="BD415" i="4" s="1"/>
  <c r="M416" i="4"/>
  <c r="AQ415" i="4"/>
  <c r="AW415" i="4" s="1"/>
  <c r="BV412" i="4"/>
  <c r="BY412" i="4" s="1"/>
  <c r="BL412" i="4"/>
  <c r="BC414" i="4"/>
  <c r="BK413" i="4"/>
  <c r="BO412" i="4"/>
  <c r="BG412" i="4"/>
  <c r="BP412" i="4" s="1"/>
  <c r="BQ412" i="4" s="1"/>
  <c r="AM414" i="4" l="1"/>
  <c r="AS414" i="4" s="1"/>
  <c r="AY414" i="4" s="1"/>
  <c r="BE414" i="4" s="1"/>
  <c r="AA415" i="4"/>
  <c r="AN414" i="4"/>
  <c r="AT414" i="4" s="1"/>
  <c r="AZ414" i="4" s="1"/>
  <c r="BF414" i="4" s="1"/>
  <c r="AB415" i="4"/>
  <c r="X415" i="4"/>
  <c r="AJ414" i="4"/>
  <c r="AP414" i="4" s="1"/>
  <c r="AV414" i="4" s="1"/>
  <c r="BB414" i="4" s="1"/>
  <c r="BL413" i="4"/>
  <c r="BM412" i="4"/>
  <c r="BN412" i="4" s="1"/>
  <c r="BC415" i="4"/>
  <c r="BO413" i="4"/>
  <c r="BG413" i="4"/>
  <c r="BP413" i="4" s="1"/>
  <c r="BQ413" i="4" s="1"/>
  <c r="CE414" i="4"/>
  <c r="AC414" i="4"/>
  <c r="BI415" i="4"/>
  <c r="BS414" i="4"/>
  <c r="CA416" i="4"/>
  <c r="Y416" i="4"/>
  <c r="CH416" i="4"/>
  <c r="T416" i="4"/>
  <c r="AN415" i="4" l="1"/>
  <c r="AT415" i="4" s="1"/>
  <c r="AZ415" i="4" s="1"/>
  <c r="O416" i="4"/>
  <c r="BF415" i="4"/>
  <c r="K416" i="4"/>
  <c r="AJ415" i="4"/>
  <c r="AP415" i="4" s="1"/>
  <c r="AV415" i="4" s="1"/>
  <c r="BB415" i="4" s="1"/>
  <c r="AM415" i="4"/>
  <c r="AS415" i="4" s="1"/>
  <c r="AY415" i="4" s="1"/>
  <c r="BE415" i="4" s="1"/>
  <c r="N416" i="4"/>
  <c r="AC415" i="4"/>
  <c r="AO414" i="4"/>
  <c r="BJ414" i="4"/>
  <c r="CB416" i="4"/>
  <c r="Z416" i="4"/>
  <c r="AK416" i="4"/>
  <c r="Y417" i="4"/>
  <c r="BS415" i="4"/>
  <c r="BM413" i="4"/>
  <c r="BN413" i="4" s="1"/>
  <c r="U416" i="4" l="1"/>
  <c r="CI416" i="4"/>
  <c r="R416" i="4"/>
  <c r="CF416" i="4"/>
  <c r="CJ416" i="4"/>
  <c r="V416" i="4"/>
  <c r="AU414" i="4"/>
  <c r="BA414" i="4" s="1"/>
  <c r="BH414" i="4"/>
  <c r="AQ416" i="4"/>
  <c r="AW416" i="4" s="1"/>
  <c r="BK414" i="4"/>
  <c r="AO415" i="4"/>
  <c r="P416" i="4"/>
  <c r="BJ415" i="4"/>
  <c r="AK417" i="4"/>
  <c r="L418" i="4"/>
  <c r="Z417" i="4"/>
  <c r="AL416" i="4"/>
  <c r="AR416" i="4" s="1"/>
  <c r="AX416" i="4" s="1"/>
  <c r="BD416" i="4" s="1"/>
  <c r="CD416" i="4" l="1"/>
  <c r="AB416" i="4"/>
  <c r="BZ416" i="4"/>
  <c r="X416" i="4"/>
  <c r="CC416" i="4"/>
  <c r="AA416" i="4"/>
  <c r="BK415" i="4"/>
  <c r="S418" i="4"/>
  <c r="CG418" i="4"/>
  <c r="AL417" i="4"/>
  <c r="AR417" i="4" s="1"/>
  <c r="AX417" i="4" s="1"/>
  <c r="BD417" i="4" s="1"/>
  <c r="M418" i="4"/>
  <c r="W416" i="4"/>
  <c r="CK416" i="4"/>
  <c r="BI416" i="4"/>
  <c r="BC416" i="4"/>
  <c r="AQ417" i="4"/>
  <c r="AW417" i="4" s="1"/>
  <c r="BV414" i="4"/>
  <c r="BY414" i="4" s="1"/>
  <c r="BL414" i="4"/>
  <c r="AU415" i="4"/>
  <c r="BA415" i="4" s="1"/>
  <c r="BH415" i="4"/>
  <c r="BV415" i="4" s="1"/>
  <c r="BY415" i="4" s="1"/>
  <c r="BO414" i="4"/>
  <c r="BG414" i="4"/>
  <c r="BP414" i="4" s="1"/>
  <c r="BQ414" i="4" s="1"/>
  <c r="AA417" i="4" l="1"/>
  <c r="AM416" i="4"/>
  <c r="AS416" i="4" s="1"/>
  <c r="AY416" i="4" s="1"/>
  <c r="BE416" i="4" s="1"/>
  <c r="AJ416" i="4"/>
  <c r="AP416" i="4" s="1"/>
  <c r="AV416" i="4" s="1"/>
  <c r="BB416" i="4" s="1"/>
  <c r="X417" i="4"/>
  <c r="AB417" i="4"/>
  <c r="AN416" i="4"/>
  <c r="AT416" i="4" s="1"/>
  <c r="AZ416" i="4" s="1"/>
  <c r="BF416" i="4" s="1"/>
  <c r="BI417" i="4"/>
  <c r="BS416" i="4"/>
  <c r="BC417" i="4"/>
  <c r="BL415" i="4"/>
  <c r="BM414" i="4"/>
  <c r="BN414" i="4" s="1"/>
  <c r="CA418" i="4"/>
  <c r="Y418" i="4"/>
  <c r="CE416" i="4"/>
  <c r="AC416" i="4"/>
  <c r="T418" i="4"/>
  <c r="CH418" i="4"/>
  <c r="BO415" i="4"/>
  <c r="BG415" i="4"/>
  <c r="BP415" i="4" s="1"/>
  <c r="BQ415" i="4" s="1"/>
  <c r="K418" i="4" l="1"/>
  <c r="AJ417" i="4"/>
  <c r="AP417" i="4" s="1"/>
  <c r="AV417" i="4" s="1"/>
  <c r="BB417" i="4"/>
  <c r="AN417" i="4"/>
  <c r="AT417" i="4" s="1"/>
  <c r="AZ417" i="4" s="1"/>
  <c r="BF417" i="4" s="1"/>
  <c r="O418" i="4"/>
  <c r="N418" i="4"/>
  <c r="AM417" i="4"/>
  <c r="AS417" i="4" s="1"/>
  <c r="AY417" i="4" s="1"/>
  <c r="BE417" i="4" s="1"/>
  <c r="BM415" i="4"/>
  <c r="BN415" i="4" s="1"/>
  <c r="Y419" i="4"/>
  <c r="AK418" i="4"/>
  <c r="CB418" i="4"/>
  <c r="Z418" i="4"/>
  <c r="BS417" i="4"/>
  <c r="AO416" i="4"/>
  <c r="AC417" i="4"/>
  <c r="BJ416" i="4"/>
  <c r="CJ418" i="4" l="1"/>
  <c r="V418" i="4"/>
  <c r="U418" i="4"/>
  <c r="CI418" i="4"/>
  <c r="R418" i="4"/>
  <c r="CF418" i="4"/>
  <c r="BK416" i="4"/>
  <c r="AO417" i="4"/>
  <c r="P418" i="4"/>
  <c r="BJ417" i="4"/>
  <c r="AK419" i="4"/>
  <c r="L420" i="4"/>
  <c r="AU416" i="4"/>
  <c r="BA416" i="4" s="1"/>
  <c r="BH416" i="4"/>
  <c r="AQ418" i="4"/>
  <c r="AW418" i="4" s="1"/>
  <c r="AL418" i="4"/>
  <c r="AR418" i="4" s="1"/>
  <c r="AX418" i="4" s="1"/>
  <c r="BD418" i="4" s="1"/>
  <c r="Z419" i="4"/>
  <c r="BZ418" i="4" l="1"/>
  <c r="X418" i="4"/>
  <c r="CC418" i="4"/>
  <c r="AA418" i="4"/>
  <c r="CD418" i="4"/>
  <c r="AB418" i="4"/>
  <c r="S420" i="4"/>
  <c r="CG420" i="4"/>
  <c r="BC418" i="4"/>
  <c r="BK417" i="4"/>
  <c r="AU417" i="4"/>
  <c r="BA417" i="4" s="1"/>
  <c r="BH417" i="4"/>
  <c r="BV417" i="4" s="1"/>
  <c r="BY417" i="4" s="1"/>
  <c r="AL419" i="4"/>
  <c r="AR419" i="4" s="1"/>
  <c r="AX419" i="4" s="1"/>
  <c r="BD419" i="4" s="1"/>
  <c r="M420" i="4"/>
  <c r="AQ419" i="4"/>
  <c r="AW419" i="4" s="1"/>
  <c r="CK418" i="4"/>
  <c r="W418" i="4"/>
  <c r="BI418" i="4"/>
  <c r="BV416" i="4"/>
  <c r="BY416" i="4" s="1"/>
  <c r="BL416" i="4"/>
  <c r="BO416" i="4"/>
  <c r="BG416" i="4"/>
  <c r="BP416" i="4" s="1"/>
  <c r="BQ416" i="4" s="1"/>
  <c r="AB419" i="4" l="1"/>
  <c r="AN418" i="4"/>
  <c r="AT418" i="4" s="1"/>
  <c r="AZ418" i="4" s="1"/>
  <c r="BF418" i="4" s="1"/>
  <c r="AM418" i="4"/>
  <c r="AS418" i="4" s="1"/>
  <c r="AY418" i="4" s="1"/>
  <c r="BE418" i="4" s="1"/>
  <c r="AA419" i="4"/>
  <c r="X419" i="4"/>
  <c r="AJ418" i="4"/>
  <c r="AP418" i="4" s="1"/>
  <c r="AV418" i="4" s="1"/>
  <c r="BB418" i="4" s="1"/>
  <c r="BL417" i="4"/>
  <c r="BM416" i="4"/>
  <c r="BN416" i="4" s="1"/>
  <c r="BO417" i="4"/>
  <c r="BG417" i="4"/>
  <c r="BP417" i="4" s="1"/>
  <c r="BQ417" i="4" s="1"/>
  <c r="BS418" i="4"/>
  <c r="BI419" i="4"/>
  <c r="CE418" i="4"/>
  <c r="AC418" i="4"/>
  <c r="BC419" i="4"/>
  <c r="T420" i="4"/>
  <c r="CH420" i="4"/>
  <c r="CA420" i="4"/>
  <c r="Y420" i="4"/>
  <c r="AM419" i="4" l="1"/>
  <c r="AS419" i="4" s="1"/>
  <c r="AY419" i="4" s="1"/>
  <c r="BE419" i="4" s="1"/>
  <c r="N420" i="4"/>
  <c r="K420" i="4"/>
  <c r="AJ419" i="4"/>
  <c r="AP419" i="4" s="1"/>
  <c r="AV419" i="4" s="1"/>
  <c r="BB419" i="4" s="1"/>
  <c r="AN419" i="4"/>
  <c r="AT419" i="4" s="1"/>
  <c r="AZ419" i="4" s="1"/>
  <c r="BF419" i="4" s="1"/>
  <c r="O420" i="4"/>
  <c r="CB420" i="4"/>
  <c r="Z420" i="4"/>
  <c r="AC419" i="4"/>
  <c r="AO418" i="4"/>
  <c r="BJ418" i="4"/>
  <c r="BS419" i="4"/>
  <c r="Y421" i="4"/>
  <c r="AK420" i="4"/>
  <c r="BM417" i="4"/>
  <c r="BN417" i="4" s="1"/>
  <c r="U420" i="4" l="1"/>
  <c r="CI420" i="4"/>
  <c r="CJ420" i="4"/>
  <c r="V420" i="4"/>
  <c r="R420" i="4"/>
  <c r="CF420" i="4"/>
  <c r="BK418" i="4"/>
  <c r="AU418" i="4"/>
  <c r="BA418" i="4" s="1"/>
  <c r="BH418" i="4"/>
  <c r="AK421" i="4"/>
  <c r="L422" i="4"/>
  <c r="AQ420" i="4"/>
  <c r="AW420" i="4" s="1"/>
  <c r="AO419" i="4"/>
  <c r="P420" i="4"/>
  <c r="BJ419" i="4"/>
  <c r="AL420" i="4"/>
  <c r="AR420" i="4" s="1"/>
  <c r="AX420" i="4" s="1"/>
  <c r="BD420" i="4" s="1"/>
  <c r="Z421" i="4"/>
  <c r="BZ420" i="4" l="1"/>
  <c r="X420" i="4"/>
  <c r="AB420" i="4"/>
  <c r="CD420" i="4"/>
  <c r="AA420" i="4"/>
  <c r="CC420" i="4"/>
  <c r="BC420" i="4"/>
  <c r="AL421" i="4"/>
  <c r="AR421" i="4" s="1"/>
  <c r="AX421" i="4" s="1"/>
  <c r="BD421" i="4" s="1"/>
  <c r="M422" i="4"/>
  <c r="W420" i="4"/>
  <c r="CK420" i="4"/>
  <c r="BI420" i="4"/>
  <c r="BO418" i="4"/>
  <c r="BG418" i="4"/>
  <c r="BP418" i="4" s="1"/>
  <c r="BQ418" i="4" s="1"/>
  <c r="BK419" i="4"/>
  <c r="S422" i="4"/>
  <c r="CG422" i="4"/>
  <c r="AU419" i="4"/>
  <c r="BA419" i="4" s="1"/>
  <c r="BH419" i="4"/>
  <c r="BV419" i="4" s="1"/>
  <c r="BY419" i="4" s="1"/>
  <c r="AQ421" i="4"/>
  <c r="AW421" i="4" s="1"/>
  <c r="BV418" i="4"/>
  <c r="BY418" i="4" s="1"/>
  <c r="BL418" i="4"/>
  <c r="AM420" i="4" l="1"/>
  <c r="AS420" i="4" s="1"/>
  <c r="AY420" i="4" s="1"/>
  <c r="BE420" i="4" s="1"/>
  <c r="AA421" i="4"/>
  <c r="AN420" i="4"/>
  <c r="AT420" i="4" s="1"/>
  <c r="AZ420" i="4" s="1"/>
  <c r="BF420" i="4"/>
  <c r="AB421" i="4"/>
  <c r="X421" i="4"/>
  <c r="AJ420" i="4"/>
  <c r="AP420" i="4" s="1"/>
  <c r="AV420" i="4" s="1"/>
  <c r="BB420" i="4" s="1"/>
  <c r="BO419" i="4"/>
  <c r="BG419" i="4"/>
  <c r="BP419" i="4" s="1"/>
  <c r="BQ419" i="4" s="1"/>
  <c r="CE420" i="4"/>
  <c r="AC420" i="4"/>
  <c r="BI421" i="4"/>
  <c r="BS420" i="4"/>
  <c r="BL419" i="4"/>
  <c r="BM418" i="4"/>
  <c r="BN418" i="4" s="1"/>
  <c r="BC421" i="4"/>
  <c r="T422" i="4"/>
  <c r="CH422" i="4"/>
  <c r="CA422" i="4"/>
  <c r="Y422" i="4"/>
  <c r="AJ421" i="4" l="1"/>
  <c r="AP421" i="4" s="1"/>
  <c r="AV421" i="4" s="1"/>
  <c r="K422" i="4"/>
  <c r="BB421" i="4"/>
  <c r="AN421" i="4"/>
  <c r="AT421" i="4" s="1"/>
  <c r="AZ421" i="4" s="1"/>
  <c r="BF421" i="4" s="1"/>
  <c r="O422" i="4"/>
  <c r="AM421" i="4"/>
  <c r="AS421" i="4" s="1"/>
  <c r="AY421" i="4" s="1"/>
  <c r="BE421" i="4" s="1"/>
  <c r="N422" i="4"/>
  <c r="Y423" i="4"/>
  <c r="AK422" i="4"/>
  <c r="BS421" i="4"/>
  <c r="CB422" i="4"/>
  <c r="Z422" i="4"/>
  <c r="AO420" i="4"/>
  <c r="AC421" i="4"/>
  <c r="BJ420" i="4"/>
  <c r="BM419" i="4"/>
  <c r="BN419" i="4" s="1"/>
  <c r="CJ422" i="4" l="1"/>
  <c r="V422" i="4"/>
  <c r="U422" i="4"/>
  <c r="CI422" i="4"/>
  <c r="R422" i="4"/>
  <c r="CF422" i="4"/>
  <c r="AU420" i="4"/>
  <c r="BA420" i="4" s="1"/>
  <c r="BH420" i="4"/>
  <c r="BK420" i="4"/>
  <c r="AL422" i="4"/>
  <c r="AR422" i="4" s="1"/>
  <c r="AX422" i="4" s="1"/>
  <c r="BD422" i="4" s="1"/>
  <c r="Z423" i="4"/>
  <c r="AQ422" i="4"/>
  <c r="AW422" i="4" s="1"/>
  <c r="AO421" i="4"/>
  <c r="P422" i="4"/>
  <c r="BJ421" i="4"/>
  <c r="AK423" i="4"/>
  <c r="L424" i="4"/>
  <c r="BZ422" i="4" l="1"/>
  <c r="X422" i="4"/>
  <c r="CC422" i="4"/>
  <c r="AA422" i="4"/>
  <c r="CD422" i="4"/>
  <c r="AB422" i="4"/>
  <c r="W422" i="4"/>
  <c r="CK422" i="4"/>
  <c r="BI422" i="4"/>
  <c r="BC422" i="4"/>
  <c r="AL423" i="4"/>
  <c r="AR423" i="4" s="1"/>
  <c r="AX423" i="4" s="1"/>
  <c r="BD423" i="4" s="1"/>
  <c r="M424" i="4"/>
  <c r="BV420" i="4"/>
  <c r="BY420" i="4" s="1"/>
  <c r="BL420" i="4"/>
  <c r="S424" i="4"/>
  <c r="CG424" i="4"/>
  <c r="AQ423" i="4"/>
  <c r="AW423" i="4" s="1"/>
  <c r="BK421" i="4"/>
  <c r="AU421" i="4"/>
  <c r="BA421" i="4" s="1"/>
  <c r="BH421" i="4"/>
  <c r="BV421" i="4" s="1"/>
  <c r="BY421" i="4" s="1"/>
  <c r="BO420" i="4"/>
  <c r="BG420" i="4"/>
  <c r="BP420" i="4" s="1"/>
  <c r="BQ420" i="4" s="1"/>
  <c r="AB423" i="4" l="1"/>
  <c r="AN422" i="4"/>
  <c r="AT422" i="4" s="1"/>
  <c r="AZ422" i="4" s="1"/>
  <c r="BF422" i="4" s="1"/>
  <c r="AA423" i="4"/>
  <c r="AM422" i="4"/>
  <c r="AS422" i="4" s="1"/>
  <c r="AY422" i="4" s="1"/>
  <c r="BE422" i="4" s="1"/>
  <c r="X423" i="4"/>
  <c r="AJ422" i="4"/>
  <c r="AP422" i="4" s="1"/>
  <c r="AV422" i="4" s="1"/>
  <c r="BB422" i="4" s="1"/>
  <c r="BC423" i="4"/>
  <c r="CA424" i="4"/>
  <c r="Y424" i="4"/>
  <c r="CH424" i="4"/>
  <c r="T424" i="4"/>
  <c r="BO421" i="4"/>
  <c r="BG421" i="4"/>
  <c r="BP421" i="4" s="1"/>
  <c r="BQ421" i="4" s="1"/>
  <c r="CE422" i="4"/>
  <c r="AC422" i="4"/>
  <c r="BI423" i="4"/>
  <c r="BS422" i="4"/>
  <c r="BL421" i="4"/>
  <c r="BM420" i="4"/>
  <c r="BN420" i="4" s="1"/>
  <c r="AJ423" i="4" l="1"/>
  <c r="AP423" i="4" s="1"/>
  <c r="AV423" i="4" s="1"/>
  <c r="K424" i="4"/>
  <c r="BB423" i="4"/>
  <c r="AM423" i="4"/>
  <c r="AS423" i="4" s="1"/>
  <c r="AY423" i="4" s="1"/>
  <c r="BE423" i="4" s="1"/>
  <c r="N424" i="4"/>
  <c r="AN423" i="4"/>
  <c r="AT423" i="4" s="1"/>
  <c r="AZ423" i="4" s="1"/>
  <c r="BF423" i="4" s="1"/>
  <c r="O424" i="4"/>
  <c r="AO422" i="4"/>
  <c r="AC423" i="4"/>
  <c r="BJ422" i="4"/>
  <c r="Y425" i="4"/>
  <c r="AK424" i="4"/>
  <c r="BS423" i="4"/>
  <c r="BM421" i="4"/>
  <c r="BN421" i="4" s="1"/>
  <c r="CB424" i="4"/>
  <c r="Z424" i="4"/>
  <c r="U424" i="4" l="1"/>
  <c r="CI424" i="4"/>
  <c r="CJ424" i="4"/>
  <c r="V424" i="4"/>
  <c r="CF424" i="4"/>
  <c r="R424" i="4"/>
  <c r="AQ424" i="4"/>
  <c r="AW424" i="4" s="1"/>
  <c r="AK425" i="4"/>
  <c r="L426" i="4"/>
  <c r="AU422" i="4"/>
  <c r="BA422" i="4" s="1"/>
  <c r="BH422" i="4"/>
  <c r="BK422" i="4"/>
  <c r="AO423" i="4"/>
  <c r="P424" i="4"/>
  <c r="BJ423" i="4"/>
  <c r="AL424" i="4"/>
  <c r="AR424" i="4" s="1"/>
  <c r="AX424" i="4" s="1"/>
  <c r="BD424" i="4" s="1"/>
  <c r="Z425" i="4"/>
  <c r="BZ424" i="4" l="1"/>
  <c r="X424" i="4"/>
  <c r="CD424" i="4"/>
  <c r="AB424" i="4"/>
  <c r="CC424" i="4"/>
  <c r="AA424" i="4"/>
  <c r="S426" i="4"/>
  <c r="CG426" i="4"/>
  <c r="BV422" i="4"/>
  <c r="BY422" i="4" s="1"/>
  <c r="BL422" i="4"/>
  <c r="AU423" i="4"/>
  <c r="BA423" i="4" s="1"/>
  <c r="BH423" i="4"/>
  <c r="BV423" i="4" s="1"/>
  <c r="BY423" i="4" s="1"/>
  <c r="AL425" i="4"/>
  <c r="AR425" i="4" s="1"/>
  <c r="AX425" i="4" s="1"/>
  <c r="BD425" i="4" s="1"/>
  <c r="M426" i="4"/>
  <c r="AQ425" i="4"/>
  <c r="AW425" i="4" s="1"/>
  <c r="BK423" i="4"/>
  <c r="CK424" i="4"/>
  <c r="W424" i="4"/>
  <c r="BI424" i="4"/>
  <c r="BC424" i="4"/>
  <c r="BO422" i="4"/>
  <c r="BG422" i="4"/>
  <c r="BP422" i="4" s="1"/>
  <c r="BQ422" i="4" s="1"/>
  <c r="AA425" i="4" l="1"/>
  <c r="AM424" i="4"/>
  <c r="AS424" i="4" s="1"/>
  <c r="AY424" i="4" s="1"/>
  <c r="BE424" i="4" s="1"/>
  <c r="AN424" i="4"/>
  <c r="AT424" i="4" s="1"/>
  <c r="AZ424" i="4" s="1"/>
  <c r="BF424" i="4" s="1"/>
  <c r="AB425" i="4"/>
  <c r="X425" i="4"/>
  <c r="AJ424" i="4"/>
  <c r="AP424" i="4" s="1"/>
  <c r="AV424" i="4" s="1"/>
  <c r="BB424" i="4" s="1"/>
  <c r="BO423" i="4"/>
  <c r="BG423" i="4"/>
  <c r="BP423" i="4" s="1"/>
  <c r="BQ423" i="4" s="1"/>
  <c r="T426" i="4"/>
  <c r="CH426" i="4"/>
  <c r="CE424" i="4"/>
  <c r="AC424" i="4"/>
  <c r="BC425" i="4"/>
  <c r="BI425" i="4"/>
  <c r="BS424" i="4"/>
  <c r="BL423" i="4"/>
  <c r="BM422" i="4"/>
  <c r="BN422" i="4" s="1"/>
  <c r="CA426" i="4"/>
  <c r="Y426" i="4"/>
  <c r="O426" i="4" l="1"/>
  <c r="AN425" i="4"/>
  <c r="AT425" i="4" s="1"/>
  <c r="AZ425" i="4" s="1"/>
  <c r="BF425" i="4" s="1"/>
  <c r="AJ425" i="4"/>
  <c r="AP425" i="4" s="1"/>
  <c r="AV425" i="4" s="1"/>
  <c r="BB425" i="4" s="1"/>
  <c r="K426" i="4"/>
  <c r="N426" i="4"/>
  <c r="AM425" i="4"/>
  <c r="AS425" i="4" s="1"/>
  <c r="AY425" i="4" s="1"/>
  <c r="BE425" i="4" s="1"/>
  <c r="AC425" i="4"/>
  <c r="AO424" i="4"/>
  <c r="BJ424" i="4"/>
  <c r="CB426" i="4"/>
  <c r="Z426" i="4"/>
  <c r="Y427" i="4"/>
  <c r="AK426" i="4"/>
  <c r="BM423" i="4"/>
  <c r="BN423" i="4" s="1"/>
  <c r="BS425" i="4"/>
  <c r="R426" i="4" l="1"/>
  <c r="CF426" i="4"/>
  <c r="U426" i="4"/>
  <c r="CI426" i="4"/>
  <c r="V426" i="4"/>
  <c r="CJ426" i="4"/>
  <c r="AO425" i="4"/>
  <c r="P426" i="4"/>
  <c r="BJ425" i="4"/>
  <c r="AK427" i="4"/>
  <c r="L428" i="4"/>
  <c r="BK424" i="4"/>
  <c r="AU424" i="4"/>
  <c r="BA424" i="4" s="1"/>
  <c r="BH424" i="4"/>
  <c r="AQ426" i="4"/>
  <c r="AW426" i="4" s="1"/>
  <c r="AL426" i="4"/>
  <c r="AR426" i="4" s="1"/>
  <c r="AX426" i="4" s="1"/>
  <c r="BD426" i="4" s="1"/>
  <c r="Z427" i="4"/>
  <c r="AB426" i="4" l="1"/>
  <c r="CD426" i="4"/>
  <c r="CC426" i="4"/>
  <c r="AA426" i="4"/>
  <c r="BZ426" i="4"/>
  <c r="X426" i="4"/>
  <c r="AQ427" i="4"/>
  <c r="AW427" i="4" s="1"/>
  <c r="BV424" i="4"/>
  <c r="BY424" i="4" s="1"/>
  <c r="BL424" i="4"/>
  <c r="S428" i="4"/>
  <c r="CG428" i="4"/>
  <c r="BK425" i="4"/>
  <c r="W426" i="4"/>
  <c r="CK426" i="4"/>
  <c r="BI426" i="4"/>
  <c r="AL427" i="4"/>
  <c r="AR427" i="4" s="1"/>
  <c r="AX427" i="4" s="1"/>
  <c r="BD427" i="4" s="1"/>
  <c r="M428" i="4"/>
  <c r="BC426" i="4"/>
  <c r="BO424" i="4"/>
  <c r="BG424" i="4"/>
  <c r="BP424" i="4" s="1"/>
  <c r="BQ424" i="4" s="1"/>
  <c r="AU425" i="4"/>
  <c r="BA425" i="4" s="1"/>
  <c r="BH425" i="4"/>
  <c r="BV425" i="4" s="1"/>
  <c r="BY425" i="4" s="1"/>
  <c r="X427" i="4" l="1"/>
  <c r="AJ426" i="4"/>
  <c r="AP426" i="4" s="1"/>
  <c r="AV426" i="4" s="1"/>
  <c r="BB426" i="4"/>
  <c r="AM426" i="4"/>
  <c r="AS426" i="4" s="1"/>
  <c r="AY426" i="4" s="1"/>
  <c r="BE426" i="4" s="1"/>
  <c r="AA427" i="4"/>
  <c r="AB427" i="4"/>
  <c r="AN426" i="4"/>
  <c r="AT426" i="4" s="1"/>
  <c r="AZ426" i="4" s="1"/>
  <c r="BF426" i="4" s="1"/>
  <c r="CA428" i="4"/>
  <c r="Y428" i="4"/>
  <c r="T428" i="4"/>
  <c r="CH428" i="4"/>
  <c r="BI427" i="4"/>
  <c r="BS426" i="4"/>
  <c r="BL425" i="4"/>
  <c r="BM424" i="4"/>
  <c r="BN424" i="4" s="1"/>
  <c r="CE426" i="4"/>
  <c r="AC426" i="4"/>
  <c r="BO425" i="4"/>
  <c r="BG425" i="4"/>
  <c r="BP425" i="4" s="1"/>
  <c r="BQ425" i="4" s="1"/>
  <c r="BC427" i="4"/>
  <c r="O428" i="4" l="1"/>
  <c r="AN427" i="4"/>
  <c r="AT427" i="4" s="1"/>
  <c r="AZ427" i="4" s="1"/>
  <c r="BF427" i="4" s="1"/>
  <c r="N428" i="4"/>
  <c r="AM427" i="4"/>
  <c r="AS427" i="4" s="1"/>
  <c r="AY427" i="4" s="1"/>
  <c r="BE427" i="4" s="1"/>
  <c r="K428" i="4"/>
  <c r="AJ427" i="4"/>
  <c r="AP427" i="4" s="1"/>
  <c r="AV427" i="4" s="1"/>
  <c r="BB427" i="4" s="1"/>
  <c r="AC427" i="4"/>
  <c r="AO426" i="4"/>
  <c r="BJ426" i="4"/>
  <c r="BS427" i="4"/>
  <c r="BM425" i="4"/>
  <c r="BN425" i="4" s="1"/>
  <c r="CB428" i="4"/>
  <c r="Z428" i="4"/>
  <c r="AK428" i="4"/>
  <c r="Y429" i="4"/>
  <c r="CF428" i="4" l="1"/>
  <c r="R428" i="4"/>
  <c r="U428" i="4"/>
  <c r="CI428" i="4"/>
  <c r="CJ428" i="4"/>
  <c r="V428" i="4"/>
  <c r="BK426" i="4"/>
  <c r="AQ428" i="4"/>
  <c r="AW428" i="4" s="1"/>
  <c r="AK429" i="4"/>
  <c r="L430" i="4"/>
  <c r="AU426" i="4"/>
  <c r="BA426" i="4" s="1"/>
  <c r="BH426" i="4"/>
  <c r="AO427" i="4"/>
  <c r="P428" i="4"/>
  <c r="BJ427" i="4"/>
  <c r="AL428" i="4"/>
  <c r="AR428" i="4" s="1"/>
  <c r="AX428" i="4" s="1"/>
  <c r="BD428" i="4" s="1"/>
  <c r="Z429" i="4"/>
  <c r="AB428" i="4" l="1"/>
  <c r="CD428" i="4"/>
  <c r="AA428" i="4"/>
  <c r="CC428" i="4"/>
  <c r="BZ428" i="4"/>
  <c r="X428" i="4"/>
  <c r="BO426" i="4"/>
  <c r="BG426" i="4"/>
  <c r="BP426" i="4" s="1"/>
  <c r="BQ426" i="4" s="1"/>
  <c r="BC428" i="4"/>
  <c r="AL429" i="4"/>
  <c r="AR429" i="4" s="1"/>
  <c r="AX429" i="4" s="1"/>
  <c r="BD429" i="4" s="1"/>
  <c r="M430" i="4"/>
  <c r="AU427" i="4"/>
  <c r="BA427" i="4" s="1"/>
  <c r="BH427" i="4"/>
  <c r="BV427" i="4" s="1"/>
  <c r="BY427" i="4" s="1"/>
  <c r="BV426" i="4"/>
  <c r="BY426" i="4" s="1"/>
  <c r="BL426" i="4"/>
  <c r="BK427" i="4"/>
  <c r="W428" i="4"/>
  <c r="CK428" i="4"/>
  <c r="BI428" i="4"/>
  <c r="S430" i="4"/>
  <c r="CG430" i="4"/>
  <c r="AQ429" i="4"/>
  <c r="AW429" i="4" s="1"/>
  <c r="AJ428" i="4" l="1"/>
  <c r="AP428" i="4" s="1"/>
  <c r="AV428" i="4" s="1"/>
  <c r="BB428" i="4" s="1"/>
  <c r="X429" i="4"/>
  <c r="AM428" i="4"/>
  <c r="AS428" i="4" s="1"/>
  <c r="AY428" i="4" s="1"/>
  <c r="BE428" i="4" s="1"/>
  <c r="AA429" i="4"/>
  <c r="AB429" i="4"/>
  <c r="AN428" i="4"/>
  <c r="AT428" i="4" s="1"/>
  <c r="AZ428" i="4" s="1"/>
  <c r="BF428" i="4" s="1"/>
  <c r="BI429" i="4"/>
  <c r="BS428" i="4"/>
  <c r="BL427" i="4"/>
  <c r="BM426" i="4"/>
  <c r="BN426" i="4" s="1"/>
  <c r="CE428" i="4"/>
  <c r="AC428" i="4"/>
  <c r="T430" i="4"/>
  <c r="CH430" i="4"/>
  <c r="BC429" i="4"/>
  <c r="CA430" i="4"/>
  <c r="Y430" i="4"/>
  <c r="BO427" i="4"/>
  <c r="BG427" i="4"/>
  <c r="BP427" i="4" s="1"/>
  <c r="BQ427" i="4" s="1"/>
  <c r="AN429" i="4" l="1"/>
  <c r="AT429" i="4" s="1"/>
  <c r="AZ429" i="4" s="1"/>
  <c r="BF429" i="4" s="1"/>
  <c r="O430" i="4"/>
  <c r="AM429" i="4"/>
  <c r="AS429" i="4" s="1"/>
  <c r="AY429" i="4" s="1"/>
  <c r="BE429" i="4" s="1"/>
  <c r="N430" i="4"/>
  <c r="AJ429" i="4"/>
  <c r="AP429" i="4" s="1"/>
  <c r="AV429" i="4" s="1"/>
  <c r="BB429" i="4" s="1"/>
  <c r="K430" i="4"/>
  <c r="AC429" i="4"/>
  <c r="AO428" i="4"/>
  <c r="BJ428" i="4"/>
  <c r="BM427" i="4"/>
  <c r="BN427" i="4" s="1"/>
  <c r="AK430" i="4"/>
  <c r="Y431" i="4"/>
  <c r="BS429" i="4"/>
  <c r="CB430" i="4"/>
  <c r="Z430" i="4"/>
  <c r="U430" i="4" l="1"/>
  <c r="CI430" i="4"/>
  <c r="R430" i="4"/>
  <c r="CF430" i="4"/>
  <c r="V430" i="4"/>
  <c r="CJ430" i="4"/>
  <c r="AQ430" i="4"/>
  <c r="AW430" i="4" s="1"/>
  <c r="AL430" i="4"/>
  <c r="AR430" i="4" s="1"/>
  <c r="AX430" i="4" s="1"/>
  <c r="BD430" i="4" s="1"/>
  <c r="Z431" i="4"/>
  <c r="BK428" i="4"/>
  <c r="AU428" i="4"/>
  <c r="BA428" i="4" s="1"/>
  <c r="BH428" i="4"/>
  <c r="AK431" i="4"/>
  <c r="L432" i="4"/>
  <c r="AO429" i="4"/>
  <c r="P430" i="4"/>
  <c r="BJ429" i="4"/>
  <c r="AB430" i="4" l="1"/>
  <c r="CD430" i="4"/>
  <c r="BZ430" i="4"/>
  <c r="X430" i="4"/>
  <c r="CC430" i="4"/>
  <c r="AA430" i="4"/>
  <c r="BK429" i="4"/>
  <c r="CK430" i="4"/>
  <c r="W430" i="4"/>
  <c r="BI430" i="4"/>
  <c r="AU429" i="4"/>
  <c r="BA429" i="4" s="1"/>
  <c r="BH429" i="4"/>
  <c r="BV429" i="4" s="1"/>
  <c r="BY429" i="4" s="1"/>
  <c r="S432" i="4"/>
  <c r="CG432" i="4"/>
  <c r="BO428" i="4"/>
  <c r="BG428" i="4"/>
  <c r="BP428" i="4" s="1"/>
  <c r="BQ428" i="4" s="1"/>
  <c r="AL431" i="4"/>
  <c r="AR431" i="4" s="1"/>
  <c r="AX431" i="4" s="1"/>
  <c r="BD431" i="4" s="1"/>
  <c r="M432" i="4"/>
  <c r="AQ431" i="4"/>
  <c r="AW431" i="4" s="1"/>
  <c r="BC430" i="4"/>
  <c r="BV428" i="4"/>
  <c r="BY428" i="4" s="1"/>
  <c r="BL428" i="4"/>
  <c r="AA431" i="4" l="1"/>
  <c r="AM430" i="4"/>
  <c r="AS430" i="4" s="1"/>
  <c r="AY430" i="4" s="1"/>
  <c r="BE430" i="4"/>
  <c r="AJ430" i="4"/>
  <c r="AP430" i="4" s="1"/>
  <c r="AV430" i="4" s="1"/>
  <c r="X431" i="4"/>
  <c r="BB430" i="4"/>
  <c r="AN430" i="4"/>
  <c r="AT430" i="4" s="1"/>
  <c r="AZ430" i="4" s="1"/>
  <c r="BF430" i="4" s="1"/>
  <c r="AB431" i="4"/>
  <c r="BI431" i="4"/>
  <c r="BS430" i="4"/>
  <c r="CE430" i="4"/>
  <c r="AC430" i="4"/>
  <c r="BC431" i="4"/>
  <c r="CA432" i="4"/>
  <c r="Y432" i="4"/>
  <c r="BO429" i="4"/>
  <c r="BG429" i="4"/>
  <c r="BP429" i="4" s="1"/>
  <c r="BQ429" i="4" s="1"/>
  <c r="T432" i="4"/>
  <c r="CH432" i="4"/>
  <c r="BL429" i="4"/>
  <c r="BM428" i="4"/>
  <c r="BN428" i="4" s="1"/>
  <c r="AN431" i="4" l="1"/>
  <c r="AT431" i="4" s="1"/>
  <c r="AZ431" i="4" s="1"/>
  <c r="BF431" i="4" s="1"/>
  <c r="O432" i="4"/>
  <c r="K432" i="4"/>
  <c r="AJ431" i="4"/>
  <c r="AP431" i="4" s="1"/>
  <c r="AV431" i="4" s="1"/>
  <c r="BB431" i="4" s="1"/>
  <c r="N432" i="4"/>
  <c r="AM431" i="4"/>
  <c r="AS431" i="4" s="1"/>
  <c r="AY431" i="4" s="1"/>
  <c r="BE431" i="4" s="1"/>
  <c r="BM429" i="4"/>
  <c r="BN429" i="4" s="1"/>
  <c r="AC431" i="4"/>
  <c r="AO430" i="4"/>
  <c r="BJ430" i="4"/>
  <c r="CB432" i="4"/>
  <c r="Z432" i="4"/>
  <c r="BS431" i="4"/>
  <c r="AK432" i="4"/>
  <c r="Y433" i="4"/>
  <c r="CI432" i="4" l="1"/>
  <c r="U432" i="4"/>
  <c r="CF432" i="4"/>
  <c r="R432" i="4"/>
  <c r="CJ432" i="4"/>
  <c r="V432" i="4"/>
  <c r="AO431" i="4"/>
  <c r="P432" i="4"/>
  <c r="BJ431" i="4"/>
  <c r="AK433" i="4"/>
  <c r="L434" i="4"/>
  <c r="AL432" i="4"/>
  <c r="AR432" i="4" s="1"/>
  <c r="AX432" i="4" s="1"/>
  <c r="BD432" i="4" s="1"/>
  <c r="Z433" i="4"/>
  <c r="AU430" i="4"/>
  <c r="BA430" i="4" s="1"/>
  <c r="BH430" i="4"/>
  <c r="AQ432" i="4"/>
  <c r="AW432" i="4" s="1"/>
  <c r="BK430" i="4"/>
  <c r="AB432" i="4" l="1"/>
  <c r="CD432" i="4"/>
  <c r="BZ432" i="4"/>
  <c r="X432" i="4"/>
  <c r="CC432" i="4"/>
  <c r="AA432" i="4"/>
  <c r="AL433" i="4"/>
  <c r="AR433" i="4" s="1"/>
  <c r="AX433" i="4" s="1"/>
  <c r="BD433" i="4"/>
  <c r="M434" i="4"/>
  <c r="AQ433" i="4"/>
  <c r="AW433" i="4" s="1"/>
  <c r="S434" i="4"/>
  <c r="CG434" i="4"/>
  <c r="BK431" i="4"/>
  <c r="CK432" i="4"/>
  <c r="W432" i="4"/>
  <c r="BI432" i="4"/>
  <c r="BC432" i="4"/>
  <c r="BV430" i="4"/>
  <c r="BY430" i="4" s="1"/>
  <c r="BL430" i="4"/>
  <c r="AU431" i="4"/>
  <c r="BA431" i="4" s="1"/>
  <c r="BH431" i="4"/>
  <c r="BV431" i="4" s="1"/>
  <c r="BY431" i="4" s="1"/>
  <c r="BO430" i="4"/>
  <c r="BG430" i="4"/>
  <c r="BP430" i="4" s="1"/>
  <c r="BQ430" i="4" s="1"/>
  <c r="AM432" i="4" l="1"/>
  <c r="AS432" i="4" s="1"/>
  <c r="AY432" i="4" s="1"/>
  <c r="BE432" i="4" s="1"/>
  <c r="AA433" i="4"/>
  <c r="X433" i="4"/>
  <c r="AJ432" i="4"/>
  <c r="AP432" i="4" s="1"/>
  <c r="AV432" i="4" s="1"/>
  <c r="BB432" i="4" s="1"/>
  <c r="AB433" i="4"/>
  <c r="AN432" i="4"/>
  <c r="AT432" i="4" s="1"/>
  <c r="AZ432" i="4" s="1"/>
  <c r="BF432" i="4" s="1"/>
  <c r="CA434" i="4"/>
  <c r="Y434" i="4"/>
  <c r="BI433" i="4"/>
  <c r="BS432" i="4"/>
  <c r="BC433" i="4"/>
  <c r="T434" i="4"/>
  <c r="CH434" i="4"/>
  <c r="BO431" i="4"/>
  <c r="BG431" i="4"/>
  <c r="BP431" i="4" s="1"/>
  <c r="BQ431" i="4" s="1"/>
  <c r="BL431" i="4"/>
  <c r="BM430" i="4"/>
  <c r="BN430" i="4" s="1"/>
  <c r="CE432" i="4"/>
  <c r="AC432" i="4"/>
  <c r="AN433" i="4" l="1"/>
  <c r="AT433" i="4" s="1"/>
  <c r="AZ433" i="4" s="1"/>
  <c r="BF433" i="4" s="1"/>
  <c r="O434" i="4"/>
  <c r="AJ433" i="4"/>
  <c r="AP433" i="4" s="1"/>
  <c r="AV433" i="4" s="1"/>
  <c r="BB433" i="4" s="1"/>
  <c r="K434" i="4"/>
  <c r="N434" i="4"/>
  <c r="AM433" i="4"/>
  <c r="AS433" i="4" s="1"/>
  <c r="AY433" i="4" s="1"/>
  <c r="BE433" i="4" s="1"/>
  <c r="AO432" i="4"/>
  <c r="AC433" i="4"/>
  <c r="BJ432" i="4"/>
  <c r="BM431" i="4"/>
  <c r="BN431" i="4" s="1"/>
  <c r="BS433" i="4"/>
  <c r="Y435" i="4"/>
  <c r="AK434" i="4"/>
  <c r="CB434" i="4"/>
  <c r="Z434" i="4"/>
  <c r="CI434" i="4" l="1"/>
  <c r="U434" i="4"/>
  <c r="CF434" i="4"/>
  <c r="R434" i="4"/>
  <c r="CJ434" i="4"/>
  <c r="V434" i="4"/>
  <c r="BK432" i="4"/>
  <c r="AL434" i="4"/>
  <c r="AR434" i="4" s="1"/>
  <c r="AX434" i="4" s="1"/>
  <c r="BD434" i="4" s="1"/>
  <c r="Z435" i="4"/>
  <c r="AO433" i="4"/>
  <c r="P434" i="4"/>
  <c r="BJ433" i="4"/>
  <c r="AU432" i="4"/>
  <c r="BA432" i="4" s="1"/>
  <c r="BH432" i="4"/>
  <c r="AQ434" i="4"/>
  <c r="AW434" i="4" s="1"/>
  <c r="AK435" i="4"/>
  <c r="L436" i="4"/>
  <c r="CD434" i="4" l="1"/>
  <c r="AB434" i="4"/>
  <c r="BZ434" i="4"/>
  <c r="X434" i="4"/>
  <c r="AA434" i="4"/>
  <c r="CC434" i="4"/>
  <c r="AL435" i="4"/>
  <c r="AR435" i="4" s="1"/>
  <c r="AX435" i="4" s="1"/>
  <c r="BD435" i="4" s="1"/>
  <c r="M436" i="4"/>
  <c r="BV432" i="4"/>
  <c r="BY432" i="4" s="1"/>
  <c r="BL432" i="4"/>
  <c r="BK433" i="4"/>
  <c r="S436" i="4"/>
  <c r="CG436" i="4"/>
  <c r="AQ435" i="4"/>
  <c r="AW435" i="4" s="1"/>
  <c r="BC434" i="4"/>
  <c r="BO432" i="4"/>
  <c r="BG432" i="4"/>
  <c r="BP432" i="4" s="1"/>
  <c r="BQ432" i="4" s="1"/>
  <c r="W434" i="4"/>
  <c r="CK434" i="4"/>
  <c r="BI434" i="4"/>
  <c r="AU433" i="4"/>
  <c r="BA433" i="4" s="1"/>
  <c r="BH433" i="4"/>
  <c r="BV433" i="4" s="1"/>
  <c r="BY433" i="4" s="1"/>
  <c r="AM434" i="4" l="1"/>
  <c r="AS434" i="4" s="1"/>
  <c r="AY434" i="4" s="1"/>
  <c r="BE434" i="4" s="1"/>
  <c r="AA435" i="4"/>
  <c r="AJ434" i="4"/>
  <c r="AP434" i="4" s="1"/>
  <c r="AV434" i="4" s="1"/>
  <c r="BB434" i="4" s="1"/>
  <c r="X435" i="4"/>
  <c r="AN434" i="4"/>
  <c r="AT434" i="4" s="1"/>
  <c r="AZ434" i="4" s="1"/>
  <c r="BF434" i="4" s="1"/>
  <c r="AB435" i="4"/>
  <c r="BI435" i="4"/>
  <c r="BS434" i="4"/>
  <c r="BL433" i="4"/>
  <c r="BM432" i="4"/>
  <c r="BN432" i="4" s="1"/>
  <c r="CA436" i="4"/>
  <c r="Y436" i="4"/>
  <c r="CE434" i="4"/>
  <c r="AC434" i="4"/>
  <c r="BO433" i="4"/>
  <c r="BG433" i="4"/>
  <c r="BP433" i="4" s="1"/>
  <c r="BQ433" i="4" s="1"/>
  <c r="T436" i="4"/>
  <c r="CH436" i="4"/>
  <c r="BC435" i="4"/>
  <c r="AN435" i="4" l="1"/>
  <c r="AT435" i="4" s="1"/>
  <c r="AZ435" i="4" s="1"/>
  <c r="BF435" i="4" s="1"/>
  <c r="O436" i="4"/>
  <c r="AJ435" i="4"/>
  <c r="AP435" i="4" s="1"/>
  <c r="AV435" i="4" s="1"/>
  <c r="BB435" i="4" s="1"/>
  <c r="K436" i="4"/>
  <c r="AM435" i="4"/>
  <c r="AS435" i="4" s="1"/>
  <c r="AY435" i="4" s="1"/>
  <c r="BE435" i="4" s="1"/>
  <c r="N436" i="4"/>
  <c r="AC435" i="4"/>
  <c r="AO434" i="4"/>
  <c r="BJ434" i="4"/>
  <c r="BM433" i="4"/>
  <c r="BN433" i="4" s="1"/>
  <c r="CB436" i="4"/>
  <c r="Z436" i="4"/>
  <c r="AK436" i="4"/>
  <c r="Y437" i="4"/>
  <c r="BS435" i="4"/>
  <c r="U436" i="4" l="1"/>
  <c r="CI436" i="4"/>
  <c r="R436" i="4"/>
  <c r="CF436" i="4"/>
  <c r="V436" i="4"/>
  <c r="CJ436" i="4"/>
  <c r="AQ436" i="4"/>
  <c r="AW436" i="4" s="1"/>
  <c r="AO435" i="4"/>
  <c r="P436" i="4"/>
  <c r="BJ435" i="4"/>
  <c r="AK437" i="4"/>
  <c r="L438" i="4"/>
  <c r="Z437" i="4"/>
  <c r="AL436" i="4"/>
  <c r="AR436" i="4" s="1"/>
  <c r="AX436" i="4" s="1"/>
  <c r="BD436" i="4" s="1"/>
  <c r="BK434" i="4"/>
  <c r="AU434" i="4"/>
  <c r="BA434" i="4" s="1"/>
  <c r="BH434" i="4"/>
  <c r="AB436" i="4" l="1"/>
  <c r="CD436" i="4"/>
  <c r="BZ436" i="4"/>
  <c r="X436" i="4"/>
  <c r="AA436" i="4"/>
  <c r="CC436" i="4"/>
  <c r="S438" i="4"/>
  <c r="CG438" i="4"/>
  <c r="BK435" i="4"/>
  <c r="BO434" i="4"/>
  <c r="BG434" i="4"/>
  <c r="BP434" i="4" s="1"/>
  <c r="BQ434" i="4" s="1"/>
  <c r="BV434" i="4"/>
  <c r="BY434" i="4" s="1"/>
  <c r="BL434" i="4"/>
  <c r="AQ437" i="4"/>
  <c r="AW437" i="4" s="1"/>
  <c r="W436" i="4"/>
  <c r="CK436" i="4"/>
  <c r="BI436" i="4"/>
  <c r="AU435" i="4"/>
  <c r="BA435" i="4" s="1"/>
  <c r="BH435" i="4"/>
  <c r="BV435" i="4" s="1"/>
  <c r="BY435" i="4" s="1"/>
  <c r="AL437" i="4"/>
  <c r="AR437" i="4" s="1"/>
  <c r="AX437" i="4" s="1"/>
  <c r="BD437" i="4" s="1"/>
  <c r="M438" i="4"/>
  <c r="BC436" i="4"/>
  <c r="AM436" i="4" l="1"/>
  <c r="AS436" i="4" s="1"/>
  <c r="AY436" i="4" s="1"/>
  <c r="BE436" i="4" s="1"/>
  <c r="AA437" i="4"/>
  <c r="AJ436" i="4"/>
  <c r="AP436" i="4" s="1"/>
  <c r="AV436" i="4" s="1"/>
  <c r="BB436" i="4" s="1"/>
  <c r="X437" i="4"/>
  <c r="AB437" i="4"/>
  <c r="AN436" i="4"/>
  <c r="AT436" i="4" s="1"/>
  <c r="AZ436" i="4" s="1"/>
  <c r="BF436" i="4" s="1"/>
  <c r="BO435" i="4"/>
  <c r="BG435" i="4"/>
  <c r="BP435" i="4" s="1"/>
  <c r="BQ435" i="4" s="1"/>
  <c r="BC437" i="4"/>
  <c r="BL435" i="4"/>
  <c r="BM434" i="4"/>
  <c r="BN434" i="4" s="1"/>
  <c r="BS436" i="4"/>
  <c r="BI437" i="4"/>
  <c r="CE436" i="4"/>
  <c r="AC436" i="4"/>
  <c r="T438" i="4"/>
  <c r="CH438" i="4"/>
  <c r="CA438" i="4"/>
  <c r="Y438" i="4"/>
  <c r="AJ437" i="4" l="1"/>
  <c r="AP437" i="4" s="1"/>
  <c r="AV437" i="4" s="1"/>
  <c r="K438" i="4"/>
  <c r="BB437" i="4"/>
  <c r="AN437" i="4"/>
  <c r="AT437" i="4" s="1"/>
  <c r="AZ437" i="4" s="1"/>
  <c r="BF437" i="4" s="1"/>
  <c r="O438" i="4"/>
  <c r="AM437" i="4"/>
  <c r="AS437" i="4" s="1"/>
  <c r="AY437" i="4" s="1"/>
  <c r="BE437" i="4" s="1"/>
  <c r="N438" i="4"/>
  <c r="CB438" i="4"/>
  <c r="Z438" i="4"/>
  <c r="BM435" i="4"/>
  <c r="BN435" i="4" s="1"/>
  <c r="Y439" i="4"/>
  <c r="AK438" i="4"/>
  <c r="AO436" i="4"/>
  <c r="AC437" i="4"/>
  <c r="BJ436" i="4"/>
  <c r="BS437" i="4"/>
  <c r="CJ438" i="4" l="1"/>
  <c r="V438" i="4"/>
  <c r="U438" i="4"/>
  <c r="CI438" i="4"/>
  <c r="CF438" i="4"/>
  <c r="R438" i="4"/>
  <c r="AO437" i="4"/>
  <c r="P438" i="4"/>
  <c r="BJ437" i="4"/>
  <c r="AU436" i="4"/>
  <c r="BA436" i="4" s="1"/>
  <c r="BH436" i="4"/>
  <c r="AK439" i="4"/>
  <c r="L440" i="4"/>
  <c r="AQ438" i="4"/>
  <c r="AW438" i="4" s="1"/>
  <c r="BK436" i="4"/>
  <c r="Z439" i="4"/>
  <c r="AL438" i="4"/>
  <c r="AR438" i="4" s="1"/>
  <c r="AX438" i="4" s="1"/>
  <c r="BD438" i="4" s="1"/>
  <c r="BZ438" i="4" l="1"/>
  <c r="X438" i="4"/>
  <c r="AA438" i="4"/>
  <c r="CC438" i="4"/>
  <c r="AB438" i="4"/>
  <c r="CD438" i="4"/>
  <c r="S440" i="4"/>
  <c r="CG440" i="4"/>
  <c r="AQ439" i="4"/>
  <c r="AW439" i="4" s="1"/>
  <c r="BC438" i="4"/>
  <c r="AL439" i="4"/>
  <c r="AR439" i="4" s="1"/>
  <c r="AX439" i="4" s="1"/>
  <c r="BD439" i="4" s="1"/>
  <c r="M440" i="4"/>
  <c r="BK437" i="4"/>
  <c r="AU437" i="4"/>
  <c r="BA437" i="4" s="1"/>
  <c r="BH437" i="4"/>
  <c r="BV437" i="4" s="1"/>
  <c r="BY437" i="4" s="1"/>
  <c r="BV436" i="4"/>
  <c r="BY436" i="4" s="1"/>
  <c r="BL436" i="4"/>
  <c r="BO436" i="4"/>
  <c r="BG436" i="4"/>
  <c r="BP436" i="4" s="1"/>
  <c r="BQ436" i="4" s="1"/>
  <c r="W438" i="4"/>
  <c r="CK438" i="4"/>
  <c r="BI438" i="4"/>
  <c r="AB439" i="4" l="1"/>
  <c r="AN438" i="4"/>
  <c r="AT438" i="4" s="1"/>
  <c r="AZ438" i="4" s="1"/>
  <c r="BF438" i="4"/>
  <c r="AA439" i="4"/>
  <c r="AM438" i="4"/>
  <c r="AS438" i="4" s="1"/>
  <c r="AY438" i="4" s="1"/>
  <c r="BE438" i="4" s="1"/>
  <c r="X439" i="4"/>
  <c r="AJ438" i="4"/>
  <c r="AP438" i="4" s="1"/>
  <c r="AV438" i="4" s="1"/>
  <c r="BB438" i="4" s="1"/>
  <c r="BO437" i="4"/>
  <c r="BG437" i="4"/>
  <c r="BP437" i="4" s="1"/>
  <c r="BQ437" i="4" s="1"/>
  <c r="CE438" i="4"/>
  <c r="AC438" i="4"/>
  <c r="BL437" i="4"/>
  <c r="BM436" i="4"/>
  <c r="BN436" i="4" s="1"/>
  <c r="BI439" i="4"/>
  <c r="BS438" i="4"/>
  <c r="T440" i="4"/>
  <c r="CH440" i="4"/>
  <c r="BC439" i="4"/>
  <c r="CA440" i="4"/>
  <c r="Y440" i="4"/>
  <c r="K440" i="4" l="1"/>
  <c r="AJ439" i="4"/>
  <c r="AP439" i="4" s="1"/>
  <c r="AV439" i="4" s="1"/>
  <c r="BB439" i="4"/>
  <c r="AM439" i="4"/>
  <c r="AS439" i="4" s="1"/>
  <c r="AY439" i="4" s="1"/>
  <c r="BE439" i="4" s="1"/>
  <c r="N440" i="4"/>
  <c r="AN439" i="4"/>
  <c r="AT439" i="4" s="1"/>
  <c r="AZ439" i="4" s="1"/>
  <c r="BF439" i="4" s="1"/>
  <c r="O440" i="4"/>
  <c r="BS439" i="4"/>
  <c r="AK440" i="4"/>
  <c r="Y441" i="4"/>
  <c r="BM437" i="4"/>
  <c r="BN437" i="4" s="1"/>
  <c r="AC439" i="4"/>
  <c r="AO438" i="4"/>
  <c r="BJ438" i="4"/>
  <c r="CB440" i="4"/>
  <c r="Z440" i="4"/>
  <c r="U440" i="4" l="1"/>
  <c r="CI440" i="4"/>
  <c r="V440" i="4"/>
  <c r="CJ440" i="4"/>
  <c r="CF440" i="4"/>
  <c r="R440" i="4"/>
  <c r="AQ440" i="4"/>
  <c r="AW440" i="4" s="1"/>
  <c r="AU438" i="4"/>
  <c r="BA438" i="4" s="1"/>
  <c r="BH438" i="4"/>
  <c r="AL440" i="4"/>
  <c r="AR440" i="4" s="1"/>
  <c r="AX440" i="4" s="1"/>
  <c r="BD440" i="4" s="1"/>
  <c r="Z441" i="4"/>
  <c r="BK438" i="4"/>
  <c r="AO439" i="4"/>
  <c r="P440" i="4"/>
  <c r="BJ439" i="4"/>
  <c r="AK441" i="4"/>
  <c r="L442" i="4"/>
  <c r="BZ440" i="4" l="1"/>
  <c r="X440" i="4"/>
  <c r="AB440" i="4"/>
  <c r="CD440" i="4"/>
  <c r="CC440" i="4"/>
  <c r="AA440" i="4"/>
  <c r="AL441" i="4"/>
  <c r="AR441" i="4" s="1"/>
  <c r="AX441" i="4" s="1"/>
  <c r="BD441" i="4" s="1"/>
  <c r="M442" i="4"/>
  <c r="BV438" i="4"/>
  <c r="BY438" i="4" s="1"/>
  <c r="BL438" i="4"/>
  <c r="W440" i="4"/>
  <c r="CK440" i="4"/>
  <c r="BI440" i="4"/>
  <c r="AU439" i="4"/>
  <c r="BA439" i="4" s="1"/>
  <c r="BH439" i="4"/>
  <c r="BV439" i="4" s="1"/>
  <c r="BY439" i="4" s="1"/>
  <c r="AQ441" i="4"/>
  <c r="AW441" i="4" s="1"/>
  <c r="BO438" i="4"/>
  <c r="BG438" i="4"/>
  <c r="BP438" i="4" s="1"/>
  <c r="BQ438" i="4" s="1"/>
  <c r="S442" i="4"/>
  <c r="CG442" i="4"/>
  <c r="BK439" i="4"/>
  <c r="BC440" i="4"/>
  <c r="AM440" i="4" l="1"/>
  <c r="AS440" i="4" s="1"/>
  <c r="AY440" i="4" s="1"/>
  <c r="BE440" i="4" s="1"/>
  <c r="AA441" i="4"/>
  <c r="AB441" i="4"/>
  <c r="AN440" i="4"/>
  <c r="AT440" i="4" s="1"/>
  <c r="AZ440" i="4" s="1"/>
  <c r="BF440" i="4" s="1"/>
  <c r="AJ440" i="4"/>
  <c r="AP440" i="4" s="1"/>
  <c r="AV440" i="4" s="1"/>
  <c r="BB440" i="4" s="1"/>
  <c r="X441" i="4"/>
  <c r="BI441" i="4"/>
  <c r="BS440" i="4"/>
  <c r="CA442" i="4"/>
  <c r="Y442" i="4"/>
  <c r="T442" i="4"/>
  <c r="CH442" i="4"/>
  <c r="BC441" i="4"/>
  <c r="BO439" i="4"/>
  <c r="BG439" i="4"/>
  <c r="BP439" i="4" s="1"/>
  <c r="BQ439" i="4" s="1"/>
  <c r="CE440" i="4"/>
  <c r="AC440" i="4"/>
  <c r="BL439" i="4"/>
  <c r="BM438" i="4"/>
  <c r="BN438" i="4" s="1"/>
  <c r="AJ441" i="4" l="1"/>
  <c r="AP441" i="4" s="1"/>
  <c r="AV441" i="4" s="1"/>
  <c r="BB441" i="4" s="1"/>
  <c r="K442" i="4"/>
  <c r="O442" i="4"/>
  <c r="AN441" i="4"/>
  <c r="AT441" i="4" s="1"/>
  <c r="AZ441" i="4" s="1"/>
  <c r="BF441" i="4" s="1"/>
  <c r="AM441" i="4"/>
  <c r="AS441" i="4" s="1"/>
  <c r="AY441" i="4" s="1"/>
  <c r="BE441" i="4" s="1"/>
  <c r="N442" i="4"/>
  <c r="BM439" i="4"/>
  <c r="BN439" i="4" s="1"/>
  <c r="AK442" i="4"/>
  <c r="Y443" i="4"/>
  <c r="CB442" i="4"/>
  <c r="Z442" i="4"/>
  <c r="AO440" i="4"/>
  <c r="AC441" i="4"/>
  <c r="BJ440" i="4"/>
  <c r="BS441" i="4"/>
  <c r="U442" i="4" l="1"/>
  <c r="CI442" i="4"/>
  <c r="R442" i="4"/>
  <c r="CF442" i="4"/>
  <c r="CJ442" i="4"/>
  <c r="V442" i="4"/>
  <c r="BK440" i="4"/>
  <c r="AU440" i="4"/>
  <c r="BA440" i="4" s="1"/>
  <c r="BH440" i="4"/>
  <c r="AL442" i="4"/>
  <c r="AR442" i="4" s="1"/>
  <c r="AX442" i="4" s="1"/>
  <c r="BD442" i="4" s="1"/>
  <c r="Z443" i="4"/>
  <c r="AK443" i="4"/>
  <c r="L444" i="4"/>
  <c r="AQ442" i="4"/>
  <c r="AW442" i="4" s="1"/>
  <c r="AO441" i="4"/>
  <c r="P442" i="4"/>
  <c r="BJ441" i="4"/>
  <c r="AB442" i="4" l="1"/>
  <c r="CD442" i="4"/>
  <c r="BZ442" i="4"/>
  <c r="X442" i="4"/>
  <c r="AA442" i="4"/>
  <c r="CC442" i="4"/>
  <c r="BK441" i="4"/>
  <c r="AU441" i="4"/>
  <c r="BA441" i="4" s="1"/>
  <c r="BH441" i="4"/>
  <c r="BV441" i="4" s="1"/>
  <c r="BY441" i="4" s="1"/>
  <c r="BV440" i="4"/>
  <c r="BY440" i="4" s="1"/>
  <c r="BL440" i="4"/>
  <c r="BO440" i="4"/>
  <c r="BG440" i="4"/>
  <c r="BP440" i="4" s="1"/>
  <c r="BQ440" i="4" s="1"/>
  <c r="W442" i="4"/>
  <c r="CK442" i="4"/>
  <c r="BI442" i="4"/>
  <c r="AL443" i="4"/>
  <c r="AR443" i="4" s="1"/>
  <c r="AX443" i="4" s="1"/>
  <c r="BD443" i="4" s="1"/>
  <c r="M444" i="4"/>
  <c r="BC442" i="4"/>
  <c r="S444" i="4"/>
  <c r="CG444" i="4"/>
  <c r="AQ443" i="4"/>
  <c r="AW443" i="4" s="1"/>
  <c r="AA443" i="4" l="1"/>
  <c r="AM442" i="4"/>
  <c r="AS442" i="4" s="1"/>
  <c r="AY442" i="4" s="1"/>
  <c r="BE442" i="4" s="1"/>
  <c r="X443" i="4"/>
  <c r="AJ442" i="4"/>
  <c r="AP442" i="4" s="1"/>
  <c r="AV442" i="4" s="1"/>
  <c r="BB442" i="4"/>
  <c r="AN442" i="4"/>
  <c r="AT442" i="4" s="1"/>
  <c r="AZ442" i="4" s="1"/>
  <c r="BF442" i="4" s="1"/>
  <c r="AB443" i="4"/>
  <c r="T444" i="4"/>
  <c r="CH444" i="4"/>
  <c r="BI443" i="4"/>
  <c r="BS442" i="4"/>
  <c r="BC443" i="4"/>
  <c r="BO441" i="4"/>
  <c r="BG441" i="4"/>
  <c r="BP441" i="4" s="1"/>
  <c r="BQ441" i="4" s="1"/>
  <c r="CA444" i="4"/>
  <c r="Y444" i="4"/>
  <c r="CE442" i="4"/>
  <c r="AC442" i="4"/>
  <c r="BL441" i="4"/>
  <c r="BM440" i="4"/>
  <c r="BN440" i="4" s="1"/>
  <c r="AN443" i="4" l="1"/>
  <c r="AT443" i="4" s="1"/>
  <c r="AZ443" i="4" s="1"/>
  <c r="BF443" i="4" s="1"/>
  <c r="O444" i="4"/>
  <c r="AJ443" i="4"/>
  <c r="AP443" i="4" s="1"/>
  <c r="AV443" i="4" s="1"/>
  <c r="BB443" i="4" s="1"/>
  <c r="K444" i="4"/>
  <c r="AM443" i="4"/>
  <c r="AS443" i="4" s="1"/>
  <c r="AY443" i="4" s="1"/>
  <c r="BE443" i="4" s="1"/>
  <c r="N444" i="4"/>
  <c r="BS443" i="4"/>
  <c r="BM441" i="4"/>
  <c r="BN441" i="4" s="1"/>
  <c r="AC443" i="4"/>
  <c r="AO442" i="4"/>
  <c r="BJ442" i="4"/>
  <c r="CB444" i="4"/>
  <c r="Z444" i="4"/>
  <c r="Y445" i="4"/>
  <c r="AK444" i="4"/>
  <c r="CI444" i="4" l="1"/>
  <c r="U444" i="4"/>
  <c r="R444" i="4"/>
  <c r="CF444" i="4"/>
  <c r="CJ444" i="4"/>
  <c r="V444" i="4"/>
  <c r="BK442" i="4"/>
  <c r="Z445" i="4"/>
  <c r="AL444" i="4"/>
  <c r="AR444" i="4" s="1"/>
  <c r="AX444" i="4" s="1"/>
  <c r="BD444" i="4" s="1"/>
  <c r="AU442" i="4"/>
  <c r="BA442" i="4" s="1"/>
  <c r="BH442" i="4"/>
  <c r="AO443" i="4"/>
  <c r="P444" i="4"/>
  <c r="BJ443" i="4"/>
  <c r="AQ444" i="4"/>
  <c r="AW444" i="4" s="1"/>
  <c r="AK445" i="4"/>
  <c r="L446" i="4"/>
  <c r="CD444" i="4" l="1"/>
  <c r="AB444" i="4"/>
  <c r="BZ444" i="4"/>
  <c r="X444" i="4"/>
  <c r="CC444" i="4"/>
  <c r="AA444" i="4"/>
  <c r="BO442" i="4"/>
  <c r="BG442" i="4"/>
  <c r="BP442" i="4" s="1"/>
  <c r="BQ442" i="4" s="1"/>
  <c r="BC444" i="4"/>
  <c r="S446" i="4"/>
  <c r="CG446" i="4"/>
  <c r="AQ445" i="4"/>
  <c r="AW445" i="4" s="1"/>
  <c r="W444" i="4"/>
  <c r="CK444" i="4"/>
  <c r="BI444" i="4"/>
  <c r="BV442" i="4"/>
  <c r="BY442" i="4" s="1"/>
  <c r="BL442" i="4"/>
  <c r="AL445" i="4"/>
  <c r="AR445" i="4" s="1"/>
  <c r="AX445" i="4" s="1"/>
  <c r="BD445" i="4" s="1"/>
  <c r="M446" i="4"/>
  <c r="BK443" i="4"/>
  <c r="AU443" i="4"/>
  <c r="BA443" i="4" s="1"/>
  <c r="BH443" i="4"/>
  <c r="BV443" i="4" s="1"/>
  <c r="BY443" i="4" s="1"/>
  <c r="AM444" i="4" l="1"/>
  <c r="AS444" i="4" s="1"/>
  <c r="AY444" i="4" s="1"/>
  <c r="BE444" i="4" s="1"/>
  <c r="AA445" i="4"/>
  <c r="X445" i="4"/>
  <c r="AJ444" i="4"/>
  <c r="AP444" i="4" s="1"/>
  <c r="AV444" i="4" s="1"/>
  <c r="BB444" i="4" s="1"/>
  <c r="AB445" i="4"/>
  <c r="AN444" i="4"/>
  <c r="AT444" i="4" s="1"/>
  <c r="AZ444" i="4" s="1"/>
  <c r="BF444" i="4" s="1"/>
  <c r="CA446" i="4"/>
  <c r="Y446" i="4"/>
  <c r="BC445" i="4"/>
  <c r="T446" i="4"/>
  <c r="CH446" i="4"/>
  <c r="BO443" i="4"/>
  <c r="BG443" i="4"/>
  <c r="BP443" i="4" s="1"/>
  <c r="BQ443" i="4" s="1"/>
  <c r="BI445" i="4"/>
  <c r="BS444" i="4"/>
  <c r="BL443" i="4"/>
  <c r="BM442" i="4"/>
  <c r="BN442" i="4" s="1"/>
  <c r="CE444" i="4"/>
  <c r="AC444" i="4"/>
  <c r="O446" i="4" l="1"/>
  <c r="AN445" i="4"/>
  <c r="AT445" i="4" s="1"/>
  <c r="AZ445" i="4" s="1"/>
  <c r="BF445" i="4" s="1"/>
  <c r="AJ445" i="4"/>
  <c r="AP445" i="4" s="1"/>
  <c r="AV445" i="4" s="1"/>
  <c r="BB445" i="4" s="1"/>
  <c r="K446" i="4"/>
  <c r="N446" i="4"/>
  <c r="AM445" i="4"/>
  <c r="AS445" i="4" s="1"/>
  <c r="AY445" i="4" s="1"/>
  <c r="BE445" i="4" s="1"/>
  <c r="AC445" i="4"/>
  <c r="AO444" i="4"/>
  <c r="BJ444" i="4"/>
  <c r="AK446" i="4"/>
  <c r="Y447" i="4"/>
  <c r="BS445" i="4"/>
  <c r="CB446" i="4"/>
  <c r="Z446" i="4"/>
  <c r="BM443" i="4"/>
  <c r="BN443" i="4" s="1"/>
  <c r="R446" i="4" l="1"/>
  <c r="CF446" i="4"/>
  <c r="U446" i="4"/>
  <c r="CI446" i="4"/>
  <c r="V446" i="4"/>
  <c r="CJ446" i="4"/>
  <c r="AK447" i="4"/>
  <c r="L448" i="4"/>
  <c r="AQ446" i="4"/>
  <c r="AW446" i="4" s="1"/>
  <c r="AL446" i="4"/>
  <c r="AR446" i="4" s="1"/>
  <c r="AX446" i="4" s="1"/>
  <c r="BD446" i="4" s="1"/>
  <c r="Z447" i="4"/>
  <c r="BK444" i="4"/>
  <c r="AU444" i="4"/>
  <c r="BA444" i="4" s="1"/>
  <c r="BH444" i="4"/>
  <c r="AO445" i="4"/>
  <c r="P446" i="4"/>
  <c r="BJ445" i="4"/>
  <c r="AB446" i="4" l="1"/>
  <c r="CD446" i="4"/>
  <c r="CC446" i="4"/>
  <c r="AA446" i="4"/>
  <c r="BZ446" i="4"/>
  <c r="X446" i="4"/>
  <c r="BK445" i="4"/>
  <c r="BC446" i="4"/>
  <c r="AU445" i="4"/>
  <c r="BA445" i="4" s="1"/>
  <c r="BH445" i="4"/>
  <c r="BV445" i="4" s="1"/>
  <c r="BY445" i="4" s="1"/>
  <c r="W446" i="4"/>
  <c r="CK446" i="4"/>
  <c r="BI446" i="4"/>
  <c r="S448" i="4"/>
  <c r="CG448" i="4"/>
  <c r="AQ447" i="4"/>
  <c r="AW447" i="4" s="1"/>
  <c r="BV444" i="4"/>
  <c r="BY444" i="4" s="1"/>
  <c r="BL444" i="4"/>
  <c r="BO444" i="4"/>
  <c r="BG444" i="4"/>
  <c r="BP444" i="4" s="1"/>
  <c r="BQ444" i="4" s="1"/>
  <c r="AL447" i="4"/>
  <c r="AR447" i="4" s="1"/>
  <c r="AX447" i="4" s="1"/>
  <c r="BD447" i="4" s="1"/>
  <c r="M448" i="4"/>
  <c r="X447" i="4" l="1"/>
  <c r="AJ446" i="4"/>
  <c r="AP446" i="4" s="1"/>
  <c r="AV446" i="4" s="1"/>
  <c r="BB446" i="4" s="1"/>
  <c r="AA447" i="4"/>
  <c r="AM446" i="4"/>
  <c r="AS446" i="4" s="1"/>
  <c r="AY446" i="4" s="1"/>
  <c r="BE446" i="4" s="1"/>
  <c r="AN446" i="4"/>
  <c r="AT446" i="4" s="1"/>
  <c r="AZ446" i="4" s="1"/>
  <c r="BF446" i="4" s="1"/>
  <c r="AB447" i="4"/>
  <c r="BC447" i="4"/>
  <c r="T448" i="4"/>
  <c r="CH448" i="4"/>
  <c r="BS446" i="4"/>
  <c r="BI447" i="4"/>
  <c r="BL445" i="4"/>
  <c r="BM444" i="4"/>
  <c r="BN444" i="4" s="1"/>
  <c r="CE446" i="4"/>
  <c r="AC446" i="4"/>
  <c r="BO445" i="4"/>
  <c r="BG445" i="4"/>
  <c r="BP445" i="4" s="1"/>
  <c r="BQ445" i="4" s="1"/>
  <c r="CA448" i="4"/>
  <c r="Y448" i="4"/>
  <c r="AN447" i="4" l="1"/>
  <c r="AT447" i="4" s="1"/>
  <c r="AZ447" i="4" s="1"/>
  <c r="BF447" i="4" s="1"/>
  <c r="O448" i="4"/>
  <c r="AM447" i="4"/>
  <c r="AS447" i="4" s="1"/>
  <c r="AY447" i="4" s="1"/>
  <c r="BE447" i="4" s="1"/>
  <c r="N448" i="4"/>
  <c r="K448" i="4"/>
  <c r="AJ447" i="4"/>
  <c r="AP447" i="4" s="1"/>
  <c r="AV447" i="4" s="1"/>
  <c r="BB447" i="4" s="1"/>
  <c r="BM445" i="4"/>
  <c r="BN445" i="4" s="1"/>
  <c r="AC447" i="4"/>
  <c r="AO446" i="4"/>
  <c r="BJ446" i="4"/>
  <c r="AK448" i="4"/>
  <c r="Y449" i="4"/>
  <c r="BS447" i="4"/>
  <c r="CB448" i="4"/>
  <c r="Z448" i="4"/>
  <c r="CI448" i="4" l="1"/>
  <c r="U448" i="4"/>
  <c r="CF448" i="4"/>
  <c r="R448" i="4"/>
  <c r="V448" i="4"/>
  <c r="CJ448" i="4"/>
  <c r="AK449" i="4"/>
  <c r="L450" i="4"/>
  <c r="AO447" i="4"/>
  <c r="P448" i="4"/>
  <c r="BJ447" i="4"/>
  <c r="AQ448" i="4"/>
  <c r="AW448" i="4" s="1"/>
  <c r="Z449" i="4"/>
  <c r="AL448" i="4"/>
  <c r="AR448" i="4" s="1"/>
  <c r="AX448" i="4" s="1"/>
  <c r="BD448" i="4" s="1"/>
  <c r="BK446" i="4"/>
  <c r="AU446" i="4"/>
  <c r="BA446" i="4" s="1"/>
  <c r="BH446" i="4"/>
  <c r="AB448" i="4" l="1"/>
  <c r="CD448" i="4"/>
  <c r="BZ448" i="4"/>
  <c r="X448" i="4"/>
  <c r="AA448" i="4"/>
  <c r="CC448" i="4"/>
  <c r="BV446" i="4"/>
  <c r="BY446" i="4" s="1"/>
  <c r="BL446" i="4"/>
  <c r="BO446" i="4"/>
  <c r="BG446" i="4"/>
  <c r="BP446" i="4" s="1"/>
  <c r="BQ446" i="4" s="1"/>
  <c r="AL449" i="4"/>
  <c r="AR449" i="4" s="1"/>
  <c r="AX449" i="4" s="1"/>
  <c r="BD449" i="4" s="1"/>
  <c r="M450" i="4"/>
  <c r="S450" i="4"/>
  <c r="CG450" i="4"/>
  <c r="BK447" i="4"/>
  <c r="W448" i="4"/>
  <c r="CK448" i="4"/>
  <c r="BI448" i="4"/>
  <c r="AU447" i="4"/>
  <c r="BA447" i="4" s="1"/>
  <c r="BH447" i="4"/>
  <c r="BV447" i="4" s="1"/>
  <c r="BY447" i="4" s="1"/>
  <c r="AQ449" i="4"/>
  <c r="AW449" i="4" s="1"/>
  <c r="BC448" i="4"/>
  <c r="AM448" i="4" l="1"/>
  <c r="AS448" i="4" s="1"/>
  <c r="AY448" i="4" s="1"/>
  <c r="AA449" i="4"/>
  <c r="BE448" i="4"/>
  <c r="AJ448" i="4"/>
  <c r="AP448" i="4" s="1"/>
  <c r="AV448" i="4" s="1"/>
  <c r="X449" i="4"/>
  <c r="BB448" i="4"/>
  <c r="AB449" i="4"/>
  <c r="AN448" i="4"/>
  <c r="AT448" i="4" s="1"/>
  <c r="AZ448" i="4" s="1"/>
  <c r="BF448" i="4" s="1"/>
  <c r="T450" i="4"/>
  <c r="CH450" i="4"/>
  <c r="BL447" i="4"/>
  <c r="BM446" i="4"/>
  <c r="BN446" i="4" s="1"/>
  <c r="CA450" i="4"/>
  <c r="Y450" i="4"/>
  <c r="BO447" i="4"/>
  <c r="BG447" i="4"/>
  <c r="BP447" i="4" s="1"/>
  <c r="BQ447" i="4" s="1"/>
  <c r="BC449" i="4"/>
  <c r="CE448" i="4"/>
  <c r="AC448" i="4"/>
  <c r="BI449" i="4"/>
  <c r="BS448" i="4"/>
  <c r="AN449" i="4" l="1"/>
  <c r="AT449" i="4" s="1"/>
  <c r="AZ449" i="4" s="1"/>
  <c r="BF449" i="4"/>
  <c r="O450" i="4"/>
  <c r="AJ449" i="4"/>
  <c r="AP449" i="4" s="1"/>
  <c r="AV449" i="4" s="1"/>
  <c r="K450" i="4"/>
  <c r="BB449" i="4"/>
  <c r="AM449" i="4"/>
  <c r="AS449" i="4" s="1"/>
  <c r="AY449" i="4" s="1"/>
  <c r="BE449" i="4" s="1"/>
  <c r="N450" i="4"/>
  <c r="AC449" i="4"/>
  <c r="AO448" i="4"/>
  <c r="BJ448" i="4"/>
  <c r="Y451" i="4"/>
  <c r="AK450" i="4"/>
  <c r="BS449" i="4"/>
  <c r="BM447" i="4"/>
  <c r="BN447" i="4" s="1"/>
  <c r="CB450" i="4"/>
  <c r="Z450" i="4"/>
  <c r="R450" i="4" l="1"/>
  <c r="CF450" i="4"/>
  <c r="U450" i="4"/>
  <c r="CI450" i="4"/>
  <c r="CJ450" i="4"/>
  <c r="V450" i="4"/>
  <c r="AQ450" i="4"/>
  <c r="AW450" i="4" s="1"/>
  <c r="AK451" i="4"/>
  <c r="L452" i="4"/>
  <c r="AU448" i="4"/>
  <c r="BA448" i="4" s="1"/>
  <c r="BH448" i="4"/>
  <c r="AO449" i="4"/>
  <c r="P450" i="4"/>
  <c r="BJ449" i="4"/>
  <c r="BK448" i="4"/>
  <c r="AL450" i="4"/>
  <c r="AR450" i="4" s="1"/>
  <c r="AX450" i="4" s="1"/>
  <c r="BD450" i="4" s="1"/>
  <c r="Z451" i="4"/>
  <c r="CD450" i="4" l="1"/>
  <c r="AB450" i="4"/>
  <c r="AA450" i="4"/>
  <c r="CC450" i="4"/>
  <c r="BZ450" i="4"/>
  <c r="X450" i="4"/>
  <c r="AL451" i="4"/>
  <c r="AR451" i="4" s="1"/>
  <c r="AX451" i="4" s="1"/>
  <c r="BD451" i="4" s="1"/>
  <c r="M452" i="4"/>
  <c r="BV448" i="4"/>
  <c r="BY448" i="4" s="1"/>
  <c r="BL448" i="4"/>
  <c r="W450" i="4"/>
  <c r="CK450" i="4"/>
  <c r="BI450" i="4"/>
  <c r="AU449" i="4"/>
  <c r="BA449" i="4" s="1"/>
  <c r="BH449" i="4"/>
  <c r="BV449" i="4" s="1"/>
  <c r="BY449" i="4" s="1"/>
  <c r="BO448" i="4"/>
  <c r="BG448" i="4"/>
  <c r="BP448" i="4" s="1"/>
  <c r="BQ448" i="4" s="1"/>
  <c r="AQ451" i="4"/>
  <c r="AW451" i="4" s="1"/>
  <c r="BC450" i="4"/>
  <c r="BK449" i="4"/>
  <c r="S452" i="4"/>
  <c r="CG452" i="4"/>
  <c r="AA451" i="4" l="1"/>
  <c r="AM450" i="4"/>
  <c r="AS450" i="4" s="1"/>
  <c r="AY450" i="4" s="1"/>
  <c r="BE450" i="4" s="1"/>
  <c r="X451" i="4"/>
  <c r="AJ450" i="4"/>
  <c r="AP450" i="4" s="1"/>
  <c r="AV450" i="4" s="1"/>
  <c r="BB450" i="4" s="1"/>
  <c r="AB451" i="4"/>
  <c r="AN450" i="4"/>
  <c r="AT450" i="4" s="1"/>
  <c r="AZ450" i="4" s="1"/>
  <c r="BF450" i="4" s="1"/>
  <c r="CA452" i="4"/>
  <c r="Y452" i="4"/>
  <c r="CE450" i="4"/>
  <c r="AC450" i="4"/>
  <c r="BL449" i="4"/>
  <c r="BM448" i="4"/>
  <c r="BN448" i="4" s="1"/>
  <c r="BO449" i="4"/>
  <c r="BG449" i="4"/>
  <c r="BP449" i="4" s="1"/>
  <c r="BQ449" i="4" s="1"/>
  <c r="BI451" i="4"/>
  <c r="BS450" i="4"/>
  <c r="BC451" i="4"/>
  <c r="T452" i="4"/>
  <c r="CH452" i="4"/>
  <c r="O452" i="4" l="1"/>
  <c r="AN451" i="4"/>
  <c r="AT451" i="4" s="1"/>
  <c r="AZ451" i="4" s="1"/>
  <c r="BF451" i="4" s="1"/>
  <c r="K452" i="4"/>
  <c r="AJ451" i="4"/>
  <c r="AP451" i="4" s="1"/>
  <c r="AV451" i="4" s="1"/>
  <c r="BB451" i="4" s="1"/>
  <c r="AM451" i="4"/>
  <c r="AS451" i="4" s="1"/>
  <c r="AY451" i="4" s="1"/>
  <c r="BE451" i="4" s="1"/>
  <c r="N452" i="4"/>
  <c r="BS451" i="4"/>
  <c r="AK452" i="4"/>
  <c r="Y453" i="4"/>
  <c r="CB452" i="4"/>
  <c r="Z452" i="4"/>
  <c r="BM449" i="4"/>
  <c r="BN449" i="4" s="1"/>
  <c r="AO450" i="4"/>
  <c r="AC451" i="4"/>
  <c r="BJ450" i="4"/>
  <c r="U452" i="4" l="1"/>
  <c r="CI452" i="4"/>
  <c r="CF452" i="4"/>
  <c r="R452" i="4"/>
  <c r="V452" i="4"/>
  <c r="CJ452" i="4"/>
  <c r="AQ452" i="4"/>
  <c r="AW452" i="4" s="1"/>
  <c r="AO451" i="4"/>
  <c r="P452" i="4"/>
  <c r="BJ451" i="4"/>
  <c r="AU450" i="4"/>
  <c r="BA450" i="4" s="1"/>
  <c r="BH450" i="4"/>
  <c r="AK453" i="4"/>
  <c r="L454" i="4"/>
  <c r="BK450" i="4"/>
  <c r="Z453" i="4"/>
  <c r="AL452" i="4"/>
  <c r="AR452" i="4" s="1"/>
  <c r="AX452" i="4" s="1"/>
  <c r="BD452" i="4" s="1"/>
  <c r="AB452" i="4" l="1"/>
  <c r="CD452" i="4"/>
  <c r="BZ452" i="4"/>
  <c r="X452" i="4"/>
  <c r="CC452" i="4"/>
  <c r="AA452" i="4"/>
  <c r="BO450" i="4"/>
  <c r="BG450" i="4"/>
  <c r="BP450" i="4" s="1"/>
  <c r="BQ450" i="4" s="1"/>
  <c r="BK451" i="4"/>
  <c r="AU451" i="4"/>
  <c r="BA451" i="4" s="1"/>
  <c r="BH451" i="4"/>
  <c r="BV451" i="4" s="1"/>
  <c r="BY451" i="4" s="1"/>
  <c r="BV450" i="4"/>
  <c r="BY450" i="4" s="1"/>
  <c r="BL450" i="4"/>
  <c r="AL453" i="4"/>
  <c r="AR453" i="4" s="1"/>
  <c r="AX453" i="4" s="1"/>
  <c r="BD453" i="4" s="1"/>
  <c r="M454" i="4"/>
  <c r="CK452" i="4"/>
  <c r="W452" i="4"/>
  <c r="BI452" i="4"/>
  <c r="S454" i="4"/>
  <c r="CG454" i="4"/>
  <c r="AQ453" i="4"/>
  <c r="AW453" i="4" s="1"/>
  <c r="BC452" i="4"/>
  <c r="AM452" i="4" l="1"/>
  <c r="AS452" i="4" s="1"/>
  <c r="AY452" i="4" s="1"/>
  <c r="AA453" i="4"/>
  <c r="BE452" i="4"/>
  <c r="X453" i="4"/>
  <c r="AJ452" i="4"/>
  <c r="AP452" i="4" s="1"/>
  <c r="AV452" i="4" s="1"/>
  <c r="BB452" i="4"/>
  <c r="AN452" i="4"/>
  <c r="AT452" i="4" s="1"/>
  <c r="AZ452" i="4" s="1"/>
  <c r="BF452" i="4" s="1"/>
  <c r="AB453" i="4"/>
  <c r="BI453" i="4"/>
  <c r="BS452" i="4"/>
  <c r="CE452" i="4"/>
  <c r="AC452" i="4"/>
  <c r="CA454" i="4"/>
  <c r="Y454" i="4"/>
  <c r="BO451" i="4"/>
  <c r="BG451" i="4"/>
  <c r="BP451" i="4" s="1"/>
  <c r="BQ451" i="4" s="1"/>
  <c r="T454" i="4"/>
  <c r="CH454" i="4"/>
  <c r="BL451" i="4"/>
  <c r="BM450" i="4"/>
  <c r="BN450" i="4" s="1"/>
  <c r="BC453" i="4"/>
  <c r="AN453" i="4" l="1"/>
  <c r="AT453" i="4" s="1"/>
  <c r="AZ453" i="4" s="1"/>
  <c r="BF453" i="4"/>
  <c r="O454" i="4"/>
  <c r="AJ453" i="4"/>
  <c r="AP453" i="4" s="1"/>
  <c r="AV453" i="4" s="1"/>
  <c r="K454" i="4"/>
  <c r="BB453" i="4"/>
  <c r="AM453" i="4"/>
  <c r="AS453" i="4" s="1"/>
  <c r="AY453" i="4" s="1"/>
  <c r="BE453" i="4" s="1"/>
  <c r="N454" i="4"/>
  <c r="BM451" i="4"/>
  <c r="BN451" i="4" s="1"/>
  <c r="Y455" i="4"/>
  <c r="AK454" i="4"/>
  <c r="AC453" i="4"/>
  <c r="AO452" i="4"/>
  <c r="BJ452" i="4"/>
  <c r="CB454" i="4"/>
  <c r="Z454" i="4"/>
  <c r="BS453" i="4"/>
  <c r="CI454" i="4" l="1"/>
  <c r="U454" i="4"/>
  <c r="V454" i="4"/>
  <c r="CJ454" i="4"/>
  <c r="R454" i="4"/>
  <c r="CF454" i="4"/>
  <c r="AO453" i="4"/>
  <c r="P454" i="4"/>
  <c r="BJ453" i="4"/>
  <c r="AQ454" i="4"/>
  <c r="AW454" i="4" s="1"/>
  <c r="AK455" i="4"/>
  <c r="L456" i="4"/>
  <c r="BK452" i="4"/>
  <c r="AU452" i="4"/>
  <c r="BA452" i="4" s="1"/>
  <c r="BH452" i="4"/>
  <c r="Z455" i="4"/>
  <c r="AL454" i="4"/>
  <c r="AR454" i="4" s="1"/>
  <c r="AX454" i="4" s="1"/>
  <c r="BD454" i="4" s="1"/>
  <c r="BZ454" i="4" l="1"/>
  <c r="X454" i="4"/>
  <c r="CD454" i="4"/>
  <c r="AB454" i="4"/>
  <c r="CC454" i="4"/>
  <c r="AA454" i="4"/>
  <c r="BC454" i="4"/>
  <c r="BO452" i="4"/>
  <c r="BG452" i="4"/>
  <c r="BP452" i="4" s="1"/>
  <c r="BQ452" i="4" s="1"/>
  <c r="S456" i="4"/>
  <c r="CG456" i="4"/>
  <c r="BV452" i="4"/>
  <c r="BY452" i="4" s="1"/>
  <c r="BL452" i="4"/>
  <c r="W454" i="4"/>
  <c r="CK454" i="4"/>
  <c r="BI454" i="4"/>
  <c r="AL455" i="4"/>
  <c r="AR455" i="4" s="1"/>
  <c r="AX455" i="4" s="1"/>
  <c r="BD455" i="4" s="1"/>
  <c r="M456" i="4"/>
  <c r="AQ455" i="4"/>
  <c r="AW455" i="4" s="1"/>
  <c r="BK453" i="4"/>
  <c r="AU453" i="4"/>
  <c r="BA453" i="4" s="1"/>
  <c r="BH453" i="4"/>
  <c r="BV453" i="4" s="1"/>
  <c r="BY453" i="4" s="1"/>
  <c r="AA455" i="4" l="1"/>
  <c r="AM454" i="4"/>
  <c r="AS454" i="4" s="1"/>
  <c r="AY454" i="4" s="1"/>
  <c r="BE454" i="4" s="1"/>
  <c r="AB455" i="4"/>
  <c r="AN454" i="4"/>
  <c r="AT454" i="4" s="1"/>
  <c r="AZ454" i="4" s="1"/>
  <c r="BF454" i="4" s="1"/>
  <c r="X455" i="4"/>
  <c r="AJ454" i="4"/>
  <c r="AP454" i="4" s="1"/>
  <c r="AV454" i="4" s="1"/>
  <c r="BB454" i="4" s="1"/>
  <c r="BI455" i="4"/>
  <c r="BS454" i="4"/>
  <c r="BO453" i="4"/>
  <c r="BG453" i="4"/>
  <c r="BP453" i="4" s="1"/>
  <c r="BQ453" i="4" s="1"/>
  <c r="BL453" i="4"/>
  <c r="BM452" i="4"/>
  <c r="BN452" i="4" s="1"/>
  <c r="BC455" i="4"/>
  <c r="T456" i="4"/>
  <c r="CH456" i="4"/>
  <c r="CA456" i="4"/>
  <c r="Y456" i="4"/>
  <c r="CE454" i="4"/>
  <c r="AC454" i="4"/>
  <c r="K456" i="4" l="1"/>
  <c r="AJ455" i="4"/>
  <c r="AP455" i="4" s="1"/>
  <c r="AV455" i="4" s="1"/>
  <c r="BB455" i="4"/>
  <c r="AN455" i="4"/>
  <c r="AT455" i="4" s="1"/>
  <c r="AZ455" i="4" s="1"/>
  <c r="BF455" i="4" s="1"/>
  <c r="O456" i="4"/>
  <c r="AM455" i="4"/>
  <c r="AS455" i="4" s="1"/>
  <c r="AY455" i="4" s="1"/>
  <c r="BE455" i="4" s="1"/>
  <c r="N456" i="4"/>
  <c r="AC455" i="4"/>
  <c r="AO454" i="4"/>
  <c r="BJ454" i="4"/>
  <c r="BM453" i="4"/>
  <c r="BN453" i="4" s="1"/>
  <c r="BS455" i="4"/>
  <c r="CB456" i="4"/>
  <c r="Z456" i="4"/>
  <c r="Y457" i="4"/>
  <c r="AK456" i="4"/>
  <c r="CI456" i="4" l="1"/>
  <c r="U456" i="4"/>
  <c r="V456" i="4"/>
  <c r="CJ456" i="4"/>
  <c r="R456" i="4"/>
  <c r="CF456" i="4"/>
  <c r="AQ456" i="4"/>
  <c r="AW456" i="4" s="1"/>
  <c r="AO455" i="4"/>
  <c r="P456" i="4"/>
  <c r="BJ455" i="4"/>
  <c r="BK454" i="4"/>
  <c r="AK457" i="4"/>
  <c r="L458" i="4"/>
  <c r="AL456" i="4"/>
  <c r="AR456" i="4" s="1"/>
  <c r="AX456" i="4" s="1"/>
  <c r="BD456" i="4" s="1"/>
  <c r="Z457" i="4"/>
  <c r="AU454" i="4"/>
  <c r="BA454" i="4" s="1"/>
  <c r="BH454" i="4"/>
  <c r="BZ456" i="4" l="1"/>
  <c r="X456" i="4"/>
  <c r="CD456" i="4"/>
  <c r="AB456" i="4"/>
  <c r="AA456" i="4"/>
  <c r="CC456" i="4"/>
  <c r="AQ457" i="4"/>
  <c r="AW457" i="4" s="1"/>
  <c r="BK455" i="4"/>
  <c r="AU455" i="4"/>
  <c r="BA455" i="4" s="1"/>
  <c r="BH455" i="4"/>
  <c r="BV455" i="4" s="1"/>
  <c r="BY455" i="4" s="1"/>
  <c r="BV454" i="4"/>
  <c r="BY454" i="4" s="1"/>
  <c r="BL454" i="4"/>
  <c r="W456" i="4"/>
  <c r="CK456" i="4"/>
  <c r="BI456" i="4"/>
  <c r="AL457" i="4"/>
  <c r="AR457" i="4" s="1"/>
  <c r="AX457" i="4" s="1"/>
  <c r="BD457" i="4" s="1"/>
  <c r="M458" i="4"/>
  <c r="BC456" i="4"/>
  <c r="BO454" i="4"/>
  <c r="BG454" i="4"/>
  <c r="BP454" i="4" s="1"/>
  <c r="BQ454" i="4" s="1"/>
  <c r="S458" i="4"/>
  <c r="CG458" i="4"/>
  <c r="AM456" i="4" l="1"/>
  <c r="AS456" i="4" s="1"/>
  <c r="AY456" i="4" s="1"/>
  <c r="BE456" i="4" s="1"/>
  <c r="AA457" i="4"/>
  <c r="AN456" i="4"/>
  <c r="AT456" i="4" s="1"/>
  <c r="AZ456" i="4" s="1"/>
  <c r="BF456" i="4" s="1"/>
  <c r="AB457" i="4"/>
  <c r="AJ456" i="4"/>
  <c r="AP456" i="4" s="1"/>
  <c r="AV456" i="4" s="1"/>
  <c r="BB456" i="4" s="1"/>
  <c r="X457" i="4"/>
  <c r="BL455" i="4"/>
  <c r="BM454" i="4"/>
  <c r="BN454" i="4" s="1"/>
  <c r="BO455" i="4"/>
  <c r="BG455" i="4"/>
  <c r="BP455" i="4" s="1"/>
  <c r="BQ455" i="4" s="1"/>
  <c r="T458" i="4"/>
  <c r="CH458" i="4"/>
  <c r="BI457" i="4"/>
  <c r="BS456" i="4"/>
  <c r="CA458" i="4"/>
  <c r="Y458" i="4"/>
  <c r="CE456" i="4"/>
  <c r="AC456" i="4"/>
  <c r="BC457" i="4"/>
  <c r="AJ457" i="4" l="1"/>
  <c r="AP457" i="4" s="1"/>
  <c r="AV457" i="4" s="1"/>
  <c r="K458" i="4"/>
  <c r="BB457" i="4"/>
  <c r="AN457" i="4"/>
  <c r="AT457" i="4" s="1"/>
  <c r="AZ457" i="4" s="1"/>
  <c r="BF457" i="4" s="1"/>
  <c r="O458" i="4"/>
  <c r="AM457" i="4"/>
  <c r="AS457" i="4" s="1"/>
  <c r="AY457" i="4" s="1"/>
  <c r="BE457" i="4" s="1"/>
  <c r="N458" i="4"/>
  <c r="AC457" i="4"/>
  <c r="AO456" i="4"/>
  <c r="BJ456" i="4"/>
  <c r="CB458" i="4"/>
  <c r="Z458" i="4"/>
  <c r="AK458" i="4"/>
  <c r="Y459" i="4"/>
  <c r="BM455" i="4"/>
  <c r="BN455" i="4" s="1"/>
  <c r="BS457" i="4"/>
  <c r="CJ458" i="4" l="1"/>
  <c r="V458" i="4"/>
  <c r="CI458" i="4"/>
  <c r="U458" i="4"/>
  <c r="CF458" i="4"/>
  <c r="R458" i="4"/>
  <c r="AL458" i="4"/>
  <c r="AR458" i="4" s="1"/>
  <c r="AX458" i="4" s="1"/>
  <c r="Z459" i="4"/>
  <c r="BD458" i="4"/>
  <c r="AU456" i="4"/>
  <c r="BA456" i="4" s="1"/>
  <c r="BH456" i="4"/>
  <c r="AK459" i="4"/>
  <c r="L460" i="4"/>
  <c r="BK456" i="4"/>
  <c r="AO457" i="4"/>
  <c r="P458" i="4"/>
  <c r="BJ457" i="4"/>
  <c r="AQ458" i="4"/>
  <c r="AW458" i="4" s="1"/>
  <c r="BZ458" i="4" l="1"/>
  <c r="X458" i="4"/>
  <c r="AA458" i="4"/>
  <c r="CC458" i="4"/>
  <c r="CD458" i="4"/>
  <c r="AB458" i="4"/>
  <c r="AQ459" i="4"/>
  <c r="AW459" i="4" s="1"/>
  <c r="BC458" i="4"/>
  <c r="W458" i="4"/>
  <c r="CK458" i="4"/>
  <c r="BI458" i="4"/>
  <c r="BO456" i="4"/>
  <c r="BG456" i="4"/>
  <c r="BP456" i="4" s="1"/>
  <c r="BQ456" i="4" s="1"/>
  <c r="AL459" i="4"/>
  <c r="AR459" i="4" s="1"/>
  <c r="AX459" i="4" s="1"/>
  <c r="BD459" i="4" s="1"/>
  <c r="M460" i="4"/>
  <c r="BK457" i="4"/>
  <c r="AU457" i="4"/>
  <c r="BA457" i="4" s="1"/>
  <c r="BH457" i="4"/>
  <c r="BV457" i="4" s="1"/>
  <c r="BY457" i="4" s="1"/>
  <c r="BV456" i="4"/>
  <c r="BY456" i="4" s="1"/>
  <c r="BL456" i="4"/>
  <c r="S460" i="4"/>
  <c r="CG460" i="4"/>
  <c r="AN458" i="4" l="1"/>
  <c r="AT458" i="4" s="1"/>
  <c r="AZ458" i="4" s="1"/>
  <c r="BF458" i="4"/>
  <c r="AB459" i="4"/>
  <c r="AA459" i="4"/>
  <c r="AM458" i="4"/>
  <c r="AS458" i="4" s="1"/>
  <c r="AY458" i="4" s="1"/>
  <c r="BE458" i="4" s="1"/>
  <c r="X459" i="4"/>
  <c r="AJ458" i="4"/>
  <c r="AP458" i="4" s="1"/>
  <c r="AV458" i="4" s="1"/>
  <c r="BB458" i="4" s="1"/>
  <c r="BO457" i="4"/>
  <c r="BG457" i="4"/>
  <c r="BP457" i="4" s="1"/>
  <c r="BQ457" i="4" s="1"/>
  <c r="BI459" i="4"/>
  <c r="BS458" i="4"/>
  <c r="CE458" i="4"/>
  <c r="AC458" i="4"/>
  <c r="T460" i="4"/>
  <c r="CH460" i="4"/>
  <c r="CA460" i="4"/>
  <c r="Y460" i="4"/>
  <c r="BL457" i="4"/>
  <c r="BM456" i="4"/>
  <c r="BN456" i="4" s="1"/>
  <c r="BC459" i="4"/>
  <c r="K460" i="4" l="1"/>
  <c r="AJ459" i="4"/>
  <c r="AP459" i="4" s="1"/>
  <c r="AV459" i="4" s="1"/>
  <c r="BB459" i="4"/>
  <c r="AM459" i="4"/>
  <c r="AS459" i="4" s="1"/>
  <c r="AY459" i="4" s="1"/>
  <c r="BE459" i="4" s="1"/>
  <c r="N460" i="4"/>
  <c r="AN459" i="4"/>
  <c r="AT459" i="4" s="1"/>
  <c r="AZ459" i="4" s="1"/>
  <c r="BF459" i="4" s="1"/>
  <c r="O460" i="4"/>
  <c r="CB460" i="4"/>
  <c r="Z460" i="4"/>
  <c r="AC459" i="4"/>
  <c r="AO458" i="4"/>
  <c r="BJ458" i="4"/>
  <c r="BM457" i="4"/>
  <c r="BN457" i="4" s="1"/>
  <c r="BS459" i="4"/>
  <c r="Y461" i="4"/>
  <c r="AK460" i="4"/>
  <c r="V460" i="4" l="1"/>
  <c r="CJ460" i="4"/>
  <c r="CI460" i="4"/>
  <c r="U460" i="4"/>
  <c r="CF460" i="4"/>
  <c r="R460" i="4"/>
  <c r="BK458" i="4"/>
  <c r="AU458" i="4"/>
  <c r="BA458" i="4" s="1"/>
  <c r="BH458" i="4"/>
  <c r="AO459" i="4"/>
  <c r="P460" i="4"/>
  <c r="BJ459" i="4"/>
  <c r="AL460" i="4"/>
  <c r="AR460" i="4" s="1"/>
  <c r="AX460" i="4" s="1"/>
  <c r="BD460" i="4" s="1"/>
  <c r="Z461" i="4"/>
  <c r="AQ460" i="4"/>
  <c r="AW460" i="4" s="1"/>
  <c r="AK461" i="4"/>
  <c r="L462" i="4"/>
  <c r="BZ460" i="4" l="1"/>
  <c r="X460" i="4"/>
  <c r="CC460" i="4"/>
  <c r="AA460" i="4"/>
  <c r="AB460" i="4"/>
  <c r="CD460" i="4"/>
  <c r="AQ461" i="4"/>
  <c r="AW461" i="4" s="1"/>
  <c r="W460" i="4"/>
  <c r="CK460" i="4"/>
  <c r="BI460" i="4"/>
  <c r="S462" i="4"/>
  <c r="CG462" i="4"/>
  <c r="BK459" i="4"/>
  <c r="BC460" i="4"/>
  <c r="AU459" i="4"/>
  <c r="BA459" i="4" s="1"/>
  <c r="BH459" i="4"/>
  <c r="BV459" i="4" s="1"/>
  <c r="BY459" i="4" s="1"/>
  <c r="BV458" i="4"/>
  <c r="BY458" i="4" s="1"/>
  <c r="BL458" i="4"/>
  <c r="BO458" i="4"/>
  <c r="BG458" i="4"/>
  <c r="BP458" i="4" s="1"/>
  <c r="BQ458" i="4" s="1"/>
  <c r="AL461" i="4"/>
  <c r="AR461" i="4" s="1"/>
  <c r="AX461" i="4" s="1"/>
  <c r="BD461" i="4" s="1"/>
  <c r="M462" i="4"/>
  <c r="AN460" i="4" l="1"/>
  <c r="AT460" i="4" s="1"/>
  <c r="AZ460" i="4" s="1"/>
  <c r="BF460" i="4"/>
  <c r="AB461" i="4"/>
  <c r="AA461" i="4"/>
  <c r="AM460" i="4"/>
  <c r="AS460" i="4" s="1"/>
  <c r="AY460" i="4" s="1"/>
  <c r="BE460" i="4" s="1"/>
  <c r="X461" i="4"/>
  <c r="AJ460" i="4"/>
  <c r="AP460" i="4" s="1"/>
  <c r="AV460" i="4" s="1"/>
  <c r="BB460" i="4" s="1"/>
  <c r="BL459" i="4"/>
  <c r="BM458" i="4"/>
  <c r="BN458" i="4" s="1"/>
  <c r="CA462" i="4"/>
  <c r="Y462" i="4"/>
  <c r="BO459" i="4"/>
  <c r="BG459" i="4"/>
  <c r="BP459" i="4" s="1"/>
  <c r="BQ459" i="4" s="1"/>
  <c r="BI461" i="4"/>
  <c r="BS460" i="4"/>
  <c r="T462" i="4"/>
  <c r="CH462" i="4"/>
  <c r="CE460" i="4"/>
  <c r="AC460" i="4"/>
  <c r="BC461" i="4"/>
  <c r="K462" i="4" l="1"/>
  <c r="AJ461" i="4"/>
  <c r="AP461" i="4" s="1"/>
  <c r="AV461" i="4" s="1"/>
  <c r="BB461" i="4"/>
  <c r="AM461" i="4"/>
  <c r="AS461" i="4" s="1"/>
  <c r="AY461" i="4" s="1"/>
  <c r="BE461" i="4" s="1"/>
  <c r="N462" i="4"/>
  <c r="O462" i="4"/>
  <c r="AN461" i="4"/>
  <c r="AT461" i="4" s="1"/>
  <c r="AZ461" i="4" s="1"/>
  <c r="BF461" i="4" s="1"/>
  <c r="BS461" i="4"/>
  <c r="AO460" i="4"/>
  <c r="AC461" i="4"/>
  <c r="BJ460" i="4"/>
  <c r="Y463" i="4"/>
  <c r="AK462" i="4"/>
  <c r="CB462" i="4"/>
  <c r="Z462" i="4"/>
  <c r="BM459" i="4"/>
  <c r="BN459" i="4" s="1"/>
  <c r="CJ462" i="4" l="1"/>
  <c r="V462" i="4"/>
  <c r="U462" i="4"/>
  <c r="CI462" i="4"/>
  <c r="CF462" i="4"/>
  <c r="R462" i="4"/>
  <c r="AQ462" i="4"/>
  <c r="AW462" i="4" s="1"/>
  <c r="BK460" i="4"/>
  <c r="AU460" i="4"/>
  <c r="BA460" i="4" s="1"/>
  <c r="BH460" i="4"/>
  <c r="AL462" i="4"/>
  <c r="AR462" i="4" s="1"/>
  <c r="AX462" i="4" s="1"/>
  <c r="BD462" i="4" s="1"/>
  <c r="Z463" i="4"/>
  <c r="AO461" i="4"/>
  <c r="P462" i="4"/>
  <c r="BJ461" i="4"/>
  <c r="AK463" i="4"/>
  <c r="L464" i="4"/>
  <c r="BZ462" i="4" l="1"/>
  <c r="X462" i="4"/>
  <c r="CC462" i="4"/>
  <c r="AA462" i="4"/>
  <c r="AB462" i="4"/>
  <c r="CD462" i="4"/>
  <c r="AL463" i="4"/>
  <c r="AR463" i="4" s="1"/>
  <c r="AX463" i="4" s="1"/>
  <c r="BD463" i="4" s="1"/>
  <c r="M464" i="4"/>
  <c r="S464" i="4"/>
  <c r="CG464" i="4"/>
  <c r="BV460" i="4"/>
  <c r="BY460" i="4" s="1"/>
  <c r="BL460" i="4"/>
  <c r="AU461" i="4"/>
  <c r="BA461" i="4" s="1"/>
  <c r="BH461" i="4"/>
  <c r="BV461" i="4" s="1"/>
  <c r="BY461" i="4" s="1"/>
  <c r="AQ463" i="4"/>
  <c r="AW463" i="4" s="1"/>
  <c r="BO460" i="4"/>
  <c r="BG460" i="4"/>
  <c r="BP460" i="4" s="1"/>
  <c r="BQ460" i="4" s="1"/>
  <c r="BK461" i="4"/>
  <c r="CK462" i="4"/>
  <c r="W462" i="4"/>
  <c r="BI462" i="4"/>
  <c r="BC462" i="4"/>
  <c r="AB463" i="4" l="1"/>
  <c r="AN462" i="4"/>
  <c r="AT462" i="4" s="1"/>
  <c r="AZ462" i="4" s="1"/>
  <c r="BF462" i="4" s="1"/>
  <c r="AA463" i="4"/>
  <c r="AM462" i="4"/>
  <c r="AS462" i="4" s="1"/>
  <c r="AY462" i="4" s="1"/>
  <c r="BE462" i="4" s="1"/>
  <c r="AJ462" i="4"/>
  <c r="AP462" i="4" s="1"/>
  <c r="AV462" i="4" s="1"/>
  <c r="BB462" i="4" s="1"/>
  <c r="X463" i="4"/>
  <c r="BO461" i="4"/>
  <c r="BG461" i="4"/>
  <c r="BP461" i="4" s="1"/>
  <c r="BQ461" i="4" s="1"/>
  <c r="BL461" i="4"/>
  <c r="BM460" i="4"/>
  <c r="BN460" i="4" s="1"/>
  <c r="T464" i="4"/>
  <c r="CH464" i="4"/>
  <c r="BC463" i="4"/>
  <c r="CA464" i="4"/>
  <c r="Y464" i="4"/>
  <c r="BI463" i="4"/>
  <c r="BS462" i="4"/>
  <c r="CE462" i="4"/>
  <c r="AC462" i="4"/>
  <c r="AJ463" i="4" l="1"/>
  <c r="AP463" i="4" s="1"/>
  <c r="AV463" i="4" s="1"/>
  <c r="K464" i="4"/>
  <c r="BB463" i="4"/>
  <c r="N464" i="4"/>
  <c r="AM463" i="4"/>
  <c r="AS463" i="4" s="1"/>
  <c r="AY463" i="4" s="1"/>
  <c r="BE463" i="4" s="1"/>
  <c r="AN463" i="4"/>
  <c r="AT463" i="4" s="1"/>
  <c r="AZ463" i="4" s="1"/>
  <c r="BF463" i="4" s="1"/>
  <c r="O464" i="4"/>
  <c r="CB464" i="4"/>
  <c r="Z464" i="4"/>
  <c r="AC463" i="4"/>
  <c r="AO462" i="4"/>
  <c r="BJ462" i="4"/>
  <c r="BM461" i="4"/>
  <c r="BN461" i="4" s="1"/>
  <c r="AK464" i="4"/>
  <c r="Y465" i="4"/>
  <c r="BS463" i="4"/>
  <c r="CJ464" i="4" l="1"/>
  <c r="V464" i="4"/>
  <c r="CI464" i="4"/>
  <c r="U464" i="4"/>
  <c r="CF464" i="4"/>
  <c r="R464" i="4"/>
  <c r="AK465" i="4"/>
  <c r="L466" i="4"/>
  <c r="BK462" i="4"/>
  <c r="AO463" i="4"/>
  <c r="P464" i="4"/>
  <c r="BJ463" i="4"/>
  <c r="AU462" i="4"/>
  <c r="BA462" i="4" s="1"/>
  <c r="BH462" i="4"/>
  <c r="AL464" i="4"/>
  <c r="AR464" i="4" s="1"/>
  <c r="AX464" i="4" s="1"/>
  <c r="BD464" i="4" s="1"/>
  <c r="Z465" i="4"/>
  <c r="AQ464" i="4"/>
  <c r="AW464" i="4" s="1"/>
  <c r="BZ464" i="4" l="1"/>
  <c r="X464" i="4"/>
  <c r="AA464" i="4"/>
  <c r="CC464" i="4"/>
  <c r="AB464" i="4"/>
  <c r="CD464" i="4"/>
  <c r="W464" i="4"/>
  <c r="CK464" i="4"/>
  <c r="BI464" i="4"/>
  <c r="AU463" i="4"/>
  <c r="BA463" i="4" s="1"/>
  <c r="BH463" i="4"/>
  <c r="BV463" i="4" s="1"/>
  <c r="BY463" i="4" s="1"/>
  <c r="BV462" i="4"/>
  <c r="BY462" i="4" s="1"/>
  <c r="BL462" i="4"/>
  <c r="AQ465" i="4"/>
  <c r="AW465" i="4" s="1"/>
  <c r="BK463" i="4"/>
  <c r="BC464" i="4"/>
  <c r="AL465" i="4"/>
  <c r="AR465" i="4" s="1"/>
  <c r="AX465" i="4" s="1"/>
  <c r="BD465" i="4" s="1"/>
  <c r="M466" i="4"/>
  <c r="S466" i="4"/>
  <c r="CG466" i="4"/>
  <c r="BO462" i="4"/>
  <c r="BG462" i="4"/>
  <c r="BP462" i="4" s="1"/>
  <c r="BQ462" i="4" s="1"/>
  <c r="AB465" i="4" l="1"/>
  <c r="AN464" i="4"/>
  <c r="AT464" i="4" s="1"/>
  <c r="AZ464" i="4" s="1"/>
  <c r="BF464" i="4"/>
  <c r="AM464" i="4"/>
  <c r="AS464" i="4" s="1"/>
  <c r="AY464" i="4" s="1"/>
  <c r="BE464" i="4" s="1"/>
  <c r="AA465" i="4"/>
  <c r="X465" i="4"/>
  <c r="AJ464" i="4"/>
  <c r="AP464" i="4" s="1"/>
  <c r="AV464" i="4" s="1"/>
  <c r="BB464" i="4" s="1"/>
  <c r="BL463" i="4"/>
  <c r="BM462" i="4"/>
  <c r="BN462" i="4" s="1"/>
  <c r="T466" i="4"/>
  <c r="CH466" i="4"/>
  <c r="BC465" i="4"/>
  <c r="BO463" i="4"/>
  <c r="BG463" i="4"/>
  <c r="BP463" i="4" s="1"/>
  <c r="BQ463" i="4" s="1"/>
  <c r="CE464" i="4"/>
  <c r="AC464" i="4"/>
  <c r="BI465" i="4"/>
  <c r="BS464" i="4"/>
  <c r="CA466" i="4"/>
  <c r="Y466" i="4"/>
  <c r="K466" i="4" l="1"/>
  <c r="AJ465" i="4"/>
  <c r="AP465" i="4" s="1"/>
  <c r="AV465" i="4" s="1"/>
  <c r="BB465" i="4"/>
  <c r="N466" i="4"/>
  <c r="AM465" i="4"/>
  <c r="AS465" i="4" s="1"/>
  <c r="AY465" i="4" s="1"/>
  <c r="BE465" i="4" s="1"/>
  <c r="O466" i="4"/>
  <c r="AN465" i="4"/>
  <c r="AT465" i="4" s="1"/>
  <c r="AZ465" i="4" s="1"/>
  <c r="BF465" i="4" s="1"/>
  <c r="BM463" i="4"/>
  <c r="BN463" i="4" s="1"/>
  <c r="CB466" i="4"/>
  <c r="Z466" i="4"/>
  <c r="AO464" i="4"/>
  <c r="AC465" i="4"/>
  <c r="BJ464" i="4"/>
  <c r="Y467" i="4"/>
  <c r="AK466" i="4"/>
  <c r="BS465" i="4"/>
  <c r="V466" i="4" l="1"/>
  <c r="CJ466" i="4"/>
  <c r="U466" i="4"/>
  <c r="CI466" i="4"/>
  <c r="R466" i="4"/>
  <c r="CF466" i="4"/>
  <c r="AU464" i="4"/>
  <c r="BA464" i="4" s="1"/>
  <c r="BH464" i="4"/>
  <c r="AK467" i="4"/>
  <c r="L468" i="4"/>
  <c r="AQ466" i="4"/>
  <c r="AW466" i="4" s="1"/>
  <c r="BK464" i="4"/>
  <c r="AO465" i="4"/>
  <c r="P466" i="4"/>
  <c r="BJ465" i="4"/>
  <c r="AL466" i="4"/>
  <c r="AR466" i="4" s="1"/>
  <c r="AX466" i="4" s="1"/>
  <c r="BD466" i="4" s="1"/>
  <c r="Z467" i="4"/>
  <c r="BZ466" i="4" l="1"/>
  <c r="X466" i="4"/>
  <c r="CC466" i="4"/>
  <c r="AA466" i="4"/>
  <c r="AB466" i="4"/>
  <c r="CD466" i="4"/>
  <c r="AL467" i="4"/>
  <c r="AR467" i="4" s="1"/>
  <c r="AX467" i="4" s="1"/>
  <c r="BD467" i="4" s="1"/>
  <c r="M468" i="4"/>
  <c r="S468" i="4"/>
  <c r="CG468" i="4"/>
  <c r="BK465" i="4"/>
  <c r="AQ467" i="4"/>
  <c r="AW467" i="4" s="1"/>
  <c r="BO464" i="4"/>
  <c r="BG464" i="4"/>
  <c r="BP464" i="4" s="1"/>
  <c r="BQ464" i="4" s="1"/>
  <c r="BC466" i="4"/>
  <c r="W466" i="4"/>
  <c r="CK466" i="4"/>
  <c r="BI466" i="4"/>
  <c r="AU465" i="4"/>
  <c r="BA465" i="4" s="1"/>
  <c r="BH465" i="4"/>
  <c r="BV465" i="4" s="1"/>
  <c r="BY465" i="4" s="1"/>
  <c r="BV464" i="4"/>
  <c r="BY464" i="4" s="1"/>
  <c r="BL464" i="4"/>
  <c r="AN466" i="4" l="1"/>
  <c r="AT466" i="4" s="1"/>
  <c r="AZ466" i="4" s="1"/>
  <c r="BF466" i="4" s="1"/>
  <c r="AB467" i="4"/>
  <c r="AM466" i="4"/>
  <c r="AS466" i="4" s="1"/>
  <c r="AY466" i="4" s="1"/>
  <c r="BE466" i="4" s="1"/>
  <c r="AA467" i="4"/>
  <c r="X467" i="4"/>
  <c r="AJ466" i="4"/>
  <c r="AP466" i="4" s="1"/>
  <c r="AV466" i="4" s="1"/>
  <c r="BB466" i="4" s="1"/>
  <c r="CA468" i="4"/>
  <c r="Y468" i="4"/>
  <c r="BL465" i="4"/>
  <c r="BM464" i="4"/>
  <c r="BN464" i="4" s="1"/>
  <c r="CE466" i="4"/>
  <c r="AC466" i="4"/>
  <c r="T468" i="4"/>
  <c r="CH468" i="4"/>
  <c r="BO465" i="4"/>
  <c r="BG465" i="4"/>
  <c r="BP465" i="4" s="1"/>
  <c r="BQ465" i="4" s="1"/>
  <c r="BI467" i="4"/>
  <c r="BS466" i="4"/>
  <c r="BC467" i="4"/>
  <c r="AM467" i="4" l="1"/>
  <c r="AS467" i="4" s="1"/>
  <c r="AY467" i="4" s="1"/>
  <c r="BE467" i="4"/>
  <c r="N468" i="4"/>
  <c r="AJ467" i="4"/>
  <c r="AP467" i="4" s="1"/>
  <c r="AV467" i="4" s="1"/>
  <c r="K468" i="4"/>
  <c r="BB467" i="4"/>
  <c r="AN467" i="4"/>
  <c r="AT467" i="4" s="1"/>
  <c r="AZ467" i="4" s="1"/>
  <c r="BF467" i="4" s="1"/>
  <c r="O468" i="4"/>
  <c r="CB468" i="4"/>
  <c r="Z468" i="4"/>
  <c r="AO466" i="4"/>
  <c r="AC467" i="4"/>
  <c r="BJ466" i="4"/>
  <c r="BM465" i="4"/>
  <c r="BN465" i="4" s="1"/>
  <c r="AK468" i="4"/>
  <c r="Y469" i="4"/>
  <c r="BS467" i="4"/>
  <c r="CJ468" i="4" l="1"/>
  <c r="V468" i="4"/>
  <c r="R468" i="4"/>
  <c r="CF468" i="4"/>
  <c r="CI468" i="4"/>
  <c r="U468" i="4"/>
  <c r="BK466" i="4"/>
  <c r="AK469" i="4"/>
  <c r="L470" i="4"/>
  <c r="AO467" i="4"/>
  <c r="P468" i="4"/>
  <c r="BJ467" i="4"/>
  <c r="AU466" i="4"/>
  <c r="BA466" i="4" s="1"/>
  <c r="BH466" i="4"/>
  <c r="Z469" i="4"/>
  <c r="AL468" i="4"/>
  <c r="AR468" i="4" s="1"/>
  <c r="AX468" i="4" s="1"/>
  <c r="BD468" i="4" s="1"/>
  <c r="AQ468" i="4"/>
  <c r="AW468" i="4" s="1"/>
  <c r="AA468" i="4" l="1"/>
  <c r="CC468" i="4"/>
  <c r="BZ468" i="4"/>
  <c r="X468" i="4"/>
  <c r="CD468" i="4"/>
  <c r="AB468" i="4"/>
  <c r="BK467" i="4"/>
  <c r="BO466" i="4"/>
  <c r="BG466" i="4"/>
  <c r="BP466" i="4" s="1"/>
  <c r="BQ466" i="4" s="1"/>
  <c r="W468" i="4"/>
  <c r="CK468" i="4"/>
  <c r="BI468" i="4"/>
  <c r="AU467" i="4"/>
  <c r="BA467" i="4" s="1"/>
  <c r="BH467" i="4"/>
  <c r="BV467" i="4" s="1"/>
  <c r="BY467" i="4" s="1"/>
  <c r="S470" i="4"/>
  <c r="CG470" i="4"/>
  <c r="AQ469" i="4"/>
  <c r="AW469" i="4" s="1"/>
  <c r="AL469" i="4"/>
  <c r="AR469" i="4" s="1"/>
  <c r="AX469" i="4" s="1"/>
  <c r="BD469" i="4" s="1"/>
  <c r="M470" i="4"/>
  <c r="BC468" i="4"/>
  <c r="BV466" i="4"/>
  <c r="BY466" i="4" s="1"/>
  <c r="BL466" i="4"/>
  <c r="AN468" i="4" l="1"/>
  <c r="AT468" i="4" s="1"/>
  <c r="AZ468" i="4" s="1"/>
  <c r="BF468" i="4" s="1"/>
  <c r="AB469" i="4"/>
  <c r="X469" i="4"/>
  <c r="AJ468" i="4"/>
  <c r="AP468" i="4" s="1"/>
  <c r="AV468" i="4" s="1"/>
  <c r="BB468" i="4" s="1"/>
  <c r="AA469" i="4"/>
  <c r="AM468" i="4"/>
  <c r="AS468" i="4" s="1"/>
  <c r="AY468" i="4" s="1"/>
  <c r="BE468" i="4" s="1"/>
  <c r="BC469" i="4"/>
  <c r="CE468" i="4"/>
  <c r="AC468" i="4"/>
  <c r="T470" i="4"/>
  <c r="CH470" i="4"/>
  <c r="CA470" i="4"/>
  <c r="Y470" i="4"/>
  <c r="BO467" i="4"/>
  <c r="BG467" i="4"/>
  <c r="BP467" i="4" s="1"/>
  <c r="BQ467" i="4" s="1"/>
  <c r="BL467" i="4"/>
  <c r="BM466" i="4"/>
  <c r="BN466" i="4" s="1"/>
  <c r="BS468" i="4"/>
  <c r="BI469" i="4"/>
  <c r="N470" i="4" l="1"/>
  <c r="AM469" i="4"/>
  <c r="AS469" i="4" s="1"/>
  <c r="AY469" i="4" s="1"/>
  <c r="BE469" i="4" s="1"/>
  <c r="AJ469" i="4"/>
  <c r="AP469" i="4" s="1"/>
  <c r="AV469" i="4" s="1"/>
  <c r="K470" i="4"/>
  <c r="BB469" i="4"/>
  <c r="AN469" i="4"/>
  <c r="AT469" i="4" s="1"/>
  <c r="AZ469" i="4" s="1"/>
  <c r="BF469" i="4" s="1"/>
  <c r="O470" i="4"/>
  <c r="BS469" i="4"/>
  <c r="Y471" i="4"/>
  <c r="AK470" i="4"/>
  <c r="CB470" i="4"/>
  <c r="Z470" i="4"/>
  <c r="AC469" i="4"/>
  <c r="AO468" i="4"/>
  <c r="BJ468" i="4"/>
  <c r="BM467" i="4"/>
  <c r="BN467" i="4" s="1"/>
  <c r="CJ470" i="4" l="1"/>
  <c r="V470" i="4"/>
  <c r="R470" i="4"/>
  <c r="CF470" i="4"/>
  <c r="U470" i="4"/>
  <c r="CI470" i="4"/>
  <c r="AK471" i="4"/>
  <c r="L472" i="4"/>
  <c r="BK468" i="4"/>
  <c r="AO469" i="4"/>
  <c r="P470" i="4"/>
  <c r="BJ469" i="4"/>
  <c r="AL470" i="4"/>
  <c r="AR470" i="4" s="1"/>
  <c r="AX470" i="4" s="1"/>
  <c r="BD470" i="4" s="1"/>
  <c r="Z471" i="4"/>
  <c r="AU468" i="4"/>
  <c r="BA468" i="4" s="1"/>
  <c r="BH468" i="4"/>
  <c r="AQ470" i="4"/>
  <c r="AW470" i="4" s="1"/>
  <c r="CC470" i="4" l="1"/>
  <c r="AA470" i="4"/>
  <c r="BZ470" i="4"/>
  <c r="X470" i="4"/>
  <c r="AB470" i="4"/>
  <c r="CD470" i="4"/>
  <c r="AL471" i="4"/>
  <c r="AR471" i="4" s="1"/>
  <c r="AX471" i="4" s="1"/>
  <c r="BD471" i="4" s="1"/>
  <c r="M472" i="4"/>
  <c r="S472" i="4"/>
  <c r="CG472" i="4"/>
  <c r="BK469" i="4"/>
  <c r="BC470" i="4"/>
  <c r="BO468" i="4"/>
  <c r="BG468" i="4"/>
  <c r="BP468" i="4" s="1"/>
  <c r="BQ468" i="4" s="1"/>
  <c r="AQ471" i="4"/>
  <c r="AW471" i="4" s="1"/>
  <c r="W470" i="4"/>
  <c r="CK470" i="4"/>
  <c r="BI470" i="4"/>
  <c r="AU469" i="4"/>
  <c r="BA469" i="4" s="1"/>
  <c r="BH469" i="4"/>
  <c r="BV469" i="4" s="1"/>
  <c r="BY469" i="4" s="1"/>
  <c r="BV468" i="4"/>
  <c r="BY468" i="4" s="1"/>
  <c r="BL468" i="4"/>
  <c r="AB471" i="4" l="1"/>
  <c r="AN470" i="4"/>
  <c r="AT470" i="4" s="1"/>
  <c r="AZ470" i="4" s="1"/>
  <c r="BF470" i="4"/>
  <c r="X471" i="4"/>
  <c r="AJ470" i="4"/>
  <c r="AP470" i="4" s="1"/>
  <c r="AV470" i="4" s="1"/>
  <c r="BB470" i="4" s="1"/>
  <c r="AM470" i="4"/>
  <c r="AS470" i="4" s="1"/>
  <c r="AY470" i="4" s="1"/>
  <c r="BE470" i="4" s="1"/>
  <c r="AA471" i="4"/>
  <c r="BO469" i="4"/>
  <c r="BG469" i="4"/>
  <c r="BP469" i="4" s="1"/>
  <c r="BQ469" i="4" s="1"/>
  <c r="BI471" i="4"/>
  <c r="BS470" i="4"/>
  <c r="CE470" i="4"/>
  <c r="AC470" i="4"/>
  <c r="CA472" i="4"/>
  <c r="Y472" i="4"/>
  <c r="BC471" i="4"/>
  <c r="T472" i="4"/>
  <c r="CH472" i="4"/>
  <c r="BL469" i="4"/>
  <c r="BM468" i="4"/>
  <c r="BN468" i="4" s="1"/>
  <c r="AM471" i="4" l="1"/>
  <c r="AS471" i="4" s="1"/>
  <c r="AY471" i="4" s="1"/>
  <c r="BE471" i="4"/>
  <c r="N472" i="4"/>
  <c r="K472" i="4"/>
  <c r="AJ471" i="4"/>
  <c r="AP471" i="4" s="1"/>
  <c r="AV471" i="4" s="1"/>
  <c r="BB471" i="4" s="1"/>
  <c r="O472" i="4"/>
  <c r="AN471" i="4"/>
  <c r="AT471" i="4" s="1"/>
  <c r="AZ471" i="4" s="1"/>
  <c r="BF471" i="4" s="1"/>
  <c r="Y473" i="4"/>
  <c r="AK472" i="4"/>
  <c r="AC471" i="4"/>
  <c r="AO470" i="4"/>
  <c r="BJ470" i="4"/>
  <c r="BS471" i="4"/>
  <c r="BM469" i="4"/>
  <c r="BN469" i="4" s="1"/>
  <c r="CB472" i="4"/>
  <c r="Z472" i="4"/>
  <c r="R472" i="4" l="1"/>
  <c r="CF472" i="4"/>
  <c r="V472" i="4"/>
  <c r="CJ472" i="4"/>
  <c r="U472" i="4"/>
  <c r="CI472" i="4"/>
  <c r="BK470" i="4"/>
  <c r="AU470" i="4"/>
  <c r="BA470" i="4" s="1"/>
  <c r="BH470" i="4"/>
  <c r="Z473" i="4"/>
  <c r="AL472" i="4"/>
  <c r="AR472" i="4" s="1"/>
  <c r="AX472" i="4" s="1"/>
  <c r="BD472" i="4" s="1"/>
  <c r="AO471" i="4"/>
  <c r="P472" i="4"/>
  <c r="BJ471" i="4"/>
  <c r="AQ472" i="4"/>
  <c r="AW472" i="4" s="1"/>
  <c r="AK473" i="4"/>
  <c r="L474" i="4"/>
  <c r="AA472" i="4" l="1"/>
  <c r="CC472" i="4"/>
  <c r="CD472" i="4"/>
  <c r="AB472" i="4"/>
  <c r="BZ472" i="4"/>
  <c r="X472" i="4"/>
  <c r="AQ473" i="4"/>
  <c r="AW473" i="4" s="1"/>
  <c r="W472" i="4"/>
  <c r="CK472" i="4"/>
  <c r="BI472" i="4"/>
  <c r="S474" i="4"/>
  <c r="CG474" i="4"/>
  <c r="BV470" i="4"/>
  <c r="BY470" i="4" s="1"/>
  <c r="BL470" i="4"/>
  <c r="BC472" i="4"/>
  <c r="BO470" i="4"/>
  <c r="BG470" i="4"/>
  <c r="BP470" i="4" s="1"/>
  <c r="BQ470" i="4" s="1"/>
  <c r="BK471" i="4"/>
  <c r="AU471" i="4"/>
  <c r="BA471" i="4" s="1"/>
  <c r="BH471" i="4"/>
  <c r="BV471" i="4" s="1"/>
  <c r="BY471" i="4" s="1"/>
  <c r="AL473" i="4"/>
  <c r="AR473" i="4" s="1"/>
  <c r="AX473" i="4" s="1"/>
  <c r="BD473" i="4" s="1"/>
  <c r="M474" i="4"/>
  <c r="AJ472" i="4" l="1"/>
  <c r="AP472" i="4" s="1"/>
  <c r="AV472" i="4" s="1"/>
  <c r="X473" i="4"/>
  <c r="BB472" i="4"/>
  <c r="AB473" i="4"/>
  <c r="AN472" i="4"/>
  <c r="AT472" i="4" s="1"/>
  <c r="AZ472" i="4" s="1"/>
  <c r="BF472" i="4" s="1"/>
  <c r="AM472" i="4"/>
  <c r="AS472" i="4" s="1"/>
  <c r="AY472" i="4" s="1"/>
  <c r="BE472" i="4" s="1"/>
  <c r="AA473" i="4"/>
  <c r="BO471" i="4"/>
  <c r="BG471" i="4"/>
  <c r="BP471" i="4" s="1"/>
  <c r="BQ471" i="4" s="1"/>
  <c r="BI473" i="4"/>
  <c r="BS472" i="4"/>
  <c r="BL471" i="4"/>
  <c r="BM470" i="4"/>
  <c r="BN470" i="4" s="1"/>
  <c r="CA474" i="4"/>
  <c r="Y474" i="4"/>
  <c r="BC473" i="4"/>
  <c r="CE472" i="4"/>
  <c r="AC472" i="4"/>
  <c r="T474" i="4"/>
  <c r="CH474" i="4"/>
  <c r="AM473" i="4" l="1"/>
  <c r="AS473" i="4" s="1"/>
  <c r="AY473" i="4" s="1"/>
  <c r="BE473" i="4" s="1"/>
  <c r="N474" i="4"/>
  <c r="O474" i="4"/>
  <c r="AN473" i="4"/>
  <c r="AT473" i="4" s="1"/>
  <c r="AZ473" i="4" s="1"/>
  <c r="BF473" i="4" s="1"/>
  <c r="AJ473" i="4"/>
  <c r="AP473" i="4" s="1"/>
  <c r="AV473" i="4" s="1"/>
  <c r="BB473" i="4" s="1"/>
  <c r="K474" i="4"/>
  <c r="CB474" i="4"/>
  <c r="Z474" i="4"/>
  <c r="AO472" i="4"/>
  <c r="AC473" i="4"/>
  <c r="BJ472" i="4"/>
  <c r="AK474" i="4"/>
  <c r="Y475" i="4"/>
  <c r="BM471" i="4"/>
  <c r="BN471" i="4" s="1"/>
  <c r="BS473" i="4"/>
  <c r="CF474" i="4" l="1"/>
  <c r="R474" i="4"/>
  <c r="CI474" i="4"/>
  <c r="U474" i="4"/>
  <c r="V474" i="4"/>
  <c r="CJ474" i="4"/>
  <c r="BK472" i="4"/>
  <c r="AK475" i="4"/>
  <c r="L476" i="4"/>
  <c r="AQ474" i="4"/>
  <c r="AW474" i="4" s="1"/>
  <c r="AO473" i="4"/>
  <c r="P474" i="4"/>
  <c r="BJ473" i="4"/>
  <c r="AU472" i="4"/>
  <c r="BA472" i="4" s="1"/>
  <c r="BH472" i="4"/>
  <c r="AL474" i="4"/>
  <c r="AR474" i="4" s="1"/>
  <c r="AX474" i="4" s="1"/>
  <c r="BD474" i="4" s="1"/>
  <c r="Z475" i="4"/>
  <c r="CD474" i="4" l="1"/>
  <c r="AB474" i="4"/>
  <c r="CC474" i="4"/>
  <c r="AA474" i="4"/>
  <c r="BZ474" i="4"/>
  <c r="X474" i="4"/>
  <c r="BC474" i="4"/>
  <c r="AL475" i="4"/>
  <c r="AR475" i="4" s="1"/>
  <c r="AX475" i="4" s="1"/>
  <c r="BD475" i="4" s="1"/>
  <c r="M476" i="4"/>
  <c r="BO472" i="4"/>
  <c r="BG472" i="4"/>
  <c r="BP472" i="4" s="1"/>
  <c r="BQ472" i="4" s="1"/>
  <c r="W474" i="4"/>
  <c r="CK474" i="4"/>
  <c r="BI474" i="4"/>
  <c r="S476" i="4"/>
  <c r="CG476" i="4"/>
  <c r="AQ475" i="4"/>
  <c r="AW475" i="4" s="1"/>
  <c r="BV472" i="4"/>
  <c r="BY472" i="4" s="1"/>
  <c r="BL472" i="4"/>
  <c r="BK473" i="4"/>
  <c r="AU473" i="4"/>
  <c r="BA473" i="4" s="1"/>
  <c r="BH473" i="4"/>
  <c r="BV473" i="4" s="1"/>
  <c r="BY473" i="4" s="1"/>
  <c r="X475" i="4" l="1"/>
  <c r="AJ474" i="4"/>
  <c r="AP474" i="4" s="1"/>
  <c r="AV474" i="4" s="1"/>
  <c r="BB474" i="4"/>
  <c r="AM474" i="4"/>
  <c r="AS474" i="4" s="1"/>
  <c r="AY474" i="4" s="1"/>
  <c r="BE474" i="4" s="1"/>
  <c r="AA475" i="4"/>
  <c r="AB475" i="4"/>
  <c r="AN474" i="4"/>
  <c r="AT474" i="4" s="1"/>
  <c r="AZ474" i="4" s="1"/>
  <c r="BF474" i="4" s="1"/>
  <c r="BL473" i="4"/>
  <c r="BM472" i="4"/>
  <c r="BN472" i="4" s="1"/>
  <c r="BC475" i="4"/>
  <c r="CE474" i="4"/>
  <c r="AC474" i="4"/>
  <c r="CA476" i="4"/>
  <c r="Y476" i="4"/>
  <c r="BI475" i="4"/>
  <c r="BS474" i="4"/>
  <c r="CH476" i="4"/>
  <c r="T476" i="4"/>
  <c r="BO473" i="4"/>
  <c r="BG473" i="4"/>
  <c r="BP473" i="4" s="1"/>
  <c r="BQ473" i="4" s="1"/>
  <c r="AN475" i="4" l="1"/>
  <c r="AT475" i="4" s="1"/>
  <c r="AZ475" i="4" s="1"/>
  <c r="BF475" i="4" s="1"/>
  <c r="O476" i="4"/>
  <c r="AM475" i="4"/>
  <c r="AS475" i="4" s="1"/>
  <c r="AY475" i="4" s="1"/>
  <c r="BE475" i="4" s="1"/>
  <c r="N476" i="4"/>
  <c r="K476" i="4"/>
  <c r="AJ475" i="4"/>
  <c r="AP475" i="4" s="1"/>
  <c r="AV475" i="4" s="1"/>
  <c r="BB475" i="4" s="1"/>
  <c r="CB476" i="4"/>
  <c r="Z476" i="4"/>
  <c r="BS475" i="4"/>
  <c r="AC475" i="4"/>
  <c r="AO474" i="4"/>
  <c r="BJ474" i="4"/>
  <c r="Y477" i="4"/>
  <c r="AK476" i="4"/>
  <c r="BM473" i="4"/>
  <c r="BN473" i="4" s="1"/>
  <c r="CF476" i="4" l="1"/>
  <c r="R476" i="4"/>
  <c r="U476" i="4"/>
  <c r="CI476" i="4"/>
  <c r="V476" i="4"/>
  <c r="CJ476" i="4"/>
  <c r="AQ476" i="4"/>
  <c r="AW476" i="4" s="1"/>
  <c r="AK477" i="4"/>
  <c r="L478" i="4"/>
  <c r="AU474" i="4"/>
  <c r="BA474" i="4" s="1"/>
  <c r="BH474" i="4"/>
  <c r="BK474" i="4"/>
  <c r="Z477" i="4"/>
  <c r="AL476" i="4"/>
  <c r="AR476" i="4" s="1"/>
  <c r="AX476" i="4" s="1"/>
  <c r="BD476" i="4" s="1"/>
  <c r="AO475" i="4"/>
  <c r="P476" i="4"/>
  <c r="BJ475" i="4"/>
  <c r="AB476" i="4" l="1"/>
  <c r="CD476" i="4"/>
  <c r="AA476" i="4"/>
  <c r="CC476" i="4"/>
  <c r="BZ476" i="4"/>
  <c r="X476" i="4"/>
  <c r="S478" i="4"/>
  <c r="CG478" i="4"/>
  <c r="AL477" i="4"/>
  <c r="AR477" i="4" s="1"/>
  <c r="AX477" i="4" s="1"/>
  <c r="BD477" i="4" s="1"/>
  <c r="M478" i="4"/>
  <c r="W476" i="4"/>
  <c r="CK476" i="4"/>
  <c r="BI476" i="4"/>
  <c r="AU475" i="4"/>
  <c r="BA475" i="4" s="1"/>
  <c r="BH475" i="4"/>
  <c r="BV475" i="4" s="1"/>
  <c r="BY475" i="4" s="1"/>
  <c r="BK475" i="4"/>
  <c r="AQ477" i="4"/>
  <c r="AW477" i="4" s="1"/>
  <c r="BC476" i="4"/>
  <c r="BV474" i="4"/>
  <c r="BY474" i="4" s="1"/>
  <c r="BL474" i="4"/>
  <c r="BO474" i="4"/>
  <c r="BG474" i="4"/>
  <c r="BP474" i="4" s="1"/>
  <c r="BQ474" i="4" s="1"/>
  <c r="AJ476" i="4" l="1"/>
  <c r="AP476" i="4" s="1"/>
  <c r="AV476" i="4" s="1"/>
  <c r="X477" i="4"/>
  <c r="BB476" i="4"/>
  <c r="AA477" i="4"/>
  <c r="AM476" i="4"/>
  <c r="AS476" i="4" s="1"/>
  <c r="AY476" i="4" s="1"/>
  <c r="BE476" i="4" s="1"/>
  <c r="AN476" i="4"/>
  <c r="AT476" i="4" s="1"/>
  <c r="AZ476" i="4" s="1"/>
  <c r="BF476" i="4" s="1"/>
  <c r="AB477" i="4"/>
  <c r="T478" i="4"/>
  <c r="CH478" i="4"/>
  <c r="BO475" i="4"/>
  <c r="BG475" i="4"/>
  <c r="BP475" i="4" s="1"/>
  <c r="BQ475" i="4" s="1"/>
  <c r="BL475" i="4"/>
  <c r="BM474" i="4"/>
  <c r="BN474" i="4" s="1"/>
  <c r="BC477" i="4"/>
  <c r="CA478" i="4"/>
  <c r="Y478" i="4"/>
  <c r="BI477" i="4"/>
  <c r="BS476" i="4"/>
  <c r="CE476" i="4"/>
  <c r="AC476" i="4"/>
  <c r="O478" i="4" l="1"/>
  <c r="AN477" i="4"/>
  <c r="AT477" i="4" s="1"/>
  <c r="AZ477" i="4" s="1"/>
  <c r="BF477" i="4" s="1"/>
  <c r="AM477" i="4"/>
  <c r="AS477" i="4" s="1"/>
  <c r="AY477" i="4" s="1"/>
  <c r="BE477" i="4" s="1"/>
  <c r="N478" i="4"/>
  <c r="K478" i="4"/>
  <c r="AJ477" i="4"/>
  <c r="AP477" i="4" s="1"/>
  <c r="AV477" i="4" s="1"/>
  <c r="BB477" i="4" s="1"/>
  <c r="CB478" i="4"/>
  <c r="Z478" i="4"/>
  <c r="AC477" i="4"/>
  <c r="AO476" i="4"/>
  <c r="BJ476" i="4"/>
  <c r="BM475" i="4"/>
  <c r="BN475" i="4" s="1"/>
  <c r="AK478" i="4"/>
  <c r="Y479" i="4"/>
  <c r="BS477" i="4"/>
  <c r="R478" i="4" l="1"/>
  <c r="CF478" i="4"/>
  <c r="U478" i="4"/>
  <c r="CI478" i="4"/>
  <c r="CJ478" i="4"/>
  <c r="V478" i="4"/>
  <c r="BK476" i="4"/>
  <c r="AO477" i="4"/>
  <c r="P478" i="4"/>
  <c r="BJ477" i="4"/>
  <c r="AQ478" i="4"/>
  <c r="AW478" i="4" s="1"/>
  <c r="AU476" i="4"/>
  <c r="BA476" i="4" s="1"/>
  <c r="BH476" i="4"/>
  <c r="Z479" i="4"/>
  <c r="AL478" i="4"/>
  <c r="AR478" i="4" s="1"/>
  <c r="AX478" i="4" s="1"/>
  <c r="BD478" i="4" s="1"/>
  <c r="AK479" i="4"/>
  <c r="L480" i="4"/>
  <c r="CD478" i="4" l="1"/>
  <c r="AB478" i="4"/>
  <c r="AA478" i="4"/>
  <c r="CC478" i="4"/>
  <c r="BZ478" i="4"/>
  <c r="X478" i="4"/>
  <c r="BO476" i="4"/>
  <c r="BG476" i="4"/>
  <c r="BP476" i="4" s="1"/>
  <c r="BQ476" i="4" s="1"/>
  <c r="AQ479" i="4"/>
  <c r="AW479" i="4" s="1"/>
  <c r="CK478" i="4"/>
  <c r="W478" i="4"/>
  <c r="BI478" i="4"/>
  <c r="S480" i="4"/>
  <c r="CG480" i="4"/>
  <c r="BC478" i="4"/>
  <c r="AL479" i="4"/>
  <c r="AR479" i="4" s="1"/>
  <c r="AX479" i="4" s="1"/>
  <c r="BD479" i="4" s="1"/>
  <c r="M480" i="4"/>
  <c r="AU477" i="4"/>
  <c r="BA477" i="4" s="1"/>
  <c r="BH477" i="4"/>
  <c r="BV477" i="4" s="1"/>
  <c r="BY477" i="4" s="1"/>
  <c r="BK477" i="4"/>
  <c r="BV476" i="4"/>
  <c r="BY476" i="4" s="1"/>
  <c r="BL476" i="4"/>
  <c r="X479" i="4" l="1"/>
  <c r="AJ478" i="4"/>
  <c r="AP478" i="4" s="1"/>
  <c r="AV478" i="4" s="1"/>
  <c r="BB478" i="4"/>
  <c r="AM478" i="4"/>
  <c r="AS478" i="4" s="1"/>
  <c r="AY478" i="4" s="1"/>
  <c r="BE478" i="4" s="1"/>
  <c r="AA479" i="4"/>
  <c r="AN478" i="4"/>
  <c r="AT478" i="4" s="1"/>
  <c r="AZ478" i="4" s="1"/>
  <c r="BF478" i="4" s="1"/>
  <c r="AB479" i="4"/>
  <c r="BS478" i="4"/>
  <c r="BI479" i="4"/>
  <c r="CE478" i="4"/>
  <c r="AC478" i="4"/>
  <c r="BO477" i="4"/>
  <c r="BG477" i="4"/>
  <c r="BP477" i="4" s="1"/>
  <c r="BQ477" i="4" s="1"/>
  <c r="BC479" i="4"/>
  <c r="CA480" i="4"/>
  <c r="Y480" i="4"/>
  <c r="T480" i="4"/>
  <c r="CH480" i="4"/>
  <c r="BL477" i="4"/>
  <c r="BM476" i="4"/>
  <c r="BN476" i="4" s="1"/>
  <c r="AN479" i="4" l="1"/>
  <c r="AT479" i="4" s="1"/>
  <c r="AZ479" i="4" s="1"/>
  <c r="BF479" i="4" s="1"/>
  <c r="O480" i="4"/>
  <c r="AM479" i="4"/>
  <c r="AS479" i="4" s="1"/>
  <c r="AY479" i="4" s="1"/>
  <c r="BE479" i="4" s="1"/>
  <c r="N480" i="4"/>
  <c r="K480" i="4"/>
  <c r="AJ479" i="4"/>
  <c r="AP479" i="4" s="1"/>
  <c r="AV479" i="4" s="1"/>
  <c r="BB479" i="4" s="1"/>
  <c r="BS479" i="4"/>
  <c r="BM477" i="4"/>
  <c r="BN477" i="4" s="1"/>
  <c r="AC479" i="4"/>
  <c r="AO478" i="4"/>
  <c r="BJ478" i="4"/>
  <c r="CB480" i="4"/>
  <c r="Z480" i="4"/>
  <c r="Y481" i="4"/>
  <c r="AK480" i="4"/>
  <c r="CF480" i="4" l="1"/>
  <c r="R480" i="4"/>
  <c r="U480" i="4"/>
  <c r="CI480" i="4"/>
  <c r="V480" i="4"/>
  <c r="CJ480" i="4"/>
  <c r="BK478" i="4"/>
  <c r="Z481" i="4"/>
  <c r="AL480" i="4"/>
  <c r="AR480" i="4" s="1"/>
  <c r="AX480" i="4" s="1"/>
  <c r="BD480" i="4" s="1"/>
  <c r="AO479" i="4"/>
  <c r="P480" i="4"/>
  <c r="BJ479" i="4"/>
  <c r="AQ480" i="4"/>
  <c r="AW480" i="4" s="1"/>
  <c r="AU478" i="4"/>
  <c r="BA478" i="4" s="1"/>
  <c r="BH478" i="4"/>
  <c r="AK481" i="4"/>
  <c r="L482" i="4"/>
  <c r="CD480" i="4" l="1"/>
  <c r="AB480" i="4"/>
  <c r="AA480" i="4"/>
  <c r="CC480" i="4"/>
  <c r="BZ480" i="4"/>
  <c r="X480" i="4"/>
  <c r="BO478" i="4"/>
  <c r="BG478" i="4"/>
  <c r="BP478" i="4" s="1"/>
  <c r="BQ478" i="4" s="1"/>
  <c r="BC480" i="4"/>
  <c r="S482" i="4"/>
  <c r="CG482" i="4"/>
  <c r="AL481" i="4"/>
  <c r="AR481" i="4" s="1"/>
  <c r="AX481" i="4" s="1"/>
  <c r="BD481" i="4" s="1"/>
  <c r="M482" i="4"/>
  <c r="BV478" i="4"/>
  <c r="BY478" i="4" s="1"/>
  <c r="BL478" i="4"/>
  <c r="BK479" i="4"/>
  <c r="W480" i="4"/>
  <c r="CK480" i="4"/>
  <c r="BI480" i="4"/>
  <c r="AU479" i="4"/>
  <c r="BA479" i="4" s="1"/>
  <c r="BH479" i="4"/>
  <c r="BV479" i="4" s="1"/>
  <c r="BY479" i="4" s="1"/>
  <c r="AQ481" i="4"/>
  <c r="AW481" i="4" s="1"/>
  <c r="AJ480" i="4" l="1"/>
  <c r="AP480" i="4" s="1"/>
  <c r="AV480" i="4" s="1"/>
  <c r="X481" i="4"/>
  <c r="BB480" i="4"/>
  <c r="AA481" i="4"/>
  <c r="AM480" i="4"/>
  <c r="AS480" i="4" s="1"/>
  <c r="AY480" i="4" s="1"/>
  <c r="BE480" i="4" s="1"/>
  <c r="AN480" i="4"/>
  <c r="AT480" i="4" s="1"/>
  <c r="AZ480" i="4" s="1"/>
  <c r="BF480" i="4" s="1"/>
  <c r="AB481" i="4"/>
  <c r="BO479" i="4"/>
  <c r="BG479" i="4"/>
  <c r="BP479" i="4" s="1"/>
  <c r="BQ479" i="4" s="1"/>
  <c r="BL479" i="4"/>
  <c r="BM478" i="4"/>
  <c r="BN478" i="4" s="1"/>
  <c r="BS480" i="4"/>
  <c r="BI481" i="4"/>
  <c r="CA482" i="4"/>
  <c r="Y482" i="4"/>
  <c r="CE480" i="4"/>
  <c r="AC480" i="4"/>
  <c r="T482" i="4"/>
  <c r="CH482" i="4"/>
  <c r="BC481" i="4"/>
  <c r="AN481" i="4" l="1"/>
  <c r="AT481" i="4" s="1"/>
  <c r="AZ481" i="4" s="1"/>
  <c r="BF481" i="4" s="1"/>
  <c r="O482" i="4"/>
  <c r="AM481" i="4"/>
  <c r="AS481" i="4" s="1"/>
  <c r="AY481" i="4" s="1"/>
  <c r="BE481" i="4" s="1"/>
  <c r="N482" i="4"/>
  <c r="AJ481" i="4"/>
  <c r="AP481" i="4" s="1"/>
  <c r="AV481" i="4" s="1"/>
  <c r="BB481" i="4" s="1"/>
  <c r="K482" i="4"/>
  <c r="Y483" i="4"/>
  <c r="AK482" i="4"/>
  <c r="AC481" i="4"/>
  <c r="AO480" i="4"/>
  <c r="BJ480" i="4"/>
  <c r="BM479" i="4"/>
  <c r="BN479" i="4" s="1"/>
  <c r="BS481" i="4"/>
  <c r="CB482" i="4"/>
  <c r="Z482" i="4"/>
  <c r="R482" i="4" l="1"/>
  <c r="CF482" i="4"/>
  <c r="U482" i="4"/>
  <c r="CI482" i="4"/>
  <c r="V482" i="4"/>
  <c r="CJ482" i="4"/>
  <c r="BK480" i="4"/>
  <c r="AL482" i="4"/>
  <c r="AR482" i="4" s="1"/>
  <c r="AX482" i="4" s="1"/>
  <c r="BD482" i="4" s="1"/>
  <c r="Z483" i="4"/>
  <c r="AO481" i="4"/>
  <c r="P482" i="4"/>
  <c r="BJ481" i="4"/>
  <c r="AK483" i="4"/>
  <c r="L484" i="4"/>
  <c r="AU480" i="4"/>
  <c r="BA480" i="4" s="1"/>
  <c r="BH480" i="4"/>
  <c r="AQ482" i="4"/>
  <c r="AW482" i="4" s="1"/>
  <c r="CD482" i="4" l="1"/>
  <c r="AB482" i="4"/>
  <c r="AA482" i="4"/>
  <c r="CC482" i="4"/>
  <c r="BZ482" i="4"/>
  <c r="X482" i="4"/>
  <c r="AU481" i="4"/>
  <c r="BA481" i="4" s="1"/>
  <c r="BH481" i="4"/>
  <c r="BV481" i="4" s="1"/>
  <c r="BY481" i="4" s="1"/>
  <c r="BC482" i="4"/>
  <c r="AL483" i="4"/>
  <c r="AR483" i="4" s="1"/>
  <c r="AX483" i="4" s="1"/>
  <c r="BD483" i="4" s="1"/>
  <c r="M484" i="4"/>
  <c r="W482" i="4"/>
  <c r="CK482" i="4"/>
  <c r="BI482" i="4"/>
  <c r="BV480" i="4"/>
  <c r="BY480" i="4" s="1"/>
  <c r="BL480" i="4"/>
  <c r="S484" i="4"/>
  <c r="CG484" i="4"/>
  <c r="AQ483" i="4"/>
  <c r="AW483" i="4" s="1"/>
  <c r="BK481" i="4"/>
  <c r="BO480" i="4"/>
  <c r="BG480" i="4"/>
  <c r="BP480" i="4" s="1"/>
  <c r="BQ480" i="4" s="1"/>
  <c r="AJ482" i="4" l="1"/>
  <c r="AP482" i="4" s="1"/>
  <c r="AV482" i="4" s="1"/>
  <c r="X483" i="4"/>
  <c r="BB482" i="4"/>
  <c r="AM482" i="4"/>
  <c r="AS482" i="4" s="1"/>
  <c r="AY482" i="4" s="1"/>
  <c r="BE482" i="4" s="1"/>
  <c r="AA483" i="4"/>
  <c r="AN482" i="4"/>
  <c r="AT482" i="4" s="1"/>
  <c r="AZ482" i="4" s="1"/>
  <c r="BF482" i="4" s="1"/>
  <c r="AB483" i="4"/>
  <c r="T484" i="4"/>
  <c r="CH484" i="4"/>
  <c r="BL481" i="4"/>
  <c r="BM480" i="4"/>
  <c r="BN480" i="4" s="1"/>
  <c r="BO481" i="4"/>
  <c r="BG481" i="4"/>
  <c r="BP481" i="4" s="1"/>
  <c r="BQ481" i="4" s="1"/>
  <c r="BS482" i="4"/>
  <c r="BI483" i="4"/>
  <c r="CA484" i="4"/>
  <c r="Y484" i="4"/>
  <c r="CE482" i="4"/>
  <c r="AC482" i="4"/>
  <c r="BC483" i="4"/>
  <c r="N484" i="4" l="1"/>
  <c r="AM483" i="4"/>
  <c r="AS483" i="4" s="1"/>
  <c r="AY483" i="4" s="1"/>
  <c r="BE483" i="4" s="1"/>
  <c r="AN483" i="4"/>
  <c r="AT483" i="4" s="1"/>
  <c r="AZ483" i="4" s="1"/>
  <c r="BF483" i="4" s="1"/>
  <c r="O484" i="4"/>
  <c r="AJ483" i="4"/>
  <c r="AP483" i="4" s="1"/>
  <c r="AV483" i="4" s="1"/>
  <c r="BB483" i="4" s="1"/>
  <c r="K484" i="4"/>
  <c r="AO482" i="4"/>
  <c r="AC483" i="4"/>
  <c r="BJ482" i="4"/>
  <c r="Y485" i="4"/>
  <c r="AK484" i="4"/>
  <c r="BM481" i="4"/>
  <c r="BN481" i="4" s="1"/>
  <c r="BS483" i="4"/>
  <c r="CB484" i="4"/>
  <c r="Z484" i="4"/>
  <c r="CF484" i="4" l="1"/>
  <c r="R484" i="4"/>
  <c r="V484" i="4"/>
  <c r="CJ484" i="4"/>
  <c r="U484" i="4"/>
  <c r="CI484" i="4"/>
  <c r="AK485" i="4"/>
  <c r="L486" i="4"/>
  <c r="AL484" i="4"/>
  <c r="AR484" i="4" s="1"/>
  <c r="AX484" i="4" s="1"/>
  <c r="BD484" i="4" s="1"/>
  <c r="Z485" i="4"/>
  <c r="AU482" i="4"/>
  <c r="BA482" i="4" s="1"/>
  <c r="BH482" i="4"/>
  <c r="BK482" i="4"/>
  <c r="AQ484" i="4"/>
  <c r="AW484" i="4" s="1"/>
  <c r="AO483" i="4"/>
  <c r="P484" i="4"/>
  <c r="BJ483" i="4"/>
  <c r="AA484" i="4" l="1"/>
  <c r="CC484" i="4"/>
  <c r="AB484" i="4"/>
  <c r="CD484" i="4"/>
  <c r="BZ484" i="4"/>
  <c r="X484" i="4"/>
  <c r="BC484" i="4"/>
  <c r="CK484" i="4"/>
  <c r="W484" i="4"/>
  <c r="BI484" i="4"/>
  <c r="AU483" i="4"/>
  <c r="BA483" i="4" s="1"/>
  <c r="BH483" i="4"/>
  <c r="BV483" i="4" s="1"/>
  <c r="BY483" i="4" s="1"/>
  <c r="BO482" i="4"/>
  <c r="BG482" i="4"/>
  <c r="BP482" i="4" s="1"/>
  <c r="BQ482" i="4" s="1"/>
  <c r="AQ485" i="4"/>
  <c r="AW485" i="4" s="1"/>
  <c r="BV482" i="4"/>
  <c r="BY482" i="4" s="1"/>
  <c r="BL482" i="4"/>
  <c r="BK483" i="4"/>
  <c r="AL485" i="4"/>
  <c r="AR485" i="4" s="1"/>
  <c r="AX485" i="4" s="1"/>
  <c r="BD485" i="4" s="1"/>
  <c r="M486" i="4"/>
  <c r="S486" i="4"/>
  <c r="CG486" i="4"/>
  <c r="AJ484" i="4" l="1"/>
  <c r="AP484" i="4" s="1"/>
  <c r="AV484" i="4" s="1"/>
  <c r="X485" i="4"/>
  <c r="BB484" i="4"/>
  <c r="AN484" i="4"/>
  <c r="AT484" i="4" s="1"/>
  <c r="AZ484" i="4" s="1"/>
  <c r="BF484" i="4" s="1"/>
  <c r="AB485" i="4"/>
  <c r="AM484" i="4"/>
  <c r="AS484" i="4" s="1"/>
  <c r="AY484" i="4" s="1"/>
  <c r="BE484" i="4" s="1"/>
  <c r="AA485" i="4"/>
  <c r="T486" i="4"/>
  <c r="CH486" i="4"/>
  <c r="BI485" i="4"/>
  <c r="BS484" i="4"/>
  <c r="CE484" i="4"/>
  <c r="AC484" i="4"/>
  <c r="BO483" i="4"/>
  <c r="BG483" i="4"/>
  <c r="BP483" i="4" s="1"/>
  <c r="BQ483" i="4" s="1"/>
  <c r="BL483" i="4"/>
  <c r="BM482" i="4"/>
  <c r="BN482" i="4" s="1"/>
  <c r="BC485" i="4"/>
  <c r="CA486" i="4"/>
  <c r="Y486" i="4"/>
  <c r="N486" i="4" l="1"/>
  <c r="AM485" i="4"/>
  <c r="AS485" i="4" s="1"/>
  <c r="AY485" i="4" s="1"/>
  <c r="BE485" i="4" s="1"/>
  <c r="AN485" i="4"/>
  <c r="AT485" i="4" s="1"/>
  <c r="AZ485" i="4" s="1"/>
  <c r="BF485" i="4" s="1"/>
  <c r="O486" i="4"/>
  <c r="AJ485" i="4"/>
  <c r="AP485" i="4" s="1"/>
  <c r="AV485" i="4" s="1"/>
  <c r="BB485" i="4" s="1"/>
  <c r="K486" i="4"/>
  <c r="AC485" i="4"/>
  <c r="AO484" i="4"/>
  <c r="BJ484" i="4"/>
  <c r="BS485" i="4"/>
  <c r="BM483" i="4"/>
  <c r="BN483" i="4" s="1"/>
  <c r="Y487" i="4"/>
  <c r="AK486" i="4"/>
  <c r="CB486" i="4"/>
  <c r="Z486" i="4"/>
  <c r="R486" i="4" l="1"/>
  <c r="CF486" i="4"/>
  <c r="V486" i="4"/>
  <c r="CJ486" i="4"/>
  <c r="CI486" i="4"/>
  <c r="U486" i="4"/>
  <c r="AL486" i="4"/>
  <c r="AR486" i="4" s="1"/>
  <c r="AX486" i="4" s="1"/>
  <c r="BD486" i="4" s="1"/>
  <c r="Z487" i="4"/>
  <c r="BK484" i="4"/>
  <c r="AO485" i="4"/>
  <c r="P486" i="4"/>
  <c r="BJ485" i="4"/>
  <c r="AQ486" i="4"/>
  <c r="AW486" i="4" s="1"/>
  <c r="AU484" i="4"/>
  <c r="BA484" i="4" s="1"/>
  <c r="BH484" i="4"/>
  <c r="AK487" i="4"/>
  <c r="L488" i="4"/>
  <c r="CC486" i="4" l="1"/>
  <c r="AA486" i="4"/>
  <c r="AB486" i="4"/>
  <c r="CD486" i="4"/>
  <c r="BZ486" i="4"/>
  <c r="X486" i="4"/>
  <c r="AU485" i="4"/>
  <c r="BA485" i="4" s="1"/>
  <c r="BH485" i="4"/>
  <c r="BV485" i="4" s="1"/>
  <c r="BY485" i="4" s="1"/>
  <c r="AQ487" i="4"/>
  <c r="AW487" i="4" s="1"/>
  <c r="BV484" i="4"/>
  <c r="BY484" i="4" s="1"/>
  <c r="BL484" i="4"/>
  <c r="S488" i="4"/>
  <c r="CG488" i="4"/>
  <c r="BC486" i="4"/>
  <c r="W486" i="4"/>
  <c r="CK486" i="4"/>
  <c r="BI486" i="4"/>
  <c r="AL487" i="4"/>
  <c r="AR487" i="4" s="1"/>
  <c r="AX487" i="4" s="1"/>
  <c r="BD487" i="4" s="1"/>
  <c r="M488" i="4"/>
  <c r="BO484" i="4"/>
  <c r="BG484" i="4"/>
  <c r="BP484" i="4" s="1"/>
  <c r="BQ484" i="4" s="1"/>
  <c r="BK485" i="4"/>
  <c r="X487" i="4" l="1"/>
  <c r="AJ486" i="4"/>
  <c r="AP486" i="4" s="1"/>
  <c r="AV486" i="4" s="1"/>
  <c r="BB486" i="4"/>
  <c r="AN486" i="4"/>
  <c r="AT486" i="4" s="1"/>
  <c r="AZ486" i="4" s="1"/>
  <c r="BF486" i="4" s="1"/>
  <c r="AB487" i="4"/>
  <c r="AA487" i="4"/>
  <c r="AM486" i="4"/>
  <c r="AS486" i="4" s="1"/>
  <c r="AY486" i="4" s="1"/>
  <c r="BE486" i="4" s="1"/>
  <c r="BI487" i="4"/>
  <c r="BS486" i="4"/>
  <c r="BC487" i="4"/>
  <c r="CH488" i="4"/>
  <c r="T488" i="4"/>
  <c r="CE486" i="4"/>
  <c r="AC486" i="4"/>
  <c r="CA488" i="4"/>
  <c r="Y488" i="4"/>
  <c r="BL485" i="4"/>
  <c r="BM484" i="4"/>
  <c r="BN484" i="4" s="1"/>
  <c r="BO485" i="4"/>
  <c r="BG485" i="4"/>
  <c r="BP485" i="4" s="1"/>
  <c r="BQ485" i="4" s="1"/>
  <c r="N488" i="4" l="1"/>
  <c r="AM487" i="4"/>
  <c r="AS487" i="4" s="1"/>
  <c r="AY487" i="4" s="1"/>
  <c r="BE487" i="4" s="1"/>
  <c r="O488" i="4"/>
  <c r="AN487" i="4"/>
  <c r="AT487" i="4" s="1"/>
  <c r="AZ487" i="4" s="1"/>
  <c r="BF487" i="4" s="1"/>
  <c r="AJ487" i="4"/>
  <c r="AP487" i="4" s="1"/>
  <c r="AV487" i="4" s="1"/>
  <c r="BB487" i="4" s="1"/>
  <c r="K488" i="4"/>
  <c r="AK488" i="4"/>
  <c r="Y489" i="4"/>
  <c r="AO486" i="4"/>
  <c r="AC487" i="4"/>
  <c r="BJ486" i="4"/>
  <c r="CB488" i="4"/>
  <c r="Z488" i="4"/>
  <c r="BS487" i="4"/>
  <c r="BM485" i="4"/>
  <c r="BN485" i="4" s="1"/>
  <c r="CF488" i="4" l="1"/>
  <c r="R488" i="4"/>
  <c r="V488" i="4"/>
  <c r="CJ488" i="4"/>
  <c r="CI488" i="4"/>
  <c r="U488" i="4"/>
  <c r="BK486" i="4"/>
  <c r="AK489" i="4"/>
  <c r="L490" i="4"/>
  <c r="AO487" i="4"/>
  <c r="P488" i="4"/>
  <c r="BJ487" i="4"/>
  <c r="AU486" i="4"/>
  <c r="BA486" i="4" s="1"/>
  <c r="BH486" i="4"/>
  <c r="AQ488" i="4"/>
  <c r="AW488" i="4" s="1"/>
  <c r="Z489" i="4"/>
  <c r="AL488" i="4"/>
  <c r="AR488" i="4" s="1"/>
  <c r="AX488" i="4" s="1"/>
  <c r="BD488" i="4" s="1"/>
  <c r="CC488" i="4" l="1"/>
  <c r="AA488" i="4"/>
  <c r="CD488" i="4"/>
  <c r="AB488" i="4"/>
  <c r="BZ488" i="4"/>
  <c r="X488" i="4"/>
  <c r="W488" i="4"/>
  <c r="CK488" i="4"/>
  <c r="BI488" i="4"/>
  <c r="BK487" i="4"/>
  <c r="S490" i="4"/>
  <c r="CG490" i="4"/>
  <c r="BV486" i="4"/>
  <c r="BY486" i="4" s="1"/>
  <c r="BL486" i="4"/>
  <c r="BO486" i="4"/>
  <c r="BG486" i="4"/>
  <c r="BP486" i="4" s="1"/>
  <c r="BQ486" i="4" s="1"/>
  <c r="AU487" i="4"/>
  <c r="BA487" i="4" s="1"/>
  <c r="BH487" i="4"/>
  <c r="BV487" i="4" s="1"/>
  <c r="BY487" i="4" s="1"/>
  <c r="AL489" i="4"/>
  <c r="AR489" i="4" s="1"/>
  <c r="AX489" i="4" s="1"/>
  <c r="BD489" i="4" s="1"/>
  <c r="M490" i="4"/>
  <c r="AQ489" i="4"/>
  <c r="AW489" i="4" s="1"/>
  <c r="BC488" i="4"/>
  <c r="X489" i="4" l="1"/>
  <c r="AJ488" i="4"/>
  <c r="AP488" i="4" s="1"/>
  <c r="AV488" i="4" s="1"/>
  <c r="BB488" i="4"/>
  <c r="AN488" i="4"/>
  <c r="AT488" i="4" s="1"/>
  <c r="AZ488" i="4" s="1"/>
  <c r="BF488" i="4" s="1"/>
  <c r="AB489" i="4"/>
  <c r="AM488" i="4"/>
  <c r="AS488" i="4" s="1"/>
  <c r="AY488" i="4" s="1"/>
  <c r="BE488" i="4" s="1"/>
  <c r="AA489" i="4"/>
  <c r="BL487" i="4"/>
  <c r="BM486" i="4"/>
  <c r="BN486" i="4" s="1"/>
  <c r="CA490" i="4"/>
  <c r="Y490" i="4"/>
  <c r="BO487" i="4"/>
  <c r="BG487" i="4"/>
  <c r="BP487" i="4" s="1"/>
  <c r="BQ487" i="4" s="1"/>
  <c r="BI489" i="4"/>
  <c r="BS488" i="4"/>
  <c r="BC489" i="4"/>
  <c r="T490" i="4"/>
  <c r="CH490" i="4"/>
  <c r="CE488" i="4"/>
  <c r="AC488" i="4"/>
  <c r="AM489" i="4" l="1"/>
  <c r="AS489" i="4" s="1"/>
  <c r="AY489" i="4" s="1"/>
  <c r="BE489" i="4" s="1"/>
  <c r="N490" i="4"/>
  <c r="AN489" i="4"/>
  <c r="AT489" i="4" s="1"/>
  <c r="AZ489" i="4" s="1"/>
  <c r="BF489" i="4" s="1"/>
  <c r="O490" i="4"/>
  <c r="AJ489" i="4"/>
  <c r="AP489" i="4" s="1"/>
  <c r="AV489" i="4" s="1"/>
  <c r="BB489" i="4" s="1"/>
  <c r="K490" i="4"/>
  <c r="Y491" i="4"/>
  <c r="AK490" i="4"/>
  <c r="BM487" i="4"/>
  <c r="BN487" i="4" s="1"/>
  <c r="CB490" i="4"/>
  <c r="Z490" i="4"/>
  <c r="BS489" i="4"/>
  <c r="AC489" i="4"/>
  <c r="AO488" i="4"/>
  <c r="BJ488" i="4"/>
  <c r="CF490" i="4" l="1"/>
  <c r="R490" i="4"/>
  <c r="V490" i="4"/>
  <c r="CJ490" i="4"/>
  <c r="CI490" i="4"/>
  <c r="U490" i="4"/>
  <c r="AL490" i="4"/>
  <c r="AR490" i="4" s="1"/>
  <c r="AX490" i="4" s="1"/>
  <c r="BD490" i="4" s="1"/>
  <c r="Z491" i="4"/>
  <c r="AK491" i="4"/>
  <c r="L492" i="4"/>
  <c r="AQ490" i="4"/>
  <c r="AW490" i="4" s="1"/>
  <c r="BK488" i="4"/>
  <c r="AU488" i="4"/>
  <c r="BA488" i="4" s="1"/>
  <c r="BH488" i="4"/>
  <c r="AO489" i="4"/>
  <c r="P490" i="4"/>
  <c r="BJ489" i="4"/>
  <c r="AA490" i="4" l="1"/>
  <c r="CC490" i="4"/>
  <c r="CD490" i="4"/>
  <c r="AB490" i="4"/>
  <c r="BZ490" i="4"/>
  <c r="X490" i="4"/>
  <c r="BO488" i="4"/>
  <c r="BG488" i="4"/>
  <c r="BP488" i="4" s="1"/>
  <c r="BQ488" i="4" s="1"/>
  <c r="BK489" i="4"/>
  <c r="S492" i="4"/>
  <c r="CG492" i="4"/>
  <c r="W490" i="4"/>
  <c r="CK490" i="4"/>
  <c r="BI490" i="4"/>
  <c r="AU489" i="4"/>
  <c r="BA489" i="4" s="1"/>
  <c r="BH489" i="4"/>
  <c r="BV489" i="4" s="1"/>
  <c r="BY489" i="4" s="1"/>
  <c r="AQ491" i="4"/>
  <c r="AW491" i="4" s="1"/>
  <c r="AL491" i="4"/>
  <c r="AR491" i="4" s="1"/>
  <c r="AX491" i="4" s="1"/>
  <c r="BD491" i="4" s="1"/>
  <c r="M492" i="4"/>
  <c r="BC490" i="4"/>
  <c r="BV488" i="4"/>
  <c r="BY488" i="4" s="1"/>
  <c r="BL488" i="4"/>
  <c r="X491" i="4" l="1"/>
  <c r="AJ490" i="4"/>
  <c r="AP490" i="4" s="1"/>
  <c r="AV490" i="4" s="1"/>
  <c r="BB490" i="4"/>
  <c r="AB491" i="4"/>
  <c r="AN490" i="4"/>
  <c r="AT490" i="4" s="1"/>
  <c r="AZ490" i="4" s="1"/>
  <c r="BF490" i="4" s="1"/>
  <c r="AA491" i="4"/>
  <c r="AM490" i="4"/>
  <c r="AS490" i="4" s="1"/>
  <c r="AY490" i="4" s="1"/>
  <c r="BE490" i="4" s="1"/>
  <c r="CA492" i="4"/>
  <c r="Y492" i="4"/>
  <c r="BC491" i="4"/>
  <c r="BO489" i="4"/>
  <c r="BG489" i="4"/>
  <c r="BP489" i="4" s="1"/>
  <c r="BQ489" i="4" s="1"/>
  <c r="BL489" i="4"/>
  <c r="BM488" i="4"/>
  <c r="BN488" i="4" s="1"/>
  <c r="CE490" i="4"/>
  <c r="AC490" i="4"/>
  <c r="BI491" i="4"/>
  <c r="BS490" i="4"/>
  <c r="T492" i="4"/>
  <c r="CH492" i="4"/>
  <c r="N492" i="4" l="1"/>
  <c r="AM491" i="4"/>
  <c r="AS491" i="4" s="1"/>
  <c r="AY491" i="4" s="1"/>
  <c r="BE491" i="4" s="1"/>
  <c r="AN491" i="4"/>
  <c r="AT491" i="4" s="1"/>
  <c r="AZ491" i="4" s="1"/>
  <c r="BF491" i="4" s="1"/>
  <c r="O492" i="4"/>
  <c r="AJ491" i="4"/>
  <c r="AP491" i="4" s="1"/>
  <c r="AV491" i="4" s="1"/>
  <c r="BB491" i="4" s="1"/>
  <c r="K492" i="4"/>
  <c r="BS491" i="4"/>
  <c r="CB492" i="4"/>
  <c r="Z492" i="4"/>
  <c r="AC491" i="4"/>
  <c r="AO490" i="4"/>
  <c r="BJ490" i="4"/>
  <c r="BM489" i="4"/>
  <c r="BN489" i="4" s="1"/>
  <c r="AK492" i="4"/>
  <c r="Y493" i="4"/>
  <c r="V492" i="4" l="1"/>
  <c r="CJ492" i="4"/>
  <c r="CF492" i="4"/>
  <c r="R492" i="4"/>
  <c r="CI492" i="4"/>
  <c r="U492" i="4"/>
  <c r="BK490" i="4"/>
  <c r="AU490" i="4"/>
  <c r="BA490" i="4" s="1"/>
  <c r="BH490" i="4"/>
  <c r="AO491" i="4"/>
  <c r="P492" i="4"/>
  <c r="BJ491" i="4"/>
  <c r="AL492" i="4"/>
  <c r="AR492" i="4" s="1"/>
  <c r="AX492" i="4" s="1"/>
  <c r="BD492" i="4" s="1"/>
  <c r="Z493" i="4"/>
  <c r="AK493" i="4"/>
  <c r="L494" i="4"/>
  <c r="AQ492" i="4"/>
  <c r="AW492" i="4" s="1"/>
  <c r="AA492" i="4" l="1"/>
  <c r="CC492" i="4"/>
  <c r="BZ492" i="4"/>
  <c r="X492" i="4"/>
  <c r="AB492" i="4"/>
  <c r="CD492" i="4"/>
  <c r="BC492" i="4"/>
  <c r="W492" i="4"/>
  <c r="CK492" i="4"/>
  <c r="BI492" i="4"/>
  <c r="AU491" i="4"/>
  <c r="BA491" i="4" s="1"/>
  <c r="BH491" i="4"/>
  <c r="BV491" i="4" s="1"/>
  <c r="BY491" i="4" s="1"/>
  <c r="BV490" i="4"/>
  <c r="BY490" i="4" s="1"/>
  <c r="BL490" i="4"/>
  <c r="AL493" i="4"/>
  <c r="AR493" i="4" s="1"/>
  <c r="AX493" i="4" s="1"/>
  <c r="BD493" i="4" s="1"/>
  <c r="M494" i="4"/>
  <c r="S494" i="4"/>
  <c r="CG494" i="4"/>
  <c r="AQ493" i="4"/>
  <c r="AW493" i="4" s="1"/>
  <c r="BK491" i="4"/>
  <c r="BO490" i="4"/>
  <c r="BG490" i="4"/>
  <c r="BP490" i="4" s="1"/>
  <c r="BQ490" i="4" s="1"/>
  <c r="AB493" i="4" l="1"/>
  <c r="AN492" i="4"/>
  <c r="AT492" i="4" s="1"/>
  <c r="AZ492" i="4" s="1"/>
  <c r="BF492" i="4" s="1"/>
  <c r="X493" i="4"/>
  <c r="AJ492" i="4"/>
  <c r="AP492" i="4" s="1"/>
  <c r="AV492" i="4" s="1"/>
  <c r="BB492" i="4" s="1"/>
  <c r="AM492" i="4"/>
  <c r="AS492" i="4" s="1"/>
  <c r="AY492" i="4" s="1"/>
  <c r="BE492" i="4" s="1"/>
  <c r="AA493" i="4"/>
  <c r="BL491" i="4"/>
  <c r="BM490" i="4"/>
  <c r="BN490" i="4" s="1"/>
  <c r="BC493" i="4"/>
  <c r="CE492" i="4"/>
  <c r="AC492" i="4"/>
  <c r="BO491" i="4"/>
  <c r="BG491" i="4"/>
  <c r="BP491" i="4" s="1"/>
  <c r="BQ491" i="4" s="1"/>
  <c r="T494" i="4"/>
  <c r="CH494" i="4"/>
  <c r="BI493" i="4"/>
  <c r="BS492" i="4"/>
  <c r="CA494" i="4"/>
  <c r="Y494" i="4"/>
  <c r="N494" i="4" l="1"/>
  <c r="AM493" i="4"/>
  <c r="AS493" i="4" s="1"/>
  <c r="AY493" i="4" s="1"/>
  <c r="BE493" i="4" s="1"/>
  <c r="AJ493" i="4"/>
  <c r="AP493" i="4" s="1"/>
  <c r="AV493" i="4" s="1"/>
  <c r="BB493" i="4" s="1"/>
  <c r="K494" i="4"/>
  <c r="O494" i="4"/>
  <c r="AN493" i="4"/>
  <c r="AT493" i="4" s="1"/>
  <c r="AZ493" i="4" s="1"/>
  <c r="BF493" i="4" s="1"/>
  <c r="CB494" i="4"/>
  <c r="Z494" i="4"/>
  <c r="AC493" i="4"/>
  <c r="AO492" i="4"/>
  <c r="BJ492" i="4"/>
  <c r="BS493" i="4"/>
  <c r="AK494" i="4"/>
  <c r="Y495" i="4"/>
  <c r="BM491" i="4"/>
  <c r="BN491" i="4" s="1"/>
  <c r="V494" i="4" l="1"/>
  <c r="CJ494" i="4"/>
  <c r="CF494" i="4"/>
  <c r="R494" i="4"/>
  <c r="U494" i="4"/>
  <c r="CI494" i="4"/>
  <c r="AU492" i="4"/>
  <c r="BA492" i="4" s="1"/>
  <c r="BH492" i="4"/>
  <c r="Z495" i="4"/>
  <c r="AL494" i="4"/>
  <c r="AR494" i="4" s="1"/>
  <c r="AX494" i="4" s="1"/>
  <c r="BD494" i="4" s="1"/>
  <c r="AK495" i="4"/>
  <c r="L496" i="4"/>
  <c r="BK492" i="4"/>
  <c r="AQ494" i="4"/>
  <c r="AW494" i="4" s="1"/>
  <c r="AO493" i="4"/>
  <c r="P494" i="4"/>
  <c r="BJ493" i="4"/>
  <c r="CC494" i="4" l="1"/>
  <c r="AA494" i="4"/>
  <c r="BZ494" i="4"/>
  <c r="X494" i="4"/>
  <c r="CD494" i="4"/>
  <c r="AB494" i="4"/>
  <c r="AU493" i="4"/>
  <c r="BA493" i="4" s="1"/>
  <c r="BH493" i="4"/>
  <c r="BV493" i="4" s="1"/>
  <c r="BY493" i="4" s="1"/>
  <c r="W494" i="4"/>
  <c r="CK494" i="4"/>
  <c r="BI494" i="4"/>
  <c r="AL495" i="4"/>
  <c r="AR495" i="4" s="1"/>
  <c r="AX495" i="4" s="1"/>
  <c r="BD495" i="4" s="1"/>
  <c r="M496" i="4"/>
  <c r="S496" i="4"/>
  <c r="CG496" i="4"/>
  <c r="BK493" i="4"/>
  <c r="AQ495" i="4"/>
  <c r="AW495" i="4" s="1"/>
  <c r="BV492" i="4"/>
  <c r="BY492" i="4" s="1"/>
  <c r="BL492" i="4"/>
  <c r="BC494" i="4"/>
  <c r="BO492" i="4"/>
  <c r="BG492" i="4"/>
  <c r="BP492" i="4" s="1"/>
  <c r="BQ492" i="4" s="1"/>
  <c r="AN494" i="4" l="1"/>
  <c r="AT494" i="4" s="1"/>
  <c r="AZ494" i="4" s="1"/>
  <c r="AB495" i="4"/>
  <c r="BF494" i="4"/>
  <c r="X495" i="4"/>
  <c r="AJ494" i="4"/>
  <c r="AP494" i="4" s="1"/>
  <c r="AV494" i="4" s="1"/>
  <c r="BB494" i="4" s="1"/>
  <c r="AA495" i="4"/>
  <c r="AM494" i="4"/>
  <c r="AS494" i="4" s="1"/>
  <c r="AY494" i="4" s="1"/>
  <c r="BE494" i="4" s="1"/>
  <c r="BL493" i="4"/>
  <c r="BM492" i="4"/>
  <c r="BN492" i="4" s="1"/>
  <c r="BI495" i="4"/>
  <c r="BS494" i="4"/>
  <c r="T496" i="4"/>
  <c r="CH496" i="4"/>
  <c r="BC495" i="4"/>
  <c r="CE494" i="4"/>
  <c r="AC494" i="4"/>
  <c r="CA496" i="4"/>
  <c r="Y496" i="4"/>
  <c r="BO493" i="4"/>
  <c r="BG493" i="4"/>
  <c r="BP493" i="4" s="1"/>
  <c r="BQ493" i="4" s="1"/>
  <c r="N496" i="4" l="1"/>
  <c r="AM495" i="4"/>
  <c r="AS495" i="4" s="1"/>
  <c r="AY495" i="4" s="1"/>
  <c r="BE495" i="4" s="1"/>
  <c r="K496" i="4"/>
  <c r="AJ495" i="4"/>
  <c r="AP495" i="4" s="1"/>
  <c r="AV495" i="4" s="1"/>
  <c r="BB495" i="4" s="1"/>
  <c r="AN495" i="4"/>
  <c r="AT495" i="4" s="1"/>
  <c r="AZ495" i="4" s="1"/>
  <c r="BF495" i="4" s="1"/>
  <c r="O496" i="4"/>
  <c r="Y497" i="4"/>
  <c r="AK496" i="4"/>
  <c r="BS495" i="4"/>
  <c r="AC495" i="4"/>
  <c r="AO494" i="4"/>
  <c r="BJ494" i="4"/>
  <c r="BM493" i="4"/>
  <c r="BN493" i="4" s="1"/>
  <c r="CB496" i="4"/>
  <c r="Z496" i="4"/>
  <c r="CF496" i="4" l="1"/>
  <c r="R496" i="4"/>
  <c r="CJ496" i="4"/>
  <c r="V496" i="4"/>
  <c r="U496" i="4"/>
  <c r="CI496" i="4"/>
  <c r="AU494" i="4"/>
  <c r="BA494" i="4" s="1"/>
  <c r="BH494" i="4"/>
  <c r="AO495" i="4"/>
  <c r="P496" i="4"/>
  <c r="BJ495" i="4"/>
  <c r="Z497" i="4"/>
  <c r="AL496" i="4"/>
  <c r="AR496" i="4" s="1"/>
  <c r="AX496" i="4" s="1"/>
  <c r="BD496" i="4" s="1"/>
  <c r="AQ496" i="4"/>
  <c r="AW496" i="4" s="1"/>
  <c r="BK494" i="4"/>
  <c r="AK497" i="4"/>
  <c r="L498" i="4"/>
  <c r="AA496" i="4" l="1"/>
  <c r="CC496" i="4"/>
  <c r="CD496" i="4"/>
  <c r="AB496" i="4"/>
  <c r="BZ496" i="4"/>
  <c r="X496" i="4"/>
  <c r="AQ497" i="4"/>
  <c r="AW497" i="4" s="1"/>
  <c r="W496" i="4"/>
  <c r="CK496" i="4"/>
  <c r="BI496" i="4"/>
  <c r="S498" i="4"/>
  <c r="CG498" i="4"/>
  <c r="AU495" i="4"/>
  <c r="BA495" i="4" s="1"/>
  <c r="BH495" i="4"/>
  <c r="BV495" i="4" s="1"/>
  <c r="BY495" i="4" s="1"/>
  <c r="BV494" i="4"/>
  <c r="BY494" i="4" s="1"/>
  <c r="BL494" i="4"/>
  <c r="BC496" i="4"/>
  <c r="AL497" i="4"/>
  <c r="AR497" i="4" s="1"/>
  <c r="AX497" i="4" s="1"/>
  <c r="BD497" i="4" s="1"/>
  <c r="M498" i="4"/>
  <c r="BK495" i="4"/>
  <c r="BO494" i="4"/>
  <c r="BG494" i="4"/>
  <c r="BP494" i="4" s="1"/>
  <c r="BQ494" i="4" s="1"/>
  <c r="X497" i="4" l="1"/>
  <c r="AJ496" i="4"/>
  <c r="AP496" i="4" s="1"/>
  <c r="AV496" i="4" s="1"/>
  <c r="BB496" i="4"/>
  <c r="AB497" i="4"/>
  <c r="AN496" i="4"/>
  <c r="AT496" i="4" s="1"/>
  <c r="AZ496" i="4" s="1"/>
  <c r="BF496" i="4" s="1"/>
  <c r="AM496" i="4"/>
  <c r="AS496" i="4" s="1"/>
  <c r="AY496" i="4" s="1"/>
  <c r="BE496" i="4" s="1"/>
  <c r="AA497" i="4"/>
  <c r="CE496" i="4"/>
  <c r="AC496" i="4"/>
  <c r="BI497" i="4"/>
  <c r="BS496" i="4"/>
  <c r="BC497" i="4"/>
  <c r="CA498" i="4"/>
  <c r="Y498" i="4"/>
  <c r="BO495" i="4"/>
  <c r="BG495" i="4"/>
  <c r="BP495" i="4" s="1"/>
  <c r="BQ495" i="4" s="1"/>
  <c r="T498" i="4"/>
  <c r="CH498" i="4"/>
  <c r="BL495" i="4"/>
  <c r="BM494" i="4"/>
  <c r="BN494" i="4" s="1"/>
  <c r="AM497" i="4" l="1"/>
  <c r="AS497" i="4" s="1"/>
  <c r="AY497" i="4" s="1"/>
  <c r="BE497" i="4" s="1"/>
  <c r="N498" i="4"/>
  <c r="AN497" i="4"/>
  <c r="AT497" i="4" s="1"/>
  <c r="AZ497" i="4" s="1"/>
  <c r="BF497" i="4" s="1"/>
  <c r="O498" i="4"/>
  <c r="AJ497" i="4"/>
  <c r="AP497" i="4" s="1"/>
  <c r="AV497" i="4" s="1"/>
  <c r="BB497" i="4" s="1"/>
  <c r="K498" i="4"/>
  <c r="BS497" i="4"/>
  <c r="BM495" i="4"/>
  <c r="BN495" i="4" s="1"/>
  <c r="AC497" i="4"/>
  <c r="AO496" i="4"/>
  <c r="BJ496" i="4"/>
  <c r="CB498" i="4"/>
  <c r="Z498" i="4"/>
  <c r="Y499" i="4"/>
  <c r="AK498" i="4"/>
  <c r="CJ498" i="4" l="1"/>
  <c r="V498" i="4"/>
  <c r="R498" i="4"/>
  <c r="CF498" i="4"/>
  <c r="U498" i="4"/>
  <c r="CI498" i="4"/>
  <c r="AU496" i="4"/>
  <c r="BA496" i="4" s="1"/>
  <c r="BH496" i="4"/>
  <c r="AQ498" i="4"/>
  <c r="AW498" i="4" s="1"/>
  <c r="AK499" i="4"/>
  <c r="L500" i="4"/>
  <c r="AL498" i="4"/>
  <c r="AR498" i="4" s="1"/>
  <c r="AX498" i="4" s="1"/>
  <c r="BD498" i="4" s="1"/>
  <c r="Z499" i="4"/>
  <c r="BK496" i="4"/>
  <c r="AO497" i="4"/>
  <c r="P498" i="4"/>
  <c r="BJ497" i="4"/>
  <c r="CC498" i="4" l="1"/>
  <c r="AA498" i="4"/>
  <c r="BZ498" i="4"/>
  <c r="X498" i="4"/>
  <c r="CD498" i="4"/>
  <c r="AB498" i="4"/>
  <c r="BC498" i="4"/>
  <c r="BK497" i="4"/>
  <c r="S500" i="4"/>
  <c r="CG500" i="4"/>
  <c r="AQ499" i="4"/>
  <c r="AW499" i="4" s="1"/>
  <c r="AL499" i="4"/>
  <c r="AR499" i="4" s="1"/>
  <c r="AX499" i="4" s="1"/>
  <c r="BD499" i="4" s="1"/>
  <c r="M500" i="4"/>
  <c r="BV496" i="4"/>
  <c r="BY496" i="4" s="1"/>
  <c r="BL496" i="4"/>
  <c r="W498" i="4"/>
  <c r="CK498" i="4"/>
  <c r="BI498" i="4"/>
  <c r="AU497" i="4"/>
  <c r="BA497" i="4" s="1"/>
  <c r="BH497" i="4"/>
  <c r="BV497" i="4" s="1"/>
  <c r="BY497" i="4" s="1"/>
  <c r="BO496" i="4"/>
  <c r="BG496" i="4"/>
  <c r="BP496" i="4" s="1"/>
  <c r="BQ496" i="4" s="1"/>
  <c r="AB499" i="4" l="1"/>
  <c r="AN498" i="4"/>
  <c r="AT498" i="4" s="1"/>
  <c r="AZ498" i="4" s="1"/>
  <c r="BF498" i="4" s="1"/>
  <c r="AJ498" i="4"/>
  <c r="AP498" i="4" s="1"/>
  <c r="AV498" i="4" s="1"/>
  <c r="X499" i="4"/>
  <c r="BB498" i="4"/>
  <c r="AA499" i="4"/>
  <c r="AM498" i="4"/>
  <c r="AS498" i="4" s="1"/>
  <c r="AY498" i="4" s="1"/>
  <c r="BE498" i="4" s="1"/>
  <c r="BC499" i="4"/>
  <c r="CE498" i="4"/>
  <c r="AC498" i="4"/>
  <c r="CA500" i="4"/>
  <c r="Y500" i="4"/>
  <c r="BI499" i="4"/>
  <c r="BS498" i="4"/>
  <c r="BO497" i="4"/>
  <c r="BG497" i="4"/>
  <c r="BP497" i="4" s="1"/>
  <c r="BQ497" i="4" s="1"/>
  <c r="T500" i="4"/>
  <c r="CH500" i="4"/>
  <c r="BL497" i="4"/>
  <c r="BM496" i="4"/>
  <c r="BN496" i="4" s="1"/>
  <c r="AJ499" i="4" l="1"/>
  <c r="AP499" i="4" s="1"/>
  <c r="AV499" i="4" s="1"/>
  <c r="K500" i="4"/>
  <c r="BB499" i="4"/>
  <c r="N500" i="4"/>
  <c r="AM499" i="4"/>
  <c r="AS499" i="4" s="1"/>
  <c r="AY499" i="4" s="1"/>
  <c r="BE499" i="4" s="1"/>
  <c r="O500" i="4"/>
  <c r="AN499" i="4"/>
  <c r="AT499" i="4" s="1"/>
  <c r="AZ499" i="4" s="1"/>
  <c r="BF499" i="4" s="1"/>
  <c r="BM497" i="4"/>
  <c r="BN497" i="4" s="1"/>
  <c r="Y501" i="4"/>
  <c r="AK500" i="4"/>
  <c r="AO498" i="4"/>
  <c r="AC499" i="4"/>
  <c r="BJ498" i="4"/>
  <c r="BS499" i="4"/>
  <c r="CB500" i="4"/>
  <c r="Z500" i="4"/>
  <c r="V500" i="4" l="1"/>
  <c r="CJ500" i="4"/>
  <c r="U500" i="4"/>
  <c r="CI500" i="4"/>
  <c r="R500" i="4"/>
  <c r="CF500" i="4"/>
  <c r="AU498" i="4"/>
  <c r="BA498" i="4" s="1"/>
  <c r="BH498" i="4"/>
  <c r="AK501" i="4"/>
  <c r="L502" i="4"/>
  <c r="AO499" i="4"/>
  <c r="P500" i="4"/>
  <c r="BJ499" i="4"/>
  <c r="AQ500" i="4"/>
  <c r="AW500" i="4" s="1"/>
  <c r="Z501" i="4"/>
  <c r="AL500" i="4"/>
  <c r="AR500" i="4" s="1"/>
  <c r="AX500" i="4" s="1"/>
  <c r="BD500" i="4" s="1"/>
  <c r="BK498" i="4"/>
  <c r="BZ500" i="4" l="1"/>
  <c r="X500" i="4"/>
  <c r="AA500" i="4"/>
  <c r="CC500" i="4"/>
  <c r="CD500" i="4"/>
  <c r="AB500" i="4"/>
  <c r="W500" i="4"/>
  <c r="CK500" i="4"/>
  <c r="BI500" i="4"/>
  <c r="S502" i="4"/>
  <c r="CG502" i="4"/>
  <c r="AL501" i="4"/>
  <c r="AR501" i="4" s="1"/>
  <c r="AX501" i="4" s="1"/>
  <c r="BD501" i="4" s="1"/>
  <c r="M502" i="4"/>
  <c r="BK499" i="4"/>
  <c r="AU499" i="4"/>
  <c r="BA499" i="4" s="1"/>
  <c r="BH499" i="4"/>
  <c r="BV499" i="4" s="1"/>
  <c r="BY499" i="4" s="1"/>
  <c r="AQ501" i="4"/>
  <c r="AW501" i="4" s="1"/>
  <c r="BO498" i="4"/>
  <c r="BG498" i="4"/>
  <c r="BP498" i="4" s="1"/>
  <c r="BQ498" i="4" s="1"/>
  <c r="BV498" i="4"/>
  <c r="BY498" i="4" s="1"/>
  <c r="BL498" i="4"/>
  <c r="BC500" i="4"/>
  <c r="AN500" i="4" l="1"/>
  <c r="AT500" i="4" s="1"/>
  <c r="AZ500" i="4" s="1"/>
  <c r="BF500" i="4" s="1"/>
  <c r="AB501" i="4"/>
  <c r="AM500" i="4"/>
  <c r="AS500" i="4" s="1"/>
  <c r="AY500" i="4" s="1"/>
  <c r="BE500" i="4" s="1"/>
  <c r="AA501" i="4"/>
  <c r="AJ500" i="4"/>
  <c r="AP500" i="4" s="1"/>
  <c r="AV500" i="4" s="1"/>
  <c r="BB500" i="4" s="1"/>
  <c r="X501" i="4"/>
  <c r="BC501" i="4"/>
  <c r="BL499" i="4"/>
  <c r="BM498" i="4"/>
  <c r="BN498" i="4" s="1"/>
  <c r="BO499" i="4"/>
  <c r="BG499" i="4"/>
  <c r="BP499" i="4" s="1"/>
  <c r="BQ499" i="4" s="1"/>
  <c r="T502" i="4"/>
  <c r="CH502" i="4"/>
  <c r="CE500" i="4"/>
  <c r="AC500" i="4"/>
  <c r="CA502" i="4"/>
  <c r="Y502" i="4"/>
  <c r="BI501" i="4"/>
  <c r="BS500" i="4"/>
  <c r="AJ501" i="4" l="1"/>
  <c r="AP501" i="4" s="1"/>
  <c r="AV501" i="4" s="1"/>
  <c r="K502" i="4"/>
  <c r="BB501" i="4"/>
  <c r="AM501" i="4"/>
  <c r="AS501" i="4" s="1"/>
  <c r="AY501" i="4" s="1"/>
  <c r="BE501" i="4" s="1"/>
  <c r="N502" i="4"/>
  <c r="O502" i="4"/>
  <c r="AN501" i="4"/>
  <c r="AT501" i="4" s="1"/>
  <c r="AZ501" i="4" s="1"/>
  <c r="BF501" i="4" s="1"/>
  <c r="CB502" i="4"/>
  <c r="Z502" i="4"/>
  <c r="BM499" i="4"/>
  <c r="BN499" i="4" s="1"/>
  <c r="Y503" i="4"/>
  <c r="AK502" i="4"/>
  <c r="AC501" i="4"/>
  <c r="AO500" i="4"/>
  <c r="BJ500" i="4"/>
  <c r="BS501" i="4"/>
  <c r="U502" i="4" l="1"/>
  <c r="CI502" i="4"/>
  <c r="V502" i="4"/>
  <c r="CJ502" i="4"/>
  <c r="CF502" i="4"/>
  <c r="R502" i="4"/>
  <c r="AO501" i="4"/>
  <c r="P502" i="4"/>
  <c r="BJ501" i="4"/>
  <c r="AK503" i="4"/>
  <c r="L504" i="4"/>
  <c r="AQ502" i="4"/>
  <c r="AW502" i="4" s="1"/>
  <c r="AL502" i="4"/>
  <c r="AR502" i="4" s="1"/>
  <c r="AX502" i="4" s="1"/>
  <c r="BD502" i="4" s="1"/>
  <c r="Z503" i="4"/>
  <c r="BK500" i="4"/>
  <c r="AU500" i="4"/>
  <c r="BA500" i="4" s="1"/>
  <c r="BH500" i="4"/>
  <c r="BZ502" i="4" l="1"/>
  <c r="X502" i="4"/>
  <c r="CD502" i="4"/>
  <c r="AB502" i="4"/>
  <c r="CC502" i="4"/>
  <c r="AA502" i="4"/>
  <c r="BC502" i="4"/>
  <c r="S504" i="4"/>
  <c r="CG504" i="4"/>
  <c r="AQ503" i="4"/>
  <c r="AW503" i="4" s="1"/>
  <c r="AL503" i="4"/>
  <c r="AR503" i="4" s="1"/>
  <c r="AX503" i="4" s="1"/>
  <c r="BD503" i="4" s="1"/>
  <c r="M504" i="4"/>
  <c r="BV500" i="4"/>
  <c r="BY500" i="4" s="1"/>
  <c r="BL500" i="4"/>
  <c r="BO500" i="4"/>
  <c r="BG500" i="4"/>
  <c r="BP500" i="4" s="1"/>
  <c r="BQ500" i="4" s="1"/>
  <c r="W502" i="4"/>
  <c r="CK502" i="4"/>
  <c r="BI502" i="4"/>
  <c r="BK501" i="4"/>
  <c r="AU501" i="4"/>
  <c r="BA501" i="4" s="1"/>
  <c r="BH501" i="4"/>
  <c r="BV501" i="4" s="1"/>
  <c r="BY501" i="4" s="1"/>
  <c r="AM502" i="4" l="1"/>
  <c r="AS502" i="4" s="1"/>
  <c r="AY502" i="4" s="1"/>
  <c r="BE502" i="4" s="1"/>
  <c r="AA503" i="4"/>
  <c r="AN502" i="4"/>
  <c r="AT502" i="4" s="1"/>
  <c r="AZ502" i="4" s="1"/>
  <c r="BF502" i="4" s="1"/>
  <c r="AB503" i="4"/>
  <c r="X503" i="4"/>
  <c r="AJ502" i="4"/>
  <c r="AP502" i="4" s="1"/>
  <c r="AV502" i="4" s="1"/>
  <c r="BB502" i="4" s="1"/>
  <c r="T504" i="4"/>
  <c r="CH504" i="4"/>
  <c r="BC503" i="4"/>
  <c r="BI503" i="4"/>
  <c r="BS502" i="4"/>
  <c r="CE502" i="4"/>
  <c r="AC502" i="4"/>
  <c r="BO501" i="4"/>
  <c r="BG501" i="4"/>
  <c r="BP501" i="4" s="1"/>
  <c r="BQ501" i="4" s="1"/>
  <c r="CA504" i="4"/>
  <c r="Y504" i="4"/>
  <c r="BL501" i="4"/>
  <c r="BM500" i="4"/>
  <c r="BN500" i="4" s="1"/>
  <c r="K504" i="4" l="1"/>
  <c r="AJ503" i="4"/>
  <c r="AP503" i="4" s="1"/>
  <c r="AV503" i="4" s="1"/>
  <c r="BB503" i="4"/>
  <c r="AN503" i="4"/>
  <c r="AT503" i="4" s="1"/>
  <c r="AZ503" i="4" s="1"/>
  <c r="BF503" i="4" s="1"/>
  <c r="O504" i="4"/>
  <c r="AM503" i="4"/>
  <c r="AS503" i="4" s="1"/>
  <c r="AY503" i="4" s="1"/>
  <c r="BE503" i="4" s="1"/>
  <c r="N504" i="4"/>
  <c r="BM501" i="4"/>
  <c r="BN501" i="4" s="1"/>
  <c r="AK504" i="4"/>
  <c r="Y505" i="4"/>
  <c r="BS503" i="4"/>
  <c r="AO502" i="4"/>
  <c r="AC503" i="4"/>
  <c r="BJ502" i="4"/>
  <c r="CB504" i="4"/>
  <c r="Z504" i="4"/>
  <c r="U504" i="4" l="1"/>
  <c r="CI504" i="4"/>
  <c r="CJ504" i="4"/>
  <c r="V504" i="4"/>
  <c r="R504" i="4"/>
  <c r="CF504" i="4"/>
  <c r="AQ504" i="4"/>
  <c r="AW504" i="4" s="1"/>
  <c r="AO503" i="4"/>
  <c r="P504" i="4"/>
  <c r="BJ503" i="4"/>
  <c r="AK505" i="4"/>
  <c r="L506" i="4"/>
  <c r="BK502" i="4"/>
  <c r="Z505" i="4"/>
  <c r="AL504" i="4"/>
  <c r="AR504" i="4" s="1"/>
  <c r="AX504" i="4" s="1"/>
  <c r="BD504" i="4" s="1"/>
  <c r="AU502" i="4"/>
  <c r="BA502" i="4" s="1"/>
  <c r="BH502" i="4"/>
  <c r="BZ504" i="4" l="1"/>
  <c r="X504" i="4"/>
  <c r="CD504" i="4"/>
  <c r="AB504" i="4"/>
  <c r="CC504" i="4"/>
  <c r="AA504" i="4"/>
  <c r="BO502" i="4"/>
  <c r="BG502" i="4"/>
  <c r="BP502" i="4" s="1"/>
  <c r="BQ502" i="4" s="1"/>
  <c r="AQ505" i="4"/>
  <c r="AW505" i="4" s="1"/>
  <c r="AU503" i="4"/>
  <c r="BA503" i="4" s="1"/>
  <c r="BH503" i="4"/>
  <c r="BV503" i="4" s="1"/>
  <c r="BY503" i="4" s="1"/>
  <c r="AL505" i="4"/>
  <c r="AR505" i="4" s="1"/>
  <c r="AX505" i="4" s="1"/>
  <c r="BD505" i="4" s="1"/>
  <c r="M506" i="4"/>
  <c r="BV502" i="4"/>
  <c r="BY502" i="4" s="1"/>
  <c r="BL502" i="4"/>
  <c r="BK503" i="4"/>
  <c r="BC504" i="4"/>
  <c r="S506" i="4"/>
  <c r="CG506" i="4"/>
  <c r="CK504" i="4"/>
  <c r="W504" i="4"/>
  <c r="BI504" i="4"/>
  <c r="AA505" i="4" l="1"/>
  <c r="AM504" i="4"/>
  <c r="AS504" i="4" s="1"/>
  <c r="AY504" i="4" s="1"/>
  <c r="BE504" i="4"/>
  <c r="AN504" i="4"/>
  <c r="AT504" i="4" s="1"/>
  <c r="AZ504" i="4" s="1"/>
  <c r="BF504" i="4" s="1"/>
  <c r="AB505" i="4"/>
  <c r="X505" i="4"/>
  <c r="AJ504" i="4"/>
  <c r="AP504" i="4" s="1"/>
  <c r="AV504" i="4" s="1"/>
  <c r="BB504" i="4" s="1"/>
  <c r="BO503" i="4"/>
  <c r="BG503" i="4"/>
  <c r="BP503" i="4" s="1"/>
  <c r="BQ503" i="4" s="1"/>
  <c r="CA506" i="4"/>
  <c r="Y506" i="4"/>
  <c r="BC505" i="4"/>
  <c r="BS504" i="4"/>
  <c r="BI505" i="4"/>
  <c r="CH506" i="4"/>
  <c r="T506" i="4"/>
  <c r="CE504" i="4"/>
  <c r="AC504" i="4"/>
  <c r="BL503" i="4"/>
  <c r="BM502" i="4"/>
  <c r="BN502" i="4" s="1"/>
  <c r="AJ505" i="4" l="1"/>
  <c r="AP505" i="4" s="1"/>
  <c r="AV505" i="4" s="1"/>
  <c r="K506" i="4"/>
  <c r="BB505" i="4"/>
  <c r="AN505" i="4"/>
  <c r="AT505" i="4" s="1"/>
  <c r="AZ505" i="4" s="1"/>
  <c r="BF505" i="4" s="1"/>
  <c r="O506" i="4"/>
  <c r="N506" i="4"/>
  <c r="AM505" i="4"/>
  <c r="AS505" i="4" s="1"/>
  <c r="AY505" i="4" s="1"/>
  <c r="BE505" i="4" s="1"/>
  <c r="CB506" i="4"/>
  <c r="Z506" i="4"/>
  <c r="BM503" i="4"/>
  <c r="BN503" i="4" s="1"/>
  <c r="AO504" i="4"/>
  <c r="AC505" i="4"/>
  <c r="BJ504" i="4"/>
  <c r="BS505" i="4"/>
  <c r="AK506" i="4"/>
  <c r="Y507" i="4"/>
  <c r="V506" i="4" l="1"/>
  <c r="CJ506" i="4"/>
  <c r="R506" i="4"/>
  <c r="CF506" i="4"/>
  <c r="U506" i="4"/>
  <c r="CI506" i="4"/>
  <c r="AU504" i="4"/>
  <c r="BA504" i="4" s="1"/>
  <c r="BH504" i="4"/>
  <c r="AQ506" i="4"/>
  <c r="AW506" i="4" s="1"/>
  <c r="BK504" i="4"/>
  <c r="AL506" i="4"/>
  <c r="AR506" i="4" s="1"/>
  <c r="AX506" i="4" s="1"/>
  <c r="BD506" i="4" s="1"/>
  <c r="Z507" i="4"/>
  <c r="AO505" i="4"/>
  <c r="P506" i="4"/>
  <c r="BJ505" i="4"/>
  <c r="AK507" i="4"/>
  <c r="L508" i="4"/>
  <c r="CC506" i="4" l="1"/>
  <c r="AA506" i="4"/>
  <c r="BZ506" i="4"/>
  <c r="X506" i="4"/>
  <c r="CD506" i="4"/>
  <c r="AB506" i="4"/>
  <c r="S508" i="4"/>
  <c r="CG508" i="4"/>
  <c r="BV504" i="4"/>
  <c r="BY504" i="4" s="1"/>
  <c r="BL504" i="4"/>
  <c r="AL507" i="4"/>
  <c r="AR507" i="4" s="1"/>
  <c r="AX507" i="4" s="1"/>
  <c r="BD507" i="4" s="1"/>
  <c r="M508" i="4"/>
  <c r="AQ507" i="4"/>
  <c r="AW507" i="4" s="1"/>
  <c r="BO504" i="4"/>
  <c r="BG504" i="4"/>
  <c r="BP504" i="4" s="1"/>
  <c r="BQ504" i="4" s="1"/>
  <c r="BC506" i="4"/>
  <c r="BK505" i="4"/>
  <c r="W506" i="4"/>
  <c r="CK506" i="4"/>
  <c r="BI506" i="4"/>
  <c r="AU505" i="4"/>
  <c r="BA505" i="4" s="1"/>
  <c r="BH505" i="4"/>
  <c r="BV505" i="4" s="1"/>
  <c r="BY505" i="4" s="1"/>
  <c r="AN506" i="4" l="1"/>
  <c r="AT506" i="4" s="1"/>
  <c r="AZ506" i="4" s="1"/>
  <c r="AB507" i="4"/>
  <c r="BF506" i="4"/>
  <c r="AJ506" i="4"/>
  <c r="AP506" i="4" s="1"/>
  <c r="AV506" i="4" s="1"/>
  <c r="X507" i="4"/>
  <c r="BB506" i="4"/>
  <c r="AA507" i="4"/>
  <c r="AM506" i="4"/>
  <c r="AS506" i="4" s="1"/>
  <c r="AY506" i="4" s="1"/>
  <c r="BE506" i="4" s="1"/>
  <c r="BO505" i="4"/>
  <c r="BG505" i="4"/>
  <c r="BP505" i="4" s="1"/>
  <c r="BQ505" i="4" s="1"/>
  <c r="BL505" i="4"/>
  <c r="BM504" i="4"/>
  <c r="BN504" i="4" s="1"/>
  <c r="CA508" i="4"/>
  <c r="Y508" i="4"/>
  <c r="BI507" i="4"/>
  <c r="BS506" i="4"/>
  <c r="BC507" i="4"/>
  <c r="CE506" i="4"/>
  <c r="AC506" i="4"/>
  <c r="T508" i="4"/>
  <c r="CH508" i="4"/>
  <c r="AM507" i="4" l="1"/>
  <c r="AS507" i="4" s="1"/>
  <c r="AY507" i="4" s="1"/>
  <c r="BE507" i="4"/>
  <c r="N508" i="4"/>
  <c r="K508" i="4"/>
  <c r="AJ507" i="4"/>
  <c r="AP507" i="4" s="1"/>
  <c r="AV507" i="4" s="1"/>
  <c r="BB507" i="4" s="1"/>
  <c r="AN507" i="4"/>
  <c r="AT507" i="4" s="1"/>
  <c r="AZ507" i="4" s="1"/>
  <c r="BF507" i="4" s="1"/>
  <c r="O508" i="4"/>
  <c r="BM505" i="4"/>
  <c r="BN505" i="4" s="1"/>
  <c r="AK508" i="4"/>
  <c r="Y509" i="4"/>
  <c r="CB508" i="4"/>
  <c r="Z508" i="4"/>
  <c r="BS507" i="4"/>
  <c r="AC507" i="4"/>
  <c r="AO506" i="4"/>
  <c r="BJ506" i="4"/>
  <c r="V508" i="4" l="1"/>
  <c r="CJ508" i="4"/>
  <c r="CF508" i="4"/>
  <c r="R508" i="4"/>
  <c r="U508" i="4"/>
  <c r="CI508" i="4"/>
  <c r="BK506" i="4"/>
  <c r="AO507" i="4"/>
  <c r="P508" i="4"/>
  <c r="BJ507" i="4"/>
  <c r="AL508" i="4"/>
  <c r="AR508" i="4" s="1"/>
  <c r="AX508" i="4" s="1"/>
  <c r="BD508" i="4" s="1"/>
  <c r="Z509" i="4"/>
  <c r="AU506" i="4"/>
  <c r="BA506" i="4" s="1"/>
  <c r="BH506" i="4"/>
  <c r="AK509" i="4"/>
  <c r="L510" i="4"/>
  <c r="AQ508" i="4"/>
  <c r="AW508" i="4" s="1"/>
  <c r="CC508" i="4" l="1"/>
  <c r="AA508" i="4"/>
  <c r="BZ508" i="4"/>
  <c r="X508" i="4"/>
  <c r="CD508" i="4"/>
  <c r="AB508" i="4"/>
  <c r="BV506" i="4"/>
  <c r="BY506" i="4" s="1"/>
  <c r="BL506" i="4"/>
  <c r="W508" i="4"/>
  <c r="CK508" i="4"/>
  <c r="BI508" i="4"/>
  <c r="BO506" i="4"/>
  <c r="BG506" i="4"/>
  <c r="BP506" i="4" s="1"/>
  <c r="BQ506" i="4" s="1"/>
  <c r="AL509" i="4"/>
  <c r="AR509" i="4" s="1"/>
  <c r="AX509" i="4" s="1"/>
  <c r="BD509" i="4" s="1"/>
  <c r="M510" i="4"/>
  <c r="BK507" i="4"/>
  <c r="AU507" i="4"/>
  <c r="BA507" i="4" s="1"/>
  <c r="BH507" i="4"/>
  <c r="BV507" i="4" s="1"/>
  <c r="BY507" i="4" s="1"/>
  <c r="BC508" i="4"/>
  <c r="S510" i="4"/>
  <c r="CG510" i="4"/>
  <c r="AQ509" i="4"/>
  <c r="AW509" i="4" s="1"/>
  <c r="AN508" i="4" l="1"/>
  <c r="AT508" i="4" s="1"/>
  <c r="AZ508" i="4" s="1"/>
  <c r="BF508" i="4" s="1"/>
  <c r="AB509" i="4"/>
  <c r="X509" i="4"/>
  <c r="AJ508" i="4"/>
  <c r="AP508" i="4" s="1"/>
  <c r="AV508" i="4" s="1"/>
  <c r="BB508" i="4"/>
  <c r="AA509" i="4"/>
  <c r="AM508" i="4"/>
  <c r="AS508" i="4" s="1"/>
  <c r="AY508" i="4" s="1"/>
  <c r="BE508" i="4" s="1"/>
  <c r="T510" i="4"/>
  <c r="CH510" i="4"/>
  <c r="CA510" i="4"/>
  <c r="Y510" i="4"/>
  <c r="BI509" i="4"/>
  <c r="BS508" i="4"/>
  <c r="BO507" i="4"/>
  <c r="BG507" i="4"/>
  <c r="BP507" i="4" s="1"/>
  <c r="BQ507" i="4" s="1"/>
  <c r="BC509" i="4"/>
  <c r="BL507" i="4"/>
  <c r="BM506" i="4"/>
  <c r="BN506" i="4" s="1"/>
  <c r="CE508" i="4"/>
  <c r="AC508" i="4"/>
  <c r="AM509" i="4" l="1"/>
  <c r="AS509" i="4" s="1"/>
  <c r="AY509" i="4" s="1"/>
  <c r="BE509" i="4" s="1"/>
  <c r="N510" i="4"/>
  <c r="AJ509" i="4"/>
  <c r="AP509" i="4" s="1"/>
  <c r="AV509" i="4" s="1"/>
  <c r="BB509" i="4" s="1"/>
  <c r="K510" i="4"/>
  <c r="AN509" i="4"/>
  <c r="AT509" i="4" s="1"/>
  <c r="AZ509" i="4" s="1"/>
  <c r="BF509" i="4" s="1"/>
  <c r="O510" i="4"/>
  <c r="Y511" i="4"/>
  <c r="AK510" i="4"/>
  <c r="BM507" i="4"/>
  <c r="BN507" i="4" s="1"/>
  <c r="CB510" i="4"/>
  <c r="Z510" i="4"/>
  <c r="AC509" i="4"/>
  <c r="AO508" i="4"/>
  <c r="BJ508" i="4"/>
  <c r="BS509" i="4"/>
  <c r="V510" i="4" l="1"/>
  <c r="CJ510" i="4"/>
  <c r="CF510" i="4"/>
  <c r="R510" i="4"/>
  <c r="U510" i="4"/>
  <c r="CI510" i="4"/>
  <c r="AQ510" i="4"/>
  <c r="AW510" i="4" s="1"/>
  <c r="BK508" i="4"/>
  <c r="AU508" i="4"/>
  <c r="BA508" i="4" s="1"/>
  <c r="BH508" i="4"/>
  <c r="AO509" i="4"/>
  <c r="P510" i="4"/>
  <c r="BJ509" i="4"/>
  <c r="AL510" i="4"/>
  <c r="AR510" i="4" s="1"/>
  <c r="AX510" i="4" s="1"/>
  <c r="BD510" i="4" s="1"/>
  <c r="Z511" i="4"/>
  <c r="AK511" i="4"/>
  <c r="L512" i="4"/>
  <c r="AA510" i="4" l="1"/>
  <c r="CC510" i="4"/>
  <c r="BZ510" i="4"/>
  <c r="X510" i="4"/>
  <c r="CD510" i="4"/>
  <c r="AB510" i="4"/>
  <c r="W510" i="4"/>
  <c r="CK510" i="4"/>
  <c r="BI510" i="4"/>
  <c r="AU509" i="4"/>
  <c r="BA509" i="4" s="1"/>
  <c r="BH509" i="4"/>
  <c r="BV509" i="4" s="1"/>
  <c r="BY509" i="4" s="1"/>
  <c r="BK509" i="4"/>
  <c r="BO508" i="4"/>
  <c r="BG508" i="4"/>
  <c r="BP508" i="4" s="1"/>
  <c r="BQ508" i="4" s="1"/>
  <c r="BC510" i="4"/>
  <c r="BV508" i="4"/>
  <c r="BY508" i="4" s="1"/>
  <c r="BL508" i="4"/>
  <c r="S512" i="4"/>
  <c r="CG512" i="4"/>
  <c r="AQ511" i="4"/>
  <c r="AW511" i="4" s="1"/>
  <c r="AL511" i="4"/>
  <c r="AR511" i="4" s="1"/>
  <c r="AX511" i="4" s="1"/>
  <c r="BD511" i="4" s="1"/>
  <c r="M512" i="4"/>
  <c r="AN510" i="4" l="1"/>
  <c r="AT510" i="4" s="1"/>
  <c r="AZ510" i="4" s="1"/>
  <c r="BF510" i="4" s="1"/>
  <c r="AB511" i="4"/>
  <c r="X511" i="4"/>
  <c r="AJ510" i="4"/>
  <c r="AP510" i="4" s="1"/>
  <c r="AV510" i="4" s="1"/>
  <c r="BB510" i="4"/>
  <c r="AA511" i="4"/>
  <c r="AM510" i="4"/>
  <c r="AS510" i="4" s="1"/>
  <c r="AY510" i="4" s="1"/>
  <c r="BE510" i="4" s="1"/>
  <c r="CA512" i="4"/>
  <c r="Y512" i="4"/>
  <c r="BO509" i="4"/>
  <c r="BG509" i="4"/>
  <c r="BP509" i="4" s="1"/>
  <c r="BQ509" i="4" s="1"/>
  <c r="T512" i="4"/>
  <c r="CH512" i="4"/>
  <c r="BC511" i="4"/>
  <c r="BL509" i="4"/>
  <c r="BM508" i="4"/>
  <c r="BN508" i="4" s="1"/>
  <c r="CE510" i="4"/>
  <c r="AC510" i="4"/>
  <c r="BI511" i="4"/>
  <c r="BS510" i="4"/>
  <c r="AM511" i="4" l="1"/>
  <c r="AS511" i="4" s="1"/>
  <c r="AY511" i="4" s="1"/>
  <c r="BE511" i="4"/>
  <c r="N512" i="4"/>
  <c r="K512" i="4"/>
  <c r="AJ511" i="4"/>
  <c r="AP511" i="4" s="1"/>
  <c r="AV511" i="4" s="1"/>
  <c r="BB511" i="4" s="1"/>
  <c r="AN511" i="4"/>
  <c r="AT511" i="4" s="1"/>
  <c r="AZ511" i="4" s="1"/>
  <c r="BF511" i="4" s="1"/>
  <c r="O512" i="4"/>
  <c r="BS511" i="4"/>
  <c r="BM509" i="4"/>
  <c r="BN509" i="4" s="1"/>
  <c r="AO510" i="4"/>
  <c r="AC511" i="4"/>
  <c r="BJ510" i="4"/>
  <c r="CB512" i="4"/>
  <c r="Z512" i="4"/>
  <c r="Y513" i="4"/>
  <c r="AK512" i="4"/>
  <c r="V512" i="4" l="1"/>
  <c r="CJ512" i="4"/>
  <c r="R512" i="4"/>
  <c r="CF512" i="4"/>
  <c r="CI512" i="4"/>
  <c r="U512" i="4"/>
  <c r="AU510" i="4"/>
  <c r="BA510" i="4" s="1"/>
  <c r="BH510" i="4"/>
  <c r="AQ512" i="4"/>
  <c r="AW512" i="4" s="1"/>
  <c r="BK510" i="4"/>
  <c r="AK513" i="4"/>
  <c r="L514" i="4"/>
  <c r="Z513" i="4"/>
  <c r="AL512" i="4"/>
  <c r="AR512" i="4" s="1"/>
  <c r="AX512" i="4" s="1"/>
  <c r="BD512" i="4" s="1"/>
  <c r="AO511" i="4"/>
  <c r="P512" i="4"/>
  <c r="BJ511" i="4"/>
  <c r="CC512" i="4" l="1"/>
  <c r="AA512" i="4"/>
  <c r="BZ512" i="4"/>
  <c r="X512" i="4"/>
  <c r="AB512" i="4"/>
  <c r="CD512" i="4"/>
  <c r="BK511" i="4"/>
  <c r="BC512" i="4"/>
  <c r="S514" i="4"/>
  <c r="CG514" i="4"/>
  <c r="AQ513" i="4"/>
  <c r="AW513" i="4" s="1"/>
  <c r="AL513" i="4"/>
  <c r="AR513" i="4" s="1"/>
  <c r="AX513" i="4" s="1"/>
  <c r="BD513" i="4" s="1"/>
  <c r="M514" i="4"/>
  <c r="BV510" i="4"/>
  <c r="BY510" i="4" s="1"/>
  <c r="BL510" i="4"/>
  <c r="W512" i="4"/>
  <c r="CK512" i="4"/>
  <c r="BI512" i="4"/>
  <c r="AU511" i="4"/>
  <c r="BA511" i="4" s="1"/>
  <c r="BH511" i="4"/>
  <c r="BV511" i="4" s="1"/>
  <c r="BY511" i="4" s="1"/>
  <c r="BO510" i="4"/>
  <c r="BG510" i="4"/>
  <c r="BP510" i="4" s="1"/>
  <c r="BQ510" i="4" s="1"/>
  <c r="AN512" i="4" l="1"/>
  <c r="AT512" i="4" s="1"/>
  <c r="AZ512" i="4" s="1"/>
  <c r="BF512" i="4" s="1"/>
  <c r="AB513" i="4"/>
  <c r="X513" i="4"/>
  <c r="AJ512" i="4"/>
  <c r="AP512" i="4" s="1"/>
  <c r="AV512" i="4" s="1"/>
  <c r="BB512" i="4" s="1"/>
  <c r="AM512" i="4"/>
  <c r="AS512" i="4" s="1"/>
  <c r="AY512" i="4" s="1"/>
  <c r="BE512" i="4" s="1"/>
  <c r="AA513" i="4"/>
  <c r="CH514" i="4"/>
  <c r="T514" i="4"/>
  <c r="BI513" i="4"/>
  <c r="BS512" i="4"/>
  <c r="CE512" i="4"/>
  <c r="AC512" i="4"/>
  <c r="CA514" i="4"/>
  <c r="Y514" i="4"/>
  <c r="BC513" i="4"/>
  <c r="BO511" i="4"/>
  <c r="BG511" i="4"/>
  <c r="BP511" i="4" s="1"/>
  <c r="BQ511" i="4" s="1"/>
  <c r="BL511" i="4"/>
  <c r="BM510" i="4"/>
  <c r="BN510" i="4" s="1"/>
  <c r="AM513" i="4" l="1"/>
  <c r="AS513" i="4" s="1"/>
  <c r="AY513" i="4" s="1"/>
  <c r="BE513" i="4" s="1"/>
  <c r="N514" i="4"/>
  <c r="AJ513" i="4"/>
  <c r="AP513" i="4" s="1"/>
  <c r="AV513" i="4" s="1"/>
  <c r="BB513" i="4" s="1"/>
  <c r="K514" i="4"/>
  <c r="O514" i="4"/>
  <c r="AN513" i="4"/>
  <c r="AT513" i="4" s="1"/>
  <c r="AZ513" i="4" s="1"/>
  <c r="BF513" i="4" s="1"/>
  <c r="AO512" i="4"/>
  <c r="AC513" i="4"/>
  <c r="BJ512" i="4"/>
  <c r="AK514" i="4"/>
  <c r="Y515" i="4"/>
  <c r="BS513" i="4"/>
  <c r="CB514" i="4"/>
  <c r="Z514" i="4"/>
  <c r="BM511" i="4"/>
  <c r="BN511" i="4" s="1"/>
  <c r="CJ514" i="4" l="1"/>
  <c r="V514" i="4"/>
  <c r="R514" i="4"/>
  <c r="CF514" i="4"/>
  <c r="CI514" i="4"/>
  <c r="U514" i="4"/>
  <c r="BK512" i="4"/>
  <c r="AU512" i="4"/>
  <c r="BA512" i="4" s="1"/>
  <c r="BH512" i="4"/>
  <c r="AQ514" i="4"/>
  <c r="AW514" i="4" s="1"/>
  <c r="AK515" i="4"/>
  <c r="L516" i="4"/>
  <c r="AO513" i="4"/>
  <c r="P514" i="4"/>
  <c r="BJ513" i="4"/>
  <c r="AL514" i="4"/>
  <c r="AR514" i="4" s="1"/>
  <c r="AX514" i="4" s="1"/>
  <c r="BD514" i="4" s="1"/>
  <c r="Z515" i="4"/>
  <c r="CC514" i="4" l="1"/>
  <c r="AA514" i="4"/>
  <c r="BZ514" i="4"/>
  <c r="X514" i="4"/>
  <c r="CD514" i="4"/>
  <c r="AB514" i="4"/>
  <c r="BK513" i="4"/>
  <c r="AU513" i="4"/>
  <c r="BA513" i="4" s="1"/>
  <c r="BH513" i="4"/>
  <c r="BV513" i="4" s="1"/>
  <c r="BY513" i="4" s="1"/>
  <c r="AL515" i="4"/>
  <c r="AR515" i="4" s="1"/>
  <c r="AX515" i="4" s="1"/>
  <c r="BD515" i="4" s="1"/>
  <c r="M516" i="4"/>
  <c r="BC514" i="4"/>
  <c r="AQ515" i="4"/>
  <c r="AW515" i="4" s="1"/>
  <c r="BV512" i="4"/>
  <c r="BY512" i="4" s="1"/>
  <c r="BL512" i="4"/>
  <c r="W514" i="4"/>
  <c r="CK514" i="4"/>
  <c r="BI514" i="4"/>
  <c r="BO512" i="4"/>
  <c r="BG512" i="4"/>
  <c r="BP512" i="4" s="1"/>
  <c r="BQ512" i="4" s="1"/>
  <c r="S516" i="4"/>
  <c r="CG516" i="4"/>
  <c r="AB515" i="4" l="1"/>
  <c r="AN514" i="4"/>
  <c r="AT514" i="4" s="1"/>
  <c r="AZ514" i="4" s="1"/>
  <c r="BF514" i="4" s="1"/>
  <c r="AJ514" i="4"/>
  <c r="AP514" i="4" s="1"/>
  <c r="AV514" i="4" s="1"/>
  <c r="X515" i="4"/>
  <c r="BB514" i="4"/>
  <c r="AA515" i="4"/>
  <c r="AM514" i="4"/>
  <c r="AS514" i="4" s="1"/>
  <c r="AY514" i="4" s="1"/>
  <c r="BE514" i="4" s="1"/>
  <c r="T516" i="4"/>
  <c r="CH516" i="4"/>
  <c r="CE514" i="4"/>
  <c r="AC514" i="4"/>
  <c r="BO513" i="4"/>
  <c r="BG513" i="4"/>
  <c r="BP513" i="4" s="1"/>
  <c r="BQ513" i="4" s="1"/>
  <c r="CA516" i="4"/>
  <c r="Y516" i="4"/>
  <c r="BL513" i="4"/>
  <c r="BM512" i="4"/>
  <c r="BN512" i="4" s="1"/>
  <c r="BC515" i="4"/>
  <c r="BI515" i="4"/>
  <c r="BS514" i="4"/>
  <c r="AM515" i="4" l="1"/>
  <c r="AS515" i="4" s="1"/>
  <c r="AY515" i="4" s="1"/>
  <c r="BE515" i="4"/>
  <c r="N516" i="4"/>
  <c r="K516" i="4"/>
  <c r="AJ515" i="4"/>
  <c r="AP515" i="4" s="1"/>
  <c r="AV515" i="4" s="1"/>
  <c r="BB515" i="4" s="1"/>
  <c r="AN515" i="4"/>
  <c r="AT515" i="4" s="1"/>
  <c r="AZ515" i="4" s="1"/>
  <c r="BF515" i="4" s="1"/>
  <c r="O516" i="4"/>
  <c r="BS515" i="4"/>
  <c r="AO514" i="4"/>
  <c r="AC515" i="4"/>
  <c r="BJ514" i="4"/>
  <c r="BM513" i="4"/>
  <c r="BN513" i="4" s="1"/>
  <c r="AK516" i="4"/>
  <c r="Y517" i="4"/>
  <c r="CB516" i="4"/>
  <c r="Z516" i="4"/>
  <c r="V516" i="4" l="1"/>
  <c r="CJ516" i="4"/>
  <c r="CF516" i="4"/>
  <c r="R516" i="4"/>
  <c r="U516" i="4"/>
  <c r="CI516" i="4"/>
  <c r="AU514" i="4"/>
  <c r="BA514" i="4" s="1"/>
  <c r="BH514" i="4"/>
  <c r="AL516" i="4"/>
  <c r="AR516" i="4" s="1"/>
  <c r="AX516" i="4" s="1"/>
  <c r="BD516" i="4" s="1"/>
  <c r="Z517" i="4"/>
  <c r="AO515" i="4"/>
  <c r="P516" i="4"/>
  <c r="BJ515" i="4"/>
  <c r="AK517" i="4"/>
  <c r="L518" i="4"/>
  <c r="BK514" i="4"/>
  <c r="AQ516" i="4"/>
  <c r="AW516" i="4" s="1"/>
  <c r="CC516" i="4" l="1"/>
  <c r="AA516" i="4"/>
  <c r="BZ516" i="4"/>
  <c r="X516" i="4"/>
  <c r="CD516" i="4"/>
  <c r="AB516" i="4"/>
  <c r="BC516" i="4"/>
  <c r="W516" i="4"/>
  <c r="CK516" i="4"/>
  <c r="BI516" i="4"/>
  <c r="S518" i="4"/>
  <c r="CG518" i="4"/>
  <c r="AQ517" i="4"/>
  <c r="AW517" i="4" s="1"/>
  <c r="BV514" i="4"/>
  <c r="BY514" i="4" s="1"/>
  <c r="BL514" i="4"/>
  <c r="BK515" i="4"/>
  <c r="AU515" i="4"/>
  <c r="BA515" i="4" s="1"/>
  <c r="BH515" i="4"/>
  <c r="BV515" i="4" s="1"/>
  <c r="BY515" i="4" s="1"/>
  <c r="AL517" i="4"/>
  <c r="AR517" i="4" s="1"/>
  <c r="AX517" i="4" s="1"/>
  <c r="BD517" i="4" s="1"/>
  <c r="M518" i="4"/>
  <c r="BO514" i="4"/>
  <c r="BG514" i="4"/>
  <c r="BP514" i="4" s="1"/>
  <c r="BQ514" i="4" s="1"/>
  <c r="AB517" i="4" l="1"/>
  <c r="AN516" i="4"/>
  <c r="AT516" i="4" s="1"/>
  <c r="AZ516" i="4" s="1"/>
  <c r="BF516" i="4" s="1"/>
  <c r="AJ516" i="4"/>
  <c r="AP516" i="4" s="1"/>
  <c r="AV516" i="4" s="1"/>
  <c r="BB516" i="4" s="1"/>
  <c r="X517" i="4"/>
  <c r="AA517" i="4"/>
  <c r="AM516" i="4"/>
  <c r="AS516" i="4" s="1"/>
  <c r="AY516" i="4" s="1"/>
  <c r="BE516" i="4" s="1"/>
  <c r="BI517" i="4"/>
  <c r="BS516" i="4"/>
  <c r="BL515" i="4"/>
  <c r="BM514" i="4"/>
  <c r="BN514" i="4" s="1"/>
  <c r="BC517" i="4"/>
  <c r="CA518" i="4"/>
  <c r="Y518" i="4"/>
  <c r="T518" i="4"/>
  <c r="CH518" i="4"/>
  <c r="BO515" i="4"/>
  <c r="BG515" i="4"/>
  <c r="BP515" i="4" s="1"/>
  <c r="BQ515" i="4" s="1"/>
  <c r="CE516" i="4"/>
  <c r="AC516" i="4"/>
  <c r="N518" i="4" l="1"/>
  <c r="AM517" i="4"/>
  <c r="AS517" i="4" s="1"/>
  <c r="AY517" i="4" s="1"/>
  <c r="BE517" i="4" s="1"/>
  <c r="AJ517" i="4"/>
  <c r="AP517" i="4" s="1"/>
  <c r="AV517" i="4" s="1"/>
  <c r="BB517" i="4" s="1"/>
  <c r="K518" i="4"/>
  <c r="AN517" i="4"/>
  <c r="AT517" i="4" s="1"/>
  <c r="AZ517" i="4" s="1"/>
  <c r="BF517" i="4" s="1"/>
  <c r="O518" i="4"/>
  <c r="CB518" i="4"/>
  <c r="Z518" i="4"/>
  <c r="AC517" i="4"/>
  <c r="AO516" i="4"/>
  <c r="BJ516" i="4"/>
  <c r="BM515" i="4"/>
  <c r="BN515" i="4" s="1"/>
  <c r="Y519" i="4"/>
  <c r="AK518" i="4"/>
  <c r="BS517" i="4"/>
  <c r="CJ518" i="4" l="1"/>
  <c r="V518" i="4"/>
  <c r="R518" i="4"/>
  <c r="CF518" i="4"/>
  <c r="CI518" i="4"/>
  <c r="U518" i="4"/>
  <c r="AO517" i="4"/>
  <c r="P518" i="4"/>
  <c r="BJ517" i="4"/>
  <c r="AL518" i="4"/>
  <c r="AR518" i="4" s="1"/>
  <c r="AX518" i="4" s="1"/>
  <c r="BD518" i="4" s="1"/>
  <c r="Z519" i="4"/>
  <c r="AQ518" i="4"/>
  <c r="AW518" i="4" s="1"/>
  <c r="BK516" i="4"/>
  <c r="AK519" i="4"/>
  <c r="L520" i="4"/>
  <c r="AU516" i="4"/>
  <c r="BA516" i="4" s="1"/>
  <c r="BH516" i="4"/>
  <c r="AA518" i="4" l="1"/>
  <c r="CC518" i="4"/>
  <c r="BZ518" i="4"/>
  <c r="X518" i="4"/>
  <c r="AB518" i="4"/>
  <c r="CD518" i="4"/>
  <c r="BC518" i="4"/>
  <c r="AL519" i="4"/>
  <c r="AR519" i="4" s="1"/>
  <c r="AX519" i="4" s="1"/>
  <c r="BD519" i="4" s="1"/>
  <c r="M520" i="4"/>
  <c r="BK517" i="4"/>
  <c r="BV516" i="4"/>
  <c r="BY516" i="4" s="1"/>
  <c r="BL516" i="4"/>
  <c r="AQ519" i="4"/>
  <c r="AW519" i="4" s="1"/>
  <c r="W518" i="4"/>
  <c r="CK518" i="4"/>
  <c r="BI518" i="4"/>
  <c r="BO516" i="4"/>
  <c r="BG516" i="4"/>
  <c r="BP516" i="4" s="1"/>
  <c r="BQ516" i="4" s="1"/>
  <c r="S520" i="4"/>
  <c r="CG520" i="4"/>
  <c r="AU517" i="4"/>
  <c r="BA517" i="4" s="1"/>
  <c r="BH517" i="4"/>
  <c r="BV517" i="4" s="1"/>
  <c r="BY517" i="4" s="1"/>
  <c r="AB519" i="4" l="1"/>
  <c r="AN518" i="4"/>
  <c r="AT518" i="4" s="1"/>
  <c r="AZ518" i="4" s="1"/>
  <c r="BF518" i="4" s="1"/>
  <c r="AJ518" i="4"/>
  <c r="AP518" i="4" s="1"/>
  <c r="AV518" i="4" s="1"/>
  <c r="X519" i="4"/>
  <c r="BB518" i="4"/>
  <c r="AM518" i="4"/>
  <c r="AS518" i="4" s="1"/>
  <c r="AY518" i="4" s="1"/>
  <c r="BE518" i="4" s="1"/>
  <c r="AA519" i="4"/>
  <c r="CA520" i="4"/>
  <c r="Y520" i="4"/>
  <c r="T520" i="4"/>
  <c r="CH520" i="4"/>
  <c r="BO517" i="4"/>
  <c r="BG517" i="4"/>
  <c r="BP517" i="4" s="1"/>
  <c r="BQ517" i="4" s="1"/>
  <c r="BL517" i="4"/>
  <c r="BM516" i="4"/>
  <c r="BN516" i="4" s="1"/>
  <c r="BI519" i="4"/>
  <c r="BS518" i="4"/>
  <c r="CE518" i="4"/>
  <c r="AC518" i="4"/>
  <c r="BC519" i="4"/>
  <c r="AJ519" i="4" l="1"/>
  <c r="AP519" i="4" s="1"/>
  <c r="AV519" i="4" s="1"/>
  <c r="K520" i="4"/>
  <c r="BB519" i="4"/>
  <c r="AM519" i="4"/>
  <c r="AS519" i="4" s="1"/>
  <c r="AY519" i="4" s="1"/>
  <c r="BE519" i="4" s="1"/>
  <c r="N520" i="4"/>
  <c r="AN519" i="4"/>
  <c r="AT519" i="4" s="1"/>
  <c r="AZ519" i="4" s="1"/>
  <c r="BF519" i="4" s="1"/>
  <c r="O520" i="4"/>
  <c r="BM517" i="4"/>
  <c r="BN517" i="4" s="1"/>
  <c r="Y521" i="4"/>
  <c r="AK520" i="4"/>
  <c r="AC519" i="4"/>
  <c r="AO518" i="4"/>
  <c r="BJ518" i="4"/>
  <c r="CB520" i="4"/>
  <c r="Z520" i="4"/>
  <c r="BS519" i="4"/>
  <c r="U520" i="4" l="1"/>
  <c r="CI520" i="4"/>
  <c r="V520" i="4"/>
  <c r="CJ520" i="4"/>
  <c r="CF520" i="4"/>
  <c r="R520" i="4"/>
  <c r="BK518" i="4"/>
  <c r="Z521" i="4"/>
  <c r="AL520" i="4"/>
  <c r="AR520" i="4" s="1"/>
  <c r="AX520" i="4" s="1"/>
  <c r="BD520" i="4" s="1"/>
  <c r="AO519" i="4"/>
  <c r="P520" i="4"/>
  <c r="BJ519" i="4"/>
  <c r="AK521" i="4"/>
  <c r="L522" i="4"/>
  <c r="AU518" i="4"/>
  <c r="BA518" i="4" s="1"/>
  <c r="BH518" i="4"/>
  <c r="AQ520" i="4"/>
  <c r="AW520" i="4" s="1"/>
  <c r="BZ520" i="4" l="1"/>
  <c r="X520" i="4"/>
  <c r="CD520" i="4"/>
  <c r="AB520" i="4"/>
  <c r="AA520" i="4"/>
  <c r="CC520" i="4"/>
  <c r="S522" i="4"/>
  <c r="CG522" i="4"/>
  <c r="CK520" i="4"/>
  <c r="W520" i="4"/>
  <c r="BI520" i="4"/>
  <c r="AQ521" i="4"/>
  <c r="AW521" i="4" s="1"/>
  <c r="AU519" i="4"/>
  <c r="BA519" i="4" s="1"/>
  <c r="BH519" i="4"/>
  <c r="BV519" i="4" s="1"/>
  <c r="BY519" i="4" s="1"/>
  <c r="AL521" i="4"/>
  <c r="AR521" i="4" s="1"/>
  <c r="AX521" i="4" s="1"/>
  <c r="BD521" i="4" s="1"/>
  <c r="M522" i="4"/>
  <c r="BK519" i="4"/>
  <c r="BC520" i="4"/>
  <c r="BV518" i="4"/>
  <c r="BY518" i="4" s="1"/>
  <c r="BL518" i="4"/>
  <c r="BO518" i="4"/>
  <c r="BG518" i="4"/>
  <c r="BP518" i="4" s="1"/>
  <c r="BQ518" i="4" s="1"/>
  <c r="AA521" i="4" l="1"/>
  <c r="AM520" i="4"/>
  <c r="AS520" i="4" s="1"/>
  <c r="AY520" i="4" s="1"/>
  <c r="BE520" i="4" s="1"/>
  <c r="AB521" i="4"/>
  <c r="AN520" i="4"/>
  <c r="AT520" i="4" s="1"/>
  <c r="AZ520" i="4" s="1"/>
  <c r="BF520" i="4" s="1"/>
  <c r="X521" i="4"/>
  <c r="AJ520" i="4"/>
  <c r="AP520" i="4" s="1"/>
  <c r="AV520" i="4" s="1"/>
  <c r="BB520" i="4" s="1"/>
  <c r="BS520" i="4"/>
  <c r="BI521" i="4"/>
  <c r="BC521" i="4"/>
  <c r="BO519" i="4"/>
  <c r="BG519" i="4"/>
  <c r="BP519" i="4" s="1"/>
  <c r="BQ519" i="4" s="1"/>
  <c r="T522" i="4"/>
  <c r="CH522" i="4"/>
  <c r="CE520" i="4"/>
  <c r="AC520" i="4"/>
  <c r="BL519" i="4"/>
  <c r="BM518" i="4"/>
  <c r="BN518" i="4" s="1"/>
  <c r="CA522" i="4"/>
  <c r="Y522" i="4"/>
  <c r="AN521" i="4" l="1"/>
  <c r="AT521" i="4" s="1"/>
  <c r="AZ521" i="4" s="1"/>
  <c r="BF521" i="4" s="1"/>
  <c r="O522" i="4"/>
  <c r="AJ521" i="4"/>
  <c r="AP521" i="4" s="1"/>
  <c r="AV521" i="4" s="1"/>
  <c r="BB521" i="4" s="1"/>
  <c r="K522" i="4"/>
  <c r="AM521" i="4"/>
  <c r="AS521" i="4" s="1"/>
  <c r="AY521" i="4" s="1"/>
  <c r="BE521" i="4" s="1"/>
  <c r="N522" i="4"/>
  <c r="AK522" i="4"/>
  <c r="Y523" i="4"/>
  <c r="AO520" i="4"/>
  <c r="AC521" i="4"/>
  <c r="BJ520" i="4"/>
  <c r="BS521" i="4"/>
  <c r="BM519" i="4"/>
  <c r="BN519" i="4" s="1"/>
  <c r="CB522" i="4"/>
  <c r="Z522" i="4"/>
  <c r="CF522" i="4" l="1"/>
  <c r="R522" i="4"/>
  <c r="CI522" i="4"/>
  <c r="U522" i="4"/>
  <c r="CJ522" i="4"/>
  <c r="V522" i="4"/>
  <c r="AO521" i="4"/>
  <c r="P522" i="4"/>
  <c r="BJ521" i="4"/>
  <c r="BK520" i="4"/>
  <c r="AK523" i="4"/>
  <c r="L524" i="4"/>
  <c r="AU520" i="4"/>
  <c r="BA520" i="4" s="1"/>
  <c r="BH520" i="4"/>
  <c r="AL522" i="4"/>
  <c r="AR522" i="4" s="1"/>
  <c r="AX522" i="4" s="1"/>
  <c r="BD522" i="4" s="1"/>
  <c r="Z523" i="4"/>
  <c r="AQ522" i="4"/>
  <c r="AW522" i="4" s="1"/>
  <c r="AB522" i="4" l="1"/>
  <c r="CD522" i="4"/>
  <c r="CC522" i="4"/>
  <c r="AA522" i="4"/>
  <c r="BZ522" i="4"/>
  <c r="X522" i="4"/>
  <c r="BC522" i="4"/>
  <c r="BK521" i="4"/>
  <c r="S524" i="4"/>
  <c r="CG524" i="4"/>
  <c r="AQ523" i="4"/>
  <c r="AW523" i="4" s="1"/>
  <c r="BV520" i="4"/>
  <c r="BY520" i="4" s="1"/>
  <c r="BL520" i="4"/>
  <c r="AU521" i="4"/>
  <c r="BA521" i="4" s="1"/>
  <c r="BH521" i="4"/>
  <c r="BV521" i="4" s="1"/>
  <c r="BY521" i="4" s="1"/>
  <c r="AL523" i="4"/>
  <c r="AR523" i="4" s="1"/>
  <c r="AX523" i="4" s="1"/>
  <c r="BD523" i="4" s="1"/>
  <c r="M524" i="4"/>
  <c r="W522" i="4"/>
  <c r="CK522" i="4"/>
  <c r="BI522" i="4"/>
  <c r="BO520" i="4"/>
  <c r="BG520" i="4"/>
  <c r="BP520" i="4" s="1"/>
  <c r="BQ520" i="4" s="1"/>
  <c r="X523" i="4" l="1"/>
  <c r="AJ522" i="4"/>
  <c r="AP522" i="4" s="1"/>
  <c r="AV522" i="4" s="1"/>
  <c r="BB522" i="4"/>
  <c r="AA523" i="4"/>
  <c r="AM522" i="4"/>
  <c r="AS522" i="4" s="1"/>
  <c r="AY522" i="4" s="1"/>
  <c r="BE522" i="4" s="1"/>
  <c r="AB523" i="4"/>
  <c r="AN522" i="4"/>
  <c r="AT522" i="4" s="1"/>
  <c r="AZ522" i="4" s="1"/>
  <c r="BF522" i="4" s="1"/>
  <c r="CE522" i="4"/>
  <c r="AC522" i="4"/>
  <c r="T524" i="4"/>
  <c r="CH524" i="4"/>
  <c r="BC523" i="4"/>
  <c r="CA524" i="4"/>
  <c r="Y524" i="4"/>
  <c r="BI523" i="4"/>
  <c r="BS522" i="4"/>
  <c r="BO521" i="4"/>
  <c r="BG521" i="4"/>
  <c r="BP521" i="4" s="1"/>
  <c r="BQ521" i="4" s="1"/>
  <c r="BL521" i="4"/>
  <c r="BM520" i="4"/>
  <c r="BN520" i="4" s="1"/>
  <c r="AN523" i="4" l="1"/>
  <c r="AT523" i="4" s="1"/>
  <c r="AZ523" i="4" s="1"/>
  <c r="BF523" i="4" s="1"/>
  <c r="O524" i="4"/>
  <c r="AM523" i="4"/>
  <c r="AS523" i="4" s="1"/>
  <c r="AY523" i="4" s="1"/>
  <c r="BE523" i="4" s="1"/>
  <c r="N524" i="4"/>
  <c r="K524" i="4"/>
  <c r="AJ523" i="4"/>
  <c r="AP523" i="4" s="1"/>
  <c r="AV523" i="4" s="1"/>
  <c r="BB523" i="4" s="1"/>
  <c r="AK524" i="4"/>
  <c r="Y525" i="4"/>
  <c r="BM521" i="4"/>
  <c r="BN521" i="4" s="1"/>
  <c r="BS523" i="4"/>
  <c r="CB524" i="4"/>
  <c r="Z524" i="4"/>
  <c r="AC523" i="4"/>
  <c r="AO522" i="4"/>
  <c r="BJ522" i="4"/>
  <c r="CI524" i="4" l="1"/>
  <c r="U524" i="4"/>
  <c r="CF524" i="4"/>
  <c r="R524" i="4"/>
  <c r="CJ524" i="4"/>
  <c r="V524" i="4"/>
  <c r="BK522" i="4"/>
  <c r="AK525" i="4"/>
  <c r="L526" i="4"/>
  <c r="AO523" i="4"/>
  <c r="P524" i="4"/>
  <c r="BJ523" i="4"/>
  <c r="Z525" i="4"/>
  <c r="AL524" i="4"/>
  <c r="AR524" i="4" s="1"/>
  <c r="AX524" i="4" s="1"/>
  <c r="BD524" i="4" s="1"/>
  <c r="AU522" i="4"/>
  <c r="BA522" i="4" s="1"/>
  <c r="BH522" i="4"/>
  <c r="AQ524" i="4"/>
  <c r="AW524" i="4" s="1"/>
  <c r="AB524" i="4" l="1"/>
  <c r="CD524" i="4"/>
  <c r="BZ524" i="4"/>
  <c r="X524" i="4"/>
  <c r="CC524" i="4"/>
  <c r="AA524" i="4"/>
  <c r="BV522" i="4"/>
  <c r="BY522" i="4" s="1"/>
  <c r="BL522" i="4"/>
  <c r="AQ525" i="4"/>
  <c r="AW525" i="4" s="1"/>
  <c r="AL525" i="4"/>
  <c r="AR525" i="4" s="1"/>
  <c r="AX525" i="4" s="1"/>
  <c r="BD525" i="4" s="1"/>
  <c r="M526" i="4"/>
  <c r="BC524" i="4"/>
  <c r="BO522" i="4"/>
  <c r="BG522" i="4"/>
  <c r="BP522" i="4" s="1"/>
  <c r="BQ522" i="4" s="1"/>
  <c r="BK523" i="4"/>
  <c r="AU523" i="4"/>
  <c r="BA523" i="4" s="1"/>
  <c r="BH523" i="4"/>
  <c r="BV523" i="4" s="1"/>
  <c r="BY523" i="4" s="1"/>
  <c r="S526" i="4"/>
  <c r="CG526" i="4"/>
  <c r="W524" i="4"/>
  <c r="CK524" i="4"/>
  <c r="BI524" i="4"/>
  <c r="AA525" i="4" l="1"/>
  <c r="AM524" i="4"/>
  <c r="AS524" i="4" s="1"/>
  <c r="AY524" i="4" s="1"/>
  <c r="BE524" i="4" s="1"/>
  <c r="AJ524" i="4"/>
  <c r="AP524" i="4" s="1"/>
  <c r="AV524" i="4" s="1"/>
  <c r="BB524" i="4" s="1"/>
  <c r="X525" i="4"/>
  <c r="AN524" i="4"/>
  <c r="AT524" i="4" s="1"/>
  <c r="AZ524" i="4" s="1"/>
  <c r="BF524" i="4" s="1"/>
  <c r="AB525" i="4"/>
  <c r="T526" i="4"/>
  <c r="CH526" i="4"/>
  <c r="BC525" i="4"/>
  <c r="CA526" i="4"/>
  <c r="Y526" i="4"/>
  <c r="BO523" i="4"/>
  <c r="BG523" i="4"/>
  <c r="BP523" i="4" s="1"/>
  <c r="BQ523" i="4" s="1"/>
  <c r="BL523" i="4"/>
  <c r="BM522" i="4"/>
  <c r="BN522" i="4" s="1"/>
  <c r="BI525" i="4"/>
  <c r="BS524" i="4"/>
  <c r="CE524" i="4"/>
  <c r="AC524" i="4"/>
  <c r="AN525" i="4" l="1"/>
  <c r="AT525" i="4" s="1"/>
  <c r="AZ525" i="4" s="1"/>
  <c r="BF525" i="4" s="1"/>
  <c r="O526" i="4"/>
  <c r="AJ525" i="4"/>
  <c r="AP525" i="4" s="1"/>
  <c r="AV525" i="4" s="1"/>
  <c r="BB525" i="4" s="1"/>
  <c r="K526" i="4"/>
  <c r="N526" i="4"/>
  <c r="AM525" i="4"/>
  <c r="AS525" i="4" s="1"/>
  <c r="AY525" i="4" s="1"/>
  <c r="BE525" i="4" s="1"/>
  <c r="AC525" i="4"/>
  <c r="AO524" i="4"/>
  <c r="BJ524" i="4"/>
  <c r="BM523" i="4"/>
  <c r="BN523" i="4" s="1"/>
  <c r="CB526" i="4"/>
  <c r="Z526" i="4"/>
  <c r="AK526" i="4"/>
  <c r="Y527" i="4"/>
  <c r="BS525" i="4"/>
  <c r="U526" i="4" l="1"/>
  <c r="CI526" i="4"/>
  <c r="R526" i="4"/>
  <c r="CF526" i="4"/>
  <c r="CJ526" i="4"/>
  <c r="V526" i="4"/>
  <c r="AQ526" i="4"/>
  <c r="AW526" i="4" s="1"/>
  <c r="BK524" i="4"/>
  <c r="AU524" i="4"/>
  <c r="BA524" i="4" s="1"/>
  <c r="BH524" i="4"/>
  <c r="AL526" i="4"/>
  <c r="AR526" i="4" s="1"/>
  <c r="AX526" i="4" s="1"/>
  <c r="BD526" i="4" s="1"/>
  <c r="Z527" i="4"/>
  <c r="AK527" i="4"/>
  <c r="L528" i="4"/>
  <c r="AO525" i="4"/>
  <c r="P526" i="4"/>
  <c r="BJ525" i="4"/>
  <c r="CD526" i="4" l="1"/>
  <c r="AB526" i="4"/>
  <c r="BZ526" i="4"/>
  <c r="X526" i="4"/>
  <c r="CC526" i="4"/>
  <c r="AA526" i="4"/>
  <c r="W526" i="4"/>
  <c r="CK526" i="4"/>
  <c r="BI526" i="4"/>
  <c r="BC526" i="4"/>
  <c r="AU525" i="4"/>
  <c r="BA525" i="4" s="1"/>
  <c r="BH525" i="4"/>
  <c r="BV525" i="4" s="1"/>
  <c r="BY525" i="4" s="1"/>
  <c r="S528" i="4"/>
  <c r="CG528" i="4"/>
  <c r="BK525" i="4"/>
  <c r="BV524" i="4"/>
  <c r="BY524" i="4" s="1"/>
  <c r="BL524" i="4"/>
  <c r="AL527" i="4"/>
  <c r="AR527" i="4" s="1"/>
  <c r="AX527" i="4" s="1"/>
  <c r="BD527" i="4" s="1"/>
  <c r="M528" i="4"/>
  <c r="BO524" i="4"/>
  <c r="BG524" i="4"/>
  <c r="BP524" i="4" s="1"/>
  <c r="BQ524" i="4" s="1"/>
  <c r="AQ527" i="4"/>
  <c r="AW527" i="4" s="1"/>
  <c r="AA527" i="4" l="1"/>
  <c r="AM526" i="4"/>
  <c r="AS526" i="4" s="1"/>
  <c r="AY526" i="4" s="1"/>
  <c r="BE526" i="4" s="1"/>
  <c r="X527" i="4"/>
  <c r="AJ526" i="4"/>
  <c r="AP526" i="4" s="1"/>
  <c r="AV526" i="4" s="1"/>
  <c r="BB526" i="4" s="1"/>
  <c r="AB527" i="4"/>
  <c r="AN526" i="4"/>
  <c r="AT526" i="4" s="1"/>
  <c r="AZ526" i="4" s="1"/>
  <c r="BF526" i="4" s="1"/>
  <c r="T528" i="4"/>
  <c r="CH528" i="4"/>
  <c r="BI527" i="4"/>
  <c r="BS526" i="4"/>
  <c r="CA528" i="4"/>
  <c r="Y528" i="4"/>
  <c r="BO525" i="4"/>
  <c r="BG525" i="4"/>
  <c r="BP525" i="4" s="1"/>
  <c r="BQ525" i="4" s="1"/>
  <c r="BL525" i="4"/>
  <c r="BM524" i="4"/>
  <c r="BN524" i="4" s="1"/>
  <c r="BC527" i="4"/>
  <c r="CE526" i="4"/>
  <c r="AC526" i="4"/>
  <c r="O528" i="4" l="1"/>
  <c r="AN527" i="4"/>
  <c r="AT527" i="4" s="1"/>
  <c r="AZ527" i="4" s="1"/>
  <c r="BF527" i="4" s="1"/>
  <c r="K528" i="4"/>
  <c r="AJ527" i="4"/>
  <c r="AP527" i="4" s="1"/>
  <c r="AV527" i="4" s="1"/>
  <c r="BB527" i="4" s="1"/>
  <c r="AM527" i="4"/>
  <c r="AS527" i="4" s="1"/>
  <c r="AY527" i="4" s="1"/>
  <c r="BE527" i="4" s="1"/>
  <c r="N528" i="4"/>
  <c r="BM525" i="4"/>
  <c r="BN525" i="4" s="1"/>
  <c r="AO526" i="4"/>
  <c r="AC527" i="4"/>
  <c r="BJ526" i="4"/>
  <c r="BS527" i="4"/>
  <c r="CB528" i="4"/>
  <c r="Z528" i="4"/>
  <c r="Y529" i="4"/>
  <c r="AK528" i="4"/>
  <c r="U528" i="4" l="1"/>
  <c r="CI528" i="4"/>
  <c r="R528" i="4"/>
  <c r="CF528" i="4"/>
  <c r="V528" i="4"/>
  <c r="CJ528" i="4"/>
  <c r="AQ528" i="4"/>
  <c r="AW528" i="4" s="1"/>
  <c r="AO527" i="4"/>
  <c r="P528" i="4"/>
  <c r="BJ527" i="4"/>
  <c r="AK529" i="4"/>
  <c r="L530" i="4"/>
  <c r="BK526" i="4"/>
  <c r="AL528" i="4"/>
  <c r="AR528" i="4" s="1"/>
  <c r="AX528" i="4" s="1"/>
  <c r="BD528" i="4" s="1"/>
  <c r="Z529" i="4"/>
  <c r="AU526" i="4"/>
  <c r="BA526" i="4" s="1"/>
  <c r="BH526" i="4"/>
  <c r="AB528" i="4" l="1"/>
  <c r="CD528" i="4"/>
  <c r="BZ528" i="4"/>
  <c r="X528" i="4"/>
  <c r="CC528" i="4"/>
  <c r="AA528" i="4"/>
  <c r="AQ529" i="4"/>
  <c r="AW529" i="4" s="1"/>
  <c r="BK527" i="4"/>
  <c r="AL529" i="4"/>
  <c r="AR529" i="4" s="1"/>
  <c r="AX529" i="4" s="1"/>
  <c r="BD529" i="4" s="1"/>
  <c r="M530" i="4"/>
  <c r="BO526" i="4"/>
  <c r="BG526" i="4"/>
  <c r="BP526" i="4" s="1"/>
  <c r="BQ526" i="4" s="1"/>
  <c r="S530" i="4"/>
  <c r="CG530" i="4"/>
  <c r="BV526" i="4"/>
  <c r="BY526" i="4" s="1"/>
  <c r="BL526" i="4"/>
  <c r="W528" i="4"/>
  <c r="CK528" i="4"/>
  <c r="BI528" i="4"/>
  <c r="AU527" i="4"/>
  <c r="BA527" i="4" s="1"/>
  <c r="BH527" i="4"/>
  <c r="BV527" i="4" s="1"/>
  <c r="BY527" i="4" s="1"/>
  <c r="BC528" i="4"/>
  <c r="AA529" i="4" l="1"/>
  <c r="AM528" i="4"/>
  <c r="AS528" i="4" s="1"/>
  <c r="AY528" i="4" s="1"/>
  <c r="BE528" i="4" s="1"/>
  <c r="AJ528" i="4"/>
  <c r="AP528" i="4" s="1"/>
  <c r="AV528" i="4" s="1"/>
  <c r="X529" i="4"/>
  <c r="BB528" i="4"/>
  <c r="AB529" i="4"/>
  <c r="AN528" i="4"/>
  <c r="AT528" i="4" s="1"/>
  <c r="AZ528" i="4" s="1"/>
  <c r="BF528" i="4" s="1"/>
  <c r="CA530" i="4"/>
  <c r="Y530" i="4"/>
  <c r="CE528" i="4"/>
  <c r="AC528" i="4"/>
  <c r="BL527" i="4"/>
  <c r="BM526" i="4"/>
  <c r="BN526" i="4" s="1"/>
  <c r="T530" i="4"/>
  <c r="CH530" i="4"/>
  <c r="BO527" i="4"/>
  <c r="BG527" i="4"/>
  <c r="BP527" i="4" s="1"/>
  <c r="BQ527" i="4" s="1"/>
  <c r="BI529" i="4"/>
  <c r="BS528" i="4"/>
  <c r="BC529" i="4"/>
  <c r="AJ529" i="4" l="1"/>
  <c r="AP529" i="4" s="1"/>
  <c r="AV529" i="4" s="1"/>
  <c r="K530" i="4"/>
  <c r="BB529" i="4"/>
  <c r="AN529" i="4"/>
  <c r="AT529" i="4" s="1"/>
  <c r="AZ529" i="4" s="1"/>
  <c r="BF529" i="4" s="1"/>
  <c r="O530" i="4"/>
  <c r="AM529" i="4"/>
  <c r="AS529" i="4" s="1"/>
  <c r="AY529" i="4" s="1"/>
  <c r="BE529" i="4" s="1"/>
  <c r="N530" i="4"/>
  <c r="BM527" i="4"/>
  <c r="BN527" i="4" s="1"/>
  <c r="AC529" i="4"/>
  <c r="AO528" i="4"/>
  <c r="BJ528" i="4"/>
  <c r="CB530" i="4"/>
  <c r="Z530" i="4"/>
  <c r="BS529" i="4"/>
  <c r="AK530" i="4"/>
  <c r="Y531" i="4"/>
  <c r="U530" i="4" l="1"/>
  <c r="CI530" i="4"/>
  <c r="V530" i="4"/>
  <c r="CJ530" i="4"/>
  <c r="R530" i="4"/>
  <c r="CF530" i="4"/>
  <c r="AK531" i="4"/>
  <c r="L532" i="4"/>
  <c r="AL530" i="4"/>
  <c r="AR530" i="4" s="1"/>
  <c r="AX530" i="4" s="1"/>
  <c r="BD530" i="4" s="1"/>
  <c r="Z531" i="4"/>
  <c r="AQ530" i="4"/>
  <c r="AW530" i="4" s="1"/>
  <c r="AU528" i="4"/>
  <c r="BA528" i="4" s="1"/>
  <c r="BH528" i="4"/>
  <c r="BK528" i="4"/>
  <c r="AO529" i="4"/>
  <c r="P530" i="4"/>
  <c r="BJ529" i="4"/>
  <c r="BZ530" i="4" l="1"/>
  <c r="X530" i="4"/>
  <c r="CD530" i="4"/>
  <c r="AB530" i="4"/>
  <c r="AA530" i="4"/>
  <c r="CC530" i="4"/>
  <c r="BC530" i="4"/>
  <c r="S532" i="4"/>
  <c r="CG532" i="4"/>
  <c r="D28" i="4" s="1"/>
  <c r="AL531" i="4"/>
  <c r="AR531" i="4" s="1"/>
  <c r="AX531" i="4" s="1"/>
  <c r="BD531" i="4" s="1"/>
  <c r="M532" i="4"/>
  <c r="W530" i="4"/>
  <c r="CK530" i="4"/>
  <c r="BI530" i="4"/>
  <c r="AQ531" i="4"/>
  <c r="AW531" i="4" s="1"/>
  <c r="BV528" i="4"/>
  <c r="BY528" i="4" s="1"/>
  <c r="BL528" i="4"/>
  <c r="BK529" i="4"/>
  <c r="AU529" i="4"/>
  <c r="BA529" i="4" s="1"/>
  <c r="BH529" i="4"/>
  <c r="BV529" i="4" s="1"/>
  <c r="BY529" i="4" s="1"/>
  <c r="BO528" i="4"/>
  <c r="BG528" i="4"/>
  <c r="BP528" i="4" s="1"/>
  <c r="BQ528" i="4" s="1"/>
  <c r="AM530" i="4" l="1"/>
  <c r="AS530" i="4" s="1"/>
  <c r="AY530" i="4" s="1"/>
  <c r="BE530" i="4" s="1"/>
  <c r="AA531" i="4"/>
  <c r="AB531" i="4"/>
  <c r="AN530" i="4"/>
  <c r="AT530" i="4" s="1"/>
  <c r="AZ530" i="4" s="1"/>
  <c r="BF530" i="4" s="1"/>
  <c r="X531" i="4"/>
  <c r="AJ530" i="4"/>
  <c r="AP530" i="4" s="1"/>
  <c r="AV530" i="4" s="1"/>
  <c r="BB530" i="4" s="1"/>
  <c r="BI531" i="4"/>
  <c r="BS530" i="4"/>
  <c r="BO529" i="4"/>
  <c r="BG529" i="4"/>
  <c r="BP529" i="4" s="1"/>
  <c r="BQ529" i="4" s="1"/>
  <c r="CA532" i="4"/>
  <c r="D29" i="4" s="1"/>
  <c r="D30" i="4" s="1"/>
  <c r="D32" i="4" s="1"/>
  <c r="Y532" i="4"/>
  <c r="T532" i="4"/>
  <c r="CH532" i="4"/>
  <c r="E28" i="4" s="1"/>
  <c r="BL529" i="4"/>
  <c r="BM528" i="4"/>
  <c r="BN528" i="4" s="1"/>
  <c r="BC531" i="4"/>
  <c r="CE530" i="4"/>
  <c r="AC530" i="4"/>
  <c r="AJ531" i="4" l="1"/>
  <c r="AP531" i="4" s="1"/>
  <c r="AV531" i="4" s="1"/>
  <c r="BB531" i="4" s="1"/>
  <c r="K532" i="4"/>
  <c r="AM531" i="4"/>
  <c r="AS531" i="4" s="1"/>
  <c r="AY531" i="4" s="1"/>
  <c r="BE531" i="4" s="1"/>
  <c r="N532" i="4"/>
  <c r="O532" i="4"/>
  <c r="AN531" i="4"/>
  <c r="AT531" i="4" s="1"/>
  <c r="AZ531" i="4" s="1"/>
  <c r="BF531" i="4" s="1"/>
  <c r="CB532" i="4"/>
  <c r="E29" i="4" s="1"/>
  <c r="E30" i="4" s="1"/>
  <c r="E32" i="4" s="1"/>
  <c r="Z532" i="4"/>
  <c r="AK532" i="4"/>
  <c r="Y533" i="4"/>
  <c r="BM529" i="4"/>
  <c r="BN529" i="4" s="1"/>
  <c r="BS531" i="4"/>
  <c r="AC531" i="4"/>
  <c r="AO530" i="4"/>
  <c r="BJ530" i="4"/>
  <c r="U532" i="4" l="1"/>
  <c r="CI532" i="4"/>
  <c r="F28" i="4" s="1"/>
  <c r="CJ532" i="4"/>
  <c r="G28" i="4" s="1"/>
  <c r="V532" i="4"/>
  <c r="R532" i="4"/>
  <c r="CF532" i="4"/>
  <c r="C28" i="4" s="1"/>
  <c r="BK530" i="4"/>
  <c r="AO531" i="4"/>
  <c r="P532" i="4"/>
  <c r="BJ531" i="4"/>
  <c r="AK533" i="4"/>
  <c r="L534" i="4"/>
  <c r="AQ532" i="4"/>
  <c r="AW532" i="4" s="1"/>
  <c r="AL532" i="4"/>
  <c r="AR532" i="4" s="1"/>
  <c r="AX532" i="4" s="1"/>
  <c r="BD532" i="4" s="1"/>
  <c r="Z533" i="4"/>
  <c r="AU530" i="4"/>
  <c r="BA530" i="4" s="1"/>
  <c r="BH530" i="4"/>
  <c r="CD532" i="4" l="1"/>
  <c r="G29" i="4" s="1"/>
  <c r="G30" i="4" s="1"/>
  <c r="G32" i="4" s="1"/>
  <c r="AB532" i="4"/>
  <c r="BZ532" i="4"/>
  <c r="C29" i="4" s="1"/>
  <c r="C30" i="4" s="1"/>
  <c r="C32" i="4" s="1"/>
  <c r="X532" i="4"/>
  <c r="CC532" i="4"/>
  <c r="F29" i="4" s="1"/>
  <c r="F30" i="4" s="1"/>
  <c r="F32" i="4" s="1"/>
  <c r="AA532" i="4"/>
  <c r="BO530" i="4"/>
  <c r="BG530" i="4"/>
  <c r="BP530" i="4" s="1"/>
  <c r="BQ530" i="4" s="1"/>
  <c r="BK531" i="4"/>
  <c r="AQ533" i="4"/>
  <c r="AW533" i="4" s="1"/>
  <c r="BC532" i="4"/>
  <c r="BV530" i="4"/>
  <c r="BY530" i="4" s="1"/>
  <c r="BL530" i="4"/>
  <c r="AL533" i="4"/>
  <c r="AR533" i="4" s="1"/>
  <c r="AX533" i="4" s="1"/>
  <c r="BD533" i="4" s="1"/>
  <c r="M534" i="4"/>
  <c r="W532" i="4"/>
  <c r="CK532" i="4"/>
  <c r="H28" i="4" s="1"/>
  <c r="BI532" i="4"/>
  <c r="AU531" i="4"/>
  <c r="BA531" i="4" s="1"/>
  <c r="BH531" i="4"/>
  <c r="BV531" i="4" s="1"/>
  <c r="BY531" i="4" s="1"/>
  <c r="S534" i="4"/>
  <c r="CG534" i="4"/>
  <c r="AA533" i="4" l="1"/>
  <c r="AM532" i="4"/>
  <c r="AS532" i="4" s="1"/>
  <c r="AY532" i="4" s="1"/>
  <c r="BE532" i="4" s="1"/>
  <c r="AJ532" i="4"/>
  <c r="AP532" i="4" s="1"/>
  <c r="AV532" i="4" s="1"/>
  <c r="BB532" i="4" s="1"/>
  <c r="X533" i="4"/>
  <c r="AN532" i="4"/>
  <c r="AT532" i="4" s="1"/>
  <c r="AZ532" i="4" s="1"/>
  <c r="BF532" i="4" s="1"/>
  <c r="AB533" i="4"/>
  <c r="BS532" i="4"/>
  <c r="BI533" i="4"/>
  <c r="CE532" i="4"/>
  <c r="H29" i="4" s="1"/>
  <c r="H30" i="4" s="1"/>
  <c r="H32" i="4" s="1"/>
  <c r="AC532" i="4"/>
  <c r="BC533" i="4"/>
  <c r="BL531" i="4"/>
  <c r="BM530" i="4"/>
  <c r="BN530" i="4" s="1"/>
  <c r="CA534" i="4"/>
  <c r="Y534" i="4"/>
  <c r="T534" i="4"/>
  <c r="CH534" i="4"/>
  <c r="BO531" i="4"/>
  <c r="BG531" i="4"/>
  <c r="BP531" i="4" s="1"/>
  <c r="BQ531" i="4" s="1"/>
  <c r="K534" i="4" l="1"/>
  <c r="AJ533" i="4"/>
  <c r="AP533" i="4" s="1"/>
  <c r="AV533" i="4" s="1"/>
  <c r="BB533" i="4"/>
  <c r="O534" i="4"/>
  <c r="AN533" i="4"/>
  <c r="AT533" i="4" s="1"/>
  <c r="AZ533" i="4" s="1"/>
  <c r="BF533" i="4" s="1"/>
  <c r="AM533" i="4"/>
  <c r="AS533" i="4" s="1"/>
  <c r="AY533" i="4" s="1"/>
  <c r="BE533" i="4" s="1"/>
  <c r="N534" i="4"/>
  <c r="BM531" i="4"/>
  <c r="BN531" i="4" s="1"/>
  <c r="CB534" i="4"/>
  <c r="Z534" i="4"/>
  <c r="AO532" i="4"/>
  <c r="AC533" i="4"/>
  <c r="BJ532" i="4"/>
  <c r="Y535" i="4"/>
  <c r="AK534" i="4"/>
  <c r="BS533" i="4"/>
  <c r="U534" i="4" l="1"/>
  <c r="CI534" i="4"/>
  <c r="CJ534" i="4"/>
  <c r="V534" i="4"/>
  <c r="CF534" i="4"/>
  <c r="R534" i="4"/>
  <c r="AL534" i="4"/>
  <c r="AR534" i="4" s="1"/>
  <c r="AX534" i="4" s="1"/>
  <c r="BD534" i="4" s="1"/>
  <c r="Z535" i="4"/>
  <c r="BK532" i="4"/>
  <c r="AQ534" i="4"/>
  <c r="AW534" i="4" s="1"/>
  <c r="AK535" i="4"/>
  <c r="L536" i="4"/>
  <c r="AO533" i="4"/>
  <c r="P534" i="4"/>
  <c r="BJ533" i="4"/>
  <c r="AU532" i="4"/>
  <c r="BA532" i="4" s="1"/>
  <c r="BH532" i="4"/>
  <c r="BZ534" i="4" l="1"/>
  <c r="X534" i="4"/>
  <c r="CD534" i="4"/>
  <c r="AB534" i="4"/>
  <c r="CC534" i="4"/>
  <c r="AA534" i="4"/>
  <c r="BV532" i="4"/>
  <c r="BY532" i="4" s="1"/>
  <c r="BL532" i="4"/>
  <c r="S536" i="4"/>
  <c r="CG536" i="4"/>
  <c r="BK533" i="4"/>
  <c r="AU533" i="4"/>
  <c r="BA533" i="4" s="1"/>
  <c r="BH533" i="4"/>
  <c r="BV533" i="4" s="1"/>
  <c r="BY533" i="4" s="1"/>
  <c r="BC534" i="4"/>
  <c r="AL535" i="4"/>
  <c r="AR535" i="4" s="1"/>
  <c r="AX535" i="4" s="1"/>
  <c r="BD535" i="4" s="1"/>
  <c r="M536" i="4"/>
  <c r="BO532" i="4"/>
  <c r="BG532" i="4"/>
  <c r="BP532" i="4" s="1"/>
  <c r="BQ532" i="4" s="1"/>
  <c r="W534" i="4"/>
  <c r="CK534" i="4"/>
  <c r="BI534" i="4"/>
  <c r="AQ535" i="4"/>
  <c r="AW535" i="4" s="1"/>
  <c r="AA535" i="4" l="1"/>
  <c r="AM534" i="4"/>
  <c r="AS534" i="4" s="1"/>
  <c r="AY534" i="4" s="1"/>
  <c r="BE534" i="4" s="1"/>
  <c r="AB535" i="4"/>
  <c r="AN534" i="4"/>
  <c r="AT534" i="4" s="1"/>
  <c r="AZ534" i="4" s="1"/>
  <c r="BF534" i="4" s="1"/>
  <c r="X535" i="4"/>
  <c r="AJ534" i="4"/>
  <c r="AP534" i="4" s="1"/>
  <c r="AV534" i="4" s="1"/>
  <c r="BB534" i="4" s="1"/>
  <c r="BO533" i="4"/>
  <c r="BG533" i="4"/>
  <c r="BP533" i="4" s="1"/>
  <c r="BQ533" i="4" s="1"/>
  <c r="T536" i="4"/>
  <c r="CH536" i="4"/>
  <c r="BC535" i="4"/>
  <c r="BI535" i="4"/>
  <c r="BS534" i="4"/>
  <c r="CE534" i="4"/>
  <c r="AC534" i="4"/>
  <c r="BL533" i="4"/>
  <c r="BM532" i="4"/>
  <c r="BN532" i="4" s="1"/>
  <c r="CA536" i="4"/>
  <c r="Y536" i="4"/>
  <c r="AJ535" i="4" l="1"/>
  <c r="AP535" i="4" s="1"/>
  <c r="AV535" i="4" s="1"/>
  <c r="K536" i="4"/>
  <c r="BB535" i="4"/>
  <c r="AN535" i="4"/>
  <c r="AT535" i="4" s="1"/>
  <c r="AZ535" i="4" s="1"/>
  <c r="BF535" i="4" s="1"/>
  <c r="O536" i="4"/>
  <c r="N536" i="4"/>
  <c r="AM535" i="4"/>
  <c r="AS535" i="4" s="1"/>
  <c r="AY535" i="4" s="1"/>
  <c r="BE535" i="4" s="1"/>
  <c r="AO534" i="4"/>
  <c r="AC535" i="4"/>
  <c r="BJ534" i="4"/>
  <c r="BS535" i="4"/>
  <c r="AK536" i="4"/>
  <c r="Y537" i="4"/>
  <c r="BM533" i="4"/>
  <c r="BN533" i="4" s="1"/>
  <c r="CB536" i="4"/>
  <c r="Z536" i="4"/>
  <c r="CI536" i="4" l="1"/>
  <c r="U536" i="4"/>
  <c r="V536" i="4"/>
  <c r="CJ536" i="4"/>
  <c r="CF536" i="4"/>
  <c r="R536" i="4"/>
  <c r="BK534" i="4"/>
  <c r="AK537" i="4"/>
  <c r="L538" i="4"/>
  <c r="AQ536" i="4"/>
  <c r="AW536" i="4" s="1"/>
  <c r="AO535" i="4"/>
  <c r="P536" i="4"/>
  <c r="BJ535" i="4"/>
  <c r="Z537" i="4"/>
  <c r="AL536" i="4"/>
  <c r="AR536" i="4" s="1"/>
  <c r="AX536" i="4" s="1"/>
  <c r="BD536" i="4" s="1"/>
  <c r="AU534" i="4"/>
  <c r="BA534" i="4" s="1"/>
  <c r="BH534" i="4"/>
  <c r="BZ536" i="4" l="1"/>
  <c r="X536" i="4"/>
  <c r="CD536" i="4"/>
  <c r="AB536" i="4"/>
  <c r="CC536" i="4"/>
  <c r="AA536" i="4"/>
  <c r="BC536" i="4"/>
  <c r="AL537" i="4"/>
  <c r="AR537" i="4" s="1"/>
  <c r="AX537" i="4" s="1"/>
  <c r="BD537" i="4" s="1"/>
  <c r="M538" i="4"/>
  <c r="W536" i="4"/>
  <c r="CK536" i="4"/>
  <c r="BI536" i="4"/>
  <c r="BO534" i="4"/>
  <c r="BG534" i="4"/>
  <c r="BP534" i="4" s="1"/>
  <c r="BQ534" i="4" s="1"/>
  <c r="S538" i="4"/>
  <c r="CG538" i="4"/>
  <c r="AQ537" i="4"/>
  <c r="AW537" i="4" s="1"/>
  <c r="BV534" i="4"/>
  <c r="BY534" i="4" s="1"/>
  <c r="BL534" i="4"/>
  <c r="BK535" i="4"/>
  <c r="AU535" i="4"/>
  <c r="BA535" i="4" s="1"/>
  <c r="BH535" i="4"/>
  <c r="BV535" i="4" s="1"/>
  <c r="BY535" i="4" s="1"/>
  <c r="AM536" i="4" l="1"/>
  <c r="AS536" i="4" s="1"/>
  <c r="AY536" i="4" s="1"/>
  <c r="BE536" i="4" s="1"/>
  <c r="AA537" i="4"/>
  <c r="AN536" i="4"/>
  <c r="AT536" i="4" s="1"/>
  <c r="AZ536" i="4" s="1"/>
  <c r="BF536" i="4" s="1"/>
  <c r="AB537" i="4"/>
  <c r="AJ536" i="4"/>
  <c r="AP536" i="4" s="1"/>
  <c r="AV536" i="4" s="1"/>
  <c r="BB536" i="4" s="1"/>
  <c r="X537" i="4"/>
  <c r="BC537" i="4"/>
  <c r="CA538" i="4"/>
  <c r="Y538" i="4"/>
  <c r="BO535" i="4"/>
  <c r="BG535" i="4"/>
  <c r="BP535" i="4" s="1"/>
  <c r="BQ535" i="4" s="1"/>
  <c r="BL535" i="4"/>
  <c r="BM534" i="4"/>
  <c r="BN534" i="4" s="1"/>
  <c r="BI537" i="4"/>
  <c r="BS536" i="4"/>
  <c r="CE536" i="4"/>
  <c r="AC536" i="4"/>
  <c r="T538" i="4"/>
  <c r="CH538" i="4"/>
  <c r="AN537" i="4" l="1"/>
  <c r="AT537" i="4" s="1"/>
  <c r="AZ537" i="4" s="1"/>
  <c r="BF537" i="4" s="1"/>
  <c r="O538" i="4"/>
  <c r="K538" i="4"/>
  <c r="AJ537" i="4"/>
  <c r="AP537" i="4" s="1"/>
  <c r="AV537" i="4" s="1"/>
  <c r="BB537" i="4" s="1"/>
  <c r="AM537" i="4"/>
  <c r="AS537" i="4" s="1"/>
  <c r="AY537" i="4" s="1"/>
  <c r="BE537" i="4" s="1"/>
  <c r="N538" i="4"/>
  <c r="AC537" i="4"/>
  <c r="AO536" i="4"/>
  <c r="BJ536" i="4"/>
  <c r="BS537" i="4"/>
  <c r="BM535" i="4"/>
  <c r="BN535" i="4" s="1"/>
  <c r="CB538" i="4"/>
  <c r="Z538" i="4"/>
  <c r="AK538" i="4"/>
  <c r="Y539" i="4"/>
  <c r="U538" i="4" l="1"/>
  <c r="CI538" i="4"/>
  <c r="R538" i="4"/>
  <c r="CF538" i="4"/>
  <c r="CJ538" i="4"/>
  <c r="V538" i="4"/>
  <c r="AQ538" i="4"/>
  <c r="AW538" i="4" s="1"/>
  <c r="AL538" i="4"/>
  <c r="AR538" i="4" s="1"/>
  <c r="AX538" i="4" s="1"/>
  <c r="BD538" i="4" s="1"/>
  <c r="Z539" i="4"/>
  <c r="AK539" i="4"/>
  <c r="L540" i="4"/>
  <c r="BK536" i="4"/>
  <c r="AU536" i="4"/>
  <c r="BA536" i="4" s="1"/>
  <c r="BH536" i="4"/>
  <c r="AO537" i="4"/>
  <c r="P538" i="4"/>
  <c r="BJ537" i="4"/>
  <c r="AB538" i="4" l="1"/>
  <c r="CD538" i="4"/>
  <c r="BZ538" i="4"/>
  <c r="X538" i="4"/>
  <c r="CC538" i="4"/>
  <c r="AA538" i="4"/>
  <c r="BK537" i="4"/>
  <c r="AU537" i="4"/>
  <c r="BA537" i="4" s="1"/>
  <c r="BH537" i="4"/>
  <c r="BV537" i="4" s="1"/>
  <c r="BY537" i="4" s="1"/>
  <c r="AL539" i="4"/>
  <c r="AR539" i="4" s="1"/>
  <c r="AX539" i="4" s="1"/>
  <c r="BD539" i="4" s="1"/>
  <c r="M540" i="4"/>
  <c r="S540" i="4"/>
  <c r="CG540" i="4"/>
  <c r="BO536" i="4"/>
  <c r="BG536" i="4"/>
  <c r="BP536" i="4" s="1"/>
  <c r="BQ536" i="4" s="1"/>
  <c r="BC538" i="4"/>
  <c r="W538" i="4"/>
  <c r="CK538" i="4"/>
  <c r="BI538" i="4"/>
  <c r="AQ539" i="4"/>
  <c r="AW539" i="4" s="1"/>
  <c r="BV536" i="4"/>
  <c r="BY536" i="4" s="1"/>
  <c r="BL536" i="4"/>
  <c r="AA539" i="4" l="1"/>
  <c r="AM538" i="4"/>
  <c r="AS538" i="4" s="1"/>
  <c r="AY538" i="4" s="1"/>
  <c r="BE538" i="4" s="1"/>
  <c r="X539" i="4"/>
  <c r="AJ538" i="4"/>
  <c r="AP538" i="4" s="1"/>
  <c r="AV538" i="4" s="1"/>
  <c r="BB538" i="4" s="1"/>
  <c r="AB539" i="4"/>
  <c r="AN538" i="4"/>
  <c r="AT538" i="4" s="1"/>
  <c r="AZ538" i="4" s="1"/>
  <c r="BF538" i="4" s="1"/>
  <c r="BS538" i="4"/>
  <c r="BI539" i="4"/>
  <c r="CE538" i="4"/>
  <c r="AC538" i="4"/>
  <c r="BC539" i="4"/>
  <c r="CA540" i="4"/>
  <c r="Y540" i="4"/>
  <c r="T540" i="4"/>
  <c r="CH540" i="4"/>
  <c r="BO537" i="4"/>
  <c r="BG537" i="4"/>
  <c r="BP537" i="4" s="1"/>
  <c r="BQ537" i="4" s="1"/>
  <c r="BL537" i="4"/>
  <c r="BM536" i="4"/>
  <c r="BN536" i="4" s="1"/>
  <c r="AN539" i="4" l="1"/>
  <c r="AT539" i="4" s="1"/>
  <c r="AZ539" i="4" s="1"/>
  <c r="BF539" i="4" s="1"/>
  <c r="O540" i="4"/>
  <c r="K540" i="4"/>
  <c r="AJ539" i="4"/>
  <c r="AP539" i="4" s="1"/>
  <c r="AV539" i="4" s="1"/>
  <c r="BB539" i="4" s="1"/>
  <c r="AM539" i="4"/>
  <c r="AS539" i="4" s="1"/>
  <c r="AY539" i="4" s="1"/>
  <c r="BE539" i="4" s="1"/>
  <c r="N540" i="4"/>
  <c r="BM537" i="4"/>
  <c r="BN537" i="4" s="1"/>
  <c r="BS539" i="4"/>
  <c r="Y541" i="4"/>
  <c r="AK540" i="4"/>
  <c r="CB540" i="4"/>
  <c r="Z540" i="4"/>
  <c r="AC539" i="4"/>
  <c r="AO538" i="4"/>
  <c r="BJ538" i="4"/>
  <c r="CI540" i="4" l="1"/>
  <c r="U540" i="4"/>
  <c r="R540" i="4"/>
  <c r="CF540" i="4"/>
  <c r="V540" i="4"/>
  <c r="CJ540" i="4"/>
  <c r="BK538" i="4"/>
  <c r="AU538" i="4"/>
  <c r="BA538" i="4" s="1"/>
  <c r="BH538" i="4"/>
  <c r="AQ540" i="4"/>
  <c r="AW540" i="4" s="1"/>
  <c r="AO539" i="4"/>
  <c r="P540" i="4"/>
  <c r="BJ539" i="4"/>
  <c r="AL540" i="4"/>
  <c r="AR540" i="4" s="1"/>
  <c r="AX540" i="4" s="1"/>
  <c r="BD540" i="4" s="1"/>
  <c r="Z541" i="4"/>
  <c r="AK541" i="4"/>
  <c r="L542" i="4"/>
  <c r="CD540" i="4" l="1"/>
  <c r="AB540" i="4"/>
  <c r="BZ540" i="4"/>
  <c r="X540" i="4"/>
  <c r="CC540" i="4"/>
  <c r="AA540" i="4"/>
  <c r="BC540" i="4"/>
  <c r="BK539" i="4"/>
  <c r="S542" i="4"/>
  <c r="CG542" i="4"/>
  <c r="AQ541" i="4"/>
  <c r="AW541" i="4" s="1"/>
  <c r="W540" i="4"/>
  <c r="CK540" i="4"/>
  <c r="BI540" i="4"/>
  <c r="BV538" i="4"/>
  <c r="BY538" i="4" s="1"/>
  <c r="BL538" i="4"/>
  <c r="AL541" i="4"/>
  <c r="AR541" i="4" s="1"/>
  <c r="AX541" i="4" s="1"/>
  <c r="BD541" i="4" s="1"/>
  <c r="M542" i="4"/>
  <c r="BO538" i="4"/>
  <c r="BG538" i="4"/>
  <c r="BP538" i="4" s="1"/>
  <c r="BQ538" i="4" s="1"/>
  <c r="AU539" i="4"/>
  <c r="BA539" i="4" s="1"/>
  <c r="BH539" i="4"/>
  <c r="BV539" i="4" s="1"/>
  <c r="BY539" i="4" s="1"/>
  <c r="AA541" i="4" l="1"/>
  <c r="AM540" i="4"/>
  <c r="AS540" i="4" s="1"/>
  <c r="AY540" i="4" s="1"/>
  <c r="BE540" i="4" s="1"/>
  <c r="X541" i="4"/>
  <c r="AJ540" i="4"/>
  <c r="AP540" i="4" s="1"/>
  <c r="AV540" i="4" s="1"/>
  <c r="BB540" i="4" s="1"/>
  <c r="AB541" i="4"/>
  <c r="AN540" i="4"/>
  <c r="AT540" i="4" s="1"/>
  <c r="AZ540" i="4" s="1"/>
  <c r="BF540" i="4" s="1"/>
  <c r="CE540" i="4"/>
  <c r="AC540" i="4"/>
  <c r="BO539" i="4"/>
  <c r="BG539" i="4"/>
  <c r="BP539" i="4" s="1"/>
  <c r="BQ539" i="4" s="1"/>
  <c r="BI541" i="4"/>
  <c r="BS540" i="4"/>
  <c r="BC541" i="4"/>
  <c r="BL539" i="4"/>
  <c r="BM538" i="4"/>
  <c r="BN538" i="4" s="1"/>
  <c r="CA542" i="4"/>
  <c r="Y542" i="4"/>
  <c r="T542" i="4"/>
  <c r="CH542" i="4"/>
  <c r="AN541" i="4" l="1"/>
  <c r="AT541" i="4" s="1"/>
  <c r="AZ541" i="4" s="1"/>
  <c r="BF541" i="4"/>
  <c r="O542" i="4"/>
  <c r="K542" i="4"/>
  <c r="AJ541" i="4"/>
  <c r="AP541" i="4" s="1"/>
  <c r="AV541" i="4" s="1"/>
  <c r="BB541" i="4" s="1"/>
  <c r="N542" i="4"/>
  <c r="AM541" i="4"/>
  <c r="AS541" i="4" s="1"/>
  <c r="AY541" i="4" s="1"/>
  <c r="BE541" i="4" s="1"/>
  <c r="CB542" i="4"/>
  <c r="Z542" i="4"/>
  <c r="BS541" i="4"/>
  <c r="BM539" i="4"/>
  <c r="BN539" i="4" s="1"/>
  <c r="AO540" i="4"/>
  <c r="AC541" i="4"/>
  <c r="BJ540" i="4"/>
  <c r="Y543" i="4"/>
  <c r="AK542" i="4"/>
  <c r="U542" i="4" l="1"/>
  <c r="CI542" i="4"/>
  <c r="CF542" i="4"/>
  <c r="R542" i="4"/>
  <c r="V542" i="4"/>
  <c r="CJ542" i="4"/>
  <c r="AO541" i="4"/>
  <c r="P542" i="4"/>
  <c r="BJ541" i="4"/>
  <c r="AK543" i="4"/>
  <c r="L544" i="4"/>
  <c r="Z543" i="4"/>
  <c r="AL542" i="4"/>
  <c r="AR542" i="4" s="1"/>
  <c r="AX542" i="4" s="1"/>
  <c r="BD542" i="4" s="1"/>
  <c r="BK540" i="4"/>
  <c r="AU540" i="4"/>
  <c r="BA540" i="4" s="1"/>
  <c r="BH540" i="4"/>
  <c r="AQ542" i="4"/>
  <c r="AW542" i="4" s="1"/>
  <c r="CD542" i="4" l="1"/>
  <c r="AB542" i="4"/>
  <c r="BZ542" i="4"/>
  <c r="X542" i="4"/>
  <c r="CC542" i="4"/>
  <c r="AA542" i="4"/>
  <c r="BV540" i="4"/>
  <c r="BY540" i="4" s="1"/>
  <c r="BL540" i="4"/>
  <c r="W542" i="4"/>
  <c r="CK542" i="4"/>
  <c r="BI542" i="4"/>
  <c r="BO540" i="4"/>
  <c r="BG540" i="4"/>
  <c r="BP540" i="4" s="1"/>
  <c r="BQ540" i="4" s="1"/>
  <c r="BC542" i="4"/>
  <c r="BK541" i="4"/>
  <c r="AL543" i="4"/>
  <c r="AR543" i="4" s="1"/>
  <c r="AX543" i="4" s="1"/>
  <c r="BD543" i="4" s="1"/>
  <c r="M544" i="4"/>
  <c r="S544" i="4"/>
  <c r="CG544" i="4"/>
  <c r="AU541" i="4"/>
  <c r="BA541" i="4" s="1"/>
  <c r="BH541" i="4"/>
  <c r="BV541" i="4" s="1"/>
  <c r="BY541" i="4" s="1"/>
  <c r="AQ543" i="4"/>
  <c r="AW543" i="4" s="1"/>
  <c r="AM542" i="4" l="1"/>
  <c r="AS542" i="4" s="1"/>
  <c r="AY542" i="4" s="1"/>
  <c r="BE542" i="4" s="1"/>
  <c r="AA543" i="4"/>
  <c r="AJ542" i="4"/>
  <c r="AP542" i="4" s="1"/>
  <c r="AV542" i="4" s="1"/>
  <c r="X543" i="4"/>
  <c r="BB542" i="4"/>
  <c r="AN542" i="4"/>
  <c r="AT542" i="4" s="1"/>
  <c r="AZ542" i="4" s="1"/>
  <c r="BF542" i="4" s="1"/>
  <c r="AB543" i="4"/>
  <c r="CE542" i="4"/>
  <c r="AC542" i="4"/>
  <c r="T544" i="4"/>
  <c r="CH544" i="4"/>
  <c r="BL541" i="4"/>
  <c r="BM540" i="4"/>
  <c r="BN540" i="4" s="1"/>
  <c r="BI543" i="4"/>
  <c r="BS542" i="4"/>
  <c r="BC543" i="4"/>
  <c r="CA544" i="4"/>
  <c r="Y544" i="4"/>
  <c r="BO541" i="4"/>
  <c r="BG541" i="4"/>
  <c r="BP541" i="4" s="1"/>
  <c r="BQ541" i="4" s="1"/>
  <c r="K544" i="4" l="1"/>
  <c r="AJ543" i="4"/>
  <c r="AP543" i="4" s="1"/>
  <c r="AV543" i="4" s="1"/>
  <c r="BB543" i="4"/>
  <c r="AN543" i="4"/>
  <c r="AT543" i="4" s="1"/>
  <c r="AZ543" i="4" s="1"/>
  <c r="BF543" i="4" s="1"/>
  <c r="O544" i="4"/>
  <c r="AM543" i="4"/>
  <c r="AS543" i="4" s="1"/>
  <c r="AY543" i="4" s="1"/>
  <c r="BE543" i="4" s="1"/>
  <c r="N544" i="4"/>
  <c r="BM541" i="4"/>
  <c r="BN541" i="4" s="1"/>
  <c r="BS543" i="4"/>
  <c r="AC543" i="4"/>
  <c r="AO542" i="4"/>
  <c r="BJ542" i="4"/>
  <c r="Y545" i="4"/>
  <c r="AK544" i="4"/>
  <c r="CB544" i="4"/>
  <c r="Z544" i="4"/>
  <c r="CI544" i="4" l="1"/>
  <c r="U544" i="4"/>
  <c r="V544" i="4"/>
  <c r="CJ544" i="4"/>
  <c r="CF544" i="4"/>
  <c r="R544" i="4"/>
  <c r="BK542" i="4"/>
  <c r="AK545" i="4"/>
  <c r="L546" i="4"/>
  <c r="AO543" i="4"/>
  <c r="P544" i="4"/>
  <c r="BJ543" i="4"/>
  <c r="AQ544" i="4"/>
  <c r="AW544" i="4" s="1"/>
  <c r="AU542" i="4"/>
  <c r="BA542" i="4" s="1"/>
  <c r="BH542" i="4"/>
  <c r="Z545" i="4"/>
  <c r="AL544" i="4"/>
  <c r="AR544" i="4" s="1"/>
  <c r="AX544" i="4" s="1"/>
  <c r="BD544" i="4" s="1"/>
  <c r="BZ544" i="4" l="1"/>
  <c r="X544" i="4"/>
  <c r="AB544" i="4"/>
  <c r="CD544" i="4"/>
  <c r="AA544" i="4"/>
  <c r="CC544" i="4"/>
  <c r="BC544" i="4"/>
  <c r="BK543" i="4"/>
  <c r="AU543" i="4"/>
  <c r="BA543" i="4" s="1"/>
  <c r="BH543" i="4"/>
  <c r="BV543" i="4" s="1"/>
  <c r="BY543" i="4" s="1"/>
  <c r="BO542" i="4"/>
  <c r="BG542" i="4"/>
  <c r="BP542" i="4" s="1"/>
  <c r="BQ542" i="4" s="1"/>
  <c r="CK544" i="4"/>
  <c r="W544" i="4"/>
  <c r="BI544" i="4"/>
  <c r="AL545" i="4"/>
  <c r="AR545" i="4" s="1"/>
  <c r="AX545" i="4" s="1"/>
  <c r="BD545" i="4" s="1"/>
  <c r="M546" i="4"/>
  <c r="BV542" i="4"/>
  <c r="BY542" i="4" s="1"/>
  <c r="BL542" i="4"/>
  <c r="S546" i="4"/>
  <c r="CG546" i="4"/>
  <c r="AQ545" i="4"/>
  <c r="AW545" i="4" s="1"/>
  <c r="AA545" i="4" l="1"/>
  <c r="AM544" i="4"/>
  <c r="AS544" i="4" s="1"/>
  <c r="AY544" i="4" s="1"/>
  <c r="BE544" i="4" s="1"/>
  <c r="AB545" i="4"/>
  <c r="AN544" i="4"/>
  <c r="AT544" i="4" s="1"/>
  <c r="AZ544" i="4" s="1"/>
  <c r="BF544" i="4" s="1"/>
  <c r="AJ544" i="4"/>
  <c r="AP544" i="4" s="1"/>
  <c r="AV544" i="4" s="1"/>
  <c r="BB544" i="4" s="1"/>
  <c r="X545" i="4"/>
  <c r="BC545" i="4"/>
  <c r="CE544" i="4"/>
  <c r="AC544" i="4"/>
  <c r="CA546" i="4"/>
  <c r="Y546" i="4"/>
  <c r="T546" i="4"/>
  <c r="CH546" i="4"/>
  <c r="BL543" i="4"/>
  <c r="BM542" i="4"/>
  <c r="BN542" i="4" s="1"/>
  <c r="BO543" i="4"/>
  <c r="BG543" i="4"/>
  <c r="BP543" i="4" s="1"/>
  <c r="BQ543" i="4" s="1"/>
  <c r="BI545" i="4"/>
  <c r="BS544" i="4"/>
  <c r="K546" i="4" l="1"/>
  <c r="AJ545" i="4"/>
  <c r="AP545" i="4" s="1"/>
  <c r="AV545" i="4" s="1"/>
  <c r="BB545" i="4"/>
  <c r="AN545" i="4"/>
  <c r="AT545" i="4" s="1"/>
  <c r="AZ545" i="4" s="1"/>
  <c r="BF545" i="4" s="1"/>
  <c r="O546" i="4"/>
  <c r="N546" i="4"/>
  <c r="AM545" i="4"/>
  <c r="AS545" i="4" s="1"/>
  <c r="AY545" i="4" s="1"/>
  <c r="BE545" i="4" s="1"/>
  <c r="CB546" i="4"/>
  <c r="Z546" i="4"/>
  <c r="Y547" i="4"/>
  <c r="AK546" i="4"/>
  <c r="BM543" i="4"/>
  <c r="BN543" i="4" s="1"/>
  <c r="AC545" i="4"/>
  <c r="AO544" i="4"/>
  <c r="BJ544" i="4"/>
  <c r="BS545" i="4"/>
  <c r="V546" i="4" l="1"/>
  <c r="CJ546" i="4"/>
  <c r="U546" i="4"/>
  <c r="CI546" i="4"/>
  <c r="R546" i="4"/>
  <c r="CF546" i="4"/>
  <c r="AK547" i="4"/>
  <c r="L548" i="4"/>
  <c r="AU544" i="4"/>
  <c r="BA544" i="4" s="1"/>
  <c r="BH544" i="4"/>
  <c r="AQ546" i="4"/>
  <c r="AW546" i="4" s="1"/>
  <c r="BK544" i="4"/>
  <c r="AO545" i="4"/>
  <c r="P546" i="4"/>
  <c r="BJ545" i="4"/>
  <c r="AL546" i="4"/>
  <c r="AR546" i="4" s="1"/>
  <c r="AX546" i="4" s="1"/>
  <c r="BD546" i="4" s="1"/>
  <c r="Z547" i="4"/>
  <c r="BZ546" i="4" l="1"/>
  <c r="X546" i="4"/>
  <c r="CC546" i="4"/>
  <c r="AA546" i="4"/>
  <c r="AB546" i="4"/>
  <c r="CD546" i="4"/>
  <c r="BO544" i="4"/>
  <c r="BG544" i="4"/>
  <c r="BP544" i="4" s="1"/>
  <c r="BQ544" i="4" s="1"/>
  <c r="S548" i="4"/>
  <c r="CG548" i="4"/>
  <c r="BC546" i="4"/>
  <c r="BV544" i="4"/>
  <c r="BY544" i="4" s="1"/>
  <c r="BL544" i="4"/>
  <c r="W546" i="4"/>
  <c r="CK546" i="4"/>
  <c r="BI546" i="4"/>
  <c r="AL547" i="4"/>
  <c r="AR547" i="4" s="1"/>
  <c r="AX547" i="4" s="1"/>
  <c r="BD547" i="4" s="1"/>
  <c r="M548" i="4"/>
  <c r="BK545" i="4"/>
  <c r="AU545" i="4"/>
  <c r="BA545" i="4" s="1"/>
  <c r="BH545" i="4"/>
  <c r="BV545" i="4" s="1"/>
  <c r="BY545" i="4" s="1"/>
  <c r="AQ547" i="4"/>
  <c r="AW547" i="4" s="1"/>
  <c r="AB547" i="4" l="1"/>
  <c r="AN546" i="4"/>
  <c r="AT546" i="4" s="1"/>
  <c r="AZ546" i="4" s="1"/>
  <c r="BF546" i="4" s="1"/>
  <c r="AA547" i="4"/>
  <c r="AM546" i="4"/>
  <c r="AS546" i="4" s="1"/>
  <c r="AY546" i="4" s="1"/>
  <c r="BE546" i="4" s="1"/>
  <c r="X547" i="4"/>
  <c r="AJ546" i="4"/>
  <c r="AP546" i="4" s="1"/>
  <c r="AV546" i="4" s="1"/>
  <c r="BB546" i="4" s="1"/>
  <c r="BO545" i="4"/>
  <c r="BG545" i="4"/>
  <c r="BP545" i="4" s="1"/>
  <c r="BQ545" i="4" s="1"/>
  <c r="BL545" i="4"/>
  <c r="BM544" i="4"/>
  <c r="BN544" i="4" s="1"/>
  <c r="CA548" i="4"/>
  <c r="Y548" i="4"/>
  <c r="T548" i="4"/>
  <c r="CH548" i="4"/>
  <c r="CE546" i="4"/>
  <c r="AC546" i="4"/>
  <c r="BC547" i="4"/>
  <c r="BS546" i="4"/>
  <c r="BI547" i="4"/>
  <c r="K548" i="4" l="1"/>
  <c r="AJ547" i="4"/>
  <c r="AP547" i="4" s="1"/>
  <c r="AV547" i="4" s="1"/>
  <c r="BB547" i="4"/>
  <c r="AM547" i="4"/>
  <c r="AS547" i="4" s="1"/>
  <c r="AY547" i="4" s="1"/>
  <c r="BE547" i="4" s="1"/>
  <c r="N548" i="4"/>
  <c r="AN547" i="4"/>
  <c r="AT547" i="4" s="1"/>
  <c r="AZ547" i="4" s="1"/>
  <c r="BF547" i="4" s="1"/>
  <c r="O548" i="4"/>
  <c r="AC547" i="4"/>
  <c r="AO546" i="4"/>
  <c r="BJ546" i="4"/>
  <c r="CB548" i="4"/>
  <c r="Z548" i="4"/>
  <c r="BS547" i="4"/>
  <c r="Y549" i="4"/>
  <c r="AK548" i="4"/>
  <c r="BM545" i="4"/>
  <c r="BN545" i="4" s="1"/>
  <c r="CJ548" i="4" l="1"/>
  <c r="V548" i="4"/>
  <c r="U548" i="4"/>
  <c r="CI548" i="4"/>
  <c r="CF548" i="4"/>
  <c r="R548" i="4"/>
  <c r="AQ548" i="4"/>
  <c r="AW548" i="4" s="1"/>
  <c r="AK549" i="4"/>
  <c r="L550" i="4"/>
  <c r="AU546" i="4"/>
  <c r="BA546" i="4" s="1"/>
  <c r="BH546" i="4"/>
  <c r="AL548" i="4"/>
  <c r="AR548" i="4" s="1"/>
  <c r="AX548" i="4" s="1"/>
  <c r="BD548" i="4" s="1"/>
  <c r="Z549" i="4"/>
  <c r="BK546" i="4"/>
  <c r="AO547" i="4"/>
  <c r="P548" i="4"/>
  <c r="BJ547" i="4"/>
  <c r="BZ548" i="4" l="1"/>
  <c r="X548" i="4"/>
  <c r="CC548" i="4"/>
  <c r="AA548" i="4"/>
  <c r="AB548" i="4"/>
  <c r="CD548" i="4"/>
  <c r="S550" i="4"/>
  <c r="CG550" i="4"/>
  <c r="BV546" i="4"/>
  <c r="BY546" i="4" s="1"/>
  <c r="BL546" i="4"/>
  <c r="BO546" i="4"/>
  <c r="BG546" i="4"/>
  <c r="BP546" i="4" s="1"/>
  <c r="BQ546" i="4" s="1"/>
  <c r="BK547" i="4"/>
  <c r="W548" i="4"/>
  <c r="CK548" i="4"/>
  <c r="BI548" i="4"/>
  <c r="AU547" i="4"/>
  <c r="BA547" i="4" s="1"/>
  <c r="BH547" i="4"/>
  <c r="BV547" i="4" s="1"/>
  <c r="BY547" i="4" s="1"/>
  <c r="AQ549" i="4"/>
  <c r="AW549" i="4" s="1"/>
  <c r="AL549" i="4"/>
  <c r="AR549" i="4" s="1"/>
  <c r="AX549" i="4" s="1"/>
  <c r="BD549" i="4" s="1"/>
  <c r="M550" i="4"/>
  <c r="BC548" i="4"/>
  <c r="AN548" i="4" l="1"/>
  <c r="AT548" i="4" s="1"/>
  <c r="AZ548" i="4" s="1"/>
  <c r="BF548" i="4" s="1"/>
  <c r="AB549" i="4"/>
  <c r="AM548" i="4"/>
  <c r="AS548" i="4" s="1"/>
  <c r="AY548" i="4" s="1"/>
  <c r="BE548" i="4" s="1"/>
  <c r="AA549" i="4"/>
  <c r="X549" i="4"/>
  <c r="AJ548" i="4"/>
  <c r="AP548" i="4" s="1"/>
  <c r="AV548" i="4" s="1"/>
  <c r="BB548" i="4" s="1"/>
  <c r="T550" i="4"/>
  <c r="CH550" i="4"/>
  <c r="CE548" i="4"/>
  <c r="AC548" i="4"/>
  <c r="BL547" i="4"/>
  <c r="BM546" i="4"/>
  <c r="BN546" i="4" s="1"/>
  <c r="BO547" i="4"/>
  <c r="BG547" i="4"/>
  <c r="BP547" i="4" s="1"/>
  <c r="BQ547" i="4" s="1"/>
  <c r="BC549" i="4"/>
  <c r="BI549" i="4"/>
  <c r="BS548" i="4"/>
  <c r="CA550" i="4"/>
  <c r="Y550" i="4"/>
  <c r="N550" i="4" l="1"/>
  <c r="AM549" i="4"/>
  <c r="AS549" i="4" s="1"/>
  <c r="AY549" i="4" s="1"/>
  <c r="BE549" i="4" s="1"/>
  <c r="AJ549" i="4"/>
  <c r="AP549" i="4" s="1"/>
  <c r="AV549" i="4" s="1"/>
  <c r="K550" i="4"/>
  <c r="BB549" i="4"/>
  <c r="AN549" i="4"/>
  <c r="AT549" i="4" s="1"/>
  <c r="AZ549" i="4" s="1"/>
  <c r="BF549" i="4" s="1"/>
  <c r="O550" i="4"/>
  <c r="Y551" i="4"/>
  <c r="AK550" i="4"/>
  <c r="CB550" i="4"/>
  <c r="Z550" i="4"/>
  <c r="AC549" i="4"/>
  <c r="AO548" i="4"/>
  <c r="BJ548" i="4"/>
  <c r="BS549" i="4"/>
  <c r="BM547" i="4"/>
  <c r="BN547" i="4" s="1"/>
  <c r="R550" i="4" l="1"/>
  <c r="CF550" i="4"/>
  <c r="CJ550" i="4"/>
  <c r="V550" i="4"/>
  <c r="CI550" i="4"/>
  <c r="U550" i="4"/>
  <c r="AO549" i="4"/>
  <c r="P550" i="4"/>
  <c r="BJ549" i="4"/>
  <c r="AK551" i="4"/>
  <c r="L552" i="4"/>
  <c r="Z551" i="4"/>
  <c r="AL550" i="4"/>
  <c r="AR550" i="4" s="1"/>
  <c r="AX550" i="4" s="1"/>
  <c r="BD550" i="4" s="1"/>
  <c r="AU548" i="4"/>
  <c r="BA548" i="4" s="1"/>
  <c r="BH548" i="4"/>
  <c r="AQ550" i="4"/>
  <c r="AW550" i="4" s="1"/>
  <c r="BK548" i="4"/>
  <c r="CC550" i="4" l="1"/>
  <c r="AA550" i="4"/>
  <c r="CD550" i="4"/>
  <c r="AB550" i="4"/>
  <c r="BZ550" i="4"/>
  <c r="X550" i="4"/>
  <c r="S552" i="4"/>
  <c r="CG552" i="4"/>
  <c r="W550" i="4"/>
  <c r="CK550" i="4"/>
  <c r="BI550" i="4"/>
  <c r="BC550" i="4"/>
  <c r="BO548" i="4"/>
  <c r="BG548" i="4"/>
  <c r="BP548" i="4" s="1"/>
  <c r="BQ548" i="4" s="1"/>
  <c r="AQ551" i="4"/>
  <c r="AW551" i="4" s="1"/>
  <c r="BK549" i="4"/>
  <c r="BV548" i="4"/>
  <c r="BY548" i="4" s="1"/>
  <c r="BL548" i="4"/>
  <c r="AU549" i="4"/>
  <c r="BA549" i="4" s="1"/>
  <c r="BH549" i="4"/>
  <c r="BV549" i="4" s="1"/>
  <c r="BY549" i="4" s="1"/>
  <c r="AL551" i="4"/>
  <c r="AR551" i="4" s="1"/>
  <c r="AX551" i="4" s="1"/>
  <c r="BD551" i="4" s="1"/>
  <c r="M552" i="4"/>
  <c r="AJ550" i="4" l="1"/>
  <c r="AP550" i="4" s="1"/>
  <c r="AV550" i="4" s="1"/>
  <c r="X551" i="4"/>
  <c r="BB550" i="4"/>
  <c r="AN550" i="4"/>
  <c r="AT550" i="4" s="1"/>
  <c r="AZ550" i="4" s="1"/>
  <c r="BF550" i="4" s="1"/>
  <c r="AB551" i="4"/>
  <c r="AM550" i="4"/>
  <c r="AS550" i="4" s="1"/>
  <c r="AY550" i="4" s="1"/>
  <c r="BE550" i="4" s="1"/>
  <c r="AA551" i="4"/>
  <c r="BO549" i="4"/>
  <c r="BG549" i="4"/>
  <c r="BP549" i="4" s="1"/>
  <c r="BQ549" i="4" s="1"/>
  <c r="T552" i="4"/>
  <c r="CH552" i="4"/>
  <c r="BI551" i="4"/>
  <c r="BS550" i="4"/>
  <c r="BC551" i="4"/>
  <c r="BL549" i="4"/>
  <c r="BM548" i="4"/>
  <c r="BN548" i="4" s="1"/>
  <c r="CE550" i="4"/>
  <c r="AC550" i="4"/>
  <c r="CA552" i="4"/>
  <c r="Y552" i="4"/>
  <c r="N552" i="4" l="1"/>
  <c r="AM551" i="4"/>
  <c r="AS551" i="4" s="1"/>
  <c r="AY551" i="4" s="1"/>
  <c r="BE551" i="4" s="1"/>
  <c r="O552" i="4"/>
  <c r="AN551" i="4"/>
  <c r="AT551" i="4" s="1"/>
  <c r="AZ551" i="4" s="1"/>
  <c r="BF551" i="4" s="1"/>
  <c r="AJ551" i="4"/>
  <c r="AP551" i="4" s="1"/>
  <c r="AV551" i="4" s="1"/>
  <c r="BB551" i="4" s="1"/>
  <c r="K552" i="4"/>
  <c r="BS551" i="4"/>
  <c r="AO550" i="4"/>
  <c r="AC551" i="4"/>
  <c r="BJ550" i="4"/>
  <c r="Y553" i="4"/>
  <c r="AK552" i="4"/>
  <c r="CB552" i="4"/>
  <c r="Z552" i="4"/>
  <c r="BM549" i="4"/>
  <c r="BN549" i="4" s="1"/>
  <c r="CF552" i="4" l="1"/>
  <c r="R552" i="4"/>
  <c r="CJ552" i="4"/>
  <c r="V552" i="4"/>
  <c r="CI552" i="4"/>
  <c r="U552" i="4"/>
  <c r="AQ552" i="4"/>
  <c r="AW552" i="4" s="1"/>
  <c r="AU550" i="4"/>
  <c r="BA550" i="4" s="1"/>
  <c r="BH550" i="4"/>
  <c r="BK550" i="4"/>
  <c r="AK553" i="4"/>
  <c r="L554" i="4"/>
  <c r="Z553" i="4"/>
  <c r="AL552" i="4"/>
  <c r="AR552" i="4" s="1"/>
  <c r="AX552" i="4" s="1"/>
  <c r="BD552" i="4" s="1"/>
  <c r="AO551" i="4"/>
  <c r="P552" i="4"/>
  <c r="BJ551" i="4"/>
  <c r="CC552" i="4" l="1"/>
  <c r="AA552" i="4"/>
  <c r="CD552" i="4"/>
  <c r="AB552" i="4"/>
  <c r="BZ552" i="4"/>
  <c r="X552" i="4"/>
  <c r="AU551" i="4"/>
  <c r="BA551" i="4" s="1"/>
  <c r="BH551" i="4"/>
  <c r="BV551" i="4" s="1"/>
  <c r="BY551" i="4" s="1"/>
  <c r="AL553" i="4"/>
  <c r="AR553" i="4" s="1"/>
  <c r="AX553" i="4" s="1"/>
  <c r="BD553" i="4" s="1"/>
  <c r="M554" i="4"/>
  <c r="AQ553" i="4"/>
  <c r="AW553" i="4" s="1"/>
  <c r="BK551" i="4"/>
  <c r="S554" i="4"/>
  <c r="CG554" i="4"/>
  <c r="BV550" i="4"/>
  <c r="BY550" i="4" s="1"/>
  <c r="BL550" i="4"/>
  <c r="CK552" i="4"/>
  <c r="W552" i="4"/>
  <c r="BI552" i="4"/>
  <c r="BO550" i="4"/>
  <c r="BG550" i="4"/>
  <c r="BP550" i="4" s="1"/>
  <c r="BQ550" i="4" s="1"/>
  <c r="BC552" i="4"/>
  <c r="X553" i="4" l="1"/>
  <c r="AJ552" i="4"/>
  <c r="AP552" i="4" s="1"/>
  <c r="AV552" i="4" s="1"/>
  <c r="BB552" i="4"/>
  <c r="AN552" i="4"/>
  <c r="AT552" i="4" s="1"/>
  <c r="AZ552" i="4" s="1"/>
  <c r="BF552" i="4" s="1"/>
  <c r="AB553" i="4"/>
  <c r="AA553" i="4"/>
  <c r="AM552" i="4"/>
  <c r="AS552" i="4" s="1"/>
  <c r="AY552" i="4" s="1"/>
  <c r="BE552" i="4" s="1"/>
  <c r="BC553" i="4"/>
  <c r="CA554" i="4"/>
  <c r="Y554" i="4"/>
  <c r="T554" i="4"/>
  <c r="CH554" i="4"/>
  <c r="CE552" i="4"/>
  <c r="AC552" i="4"/>
  <c r="BI553" i="4"/>
  <c r="BS552" i="4"/>
  <c r="BL551" i="4"/>
  <c r="BM550" i="4"/>
  <c r="BN550" i="4" s="1"/>
  <c r="BO551" i="4"/>
  <c r="BG551" i="4"/>
  <c r="BP551" i="4" s="1"/>
  <c r="BQ551" i="4" s="1"/>
  <c r="O554" i="4" l="1"/>
  <c r="AN553" i="4"/>
  <c r="AT553" i="4" s="1"/>
  <c r="AZ553" i="4" s="1"/>
  <c r="BF553" i="4" s="1"/>
  <c r="AM553" i="4"/>
  <c r="AS553" i="4" s="1"/>
  <c r="AY553" i="4" s="1"/>
  <c r="BE553" i="4" s="1"/>
  <c r="N554" i="4"/>
  <c r="AJ553" i="4"/>
  <c r="AP553" i="4" s="1"/>
  <c r="AV553" i="4" s="1"/>
  <c r="BB553" i="4" s="1"/>
  <c r="K554" i="4"/>
  <c r="CB554" i="4"/>
  <c r="Z554" i="4"/>
  <c r="BM551" i="4"/>
  <c r="BN551" i="4" s="1"/>
  <c r="AO552" i="4"/>
  <c r="AC553" i="4"/>
  <c r="BJ552" i="4"/>
  <c r="Y555" i="4"/>
  <c r="AK554" i="4"/>
  <c r="BS553" i="4"/>
  <c r="U554" i="4" l="1"/>
  <c r="CI554" i="4"/>
  <c r="CF554" i="4"/>
  <c r="R554" i="4"/>
  <c r="V554" i="4"/>
  <c r="CJ554" i="4"/>
  <c r="AQ554" i="4"/>
  <c r="AW554" i="4" s="1"/>
  <c r="AO553" i="4"/>
  <c r="P554" i="4"/>
  <c r="BJ553" i="4"/>
  <c r="AK555" i="4"/>
  <c r="L556" i="4"/>
  <c r="AL554" i="4"/>
  <c r="AR554" i="4" s="1"/>
  <c r="AX554" i="4" s="1"/>
  <c r="BD554" i="4" s="1"/>
  <c r="Z555" i="4"/>
  <c r="BK552" i="4"/>
  <c r="AU552" i="4"/>
  <c r="BA552" i="4" s="1"/>
  <c r="BH552" i="4"/>
  <c r="CD554" i="4" l="1"/>
  <c r="AB554" i="4"/>
  <c r="BZ554" i="4"/>
  <c r="X554" i="4"/>
  <c r="AA554" i="4"/>
  <c r="CC554" i="4"/>
  <c r="S556" i="4"/>
  <c r="CG556" i="4"/>
  <c r="BK553" i="4"/>
  <c r="BV552" i="4"/>
  <c r="BY552" i="4" s="1"/>
  <c r="BL552" i="4"/>
  <c r="W554" i="4"/>
  <c r="CK554" i="4"/>
  <c r="BI554" i="4"/>
  <c r="BO552" i="4"/>
  <c r="BG552" i="4"/>
  <c r="BP552" i="4" s="1"/>
  <c r="BQ552" i="4" s="1"/>
  <c r="BC554" i="4"/>
  <c r="AL555" i="4"/>
  <c r="AR555" i="4" s="1"/>
  <c r="AX555" i="4" s="1"/>
  <c r="BD555" i="4" s="1"/>
  <c r="M556" i="4"/>
  <c r="AQ555" i="4"/>
  <c r="AW555" i="4" s="1"/>
  <c r="AU553" i="4"/>
  <c r="BA553" i="4" s="1"/>
  <c r="BH553" i="4"/>
  <c r="BV553" i="4" s="1"/>
  <c r="BY553" i="4" s="1"/>
  <c r="AA555" i="4" l="1"/>
  <c r="AM554" i="4"/>
  <c r="AS554" i="4" s="1"/>
  <c r="AY554" i="4" s="1"/>
  <c r="BE554" i="4" s="1"/>
  <c r="X555" i="4"/>
  <c r="AJ554" i="4"/>
  <c r="AP554" i="4" s="1"/>
  <c r="AV554" i="4" s="1"/>
  <c r="BB554" i="4" s="1"/>
  <c r="AN554" i="4"/>
  <c r="AT554" i="4" s="1"/>
  <c r="AZ554" i="4" s="1"/>
  <c r="BF554" i="4" s="1"/>
  <c r="AB555" i="4"/>
  <c r="CE554" i="4"/>
  <c r="AC554" i="4"/>
  <c r="BS554" i="4"/>
  <c r="BI555" i="4"/>
  <c r="BO553" i="4"/>
  <c r="BG553" i="4"/>
  <c r="BP553" i="4" s="1"/>
  <c r="BQ553" i="4" s="1"/>
  <c r="CH556" i="4"/>
  <c r="T556" i="4"/>
  <c r="BL553" i="4"/>
  <c r="BM552" i="4"/>
  <c r="BN552" i="4" s="1"/>
  <c r="BC555" i="4"/>
  <c r="CA556" i="4"/>
  <c r="Y556" i="4"/>
  <c r="O556" i="4" l="1"/>
  <c r="AN555" i="4"/>
  <c r="AT555" i="4" s="1"/>
  <c r="AZ555" i="4" s="1"/>
  <c r="BF555" i="4" s="1"/>
  <c r="AJ555" i="4"/>
  <c r="AP555" i="4" s="1"/>
  <c r="AV555" i="4" s="1"/>
  <c r="BB555" i="4" s="1"/>
  <c r="K556" i="4"/>
  <c r="AM555" i="4"/>
  <c r="AS555" i="4" s="1"/>
  <c r="AY555" i="4" s="1"/>
  <c r="BE555" i="4" s="1"/>
  <c r="N556" i="4"/>
  <c r="BS555" i="4"/>
  <c r="AC555" i="4"/>
  <c r="AO554" i="4"/>
  <c r="BJ554" i="4"/>
  <c r="BM553" i="4"/>
  <c r="BN553" i="4" s="1"/>
  <c r="AK556" i="4"/>
  <c r="Y557" i="4"/>
  <c r="CB556" i="4"/>
  <c r="Z556" i="4"/>
  <c r="U556" i="4" l="1"/>
  <c r="CI556" i="4"/>
  <c r="R556" i="4"/>
  <c r="CF556" i="4"/>
  <c r="V556" i="4"/>
  <c r="CJ556" i="4"/>
  <c r="BK554" i="4"/>
  <c r="AQ556" i="4"/>
  <c r="AW556" i="4" s="1"/>
  <c r="AK557" i="4"/>
  <c r="L558" i="4"/>
  <c r="AL556" i="4"/>
  <c r="AR556" i="4" s="1"/>
  <c r="AX556" i="4" s="1"/>
  <c r="BD556" i="4" s="1"/>
  <c r="Z557" i="4"/>
  <c r="AU554" i="4"/>
  <c r="BA554" i="4" s="1"/>
  <c r="BH554" i="4"/>
  <c r="AO555" i="4"/>
  <c r="P556" i="4"/>
  <c r="BJ555" i="4"/>
  <c r="AB556" i="4" l="1"/>
  <c r="CD556" i="4"/>
  <c r="BZ556" i="4"/>
  <c r="X556" i="4"/>
  <c r="AA556" i="4"/>
  <c r="CC556" i="4"/>
  <c r="AU555" i="4"/>
  <c r="BA555" i="4" s="1"/>
  <c r="BH555" i="4"/>
  <c r="BV555" i="4" s="1"/>
  <c r="BY555" i="4" s="1"/>
  <c r="BK555" i="4"/>
  <c r="BO554" i="4"/>
  <c r="BG554" i="4"/>
  <c r="BP554" i="4" s="1"/>
  <c r="BQ554" i="4" s="1"/>
  <c r="BV554" i="4"/>
  <c r="BY554" i="4" s="1"/>
  <c r="BL554" i="4"/>
  <c r="BC556" i="4"/>
  <c r="AL557" i="4"/>
  <c r="AR557" i="4" s="1"/>
  <c r="AX557" i="4" s="1"/>
  <c r="BD557" i="4" s="1"/>
  <c r="M558" i="4"/>
  <c r="S558" i="4"/>
  <c r="CG558" i="4"/>
  <c r="AQ557" i="4"/>
  <c r="AW557" i="4" s="1"/>
  <c r="W556" i="4"/>
  <c r="CK556" i="4"/>
  <c r="BI556" i="4"/>
  <c r="AM556" i="4" l="1"/>
  <c r="AS556" i="4" s="1"/>
  <c r="AY556" i="4" s="1"/>
  <c r="BE556" i="4" s="1"/>
  <c r="AA557" i="4"/>
  <c r="X557" i="4"/>
  <c r="AJ556" i="4"/>
  <c r="AP556" i="4" s="1"/>
  <c r="AV556" i="4" s="1"/>
  <c r="BB556" i="4" s="1"/>
  <c r="AB557" i="4"/>
  <c r="AN556" i="4"/>
  <c r="AT556" i="4" s="1"/>
  <c r="AZ556" i="4" s="1"/>
  <c r="BF556" i="4" s="1"/>
  <c r="BC557" i="4"/>
  <c r="CA558" i="4"/>
  <c r="Y558" i="4"/>
  <c r="BO555" i="4"/>
  <c r="BG555" i="4"/>
  <c r="BP555" i="4" s="1"/>
  <c r="BQ555" i="4" s="1"/>
  <c r="T558" i="4"/>
  <c r="CH558" i="4"/>
  <c r="BL555" i="4"/>
  <c r="BM554" i="4"/>
  <c r="BN554" i="4" s="1"/>
  <c r="BI557" i="4"/>
  <c r="BS556" i="4"/>
  <c r="CE556" i="4"/>
  <c r="AC556" i="4"/>
  <c r="AN557" i="4" l="1"/>
  <c r="AT557" i="4" s="1"/>
  <c r="AZ557" i="4" s="1"/>
  <c r="BF557" i="4" s="1"/>
  <c r="O558" i="4"/>
  <c r="AJ557" i="4"/>
  <c r="AP557" i="4" s="1"/>
  <c r="AV557" i="4" s="1"/>
  <c r="BB557" i="4" s="1"/>
  <c r="K558" i="4"/>
  <c r="AM557" i="4"/>
  <c r="AS557" i="4" s="1"/>
  <c r="AY557" i="4" s="1"/>
  <c r="BE557" i="4" s="1"/>
  <c r="N558" i="4"/>
  <c r="BS557" i="4"/>
  <c r="BM555" i="4"/>
  <c r="BN555" i="4" s="1"/>
  <c r="CB558" i="4"/>
  <c r="Z558" i="4"/>
  <c r="Y559" i="4"/>
  <c r="AK558" i="4"/>
  <c r="AC557" i="4"/>
  <c r="AO556" i="4"/>
  <c r="BJ556" i="4"/>
  <c r="U558" i="4" l="1"/>
  <c r="CI558" i="4"/>
  <c r="R558" i="4"/>
  <c r="CF558" i="4"/>
  <c r="V558" i="4"/>
  <c r="CJ558" i="4"/>
  <c r="BK556" i="4"/>
  <c r="Z559" i="4"/>
  <c r="AL558" i="4"/>
  <c r="AR558" i="4" s="1"/>
  <c r="AX558" i="4" s="1"/>
  <c r="BD558" i="4" s="1"/>
  <c r="AQ558" i="4"/>
  <c r="AW558" i="4" s="1"/>
  <c r="AK559" i="4"/>
  <c r="L560" i="4"/>
  <c r="AU556" i="4"/>
  <c r="BA556" i="4" s="1"/>
  <c r="BH556" i="4"/>
  <c r="AO557" i="4"/>
  <c r="P558" i="4"/>
  <c r="BJ557" i="4"/>
  <c r="AB558" i="4" l="1"/>
  <c r="CD558" i="4"/>
  <c r="BZ558" i="4"/>
  <c r="X558" i="4"/>
  <c r="CC558" i="4"/>
  <c r="AA558" i="4"/>
  <c r="W558" i="4"/>
  <c r="CK558" i="4"/>
  <c r="BI558" i="4"/>
  <c r="AU557" i="4"/>
  <c r="BA557" i="4" s="1"/>
  <c r="BH557" i="4"/>
  <c r="BV557" i="4" s="1"/>
  <c r="BY557" i="4" s="1"/>
  <c r="BC558" i="4"/>
  <c r="AL559" i="4"/>
  <c r="AR559" i="4" s="1"/>
  <c r="AX559" i="4" s="1"/>
  <c r="BD559" i="4" s="1"/>
  <c r="M560" i="4"/>
  <c r="S560" i="4"/>
  <c r="CG560" i="4"/>
  <c r="AQ559" i="4"/>
  <c r="AW559" i="4" s="1"/>
  <c r="BV556" i="4"/>
  <c r="BY556" i="4" s="1"/>
  <c r="BL556" i="4"/>
  <c r="BK557" i="4"/>
  <c r="BO556" i="4"/>
  <c r="BG556" i="4"/>
  <c r="BP556" i="4" s="1"/>
  <c r="BQ556" i="4" s="1"/>
  <c r="AM558" i="4" l="1"/>
  <c r="AS558" i="4" s="1"/>
  <c r="AY558" i="4" s="1"/>
  <c r="BE558" i="4" s="1"/>
  <c r="AA559" i="4"/>
  <c r="AJ558" i="4"/>
  <c r="AP558" i="4" s="1"/>
  <c r="AV558" i="4" s="1"/>
  <c r="X559" i="4"/>
  <c r="BB558" i="4"/>
  <c r="AB559" i="4"/>
  <c r="AN558" i="4"/>
  <c r="AT558" i="4" s="1"/>
  <c r="AZ558" i="4" s="1"/>
  <c r="BF558" i="4" s="1"/>
  <c r="CA560" i="4"/>
  <c r="Y560" i="4"/>
  <c r="BI559" i="4"/>
  <c r="BS558" i="4"/>
  <c r="BC559" i="4"/>
  <c r="BO557" i="4"/>
  <c r="BG557" i="4"/>
  <c r="BP557" i="4" s="1"/>
  <c r="BQ557" i="4" s="1"/>
  <c r="BL557" i="4"/>
  <c r="BM556" i="4"/>
  <c r="BN556" i="4" s="1"/>
  <c r="T560" i="4"/>
  <c r="CH560" i="4"/>
  <c r="CE558" i="4"/>
  <c r="AC558" i="4"/>
  <c r="O560" i="4" l="1"/>
  <c r="AN559" i="4"/>
  <c r="AT559" i="4" s="1"/>
  <c r="AZ559" i="4" s="1"/>
  <c r="BF559" i="4" s="1"/>
  <c r="K560" i="4"/>
  <c r="AJ559" i="4"/>
  <c r="AP559" i="4" s="1"/>
  <c r="AV559" i="4" s="1"/>
  <c r="BB559" i="4" s="1"/>
  <c r="AM559" i="4"/>
  <c r="AS559" i="4" s="1"/>
  <c r="AY559" i="4" s="1"/>
  <c r="BE559" i="4" s="1"/>
  <c r="N560" i="4"/>
  <c r="CB560" i="4"/>
  <c r="Z560" i="4"/>
  <c r="BM557" i="4"/>
  <c r="BN557" i="4" s="1"/>
  <c r="AO558" i="4"/>
  <c r="AC559" i="4"/>
  <c r="BJ558" i="4"/>
  <c r="BS559" i="4"/>
  <c r="AK560" i="4"/>
  <c r="Y561" i="4"/>
  <c r="CI560" i="4" l="1"/>
  <c r="U560" i="4"/>
  <c r="CF560" i="4"/>
  <c r="R560" i="4"/>
  <c r="CJ560" i="4"/>
  <c r="V560" i="4"/>
  <c r="AO559" i="4"/>
  <c r="P560" i="4"/>
  <c r="BJ559" i="4"/>
  <c r="AK561" i="4"/>
  <c r="L562" i="4"/>
  <c r="AQ560" i="4"/>
  <c r="AW560" i="4" s="1"/>
  <c r="BK558" i="4"/>
  <c r="AU558" i="4"/>
  <c r="BA558" i="4" s="1"/>
  <c r="BH558" i="4"/>
  <c r="AL560" i="4"/>
  <c r="AR560" i="4" s="1"/>
  <c r="AX560" i="4" s="1"/>
  <c r="BD560" i="4" s="1"/>
  <c r="Z561" i="4"/>
  <c r="AB560" i="4" l="1"/>
  <c r="CD560" i="4"/>
  <c r="BZ560" i="4"/>
  <c r="X560" i="4"/>
  <c r="CC560" i="4"/>
  <c r="AA560" i="4"/>
  <c r="S562" i="4"/>
  <c r="CG562" i="4"/>
  <c r="AQ561" i="4"/>
  <c r="AW561" i="4" s="1"/>
  <c r="BK559" i="4"/>
  <c r="AL561" i="4"/>
  <c r="AR561" i="4" s="1"/>
  <c r="AX561" i="4" s="1"/>
  <c r="BD561" i="4" s="1"/>
  <c r="M562" i="4"/>
  <c r="BO558" i="4"/>
  <c r="BG558" i="4"/>
  <c r="BP558" i="4" s="1"/>
  <c r="BQ558" i="4" s="1"/>
  <c r="W560" i="4"/>
  <c r="CK560" i="4"/>
  <c r="BI560" i="4"/>
  <c r="BV558" i="4"/>
  <c r="BY558" i="4" s="1"/>
  <c r="BL558" i="4"/>
  <c r="BC560" i="4"/>
  <c r="AU559" i="4"/>
  <c r="BA559" i="4" s="1"/>
  <c r="BH559" i="4"/>
  <c r="BV559" i="4" s="1"/>
  <c r="BY559" i="4" s="1"/>
  <c r="AA561" i="4" l="1"/>
  <c r="AM560" i="4"/>
  <c r="AS560" i="4" s="1"/>
  <c r="AY560" i="4" s="1"/>
  <c r="BE560" i="4" s="1"/>
  <c r="X561" i="4"/>
  <c r="AJ560" i="4"/>
  <c r="AP560" i="4" s="1"/>
  <c r="AV560" i="4" s="1"/>
  <c r="BB560" i="4" s="1"/>
  <c r="AN560" i="4"/>
  <c r="AT560" i="4" s="1"/>
  <c r="AZ560" i="4" s="1"/>
  <c r="BF560" i="4" s="1"/>
  <c r="AB561" i="4"/>
  <c r="BO559" i="4"/>
  <c r="BG559" i="4"/>
  <c r="BP559" i="4" s="1"/>
  <c r="BQ559" i="4" s="1"/>
  <c r="BI561" i="4"/>
  <c r="BS560" i="4"/>
  <c r="CE560" i="4"/>
  <c r="AC560" i="4"/>
  <c r="BC561" i="4"/>
  <c r="CA562" i="4"/>
  <c r="Y562" i="4"/>
  <c r="T562" i="4"/>
  <c r="CH562" i="4"/>
  <c r="BL559" i="4"/>
  <c r="BM558" i="4"/>
  <c r="BN558" i="4" s="1"/>
  <c r="AN561" i="4" l="1"/>
  <c r="AT561" i="4" s="1"/>
  <c r="AZ561" i="4" s="1"/>
  <c r="BF561" i="4" s="1"/>
  <c r="O562" i="4"/>
  <c r="K562" i="4"/>
  <c r="AJ561" i="4"/>
  <c r="AP561" i="4" s="1"/>
  <c r="AV561" i="4" s="1"/>
  <c r="BB561" i="4" s="1"/>
  <c r="AM561" i="4"/>
  <c r="AS561" i="4" s="1"/>
  <c r="AY561" i="4" s="1"/>
  <c r="BE561" i="4" s="1"/>
  <c r="N562" i="4"/>
  <c r="AO560" i="4"/>
  <c r="AC561" i="4"/>
  <c r="BJ560" i="4"/>
  <c r="BS561" i="4"/>
  <c r="CB562" i="4"/>
  <c r="Z562" i="4"/>
  <c r="AK562" i="4"/>
  <c r="Y563" i="4"/>
  <c r="BM559" i="4"/>
  <c r="BN559" i="4" s="1"/>
  <c r="CI562" i="4" l="1"/>
  <c r="U562" i="4"/>
  <c r="R562" i="4"/>
  <c r="CF562" i="4"/>
  <c r="V562" i="4"/>
  <c r="CJ562" i="4"/>
  <c r="AQ562" i="4"/>
  <c r="AW562" i="4" s="1"/>
  <c r="BK560" i="4"/>
  <c r="AK563" i="4"/>
  <c r="L564" i="4"/>
  <c r="AO561" i="4"/>
  <c r="P562" i="4"/>
  <c r="BJ561" i="4"/>
  <c r="AL562" i="4"/>
  <c r="AR562" i="4" s="1"/>
  <c r="AX562" i="4" s="1"/>
  <c r="BD562" i="4" s="1"/>
  <c r="Z563" i="4"/>
  <c r="AU560" i="4"/>
  <c r="BA560" i="4" s="1"/>
  <c r="BH560" i="4"/>
  <c r="AB562" i="4" l="1"/>
  <c r="CD562" i="4"/>
  <c r="BZ562" i="4"/>
  <c r="X562" i="4"/>
  <c r="AA562" i="4"/>
  <c r="CC562" i="4"/>
  <c r="BO560" i="4"/>
  <c r="BG560" i="4"/>
  <c r="BP560" i="4" s="1"/>
  <c r="BQ560" i="4" s="1"/>
  <c r="BV560" i="4"/>
  <c r="BY560" i="4" s="1"/>
  <c r="BL560" i="4"/>
  <c r="S564" i="4"/>
  <c r="CG564" i="4"/>
  <c r="AQ563" i="4"/>
  <c r="AW563" i="4" s="1"/>
  <c r="AL563" i="4"/>
  <c r="AR563" i="4" s="1"/>
  <c r="AX563" i="4" s="1"/>
  <c r="BD563" i="4" s="1"/>
  <c r="M564" i="4"/>
  <c r="AU561" i="4"/>
  <c r="BA561" i="4" s="1"/>
  <c r="BH561" i="4"/>
  <c r="BV561" i="4" s="1"/>
  <c r="BY561" i="4" s="1"/>
  <c r="BC562" i="4"/>
  <c r="BK561" i="4"/>
  <c r="W562" i="4"/>
  <c r="CK562" i="4"/>
  <c r="BI562" i="4"/>
  <c r="AA563" i="4" l="1"/>
  <c r="AM562" i="4"/>
  <c r="AS562" i="4" s="1"/>
  <c r="AY562" i="4" s="1"/>
  <c r="BE562" i="4" s="1"/>
  <c r="AJ562" i="4"/>
  <c r="AP562" i="4" s="1"/>
  <c r="AV562" i="4" s="1"/>
  <c r="X563" i="4"/>
  <c r="BB562" i="4"/>
  <c r="AB563" i="4"/>
  <c r="AN562" i="4"/>
  <c r="AT562" i="4" s="1"/>
  <c r="AZ562" i="4" s="1"/>
  <c r="BF562" i="4" s="1"/>
  <c r="BL561" i="4"/>
  <c r="BM560" i="4"/>
  <c r="BN560" i="4" s="1"/>
  <c r="CA564" i="4"/>
  <c r="Y564" i="4"/>
  <c r="BO561" i="4"/>
  <c r="BG561" i="4"/>
  <c r="BP561" i="4" s="1"/>
  <c r="BQ561" i="4" s="1"/>
  <c r="BI563" i="4"/>
  <c r="BS562" i="4"/>
  <c r="CE562" i="4"/>
  <c r="AC562" i="4"/>
  <c r="BC563" i="4"/>
  <c r="T564" i="4"/>
  <c r="CH564" i="4"/>
  <c r="AJ563" i="4" l="1"/>
  <c r="AP563" i="4" s="1"/>
  <c r="AV563" i="4" s="1"/>
  <c r="K564" i="4"/>
  <c r="BB563" i="4"/>
  <c r="O564" i="4"/>
  <c r="AN563" i="4"/>
  <c r="AT563" i="4" s="1"/>
  <c r="AZ563" i="4" s="1"/>
  <c r="BF563" i="4" s="1"/>
  <c r="N564" i="4"/>
  <c r="AM563" i="4"/>
  <c r="AS563" i="4" s="1"/>
  <c r="AY563" i="4" s="1"/>
  <c r="BE563" i="4" s="1"/>
  <c r="CB564" i="4"/>
  <c r="Z564" i="4"/>
  <c r="AC563" i="4"/>
  <c r="AO562" i="4"/>
  <c r="BJ562" i="4"/>
  <c r="BS563" i="4"/>
  <c r="AK564" i="4"/>
  <c r="Y565" i="4"/>
  <c r="BM561" i="4"/>
  <c r="BN561" i="4" s="1"/>
  <c r="U564" i="4" l="1"/>
  <c r="CI564" i="4"/>
  <c r="V564" i="4"/>
  <c r="CJ564" i="4"/>
  <c r="CF564" i="4"/>
  <c r="R564" i="4"/>
  <c r="AK565" i="4"/>
  <c r="L566" i="4"/>
  <c r="AU562" i="4"/>
  <c r="BA562" i="4" s="1"/>
  <c r="BH562" i="4"/>
  <c r="Z565" i="4"/>
  <c r="AL564" i="4"/>
  <c r="AR564" i="4" s="1"/>
  <c r="AX564" i="4" s="1"/>
  <c r="BD564" i="4" s="1"/>
  <c r="AQ564" i="4"/>
  <c r="AW564" i="4" s="1"/>
  <c r="BK562" i="4"/>
  <c r="AO563" i="4"/>
  <c r="P564" i="4"/>
  <c r="BJ563" i="4"/>
  <c r="BZ564" i="4" l="1"/>
  <c r="X564" i="4"/>
  <c r="CD564" i="4"/>
  <c r="AB564" i="4"/>
  <c r="CC564" i="4"/>
  <c r="AA564" i="4"/>
  <c r="BV562" i="4"/>
  <c r="BY562" i="4" s="1"/>
  <c r="BL562" i="4"/>
  <c r="BK563" i="4"/>
  <c r="W564" i="4"/>
  <c r="CK564" i="4"/>
  <c r="BI564" i="4"/>
  <c r="AU563" i="4"/>
  <c r="BA563" i="4" s="1"/>
  <c r="BH563" i="4"/>
  <c r="BV563" i="4" s="1"/>
  <c r="BY563" i="4" s="1"/>
  <c r="BC564" i="4"/>
  <c r="BO562" i="4"/>
  <c r="BG562" i="4"/>
  <c r="BP562" i="4" s="1"/>
  <c r="BQ562" i="4" s="1"/>
  <c r="S566" i="4"/>
  <c r="CG566" i="4"/>
  <c r="AL565" i="4"/>
  <c r="AR565" i="4" s="1"/>
  <c r="AX565" i="4" s="1"/>
  <c r="BD565" i="4" s="1"/>
  <c r="M566" i="4"/>
  <c r="AQ565" i="4"/>
  <c r="AW565" i="4" s="1"/>
  <c r="AA565" i="4" l="1"/>
  <c r="AM564" i="4"/>
  <c r="AS564" i="4" s="1"/>
  <c r="AY564" i="4" s="1"/>
  <c r="BE564" i="4" s="1"/>
  <c r="AN564" i="4"/>
  <c r="AT564" i="4" s="1"/>
  <c r="AZ564" i="4" s="1"/>
  <c r="BF564" i="4" s="1"/>
  <c r="AB565" i="4"/>
  <c r="AJ564" i="4"/>
  <c r="AP564" i="4" s="1"/>
  <c r="AV564" i="4" s="1"/>
  <c r="BB564" i="4" s="1"/>
  <c r="X565" i="4"/>
  <c r="BC565" i="4"/>
  <c r="BO563" i="4"/>
  <c r="BG563" i="4"/>
  <c r="BP563" i="4" s="1"/>
  <c r="BQ563" i="4" s="1"/>
  <c r="CE564" i="4"/>
  <c r="AC564" i="4"/>
  <c r="BL563" i="4"/>
  <c r="BM562" i="4"/>
  <c r="BN562" i="4" s="1"/>
  <c r="T566" i="4"/>
  <c r="CH566" i="4"/>
  <c r="CA566" i="4"/>
  <c r="Y566" i="4"/>
  <c r="BI565" i="4"/>
  <c r="BS564" i="4"/>
  <c r="K566" i="4" l="1"/>
  <c r="AJ565" i="4"/>
  <c r="AP565" i="4" s="1"/>
  <c r="AV565" i="4" s="1"/>
  <c r="BB565" i="4"/>
  <c r="O566" i="4"/>
  <c r="AN565" i="4"/>
  <c r="AT565" i="4" s="1"/>
  <c r="AZ565" i="4" s="1"/>
  <c r="BF565" i="4" s="1"/>
  <c r="N566" i="4"/>
  <c r="AM565" i="4"/>
  <c r="AS565" i="4" s="1"/>
  <c r="AY565" i="4" s="1"/>
  <c r="BE565" i="4" s="1"/>
  <c r="Y567" i="4"/>
  <c r="AK566" i="4"/>
  <c r="BS565" i="4"/>
  <c r="CB566" i="4"/>
  <c r="Z566" i="4"/>
  <c r="BM563" i="4"/>
  <c r="BN563" i="4" s="1"/>
  <c r="AO564" i="4"/>
  <c r="AC565" i="4"/>
  <c r="BJ564" i="4"/>
  <c r="V566" i="4" l="1"/>
  <c r="CJ566" i="4"/>
  <c r="CI566" i="4"/>
  <c r="U566" i="4"/>
  <c r="CF566" i="4"/>
  <c r="R566" i="4"/>
  <c r="AL566" i="4"/>
  <c r="AR566" i="4" s="1"/>
  <c r="AX566" i="4" s="1"/>
  <c r="BD566" i="4" s="1"/>
  <c r="Z567" i="4"/>
  <c r="BK564" i="4"/>
  <c r="AQ566" i="4"/>
  <c r="AW566" i="4" s="1"/>
  <c r="AO565" i="4"/>
  <c r="P566" i="4"/>
  <c r="BJ565" i="4"/>
  <c r="AU564" i="4"/>
  <c r="BA564" i="4" s="1"/>
  <c r="BH564" i="4"/>
  <c r="AK567" i="4"/>
  <c r="L568" i="4"/>
  <c r="BZ566" i="4" l="1"/>
  <c r="X566" i="4"/>
  <c r="AA566" i="4"/>
  <c r="CC566" i="4"/>
  <c r="AB566" i="4"/>
  <c r="CD566" i="4"/>
  <c r="S568" i="4"/>
  <c r="CG568" i="4"/>
  <c r="AQ567" i="4"/>
  <c r="AW567" i="4" s="1"/>
  <c r="BK565" i="4"/>
  <c r="AL567" i="4"/>
  <c r="AR567" i="4" s="1"/>
  <c r="AX567" i="4" s="1"/>
  <c r="BD567" i="4" s="1"/>
  <c r="M568" i="4"/>
  <c r="BV564" i="4"/>
  <c r="BY564" i="4" s="1"/>
  <c r="BL564" i="4"/>
  <c r="AU565" i="4"/>
  <c r="BA565" i="4" s="1"/>
  <c r="BH565" i="4"/>
  <c r="BV565" i="4" s="1"/>
  <c r="BY565" i="4" s="1"/>
  <c r="BC566" i="4"/>
  <c r="BO564" i="4"/>
  <c r="BG564" i="4"/>
  <c r="BP564" i="4" s="1"/>
  <c r="BQ564" i="4" s="1"/>
  <c r="W566" i="4"/>
  <c r="CK566" i="4"/>
  <c r="BI566" i="4"/>
  <c r="AB567" i="4" l="1"/>
  <c r="AN566" i="4"/>
  <c r="AT566" i="4" s="1"/>
  <c r="AZ566" i="4" s="1"/>
  <c r="BF566" i="4"/>
  <c r="AA567" i="4"/>
  <c r="AM566" i="4"/>
  <c r="AS566" i="4" s="1"/>
  <c r="AY566" i="4" s="1"/>
  <c r="BE566" i="4" s="1"/>
  <c r="X567" i="4"/>
  <c r="AJ566" i="4"/>
  <c r="AP566" i="4" s="1"/>
  <c r="AV566" i="4" s="1"/>
  <c r="BB566" i="4" s="1"/>
  <c r="T568" i="4"/>
  <c r="CH568" i="4"/>
  <c r="BC567" i="4"/>
  <c r="BI567" i="4"/>
  <c r="BS566" i="4"/>
  <c r="BO565" i="4"/>
  <c r="BG565" i="4"/>
  <c r="BP565" i="4" s="1"/>
  <c r="BQ565" i="4" s="1"/>
  <c r="BL565" i="4"/>
  <c r="BM564" i="4"/>
  <c r="BN564" i="4" s="1"/>
  <c r="CE566" i="4"/>
  <c r="AC566" i="4"/>
  <c r="CA568" i="4"/>
  <c r="Y568" i="4"/>
  <c r="AJ567" i="4" l="1"/>
  <c r="AP567" i="4" s="1"/>
  <c r="AV567" i="4" s="1"/>
  <c r="K568" i="4"/>
  <c r="BB567" i="4"/>
  <c r="N568" i="4"/>
  <c r="AM567" i="4"/>
  <c r="AS567" i="4" s="1"/>
  <c r="AY567" i="4" s="1"/>
  <c r="BE567" i="4" s="1"/>
  <c r="O568" i="4"/>
  <c r="AN567" i="4"/>
  <c r="AT567" i="4" s="1"/>
  <c r="AZ567" i="4" s="1"/>
  <c r="BF567" i="4" s="1"/>
  <c r="AK568" i="4"/>
  <c r="Y569" i="4"/>
  <c r="BM565" i="4"/>
  <c r="BN565" i="4" s="1"/>
  <c r="AC567" i="4"/>
  <c r="AO566" i="4"/>
  <c r="BJ566" i="4"/>
  <c r="BS567" i="4"/>
  <c r="CB568" i="4"/>
  <c r="Z568" i="4"/>
  <c r="CJ568" i="4" l="1"/>
  <c r="V568" i="4"/>
  <c r="CI568" i="4"/>
  <c r="U568" i="4"/>
  <c r="CF568" i="4"/>
  <c r="R568" i="4"/>
  <c r="AO567" i="4"/>
  <c r="P568" i="4"/>
  <c r="BJ567" i="4"/>
  <c r="AQ568" i="4"/>
  <c r="AW568" i="4" s="1"/>
  <c r="AU566" i="4"/>
  <c r="BA566" i="4" s="1"/>
  <c r="BH566" i="4"/>
  <c r="Z569" i="4"/>
  <c r="AL568" i="4"/>
  <c r="AR568" i="4" s="1"/>
  <c r="AX568" i="4" s="1"/>
  <c r="BD568" i="4" s="1"/>
  <c r="AK569" i="4"/>
  <c r="L570" i="4"/>
  <c r="BK566" i="4"/>
  <c r="BZ568" i="4" l="1"/>
  <c r="X568" i="4"/>
  <c r="AA568" i="4"/>
  <c r="CC568" i="4"/>
  <c r="AB568" i="4"/>
  <c r="CD568" i="4"/>
  <c r="AL569" i="4"/>
  <c r="AR569" i="4" s="1"/>
  <c r="AX569" i="4" s="1"/>
  <c r="BD569" i="4" s="1"/>
  <c r="M570" i="4"/>
  <c r="BV566" i="4"/>
  <c r="BY566" i="4" s="1"/>
  <c r="BL566" i="4"/>
  <c r="BO566" i="4"/>
  <c r="BG566" i="4"/>
  <c r="BP566" i="4" s="1"/>
  <c r="BQ566" i="4" s="1"/>
  <c r="W568" i="4"/>
  <c r="CK568" i="4"/>
  <c r="BI568" i="4"/>
  <c r="BC568" i="4"/>
  <c r="BK567" i="4"/>
  <c r="S570" i="4"/>
  <c r="CG570" i="4"/>
  <c r="AU567" i="4"/>
  <c r="BA567" i="4" s="1"/>
  <c r="BH567" i="4"/>
  <c r="BV567" i="4" s="1"/>
  <c r="BY567" i="4" s="1"/>
  <c r="AQ569" i="4"/>
  <c r="AW569" i="4" s="1"/>
  <c r="AN568" i="4" l="1"/>
  <c r="AT568" i="4" s="1"/>
  <c r="AZ568" i="4" s="1"/>
  <c r="AB569" i="4"/>
  <c r="BF568" i="4"/>
  <c r="AM568" i="4"/>
  <c r="AS568" i="4" s="1"/>
  <c r="AY568" i="4" s="1"/>
  <c r="AA569" i="4"/>
  <c r="BE568" i="4"/>
  <c r="AJ568" i="4"/>
  <c r="AP568" i="4" s="1"/>
  <c r="AV568" i="4" s="1"/>
  <c r="BB568" i="4" s="1"/>
  <c r="X569" i="4"/>
  <c r="CA570" i="4"/>
  <c r="Y570" i="4"/>
  <c r="BL567" i="4"/>
  <c r="BM566" i="4"/>
  <c r="BN566" i="4" s="1"/>
  <c r="BO567" i="4"/>
  <c r="BG567" i="4"/>
  <c r="BP567" i="4" s="1"/>
  <c r="BQ567" i="4" s="1"/>
  <c r="CE568" i="4"/>
  <c r="AC568" i="4"/>
  <c r="BC569" i="4"/>
  <c r="BI569" i="4"/>
  <c r="BS568" i="4"/>
  <c r="T570" i="4"/>
  <c r="CH570" i="4"/>
  <c r="AJ569" i="4" l="1"/>
  <c r="AP569" i="4" s="1"/>
  <c r="AV569" i="4" s="1"/>
  <c r="K570" i="4"/>
  <c r="BB569" i="4"/>
  <c r="N570" i="4"/>
  <c r="AM569" i="4"/>
  <c r="AS569" i="4" s="1"/>
  <c r="AY569" i="4" s="1"/>
  <c r="BE569" i="4" s="1"/>
  <c r="AN569" i="4"/>
  <c r="AT569" i="4" s="1"/>
  <c r="AZ569" i="4" s="1"/>
  <c r="BF569" i="4" s="1"/>
  <c r="O570" i="4"/>
  <c r="CB570" i="4"/>
  <c r="Z570" i="4"/>
  <c r="AK570" i="4"/>
  <c r="Y571" i="4"/>
  <c r="BS569" i="4"/>
  <c r="BM567" i="4"/>
  <c r="BN567" i="4" s="1"/>
  <c r="AO568" i="4"/>
  <c r="AC569" i="4"/>
  <c r="BJ568" i="4"/>
  <c r="CJ570" i="4" l="1"/>
  <c r="V570" i="4"/>
  <c r="CI570" i="4"/>
  <c r="U570" i="4"/>
  <c r="CF570" i="4"/>
  <c r="R570" i="4"/>
  <c r="AU568" i="4"/>
  <c r="BA568" i="4" s="1"/>
  <c r="BH568" i="4"/>
  <c r="AQ570" i="4"/>
  <c r="AW570" i="4" s="1"/>
  <c r="BK568" i="4"/>
  <c r="AO569" i="4"/>
  <c r="P570" i="4"/>
  <c r="BJ569" i="4"/>
  <c r="AK571" i="4"/>
  <c r="L572" i="4"/>
  <c r="AL570" i="4"/>
  <c r="AR570" i="4" s="1"/>
  <c r="AX570" i="4" s="1"/>
  <c r="BD570" i="4" s="1"/>
  <c r="Z571" i="4"/>
  <c r="BZ570" i="4" l="1"/>
  <c r="X570" i="4"/>
  <c r="AA570" i="4"/>
  <c r="CC570" i="4"/>
  <c r="AB570" i="4"/>
  <c r="CD570" i="4"/>
  <c r="AQ571" i="4"/>
  <c r="AW571" i="4" s="1"/>
  <c r="AL571" i="4"/>
  <c r="AR571" i="4" s="1"/>
  <c r="AX571" i="4" s="1"/>
  <c r="BD571" i="4" s="1"/>
  <c r="M572" i="4"/>
  <c r="BC570" i="4"/>
  <c r="S572" i="4"/>
  <c r="CG572" i="4"/>
  <c r="CK570" i="4"/>
  <c r="W570" i="4"/>
  <c r="BI570" i="4"/>
  <c r="BV568" i="4"/>
  <c r="BY568" i="4" s="1"/>
  <c r="BL568" i="4"/>
  <c r="BK569" i="4"/>
  <c r="AU569" i="4"/>
  <c r="BA569" i="4" s="1"/>
  <c r="BH569" i="4"/>
  <c r="BV569" i="4" s="1"/>
  <c r="BY569" i="4" s="1"/>
  <c r="BO568" i="4"/>
  <c r="BG568" i="4"/>
  <c r="BP568" i="4" s="1"/>
  <c r="BQ568" i="4" s="1"/>
  <c r="AN570" i="4" l="1"/>
  <c r="AT570" i="4" s="1"/>
  <c r="AZ570" i="4" s="1"/>
  <c r="BF570" i="4" s="1"/>
  <c r="AB571" i="4"/>
  <c r="AM570" i="4"/>
  <c r="AS570" i="4" s="1"/>
  <c r="AY570" i="4" s="1"/>
  <c r="AA571" i="4"/>
  <c r="BE570" i="4"/>
  <c r="AJ570" i="4"/>
  <c r="AP570" i="4" s="1"/>
  <c r="AV570" i="4" s="1"/>
  <c r="BB570" i="4" s="1"/>
  <c r="X571" i="4"/>
  <c r="BO569" i="4"/>
  <c r="BG569" i="4"/>
  <c r="BP569" i="4" s="1"/>
  <c r="BQ569" i="4" s="1"/>
  <c r="BL569" i="4"/>
  <c r="BM568" i="4"/>
  <c r="BN568" i="4" s="1"/>
  <c r="T572" i="4"/>
  <c r="CH572" i="4"/>
  <c r="CA572" i="4"/>
  <c r="Y572" i="4"/>
  <c r="BI571" i="4"/>
  <c r="BS570" i="4"/>
  <c r="CE570" i="4"/>
  <c r="AC570" i="4"/>
  <c r="BC571" i="4"/>
  <c r="K572" i="4" l="1"/>
  <c r="AJ571" i="4"/>
  <c r="AP571" i="4" s="1"/>
  <c r="AV571" i="4" s="1"/>
  <c r="BB571" i="4"/>
  <c r="N572" i="4"/>
  <c r="AM571" i="4"/>
  <c r="AS571" i="4" s="1"/>
  <c r="AY571" i="4" s="1"/>
  <c r="BE571" i="4" s="1"/>
  <c r="AN571" i="4"/>
  <c r="AT571" i="4" s="1"/>
  <c r="AZ571" i="4" s="1"/>
  <c r="BF571" i="4" s="1"/>
  <c r="O572" i="4"/>
  <c r="BM569" i="4"/>
  <c r="BN569" i="4" s="1"/>
  <c r="AC571" i="4"/>
  <c r="AO570" i="4"/>
  <c r="BJ570" i="4"/>
  <c r="CB572" i="4"/>
  <c r="Z572" i="4"/>
  <c r="BS571" i="4"/>
  <c r="AK572" i="4"/>
  <c r="Y573" i="4"/>
  <c r="CJ572" i="4" l="1"/>
  <c r="V572" i="4"/>
  <c r="U572" i="4"/>
  <c r="CI572" i="4"/>
  <c r="R572" i="4"/>
  <c r="CF572" i="4"/>
  <c r="Z573" i="4"/>
  <c r="AL572" i="4"/>
  <c r="AR572" i="4" s="1"/>
  <c r="AX572" i="4" s="1"/>
  <c r="BD572" i="4" s="1"/>
  <c r="AU570" i="4"/>
  <c r="BA570" i="4" s="1"/>
  <c r="BH570" i="4"/>
  <c r="AK573" i="4"/>
  <c r="L574" i="4"/>
  <c r="AQ572" i="4"/>
  <c r="AW572" i="4" s="1"/>
  <c r="BK570" i="4"/>
  <c r="AO571" i="4"/>
  <c r="P572" i="4"/>
  <c r="BJ571" i="4"/>
  <c r="BZ572" i="4" l="1"/>
  <c r="X572" i="4"/>
  <c r="CC572" i="4"/>
  <c r="AA572" i="4"/>
  <c r="CD572" i="4"/>
  <c r="AB572" i="4"/>
  <c r="BK571" i="4"/>
  <c r="AQ573" i="4"/>
  <c r="AW573" i="4" s="1"/>
  <c r="AU571" i="4"/>
  <c r="BA571" i="4" s="1"/>
  <c r="BH571" i="4"/>
  <c r="BV571" i="4" s="1"/>
  <c r="BY571" i="4" s="1"/>
  <c r="BC572" i="4"/>
  <c r="CG574" i="4"/>
  <c r="S574" i="4"/>
  <c r="BO570" i="4"/>
  <c r="BG570" i="4"/>
  <c r="BP570" i="4" s="1"/>
  <c r="BQ570" i="4" s="1"/>
  <c r="W572" i="4"/>
  <c r="CK572" i="4"/>
  <c r="BI572" i="4"/>
  <c r="BV570" i="4"/>
  <c r="BY570" i="4" s="1"/>
  <c r="BL570" i="4"/>
  <c r="AL573" i="4"/>
  <c r="AR573" i="4" s="1"/>
  <c r="AX573" i="4" s="1"/>
  <c r="BD573" i="4" s="1"/>
  <c r="M574" i="4"/>
  <c r="AB573" i="4" l="1"/>
  <c r="AN572" i="4"/>
  <c r="AT572" i="4" s="1"/>
  <c r="AZ572" i="4" s="1"/>
  <c r="BF572" i="4" s="1"/>
  <c r="AM572" i="4"/>
  <c r="AS572" i="4" s="1"/>
  <c r="AY572" i="4" s="1"/>
  <c r="BE572" i="4"/>
  <c r="AA573" i="4"/>
  <c r="AJ572" i="4"/>
  <c r="AP572" i="4" s="1"/>
  <c r="AV572" i="4" s="1"/>
  <c r="BB572" i="4" s="1"/>
  <c r="X573" i="4"/>
  <c r="T574" i="4"/>
  <c r="CH574" i="4"/>
  <c r="CA574" i="4"/>
  <c r="Y574" i="4"/>
  <c r="BO571" i="4"/>
  <c r="BG571" i="4"/>
  <c r="BP571" i="4" s="1"/>
  <c r="BQ571" i="4" s="1"/>
  <c r="BC573" i="4"/>
  <c r="BL571" i="4"/>
  <c r="BM570" i="4"/>
  <c r="BN570" i="4" s="1"/>
  <c r="BS572" i="4"/>
  <c r="BI573" i="4"/>
  <c r="CE572" i="4"/>
  <c r="AC572" i="4"/>
  <c r="AM573" i="4" l="1"/>
  <c r="AS573" i="4" s="1"/>
  <c r="AY573" i="4" s="1"/>
  <c r="BE573" i="4" s="1"/>
  <c r="N574" i="4"/>
  <c r="K574" i="4"/>
  <c r="AJ573" i="4"/>
  <c r="AP573" i="4" s="1"/>
  <c r="AV573" i="4" s="1"/>
  <c r="BB573" i="4" s="1"/>
  <c r="AN573" i="4"/>
  <c r="AT573" i="4" s="1"/>
  <c r="AZ573" i="4" s="1"/>
  <c r="BF573" i="4" s="1"/>
  <c r="O574" i="4"/>
  <c r="BM571" i="4"/>
  <c r="BN571" i="4" s="1"/>
  <c r="AC573" i="4"/>
  <c r="AO572" i="4"/>
  <c r="BJ572" i="4"/>
  <c r="BS573" i="4"/>
  <c r="AK574" i="4"/>
  <c r="Y575" i="4"/>
  <c r="CB574" i="4"/>
  <c r="Z574" i="4"/>
  <c r="CJ574" i="4" l="1"/>
  <c r="V574" i="4"/>
  <c r="CF574" i="4"/>
  <c r="R574" i="4"/>
  <c r="U574" i="4"/>
  <c r="CI574" i="4"/>
  <c r="AU572" i="4"/>
  <c r="BA572" i="4" s="1"/>
  <c r="BH572" i="4"/>
  <c r="AO573" i="4"/>
  <c r="P574" i="4"/>
  <c r="BJ573" i="4"/>
  <c r="Z575" i="4"/>
  <c r="AL574" i="4"/>
  <c r="AR574" i="4" s="1"/>
  <c r="AX574" i="4" s="1"/>
  <c r="BD574" i="4" s="1"/>
  <c r="AK575" i="4"/>
  <c r="L576" i="4"/>
  <c r="BK572" i="4"/>
  <c r="AQ574" i="4"/>
  <c r="AW574" i="4" s="1"/>
  <c r="CC574" i="4" l="1"/>
  <c r="AA574" i="4"/>
  <c r="BZ574" i="4"/>
  <c r="X574" i="4"/>
  <c r="CD574" i="4"/>
  <c r="AB574" i="4"/>
  <c r="BC574" i="4"/>
  <c r="AU573" i="4"/>
  <c r="BA573" i="4" s="1"/>
  <c r="BH573" i="4"/>
  <c r="BV573" i="4" s="1"/>
  <c r="BY573" i="4" s="1"/>
  <c r="BK573" i="4"/>
  <c r="BV572" i="4"/>
  <c r="BY572" i="4" s="1"/>
  <c r="BL572" i="4"/>
  <c r="AQ575" i="4"/>
  <c r="AW575" i="4" s="1"/>
  <c r="AL575" i="4"/>
  <c r="AR575" i="4" s="1"/>
  <c r="AX575" i="4" s="1"/>
  <c r="BD575" i="4" s="1"/>
  <c r="M576" i="4"/>
  <c r="W574" i="4"/>
  <c r="CK574" i="4"/>
  <c r="BI574" i="4"/>
  <c r="S576" i="4"/>
  <c r="CG576" i="4"/>
  <c r="BO572" i="4"/>
  <c r="BG572" i="4"/>
  <c r="BP572" i="4" s="1"/>
  <c r="BQ572" i="4" s="1"/>
  <c r="AB575" i="4" l="1"/>
  <c r="AN574" i="4"/>
  <c r="AT574" i="4" s="1"/>
  <c r="AZ574" i="4" s="1"/>
  <c r="BF574" i="4" s="1"/>
  <c r="AJ574" i="4"/>
  <c r="AP574" i="4" s="1"/>
  <c r="AV574" i="4" s="1"/>
  <c r="X575" i="4"/>
  <c r="BB574" i="4"/>
  <c r="AM574" i="4"/>
  <c r="AS574" i="4" s="1"/>
  <c r="AY574" i="4" s="1"/>
  <c r="BE574" i="4" s="1"/>
  <c r="AA575" i="4"/>
  <c r="BS574" i="4"/>
  <c r="BI575" i="4"/>
  <c r="BO573" i="4"/>
  <c r="BG573" i="4"/>
  <c r="BP573" i="4" s="1"/>
  <c r="BQ573" i="4" s="1"/>
  <c r="T576" i="4"/>
  <c r="CH576" i="4"/>
  <c r="BC575" i="4"/>
  <c r="CE574" i="4"/>
  <c r="AC574" i="4"/>
  <c r="CA576" i="4"/>
  <c r="Y576" i="4"/>
  <c r="BL573" i="4"/>
  <c r="BM572" i="4"/>
  <c r="BN572" i="4" s="1"/>
  <c r="AJ575" i="4" l="1"/>
  <c r="AP575" i="4" s="1"/>
  <c r="AV575" i="4" s="1"/>
  <c r="K576" i="4"/>
  <c r="BB575" i="4"/>
  <c r="AM575" i="4"/>
  <c r="AS575" i="4" s="1"/>
  <c r="AY575" i="4" s="1"/>
  <c r="BE575" i="4" s="1"/>
  <c r="N576" i="4"/>
  <c r="O576" i="4"/>
  <c r="AN575" i="4"/>
  <c r="AT575" i="4" s="1"/>
  <c r="AZ575" i="4" s="1"/>
  <c r="BF575" i="4" s="1"/>
  <c r="BM573" i="4"/>
  <c r="BN573" i="4" s="1"/>
  <c r="CB576" i="4"/>
  <c r="Z576" i="4"/>
  <c r="BS575" i="4"/>
  <c r="AK576" i="4"/>
  <c r="Y577" i="4"/>
  <c r="AC575" i="4"/>
  <c r="AO574" i="4"/>
  <c r="BJ574" i="4"/>
  <c r="V576" i="4" l="1"/>
  <c r="CJ576" i="4"/>
  <c r="U576" i="4"/>
  <c r="CI576" i="4"/>
  <c r="CF576" i="4"/>
  <c r="R576" i="4"/>
  <c r="AK577" i="4"/>
  <c r="L578" i="4"/>
  <c r="AQ576" i="4"/>
  <c r="AW576" i="4" s="1"/>
  <c r="BK574" i="4"/>
  <c r="AU574" i="4"/>
  <c r="BA574" i="4" s="1"/>
  <c r="BH574" i="4"/>
  <c r="Z577" i="4"/>
  <c r="AL576" i="4"/>
  <c r="AR576" i="4" s="1"/>
  <c r="AX576" i="4" s="1"/>
  <c r="BD576" i="4" s="1"/>
  <c r="AO575" i="4"/>
  <c r="P576" i="4"/>
  <c r="BJ575" i="4"/>
  <c r="BZ576" i="4" l="1"/>
  <c r="X576" i="4"/>
  <c r="CC576" i="4"/>
  <c r="AA576" i="4"/>
  <c r="CD576" i="4"/>
  <c r="AB576" i="4"/>
  <c r="W576" i="4"/>
  <c r="CK576" i="4"/>
  <c r="BI576" i="4"/>
  <c r="AU575" i="4"/>
  <c r="BA575" i="4" s="1"/>
  <c r="BH575" i="4"/>
  <c r="BV575" i="4" s="1"/>
  <c r="BY575" i="4" s="1"/>
  <c r="BC576" i="4"/>
  <c r="AL577" i="4"/>
  <c r="AR577" i="4" s="1"/>
  <c r="AX577" i="4" s="1"/>
  <c r="BD577" i="4" s="1"/>
  <c r="M578" i="4"/>
  <c r="BV574" i="4"/>
  <c r="BY574" i="4" s="1"/>
  <c r="BL574" i="4"/>
  <c r="AQ577" i="4"/>
  <c r="AW577" i="4" s="1"/>
  <c r="BK575" i="4"/>
  <c r="S578" i="4"/>
  <c r="CG578" i="4"/>
  <c r="BO574" i="4"/>
  <c r="BG574" i="4"/>
  <c r="BP574" i="4" s="1"/>
  <c r="BQ574" i="4" s="1"/>
  <c r="AB577" i="4" l="1"/>
  <c r="AN576" i="4"/>
  <c r="AT576" i="4" s="1"/>
  <c r="AZ576" i="4" s="1"/>
  <c r="BF576" i="4" s="1"/>
  <c r="AM576" i="4"/>
  <c r="AS576" i="4" s="1"/>
  <c r="AY576" i="4" s="1"/>
  <c r="AA577" i="4"/>
  <c r="BE576" i="4"/>
  <c r="X577" i="4"/>
  <c r="AJ576" i="4"/>
  <c r="AP576" i="4" s="1"/>
  <c r="AV576" i="4" s="1"/>
  <c r="BB576" i="4" s="1"/>
  <c r="BC577" i="4"/>
  <c r="BO575" i="4"/>
  <c r="BG575" i="4"/>
  <c r="BP575" i="4" s="1"/>
  <c r="BQ575" i="4" s="1"/>
  <c r="BI577" i="4"/>
  <c r="BS576" i="4"/>
  <c r="BL575" i="4"/>
  <c r="BM574" i="4"/>
  <c r="BN574" i="4" s="1"/>
  <c r="CH578" i="4"/>
  <c r="T578" i="4"/>
  <c r="CE576" i="4"/>
  <c r="AC576" i="4"/>
  <c r="CA578" i="4"/>
  <c r="Y578" i="4"/>
  <c r="AM577" i="4" l="1"/>
  <c r="AS577" i="4" s="1"/>
  <c r="AY577" i="4" s="1"/>
  <c r="BE577" i="4"/>
  <c r="N578" i="4"/>
  <c r="K578" i="4"/>
  <c r="AJ577" i="4"/>
  <c r="AP577" i="4" s="1"/>
  <c r="AV577" i="4" s="1"/>
  <c r="BB577" i="4" s="1"/>
  <c r="O578" i="4"/>
  <c r="AN577" i="4"/>
  <c r="AT577" i="4" s="1"/>
  <c r="AZ577" i="4" s="1"/>
  <c r="BF577" i="4" s="1"/>
  <c r="BS577" i="4"/>
  <c r="Y579" i="4"/>
  <c r="AK578" i="4"/>
  <c r="AC577" i="4"/>
  <c r="AO576" i="4"/>
  <c r="BJ576" i="4"/>
  <c r="CB578" i="4"/>
  <c r="Z578" i="4"/>
  <c r="BM575" i="4"/>
  <c r="BN575" i="4" s="1"/>
  <c r="V578" i="4" l="1"/>
  <c r="CJ578" i="4"/>
  <c r="R578" i="4"/>
  <c r="CF578" i="4"/>
  <c r="U578" i="4"/>
  <c r="CI578" i="4"/>
  <c r="AO577" i="4"/>
  <c r="P578" i="4"/>
  <c r="BJ577" i="4"/>
  <c r="AL578" i="4"/>
  <c r="AR578" i="4" s="1"/>
  <c r="AX578" i="4" s="1"/>
  <c r="BD578" i="4" s="1"/>
  <c r="Z579" i="4"/>
  <c r="BK576" i="4"/>
  <c r="AQ578" i="4"/>
  <c r="AW578" i="4" s="1"/>
  <c r="AK579" i="4"/>
  <c r="L580" i="4"/>
  <c r="AU576" i="4"/>
  <c r="BA576" i="4" s="1"/>
  <c r="BH576" i="4"/>
  <c r="CC578" i="4" l="1"/>
  <c r="AA578" i="4"/>
  <c r="BZ578" i="4"/>
  <c r="X578" i="4"/>
  <c r="AB578" i="4"/>
  <c r="CD578" i="4"/>
  <c r="BO576" i="4"/>
  <c r="BG576" i="4"/>
  <c r="BP576" i="4" s="1"/>
  <c r="BQ576" i="4" s="1"/>
  <c r="BV576" i="4"/>
  <c r="BY576" i="4" s="1"/>
  <c r="BL576" i="4"/>
  <c r="AQ579" i="4"/>
  <c r="AW579" i="4" s="1"/>
  <c r="S580" i="4"/>
  <c r="CG580" i="4"/>
  <c r="AL579" i="4"/>
  <c r="AR579" i="4" s="1"/>
  <c r="AX579" i="4" s="1"/>
  <c r="BD579" i="4" s="1"/>
  <c r="M580" i="4"/>
  <c r="BK577" i="4"/>
  <c r="CK578" i="4"/>
  <c r="W578" i="4"/>
  <c r="BI578" i="4"/>
  <c r="BC578" i="4"/>
  <c r="AU577" i="4"/>
  <c r="BA577" i="4" s="1"/>
  <c r="BH577" i="4"/>
  <c r="BV577" i="4" s="1"/>
  <c r="BY577" i="4" s="1"/>
  <c r="AN578" i="4" l="1"/>
  <c r="AT578" i="4" s="1"/>
  <c r="AZ578" i="4" s="1"/>
  <c r="AB579" i="4"/>
  <c r="BF578" i="4"/>
  <c r="AJ578" i="4"/>
  <c r="AP578" i="4" s="1"/>
  <c r="AV578" i="4" s="1"/>
  <c r="X579" i="4"/>
  <c r="BB578" i="4"/>
  <c r="AA579" i="4"/>
  <c r="AM578" i="4"/>
  <c r="AS578" i="4" s="1"/>
  <c r="AY578" i="4" s="1"/>
  <c r="BE578" i="4" s="1"/>
  <c r="CE578" i="4"/>
  <c r="AC578" i="4"/>
  <c r="T580" i="4"/>
  <c r="CH580" i="4"/>
  <c r="BC579" i="4"/>
  <c r="BL577" i="4"/>
  <c r="BM576" i="4"/>
  <c r="BN576" i="4" s="1"/>
  <c r="CA580" i="4"/>
  <c r="Y580" i="4"/>
  <c r="BO577" i="4"/>
  <c r="BG577" i="4"/>
  <c r="BP577" i="4" s="1"/>
  <c r="BQ577" i="4" s="1"/>
  <c r="BI579" i="4"/>
  <c r="BS578" i="4"/>
  <c r="K580" i="4" l="1"/>
  <c r="AJ579" i="4"/>
  <c r="AP579" i="4" s="1"/>
  <c r="AV579" i="4" s="1"/>
  <c r="BB579" i="4"/>
  <c r="N580" i="4"/>
  <c r="AM579" i="4"/>
  <c r="AS579" i="4" s="1"/>
  <c r="AY579" i="4" s="1"/>
  <c r="BE579" i="4" s="1"/>
  <c r="O580" i="4"/>
  <c r="AN579" i="4"/>
  <c r="AT579" i="4" s="1"/>
  <c r="AZ579" i="4" s="1"/>
  <c r="BF579" i="4" s="1"/>
  <c r="CB580" i="4"/>
  <c r="Z580" i="4"/>
  <c r="Y581" i="4"/>
  <c r="AK580" i="4"/>
  <c r="BM577" i="4"/>
  <c r="BN577" i="4" s="1"/>
  <c r="BS579" i="4"/>
  <c r="AO578" i="4"/>
  <c r="AC579" i="4"/>
  <c r="BJ578" i="4"/>
  <c r="CI580" i="4" l="1"/>
  <c r="U580" i="4"/>
  <c r="V580" i="4"/>
  <c r="CJ580" i="4"/>
  <c r="R580" i="4"/>
  <c r="CF580" i="4"/>
  <c r="BK578" i="4"/>
  <c r="AK581" i="4"/>
  <c r="L582" i="4"/>
  <c r="Z581" i="4"/>
  <c r="AL580" i="4"/>
  <c r="AR580" i="4" s="1"/>
  <c r="AX580" i="4" s="1"/>
  <c r="BD580" i="4" s="1"/>
  <c r="AQ580" i="4"/>
  <c r="AW580" i="4" s="1"/>
  <c r="AO579" i="4"/>
  <c r="P580" i="4"/>
  <c r="BJ579" i="4"/>
  <c r="AU578" i="4"/>
  <c r="BA578" i="4" s="1"/>
  <c r="BH578" i="4"/>
  <c r="BZ580" i="4" l="1"/>
  <c r="X580" i="4"/>
  <c r="AB580" i="4"/>
  <c r="CD580" i="4"/>
  <c r="CC580" i="4"/>
  <c r="AA580" i="4"/>
  <c r="BO578" i="4"/>
  <c r="BG578" i="4"/>
  <c r="BP578" i="4" s="1"/>
  <c r="BQ578" i="4" s="1"/>
  <c r="BV578" i="4"/>
  <c r="BY578" i="4" s="1"/>
  <c r="BL578" i="4"/>
  <c r="AL581" i="4"/>
  <c r="AR581" i="4" s="1"/>
  <c r="AX581" i="4" s="1"/>
  <c r="BD581" i="4" s="1"/>
  <c r="M582" i="4"/>
  <c r="S582" i="4"/>
  <c r="CG582" i="4"/>
  <c r="BC580" i="4"/>
  <c r="BK579" i="4"/>
  <c r="W580" i="4"/>
  <c r="CK580" i="4"/>
  <c r="BI580" i="4"/>
  <c r="AU579" i="4"/>
  <c r="BA579" i="4" s="1"/>
  <c r="BH579" i="4"/>
  <c r="BV579" i="4" s="1"/>
  <c r="BY579" i="4" s="1"/>
  <c r="AQ581" i="4"/>
  <c r="AW581" i="4" s="1"/>
  <c r="AM580" i="4" l="1"/>
  <c r="AS580" i="4" s="1"/>
  <c r="AY580" i="4" s="1"/>
  <c r="BE580" i="4" s="1"/>
  <c r="AA581" i="4"/>
  <c r="AN580" i="4"/>
  <c r="AT580" i="4" s="1"/>
  <c r="AZ580" i="4" s="1"/>
  <c r="AB581" i="4"/>
  <c r="BF580" i="4"/>
  <c r="X581" i="4"/>
  <c r="AJ580" i="4"/>
  <c r="AP580" i="4" s="1"/>
  <c r="AV580" i="4" s="1"/>
  <c r="BB580" i="4" s="1"/>
  <c r="T582" i="4"/>
  <c r="CH582" i="4"/>
  <c r="BI581" i="4"/>
  <c r="BS580" i="4"/>
  <c r="BL579" i="4"/>
  <c r="BM578" i="4"/>
  <c r="BN578" i="4" s="1"/>
  <c r="BO579" i="4"/>
  <c r="BG579" i="4"/>
  <c r="BP579" i="4" s="1"/>
  <c r="BQ579" i="4" s="1"/>
  <c r="CA582" i="4"/>
  <c r="Y582" i="4"/>
  <c r="CE580" i="4"/>
  <c r="AC580" i="4"/>
  <c r="BC581" i="4"/>
  <c r="AN581" i="4" l="1"/>
  <c r="AT581" i="4" s="1"/>
  <c r="AZ581" i="4" s="1"/>
  <c r="BF581" i="4" s="1"/>
  <c r="O582" i="4"/>
  <c r="AJ581" i="4"/>
  <c r="AP581" i="4" s="1"/>
  <c r="AV581" i="4" s="1"/>
  <c r="BB581" i="4" s="1"/>
  <c r="K582" i="4"/>
  <c r="N582" i="4"/>
  <c r="AM581" i="4"/>
  <c r="AS581" i="4" s="1"/>
  <c r="AY581" i="4" s="1"/>
  <c r="BE581" i="4" s="1"/>
  <c r="Y583" i="4"/>
  <c r="AK582" i="4"/>
  <c r="BM579" i="4"/>
  <c r="BN579" i="4" s="1"/>
  <c r="BS581" i="4"/>
  <c r="AC581" i="4"/>
  <c r="AO580" i="4"/>
  <c r="BJ580" i="4"/>
  <c r="CB582" i="4"/>
  <c r="Z582" i="4"/>
  <c r="CI582" i="4" l="1"/>
  <c r="U582" i="4"/>
  <c r="CF582" i="4"/>
  <c r="R582" i="4"/>
  <c r="CJ582" i="4"/>
  <c r="V582" i="4"/>
  <c r="Z583" i="4"/>
  <c r="AL582" i="4"/>
  <c r="AR582" i="4" s="1"/>
  <c r="AX582" i="4" s="1"/>
  <c r="BD582" i="4" s="1"/>
  <c r="BK580" i="4"/>
  <c r="AU580" i="4"/>
  <c r="BA580" i="4" s="1"/>
  <c r="BH580" i="4"/>
  <c r="AO581" i="4"/>
  <c r="P582" i="4"/>
  <c r="BJ581" i="4"/>
  <c r="AQ582" i="4"/>
  <c r="AW582" i="4" s="1"/>
  <c r="AK583" i="4"/>
  <c r="L584" i="4"/>
  <c r="CD582" i="4" l="1"/>
  <c r="AB582" i="4"/>
  <c r="BZ582" i="4"/>
  <c r="X582" i="4"/>
  <c r="CC582" i="4"/>
  <c r="AA582" i="4"/>
  <c r="S584" i="4"/>
  <c r="CG584" i="4"/>
  <c r="BV580" i="4"/>
  <c r="BY580" i="4" s="1"/>
  <c r="BL580" i="4"/>
  <c r="BO580" i="4"/>
  <c r="BG580" i="4"/>
  <c r="BP580" i="4" s="1"/>
  <c r="BQ580" i="4" s="1"/>
  <c r="AQ583" i="4"/>
  <c r="AW583" i="4" s="1"/>
  <c r="BC582" i="4"/>
  <c r="BK581" i="4"/>
  <c r="W582" i="4"/>
  <c r="CK582" i="4"/>
  <c r="BI582" i="4"/>
  <c r="AL583" i="4"/>
  <c r="AR583" i="4" s="1"/>
  <c r="AX583" i="4" s="1"/>
  <c r="BD583" i="4" s="1"/>
  <c r="M584" i="4"/>
  <c r="AU581" i="4"/>
  <c r="BA581" i="4" s="1"/>
  <c r="BH581" i="4"/>
  <c r="BV581" i="4" s="1"/>
  <c r="BY581" i="4" s="1"/>
  <c r="AA583" i="4" l="1"/>
  <c r="AM582" i="4"/>
  <c r="AS582" i="4" s="1"/>
  <c r="AY582" i="4" s="1"/>
  <c r="BE582" i="4"/>
  <c r="X583" i="4"/>
  <c r="AJ582" i="4"/>
  <c r="AP582" i="4" s="1"/>
  <c r="AV582" i="4" s="1"/>
  <c r="BB582" i="4" s="1"/>
  <c r="AN582" i="4"/>
  <c r="AT582" i="4" s="1"/>
  <c r="AZ582" i="4" s="1"/>
  <c r="BF582" i="4" s="1"/>
  <c r="AB583" i="4"/>
  <c r="BL581" i="4"/>
  <c r="BM580" i="4"/>
  <c r="BN580" i="4" s="1"/>
  <c r="CE582" i="4"/>
  <c r="AC582" i="4"/>
  <c r="BI583" i="4"/>
  <c r="BS582" i="4"/>
  <c r="BO581" i="4"/>
  <c r="BG581" i="4"/>
  <c r="BP581" i="4" s="1"/>
  <c r="BQ581" i="4" s="1"/>
  <c r="T584" i="4"/>
  <c r="CH584" i="4"/>
  <c r="BC583" i="4"/>
  <c r="CA584" i="4"/>
  <c r="Y584" i="4"/>
  <c r="O584" i="4" l="1"/>
  <c r="AN583" i="4"/>
  <c r="AT583" i="4" s="1"/>
  <c r="AZ583" i="4" s="1"/>
  <c r="BF583" i="4" s="1"/>
  <c r="K584" i="4"/>
  <c r="AJ583" i="4"/>
  <c r="AP583" i="4" s="1"/>
  <c r="AV583" i="4" s="1"/>
  <c r="BB583" i="4" s="1"/>
  <c r="N584" i="4"/>
  <c r="AM583" i="4"/>
  <c r="AS583" i="4" s="1"/>
  <c r="AY583" i="4" s="1"/>
  <c r="BE583" i="4" s="1"/>
  <c r="AC583" i="4"/>
  <c r="AO582" i="4"/>
  <c r="BJ582" i="4"/>
  <c r="CB584" i="4"/>
  <c r="Z584" i="4"/>
  <c r="BS583" i="4"/>
  <c r="AK584" i="4"/>
  <c r="Y585" i="4"/>
  <c r="BM581" i="4"/>
  <c r="BN581" i="4" s="1"/>
  <c r="U584" i="4" l="1"/>
  <c r="CI584" i="4"/>
  <c r="CF584" i="4"/>
  <c r="R584" i="4"/>
  <c r="V584" i="4"/>
  <c r="CJ584" i="4"/>
  <c r="AQ584" i="4"/>
  <c r="AW584" i="4" s="1"/>
  <c r="AL584" i="4"/>
  <c r="AR584" i="4" s="1"/>
  <c r="AX584" i="4" s="1"/>
  <c r="BD584" i="4" s="1"/>
  <c r="Z585" i="4"/>
  <c r="AU582" i="4"/>
  <c r="BA582" i="4" s="1"/>
  <c r="BH582" i="4"/>
  <c r="BK582" i="4"/>
  <c r="AO583" i="4"/>
  <c r="P584" i="4"/>
  <c r="BJ583" i="4"/>
  <c r="AK585" i="4"/>
  <c r="L586" i="4"/>
  <c r="AB584" i="4" l="1"/>
  <c r="CD584" i="4"/>
  <c r="BZ584" i="4"/>
  <c r="X584" i="4"/>
  <c r="CC584" i="4"/>
  <c r="AA584" i="4"/>
  <c r="AU583" i="4"/>
  <c r="BA583" i="4" s="1"/>
  <c r="BH583" i="4"/>
  <c r="BV583" i="4" s="1"/>
  <c r="BY583" i="4" s="1"/>
  <c r="AL585" i="4"/>
  <c r="AR585" i="4" s="1"/>
  <c r="AX585" i="4" s="1"/>
  <c r="BD585" i="4" s="1"/>
  <c r="M586" i="4"/>
  <c r="S586" i="4"/>
  <c r="CG586" i="4"/>
  <c r="AQ585" i="4"/>
  <c r="AW585" i="4" s="1"/>
  <c r="BK583" i="4"/>
  <c r="W584" i="4"/>
  <c r="CK584" i="4"/>
  <c r="BI584" i="4"/>
  <c r="BV582" i="4"/>
  <c r="BY582" i="4" s="1"/>
  <c r="BL582" i="4"/>
  <c r="BO582" i="4"/>
  <c r="BG582" i="4"/>
  <c r="BP582" i="4" s="1"/>
  <c r="BQ582" i="4" s="1"/>
  <c r="BC584" i="4"/>
  <c r="AM584" i="4" l="1"/>
  <c r="AS584" i="4" s="1"/>
  <c r="AY584" i="4" s="1"/>
  <c r="AA585" i="4"/>
  <c r="BE584" i="4"/>
  <c r="AJ584" i="4"/>
  <c r="AP584" i="4" s="1"/>
  <c r="AV584" i="4" s="1"/>
  <c r="X585" i="4"/>
  <c r="BB584" i="4"/>
  <c r="AB585" i="4"/>
  <c r="AN584" i="4"/>
  <c r="AT584" i="4" s="1"/>
  <c r="AZ584" i="4" s="1"/>
  <c r="BF584" i="4" s="1"/>
  <c r="CA586" i="4"/>
  <c r="Y586" i="4"/>
  <c r="BI585" i="4"/>
  <c r="BS584" i="4"/>
  <c r="T586" i="4"/>
  <c r="CH586" i="4"/>
  <c r="BC585" i="4"/>
  <c r="BO583" i="4"/>
  <c r="BG583" i="4"/>
  <c r="BP583" i="4" s="1"/>
  <c r="BQ583" i="4" s="1"/>
  <c r="CE584" i="4"/>
  <c r="AC584" i="4"/>
  <c r="BL583" i="4"/>
  <c r="BM582" i="4"/>
  <c r="BN582" i="4" s="1"/>
  <c r="AN585" i="4" l="1"/>
  <c r="AT585" i="4" s="1"/>
  <c r="AZ585" i="4" s="1"/>
  <c r="O586" i="4"/>
  <c r="BF585" i="4"/>
  <c r="AJ585" i="4"/>
  <c r="AP585" i="4" s="1"/>
  <c r="AV585" i="4" s="1"/>
  <c r="BB585" i="4" s="1"/>
  <c r="K586" i="4"/>
  <c r="AM585" i="4"/>
  <c r="AS585" i="4" s="1"/>
  <c r="AY585" i="4" s="1"/>
  <c r="BE585" i="4" s="1"/>
  <c r="N586" i="4"/>
  <c r="BM583" i="4"/>
  <c r="BN583" i="4" s="1"/>
  <c r="Y587" i="4"/>
  <c r="AK586" i="4"/>
  <c r="CB586" i="4"/>
  <c r="Z586" i="4"/>
  <c r="AC585" i="4"/>
  <c r="AO584" i="4"/>
  <c r="BJ584" i="4"/>
  <c r="BS585" i="4"/>
  <c r="U586" i="4" l="1"/>
  <c r="CI586" i="4"/>
  <c r="CF586" i="4"/>
  <c r="R586" i="4"/>
  <c r="V586" i="4"/>
  <c r="CJ586" i="4"/>
  <c r="AL586" i="4"/>
  <c r="AR586" i="4" s="1"/>
  <c r="AX586" i="4" s="1"/>
  <c r="BD586" i="4" s="1"/>
  <c r="Z587" i="4"/>
  <c r="AO585" i="4"/>
  <c r="P586" i="4"/>
  <c r="BJ585" i="4"/>
  <c r="AQ586" i="4"/>
  <c r="AW586" i="4" s="1"/>
  <c r="AK587" i="4"/>
  <c r="L588" i="4"/>
  <c r="BK584" i="4"/>
  <c r="AU584" i="4"/>
  <c r="BA584" i="4" s="1"/>
  <c r="BH584" i="4"/>
  <c r="CD586" i="4" l="1"/>
  <c r="AB586" i="4"/>
  <c r="BZ586" i="4"/>
  <c r="X586" i="4"/>
  <c r="CC586" i="4"/>
  <c r="AA586" i="4"/>
  <c r="S588" i="4"/>
  <c r="CG588" i="4"/>
  <c r="AQ587" i="4"/>
  <c r="AW587" i="4" s="1"/>
  <c r="BO584" i="4"/>
  <c r="BG584" i="4"/>
  <c r="BP584" i="4" s="1"/>
  <c r="BQ584" i="4" s="1"/>
  <c r="BK585" i="4"/>
  <c r="AL587" i="4"/>
  <c r="AR587" i="4" s="1"/>
  <c r="AX587" i="4" s="1"/>
  <c r="BD587" i="4" s="1"/>
  <c r="M588" i="4"/>
  <c r="BV584" i="4"/>
  <c r="BY584" i="4" s="1"/>
  <c r="BL584" i="4"/>
  <c r="BC586" i="4"/>
  <c r="W586" i="4"/>
  <c r="CK586" i="4"/>
  <c r="BI586" i="4"/>
  <c r="AU585" i="4"/>
  <c r="BA585" i="4" s="1"/>
  <c r="BH585" i="4"/>
  <c r="BV585" i="4" s="1"/>
  <c r="BY585" i="4" s="1"/>
  <c r="AM586" i="4" l="1"/>
  <c r="AS586" i="4" s="1"/>
  <c r="AY586" i="4" s="1"/>
  <c r="BE586" i="4" s="1"/>
  <c r="AA587" i="4"/>
  <c r="AJ586" i="4"/>
  <c r="AP586" i="4" s="1"/>
  <c r="AV586" i="4" s="1"/>
  <c r="BB586" i="4" s="1"/>
  <c r="X587" i="4"/>
  <c r="AB587" i="4"/>
  <c r="AN586" i="4"/>
  <c r="AT586" i="4" s="1"/>
  <c r="AZ586" i="4" s="1"/>
  <c r="BF586" i="4" s="1"/>
  <c r="BL585" i="4"/>
  <c r="BM584" i="4"/>
  <c r="BN584" i="4" s="1"/>
  <c r="CE586" i="4"/>
  <c r="AC586" i="4"/>
  <c r="BC587" i="4"/>
  <c r="BI587" i="4"/>
  <c r="BS586" i="4"/>
  <c r="T588" i="4"/>
  <c r="CH588" i="4"/>
  <c r="BO585" i="4"/>
  <c r="BG585" i="4"/>
  <c r="BP585" i="4" s="1"/>
  <c r="BQ585" i="4" s="1"/>
  <c r="CA588" i="4"/>
  <c r="Y588" i="4"/>
  <c r="AJ587" i="4" l="1"/>
  <c r="AP587" i="4" s="1"/>
  <c r="AV587" i="4" s="1"/>
  <c r="K588" i="4"/>
  <c r="BB587" i="4"/>
  <c r="O588" i="4"/>
  <c r="AN587" i="4"/>
  <c r="AT587" i="4" s="1"/>
  <c r="AZ587" i="4" s="1"/>
  <c r="BF587" i="4" s="1"/>
  <c r="AM587" i="4"/>
  <c r="AS587" i="4" s="1"/>
  <c r="AY587" i="4" s="1"/>
  <c r="BE587" i="4" s="1"/>
  <c r="N588" i="4"/>
  <c r="Y589" i="4"/>
  <c r="AK588" i="4"/>
  <c r="CB588" i="4"/>
  <c r="Z588" i="4"/>
  <c r="BS587" i="4"/>
  <c r="AC587" i="4"/>
  <c r="AO586" i="4"/>
  <c r="BJ586" i="4"/>
  <c r="BM585" i="4"/>
  <c r="BN585" i="4" s="1"/>
  <c r="V588" i="4" l="1"/>
  <c r="CJ588" i="4"/>
  <c r="U588" i="4"/>
  <c r="CI588" i="4"/>
  <c r="R588" i="4"/>
  <c r="CF588" i="4"/>
  <c r="BK586" i="4"/>
  <c r="AU586" i="4"/>
  <c r="BA586" i="4" s="1"/>
  <c r="BH586" i="4"/>
  <c r="AO587" i="4"/>
  <c r="P588" i="4"/>
  <c r="BJ587" i="4"/>
  <c r="Z589" i="4"/>
  <c r="AL588" i="4"/>
  <c r="AR588" i="4" s="1"/>
  <c r="AX588" i="4" s="1"/>
  <c r="BD588" i="4" s="1"/>
  <c r="AQ588" i="4"/>
  <c r="AW588" i="4" s="1"/>
  <c r="AK589" i="4"/>
  <c r="L590" i="4"/>
  <c r="BZ588" i="4" l="1"/>
  <c r="X588" i="4"/>
  <c r="CC588" i="4"/>
  <c r="AA588" i="4"/>
  <c r="CD588" i="4"/>
  <c r="AB588" i="4"/>
  <c r="S590" i="4"/>
  <c r="CG590" i="4"/>
  <c r="AQ589" i="4"/>
  <c r="AW589" i="4" s="1"/>
  <c r="AL589" i="4"/>
  <c r="AR589" i="4" s="1"/>
  <c r="AX589" i="4" s="1"/>
  <c r="BD589" i="4" s="1"/>
  <c r="M590" i="4"/>
  <c r="BK587" i="4"/>
  <c r="AU587" i="4"/>
  <c r="BA587" i="4" s="1"/>
  <c r="BH587" i="4"/>
  <c r="BV587" i="4" s="1"/>
  <c r="BY587" i="4" s="1"/>
  <c r="BO586" i="4"/>
  <c r="BG586" i="4"/>
  <c r="BP586" i="4" s="1"/>
  <c r="BQ586" i="4" s="1"/>
  <c r="CK588" i="4"/>
  <c r="W588" i="4"/>
  <c r="BI588" i="4"/>
  <c r="BV586" i="4"/>
  <c r="BY586" i="4" s="1"/>
  <c r="BL586" i="4"/>
  <c r="BC588" i="4"/>
  <c r="AB589" i="4" l="1"/>
  <c r="AN588" i="4"/>
  <c r="AT588" i="4" s="1"/>
  <c r="AZ588" i="4" s="1"/>
  <c r="BF588" i="4"/>
  <c r="AM588" i="4"/>
  <c r="AS588" i="4" s="1"/>
  <c r="AY588" i="4" s="1"/>
  <c r="BE588" i="4" s="1"/>
  <c r="AA589" i="4"/>
  <c r="AJ588" i="4"/>
  <c r="AP588" i="4" s="1"/>
  <c r="AV588" i="4" s="1"/>
  <c r="BB588" i="4" s="1"/>
  <c r="X589" i="4"/>
  <c r="BO587" i="4"/>
  <c r="BG587" i="4"/>
  <c r="BP587" i="4" s="1"/>
  <c r="BQ587" i="4" s="1"/>
  <c r="CE588" i="4"/>
  <c r="AC588" i="4"/>
  <c r="BL587" i="4"/>
  <c r="BM586" i="4"/>
  <c r="BN586" i="4" s="1"/>
  <c r="BC589" i="4"/>
  <c r="T590" i="4"/>
  <c r="CH590" i="4"/>
  <c r="BS588" i="4"/>
  <c r="BI589" i="4"/>
  <c r="CA590" i="4"/>
  <c r="Y590" i="4"/>
  <c r="AM589" i="4" l="1"/>
  <c r="AS589" i="4" s="1"/>
  <c r="AY589" i="4" s="1"/>
  <c r="BE589" i="4" s="1"/>
  <c r="N590" i="4"/>
  <c r="AJ589" i="4"/>
  <c r="AP589" i="4" s="1"/>
  <c r="AV589" i="4" s="1"/>
  <c r="K590" i="4"/>
  <c r="BB589" i="4"/>
  <c r="AN589" i="4"/>
  <c r="AT589" i="4" s="1"/>
  <c r="AZ589" i="4" s="1"/>
  <c r="BF589" i="4" s="1"/>
  <c r="O590" i="4"/>
  <c r="BM587" i="4"/>
  <c r="BN587" i="4" s="1"/>
  <c r="Y591" i="4"/>
  <c r="AK590" i="4"/>
  <c r="AC589" i="4"/>
  <c r="AO588" i="4"/>
  <c r="BJ588" i="4"/>
  <c r="BS589" i="4"/>
  <c r="CB590" i="4"/>
  <c r="Z590" i="4"/>
  <c r="CF590" i="4" l="1"/>
  <c r="R590" i="4"/>
  <c r="CJ590" i="4"/>
  <c r="V590" i="4"/>
  <c r="U590" i="4"/>
  <c r="CI590" i="4"/>
  <c r="AO589" i="4"/>
  <c r="P590" i="4"/>
  <c r="BJ589" i="4"/>
  <c r="AK591" i="4"/>
  <c r="L592" i="4"/>
  <c r="AU588" i="4"/>
  <c r="BA588" i="4" s="1"/>
  <c r="BH588" i="4"/>
  <c r="Z591" i="4"/>
  <c r="AL590" i="4"/>
  <c r="AR590" i="4" s="1"/>
  <c r="AX590" i="4" s="1"/>
  <c r="BD590" i="4" s="1"/>
  <c r="BK588" i="4"/>
  <c r="AQ590" i="4"/>
  <c r="AW590" i="4" s="1"/>
  <c r="AA590" i="4" l="1"/>
  <c r="CC590" i="4"/>
  <c r="CD590" i="4"/>
  <c r="AB590" i="4"/>
  <c r="BZ590" i="4"/>
  <c r="X590" i="4"/>
  <c r="S592" i="4"/>
  <c r="CG592" i="4"/>
  <c r="BK589" i="4"/>
  <c r="AL591" i="4"/>
  <c r="AR591" i="4" s="1"/>
  <c r="AX591" i="4" s="1"/>
  <c r="BD591" i="4" s="1"/>
  <c r="M592" i="4"/>
  <c r="BO588" i="4"/>
  <c r="BG588" i="4"/>
  <c r="BP588" i="4" s="1"/>
  <c r="BQ588" i="4" s="1"/>
  <c r="BC590" i="4"/>
  <c r="AQ591" i="4"/>
  <c r="AW591" i="4" s="1"/>
  <c r="W590" i="4"/>
  <c r="CK590" i="4"/>
  <c r="BI590" i="4"/>
  <c r="AU589" i="4"/>
  <c r="BA589" i="4" s="1"/>
  <c r="BH589" i="4"/>
  <c r="BV589" i="4" s="1"/>
  <c r="BY589" i="4" s="1"/>
  <c r="BV588" i="4"/>
  <c r="BY588" i="4" s="1"/>
  <c r="BL588" i="4"/>
  <c r="X591" i="4" l="1"/>
  <c r="AJ590" i="4"/>
  <c r="AP590" i="4" s="1"/>
  <c r="AV590" i="4" s="1"/>
  <c r="BB590" i="4"/>
  <c r="AB591" i="4"/>
  <c r="AN590" i="4"/>
  <c r="AT590" i="4" s="1"/>
  <c r="AZ590" i="4" s="1"/>
  <c r="BF590" i="4" s="1"/>
  <c r="AM590" i="4"/>
  <c r="AS590" i="4" s="1"/>
  <c r="AY590" i="4" s="1"/>
  <c r="BE590" i="4" s="1"/>
  <c r="AA591" i="4"/>
  <c r="BO589" i="4"/>
  <c r="BG589" i="4"/>
  <c r="BP589" i="4" s="1"/>
  <c r="BQ589" i="4" s="1"/>
  <c r="CE590" i="4"/>
  <c r="AC590" i="4"/>
  <c r="BC591" i="4"/>
  <c r="CA592" i="4"/>
  <c r="Y592" i="4"/>
  <c r="BL589" i="4"/>
  <c r="BM588" i="4"/>
  <c r="BN588" i="4" s="1"/>
  <c r="T592" i="4"/>
  <c r="CH592" i="4"/>
  <c r="BI591" i="4"/>
  <c r="BS590" i="4"/>
  <c r="N592" i="4" l="1"/>
  <c r="AM591" i="4"/>
  <c r="AS591" i="4" s="1"/>
  <c r="AY591" i="4" s="1"/>
  <c r="BE591" i="4" s="1"/>
  <c r="AN591" i="4"/>
  <c r="AT591" i="4" s="1"/>
  <c r="AZ591" i="4" s="1"/>
  <c r="BF591" i="4" s="1"/>
  <c r="O592" i="4"/>
  <c r="AJ591" i="4"/>
  <c r="AP591" i="4" s="1"/>
  <c r="AV591" i="4" s="1"/>
  <c r="BB591" i="4" s="1"/>
  <c r="K592" i="4"/>
  <c r="BS591" i="4"/>
  <c r="AC591" i="4"/>
  <c r="AO590" i="4"/>
  <c r="BJ590" i="4"/>
  <c r="AK592" i="4"/>
  <c r="Y593" i="4"/>
  <c r="CB592" i="4"/>
  <c r="Z592" i="4"/>
  <c r="BM589" i="4"/>
  <c r="BN589" i="4" s="1"/>
  <c r="CJ592" i="4" l="1"/>
  <c r="V592" i="4"/>
  <c r="CF592" i="4"/>
  <c r="R592" i="4"/>
  <c r="U592" i="4"/>
  <c r="CI592" i="4"/>
  <c r="Z593" i="4"/>
  <c r="AL592" i="4"/>
  <c r="AR592" i="4" s="1"/>
  <c r="AX592" i="4" s="1"/>
  <c r="BD592" i="4" s="1"/>
  <c r="BK590" i="4"/>
  <c r="AO591" i="4"/>
  <c r="P592" i="4"/>
  <c r="BJ591" i="4"/>
  <c r="AK593" i="4"/>
  <c r="L594" i="4"/>
  <c r="AQ592" i="4"/>
  <c r="AW592" i="4" s="1"/>
  <c r="AU590" i="4"/>
  <c r="BA590" i="4" s="1"/>
  <c r="BH590" i="4"/>
  <c r="CC592" i="4" l="1"/>
  <c r="AA592" i="4"/>
  <c r="BZ592" i="4"/>
  <c r="X592" i="4"/>
  <c r="AB592" i="4"/>
  <c r="CD592" i="4"/>
  <c r="BO590" i="4"/>
  <c r="BG590" i="4"/>
  <c r="BP590" i="4" s="1"/>
  <c r="BQ590" i="4" s="1"/>
  <c r="BC592" i="4"/>
  <c r="BV590" i="4"/>
  <c r="BY590" i="4" s="1"/>
  <c r="BL590" i="4"/>
  <c r="AU591" i="4"/>
  <c r="BA591" i="4" s="1"/>
  <c r="BH591" i="4"/>
  <c r="BV591" i="4" s="1"/>
  <c r="BY591" i="4" s="1"/>
  <c r="S594" i="4"/>
  <c r="CG594" i="4"/>
  <c r="AQ593" i="4"/>
  <c r="AW593" i="4" s="1"/>
  <c r="BK591" i="4"/>
  <c r="W592" i="4"/>
  <c r="CK592" i="4"/>
  <c r="BI592" i="4"/>
  <c r="AL593" i="4"/>
  <c r="AR593" i="4" s="1"/>
  <c r="AX593" i="4" s="1"/>
  <c r="BD593" i="4" s="1"/>
  <c r="M594" i="4"/>
  <c r="AB593" i="4" l="1"/>
  <c r="AN592" i="4"/>
  <c r="AT592" i="4" s="1"/>
  <c r="AZ592" i="4" s="1"/>
  <c r="BF592" i="4" s="1"/>
  <c r="X593" i="4"/>
  <c r="AJ592" i="4"/>
  <c r="AP592" i="4" s="1"/>
  <c r="AV592" i="4" s="1"/>
  <c r="BB592" i="4"/>
  <c r="AM592" i="4"/>
  <c r="AS592" i="4" s="1"/>
  <c r="AY592" i="4" s="1"/>
  <c r="BE592" i="4" s="1"/>
  <c r="AA593" i="4"/>
  <c r="BL591" i="4"/>
  <c r="BM590" i="4"/>
  <c r="BN590" i="4" s="1"/>
  <c r="CE592" i="4"/>
  <c r="AC592" i="4"/>
  <c r="CA594" i="4"/>
  <c r="Y594" i="4"/>
  <c r="T594" i="4"/>
  <c r="CH594" i="4"/>
  <c r="BI593" i="4"/>
  <c r="BS592" i="4"/>
  <c r="BO591" i="4"/>
  <c r="BG591" i="4"/>
  <c r="BP591" i="4" s="1"/>
  <c r="BQ591" i="4" s="1"/>
  <c r="BC593" i="4"/>
  <c r="AM593" i="4" l="1"/>
  <c r="AS593" i="4" s="1"/>
  <c r="AY593" i="4" s="1"/>
  <c r="BE593" i="4"/>
  <c r="N594" i="4"/>
  <c r="AJ593" i="4"/>
  <c r="AP593" i="4" s="1"/>
  <c r="AV593" i="4" s="1"/>
  <c r="K594" i="4"/>
  <c r="BB593" i="4"/>
  <c r="O594" i="4"/>
  <c r="AN593" i="4"/>
  <c r="AT593" i="4" s="1"/>
  <c r="AZ593" i="4" s="1"/>
  <c r="BF593" i="4" s="1"/>
  <c r="AC593" i="4"/>
  <c r="AO592" i="4"/>
  <c r="BJ592" i="4"/>
  <c r="CB594" i="4"/>
  <c r="Z594" i="4"/>
  <c r="BM591" i="4"/>
  <c r="BN591" i="4" s="1"/>
  <c r="BS593" i="4"/>
  <c r="Y595" i="4"/>
  <c r="AK594" i="4"/>
  <c r="R594" i="4" l="1"/>
  <c r="CF594" i="4"/>
  <c r="V594" i="4"/>
  <c r="CJ594" i="4"/>
  <c r="U594" i="4"/>
  <c r="CI594" i="4"/>
  <c r="BK592" i="4"/>
  <c r="AU592" i="4"/>
  <c r="BA592" i="4" s="1"/>
  <c r="BH592" i="4"/>
  <c r="AO593" i="4"/>
  <c r="P594" i="4"/>
  <c r="BJ593" i="4"/>
  <c r="AL594" i="4"/>
  <c r="AR594" i="4" s="1"/>
  <c r="AX594" i="4" s="1"/>
  <c r="BD594" i="4" s="1"/>
  <c r="Z595" i="4"/>
  <c r="AQ594" i="4"/>
  <c r="AW594" i="4" s="1"/>
  <c r="AK595" i="4"/>
  <c r="L596" i="4"/>
  <c r="CC594" i="4" l="1"/>
  <c r="AA594" i="4"/>
  <c r="CD594" i="4"/>
  <c r="AB594" i="4"/>
  <c r="BZ594" i="4"/>
  <c r="X594" i="4"/>
  <c r="BC594" i="4"/>
  <c r="S596" i="4"/>
  <c r="CG596" i="4"/>
  <c r="AL595" i="4"/>
  <c r="AR595" i="4" s="1"/>
  <c r="AX595" i="4" s="1"/>
  <c r="BD595" i="4" s="1"/>
  <c r="M596" i="4"/>
  <c r="AQ595" i="4"/>
  <c r="AW595" i="4" s="1"/>
  <c r="BK593" i="4"/>
  <c r="W594" i="4"/>
  <c r="CK594" i="4"/>
  <c r="BI594" i="4"/>
  <c r="AU593" i="4"/>
  <c r="BA593" i="4" s="1"/>
  <c r="BH593" i="4"/>
  <c r="BV593" i="4" s="1"/>
  <c r="BY593" i="4" s="1"/>
  <c r="BV592" i="4"/>
  <c r="BY592" i="4" s="1"/>
  <c r="BL592" i="4"/>
  <c r="BO592" i="4"/>
  <c r="BG592" i="4"/>
  <c r="BP592" i="4" s="1"/>
  <c r="BQ592" i="4" s="1"/>
  <c r="X595" i="4" l="1"/>
  <c r="AJ594" i="4"/>
  <c r="AP594" i="4" s="1"/>
  <c r="AV594" i="4" s="1"/>
  <c r="BB594" i="4"/>
  <c r="AB595" i="4"/>
  <c r="AN594" i="4"/>
  <c r="AT594" i="4" s="1"/>
  <c r="AZ594" i="4" s="1"/>
  <c r="BF594" i="4"/>
  <c r="AA595" i="4"/>
  <c r="AM594" i="4"/>
  <c r="AS594" i="4" s="1"/>
  <c r="AY594" i="4" s="1"/>
  <c r="BE594" i="4" s="1"/>
  <c r="BC595" i="4"/>
  <c r="BO593" i="4"/>
  <c r="BG593" i="4"/>
  <c r="BP593" i="4" s="1"/>
  <c r="BQ593" i="4" s="1"/>
  <c r="CA596" i="4"/>
  <c r="Y596" i="4"/>
  <c r="BI595" i="4"/>
  <c r="BS594" i="4"/>
  <c r="CE594" i="4"/>
  <c r="AC594" i="4"/>
  <c r="BL593" i="4"/>
  <c r="BM592" i="4"/>
  <c r="BN592" i="4" s="1"/>
  <c r="T596" i="4"/>
  <c r="CH596" i="4"/>
  <c r="N596" i="4" l="1"/>
  <c r="AM595" i="4"/>
  <c r="AS595" i="4" s="1"/>
  <c r="AY595" i="4" s="1"/>
  <c r="BE595" i="4"/>
  <c r="AN595" i="4"/>
  <c r="AT595" i="4" s="1"/>
  <c r="AZ595" i="4" s="1"/>
  <c r="BF595" i="4" s="1"/>
  <c r="O596" i="4"/>
  <c r="AJ595" i="4"/>
  <c r="AP595" i="4" s="1"/>
  <c r="AV595" i="4" s="1"/>
  <c r="BB595" i="4" s="1"/>
  <c r="K596" i="4"/>
  <c r="BS595" i="4"/>
  <c r="BM593" i="4"/>
  <c r="BN593" i="4" s="1"/>
  <c r="CB596" i="4"/>
  <c r="Z596" i="4"/>
  <c r="AK596" i="4"/>
  <c r="Y597" i="4"/>
  <c r="AO594" i="4"/>
  <c r="AC595" i="4"/>
  <c r="BJ594" i="4"/>
  <c r="CF596" i="4" l="1"/>
  <c r="R596" i="4"/>
  <c r="V596" i="4"/>
  <c r="CJ596" i="4"/>
  <c r="U596" i="4"/>
  <c r="CI596" i="4"/>
  <c r="BK594" i="4"/>
  <c r="AO595" i="4"/>
  <c r="P596" i="4"/>
  <c r="BJ595" i="4"/>
  <c r="AQ596" i="4"/>
  <c r="AW596" i="4" s="1"/>
  <c r="AL596" i="4"/>
  <c r="AR596" i="4" s="1"/>
  <c r="AX596" i="4" s="1"/>
  <c r="BD596" i="4" s="1"/>
  <c r="Z597" i="4"/>
  <c r="AU594" i="4"/>
  <c r="BA594" i="4" s="1"/>
  <c r="BH594" i="4"/>
  <c r="AK597" i="4"/>
  <c r="L598" i="4"/>
  <c r="AA596" i="4" l="1"/>
  <c r="CC596" i="4"/>
  <c r="AB596" i="4"/>
  <c r="CD596" i="4"/>
  <c r="BZ596" i="4"/>
  <c r="X596" i="4"/>
  <c r="BC596" i="4"/>
  <c r="W596" i="4"/>
  <c r="CK596" i="4"/>
  <c r="BI596" i="4"/>
  <c r="AU595" i="4"/>
  <c r="BA595" i="4" s="1"/>
  <c r="BH595" i="4"/>
  <c r="BV595" i="4" s="1"/>
  <c r="BY595" i="4" s="1"/>
  <c r="S598" i="4"/>
  <c r="CG598" i="4"/>
  <c r="AQ597" i="4"/>
  <c r="AW597" i="4" s="1"/>
  <c r="BO594" i="4"/>
  <c r="BG594" i="4"/>
  <c r="BP594" i="4" s="1"/>
  <c r="BQ594" i="4" s="1"/>
  <c r="BK595" i="4"/>
  <c r="BV594" i="4"/>
  <c r="BY594" i="4" s="1"/>
  <c r="BL594" i="4"/>
  <c r="AL597" i="4"/>
  <c r="AR597" i="4" s="1"/>
  <c r="AX597" i="4" s="1"/>
  <c r="BD597" i="4" s="1"/>
  <c r="M598" i="4"/>
  <c r="X597" i="4" l="1"/>
  <c r="AJ596" i="4"/>
  <c r="AP596" i="4" s="1"/>
  <c r="AV596" i="4" s="1"/>
  <c r="BB596" i="4"/>
  <c r="AB597" i="4"/>
  <c r="AN596" i="4"/>
  <c r="AT596" i="4" s="1"/>
  <c r="AZ596" i="4" s="1"/>
  <c r="BF596" i="4" s="1"/>
  <c r="AM596" i="4"/>
  <c r="AS596" i="4" s="1"/>
  <c r="AY596" i="4" s="1"/>
  <c r="BE596" i="4" s="1"/>
  <c r="AA597" i="4"/>
  <c r="BI597" i="4"/>
  <c r="BS596" i="4"/>
  <c r="CE596" i="4"/>
  <c r="AC596" i="4"/>
  <c r="CA598" i="4"/>
  <c r="Y598" i="4"/>
  <c r="BO595" i="4"/>
  <c r="BG595" i="4"/>
  <c r="BP595" i="4" s="1"/>
  <c r="BQ595" i="4" s="1"/>
  <c r="T598" i="4"/>
  <c r="CH598" i="4"/>
  <c r="BC597" i="4"/>
  <c r="BL595" i="4"/>
  <c r="BM594" i="4"/>
  <c r="BN594" i="4" s="1"/>
  <c r="AM597" i="4" l="1"/>
  <c r="AS597" i="4" s="1"/>
  <c r="AY597" i="4" s="1"/>
  <c r="BE597" i="4"/>
  <c r="N598" i="4"/>
  <c r="AN597" i="4"/>
  <c r="AT597" i="4" s="1"/>
  <c r="AZ597" i="4" s="1"/>
  <c r="BF597" i="4" s="1"/>
  <c r="O598" i="4"/>
  <c r="AJ597" i="4"/>
  <c r="AP597" i="4" s="1"/>
  <c r="AV597" i="4" s="1"/>
  <c r="BB597" i="4" s="1"/>
  <c r="K598" i="4"/>
  <c r="BM595" i="4"/>
  <c r="BN595" i="4" s="1"/>
  <c r="CB598" i="4"/>
  <c r="Z598" i="4"/>
  <c r="AC597" i="4"/>
  <c r="AO596" i="4"/>
  <c r="BJ596" i="4"/>
  <c r="Y599" i="4"/>
  <c r="AK598" i="4"/>
  <c r="BS597" i="4"/>
  <c r="CJ598" i="4" l="1"/>
  <c r="V598" i="4"/>
  <c r="CF598" i="4"/>
  <c r="R598" i="4"/>
  <c r="U598" i="4"/>
  <c r="CI598" i="4"/>
  <c r="AK599" i="4"/>
  <c r="L600" i="4"/>
  <c r="BK596" i="4"/>
  <c r="AU596" i="4"/>
  <c r="BA596" i="4" s="1"/>
  <c r="BH596" i="4"/>
  <c r="AO597" i="4"/>
  <c r="P598" i="4"/>
  <c r="BJ597" i="4"/>
  <c r="AQ598" i="4"/>
  <c r="AW598" i="4" s="1"/>
  <c r="AL598" i="4"/>
  <c r="AR598" i="4" s="1"/>
  <c r="AX598" i="4" s="1"/>
  <c r="BD598" i="4" s="1"/>
  <c r="Z599" i="4"/>
  <c r="CC598" i="4" l="1"/>
  <c r="AA598" i="4"/>
  <c r="BZ598" i="4"/>
  <c r="X598" i="4"/>
  <c r="AB598" i="4"/>
  <c r="CD598" i="4"/>
  <c r="BV596" i="4"/>
  <c r="BY596" i="4" s="1"/>
  <c r="BL596" i="4"/>
  <c r="AL599" i="4"/>
  <c r="AR599" i="4" s="1"/>
  <c r="AX599" i="4" s="1"/>
  <c r="BD599" i="4" s="1"/>
  <c r="M600" i="4"/>
  <c r="BC598" i="4"/>
  <c r="W598" i="4"/>
  <c r="CK598" i="4"/>
  <c r="BI598" i="4"/>
  <c r="BO596" i="4"/>
  <c r="BG596" i="4"/>
  <c r="BP596" i="4" s="1"/>
  <c r="BQ596" i="4" s="1"/>
  <c r="AQ599" i="4"/>
  <c r="AW599" i="4" s="1"/>
  <c r="BK597" i="4"/>
  <c r="S600" i="4"/>
  <c r="CG600" i="4"/>
  <c r="AU597" i="4"/>
  <c r="BA597" i="4" s="1"/>
  <c r="BH597" i="4"/>
  <c r="BV597" i="4" s="1"/>
  <c r="BY597" i="4" s="1"/>
  <c r="AN598" i="4" l="1"/>
  <c r="AT598" i="4" s="1"/>
  <c r="AZ598" i="4" s="1"/>
  <c r="BF598" i="4" s="1"/>
  <c r="AB599" i="4"/>
  <c r="AJ598" i="4"/>
  <c r="AP598" i="4" s="1"/>
  <c r="AV598" i="4" s="1"/>
  <c r="X599" i="4"/>
  <c r="BB598" i="4"/>
  <c r="AM598" i="4"/>
  <c r="AS598" i="4" s="1"/>
  <c r="AY598" i="4" s="1"/>
  <c r="BE598" i="4" s="1"/>
  <c r="AA599" i="4"/>
  <c r="BO597" i="4"/>
  <c r="BG597" i="4"/>
  <c r="BP597" i="4" s="1"/>
  <c r="BQ597" i="4" s="1"/>
  <c r="BI599" i="4"/>
  <c r="BS598" i="4"/>
  <c r="CE598" i="4"/>
  <c r="AC598" i="4"/>
  <c r="BC599" i="4"/>
  <c r="CA600" i="4"/>
  <c r="Y600" i="4"/>
  <c r="BL597" i="4"/>
  <c r="BM596" i="4"/>
  <c r="BN596" i="4" s="1"/>
  <c r="T600" i="4"/>
  <c r="CH600" i="4"/>
  <c r="N600" i="4" l="1"/>
  <c r="AM599" i="4"/>
  <c r="AS599" i="4" s="1"/>
  <c r="AY599" i="4" s="1"/>
  <c r="BE599" i="4" s="1"/>
  <c r="K600" i="4"/>
  <c r="AJ599" i="4"/>
  <c r="AP599" i="4" s="1"/>
  <c r="AV599" i="4" s="1"/>
  <c r="BB599" i="4" s="1"/>
  <c r="AN599" i="4"/>
  <c r="AT599" i="4" s="1"/>
  <c r="AZ599" i="4" s="1"/>
  <c r="BF599" i="4" s="1"/>
  <c r="O600" i="4"/>
  <c r="BS599" i="4"/>
  <c r="Y601" i="4"/>
  <c r="AK600" i="4"/>
  <c r="CB600" i="4"/>
  <c r="Z600" i="4"/>
  <c r="BM597" i="4"/>
  <c r="BN597" i="4" s="1"/>
  <c r="AC599" i="4"/>
  <c r="AO598" i="4"/>
  <c r="BJ598" i="4"/>
  <c r="CJ600" i="4" l="1"/>
  <c r="V600" i="4"/>
  <c r="R600" i="4"/>
  <c r="CF600" i="4"/>
  <c r="U600" i="4"/>
  <c r="CI600" i="4"/>
  <c r="Z601" i="4"/>
  <c r="AL600" i="4"/>
  <c r="AR600" i="4" s="1"/>
  <c r="AX600" i="4" s="1"/>
  <c r="BD600" i="4" s="1"/>
  <c r="AK601" i="4"/>
  <c r="L602" i="4"/>
  <c r="BK598" i="4"/>
  <c r="AO599" i="4"/>
  <c r="P600" i="4"/>
  <c r="BJ599" i="4"/>
  <c r="AQ600" i="4"/>
  <c r="AW600" i="4" s="1"/>
  <c r="AU598" i="4"/>
  <c r="BA598" i="4" s="1"/>
  <c r="BH598" i="4"/>
  <c r="CC600" i="4" l="1"/>
  <c r="AA600" i="4"/>
  <c r="BZ600" i="4"/>
  <c r="X600" i="4"/>
  <c r="CD600" i="4"/>
  <c r="AB600" i="4"/>
  <c r="BV598" i="4"/>
  <c r="BY598" i="4" s="1"/>
  <c r="BL598" i="4"/>
  <c r="BC600" i="4"/>
  <c r="W600" i="4"/>
  <c r="CK600" i="4"/>
  <c r="BI600" i="4"/>
  <c r="AU599" i="4"/>
  <c r="BA599" i="4" s="1"/>
  <c r="BH599" i="4"/>
  <c r="BV599" i="4" s="1"/>
  <c r="BY599" i="4" s="1"/>
  <c r="S602" i="4"/>
  <c r="CG602" i="4"/>
  <c r="AQ601" i="4"/>
  <c r="AW601" i="4" s="1"/>
  <c r="BO598" i="4"/>
  <c r="BG598" i="4"/>
  <c r="BP598" i="4" s="1"/>
  <c r="BQ598" i="4" s="1"/>
  <c r="BK599" i="4"/>
  <c r="AL601" i="4"/>
  <c r="AR601" i="4" s="1"/>
  <c r="AX601" i="4" s="1"/>
  <c r="BD601" i="4" s="1"/>
  <c r="M602" i="4"/>
  <c r="AN600" i="4" l="1"/>
  <c r="AT600" i="4" s="1"/>
  <c r="AZ600" i="4" s="1"/>
  <c r="AB601" i="4"/>
  <c r="BF600" i="4"/>
  <c r="X601" i="4"/>
  <c r="AJ600" i="4"/>
  <c r="AP600" i="4" s="1"/>
  <c r="AV600" i="4" s="1"/>
  <c r="BB600" i="4"/>
  <c r="AM600" i="4"/>
  <c r="AS600" i="4" s="1"/>
  <c r="AY600" i="4" s="1"/>
  <c r="BE600" i="4" s="1"/>
  <c r="AA601" i="4"/>
  <c r="CA602" i="4"/>
  <c r="Y602" i="4"/>
  <c r="CE600" i="4"/>
  <c r="AC600" i="4"/>
  <c r="BI601" i="4"/>
  <c r="BS600" i="4"/>
  <c r="BO599" i="4"/>
  <c r="BG599" i="4"/>
  <c r="BP599" i="4" s="1"/>
  <c r="BQ599" i="4" s="1"/>
  <c r="BL599" i="4"/>
  <c r="BM598" i="4"/>
  <c r="BN598" i="4" s="1"/>
  <c r="T602" i="4"/>
  <c r="CH602" i="4"/>
  <c r="BC601" i="4"/>
  <c r="N602" i="4" l="1"/>
  <c r="AM601" i="4"/>
  <c r="AS601" i="4" s="1"/>
  <c r="AY601" i="4" s="1"/>
  <c r="BE601" i="4" s="1"/>
  <c r="K602" i="4"/>
  <c r="AJ601" i="4"/>
  <c r="AP601" i="4" s="1"/>
  <c r="AV601" i="4" s="1"/>
  <c r="BB601" i="4" s="1"/>
  <c r="AN601" i="4"/>
  <c r="AT601" i="4" s="1"/>
  <c r="AZ601" i="4" s="1"/>
  <c r="BF601" i="4" s="1"/>
  <c r="O602" i="4"/>
  <c r="BS601" i="4"/>
  <c r="AC601" i="4"/>
  <c r="AO600" i="4"/>
  <c r="BJ600" i="4"/>
  <c r="CB602" i="4"/>
  <c r="Z602" i="4"/>
  <c r="AK602" i="4"/>
  <c r="Y603" i="4"/>
  <c r="BM599" i="4"/>
  <c r="BN599" i="4" s="1"/>
  <c r="R602" i="4" l="1"/>
  <c r="CF602" i="4"/>
  <c r="V602" i="4"/>
  <c r="CJ602" i="4"/>
  <c r="CI602" i="4"/>
  <c r="U602" i="4"/>
  <c r="AU600" i="4"/>
  <c r="BA600" i="4" s="1"/>
  <c r="BH600" i="4"/>
  <c r="AO601" i="4"/>
  <c r="P602" i="4"/>
  <c r="BJ601" i="4"/>
  <c r="AL602" i="4"/>
  <c r="AR602" i="4" s="1"/>
  <c r="AX602" i="4" s="1"/>
  <c r="BD602" i="4" s="1"/>
  <c r="Z603" i="4"/>
  <c r="BK600" i="4"/>
  <c r="AK603" i="4"/>
  <c r="L604" i="4"/>
  <c r="AQ602" i="4"/>
  <c r="AW602" i="4" s="1"/>
  <c r="AA602" i="4" l="1"/>
  <c r="CC602" i="4"/>
  <c r="AB602" i="4"/>
  <c r="CD602" i="4"/>
  <c r="BZ602" i="4"/>
  <c r="X602" i="4"/>
  <c r="BC602" i="4"/>
  <c r="AL603" i="4"/>
  <c r="AR603" i="4" s="1"/>
  <c r="AX603" i="4" s="1"/>
  <c r="BD603" i="4" s="1"/>
  <c r="M604" i="4"/>
  <c r="CK602" i="4"/>
  <c r="W602" i="4"/>
  <c r="BI602" i="4"/>
  <c r="AQ603" i="4"/>
  <c r="AW603" i="4" s="1"/>
  <c r="BV600" i="4"/>
  <c r="BY600" i="4" s="1"/>
  <c r="BL600" i="4"/>
  <c r="S604" i="4"/>
  <c r="CG604" i="4"/>
  <c r="BK601" i="4"/>
  <c r="AU601" i="4"/>
  <c r="BA601" i="4" s="1"/>
  <c r="BH601" i="4"/>
  <c r="BV601" i="4" s="1"/>
  <c r="BY601" i="4" s="1"/>
  <c r="BO600" i="4"/>
  <c r="BG600" i="4"/>
  <c r="BP600" i="4" s="1"/>
  <c r="BQ600" i="4" s="1"/>
  <c r="AJ602" i="4" l="1"/>
  <c r="AP602" i="4" s="1"/>
  <c r="AV602" i="4" s="1"/>
  <c r="X603" i="4"/>
  <c r="BB602" i="4"/>
  <c r="AN602" i="4"/>
  <c r="AT602" i="4" s="1"/>
  <c r="AZ602" i="4" s="1"/>
  <c r="BF602" i="4" s="1"/>
  <c r="AB603" i="4"/>
  <c r="AM602" i="4"/>
  <c r="AS602" i="4" s="1"/>
  <c r="AY602" i="4" s="1"/>
  <c r="BE602" i="4" s="1"/>
  <c r="AA603" i="4"/>
  <c r="BI603" i="4"/>
  <c r="BS602" i="4"/>
  <c r="CE602" i="4"/>
  <c r="AC602" i="4"/>
  <c r="BL601" i="4"/>
  <c r="BM600" i="4"/>
  <c r="BN600" i="4" s="1"/>
  <c r="BO601" i="4"/>
  <c r="BG601" i="4"/>
  <c r="BP601" i="4" s="1"/>
  <c r="BQ601" i="4" s="1"/>
  <c r="CA604" i="4"/>
  <c r="Y604" i="4"/>
  <c r="BC603" i="4"/>
  <c r="CH604" i="4"/>
  <c r="T604" i="4"/>
  <c r="N604" i="4" l="1"/>
  <c r="AM603" i="4"/>
  <c r="AS603" i="4" s="1"/>
  <c r="AY603" i="4" s="1"/>
  <c r="BE603" i="4"/>
  <c r="AN603" i="4"/>
  <c r="AT603" i="4" s="1"/>
  <c r="AZ603" i="4" s="1"/>
  <c r="BF603" i="4" s="1"/>
  <c r="O604" i="4"/>
  <c r="AJ603" i="4"/>
  <c r="AP603" i="4" s="1"/>
  <c r="AV603" i="4" s="1"/>
  <c r="BB603" i="4" s="1"/>
  <c r="K604" i="4"/>
  <c r="BM601" i="4"/>
  <c r="BN601" i="4" s="1"/>
  <c r="AC603" i="4"/>
  <c r="AO602" i="4"/>
  <c r="BJ602" i="4"/>
  <c r="AK604" i="4"/>
  <c r="Y605" i="4"/>
  <c r="CB604" i="4"/>
  <c r="Z604" i="4"/>
  <c r="BS603" i="4"/>
  <c r="CJ604" i="4" l="1"/>
  <c r="V604" i="4"/>
  <c r="R604" i="4"/>
  <c r="CF604" i="4"/>
  <c r="CI604" i="4"/>
  <c r="U604" i="4"/>
  <c r="BK602" i="4"/>
  <c r="AO603" i="4"/>
  <c r="P604" i="4"/>
  <c r="BJ603" i="4"/>
  <c r="Z605" i="4"/>
  <c r="AL604" i="4"/>
  <c r="AR604" i="4" s="1"/>
  <c r="AX604" i="4" s="1"/>
  <c r="BD604" i="4" s="1"/>
  <c r="AU602" i="4"/>
  <c r="BA602" i="4" s="1"/>
  <c r="BH602" i="4"/>
  <c r="AK605" i="4"/>
  <c r="L606" i="4"/>
  <c r="AQ604" i="4"/>
  <c r="AW604" i="4" s="1"/>
  <c r="AA604" i="4" l="1"/>
  <c r="CC604" i="4"/>
  <c r="BZ604" i="4"/>
  <c r="X604" i="4"/>
  <c r="CD604" i="4"/>
  <c r="AB604" i="4"/>
  <c r="AL605" i="4"/>
  <c r="AR605" i="4" s="1"/>
  <c r="AX605" i="4" s="1"/>
  <c r="BD605" i="4"/>
  <c r="M606" i="4"/>
  <c r="AQ605" i="4"/>
  <c r="AW605" i="4" s="1"/>
  <c r="BO602" i="4"/>
  <c r="BG602" i="4"/>
  <c r="BP602" i="4" s="1"/>
  <c r="BQ602" i="4" s="1"/>
  <c r="BC604" i="4"/>
  <c r="BV602" i="4"/>
  <c r="BY602" i="4" s="1"/>
  <c r="BL602" i="4"/>
  <c r="S606" i="4"/>
  <c r="CG606" i="4"/>
  <c r="BK603" i="4"/>
  <c r="CK604" i="4"/>
  <c r="W604" i="4"/>
  <c r="BI604" i="4"/>
  <c r="AU603" i="4"/>
  <c r="BA603" i="4" s="1"/>
  <c r="BH603" i="4"/>
  <c r="BV603" i="4" s="1"/>
  <c r="BY603" i="4" s="1"/>
  <c r="AB605" i="4" l="1"/>
  <c r="AN604" i="4"/>
  <c r="AT604" i="4" s="1"/>
  <c r="AZ604" i="4" s="1"/>
  <c r="BF604" i="4" s="1"/>
  <c r="AJ604" i="4"/>
  <c r="AP604" i="4" s="1"/>
  <c r="AV604" i="4" s="1"/>
  <c r="X605" i="4"/>
  <c r="BB604" i="4"/>
  <c r="AA605" i="4"/>
  <c r="AM604" i="4"/>
  <c r="AS604" i="4" s="1"/>
  <c r="AY604" i="4" s="1"/>
  <c r="BE604" i="4" s="1"/>
  <c r="BS604" i="4"/>
  <c r="BI605" i="4"/>
  <c r="CA606" i="4"/>
  <c r="Y606" i="4"/>
  <c r="T606" i="4"/>
  <c r="CH606" i="4"/>
  <c r="BL603" i="4"/>
  <c r="BM602" i="4"/>
  <c r="BN602" i="4" s="1"/>
  <c r="BO603" i="4"/>
  <c r="BG603" i="4"/>
  <c r="BP603" i="4" s="1"/>
  <c r="BQ603" i="4" s="1"/>
  <c r="CE604" i="4"/>
  <c r="AC604" i="4"/>
  <c r="BC605" i="4"/>
  <c r="AM605" i="4" l="1"/>
  <c r="AS605" i="4" s="1"/>
  <c r="AY605" i="4" s="1"/>
  <c r="BE605" i="4" s="1"/>
  <c r="N606" i="4"/>
  <c r="AJ605" i="4"/>
  <c r="AP605" i="4" s="1"/>
  <c r="AV605" i="4" s="1"/>
  <c r="K606" i="4"/>
  <c r="BB605" i="4"/>
  <c r="O606" i="4"/>
  <c r="AN605" i="4"/>
  <c r="AT605" i="4" s="1"/>
  <c r="AZ605" i="4" s="1"/>
  <c r="BF605" i="4" s="1"/>
  <c r="AK606" i="4"/>
  <c r="Y607" i="4"/>
  <c r="AC605" i="4"/>
  <c r="AO604" i="4"/>
  <c r="BJ604" i="4"/>
  <c r="BS605" i="4"/>
  <c r="BM603" i="4"/>
  <c r="BN603" i="4" s="1"/>
  <c r="CB606" i="4"/>
  <c r="Z606" i="4"/>
  <c r="R606" i="4" l="1"/>
  <c r="CF606" i="4"/>
  <c r="V606" i="4"/>
  <c r="CJ606" i="4"/>
  <c r="CI606" i="4"/>
  <c r="U606" i="4"/>
  <c r="AU604" i="4"/>
  <c r="BA604" i="4" s="1"/>
  <c r="BH604" i="4"/>
  <c r="AO605" i="4"/>
  <c r="P606" i="4"/>
  <c r="BJ605" i="4"/>
  <c r="AQ606" i="4"/>
  <c r="AW606" i="4" s="1"/>
  <c r="BK604" i="4"/>
  <c r="AK607" i="4"/>
  <c r="L608" i="4"/>
  <c r="AL606" i="4"/>
  <c r="AR606" i="4" s="1"/>
  <c r="AX606" i="4" s="1"/>
  <c r="BD606" i="4" s="1"/>
  <c r="Z607" i="4"/>
  <c r="CC606" i="4" l="1"/>
  <c r="AA606" i="4"/>
  <c r="AB606" i="4"/>
  <c r="CD606" i="4"/>
  <c r="BZ606" i="4"/>
  <c r="X606" i="4"/>
  <c r="AL607" i="4"/>
  <c r="AR607" i="4" s="1"/>
  <c r="AX607" i="4" s="1"/>
  <c r="BD607" i="4" s="1"/>
  <c r="M608" i="4"/>
  <c r="BK605" i="4"/>
  <c r="AU605" i="4"/>
  <c r="BA605" i="4" s="1"/>
  <c r="BH605" i="4"/>
  <c r="BV605" i="4" s="1"/>
  <c r="BY605" i="4" s="1"/>
  <c r="AQ607" i="4"/>
  <c r="AW607" i="4" s="1"/>
  <c r="W606" i="4"/>
  <c r="CK606" i="4"/>
  <c r="BI606" i="4"/>
  <c r="BV604" i="4"/>
  <c r="BY604" i="4" s="1"/>
  <c r="BL604" i="4"/>
  <c r="BC606" i="4"/>
  <c r="S608" i="4"/>
  <c r="CG608" i="4"/>
  <c r="BO604" i="4"/>
  <c r="BG604" i="4"/>
  <c r="BP604" i="4" s="1"/>
  <c r="BQ604" i="4" s="1"/>
  <c r="X607" i="4" l="1"/>
  <c r="AJ606" i="4"/>
  <c r="AP606" i="4" s="1"/>
  <c r="AV606" i="4" s="1"/>
  <c r="BB606" i="4"/>
  <c r="AN606" i="4"/>
  <c r="AT606" i="4" s="1"/>
  <c r="AZ606" i="4" s="1"/>
  <c r="BF606" i="4" s="1"/>
  <c r="AB607" i="4"/>
  <c r="AM606" i="4"/>
  <c r="AS606" i="4" s="1"/>
  <c r="AY606" i="4" s="1"/>
  <c r="BE606" i="4" s="1"/>
  <c r="AA607" i="4"/>
  <c r="BS606" i="4"/>
  <c r="BI607" i="4"/>
  <c r="CE606" i="4"/>
  <c r="AC606" i="4"/>
  <c r="BC607" i="4"/>
  <c r="BO605" i="4"/>
  <c r="BG605" i="4"/>
  <c r="BP605" i="4" s="1"/>
  <c r="BQ605" i="4" s="1"/>
  <c r="CA608" i="4"/>
  <c r="Y608" i="4"/>
  <c r="BL605" i="4"/>
  <c r="BM604" i="4"/>
  <c r="BN604" i="4" s="1"/>
  <c r="T608" i="4"/>
  <c r="CH608" i="4"/>
  <c r="N608" i="4" l="1"/>
  <c r="AM607" i="4"/>
  <c r="AS607" i="4" s="1"/>
  <c r="AY607" i="4" s="1"/>
  <c r="BE607" i="4"/>
  <c r="O608" i="4"/>
  <c r="AN607" i="4"/>
  <c r="AT607" i="4" s="1"/>
  <c r="AZ607" i="4" s="1"/>
  <c r="BF607" i="4" s="1"/>
  <c r="AJ607" i="4"/>
  <c r="AP607" i="4" s="1"/>
  <c r="AV607" i="4" s="1"/>
  <c r="BB607" i="4" s="1"/>
  <c r="K608" i="4"/>
  <c r="AO606" i="4"/>
  <c r="AC607" i="4"/>
  <c r="BJ606" i="4"/>
  <c r="BM605" i="4"/>
  <c r="BN605" i="4" s="1"/>
  <c r="Y609" i="4"/>
  <c r="AK608" i="4"/>
  <c r="BS607" i="4"/>
  <c r="CB608" i="4"/>
  <c r="Z608" i="4"/>
  <c r="R608" i="4" l="1"/>
  <c r="CF608" i="4"/>
  <c r="CJ608" i="4"/>
  <c r="V608" i="4"/>
  <c r="U608" i="4"/>
  <c r="CI608" i="4"/>
  <c r="AQ608" i="4"/>
  <c r="AW608" i="4" s="1"/>
  <c r="AK609" i="4"/>
  <c r="L610" i="4"/>
  <c r="BK606" i="4"/>
  <c r="Z609" i="4"/>
  <c r="AL608" i="4"/>
  <c r="AR608" i="4" s="1"/>
  <c r="AX608" i="4" s="1"/>
  <c r="BD608" i="4" s="1"/>
  <c r="AO607" i="4"/>
  <c r="P608" i="4"/>
  <c r="BJ607" i="4"/>
  <c r="AU606" i="4"/>
  <c r="BA606" i="4" s="1"/>
  <c r="BH606" i="4"/>
  <c r="AA608" i="4" l="1"/>
  <c r="CC608" i="4"/>
  <c r="CD608" i="4"/>
  <c r="AB608" i="4"/>
  <c r="BZ608" i="4"/>
  <c r="X608" i="4"/>
  <c r="BV606" i="4"/>
  <c r="BY606" i="4" s="1"/>
  <c r="BL606" i="4"/>
  <c r="W608" i="4"/>
  <c r="CK608" i="4"/>
  <c r="BI608" i="4"/>
  <c r="AU607" i="4"/>
  <c r="BA607" i="4" s="1"/>
  <c r="BH607" i="4"/>
  <c r="BV607" i="4" s="1"/>
  <c r="BY607" i="4" s="1"/>
  <c r="S610" i="4"/>
  <c r="CG610" i="4"/>
  <c r="AQ609" i="4"/>
  <c r="AW609" i="4" s="1"/>
  <c r="AL609" i="4"/>
  <c r="AR609" i="4" s="1"/>
  <c r="AX609" i="4" s="1"/>
  <c r="BD609" i="4" s="1"/>
  <c r="M610" i="4"/>
  <c r="BO606" i="4"/>
  <c r="BG606" i="4"/>
  <c r="BP606" i="4" s="1"/>
  <c r="BQ606" i="4" s="1"/>
  <c r="BK607" i="4"/>
  <c r="BC608" i="4"/>
  <c r="X609" i="4" l="1"/>
  <c r="AJ608" i="4"/>
  <c r="AP608" i="4" s="1"/>
  <c r="AV608" i="4" s="1"/>
  <c r="BB608" i="4"/>
  <c r="AB609" i="4"/>
  <c r="AN608" i="4"/>
  <c r="AT608" i="4" s="1"/>
  <c r="AZ608" i="4" s="1"/>
  <c r="BF608" i="4" s="1"/>
  <c r="AA609" i="4"/>
  <c r="AM608" i="4"/>
  <c r="AS608" i="4" s="1"/>
  <c r="AY608" i="4" s="1"/>
  <c r="BE608" i="4" s="1"/>
  <c r="T610" i="4"/>
  <c r="CH610" i="4"/>
  <c r="CE608" i="4"/>
  <c r="AC608" i="4"/>
  <c r="CA610" i="4"/>
  <c r="Y610" i="4"/>
  <c r="BL607" i="4"/>
  <c r="BM606" i="4"/>
  <c r="BN606" i="4" s="1"/>
  <c r="BO607" i="4"/>
  <c r="BG607" i="4"/>
  <c r="BP607" i="4" s="1"/>
  <c r="BQ607" i="4" s="1"/>
  <c r="BC609" i="4"/>
  <c r="BS608" i="4"/>
  <c r="BI609" i="4"/>
  <c r="AM609" i="4" l="1"/>
  <c r="AS609" i="4" s="1"/>
  <c r="AY609" i="4" s="1"/>
  <c r="BE609" i="4" s="1"/>
  <c r="N610" i="4"/>
  <c r="AN609" i="4"/>
  <c r="AT609" i="4" s="1"/>
  <c r="AZ609" i="4" s="1"/>
  <c r="BF609" i="4" s="1"/>
  <c r="O610" i="4"/>
  <c r="AJ609" i="4"/>
  <c r="AP609" i="4" s="1"/>
  <c r="AV609" i="4" s="1"/>
  <c r="BB609" i="4" s="1"/>
  <c r="K610" i="4"/>
  <c r="AK610" i="4"/>
  <c r="Y611" i="4"/>
  <c r="BS609" i="4"/>
  <c r="CB610" i="4"/>
  <c r="Z610" i="4"/>
  <c r="AO608" i="4"/>
  <c r="AC609" i="4"/>
  <c r="BJ608" i="4"/>
  <c r="BM607" i="4"/>
  <c r="BN607" i="4" s="1"/>
  <c r="CF610" i="4" l="1"/>
  <c r="R610" i="4"/>
  <c r="CJ610" i="4"/>
  <c r="V610" i="4"/>
  <c r="CI610" i="4"/>
  <c r="U610" i="4"/>
  <c r="AL610" i="4"/>
  <c r="AR610" i="4" s="1"/>
  <c r="AX610" i="4" s="1"/>
  <c r="BD610" i="4" s="1"/>
  <c r="Z611" i="4"/>
  <c r="AO609" i="4"/>
  <c r="P610" i="4"/>
  <c r="BJ609" i="4"/>
  <c r="BK608" i="4"/>
  <c r="AK611" i="4"/>
  <c r="L612" i="4"/>
  <c r="AU608" i="4"/>
  <c r="BA608" i="4" s="1"/>
  <c r="BH608" i="4"/>
  <c r="AQ610" i="4"/>
  <c r="AW610" i="4" s="1"/>
  <c r="CC610" i="4" l="1"/>
  <c r="AA610" i="4"/>
  <c r="AB610" i="4"/>
  <c r="CD610" i="4"/>
  <c r="BZ610" i="4"/>
  <c r="X610" i="4"/>
  <c r="BO608" i="4"/>
  <c r="BG608" i="4"/>
  <c r="BP608" i="4" s="1"/>
  <c r="BQ608" i="4" s="1"/>
  <c r="AU609" i="4"/>
  <c r="BA609" i="4" s="1"/>
  <c r="BH609" i="4"/>
  <c r="BV609" i="4" s="1"/>
  <c r="BY609" i="4" s="1"/>
  <c r="BK609" i="4"/>
  <c r="BV608" i="4"/>
  <c r="BY608" i="4" s="1"/>
  <c r="BL608" i="4"/>
  <c r="S612" i="4"/>
  <c r="CG612" i="4"/>
  <c r="AQ611" i="4"/>
  <c r="AW611" i="4" s="1"/>
  <c r="BC610" i="4"/>
  <c r="W610" i="4"/>
  <c r="CK610" i="4"/>
  <c r="BI610" i="4"/>
  <c r="AL611" i="4"/>
  <c r="AR611" i="4" s="1"/>
  <c r="AX611" i="4" s="1"/>
  <c r="BD611" i="4" s="1"/>
  <c r="M612" i="4"/>
  <c r="AJ610" i="4" l="1"/>
  <c r="AP610" i="4" s="1"/>
  <c r="AV610" i="4" s="1"/>
  <c r="X611" i="4"/>
  <c r="BB610" i="4"/>
  <c r="AB611" i="4"/>
  <c r="AN610" i="4"/>
  <c r="AT610" i="4" s="1"/>
  <c r="AZ610" i="4" s="1"/>
  <c r="BF610" i="4" s="1"/>
  <c r="AA611" i="4"/>
  <c r="AM610" i="4"/>
  <c r="AS610" i="4" s="1"/>
  <c r="AY610" i="4" s="1"/>
  <c r="BE610" i="4" s="1"/>
  <c r="BL609" i="4"/>
  <c r="BM608" i="4"/>
  <c r="BN608" i="4" s="1"/>
  <c r="BI611" i="4"/>
  <c r="BS610" i="4"/>
  <c r="BO609" i="4"/>
  <c r="BG609" i="4"/>
  <c r="BP609" i="4" s="1"/>
  <c r="BQ609" i="4" s="1"/>
  <c r="CE610" i="4"/>
  <c r="AC610" i="4"/>
  <c r="BC611" i="4"/>
  <c r="T612" i="4"/>
  <c r="CH612" i="4"/>
  <c r="CA612" i="4"/>
  <c r="Y612" i="4"/>
  <c r="AM611" i="4" l="1"/>
  <c r="AS611" i="4" s="1"/>
  <c r="AY611" i="4" s="1"/>
  <c r="BE611" i="4"/>
  <c r="N612" i="4"/>
  <c r="O612" i="4"/>
  <c r="AN611" i="4"/>
  <c r="AT611" i="4" s="1"/>
  <c r="AZ611" i="4" s="1"/>
  <c r="BF611" i="4" s="1"/>
  <c r="K612" i="4"/>
  <c r="AJ611" i="4"/>
  <c r="AP611" i="4" s="1"/>
  <c r="AV611" i="4" s="1"/>
  <c r="BB611" i="4" s="1"/>
  <c r="AC611" i="4"/>
  <c r="AO610" i="4"/>
  <c r="BJ610" i="4"/>
  <c r="CB612" i="4"/>
  <c r="Z612" i="4"/>
  <c r="Y613" i="4"/>
  <c r="AK612" i="4"/>
  <c r="BS611" i="4"/>
  <c r="BM609" i="4"/>
  <c r="BN609" i="4" s="1"/>
  <c r="R612" i="4" l="1"/>
  <c r="CF612" i="4"/>
  <c r="V612" i="4"/>
  <c r="CJ612" i="4"/>
  <c r="U612" i="4"/>
  <c r="CI612" i="4"/>
  <c r="AQ612" i="4"/>
  <c r="AW612" i="4" s="1"/>
  <c r="AK613" i="4"/>
  <c r="L614" i="4"/>
  <c r="AU610" i="4"/>
  <c r="BA610" i="4" s="1"/>
  <c r="BH610" i="4"/>
  <c r="AL612" i="4"/>
  <c r="AR612" i="4" s="1"/>
  <c r="AX612" i="4" s="1"/>
  <c r="BD612" i="4" s="1"/>
  <c r="Z613" i="4"/>
  <c r="BK610" i="4"/>
  <c r="AO611" i="4"/>
  <c r="P612" i="4"/>
  <c r="BJ611" i="4"/>
  <c r="CC612" i="4" l="1"/>
  <c r="AA612" i="4"/>
  <c r="CD612" i="4"/>
  <c r="AB612" i="4"/>
  <c r="BZ612" i="4"/>
  <c r="X612" i="4"/>
  <c r="AQ613" i="4"/>
  <c r="AW613" i="4" s="1"/>
  <c r="W612" i="4"/>
  <c r="CK612" i="4"/>
  <c r="BI612" i="4"/>
  <c r="CG614" i="4"/>
  <c r="S614" i="4"/>
  <c r="BK611" i="4"/>
  <c r="AU611" i="4"/>
  <c r="BA611" i="4" s="1"/>
  <c r="BH611" i="4"/>
  <c r="BV611" i="4" s="1"/>
  <c r="BY611" i="4" s="1"/>
  <c r="BO610" i="4"/>
  <c r="BG610" i="4"/>
  <c r="BP610" i="4" s="1"/>
  <c r="BQ610" i="4" s="1"/>
  <c r="AL613" i="4"/>
  <c r="AR613" i="4" s="1"/>
  <c r="AX613" i="4" s="1"/>
  <c r="BD613" i="4" s="1"/>
  <c r="M614" i="4"/>
  <c r="BV610" i="4"/>
  <c r="BY610" i="4" s="1"/>
  <c r="BL610" i="4"/>
  <c r="BC612" i="4"/>
  <c r="AJ612" i="4" l="1"/>
  <c r="AP612" i="4" s="1"/>
  <c r="AV612" i="4" s="1"/>
  <c r="X613" i="4"/>
  <c r="BB612" i="4"/>
  <c r="AB613" i="4"/>
  <c r="AN612" i="4"/>
  <c r="AT612" i="4" s="1"/>
  <c r="AZ612" i="4" s="1"/>
  <c r="BF612" i="4" s="1"/>
  <c r="AA613" i="4"/>
  <c r="AM612" i="4"/>
  <c r="AS612" i="4" s="1"/>
  <c r="AY612" i="4" s="1"/>
  <c r="BE612" i="4" s="1"/>
  <c r="BI613" i="4"/>
  <c r="BS612" i="4"/>
  <c r="BL611" i="4"/>
  <c r="BM610" i="4"/>
  <c r="BN610" i="4" s="1"/>
  <c r="CE612" i="4"/>
  <c r="AC612" i="4"/>
  <c r="T614" i="4"/>
  <c r="CH614" i="4"/>
  <c r="BO611" i="4"/>
  <c r="BG611" i="4"/>
  <c r="BP611" i="4" s="1"/>
  <c r="BQ611" i="4" s="1"/>
  <c r="CA614" i="4"/>
  <c r="Y614" i="4"/>
  <c r="BC613" i="4"/>
  <c r="N614" i="4" l="1"/>
  <c r="AM613" i="4"/>
  <c r="AS613" i="4" s="1"/>
  <c r="AY613" i="4" s="1"/>
  <c r="BE613" i="4" s="1"/>
  <c r="O614" i="4"/>
  <c r="AN613" i="4"/>
  <c r="AT613" i="4" s="1"/>
  <c r="AZ613" i="4" s="1"/>
  <c r="BF613" i="4" s="1"/>
  <c r="K614" i="4"/>
  <c r="AJ613" i="4"/>
  <c r="AP613" i="4" s="1"/>
  <c r="AV613" i="4" s="1"/>
  <c r="BB613" i="4" s="1"/>
  <c r="AC613" i="4"/>
  <c r="AO612" i="4"/>
  <c r="BJ612" i="4"/>
  <c r="BM611" i="4"/>
  <c r="BN611" i="4" s="1"/>
  <c r="CB614" i="4"/>
  <c r="Z614" i="4"/>
  <c r="Y615" i="4"/>
  <c r="AK614" i="4"/>
  <c r="BS613" i="4"/>
  <c r="CF614" i="4" l="1"/>
  <c r="R614" i="4"/>
  <c r="CJ614" i="4"/>
  <c r="V614" i="4"/>
  <c r="U614" i="4"/>
  <c r="CI614" i="4"/>
  <c r="AK615" i="4"/>
  <c r="L616" i="4"/>
  <c r="BK612" i="4"/>
  <c r="Z615" i="4"/>
  <c r="AL614" i="4"/>
  <c r="AR614" i="4" s="1"/>
  <c r="AX614" i="4" s="1"/>
  <c r="BD614" i="4" s="1"/>
  <c r="AU612" i="4"/>
  <c r="BA612" i="4" s="1"/>
  <c r="BH612" i="4"/>
  <c r="AQ614" i="4"/>
  <c r="AW614" i="4" s="1"/>
  <c r="AO613" i="4"/>
  <c r="P614" i="4"/>
  <c r="BJ613" i="4"/>
  <c r="AA614" i="4" l="1"/>
  <c r="CC614" i="4"/>
  <c r="CD614" i="4"/>
  <c r="AB614" i="4"/>
  <c r="BZ614" i="4"/>
  <c r="X614" i="4"/>
  <c r="BC614" i="4"/>
  <c r="W614" i="4"/>
  <c r="CK614" i="4"/>
  <c r="BI614" i="4"/>
  <c r="BO612" i="4"/>
  <c r="BG612" i="4"/>
  <c r="BP612" i="4" s="1"/>
  <c r="BQ612" i="4" s="1"/>
  <c r="S616" i="4"/>
  <c r="CG616" i="4"/>
  <c r="BV612" i="4"/>
  <c r="BY612" i="4" s="1"/>
  <c r="BL612" i="4"/>
  <c r="BK613" i="4"/>
  <c r="AL615" i="4"/>
  <c r="AR615" i="4" s="1"/>
  <c r="AX615" i="4" s="1"/>
  <c r="BD615" i="4" s="1"/>
  <c r="M616" i="4"/>
  <c r="AU613" i="4"/>
  <c r="BA613" i="4" s="1"/>
  <c r="BH613" i="4"/>
  <c r="BV613" i="4" s="1"/>
  <c r="BY613" i="4" s="1"/>
  <c r="AQ615" i="4"/>
  <c r="AW615" i="4" s="1"/>
  <c r="AJ614" i="4" l="1"/>
  <c r="AP614" i="4" s="1"/>
  <c r="AV614" i="4" s="1"/>
  <c r="X615" i="4"/>
  <c r="BB614" i="4"/>
  <c r="AN614" i="4"/>
  <c r="AT614" i="4" s="1"/>
  <c r="AZ614" i="4" s="1"/>
  <c r="AB615" i="4"/>
  <c r="BF614" i="4"/>
  <c r="AM614" i="4"/>
  <c r="AS614" i="4" s="1"/>
  <c r="AY614" i="4" s="1"/>
  <c r="BE614" i="4" s="1"/>
  <c r="AA615" i="4"/>
  <c r="BC615" i="4"/>
  <c r="CA616" i="4"/>
  <c r="Y616" i="4"/>
  <c r="BL613" i="4"/>
  <c r="BM612" i="4"/>
  <c r="BN612" i="4" s="1"/>
  <c r="BO613" i="4"/>
  <c r="BG613" i="4"/>
  <c r="BP613" i="4" s="1"/>
  <c r="BQ613" i="4" s="1"/>
  <c r="T616" i="4"/>
  <c r="CH616" i="4"/>
  <c r="BI615" i="4"/>
  <c r="BS614" i="4"/>
  <c r="CE614" i="4"/>
  <c r="AC614" i="4"/>
  <c r="AM615" i="4" l="1"/>
  <c r="AS615" i="4" s="1"/>
  <c r="AY615" i="4" s="1"/>
  <c r="BE615" i="4" s="1"/>
  <c r="N616" i="4"/>
  <c r="AN615" i="4"/>
  <c r="AT615" i="4" s="1"/>
  <c r="AZ615" i="4" s="1"/>
  <c r="BF615" i="4" s="1"/>
  <c r="O616" i="4"/>
  <c r="K616" i="4"/>
  <c r="AJ615" i="4"/>
  <c r="AP615" i="4" s="1"/>
  <c r="AV615" i="4" s="1"/>
  <c r="BB615" i="4" s="1"/>
  <c r="BM613" i="4"/>
  <c r="BN613" i="4" s="1"/>
  <c r="BS615" i="4"/>
  <c r="CB616" i="4"/>
  <c r="Z616" i="4"/>
  <c r="AO614" i="4"/>
  <c r="AC615" i="4"/>
  <c r="BJ614" i="4"/>
  <c r="Y617" i="4"/>
  <c r="AK616" i="4"/>
  <c r="CJ616" i="4" l="1"/>
  <c r="V616" i="4"/>
  <c r="R616" i="4"/>
  <c r="CF616" i="4"/>
  <c r="U616" i="4"/>
  <c r="CI616" i="4"/>
  <c r="Z617" i="4"/>
  <c r="AL616" i="4"/>
  <c r="AR616" i="4" s="1"/>
  <c r="AX616" i="4" s="1"/>
  <c r="BD616" i="4" s="1"/>
  <c r="BK614" i="4"/>
  <c r="AQ616" i="4"/>
  <c r="AW616" i="4" s="1"/>
  <c r="AK617" i="4"/>
  <c r="L618" i="4"/>
  <c r="AO615" i="4"/>
  <c r="P616" i="4"/>
  <c r="BJ615" i="4"/>
  <c r="AU614" i="4"/>
  <c r="BA614" i="4" s="1"/>
  <c r="BH614" i="4"/>
  <c r="CC616" i="4" l="1"/>
  <c r="AA616" i="4"/>
  <c r="BZ616" i="4"/>
  <c r="X616" i="4"/>
  <c r="CD616" i="4"/>
  <c r="AB616" i="4"/>
  <c r="BC616" i="4"/>
  <c r="BK615" i="4"/>
  <c r="AU615" i="4"/>
  <c r="BA615" i="4" s="1"/>
  <c r="BH615" i="4"/>
  <c r="BV615" i="4" s="1"/>
  <c r="BY615" i="4" s="1"/>
  <c r="BO614" i="4"/>
  <c r="BG614" i="4"/>
  <c r="BP614" i="4" s="1"/>
  <c r="BQ614" i="4" s="1"/>
  <c r="W616" i="4"/>
  <c r="CK616" i="4"/>
  <c r="BI616" i="4"/>
  <c r="AQ617" i="4"/>
  <c r="AW617" i="4" s="1"/>
  <c r="BV614" i="4"/>
  <c r="BY614" i="4" s="1"/>
  <c r="BL614" i="4"/>
  <c r="S618" i="4"/>
  <c r="CG618" i="4"/>
  <c r="AL617" i="4"/>
  <c r="AR617" i="4" s="1"/>
  <c r="AX617" i="4" s="1"/>
  <c r="BD617" i="4" s="1"/>
  <c r="M618" i="4"/>
  <c r="AN616" i="4" l="1"/>
  <c r="AT616" i="4" s="1"/>
  <c r="AZ616" i="4" s="1"/>
  <c r="BF616" i="4" s="1"/>
  <c r="AB617" i="4"/>
  <c r="AJ616" i="4"/>
  <c r="AP616" i="4" s="1"/>
  <c r="AV616" i="4" s="1"/>
  <c r="X617" i="4"/>
  <c r="BB616" i="4"/>
  <c r="AM616" i="4"/>
  <c r="AS616" i="4" s="1"/>
  <c r="AY616" i="4" s="1"/>
  <c r="BE616" i="4" s="1"/>
  <c r="AA617" i="4"/>
  <c r="T618" i="4"/>
  <c r="CH618" i="4"/>
  <c r="CA618" i="4"/>
  <c r="Y618" i="4"/>
  <c r="BL615" i="4"/>
  <c r="BM614" i="4"/>
  <c r="BN614" i="4" s="1"/>
  <c r="CE616" i="4"/>
  <c r="AC616" i="4"/>
  <c r="BC617" i="4"/>
  <c r="BO615" i="4"/>
  <c r="BG615" i="4"/>
  <c r="BP615" i="4" s="1"/>
  <c r="BQ615" i="4" s="1"/>
  <c r="BI617" i="4"/>
  <c r="BS616" i="4"/>
  <c r="N618" i="4" l="1"/>
  <c r="AM617" i="4"/>
  <c r="AS617" i="4" s="1"/>
  <c r="AY617" i="4" s="1"/>
  <c r="BE617" i="4"/>
  <c r="K618" i="4"/>
  <c r="AJ617" i="4"/>
  <c r="AP617" i="4" s="1"/>
  <c r="AV617" i="4" s="1"/>
  <c r="BB617" i="4" s="1"/>
  <c r="O618" i="4"/>
  <c r="AN617" i="4"/>
  <c r="AT617" i="4" s="1"/>
  <c r="AZ617" i="4" s="1"/>
  <c r="BF617" i="4" s="1"/>
  <c r="AO616" i="4"/>
  <c r="AC617" i="4"/>
  <c r="BJ616" i="4"/>
  <c r="BM615" i="4"/>
  <c r="BN615" i="4" s="1"/>
  <c r="BS617" i="4"/>
  <c r="Y619" i="4"/>
  <c r="AK618" i="4"/>
  <c r="CB618" i="4"/>
  <c r="Z618" i="4"/>
  <c r="R618" i="4" l="1"/>
  <c r="CF618" i="4"/>
  <c r="V618" i="4"/>
  <c r="CJ618" i="4"/>
  <c r="CI618" i="4"/>
  <c r="U618" i="4"/>
  <c r="AQ618" i="4"/>
  <c r="AW618" i="4" s="1"/>
  <c r="BK616" i="4"/>
  <c r="AO617" i="4"/>
  <c r="P618" i="4"/>
  <c r="BJ617" i="4"/>
  <c r="AL618" i="4"/>
  <c r="AR618" i="4" s="1"/>
  <c r="AX618" i="4" s="1"/>
  <c r="BD618" i="4" s="1"/>
  <c r="Z619" i="4"/>
  <c r="AU616" i="4"/>
  <c r="BA616" i="4" s="1"/>
  <c r="BH616" i="4"/>
  <c r="AK619" i="4"/>
  <c r="L620" i="4"/>
  <c r="AA618" i="4" l="1"/>
  <c r="CC618" i="4"/>
  <c r="CD618" i="4"/>
  <c r="AB618" i="4"/>
  <c r="BZ618" i="4"/>
  <c r="X618" i="4"/>
  <c r="AQ619" i="4"/>
  <c r="AW619" i="4" s="1"/>
  <c r="BC618" i="4"/>
  <c r="BK617" i="4"/>
  <c r="BO616" i="4"/>
  <c r="BG616" i="4"/>
  <c r="BP616" i="4" s="1"/>
  <c r="BQ616" i="4" s="1"/>
  <c r="CK618" i="4"/>
  <c r="W618" i="4"/>
  <c r="BI618" i="4"/>
  <c r="AU617" i="4"/>
  <c r="BA617" i="4" s="1"/>
  <c r="BH617" i="4"/>
  <c r="BV617" i="4" s="1"/>
  <c r="BY617" i="4" s="1"/>
  <c r="S620" i="4"/>
  <c r="CG620" i="4"/>
  <c r="BV616" i="4"/>
  <c r="BY616" i="4" s="1"/>
  <c r="BL616" i="4"/>
  <c r="AL619" i="4"/>
  <c r="AR619" i="4" s="1"/>
  <c r="AX619" i="4" s="1"/>
  <c r="BD619" i="4" s="1"/>
  <c r="M620" i="4"/>
  <c r="AJ618" i="4" l="1"/>
  <c r="AP618" i="4" s="1"/>
  <c r="AV618" i="4" s="1"/>
  <c r="X619" i="4"/>
  <c r="BB618" i="4"/>
  <c r="AB619" i="4"/>
  <c r="AN618" i="4"/>
  <c r="AT618" i="4" s="1"/>
  <c r="AZ618" i="4" s="1"/>
  <c r="BF618" i="4" s="1"/>
  <c r="AM618" i="4"/>
  <c r="AS618" i="4" s="1"/>
  <c r="AY618" i="4" s="1"/>
  <c r="BE618" i="4" s="1"/>
  <c r="AA619" i="4"/>
  <c r="BI619" i="4"/>
  <c r="BS618" i="4"/>
  <c r="CE618" i="4"/>
  <c r="AC618" i="4"/>
  <c r="T620" i="4"/>
  <c r="CH620" i="4"/>
  <c r="BL617" i="4"/>
  <c r="BM616" i="4"/>
  <c r="BN616" i="4" s="1"/>
  <c r="BO617" i="4"/>
  <c r="BG617" i="4"/>
  <c r="BP617" i="4" s="1"/>
  <c r="BQ617" i="4" s="1"/>
  <c r="CA620" i="4"/>
  <c r="Y620" i="4"/>
  <c r="BC619" i="4"/>
  <c r="AM619" i="4" l="1"/>
  <c r="AS619" i="4" s="1"/>
  <c r="AY619" i="4" s="1"/>
  <c r="BE619" i="4"/>
  <c r="N620" i="4"/>
  <c r="AN619" i="4"/>
  <c r="AT619" i="4" s="1"/>
  <c r="AZ619" i="4" s="1"/>
  <c r="BF619" i="4" s="1"/>
  <c r="O620" i="4"/>
  <c r="K620" i="4"/>
  <c r="AJ619" i="4"/>
  <c r="AP619" i="4" s="1"/>
  <c r="AV619" i="4" s="1"/>
  <c r="BB619" i="4" s="1"/>
  <c r="BM617" i="4"/>
  <c r="BN617" i="4" s="1"/>
  <c r="AC619" i="4"/>
  <c r="AO618" i="4"/>
  <c r="BJ618" i="4"/>
  <c r="Y621" i="4"/>
  <c r="AK620" i="4"/>
  <c r="BS619" i="4"/>
  <c r="CB620" i="4"/>
  <c r="Z620" i="4"/>
  <c r="CF620" i="4" l="1"/>
  <c r="R620" i="4"/>
  <c r="CJ620" i="4"/>
  <c r="V620" i="4"/>
  <c r="CI620" i="4"/>
  <c r="U620" i="4"/>
  <c r="AQ620" i="4"/>
  <c r="AW620" i="4" s="1"/>
  <c r="AO619" i="4"/>
  <c r="P620" i="4"/>
  <c r="BJ619" i="4"/>
  <c r="BK618" i="4"/>
  <c r="Z621" i="4"/>
  <c r="AL620" i="4"/>
  <c r="AR620" i="4" s="1"/>
  <c r="AX620" i="4" s="1"/>
  <c r="BD620" i="4" s="1"/>
  <c r="AK621" i="4"/>
  <c r="L622" i="4"/>
  <c r="AU618" i="4"/>
  <c r="BA618" i="4" s="1"/>
  <c r="BH618" i="4"/>
  <c r="CC620" i="4" l="1"/>
  <c r="AA620" i="4"/>
  <c r="CD620" i="4"/>
  <c r="AB620" i="4"/>
  <c r="BZ620" i="4"/>
  <c r="X620" i="4"/>
  <c r="BO618" i="4"/>
  <c r="BG618" i="4"/>
  <c r="BP618" i="4" s="1"/>
  <c r="BQ618" i="4" s="1"/>
  <c r="BK619" i="4"/>
  <c r="AL621" i="4"/>
  <c r="AR621" i="4" s="1"/>
  <c r="AX621" i="4" s="1"/>
  <c r="BD621" i="4" s="1"/>
  <c r="M622" i="4"/>
  <c r="BV618" i="4"/>
  <c r="BY618" i="4" s="1"/>
  <c r="BL618" i="4"/>
  <c r="W620" i="4"/>
  <c r="CK620" i="4"/>
  <c r="BI620" i="4"/>
  <c r="AQ621" i="4"/>
  <c r="AW621" i="4" s="1"/>
  <c r="S622" i="4"/>
  <c r="CG622" i="4"/>
  <c r="AU619" i="4"/>
  <c r="BA619" i="4" s="1"/>
  <c r="BH619" i="4"/>
  <c r="BV619" i="4" s="1"/>
  <c r="BY619" i="4" s="1"/>
  <c r="BC620" i="4"/>
  <c r="AJ620" i="4" l="1"/>
  <c r="AP620" i="4" s="1"/>
  <c r="AV620" i="4" s="1"/>
  <c r="X621" i="4"/>
  <c r="BB620" i="4"/>
  <c r="AN620" i="4"/>
  <c r="AT620" i="4" s="1"/>
  <c r="AZ620" i="4" s="1"/>
  <c r="BF620" i="4" s="1"/>
  <c r="AB621" i="4"/>
  <c r="AM620" i="4"/>
  <c r="AS620" i="4" s="1"/>
  <c r="AY620" i="4" s="1"/>
  <c r="BE620" i="4" s="1"/>
  <c r="AA621" i="4"/>
  <c r="BL619" i="4"/>
  <c r="BM618" i="4"/>
  <c r="BN618" i="4" s="1"/>
  <c r="CE620" i="4"/>
  <c r="AC620" i="4"/>
  <c r="CA622" i="4"/>
  <c r="Y622" i="4"/>
  <c r="T622" i="4"/>
  <c r="CH622" i="4"/>
  <c r="BC621" i="4"/>
  <c r="BI621" i="4"/>
  <c r="BS620" i="4"/>
  <c r="BO619" i="4"/>
  <c r="BG619" i="4"/>
  <c r="BP619" i="4" s="1"/>
  <c r="BQ619" i="4" s="1"/>
  <c r="AM621" i="4" l="1"/>
  <c r="AS621" i="4" s="1"/>
  <c r="AY621" i="4" s="1"/>
  <c r="BE621" i="4" s="1"/>
  <c r="N622" i="4"/>
  <c r="AN621" i="4"/>
  <c r="AT621" i="4" s="1"/>
  <c r="AZ621" i="4" s="1"/>
  <c r="BF621" i="4" s="1"/>
  <c r="O622" i="4"/>
  <c r="K622" i="4"/>
  <c r="AJ621" i="4"/>
  <c r="AP621" i="4" s="1"/>
  <c r="AV621" i="4" s="1"/>
  <c r="BB621" i="4" s="1"/>
  <c r="BM619" i="4"/>
  <c r="BN619" i="4" s="1"/>
  <c r="BS621" i="4"/>
  <c r="Y623" i="4"/>
  <c r="AK622" i="4"/>
  <c r="AO620" i="4"/>
  <c r="AC621" i="4"/>
  <c r="BJ620" i="4"/>
  <c r="CB622" i="4"/>
  <c r="Z622" i="4"/>
  <c r="CJ622" i="4" l="1"/>
  <c r="V622" i="4"/>
  <c r="CI622" i="4"/>
  <c r="U622" i="4"/>
  <c r="CF622" i="4"/>
  <c r="R622" i="4"/>
  <c r="AO621" i="4"/>
  <c r="P622" i="4"/>
  <c r="BJ621" i="4"/>
  <c r="AL622" i="4"/>
  <c r="AR622" i="4" s="1"/>
  <c r="AX622" i="4" s="1"/>
  <c r="BD622" i="4" s="1"/>
  <c r="Z623" i="4"/>
  <c r="AK623" i="4"/>
  <c r="L624" i="4"/>
  <c r="BK620" i="4"/>
  <c r="AU620" i="4"/>
  <c r="BA620" i="4" s="1"/>
  <c r="BH620" i="4"/>
  <c r="AQ622" i="4"/>
  <c r="AW622" i="4" s="1"/>
  <c r="BZ622" i="4" l="1"/>
  <c r="X622" i="4"/>
  <c r="CC622" i="4"/>
  <c r="AA622" i="4"/>
  <c r="CD622" i="4"/>
  <c r="AB622" i="4"/>
  <c r="W622" i="4"/>
  <c r="CK622" i="4"/>
  <c r="BI622" i="4"/>
  <c r="AQ623" i="4"/>
  <c r="AW623" i="4" s="1"/>
  <c r="AL623" i="4"/>
  <c r="AR623" i="4" s="1"/>
  <c r="AX623" i="4" s="1"/>
  <c r="BD623" i="4" s="1"/>
  <c r="M624" i="4"/>
  <c r="BK621" i="4"/>
  <c r="BV620" i="4"/>
  <c r="BY620" i="4" s="1"/>
  <c r="BL620" i="4"/>
  <c r="S624" i="4"/>
  <c r="CG624" i="4"/>
  <c r="BO620" i="4"/>
  <c r="BG620" i="4"/>
  <c r="BP620" i="4" s="1"/>
  <c r="BQ620" i="4" s="1"/>
  <c r="BC622" i="4"/>
  <c r="AU621" i="4"/>
  <c r="BA621" i="4" s="1"/>
  <c r="BH621" i="4"/>
  <c r="BV621" i="4" s="1"/>
  <c r="BY621" i="4" s="1"/>
  <c r="AN622" i="4" l="1"/>
  <c r="AT622" i="4" s="1"/>
  <c r="AZ622" i="4" s="1"/>
  <c r="BF622" i="4" s="1"/>
  <c r="AB623" i="4"/>
  <c r="AA623" i="4"/>
  <c r="AM622" i="4"/>
  <c r="AS622" i="4" s="1"/>
  <c r="AY622" i="4" s="1"/>
  <c r="BE622" i="4" s="1"/>
  <c r="AJ622" i="4"/>
  <c r="AP622" i="4" s="1"/>
  <c r="AV622" i="4" s="1"/>
  <c r="BB622" i="4" s="1"/>
  <c r="X623" i="4"/>
  <c r="BC623" i="4"/>
  <c r="CA624" i="4"/>
  <c r="Y624" i="4"/>
  <c r="BL621" i="4"/>
  <c r="BM620" i="4"/>
  <c r="BN620" i="4" s="1"/>
  <c r="BO621" i="4"/>
  <c r="BG621" i="4"/>
  <c r="BP621" i="4" s="1"/>
  <c r="BQ621" i="4" s="1"/>
  <c r="T624" i="4"/>
  <c r="CH624" i="4"/>
  <c r="BI623" i="4"/>
  <c r="BS622" i="4"/>
  <c r="CE622" i="4"/>
  <c r="AC622" i="4"/>
  <c r="AJ623" i="4" l="1"/>
  <c r="AP623" i="4" s="1"/>
  <c r="AV623" i="4" s="1"/>
  <c r="K624" i="4"/>
  <c r="BB623" i="4"/>
  <c r="AM623" i="4"/>
  <c r="AS623" i="4" s="1"/>
  <c r="AY623" i="4" s="1"/>
  <c r="BE623" i="4" s="1"/>
  <c r="N624" i="4"/>
  <c r="AN623" i="4"/>
  <c r="AT623" i="4" s="1"/>
  <c r="AZ623" i="4" s="1"/>
  <c r="BF623" i="4" s="1"/>
  <c r="O624" i="4"/>
  <c r="BS623" i="4"/>
  <c r="AC623" i="4"/>
  <c r="AO622" i="4"/>
  <c r="BJ622" i="4"/>
  <c r="Y625" i="4"/>
  <c r="AK624" i="4"/>
  <c r="CB624" i="4"/>
  <c r="Z624" i="4"/>
  <c r="BM621" i="4"/>
  <c r="BN621" i="4" s="1"/>
  <c r="CJ624" i="4" l="1"/>
  <c r="V624" i="4"/>
  <c r="U624" i="4"/>
  <c r="CI624" i="4"/>
  <c r="CF624" i="4"/>
  <c r="R624" i="4"/>
  <c r="AK625" i="4"/>
  <c r="L626" i="4"/>
  <c r="BK622" i="4"/>
  <c r="AU622" i="4"/>
  <c r="BA622" i="4" s="1"/>
  <c r="BH622" i="4"/>
  <c r="AQ624" i="4"/>
  <c r="AW624" i="4" s="1"/>
  <c r="AO623" i="4"/>
  <c r="P624" i="4"/>
  <c r="BJ623" i="4"/>
  <c r="Z625" i="4"/>
  <c r="AL624" i="4"/>
  <c r="AR624" i="4" s="1"/>
  <c r="AX624" i="4" s="1"/>
  <c r="BD624" i="4" s="1"/>
  <c r="BZ624" i="4" l="1"/>
  <c r="X624" i="4"/>
  <c r="CC624" i="4"/>
  <c r="AA624" i="4"/>
  <c r="CD624" i="4"/>
  <c r="AB624" i="4"/>
  <c r="BK623" i="4"/>
  <c r="S626" i="4"/>
  <c r="CG626" i="4"/>
  <c r="AL625" i="4"/>
  <c r="AR625" i="4" s="1"/>
  <c r="AX625" i="4" s="1"/>
  <c r="BD625" i="4" s="1"/>
  <c r="M626" i="4"/>
  <c r="BO622" i="4"/>
  <c r="BG622" i="4"/>
  <c r="BP622" i="4" s="1"/>
  <c r="BQ622" i="4" s="1"/>
  <c r="W624" i="4"/>
  <c r="CK624" i="4"/>
  <c r="BI624" i="4"/>
  <c r="AU623" i="4"/>
  <c r="BA623" i="4" s="1"/>
  <c r="BH623" i="4"/>
  <c r="BV623" i="4" s="1"/>
  <c r="BY623" i="4" s="1"/>
  <c r="BC624" i="4"/>
  <c r="BV622" i="4"/>
  <c r="BY622" i="4" s="1"/>
  <c r="BL622" i="4"/>
  <c r="AQ625" i="4"/>
  <c r="AW625" i="4" s="1"/>
  <c r="AN624" i="4" l="1"/>
  <c r="AT624" i="4" s="1"/>
  <c r="AZ624" i="4" s="1"/>
  <c r="BF624" i="4" s="1"/>
  <c r="AB625" i="4"/>
  <c r="AM624" i="4"/>
  <c r="AS624" i="4" s="1"/>
  <c r="AY624" i="4" s="1"/>
  <c r="BE624" i="4" s="1"/>
  <c r="AA625" i="4"/>
  <c r="AJ624" i="4"/>
  <c r="AP624" i="4" s="1"/>
  <c r="AV624" i="4" s="1"/>
  <c r="BB624" i="4" s="1"/>
  <c r="X625" i="4"/>
  <c r="T626" i="4"/>
  <c r="CH626" i="4"/>
  <c r="BC625" i="4"/>
  <c r="BL623" i="4"/>
  <c r="BM622" i="4"/>
  <c r="BN622" i="4" s="1"/>
  <c r="BO623" i="4"/>
  <c r="BG623" i="4"/>
  <c r="BP623" i="4" s="1"/>
  <c r="BQ623" i="4" s="1"/>
  <c r="CA626" i="4"/>
  <c r="Y626" i="4"/>
  <c r="CE624" i="4"/>
  <c r="AC624" i="4"/>
  <c r="BI625" i="4"/>
  <c r="BS624" i="4"/>
  <c r="K626" i="4" l="1"/>
  <c r="AJ625" i="4"/>
  <c r="AP625" i="4" s="1"/>
  <c r="AV625" i="4" s="1"/>
  <c r="BB625" i="4"/>
  <c r="AM625" i="4"/>
  <c r="AS625" i="4" s="1"/>
  <c r="AY625" i="4" s="1"/>
  <c r="BE625" i="4" s="1"/>
  <c r="N626" i="4"/>
  <c r="O626" i="4"/>
  <c r="AN625" i="4"/>
  <c r="AT625" i="4" s="1"/>
  <c r="AZ625" i="4" s="1"/>
  <c r="BF625" i="4" s="1"/>
  <c r="Y627" i="4"/>
  <c r="AK626" i="4"/>
  <c r="BM623" i="4"/>
  <c r="BN623" i="4" s="1"/>
  <c r="BS625" i="4"/>
  <c r="CB626" i="4"/>
  <c r="Z626" i="4"/>
  <c r="AC625" i="4"/>
  <c r="AO624" i="4"/>
  <c r="BJ624" i="4"/>
  <c r="V626" i="4" l="1"/>
  <c r="CJ626" i="4"/>
  <c r="U626" i="4"/>
  <c r="CI626" i="4"/>
  <c r="R626" i="4"/>
  <c r="CF626" i="4"/>
  <c r="AL626" i="4"/>
  <c r="AR626" i="4" s="1"/>
  <c r="AX626" i="4" s="1"/>
  <c r="BD626" i="4" s="1"/>
  <c r="Z627" i="4"/>
  <c r="BK624" i="4"/>
  <c r="AO625" i="4"/>
  <c r="P626" i="4"/>
  <c r="BJ625" i="4"/>
  <c r="AK627" i="4"/>
  <c r="L628" i="4"/>
  <c r="AQ626" i="4"/>
  <c r="AW626" i="4" s="1"/>
  <c r="AU624" i="4"/>
  <c r="BA624" i="4" s="1"/>
  <c r="BH624" i="4"/>
  <c r="BZ626" i="4" l="1"/>
  <c r="X626" i="4"/>
  <c r="AA626" i="4"/>
  <c r="CC626" i="4"/>
  <c r="AB626" i="4"/>
  <c r="CD626" i="4"/>
  <c r="AQ627" i="4"/>
  <c r="AW627" i="4" s="1"/>
  <c r="CK626" i="4"/>
  <c r="W626" i="4"/>
  <c r="BI626" i="4"/>
  <c r="BV624" i="4"/>
  <c r="BY624" i="4" s="1"/>
  <c r="BL624" i="4"/>
  <c r="S628" i="4"/>
  <c r="CG628" i="4"/>
  <c r="BK625" i="4"/>
  <c r="AL627" i="4"/>
  <c r="AR627" i="4" s="1"/>
  <c r="AX627" i="4" s="1"/>
  <c r="BD627" i="4" s="1"/>
  <c r="M628" i="4"/>
  <c r="BO624" i="4"/>
  <c r="BG624" i="4"/>
  <c r="BP624" i="4" s="1"/>
  <c r="BQ624" i="4" s="1"/>
  <c r="AU625" i="4"/>
  <c r="BA625" i="4" s="1"/>
  <c r="BH625" i="4"/>
  <c r="BV625" i="4" s="1"/>
  <c r="BY625" i="4" s="1"/>
  <c r="BC626" i="4"/>
  <c r="AN626" i="4" l="1"/>
  <c r="AT626" i="4" s="1"/>
  <c r="AZ626" i="4" s="1"/>
  <c r="BF626" i="4" s="1"/>
  <c r="AB627" i="4"/>
  <c r="AA627" i="4"/>
  <c r="AM626" i="4"/>
  <c r="AS626" i="4" s="1"/>
  <c r="AY626" i="4" s="1"/>
  <c r="BE626" i="4" s="1"/>
  <c r="AJ626" i="4"/>
  <c r="AP626" i="4" s="1"/>
  <c r="AV626" i="4" s="1"/>
  <c r="BB626" i="4" s="1"/>
  <c r="X627" i="4"/>
  <c r="CE626" i="4"/>
  <c r="AC626" i="4"/>
  <c r="T628" i="4"/>
  <c r="CH628" i="4"/>
  <c r="CA628" i="4"/>
  <c r="Y628" i="4"/>
  <c r="BL625" i="4"/>
  <c r="BM624" i="4"/>
  <c r="BN624" i="4" s="1"/>
  <c r="BI627" i="4"/>
  <c r="BS626" i="4"/>
  <c r="BO625" i="4"/>
  <c r="BG625" i="4"/>
  <c r="BP625" i="4" s="1"/>
  <c r="BQ625" i="4" s="1"/>
  <c r="BC627" i="4"/>
  <c r="AJ627" i="4" l="1"/>
  <c r="AP627" i="4" s="1"/>
  <c r="AV627" i="4" s="1"/>
  <c r="K628" i="4"/>
  <c r="BB627" i="4"/>
  <c r="AM627" i="4"/>
  <c r="AS627" i="4" s="1"/>
  <c r="AY627" i="4" s="1"/>
  <c r="BE627" i="4" s="1"/>
  <c r="N628" i="4"/>
  <c r="O628" i="4"/>
  <c r="AN627" i="4"/>
  <c r="AT627" i="4" s="1"/>
  <c r="AZ627" i="4" s="1"/>
  <c r="BF627" i="4" s="1"/>
  <c r="BS627" i="4"/>
  <c r="BM625" i="4"/>
  <c r="BN625" i="4" s="1"/>
  <c r="Y629" i="4"/>
  <c r="AK628" i="4"/>
  <c r="AC627" i="4"/>
  <c r="AO626" i="4"/>
  <c r="BJ626" i="4"/>
  <c r="CB628" i="4"/>
  <c r="Z628" i="4"/>
  <c r="V628" i="4" l="1"/>
  <c r="CJ628" i="4"/>
  <c r="U628" i="4"/>
  <c r="CI628" i="4"/>
  <c r="R628" i="4"/>
  <c r="CF628" i="4"/>
  <c r="AU626" i="4"/>
  <c r="BA626" i="4" s="1"/>
  <c r="BH626" i="4"/>
  <c r="AQ628" i="4"/>
  <c r="AW628" i="4" s="1"/>
  <c r="AK629" i="4"/>
  <c r="L630" i="4"/>
  <c r="BK626" i="4"/>
  <c r="AO627" i="4"/>
  <c r="P628" i="4"/>
  <c r="BJ627" i="4"/>
  <c r="Z629" i="4"/>
  <c r="AL628" i="4"/>
  <c r="AR628" i="4" s="1"/>
  <c r="AX628" i="4" s="1"/>
  <c r="BD628" i="4" s="1"/>
  <c r="BZ628" i="4" l="1"/>
  <c r="X628" i="4"/>
  <c r="CC628" i="4"/>
  <c r="AA628" i="4"/>
  <c r="AB628" i="4"/>
  <c r="CD628" i="4"/>
  <c r="BC628" i="4"/>
  <c r="W628" i="4"/>
  <c r="CK628" i="4"/>
  <c r="BI628" i="4"/>
  <c r="S630" i="4"/>
  <c r="CG630" i="4"/>
  <c r="BV626" i="4"/>
  <c r="BY626" i="4" s="1"/>
  <c r="BL626" i="4"/>
  <c r="AQ629" i="4"/>
  <c r="AW629" i="4" s="1"/>
  <c r="AL629" i="4"/>
  <c r="AR629" i="4" s="1"/>
  <c r="AX629" i="4" s="1"/>
  <c r="BD629" i="4" s="1"/>
  <c r="M630" i="4"/>
  <c r="BK627" i="4"/>
  <c r="AU627" i="4"/>
  <c r="BA627" i="4" s="1"/>
  <c r="BH627" i="4"/>
  <c r="BV627" i="4" s="1"/>
  <c r="BY627" i="4" s="1"/>
  <c r="BO626" i="4"/>
  <c r="BG626" i="4"/>
  <c r="BP626" i="4" s="1"/>
  <c r="BQ626" i="4" s="1"/>
  <c r="AB629" i="4" l="1"/>
  <c r="AN628" i="4"/>
  <c r="AT628" i="4" s="1"/>
  <c r="AZ628" i="4" s="1"/>
  <c r="BF628" i="4" s="1"/>
  <c r="AM628" i="4"/>
  <c r="AS628" i="4" s="1"/>
  <c r="AY628" i="4" s="1"/>
  <c r="BE628" i="4" s="1"/>
  <c r="AA629" i="4"/>
  <c r="X629" i="4"/>
  <c r="AJ628" i="4"/>
  <c r="AP628" i="4" s="1"/>
  <c r="AV628" i="4" s="1"/>
  <c r="BB628" i="4" s="1"/>
  <c r="T630" i="4"/>
  <c r="CH630" i="4"/>
  <c r="BO627" i="4"/>
  <c r="BG627" i="4"/>
  <c r="BP627" i="4" s="1"/>
  <c r="BQ627" i="4" s="1"/>
  <c r="BI629" i="4"/>
  <c r="BS628" i="4"/>
  <c r="CA630" i="4"/>
  <c r="Y630" i="4"/>
  <c r="CE628" i="4"/>
  <c r="AC628" i="4"/>
  <c r="BC629" i="4"/>
  <c r="BL627" i="4"/>
  <c r="BM626" i="4"/>
  <c r="BN626" i="4" s="1"/>
  <c r="K630" i="4" l="1"/>
  <c r="AJ629" i="4"/>
  <c r="AP629" i="4" s="1"/>
  <c r="AV629" i="4" s="1"/>
  <c r="BB629" i="4"/>
  <c r="AM629" i="4"/>
  <c r="AS629" i="4" s="1"/>
  <c r="AY629" i="4" s="1"/>
  <c r="BE629" i="4" s="1"/>
  <c r="N630" i="4"/>
  <c r="AN629" i="4"/>
  <c r="AT629" i="4" s="1"/>
  <c r="AZ629" i="4" s="1"/>
  <c r="BF629" i="4" s="1"/>
  <c r="O630" i="4"/>
  <c r="BM627" i="4"/>
  <c r="BN627" i="4" s="1"/>
  <c r="AC629" i="4"/>
  <c r="AO628" i="4"/>
  <c r="BJ628" i="4"/>
  <c r="BS629" i="4"/>
  <c r="Y631" i="4"/>
  <c r="AK630" i="4"/>
  <c r="CB630" i="4"/>
  <c r="Z630" i="4"/>
  <c r="U630" i="4" l="1"/>
  <c r="CI630" i="4"/>
  <c r="CJ630" i="4"/>
  <c r="V630" i="4"/>
  <c r="CF630" i="4"/>
  <c r="R630" i="4"/>
  <c r="BK628" i="4"/>
  <c r="Z631" i="4"/>
  <c r="AL630" i="4"/>
  <c r="AR630" i="4" s="1"/>
  <c r="AX630" i="4" s="1"/>
  <c r="BD630" i="4" s="1"/>
  <c r="AO629" i="4"/>
  <c r="P630" i="4"/>
  <c r="BJ629" i="4"/>
  <c r="AQ630" i="4"/>
  <c r="AW630" i="4" s="1"/>
  <c r="AK631" i="4"/>
  <c r="L632" i="4"/>
  <c r="AU628" i="4"/>
  <c r="BA628" i="4" s="1"/>
  <c r="BH628" i="4"/>
  <c r="BZ630" i="4" l="1"/>
  <c r="X630" i="4"/>
  <c r="CD630" i="4"/>
  <c r="AB630" i="4"/>
  <c r="CC630" i="4"/>
  <c r="AA630" i="4"/>
  <c r="BO628" i="4"/>
  <c r="BG628" i="4"/>
  <c r="BP628" i="4" s="1"/>
  <c r="BQ628" i="4" s="1"/>
  <c r="AU629" i="4"/>
  <c r="BA629" i="4" s="1"/>
  <c r="BH629" i="4"/>
  <c r="BV629" i="4" s="1"/>
  <c r="BY629" i="4" s="1"/>
  <c r="S632" i="4"/>
  <c r="CG632" i="4"/>
  <c r="BC630" i="4"/>
  <c r="W630" i="4"/>
  <c r="CK630" i="4"/>
  <c r="BI630" i="4"/>
  <c r="BV628" i="4"/>
  <c r="BY628" i="4" s="1"/>
  <c r="BL628" i="4"/>
  <c r="AQ631" i="4"/>
  <c r="AW631" i="4" s="1"/>
  <c r="BK629" i="4"/>
  <c r="AL631" i="4"/>
  <c r="AR631" i="4" s="1"/>
  <c r="AX631" i="4" s="1"/>
  <c r="BD631" i="4" s="1"/>
  <c r="M632" i="4"/>
  <c r="AM630" i="4" l="1"/>
  <c r="AS630" i="4" s="1"/>
  <c r="AY630" i="4" s="1"/>
  <c r="BE630" i="4" s="1"/>
  <c r="AA631" i="4"/>
  <c r="AN630" i="4"/>
  <c r="AT630" i="4" s="1"/>
  <c r="AZ630" i="4" s="1"/>
  <c r="BF630" i="4" s="1"/>
  <c r="AB631" i="4"/>
  <c r="X631" i="4"/>
  <c r="AJ630" i="4"/>
  <c r="AP630" i="4" s="1"/>
  <c r="AV630" i="4" s="1"/>
  <c r="BB630" i="4" s="1"/>
  <c r="CA632" i="4"/>
  <c r="Y632" i="4"/>
  <c r="BO629" i="4"/>
  <c r="BG629" i="4"/>
  <c r="BP629" i="4" s="1"/>
  <c r="BQ629" i="4" s="1"/>
  <c r="BI631" i="4"/>
  <c r="BS630" i="4"/>
  <c r="CE630" i="4"/>
  <c r="AC630" i="4"/>
  <c r="CH632" i="4"/>
  <c r="T632" i="4"/>
  <c r="BC631" i="4"/>
  <c r="BL629" i="4"/>
  <c r="BM628" i="4"/>
  <c r="BN628" i="4" s="1"/>
  <c r="O632" i="4" l="1"/>
  <c r="AN631" i="4"/>
  <c r="AT631" i="4" s="1"/>
  <c r="AZ631" i="4" s="1"/>
  <c r="BF631" i="4" s="1"/>
  <c r="AJ631" i="4"/>
  <c r="AP631" i="4" s="1"/>
  <c r="AV631" i="4" s="1"/>
  <c r="BB631" i="4" s="1"/>
  <c r="K632" i="4"/>
  <c r="AM631" i="4"/>
  <c r="AS631" i="4" s="1"/>
  <c r="AY631" i="4" s="1"/>
  <c r="BE631" i="4" s="1"/>
  <c r="N632" i="4"/>
  <c r="AC631" i="4"/>
  <c r="AO630" i="4"/>
  <c r="BJ630" i="4"/>
  <c r="BS631" i="4"/>
  <c r="BM629" i="4"/>
  <c r="BN629" i="4" s="1"/>
  <c r="CB632" i="4"/>
  <c r="Z632" i="4"/>
  <c r="Y633" i="4"/>
  <c r="AK632" i="4"/>
  <c r="CI632" i="4" l="1"/>
  <c r="U632" i="4"/>
  <c r="CF632" i="4"/>
  <c r="R632" i="4"/>
  <c r="V632" i="4"/>
  <c r="CJ632" i="4"/>
  <c r="Z633" i="4"/>
  <c r="AL632" i="4"/>
  <c r="AR632" i="4" s="1"/>
  <c r="AX632" i="4" s="1"/>
  <c r="BD632" i="4" s="1"/>
  <c r="AU630" i="4"/>
  <c r="BA630" i="4" s="1"/>
  <c r="BH630" i="4"/>
  <c r="BK630" i="4"/>
  <c r="AQ632" i="4"/>
  <c r="AW632" i="4" s="1"/>
  <c r="AK633" i="4"/>
  <c r="L634" i="4"/>
  <c r="AO631" i="4"/>
  <c r="P632" i="4"/>
  <c r="BJ631" i="4"/>
  <c r="AB632" i="4" l="1"/>
  <c r="CD632" i="4"/>
  <c r="BZ632" i="4"/>
  <c r="X632" i="4"/>
  <c r="AA632" i="4"/>
  <c r="CC632" i="4"/>
  <c r="BO630" i="4"/>
  <c r="BG630" i="4"/>
  <c r="BP630" i="4" s="1"/>
  <c r="BQ630" i="4" s="1"/>
  <c r="BK631" i="4"/>
  <c r="AU631" i="4"/>
  <c r="BA631" i="4" s="1"/>
  <c r="BH631" i="4"/>
  <c r="BV631" i="4" s="1"/>
  <c r="BY631" i="4" s="1"/>
  <c r="S634" i="4"/>
  <c r="CG634" i="4"/>
  <c r="AQ633" i="4"/>
  <c r="AW633" i="4" s="1"/>
  <c r="W632" i="4"/>
  <c r="CK632" i="4"/>
  <c r="BI632" i="4"/>
  <c r="BV630" i="4"/>
  <c r="BY630" i="4" s="1"/>
  <c r="BL630" i="4"/>
  <c r="BC632" i="4"/>
  <c r="AL633" i="4"/>
  <c r="AR633" i="4" s="1"/>
  <c r="AX633" i="4" s="1"/>
  <c r="BD633" i="4" s="1"/>
  <c r="M634" i="4"/>
  <c r="AA633" i="4" l="1"/>
  <c r="AM632" i="4"/>
  <c r="AS632" i="4" s="1"/>
  <c r="AY632" i="4" s="1"/>
  <c r="BE632" i="4" s="1"/>
  <c r="X633" i="4"/>
  <c r="AJ632" i="4"/>
  <c r="AP632" i="4" s="1"/>
  <c r="AV632" i="4" s="1"/>
  <c r="BB632" i="4"/>
  <c r="AN632" i="4"/>
  <c r="AT632" i="4" s="1"/>
  <c r="AZ632" i="4" s="1"/>
  <c r="BF632" i="4" s="1"/>
  <c r="AB633" i="4"/>
  <c r="BI633" i="4"/>
  <c r="BS632" i="4"/>
  <c r="BC633" i="4"/>
  <c r="BL631" i="4"/>
  <c r="BM630" i="4"/>
  <c r="BN630" i="4" s="1"/>
  <c r="BO631" i="4"/>
  <c r="BG631" i="4"/>
  <c r="BP631" i="4" s="1"/>
  <c r="BQ631" i="4" s="1"/>
  <c r="CE632" i="4"/>
  <c r="AC632" i="4"/>
  <c r="CA634" i="4"/>
  <c r="Y634" i="4"/>
  <c r="T634" i="4"/>
  <c r="CH634" i="4"/>
  <c r="AN633" i="4" l="1"/>
  <c r="AT633" i="4" s="1"/>
  <c r="AZ633" i="4" s="1"/>
  <c r="BF633" i="4"/>
  <c r="O634" i="4"/>
  <c r="K634" i="4"/>
  <c r="AJ633" i="4"/>
  <c r="AP633" i="4" s="1"/>
  <c r="AV633" i="4" s="1"/>
  <c r="BB633" i="4" s="1"/>
  <c r="AM633" i="4"/>
  <c r="AS633" i="4" s="1"/>
  <c r="AY633" i="4" s="1"/>
  <c r="BE633" i="4" s="1"/>
  <c r="N634" i="4"/>
  <c r="BS633" i="4"/>
  <c r="CB634" i="4"/>
  <c r="Z634" i="4"/>
  <c r="Y635" i="4"/>
  <c r="AK634" i="4"/>
  <c r="BM631" i="4"/>
  <c r="BN631" i="4" s="1"/>
  <c r="AC633" i="4"/>
  <c r="AO632" i="4"/>
  <c r="BJ632" i="4"/>
  <c r="U634" i="4" l="1"/>
  <c r="CI634" i="4"/>
  <c r="CF634" i="4"/>
  <c r="R634" i="4"/>
  <c r="V634" i="4"/>
  <c r="CJ634" i="4"/>
  <c r="AU632" i="4"/>
  <c r="BA632" i="4" s="1"/>
  <c r="BH632" i="4"/>
  <c r="AQ634" i="4"/>
  <c r="AW634" i="4" s="1"/>
  <c r="AL634" i="4"/>
  <c r="AR634" i="4" s="1"/>
  <c r="AX634" i="4" s="1"/>
  <c r="BD634" i="4" s="1"/>
  <c r="Z635" i="4"/>
  <c r="AO633" i="4"/>
  <c r="P634" i="4"/>
  <c r="BJ633" i="4"/>
  <c r="AK635" i="4"/>
  <c r="L636" i="4"/>
  <c r="BK632" i="4"/>
  <c r="CD634" i="4" l="1"/>
  <c r="AB634" i="4"/>
  <c r="BZ634" i="4"/>
  <c r="X634" i="4"/>
  <c r="CC634" i="4"/>
  <c r="AA634" i="4"/>
  <c r="CK634" i="4"/>
  <c r="W634" i="4"/>
  <c r="BI634" i="4"/>
  <c r="S636" i="4"/>
  <c r="CG636" i="4"/>
  <c r="AQ635" i="4"/>
  <c r="AW635" i="4" s="1"/>
  <c r="BK633" i="4"/>
  <c r="BV632" i="4"/>
  <c r="BY632" i="4" s="1"/>
  <c r="BL632" i="4"/>
  <c r="AU633" i="4"/>
  <c r="BA633" i="4" s="1"/>
  <c r="BH633" i="4"/>
  <c r="BV633" i="4" s="1"/>
  <c r="BY633" i="4" s="1"/>
  <c r="AL635" i="4"/>
  <c r="AR635" i="4" s="1"/>
  <c r="AX635" i="4" s="1"/>
  <c r="BD635" i="4" s="1"/>
  <c r="M636" i="4"/>
  <c r="BC634" i="4"/>
  <c r="BO632" i="4"/>
  <c r="BG632" i="4"/>
  <c r="BP632" i="4" s="1"/>
  <c r="BQ632" i="4" s="1"/>
  <c r="AM634" i="4" l="1"/>
  <c r="AS634" i="4" s="1"/>
  <c r="AY634" i="4" s="1"/>
  <c r="BE634" i="4" s="1"/>
  <c r="AA635" i="4"/>
  <c r="X635" i="4"/>
  <c r="AJ634" i="4"/>
  <c r="AP634" i="4" s="1"/>
  <c r="AV634" i="4" s="1"/>
  <c r="BB634" i="4" s="1"/>
  <c r="AB635" i="4"/>
  <c r="AN634" i="4"/>
  <c r="AT634" i="4" s="1"/>
  <c r="AZ634" i="4" s="1"/>
  <c r="BF634" i="4" s="1"/>
  <c r="BC635" i="4"/>
  <c r="CA636" i="4"/>
  <c r="Y636" i="4"/>
  <c r="CE634" i="4"/>
  <c r="AC634" i="4"/>
  <c r="BO633" i="4"/>
  <c r="BG633" i="4"/>
  <c r="BP633" i="4" s="1"/>
  <c r="BQ633" i="4" s="1"/>
  <c r="BL633" i="4"/>
  <c r="BM632" i="4"/>
  <c r="BN632" i="4" s="1"/>
  <c r="BI635" i="4"/>
  <c r="BS634" i="4"/>
  <c r="T636" i="4"/>
  <c r="CH636" i="4"/>
  <c r="AN635" i="4" l="1"/>
  <c r="AT635" i="4" s="1"/>
  <c r="AZ635" i="4" s="1"/>
  <c r="BF635" i="4" s="1"/>
  <c r="O636" i="4"/>
  <c r="K636" i="4"/>
  <c r="AJ635" i="4"/>
  <c r="AP635" i="4" s="1"/>
  <c r="AV635" i="4" s="1"/>
  <c r="BB635" i="4" s="1"/>
  <c r="N636" i="4"/>
  <c r="AM635" i="4"/>
  <c r="AS635" i="4" s="1"/>
  <c r="AY635" i="4" s="1"/>
  <c r="BE635" i="4" s="1"/>
  <c r="CB636" i="4"/>
  <c r="Z636" i="4"/>
  <c r="AK636" i="4"/>
  <c r="Y637" i="4"/>
  <c r="AC635" i="4"/>
  <c r="AO634" i="4"/>
  <c r="BJ634" i="4"/>
  <c r="BS635" i="4"/>
  <c r="BM633" i="4"/>
  <c r="BN633" i="4" s="1"/>
  <c r="U636" i="4" l="1"/>
  <c r="CI636" i="4"/>
  <c r="R636" i="4"/>
  <c r="CF636" i="4"/>
  <c r="CJ636" i="4"/>
  <c r="V636" i="4"/>
  <c r="AK637" i="4"/>
  <c r="L638" i="4"/>
  <c r="AQ636" i="4"/>
  <c r="AW636" i="4" s="1"/>
  <c r="Z637" i="4"/>
  <c r="AL636" i="4"/>
  <c r="AR636" i="4" s="1"/>
  <c r="AX636" i="4" s="1"/>
  <c r="BD636" i="4" s="1"/>
  <c r="BK634" i="4"/>
  <c r="AU634" i="4"/>
  <c r="BA634" i="4" s="1"/>
  <c r="BH634" i="4"/>
  <c r="AO635" i="4"/>
  <c r="P636" i="4"/>
  <c r="BJ635" i="4"/>
  <c r="CD636" i="4" l="1"/>
  <c r="AB636" i="4"/>
  <c r="BZ636" i="4"/>
  <c r="X636" i="4"/>
  <c r="AA636" i="4"/>
  <c r="CC636" i="4"/>
  <c r="W636" i="4"/>
  <c r="CK636" i="4"/>
  <c r="BI636" i="4"/>
  <c r="BV634" i="4"/>
  <c r="BY634" i="4" s="1"/>
  <c r="BL634" i="4"/>
  <c r="AU635" i="4"/>
  <c r="BA635" i="4" s="1"/>
  <c r="BH635" i="4"/>
  <c r="BV635" i="4" s="1"/>
  <c r="BY635" i="4" s="1"/>
  <c r="BO634" i="4"/>
  <c r="BG634" i="4"/>
  <c r="BP634" i="4" s="1"/>
  <c r="BQ634" i="4" s="1"/>
  <c r="S638" i="4"/>
  <c r="CG638" i="4"/>
  <c r="BK635" i="4"/>
  <c r="AL637" i="4"/>
  <c r="AR637" i="4" s="1"/>
  <c r="AX637" i="4" s="1"/>
  <c r="BD637" i="4" s="1"/>
  <c r="M638" i="4"/>
  <c r="BC636" i="4"/>
  <c r="AQ637" i="4"/>
  <c r="AW637" i="4" s="1"/>
  <c r="AM636" i="4" l="1"/>
  <c r="AS636" i="4" s="1"/>
  <c r="AY636" i="4" s="1"/>
  <c r="BE636" i="4" s="1"/>
  <c r="AA637" i="4"/>
  <c r="AJ636" i="4"/>
  <c r="AP636" i="4" s="1"/>
  <c r="AV636" i="4" s="1"/>
  <c r="X637" i="4"/>
  <c r="BB636" i="4"/>
  <c r="AN636" i="4"/>
  <c r="AT636" i="4" s="1"/>
  <c r="AZ636" i="4" s="1"/>
  <c r="BF636" i="4" s="1"/>
  <c r="AB637" i="4"/>
  <c r="BL635" i="4"/>
  <c r="BM634" i="4"/>
  <c r="BN634" i="4" s="1"/>
  <c r="BC637" i="4"/>
  <c r="CA638" i="4"/>
  <c r="Y638" i="4"/>
  <c r="T638" i="4"/>
  <c r="CH638" i="4"/>
  <c r="BO635" i="4"/>
  <c r="BG635" i="4"/>
  <c r="BP635" i="4" s="1"/>
  <c r="BQ635" i="4" s="1"/>
  <c r="BI637" i="4"/>
  <c r="BS636" i="4"/>
  <c r="CE636" i="4"/>
  <c r="AC636" i="4"/>
  <c r="AN637" i="4" l="1"/>
  <c r="AT637" i="4" s="1"/>
  <c r="AZ637" i="4" s="1"/>
  <c r="BF637" i="4" s="1"/>
  <c r="O638" i="4"/>
  <c r="AJ637" i="4"/>
  <c r="AP637" i="4" s="1"/>
  <c r="AV637" i="4" s="1"/>
  <c r="BB637" i="4" s="1"/>
  <c r="K638" i="4"/>
  <c r="AM637" i="4"/>
  <c r="AS637" i="4" s="1"/>
  <c r="AY637" i="4" s="1"/>
  <c r="BE637" i="4" s="1"/>
  <c r="N638" i="4"/>
  <c r="BS637" i="4"/>
  <c r="AO636" i="4"/>
  <c r="AC637" i="4"/>
  <c r="BJ636" i="4"/>
  <c r="BM635" i="4"/>
  <c r="BN635" i="4" s="1"/>
  <c r="AK638" i="4"/>
  <c r="Y639" i="4"/>
  <c r="CB638" i="4"/>
  <c r="Z638" i="4"/>
  <c r="U638" i="4" l="1"/>
  <c r="CI638" i="4"/>
  <c r="CF638" i="4"/>
  <c r="R638" i="4"/>
  <c r="V638" i="4"/>
  <c r="CJ638" i="4"/>
  <c r="AQ638" i="4"/>
  <c r="AW638" i="4" s="1"/>
  <c r="AK639" i="4"/>
  <c r="L640" i="4"/>
  <c r="AO637" i="4"/>
  <c r="P638" i="4"/>
  <c r="BJ637" i="4"/>
  <c r="BK636" i="4"/>
  <c r="AL638" i="4"/>
  <c r="AR638" i="4" s="1"/>
  <c r="AX638" i="4" s="1"/>
  <c r="BD638" i="4" s="1"/>
  <c r="Z639" i="4"/>
  <c r="AU636" i="4"/>
  <c r="BA636" i="4" s="1"/>
  <c r="BH636" i="4"/>
  <c r="CD638" i="4" l="1"/>
  <c r="AB638" i="4"/>
  <c r="BZ638" i="4"/>
  <c r="X638" i="4"/>
  <c r="CC638" i="4"/>
  <c r="AA638" i="4"/>
  <c r="BV636" i="4"/>
  <c r="BY636" i="4" s="1"/>
  <c r="BL636" i="4"/>
  <c r="CG640" i="4"/>
  <c r="S640" i="4"/>
  <c r="AQ639" i="4"/>
  <c r="AW639" i="4" s="1"/>
  <c r="AU637" i="4"/>
  <c r="BA637" i="4" s="1"/>
  <c r="BH637" i="4"/>
  <c r="BV637" i="4" s="1"/>
  <c r="BY637" i="4" s="1"/>
  <c r="BO636" i="4"/>
  <c r="BG636" i="4"/>
  <c r="BP636" i="4" s="1"/>
  <c r="BQ636" i="4" s="1"/>
  <c r="BK637" i="4"/>
  <c r="AL639" i="4"/>
  <c r="AR639" i="4" s="1"/>
  <c r="AX639" i="4" s="1"/>
  <c r="BD639" i="4" s="1"/>
  <c r="M640" i="4"/>
  <c r="W638" i="4"/>
  <c r="CK638" i="4"/>
  <c r="BI638" i="4"/>
  <c r="BC638" i="4"/>
  <c r="AA639" i="4" l="1"/>
  <c r="AM638" i="4"/>
  <c r="AS638" i="4" s="1"/>
  <c r="AY638" i="4" s="1"/>
  <c r="BE638" i="4" s="1"/>
  <c r="AJ638" i="4"/>
  <c r="AP638" i="4" s="1"/>
  <c r="AV638" i="4" s="1"/>
  <c r="X639" i="4"/>
  <c r="BB638" i="4"/>
  <c r="AB639" i="4"/>
  <c r="AN638" i="4"/>
  <c r="AT638" i="4" s="1"/>
  <c r="AZ638" i="4" s="1"/>
  <c r="BF638" i="4" s="1"/>
  <c r="BS638" i="4"/>
  <c r="BI639" i="4"/>
  <c r="CA640" i="4"/>
  <c r="Y640" i="4"/>
  <c r="T640" i="4"/>
  <c r="CH640" i="4"/>
  <c r="BL637" i="4"/>
  <c r="BM636" i="4"/>
  <c r="BN636" i="4" s="1"/>
  <c r="BO637" i="4"/>
  <c r="BG637" i="4"/>
  <c r="BP637" i="4" s="1"/>
  <c r="BQ637" i="4" s="1"/>
  <c r="BC639" i="4"/>
  <c r="CE638" i="4"/>
  <c r="AC638" i="4"/>
  <c r="AN639" i="4" l="1"/>
  <c r="AT639" i="4" s="1"/>
  <c r="AZ639" i="4" s="1"/>
  <c r="BF639" i="4" s="1"/>
  <c r="O640" i="4"/>
  <c r="AJ639" i="4"/>
  <c r="AP639" i="4" s="1"/>
  <c r="AV639" i="4" s="1"/>
  <c r="K640" i="4"/>
  <c r="BB639" i="4"/>
  <c r="N640" i="4"/>
  <c r="AM639" i="4"/>
  <c r="AS639" i="4" s="1"/>
  <c r="AY639" i="4" s="1"/>
  <c r="BE639" i="4" s="1"/>
  <c r="AO638" i="4"/>
  <c r="AC639" i="4"/>
  <c r="BJ638" i="4"/>
  <c r="Y641" i="4"/>
  <c r="AK640" i="4"/>
  <c r="BM637" i="4"/>
  <c r="BN637" i="4" s="1"/>
  <c r="CB640" i="4"/>
  <c r="Z640" i="4"/>
  <c r="BS639" i="4"/>
  <c r="CF640" i="4" l="1"/>
  <c r="R640" i="4"/>
  <c r="CJ640" i="4"/>
  <c r="V640" i="4"/>
  <c r="U640" i="4"/>
  <c r="CI640" i="4"/>
  <c r="AK641" i="4"/>
  <c r="L642" i="4"/>
  <c r="AL640" i="4"/>
  <c r="AR640" i="4" s="1"/>
  <c r="AX640" i="4" s="1"/>
  <c r="BD640" i="4" s="1"/>
  <c r="Z641" i="4"/>
  <c r="BK638" i="4"/>
  <c r="AO639" i="4"/>
  <c r="P640" i="4"/>
  <c r="BJ639" i="4"/>
  <c r="AU638" i="4"/>
  <c r="BA638" i="4" s="1"/>
  <c r="BH638" i="4"/>
  <c r="AQ640" i="4"/>
  <c r="AW640" i="4" s="1"/>
  <c r="CC640" i="4" l="1"/>
  <c r="AA640" i="4"/>
  <c r="CD640" i="4"/>
  <c r="AB640" i="4"/>
  <c r="BZ640" i="4"/>
  <c r="X640" i="4"/>
  <c r="AU639" i="4"/>
  <c r="BA639" i="4" s="1"/>
  <c r="BH639" i="4"/>
  <c r="BV639" i="4" s="1"/>
  <c r="BY639" i="4" s="1"/>
  <c r="BO638" i="4"/>
  <c r="BG638" i="4"/>
  <c r="BP638" i="4" s="1"/>
  <c r="BQ638" i="4" s="1"/>
  <c r="BC640" i="4"/>
  <c r="BV638" i="4"/>
  <c r="BY638" i="4" s="1"/>
  <c r="BL638" i="4"/>
  <c r="AL641" i="4"/>
  <c r="AR641" i="4" s="1"/>
  <c r="AX641" i="4" s="1"/>
  <c r="BD641" i="4" s="1"/>
  <c r="M642" i="4"/>
  <c r="S642" i="4"/>
  <c r="CG642" i="4"/>
  <c r="AQ641" i="4"/>
  <c r="AW641" i="4" s="1"/>
  <c r="BK639" i="4"/>
  <c r="W640" i="4"/>
  <c r="CK640" i="4"/>
  <c r="BI640" i="4"/>
  <c r="X641" i="4" l="1"/>
  <c r="AJ640" i="4"/>
  <c r="AP640" i="4" s="1"/>
  <c r="AV640" i="4" s="1"/>
  <c r="BB640" i="4"/>
  <c r="AB641" i="4"/>
  <c r="AN640" i="4"/>
  <c r="AT640" i="4" s="1"/>
  <c r="AZ640" i="4" s="1"/>
  <c r="BF640" i="4" s="1"/>
  <c r="AM640" i="4"/>
  <c r="AS640" i="4" s="1"/>
  <c r="AY640" i="4" s="1"/>
  <c r="BE640" i="4" s="1"/>
  <c r="AA641" i="4"/>
  <c r="CA642" i="4"/>
  <c r="Y642" i="4"/>
  <c r="T642" i="4"/>
  <c r="CH642" i="4"/>
  <c r="CE640" i="4"/>
  <c r="AC640" i="4"/>
  <c r="BC641" i="4"/>
  <c r="BL639" i="4"/>
  <c r="BM638" i="4"/>
  <c r="BN638" i="4" s="1"/>
  <c r="BI641" i="4"/>
  <c r="BS640" i="4"/>
  <c r="BO639" i="4"/>
  <c r="BG639" i="4"/>
  <c r="BP639" i="4" s="1"/>
  <c r="BQ639" i="4" s="1"/>
  <c r="AM641" i="4" l="1"/>
  <c r="AS641" i="4" s="1"/>
  <c r="AY641" i="4" s="1"/>
  <c r="BE641" i="4" s="1"/>
  <c r="N642" i="4"/>
  <c r="O642" i="4"/>
  <c r="AN641" i="4"/>
  <c r="AT641" i="4" s="1"/>
  <c r="AZ641" i="4" s="1"/>
  <c r="BF641" i="4" s="1"/>
  <c r="K642" i="4"/>
  <c r="AJ641" i="4"/>
  <c r="AP641" i="4" s="1"/>
  <c r="AV641" i="4" s="1"/>
  <c r="BB641" i="4" s="1"/>
  <c r="AO640" i="4"/>
  <c r="AC641" i="4"/>
  <c r="BJ640" i="4"/>
  <c r="AK642" i="4"/>
  <c r="Y643" i="4"/>
  <c r="CB642" i="4"/>
  <c r="Z642" i="4"/>
  <c r="BS641" i="4"/>
  <c r="BM639" i="4"/>
  <c r="BN639" i="4" s="1"/>
  <c r="R642" i="4" l="1"/>
  <c r="CF642" i="4"/>
  <c r="V642" i="4"/>
  <c r="CJ642" i="4"/>
  <c r="CI642" i="4"/>
  <c r="U642" i="4"/>
  <c r="AQ642" i="4"/>
  <c r="AW642" i="4" s="1"/>
  <c r="AK643" i="4"/>
  <c r="L644" i="4"/>
  <c r="BK640" i="4"/>
  <c r="AO641" i="4"/>
  <c r="P642" i="4"/>
  <c r="BJ641" i="4"/>
  <c r="AL642" i="4"/>
  <c r="AR642" i="4" s="1"/>
  <c r="AX642" i="4" s="1"/>
  <c r="BD642" i="4" s="1"/>
  <c r="Z643" i="4"/>
  <c r="AU640" i="4"/>
  <c r="BA640" i="4" s="1"/>
  <c r="BH640" i="4"/>
  <c r="CC642" i="4" l="1"/>
  <c r="AA642" i="4"/>
  <c r="CD642" i="4"/>
  <c r="AB642" i="4"/>
  <c r="BZ642" i="4"/>
  <c r="X642" i="4"/>
  <c r="S644" i="4"/>
  <c r="CG644" i="4"/>
  <c r="BV640" i="4"/>
  <c r="BY640" i="4" s="1"/>
  <c r="BL640" i="4"/>
  <c r="BK641" i="4"/>
  <c r="W642" i="4"/>
  <c r="CK642" i="4"/>
  <c r="BI642" i="4"/>
  <c r="BO640" i="4"/>
  <c r="BG640" i="4"/>
  <c r="BP640" i="4" s="1"/>
  <c r="BQ640" i="4" s="1"/>
  <c r="AL643" i="4"/>
  <c r="AR643" i="4" s="1"/>
  <c r="AX643" i="4" s="1"/>
  <c r="BD643" i="4" s="1"/>
  <c r="M644" i="4"/>
  <c r="AQ643" i="4"/>
  <c r="AW643" i="4" s="1"/>
  <c r="BC642" i="4"/>
  <c r="AU641" i="4"/>
  <c r="BA641" i="4" s="1"/>
  <c r="BH641" i="4"/>
  <c r="BV641" i="4" s="1"/>
  <c r="BY641" i="4" s="1"/>
  <c r="AJ642" i="4" l="1"/>
  <c r="AP642" i="4" s="1"/>
  <c r="AV642" i="4" s="1"/>
  <c r="X643" i="4"/>
  <c r="BB642" i="4"/>
  <c r="AB643" i="4"/>
  <c r="AN642" i="4"/>
  <c r="AT642" i="4" s="1"/>
  <c r="AZ642" i="4" s="1"/>
  <c r="BF642" i="4" s="1"/>
  <c r="AM642" i="4"/>
  <c r="AS642" i="4" s="1"/>
  <c r="AY642" i="4" s="1"/>
  <c r="BE642" i="4" s="1"/>
  <c r="AA643" i="4"/>
  <c r="BC643" i="4"/>
  <c r="CE642" i="4"/>
  <c r="AC642" i="4"/>
  <c r="T644" i="4"/>
  <c r="CH644" i="4"/>
  <c r="BL641" i="4"/>
  <c r="BM640" i="4"/>
  <c r="BN640" i="4" s="1"/>
  <c r="BI643" i="4"/>
  <c r="BS642" i="4"/>
  <c r="BO641" i="4"/>
  <c r="BG641" i="4"/>
  <c r="BP641" i="4" s="1"/>
  <c r="BQ641" i="4" s="1"/>
  <c r="CA644" i="4"/>
  <c r="Y644" i="4"/>
  <c r="N644" i="4" l="1"/>
  <c r="AM643" i="4"/>
  <c r="AS643" i="4" s="1"/>
  <c r="AY643" i="4" s="1"/>
  <c r="BE643" i="4" s="1"/>
  <c r="AN643" i="4"/>
  <c r="AT643" i="4" s="1"/>
  <c r="AZ643" i="4" s="1"/>
  <c r="BF643" i="4" s="1"/>
  <c r="O644" i="4"/>
  <c r="K644" i="4"/>
  <c r="AJ643" i="4"/>
  <c r="AP643" i="4" s="1"/>
  <c r="AV643" i="4" s="1"/>
  <c r="BB643" i="4" s="1"/>
  <c r="BM641" i="4"/>
  <c r="BN641" i="4" s="1"/>
  <c r="AO642" i="4"/>
  <c r="AC643" i="4"/>
  <c r="BJ642" i="4"/>
  <c r="Y645" i="4"/>
  <c r="AK644" i="4"/>
  <c r="CB644" i="4"/>
  <c r="Z644" i="4"/>
  <c r="BS643" i="4"/>
  <c r="CJ644" i="4" l="1"/>
  <c r="V644" i="4"/>
  <c r="CF644" i="4"/>
  <c r="R644" i="4"/>
  <c r="U644" i="4"/>
  <c r="CI644" i="4"/>
  <c r="BK642" i="4"/>
  <c r="AO643" i="4"/>
  <c r="P644" i="4"/>
  <c r="BJ643" i="4"/>
  <c r="AU642" i="4"/>
  <c r="BA642" i="4" s="1"/>
  <c r="BH642" i="4"/>
  <c r="AQ644" i="4"/>
  <c r="AW644" i="4" s="1"/>
  <c r="AK645" i="4"/>
  <c r="L646" i="4"/>
  <c r="AL644" i="4"/>
  <c r="AR644" i="4" s="1"/>
  <c r="AX644" i="4" s="1"/>
  <c r="BD644" i="4" s="1"/>
  <c r="Z645" i="4"/>
  <c r="CC644" i="4" l="1"/>
  <c r="AA644" i="4"/>
  <c r="BZ644" i="4"/>
  <c r="X644" i="4"/>
  <c r="AB644" i="4"/>
  <c r="CD644" i="4"/>
  <c r="BK643" i="4"/>
  <c r="AQ645" i="4"/>
  <c r="AW645" i="4" s="1"/>
  <c r="BV642" i="4"/>
  <c r="BY642" i="4" s="1"/>
  <c r="BL642" i="4"/>
  <c r="AL645" i="4"/>
  <c r="AR645" i="4" s="1"/>
  <c r="AX645" i="4" s="1"/>
  <c r="BD645" i="4" s="1"/>
  <c r="M646" i="4"/>
  <c r="W644" i="4"/>
  <c r="CK644" i="4"/>
  <c r="BI644" i="4"/>
  <c r="BO642" i="4"/>
  <c r="BG642" i="4"/>
  <c r="BP642" i="4" s="1"/>
  <c r="BQ642" i="4" s="1"/>
  <c r="S646" i="4"/>
  <c r="CG646" i="4"/>
  <c r="AU643" i="4"/>
  <c r="BA643" i="4" s="1"/>
  <c r="BH643" i="4"/>
  <c r="BV643" i="4" s="1"/>
  <c r="BY643" i="4" s="1"/>
  <c r="BC644" i="4"/>
  <c r="AB645" i="4" l="1"/>
  <c r="AN644" i="4"/>
  <c r="AT644" i="4" s="1"/>
  <c r="AZ644" i="4" s="1"/>
  <c r="BF644" i="4"/>
  <c r="X645" i="4"/>
  <c r="AJ644" i="4"/>
  <c r="AP644" i="4" s="1"/>
  <c r="AV644" i="4" s="1"/>
  <c r="BB644" i="4" s="1"/>
  <c r="AA645" i="4"/>
  <c r="AM644" i="4"/>
  <c r="AS644" i="4" s="1"/>
  <c r="AY644" i="4" s="1"/>
  <c r="BE644" i="4" s="1"/>
  <c r="T646" i="4"/>
  <c r="CH646" i="4"/>
  <c r="BO643" i="4"/>
  <c r="BG643" i="4"/>
  <c r="BP643" i="4" s="1"/>
  <c r="BQ643" i="4" s="1"/>
  <c r="BC645" i="4"/>
  <c r="CE644" i="4"/>
  <c r="AC644" i="4"/>
  <c r="BL643" i="4"/>
  <c r="BM642" i="4"/>
  <c r="BN642" i="4" s="1"/>
  <c r="CA646" i="4"/>
  <c r="Y646" i="4"/>
  <c r="BI645" i="4"/>
  <c r="BS644" i="4"/>
  <c r="N646" i="4" l="1"/>
  <c r="AM645" i="4"/>
  <c r="AS645" i="4" s="1"/>
  <c r="AY645" i="4" s="1"/>
  <c r="BE645" i="4" s="1"/>
  <c r="K646" i="4"/>
  <c r="AJ645" i="4"/>
  <c r="AP645" i="4" s="1"/>
  <c r="AV645" i="4" s="1"/>
  <c r="BB645" i="4" s="1"/>
  <c r="AN645" i="4"/>
  <c r="AT645" i="4" s="1"/>
  <c r="AZ645" i="4" s="1"/>
  <c r="BF645" i="4" s="1"/>
  <c r="O646" i="4"/>
  <c r="AO644" i="4"/>
  <c r="AC645" i="4"/>
  <c r="BJ644" i="4"/>
  <c r="BS645" i="4"/>
  <c r="Y647" i="4"/>
  <c r="AK646" i="4"/>
  <c r="CB646" i="4"/>
  <c r="Z646" i="4"/>
  <c r="BM643" i="4"/>
  <c r="BN643" i="4" s="1"/>
  <c r="CF646" i="4" l="1"/>
  <c r="R646" i="4"/>
  <c r="CJ646" i="4"/>
  <c r="V646" i="4"/>
  <c r="U646" i="4"/>
  <c r="CI646" i="4"/>
  <c r="AQ646" i="4"/>
  <c r="AW646" i="4" s="1"/>
  <c r="AK647" i="4"/>
  <c r="L648" i="4"/>
  <c r="BK644" i="4"/>
  <c r="AO645" i="4"/>
  <c r="P646" i="4"/>
  <c r="BJ645" i="4"/>
  <c r="AL646" i="4"/>
  <c r="AR646" i="4" s="1"/>
  <c r="AX646" i="4" s="1"/>
  <c r="BD646" i="4" s="1"/>
  <c r="Z647" i="4"/>
  <c r="AU644" i="4"/>
  <c r="BA644" i="4" s="1"/>
  <c r="BH644" i="4"/>
  <c r="CC646" i="4" l="1"/>
  <c r="AA646" i="4"/>
  <c r="AB646" i="4"/>
  <c r="CD646" i="4"/>
  <c r="BZ646" i="4"/>
  <c r="X646" i="4"/>
  <c r="S648" i="4"/>
  <c r="CG648" i="4"/>
  <c r="BK645" i="4"/>
  <c r="W646" i="4"/>
  <c r="CK646" i="4"/>
  <c r="BI646" i="4"/>
  <c r="AU645" i="4"/>
  <c r="BA645" i="4" s="1"/>
  <c r="BH645" i="4"/>
  <c r="BV645" i="4" s="1"/>
  <c r="BY645" i="4" s="1"/>
  <c r="BV644" i="4"/>
  <c r="BY644" i="4" s="1"/>
  <c r="BL644" i="4"/>
  <c r="AL647" i="4"/>
  <c r="AR647" i="4" s="1"/>
  <c r="AX647" i="4" s="1"/>
  <c r="BD647" i="4" s="1"/>
  <c r="M648" i="4"/>
  <c r="BO644" i="4"/>
  <c r="BG644" i="4"/>
  <c r="BP644" i="4" s="1"/>
  <c r="BQ644" i="4" s="1"/>
  <c r="AQ647" i="4"/>
  <c r="AW647" i="4" s="1"/>
  <c r="BC646" i="4"/>
  <c r="AJ646" i="4" l="1"/>
  <c r="AP646" i="4" s="1"/>
  <c r="AV646" i="4" s="1"/>
  <c r="X647" i="4"/>
  <c r="BB646" i="4"/>
  <c r="AN646" i="4"/>
  <c r="AT646" i="4" s="1"/>
  <c r="AZ646" i="4" s="1"/>
  <c r="AB647" i="4"/>
  <c r="BF646" i="4"/>
  <c r="AA647" i="4"/>
  <c r="AM646" i="4"/>
  <c r="AS646" i="4" s="1"/>
  <c r="AY646" i="4" s="1"/>
  <c r="BE646" i="4" s="1"/>
  <c r="BO645" i="4"/>
  <c r="BG645" i="4"/>
  <c r="BP645" i="4" s="1"/>
  <c r="BQ645" i="4" s="1"/>
  <c r="BL645" i="4"/>
  <c r="BM644" i="4"/>
  <c r="BN644" i="4" s="1"/>
  <c r="BI647" i="4"/>
  <c r="BS646" i="4"/>
  <c r="T648" i="4"/>
  <c r="CH648" i="4"/>
  <c r="BC647" i="4"/>
  <c r="CE646" i="4"/>
  <c r="AC646" i="4"/>
  <c r="CA648" i="4"/>
  <c r="Y648" i="4"/>
  <c r="AM647" i="4" l="1"/>
  <c r="AS647" i="4" s="1"/>
  <c r="AY647" i="4" s="1"/>
  <c r="BE647" i="4"/>
  <c r="N648" i="4"/>
  <c r="AN647" i="4"/>
  <c r="AT647" i="4" s="1"/>
  <c r="AZ647" i="4" s="1"/>
  <c r="BF647" i="4" s="1"/>
  <c r="O648" i="4"/>
  <c r="AJ647" i="4"/>
  <c r="AP647" i="4" s="1"/>
  <c r="AV647" i="4" s="1"/>
  <c r="BB647" i="4" s="1"/>
  <c r="K648" i="4"/>
  <c r="CB648" i="4"/>
  <c r="Z648" i="4"/>
  <c r="BS647" i="4"/>
  <c r="AC647" i="4"/>
  <c r="AO646" i="4"/>
  <c r="BJ646" i="4"/>
  <c r="Y649" i="4"/>
  <c r="AK648" i="4"/>
  <c r="BM645" i="4"/>
  <c r="BN645" i="4" s="1"/>
  <c r="CF648" i="4" l="1"/>
  <c r="R648" i="4"/>
  <c r="CJ648" i="4"/>
  <c r="V648" i="4"/>
  <c r="CI648" i="4"/>
  <c r="U648" i="4"/>
  <c r="AK649" i="4"/>
  <c r="L650" i="4"/>
  <c r="AL648" i="4"/>
  <c r="AR648" i="4" s="1"/>
  <c r="AX648" i="4" s="1"/>
  <c r="BD648" i="4" s="1"/>
  <c r="Z649" i="4"/>
  <c r="AQ648" i="4"/>
  <c r="AW648" i="4" s="1"/>
  <c r="AU646" i="4"/>
  <c r="BA646" i="4" s="1"/>
  <c r="BH646" i="4"/>
  <c r="BK646" i="4"/>
  <c r="AO647" i="4"/>
  <c r="P648" i="4"/>
  <c r="BJ647" i="4"/>
  <c r="CC648" i="4" l="1"/>
  <c r="AA648" i="4"/>
  <c r="CD648" i="4"/>
  <c r="AB648" i="4"/>
  <c r="BZ648" i="4"/>
  <c r="X648" i="4"/>
  <c r="BO646" i="4"/>
  <c r="BG646" i="4"/>
  <c r="BP646" i="4" s="1"/>
  <c r="BQ646" i="4" s="1"/>
  <c r="BK647" i="4"/>
  <c r="BC648" i="4"/>
  <c r="AL649" i="4"/>
  <c r="AR649" i="4" s="1"/>
  <c r="AX649" i="4" s="1"/>
  <c r="BD649" i="4" s="1"/>
  <c r="M650" i="4"/>
  <c r="AU647" i="4"/>
  <c r="BA647" i="4" s="1"/>
  <c r="BH647" i="4"/>
  <c r="BV647" i="4" s="1"/>
  <c r="BY647" i="4" s="1"/>
  <c r="W648" i="4"/>
  <c r="CK648" i="4"/>
  <c r="BI648" i="4"/>
  <c r="S650" i="4"/>
  <c r="CG650" i="4"/>
  <c r="BV646" i="4"/>
  <c r="BY646" i="4" s="1"/>
  <c r="BL646" i="4"/>
  <c r="AQ649" i="4"/>
  <c r="AW649" i="4" s="1"/>
  <c r="X649" i="4" l="1"/>
  <c r="AJ648" i="4"/>
  <c r="AP648" i="4" s="1"/>
  <c r="AV648" i="4" s="1"/>
  <c r="BB648" i="4"/>
  <c r="AN648" i="4"/>
  <c r="AT648" i="4" s="1"/>
  <c r="AZ648" i="4" s="1"/>
  <c r="BF648" i="4"/>
  <c r="AB649" i="4"/>
  <c r="AA649" i="4"/>
  <c r="AM648" i="4"/>
  <c r="AS648" i="4" s="1"/>
  <c r="AY648" i="4" s="1"/>
  <c r="BE648" i="4" s="1"/>
  <c r="T650" i="4"/>
  <c r="CH650" i="4"/>
  <c r="BS648" i="4"/>
  <c r="BI649" i="4"/>
  <c r="CA650" i="4"/>
  <c r="Y650" i="4"/>
  <c r="BC649" i="4"/>
  <c r="BO647" i="4"/>
  <c r="BG647" i="4"/>
  <c r="BP647" i="4" s="1"/>
  <c r="BQ647" i="4" s="1"/>
  <c r="CE648" i="4"/>
  <c r="AC648" i="4"/>
  <c r="BL647" i="4"/>
  <c r="BM646" i="4"/>
  <c r="BN646" i="4" s="1"/>
  <c r="AM649" i="4" l="1"/>
  <c r="AS649" i="4" s="1"/>
  <c r="AY649" i="4" s="1"/>
  <c r="BE649" i="4" s="1"/>
  <c r="N650" i="4"/>
  <c r="O650" i="4"/>
  <c r="AN649" i="4"/>
  <c r="AT649" i="4" s="1"/>
  <c r="AZ649" i="4" s="1"/>
  <c r="BF649" i="4" s="1"/>
  <c r="AJ649" i="4"/>
  <c r="AP649" i="4" s="1"/>
  <c r="AV649" i="4" s="1"/>
  <c r="BB649" i="4" s="1"/>
  <c r="K650" i="4"/>
  <c r="BS649" i="4"/>
  <c r="BM647" i="4"/>
  <c r="BN647" i="4" s="1"/>
  <c r="AC649" i="4"/>
  <c r="AO648" i="4"/>
  <c r="BJ648" i="4"/>
  <c r="AK650" i="4"/>
  <c r="Y651" i="4"/>
  <c r="CB650" i="4"/>
  <c r="Z650" i="4"/>
  <c r="CF650" i="4" l="1"/>
  <c r="R650" i="4"/>
  <c r="V650" i="4"/>
  <c r="CJ650" i="4"/>
  <c r="CI650" i="4"/>
  <c r="U650" i="4"/>
  <c r="AO649" i="4"/>
  <c r="P650" i="4"/>
  <c r="BJ649" i="4"/>
  <c r="AQ650" i="4"/>
  <c r="AW650" i="4" s="1"/>
  <c r="AK651" i="4"/>
  <c r="L652" i="4"/>
  <c r="BK648" i="4"/>
  <c r="AL650" i="4"/>
  <c r="AR650" i="4" s="1"/>
  <c r="AX650" i="4" s="1"/>
  <c r="BD650" i="4" s="1"/>
  <c r="Z651" i="4"/>
  <c r="AU648" i="4"/>
  <c r="BA648" i="4" s="1"/>
  <c r="BH648" i="4"/>
  <c r="CC650" i="4" l="1"/>
  <c r="AA650" i="4"/>
  <c r="AB650" i="4"/>
  <c r="CD650" i="4"/>
  <c r="BZ650" i="4"/>
  <c r="X650" i="4"/>
  <c r="S652" i="4"/>
  <c r="CG652" i="4"/>
  <c r="BC650" i="4"/>
  <c r="BO648" i="4"/>
  <c r="BG648" i="4"/>
  <c r="BP648" i="4" s="1"/>
  <c r="BQ648" i="4" s="1"/>
  <c r="BV648" i="4"/>
  <c r="BY648" i="4" s="1"/>
  <c r="BL648" i="4"/>
  <c r="BK649" i="4"/>
  <c r="AQ651" i="4"/>
  <c r="AW651" i="4" s="1"/>
  <c r="AL651" i="4"/>
  <c r="AR651" i="4" s="1"/>
  <c r="AX651" i="4" s="1"/>
  <c r="BD651" i="4" s="1"/>
  <c r="M652" i="4"/>
  <c r="CK650" i="4"/>
  <c r="W650" i="4"/>
  <c r="BI650" i="4"/>
  <c r="AU649" i="4"/>
  <c r="BA649" i="4" s="1"/>
  <c r="BH649" i="4"/>
  <c r="BV649" i="4" s="1"/>
  <c r="BY649" i="4" s="1"/>
  <c r="AJ650" i="4" l="1"/>
  <c r="AP650" i="4" s="1"/>
  <c r="AV650" i="4" s="1"/>
  <c r="X651" i="4"/>
  <c r="BB650" i="4"/>
  <c r="AN650" i="4"/>
  <c r="AT650" i="4" s="1"/>
  <c r="AZ650" i="4" s="1"/>
  <c r="BF650" i="4" s="1"/>
  <c r="AB651" i="4"/>
  <c r="AA651" i="4"/>
  <c r="AM650" i="4"/>
  <c r="AS650" i="4" s="1"/>
  <c r="AY650" i="4" s="1"/>
  <c r="BE650" i="4" s="1"/>
  <c r="BL649" i="4"/>
  <c r="BM648" i="4"/>
  <c r="BN648" i="4" s="1"/>
  <c r="BC651" i="4"/>
  <c r="BO649" i="4"/>
  <c r="BG649" i="4"/>
  <c r="BP649" i="4" s="1"/>
  <c r="BQ649" i="4" s="1"/>
  <c r="T652" i="4"/>
  <c r="CH652" i="4"/>
  <c r="BI651" i="4"/>
  <c r="BS650" i="4"/>
  <c r="CE650" i="4"/>
  <c r="AC650" i="4"/>
  <c r="CA652" i="4"/>
  <c r="Y652" i="4"/>
  <c r="N652" i="4" l="1"/>
  <c r="AM651" i="4"/>
  <c r="AS651" i="4" s="1"/>
  <c r="AY651" i="4" s="1"/>
  <c r="BE651" i="4"/>
  <c r="O652" i="4"/>
  <c r="AN651" i="4"/>
  <c r="AT651" i="4" s="1"/>
  <c r="AZ651" i="4" s="1"/>
  <c r="BF651" i="4" s="1"/>
  <c r="K652" i="4"/>
  <c r="AJ651" i="4"/>
  <c r="AP651" i="4" s="1"/>
  <c r="AV651" i="4" s="1"/>
  <c r="BB651" i="4" s="1"/>
  <c r="CB652" i="4"/>
  <c r="Z652" i="4"/>
  <c r="BS651" i="4"/>
  <c r="BM649" i="4"/>
  <c r="BN649" i="4" s="1"/>
  <c r="AK652" i="4"/>
  <c r="Y653" i="4"/>
  <c r="AC651" i="4"/>
  <c r="AO650" i="4"/>
  <c r="BJ650" i="4"/>
  <c r="V652" i="4" l="1"/>
  <c r="CJ652" i="4"/>
  <c r="CF652" i="4"/>
  <c r="R652" i="4"/>
  <c r="U652" i="4"/>
  <c r="CI652" i="4"/>
  <c r="AQ652" i="4"/>
  <c r="AW652" i="4" s="1"/>
  <c r="Z653" i="4"/>
  <c r="AL652" i="4"/>
  <c r="AR652" i="4" s="1"/>
  <c r="AX652" i="4" s="1"/>
  <c r="BD652" i="4" s="1"/>
  <c r="AK653" i="4"/>
  <c r="L654" i="4"/>
  <c r="BK650" i="4"/>
  <c r="AU650" i="4"/>
  <c r="BA650" i="4" s="1"/>
  <c r="BH650" i="4"/>
  <c r="AO651" i="4"/>
  <c r="P652" i="4"/>
  <c r="BJ651" i="4"/>
  <c r="BZ652" i="4" l="1"/>
  <c r="X652" i="4"/>
  <c r="AA652" i="4"/>
  <c r="CC652" i="4"/>
  <c r="AB652" i="4"/>
  <c r="CD652" i="4"/>
  <c r="AQ653" i="4"/>
  <c r="AW653" i="4" s="1"/>
  <c r="AU651" i="4"/>
  <c r="BA651" i="4" s="1"/>
  <c r="BH651" i="4"/>
  <c r="BV651" i="4" s="1"/>
  <c r="BY651" i="4" s="1"/>
  <c r="BO650" i="4"/>
  <c r="BG650" i="4"/>
  <c r="BP650" i="4" s="1"/>
  <c r="BQ650" i="4" s="1"/>
  <c r="BK651" i="4"/>
  <c r="BV650" i="4"/>
  <c r="BY650" i="4" s="1"/>
  <c r="BL650" i="4"/>
  <c r="S654" i="4"/>
  <c r="CG654" i="4"/>
  <c r="W652" i="4"/>
  <c r="CK652" i="4"/>
  <c r="BI652" i="4"/>
  <c r="AL653" i="4"/>
  <c r="AR653" i="4" s="1"/>
  <c r="AX653" i="4" s="1"/>
  <c r="BD653" i="4" s="1"/>
  <c r="M654" i="4"/>
  <c r="BC652" i="4"/>
  <c r="AN652" i="4" l="1"/>
  <c r="AT652" i="4" s="1"/>
  <c r="AZ652" i="4" s="1"/>
  <c r="BF652" i="4" s="1"/>
  <c r="AB653" i="4"/>
  <c r="AM652" i="4"/>
  <c r="AS652" i="4" s="1"/>
  <c r="AY652" i="4" s="1"/>
  <c r="BE652" i="4" s="1"/>
  <c r="AA653" i="4"/>
  <c r="X653" i="4"/>
  <c r="AJ652" i="4"/>
  <c r="AP652" i="4" s="1"/>
  <c r="AV652" i="4" s="1"/>
  <c r="BB652" i="4" s="1"/>
  <c r="BL651" i="4"/>
  <c r="BM650" i="4"/>
  <c r="BN650" i="4" s="1"/>
  <c r="BO651" i="4"/>
  <c r="BG651" i="4"/>
  <c r="BP651" i="4" s="1"/>
  <c r="BQ651" i="4" s="1"/>
  <c r="CH654" i="4"/>
  <c r="T654" i="4"/>
  <c r="CA654" i="4"/>
  <c r="Y654" i="4"/>
  <c r="BS652" i="4"/>
  <c r="BI653" i="4"/>
  <c r="CE652" i="4"/>
  <c r="AC652" i="4"/>
  <c r="BC653" i="4"/>
  <c r="K654" i="4" l="1"/>
  <c r="AJ653" i="4"/>
  <c r="AP653" i="4" s="1"/>
  <c r="AV653" i="4" s="1"/>
  <c r="BB653" i="4"/>
  <c r="AM653" i="4"/>
  <c r="AS653" i="4" s="1"/>
  <c r="AY653" i="4" s="1"/>
  <c r="BE653" i="4" s="1"/>
  <c r="N654" i="4"/>
  <c r="AN653" i="4"/>
  <c r="AT653" i="4" s="1"/>
  <c r="AZ653" i="4" s="1"/>
  <c r="BF653" i="4" s="1"/>
  <c r="O654" i="4"/>
  <c r="Y655" i="4"/>
  <c r="AK654" i="4"/>
  <c r="AC653" i="4"/>
  <c r="AO652" i="4"/>
  <c r="BJ652" i="4"/>
  <c r="CB654" i="4"/>
  <c r="Z654" i="4"/>
  <c r="BS653" i="4"/>
  <c r="BM651" i="4"/>
  <c r="BN651" i="4" s="1"/>
  <c r="U654" i="4" l="1"/>
  <c r="CI654" i="4"/>
  <c r="CJ654" i="4"/>
  <c r="V654" i="4"/>
  <c r="CF654" i="4"/>
  <c r="R654" i="4"/>
  <c r="BK652" i="4"/>
  <c r="AL654" i="4"/>
  <c r="AR654" i="4" s="1"/>
  <c r="AX654" i="4" s="1"/>
  <c r="BD654" i="4" s="1"/>
  <c r="Z655" i="4"/>
  <c r="AQ654" i="4"/>
  <c r="AW654" i="4" s="1"/>
  <c r="AU652" i="4"/>
  <c r="BA652" i="4" s="1"/>
  <c r="BH652" i="4"/>
  <c r="AO653" i="4"/>
  <c r="P654" i="4"/>
  <c r="BJ653" i="4"/>
  <c r="AK655" i="4"/>
  <c r="L656" i="4"/>
  <c r="BZ654" i="4" l="1"/>
  <c r="X654" i="4"/>
  <c r="AB654" i="4"/>
  <c r="CD654" i="4"/>
  <c r="CC654" i="4"/>
  <c r="AA654" i="4"/>
  <c r="AQ655" i="4"/>
  <c r="AW655" i="4" s="1"/>
  <c r="W654" i="4"/>
  <c r="CK654" i="4"/>
  <c r="BI654" i="4"/>
  <c r="BC654" i="4"/>
  <c r="BV652" i="4"/>
  <c r="BY652" i="4" s="1"/>
  <c r="BL652" i="4"/>
  <c r="S656" i="4"/>
  <c r="CG656" i="4"/>
  <c r="AL655" i="4"/>
  <c r="AR655" i="4" s="1"/>
  <c r="AX655" i="4" s="1"/>
  <c r="BD655" i="4" s="1"/>
  <c r="M656" i="4"/>
  <c r="BK653" i="4"/>
  <c r="AU653" i="4"/>
  <c r="BA653" i="4" s="1"/>
  <c r="BH653" i="4"/>
  <c r="BV653" i="4" s="1"/>
  <c r="BY653" i="4" s="1"/>
  <c r="BO652" i="4"/>
  <c r="BG652" i="4"/>
  <c r="BP652" i="4" s="1"/>
  <c r="BQ652" i="4" s="1"/>
  <c r="AA655" i="4" l="1"/>
  <c r="AM654" i="4"/>
  <c r="AS654" i="4" s="1"/>
  <c r="AY654" i="4" s="1"/>
  <c r="BE654" i="4" s="1"/>
  <c r="AN654" i="4"/>
  <c r="AT654" i="4" s="1"/>
  <c r="AZ654" i="4" s="1"/>
  <c r="BF654" i="4" s="1"/>
  <c r="AB655" i="4"/>
  <c r="X655" i="4"/>
  <c r="AJ654" i="4"/>
  <c r="AP654" i="4" s="1"/>
  <c r="AV654" i="4" s="1"/>
  <c r="BB654" i="4" s="1"/>
  <c r="T656" i="4"/>
  <c r="CH656" i="4"/>
  <c r="CA656" i="4"/>
  <c r="Y656" i="4"/>
  <c r="CE654" i="4"/>
  <c r="AC654" i="4"/>
  <c r="BI655" i="4"/>
  <c r="BS654" i="4"/>
  <c r="BL653" i="4"/>
  <c r="BM652" i="4"/>
  <c r="BN652" i="4" s="1"/>
  <c r="BC655" i="4"/>
  <c r="BO653" i="4"/>
  <c r="BG653" i="4"/>
  <c r="BP653" i="4" s="1"/>
  <c r="BQ653" i="4" s="1"/>
  <c r="AN655" i="4" l="1"/>
  <c r="AT655" i="4" s="1"/>
  <c r="AZ655" i="4" s="1"/>
  <c r="BF655" i="4" s="1"/>
  <c r="O656" i="4"/>
  <c r="K656" i="4"/>
  <c r="AJ655" i="4"/>
  <c r="AP655" i="4" s="1"/>
  <c r="AV655" i="4" s="1"/>
  <c r="BB655" i="4" s="1"/>
  <c r="AM655" i="4"/>
  <c r="AS655" i="4" s="1"/>
  <c r="AY655" i="4" s="1"/>
  <c r="BE655" i="4" s="1"/>
  <c r="N656" i="4"/>
  <c r="BS655" i="4"/>
  <c r="CB656" i="4"/>
  <c r="Z656" i="4"/>
  <c r="AK656" i="4"/>
  <c r="Y657" i="4"/>
  <c r="BM653" i="4"/>
  <c r="BN653" i="4" s="1"/>
  <c r="AC655" i="4"/>
  <c r="AO654" i="4"/>
  <c r="BJ654" i="4"/>
  <c r="U656" i="4" l="1"/>
  <c r="CI656" i="4"/>
  <c r="R656" i="4"/>
  <c r="CF656" i="4"/>
  <c r="CJ656" i="4"/>
  <c r="V656" i="4"/>
  <c r="AU654" i="4"/>
  <c r="BA654" i="4" s="1"/>
  <c r="BH654" i="4"/>
  <c r="AO655" i="4"/>
  <c r="P656" i="4"/>
  <c r="BJ655" i="4"/>
  <c r="AQ656" i="4"/>
  <c r="AW656" i="4" s="1"/>
  <c r="AK657" i="4"/>
  <c r="L658" i="4"/>
  <c r="Z657" i="4"/>
  <c r="AL656" i="4"/>
  <c r="AR656" i="4" s="1"/>
  <c r="AX656" i="4" s="1"/>
  <c r="BD656" i="4" s="1"/>
  <c r="BK654" i="4"/>
  <c r="CD656" i="4" l="1"/>
  <c r="AB656" i="4"/>
  <c r="BZ656" i="4"/>
  <c r="X656" i="4"/>
  <c r="AA656" i="4"/>
  <c r="CC656" i="4"/>
  <c r="BC656" i="4"/>
  <c r="BK655" i="4"/>
  <c r="AL657" i="4"/>
  <c r="AR657" i="4" s="1"/>
  <c r="AX657" i="4" s="1"/>
  <c r="BD657" i="4" s="1"/>
  <c r="M658" i="4"/>
  <c r="S658" i="4"/>
  <c r="CG658" i="4"/>
  <c r="W656" i="4"/>
  <c r="CK656" i="4"/>
  <c r="BI656" i="4"/>
  <c r="AU655" i="4"/>
  <c r="BA655" i="4" s="1"/>
  <c r="BH655" i="4"/>
  <c r="BV655" i="4" s="1"/>
  <c r="BY655" i="4" s="1"/>
  <c r="AQ657" i="4"/>
  <c r="AW657" i="4" s="1"/>
  <c r="BV654" i="4"/>
  <c r="BY654" i="4" s="1"/>
  <c r="BL654" i="4"/>
  <c r="BO654" i="4"/>
  <c r="BG654" i="4"/>
  <c r="BP654" i="4" s="1"/>
  <c r="BQ654" i="4" s="1"/>
  <c r="AA657" i="4" l="1"/>
  <c r="AM656" i="4"/>
  <c r="AS656" i="4" s="1"/>
  <c r="AY656" i="4" s="1"/>
  <c r="BE656" i="4" s="1"/>
  <c r="X657" i="4"/>
  <c r="AJ656" i="4"/>
  <c r="AP656" i="4" s="1"/>
  <c r="AV656" i="4" s="1"/>
  <c r="BB656" i="4" s="1"/>
  <c r="AN656" i="4"/>
  <c r="AT656" i="4" s="1"/>
  <c r="AZ656" i="4" s="1"/>
  <c r="BF656" i="4" s="1"/>
  <c r="AB657" i="4"/>
  <c r="BL655" i="4"/>
  <c r="BM654" i="4"/>
  <c r="BN654" i="4" s="1"/>
  <c r="BC657" i="4"/>
  <c r="BS656" i="4"/>
  <c r="BI657" i="4"/>
  <c r="CE656" i="4"/>
  <c r="AC656" i="4"/>
  <c r="CA658" i="4"/>
  <c r="Y658" i="4"/>
  <c r="T658" i="4"/>
  <c r="CH658" i="4"/>
  <c r="BO655" i="4"/>
  <c r="BG655" i="4"/>
  <c r="BP655" i="4" s="1"/>
  <c r="BQ655" i="4" s="1"/>
  <c r="AN657" i="4" l="1"/>
  <c r="AT657" i="4" s="1"/>
  <c r="AZ657" i="4" s="1"/>
  <c r="O658" i="4"/>
  <c r="BF657" i="4"/>
  <c r="K658" i="4"/>
  <c r="AJ657" i="4"/>
  <c r="AP657" i="4" s="1"/>
  <c r="AV657" i="4" s="1"/>
  <c r="BB657" i="4" s="1"/>
  <c r="AM657" i="4"/>
  <c r="AS657" i="4" s="1"/>
  <c r="AY657" i="4" s="1"/>
  <c r="BE657" i="4" s="1"/>
  <c r="N658" i="4"/>
  <c r="BS657" i="4"/>
  <c r="AC657" i="4"/>
  <c r="AO656" i="4"/>
  <c r="BJ656" i="4"/>
  <c r="CB658" i="4"/>
  <c r="Z658" i="4"/>
  <c r="AK658" i="4"/>
  <c r="Y659" i="4"/>
  <c r="BM655" i="4"/>
  <c r="BN655" i="4" s="1"/>
  <c r="CI658" i="4" l="1"/>
  <c r="U658" i="4"/>
  <c r="CF658" i="4"/>
  <c r="R658" i="4"/>
  <c r="V658" i="4"/>
  <c r="CJ658" i="4"/>
  <c r="BK656" i="4"/>
  <c r="AL658" i="4"/>
  <c r="AR658" i="4" s="1"/>
  <c r="AX658" i="4" s="1"/>
  <c r="BD658" i="4" s="1"/>
  <c r="Z659" i="4"/>
  <c r="AU656" i="4"/>
  <c r="BA656" i="4" s="1"/>
  <c r="BH656" i="4"/>
  <c r="AO657" i="4"/>
  <c r="P658" i="4"/>
  <c r="BJ657" i="4"/>
  <c r="AK659" i="4"/>
  <c r="L660" i="4"/>
  <c r="AQ658" i="4"/>
  <c r="AW658" i="4" s="1"/>
  <c r="CD658" i="4" l="1"/>
  <c r="AB658" i="4"/>
  <c r="BZ658" i="4"/>
  <c r="X658" i="4"/>
  <c r="CC658" i="4"/>
  <c r="AA658" i="4"/>
  <c r="BK657" i="4"/>
  <c r="BV656" i="4"/>
  <c r="BY656" i="4" s="1"/>
  <c r="BL656" i="4"/>
  <c r="AL659" i="4"/>
  <c r="AR659" i="4" s="1"/>
  <c r="AX659" i="4" s="1"/>
  <c r="BD659" i="4" s="1"/>
  <c r="M660" i="4"/>
  <c r="W658" i="4"/>
  <c r="CK658" i="4"/>
  <c r="BI658" i="4"/>
  <c r="BC658" i="4"/>
  <c r="S660" i="4"/>
  <c r="CG660" i="4"/>
  <c r="AQ659" i="4"/>
  <c r="AW659" i="4" s="1"/>
  <c r="AU657" i="4"/>
  <c r="BA657" i="4" s="1"/>
  <c r="BH657" i="4"/>
  <c r="BV657" i="4" s="1"/>
  <c r="BY657" i="4" s="1"/>
  <c r="BO656" i="4"/>
  <c r="BG656" i="4"/>
  <c r="BP656" i="4" s="1"/>
  <c r="BQ656" i="4" s="1"/>
  <c r="AM658" i="4" l="1"/>
  <c r="AS658" i="4" s="1"/>
  <c r="AY658" i="4" s="1"/>
  <c r="BE658" i="4" s="1"/>
  <c r="AA659" i="4"/>
  <c r="AJ658" i="4"/>
  <c r="AP658" i="4" s="1"/>
  <c r="AV658" i="4" s="1"/>
  <c r="X659" i="4"/>
  <c r="BB658" i="4"/>
  <c r="AN658" i="4"/>
  <c r="AT658" i="4" s="1"/>
  <c r="AZ658" i="4" s="1"/>
  <c r="BF658" i="4" s="1"/>
  <c r="AB659" i="4"/>
  <c r="BI659" i="4"/>
  <c r="BS658" i="4"/>
  <c r="BO657" i="4"/>
  <c r="BG657" i="4"/>
  <c r="BP657" i="4" s="1"/>
  <c r="BQ657" i="4" s="1"/>
  <c r="CA660" i="4"/>
  <c r="Y660" i="4"/>
  <c r="CE658" i="4"/>
  <c r="AC658" i="4"/>
  <c r="BL657" i="4"/>
  <c r="BM656" i="4"/>
  <c r="BN656" i="4" s="1"/>
  <c r="T660" i="4"/>
  <c r="CH660" i="4"/>
  <c r="BC659" i="4"/>
  <c r="K660" i="4" l="1"/>
  <c r="AJ659" i="4"/>
  <c r="AP659" i="4" s="1"/>
  <c r="AV659" i="4" s="1"/>
  <c r="BB659" i="4"/>
  <c r="AN659" i="4"/>
  <c r="AT659" i="4" s="1"/>
  <c r="AZ659" i="4" s="1"/>
  <c r="BF659" i="4" s="1"/>
  <c r="O660" i="4"/>
  <c r="AM659" i="4"/>
  <c r="AS659" i="4" s="1"/>
  <c r="AY659" i="4" s="1"/>
  <c r="BE659" i="4" s="1"/>
  <c r="N660" i="4"/>
  <c r="AC659" i="4"/>
  <c r="AO658" i="4"/>
  <c r="BJ658" i="4"/>
  <c r="BM657" i="4"/>
  <c r="BN657" i="4" s="1"/>
  <c r="BS659" i="4"/>
  <c r="Y661" i="4"/>
  <c r="AK660" i="4"/>
  <c r="CB660" i="4"/>
  <c r="Z660" i="4"/>
  <c r="CI660" i="4" l="1"/>
  <c r="U660" i="4"/>
  <c r="CJ660" i="4"/>
  <c r="V660" i="4"/>
  <c r="R660" i="4"/>
  <c r="CF660" i="4"/>
  <c r="AK661" i="4"/>
  <c r="L662" i="4"/>
  <c r="BK658" i="4"/>
  <c r="AO659" i="4"/>
  <c r="P660" i="4"/>
  <c r="BJ659" i="4"/>
  <c r="AU658" i="4"/>
  <c r="BA658" i="4" s="1"/>
  <c r="BH658" i="4"/>
  <c r="Z661" i="4"/>
  <c r="AL660" i="4"/>
  <c r="AR660" i="4" s="1"/>
  <c r="AX660" i="4" s="1"/>
  <c r="BD660" i="4" s="1"/>
  <c r="AQ660" i="4"/>
  <c r="AW660" i="4" s="1"/>
  <c r="BZ660" i="4" l="1"/>
  <c r="X660" i="4"/>
  <c r="CD660" i="4"/>
  <c r="AB660" i="4"/>
  <c r="CC660" i="4"/>
  <c r="AA660" i="4"/>
  <c r="BO658" i="4"/>
  <c r="BG658" i="4"/>
  <c r="BP658" i="4" s="1"/>
  <c r="BQ658" i="4" s="1"/>
  <c r="BC660" i="4"/>
  <c r="W660" i="4"/>
  <c r="CK660" i="4"/>
  <c r="BI660" i="4"/>
  <c r="AL661" i="4"/>
  <c r="AR661" i="4" s="1"/>
  <c r="AX661" i="4" s="1"/>
  <c r="BD661" i="4" s="1"/>
  <c r="M662" i="4"/>
  <c r="AU659" i="4"/>
  <c r="BA659" i="4" s="1"/>
  <c r="BH659" i="4"/>
  <c r="BV659" i="4" s="1"/>
  <c r="BY659" i="4" s="1"/>
  <c r="S662" i="4"/>
  <c r="CG662" i="4"/>
  <c r="BV658" i="4"/>
  <c r="BY658" i="4" s="1"/>
  <c r="BL658" i="4"/>
  <c r="BK659" i="4"/>
  <c r="AQ661" i="4"/>
  <c r="AW661" i="4" s="1"/>
  <c r="AM660" i="4" l="1"/>
  <c r="AS660" i="4" s="1"/>
  <c r="AY660" i="4" s="1"/>
  <c r="BE660" i="4" s="1"/>
  <c r="AA661" i="4"/>
  <c r="AN660" i="4"/>
  <c r="AT660" i="4" s="1"/>
  <c r="AZ660" i="4" s="1"/>
  <c r="BF660" i="4" s="1"/>
  <c r="AB661" i="4"/>
  <c r="X661" i="4"/>
  <c r="AJ660" i="4"/>
  <c r="AP660" i="4" s="1"/>
  <c r="AV660" i="4" s="1"/>
  <c r="BB660" i="4" s="1"/>
  <c r="BO659" i="4"/>
  <c r="BG659" i="4"/>
  <c r="BP659" i="4" s="1"/>
  <c r="BQ659" i="4" s="1"/>
  <c r="CE660" i="4"/>
  <c r="AC660" i="4"/>
  <c r="T662" i="4"/>
  <c r="CH662" i="4"/>
  <c r="BI661" i="4"/>
  <c r="BS660" i="4"/>
  <c r="BL659" i="4"/>
  <c r="BM658" i="4"/>
  <c r="BN658" i="4" s="1"/>
  <c r="BC661" i="4"/>
  <c r="CA662" i="4"/>
  <c r="Y662" i="4"/>
  <c r="AN661" i="4" l="1"/>
  <c r="AT661" i="4" s="1"/>
  <c r="AZ661" i="4" s="1"/>
  <c r="BF661" i="4" s="1"/>
  <c r="O662" i="4"/>
  <c r="AJ661" i="4"/>
  <c r="AP661" i="4" s="1"/>
  <c r="AV661" i="4" s="1"/>
  <c r="BB661" i="4" s="1"/>
  <c r="K662" i="4"/>
  <c r="AM661" i="4"/>
  <c r="AS661" i="4" s="1"/>
  <c r="AY661" i="4" s="1"/>
  <c r="BE661" i="4" s="1"/>
  <c r="N662" i="4"/>
  <c r="AC661" i="4"/>
  <c r="AO660" i="4"/>
  <c r="BJ660" i="4"/>
  <c r="BS661" i="4"/>
  <c r="CB662" i="4"/>
  <c r="Z662" i="4"/>
  <c r="Y663" i="4"/>
  <c r="AK662" i="4"/>
  <c r="BM659" i="4"/>
  <c r="BN659" i="4" s="1"/>
  <c r="U662" i="4" l="1"/>
  <c r="CI662" i="4"/>
  <c r="R662" i="4"/>
  <c r="CF662" i="4"/>
  <c r="V662" i="4"/>
  <c r="CJ662" i="4"/>
  <c r="AQ662" i="4"/>
  <c r="AW662" i="4" s="1"/>
  <c r="BK660" i="4"/>
  <c r="AO661" i="4"/>
  <c r="P662" i="4"/>
  <c r="BJ661" i="4"/>
  <c r="AK663" i="4"/>
  <c r="L664" i="4"/>
  <c r="AU660" i="4"/>
  <c r="BA660" i="4" s="1"/>
  <c r="BH660" i="4"/>
  <c r="AL662" i="4"/>
  <c r="AR662" i="4" s="1"/>
  <c r="AX662" i="4" s="1"/>
  <c r="BD662" i="4" s="1"/>
  <c r="Z663" i="4"/>
  <c r="CD662" i="4" l="1"/>
  <c r="AB662" i="4"/>
  <c r="BZ662" i="4"/>
  <c r="X662" i="4"/>
  <c r="AA662" i="4"/>
  <c r="CC662" i="4"/>
  <c r="W662" i="4"/>
  <c r="CK662" i="4"/>
  <c r="BI662" i="4"/>
  <c r="AL663" i="4"/>
  <c r="AR663" i="4" s="1"/>
  <c r="AX663" i="4" s="1"/>
  <c r="BD663" i="4" s="1"/>
  <c r="M664" i="4"/>
  <c r="AU661" i="4"/>
  <c r="BA661" i="4" s="1"/>
  <c r="BH661" i="4"/>
  <c r="BV661" i="4" s="1"/>
  <c r="BY661" i="4" s="1"/>
  <c r="BV660" i="4"/>
  <c r="BY660" i="4" s="1"/>
  <c r="BL660" i="4"/>
  <c r="BO660" i="4"/>
  <c r="BG660" i="4"/>
  <c r="BP660" i="4" s="1"/>
  <c r="BQ660" i="4" s="1"/>
  <c r="S664" i="4"/>
  <c r="CG664" i="4"/>
  <c r="L40" i="4"/>
  <c r="AQ663" i="4"/>
  <c r="AW663" i="4" s="1"/>
  <c r="BK661" i="4"/>
  <c r="BC662" i="4"/>
  <c r="AM662" i="4" l="1"/>
  <c r="AS662" i="4" s="1"/>
  <c r="AY662" i="4" s="1"/>
  <c r="BE662" i="4"/>
  <c r="AA663" i="4"/>
  <c r="AJ662" i="4"/>
  <c r="AP662" i="4" s="1"/>
  <c r="AV662" i="4" s="1"/>
  <c r="X663" i="4"/>
  <c r="BB662" i="4"/>
  <c r="AN662" i="4"/>
  <c r="AT662" i="4" s="1"/>
  <c r="AZ662" i="4" s="1"/>
  <c r="BF662" i="4" s="1"/>
  <c r="AB663" i="4"/>
  <c r="BL661" i="4"/>
  <c r="BM660" i="4"/>
  <c r="BN660" i="4" s="1"/>
  <c r="BC663" i="4"/>
  <c r="BO661" i="4"/>
  <c r="BG661" i="4"/>
  <c r="BP661" i="4" s="1"/>
  <c r="BQ661" i="4" s="1"/>
  <c r="CH664" i="4"/>
  <c r="T664" i="4"/>
  <c r="M40" i="4"/>
  <c r="BI663" i="4"/>
  <c r="BS662" i="4"/>
  <c r="CA664" i="4"/>
  <c r="S40" i="4"/>
  <c r="Y664" i="4"/>
  <c r="CE662" i="4"/>
  <c r="AC662" i="4"/>
  <c r="AJ663" i="4" l="1"/>
  <c r="AP663" i="4" s="1"/>
  <c r="AV663" i="4" s="1"/>
  <c r="K664" i="4"/>
  <c r="BB663" i="4"/>
  <c r="AN663" i="4"/>
  <c r="AT663" i="4" s="1"/>
  <c r="AZ663" i="4" s="1"/>
  <c r="BF663" i="4" s="1"/>
  <c r="O664" i="4"/>
  <c r="AM663" i="4"/>
  <c r="AS663" i="4" s="1"/>
  <c r="AY663" i="4" s="1"/>
  <c r="BE663" i="4" s="1"/>
  <c r="N664" i="4"/>
  <c r="AO662" i="4"/>
  <c r="AC663" i="4"/>
  <c r="BJ662" i="4"/>
  <c r="BM661" i="4"/>
  <c r="BN661" i="4" s="1"/>
  <c r="Y665" i="4"/>
  <c r="AK664" i="4"/>
  <c r="BS663" i="4"/>
  <c r="CB664" i="4"/>
  <c r="T40" i="4"/>
  <c r="Z664" i="4"/>
  <c r="CJ664" i="4" l="1"/>
  <c r="O40" i="4"/>
  <c r="V664" i="4"/>
  <c r="U664" i="4"/>
  <c r="N40" i="4"/>
  <c r="CI664" i="4"/>
  <c r="R664" i="4"/>
  <c r="K40" i="4"/>
  <c r="CF664" i="4"/>
  <c r="AL664" i="4"/>
  <c r="AR664" i="4" s="1"/>
  <c r="AX664" i="4" s="1"/>
  <c r="Z665" i="4"/>
  <c r="BD664" i="4"/>
  <c r="AK665" i="4"/>
  <c r="Y40" i="4"/>
  <c r="AQ664" i="4"/>
  <c r="AW664" i="4" s="1"/>
  <c r="BK662" i="4"/>
  <c r="AO663" i="4"/>
  <c r="P664" i="4"/>
  <c r="BJ663" i="4"/>
  <c r="AU662" i="4"/>
  <c r="BA662" i="4" s="1"/>
  <c r="BH662" i="4"/>
  <c r="AA664" i="4" l="1"/>
  <c r="CC664" i="4"/>
  <c r="U40" i="4"/>
  <c r="BZ664" i="4"/>
  <c r="R40" i="4"/>
  <c r="X664" i="4"/>
  <c r="CD664" i="4"/>
  <c r="AB664" i="4"/>
  <c r="V40" i="4"/>
  <c r="BV662" i="4"/>
  <c r="BY662" i="4" s="1"/>
  <c r="BL662" i="4"/>
  <c r="BK663" i="4"/>
  <c r="AL665" i="4"/>
  <c r="Z40" i="4"/>
  <c r="BO662" i="4"/>
  <c r="BG662" i="4"/>
  <c r="BP662" i="4" s="1"/>
  <c r="BQ662" i="4" s="1"/>
  <c r="W664" i="4"/>
  <c r="CK664" i="4"/>
  <c r="L7" i="4"/>
  <c r="L6" i="4"/>
  <c r="P40" i="4"/>
  <c r="BI664" i="4"/>
  <c r="AU663" i="4"/>
  <c r="BA663" i="4" s="1"/>
  <c r="BH663" i="4"/>
  <c r="BV663" i="4" s="1"/>
  <c r="BY663" i="4" s="1"/>
  <c r="AQ665" i="4"/>
  <c r="AW665" i="4" s="1"/>
  <c r="AK40" i="4"/>
  <c r="BC664" i="4"/>
  <c r="AN664" i="4" l="1"/>
  <c r="AT664" i="4" s="1"/>
  <c r="AZ664" i="4" s="1"/>
  <c r="BF664" i="4" s="1"/>
  <c r="AB665" i="4"/>
  <c r="AJ664" i="4"/>
  <c r="X665" i="4"/>
  <c r="AM664" i="4"/>
  <c r="AS664" i="4" s="1"/>
  <c r="AY664" i="4" s="1"/>
  <c r="BE664" i="4" s="1"/>
  <c r="AA665" i="4"/>
  <c r="BC665" i="4"/>
  <c r="AR665" i="4"/>
  <c r="AX665" i="4" s="1"/>
  <c r="BD665" i="4" s="1"/>
  <c r="BD40" i="4" s="1"/>
  <c r="AL40" i="4"/>
  <c r="BO663" i="4"/>
  <c r="BG663" i="4"/>
  <c r="BP663" i="4" s="1"/>
  <c r="BQ663" i="4" s="1"/>
  <c r="BI665" i="4"/>
  <c r="BS664" i="4"/>
  <c r="CE664" i="4"/>
  <c r="W40" i="4"/>
  <c r="AC664" i="4"/>
  <c r="BL663" i="4"/>
  <c r="BM662" i="4"/>
  <c r="BN662" i="4" s="1"/>
  <c r="L5" i="4"/>
  <c r="AA40" i="4" l="1"/>
  <c r="AM665" i="4"/>
  <c r="X40" i="4"/>
  <c r="AJ665" i="4"/>
  <c r="AP665" i="4" s="1"/>
  <c r="AP664" i="4"/>
  <c r="AV664" i="4" s="1"/>
  <c r="BB664" i="4" s="1"/>
  <c r="AJ40" i="4"/>
  <c r="AB40" i="4"/>
  <c r="AN665" i="4"/>
  <c r="BM663" i="4"/>
  <c r="BN663" i="4" s="1"/>
  <c r="AC665" i="4"/>
  <c r="AO664" i="4"/>
  <c r="BJ664" i="4"/>
  <c r="BI40" i="4"/>
  <c r="BS665" i="4"/>
  <c r="BC40" i="4"/>
  <c r="AT665" i="4" l="1"/>
  <c r="AZ665" i="4" s="1"/>
  <c r="BF665" i="4" s="1"/>
  <c r="BF40" i="4" s="1"/>
  <c r="AN40" i="4"/>
  <c r="AV665" i="4"/>
  <c r="BB665" i="4" s="1"/>
  <c r="BB40" i="4" s="1"/>
  <c r="AM40" i="4"/>
  <c r="AS665" i="4"/>
  <c r="AY665" i="4" s="1"/>
  <c r="BE665" i="4" s="1"/>
  <c r="BE40" i="4" s="1"/>
  <c r="BK664" i="4"/>
  <c r="AO665" i="4"/>
  <c r="AC40" i="4"/>
  <c r="BJ665" i="4"/>
  <c r="AU664" i="4"/>
  <c r="BA664" i="4" s="1"/>
  <c r="BH664" i="4"/>
  <c r="BO664" i="4" l="1"/>
  <c r="BG664" i="4"/>
  <c r="BP664" i="4" s="1"/>
  <c r="BQ664" i="4" s="1"/>
  <c r="BV664" i="4"/>
  <c r="BY664" i="4" s="1"/>
  <c r="BL664" i="4"/>
  <c r="AU665" i="4"/>
  <c r="BA665" i="4" s="1"/>
  <c r="AO40" i="4"/>
  <c r="BH665" i="4"/>
  <c r="BJ40" i="4"/>
  <c r="L10" i="4" s="1"/>
  <c r="BK665" i="4"/>
  <c r="BK40" i="4" s="1"/>
  <c r="BL665" i="4" l="1"/>
  <c r="BM664" i="4"/>
  <c r="BN664" i="4" s="1"/>
  <c r="BV665" i="4"/>
  <c r="BH40" i="4"/>
  <c r="BO665" i="4"/>
  <c r="BO40" i="4" s="1"/>
  <c r="L11" i="4" s="1"/>
  <c r="L9" i="4" s="1"/>
  <c r="O5" i="4" s="1"/>
  <c r="BG665" i="4"/>
  <c r="BG40" i="4" l="1"/>
  <c r="BP665" i="4"/>
  <c r="BY665" i="4"/>
  <c r="BY40" i="4" s="1"/>
  <c r="BV40" i="4"/>
  <c r="BL40" i="4"/>
  <c r="BM665" i="4"/>
  <c r="BN665" i="4" l="1"/>
  <c r="BN40" i="4" s="1"/>
  <c r="BM40" i="4"/>
  <c r="BQ665" i="4"/>
  <c r="BP40" i="4"/>
  <c r="R5" i="4" l="1"/>
  <c r="L2" i="4"/>
  <c r="P5" i="4"/>
  <c r="BQ40" i="4"/>
  <c r="O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tweak</author>
  </authors>
  <commentList>
    <comment ref="BT4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Adjusted
1:2</t>
        </r>
      </text>
    </comment>
    <comment ref="BU4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tweak:</t>
        </r>
        <r>
          <rPr>
            <sz val="9"/>
            <color indexed="81"/>
            <rFont val="Tahoma"/>
            <family val="2"/>
          </rPr>
          <t xml:space="preserve">
Adjusted
1:2</t>
        </r>
      </text>
    </comment>
  </commentList>
</comments>
</file>

<file path=xl/sharedStrings.xml><?xml version="1.0" encoding="utf-8"?>
<sst xmlns="http://schemas.openxmlformats.org/spreadsheetml/2006/main" count="105" uniqueCount="69">
  <si>
    <t>VTI</t>
  </si>
  <si>
    <t>VTV</t>
  </si>
  <si>
    <t>VOE</t>
  </si>
  <si>
    <t>VBR</t>
  </si>
  <si>
    <t>VEA</t>
  </si>
  <si>
    <t>VWO</t>
  </si>
  <si>
    <t>Date</t>
  </si>
  <si>
    <t>Total Value</t>
  </si>
  <si>
    <t>Total</t>
  </si>
  <si>
    <t>Increment</t>
  </si>
  <si>
    <t>Average Price</t>
  </si>
  <si>
    <t>Absolute Total Invested</t>
  </si>
  <si>
    <t>Close</t>
  </si>
  <si>
    <t>Portfolio Weight</t>
  </si>
  <si>
    <t>Return</t>
  </si>
  <si>
    <t xml:space="preserve">Weekly </t>
  </si>
  <si>
    <t>Monthly</t>
  </si>
  <si>
    <t>Quarterly</t>
  </si>
  <si>
    <t>None</t>
  </si>
  <si>
    <t>Yearly</t>
  </si>
  <si>
    <t>Bi-weekly</t>
  </si>
  <si>
    <t>Total Shares (#)</t>
  </si>
  <si>
    <t>Total Value ($)</t>
  </si>
  <si>
    <t>New Total Shares (#)</t>
  </si>
  <si>
    <t>Return (%)</t>
  </si>
  <si>
    <t>Dividend Payout/Share ($)</t>
  </si>
  <si>
    <t>Dividend Value ($)</t>
  </si>
  <si>
    <t>Dividend Payout ($)</t>
  </si>
  <si>
    <t>Principal ($)</t>
  </si>
  <si>
    <t>Symbol</t>
  </si>
  <si>
    <t>S&amp;P 500</t>
  </si>
  <si>
    <t>Cash Flows</t>
  </si>
  <si>
    <t>Incremental Value</t>
  </si>
  <si>
    <t>Annual</t>
  </si>
  <si>
    <t>DJI</t>
  </si>
  <si>
    <t>Difference</t>
  </si>
  <si>
    <t>Pricing</t>
  </si>
  <si>
    <t>Total Additional Shares (#)</t>
  </si>
  <si>
    <t>Additional Shares (#)</t>
  </si>
  <si>
    <t>Cash Flows ($)</t>
  </si>
  <si>
    <t>Shares Purchased (#)</t>
  </si>
  <si>
    <t>Amount Purchased ($)</t>
  </si>
  <si>
    <t>Shares Purchased/Sold (#)</t>
  </si>
  <si>
    <t>Supplemental Data</t>
  </si>
  <si>
    <t>Beta</t>
  </si>
  <si>
    <t>Frequency</t>
  </si>
  <si>
    <t>Initial</t>
  </si>
  <si>
    <t>Shares</t>
  </si>
  <si>
    <t>Weighted Price</t>
  </si>
  <si>
    <t>Input</t>
  </si>
  <si>
    <t>Invested</t>
  </si>
  <si>
    <r>
      <t>D</t>
    </r>
    <r>
      <rPr>
        <vertAlign val="subscript"/>
        <sz val="10"/>
        <color theme="1"/>
        <rFont val="Calibri"/>
        <family val="2"/>
        <scheme val="minor"/>
      </rPr>
      <t>i</t>
    </r>
  </si>
  <si>
    <r>
      <t>W</t>
    </r>
    <r>
      <rPr>
        <vertAlign val="subscript"/>
        <sz val="10"/>
        <color theme="1"/>
        <rFont val="Calibri"/>
        <family val="2"/>
        <scheme val="minor"/>
      </rPr>
      <t>i</t>
    </r>
  </si>
  <si>
    <r>
      <t>W</t>
    </r>
    <r>
      <rPr>
        <vertAlign val="subscript"/>
        <sz val="10"/>
        <color theme="1"/>
        <rFont val="Calibri"/>
        <family val="2"/>
        <scheme val="minor"/>
      </rPr>
      <t>i</t>
    </r>
    <r>
      <rPr>
        <sz val="10"/>
        <color theme="1"/>
        <rFont val="Calibri"/>
        <family val="2"/>
        <scheme val="minor"/>
      </rPr>
      <t xml:space="preserve"> x F</t>
    </r>
    <r>
      <rPr>
        <vertAlign val="subscript"/>
        <sz val="10"/>
        <color theme="1"/>
        <rFont val="Calibri"/>
        <family val="2"/>
        <scheme val="minor"/>
      </rPr>
      <t>i</t>
    </r>
  </si>
  <si>
    <t>Nasdaq</t>
  </si>
  <si>
    <t xml:space="preserve">  Value Cost Averaging (VCA)</t>
  </si>
  <si>
    <t>Net deposit</t>
  </si>
  <si>
    <t>Deposits</t>
  </si>
  <si>
    <t>Withdrawals</t>
  </si>
  <si>
    <t>Earnings</t>
  </si>
  <si>
    <t>Market Changes</t>
  </si>
  <si>
    <t>Dividends</t>
  </si>
  <si>
    <t>Management fees</t>
  </si>
  <si>
    <t>Balance</t>
  </si>
  <si>
    <t>Simple Earnings</t>
  </si>
  <si>
    <t>Internal Rate of Return</t>
  </si>
  <si>
    <t>Net Cash Flow</t>
  </si>
  <si>
    <t>Cumulative</t>
  </si>
  <si>
    <t>Annualized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</si>
</sst>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 tint="-0.249977111117893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theme="0" tint="-0.249977111117893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 style="thin">
        <color rgb="FF3F3F3F"/>
      </left>
      <right style="thin">
        <color theme="1" tint="0.34998626667073579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1"/>
      </left>
      <right style="thin">
        <color theme="1" tint="0.34998626667073579"/>
      </right>
      <top/>
      <bottom style="thin">
        <color theme="1"/>
      </bottom>
      <diagonal/>
    </border>
  </borders>
  <cellStyleXfs count="4">
    <xf numFmtId="0" fontId="0" fillId="0" borderId="0"/>
    <xf numFmtId="0" fontId="3" fillId="0" borderId="0"/>
    <xf numFmtId="0" fontId="10" fillId="12" borderId="7" applyNumberFormat="0" applyAlignment="0" applyProtection="0"/>
    <xf numFmtId="0" fontId="11" fillId="13" borderId="8" applyNumberFormat="0" applyAlignment="0" applyProtection="0"/>
  </cellStyleXfs>
  <cellXfs count="107">
    <xf numFmtId="0" fontId="0" fillId="0" borderId="0" xfId="0"/>
    <xf numFmtId="0" fontId="4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vertical="center"/>
    </xf>
    <xf numFmtId="0" fontId="7" fillId="7" borderId="0" xfId="0" applyFont="1" applyFill="1" applyAlignment="1">
      <alignment horizontal="left"/>
    </xf>
    <xf numFmtId="1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4" fontId="5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2" fontId="5" fillId="0" borderId="0" xfId="0" applyNumberFormat="1" applyFont="1" applyAlignment="1">
      <alignment vertical="center"/>
    </xf>
    <xf numFmtId="44" fontId="5" fillId="7" borderId="0" xfId="0" applyNumberFormat="1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7" fillId="0" borderId="0" xfId="0" applyFont="1"/>
    <xf numFmtId="0" fontId="7" fillId="0" borderId="3" xfId="0" applyFont="1" applyBorder="1"/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9" fillId="8" borderId="0" xfId="0" applyFont="1" applyFill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7" borderId="0" xfId="0" applyFont="1" applyFill="1" applyAlignment="1">
      <alignment horizontal="left" vertical="center" indent="2"/>
    </xf>
    <xf numFmtId="0" fontId="7" fillId="7" borderId="0" xfId="0" applyFont="1" applyFill="1" applyAlignment="1">
      <alignment horizontal="left" indent="2"/>
    </xf>
    <xf numFmtId="49" fontId="8" fillId="7" borderId="0" xfId="0" applyNumberFormat="1" applyFont="1" applyFill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/>
    <xf numFmtId="0" fontId="8" fillId="7" borderId="0" xfId="0" applyFont="1" applyFill="1" applyAlignment="1">
      <alignment horizontal="left"/>
    </xf>
    <xf numFmtId="0" fontId="8" fillId="7" borderId="0" xfId="0" applyFont="1" applyFill="1"/>
    <xf numFmtId="0" fontId="7" fillId="7" borderId="0" xfId="0" applyFont="1" applyFill="1" applyAlignment="1">
      <alignment horizontal="left" vertical="center"/>
    </xf>
    <xf numFmtId="2" fontId="8" fillId="7" borderId="0" xfId="0" applyNumberFormat="1" applyFont="1" applyFill="1" applyAlignment="1">
      <alignment horizontal="right" vertical="center"/>
    </xf>
    <xf numFmtId="0" fontId="9" fillId="8" borderId="10" xfId="0" applyFont="1" applyFill="1" applyBorder="1" applyAlignment="1">
      <alignment horizontal="left" vertical="center" indent="1"/>
    </xf>
    <xf numFmtId="0" fontId="8" fillId="7" borderId="0" xfId="0" applyFont="1" applyFill="1" applyAlignment="1">
      <alignment horizontal="right" vertical="center" indent="2"/>
    </xf>
    <xf numFmtId="10" fontId="7" fillId="0" borderId="0" xfId="0" applyNumberFormat="1" applyFont="1" applyAlignment="1">
      <alignment vertical="center"/>
    </xf>
    <xf numFmtId="0" fontId="8" fillId="7" borderId="0" xfId="0" applyFont="1" applyFill="1" applyAlignment="1">
      <alignment horizontal="left" vertical="center" indent="3"/>
    </xf>
    <xf numFmtId="165" fontId="8" fillId="2" borderId="9" xfId="0" applyNumberFormat="1" applyFont="1" applyFill="1" applyBorder="1" applyAlignment="1">
      <alignment horizontal="right" vertical="center" indent="2"/>
    </xf>
    <xf numFmtId="0" fontId="7" fillId="3" borderId="10" xfId="0" applyFont="1" applyFill="1" applyBorder="1" applyAlignment="1">
      <alignment horizontal="left"/>
    </xf>
    <xf numFmtId="0" fontId="7" fillId="3" borderId="10" xfId="0" applyFont="1" applyFill="1" applyBorder="1" applyAlignment="1">
      <alignment horizontal="center" vertical="center"/>
    </xf>
    <xf numFmtId="0" fontId="7" fillId="3" borderId="10" xfId="0" applyFont="1" applyFill="1" applyBorder="1"/>
    <xf numFmtId="0" fontId="7" fillId="14" borderId="6" xfId="0" applyFont="1" applyFill="1" applyBorder="1" applyAlignment="1">
      <alignment horizontal="center" vertical="center"/>
    </xf>
    <xf numFmtId="0" fontId="7" fillId="14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7" fillId="14" borderId="5" xfId="0" applyNumberFormat="1" applyFont="1" applyFill="1" applyBorder="1" applyAlignment="1">
      <alignment horizontal="center" vertical="center"/>
    </xf>
    <xf numFmtId="10" fontId="7" fillId="14" borderId="13" xfId="0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10" fontId="7" fillId="0" borderId="0" xfId="0" applyNumberFormat="1" applyFont="1"/>
    <xf numFmtId="165" fontId="8" fillId="7" borderId="0" xfId="0" applyNumberFormat="1" applyFont="1" applyFill="1" applyAlignment="1">
      <alignment horizontal="center" vertical="center"/>
    </xf>
    <xf numFmtId="10" fontId="8" fillId="7" borderId="0" xfId="0" applyNumberFormat="1" applyFont="1" applyFill="1" applyAlignment="1">
      <alignment horizontal="center" vertical="center"/>
    </xf>
    <xf numFmtId="44" fontId="7" fillId="0" borderId="0" xfId="0" applyNumberFormat="1" applyFont="1"/>
    <xf numFmtId="44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44" fontId="8" fillId="3" borderId="10" xfId="0" applyNumberFormat="1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44" fontId="8" fillId="3" borderId="2" xfId="0" applyNumberFormat="1" applyFont="1" applyFill="1" applyBorder="1" applyAlignment="1">
      <alignment horizontal="left" vertical="center"/>
    </xf>
    <xf numFmtId="164" fontId="8" fillId="3" borderId="2" xfId="0" applyNumberFormat="1" applyFont="1" applyFill="1" applyBorder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44" fontId="8" fillId="3" borderId="2" xfId="0" applyNumberFormat="1" applyFont="1" applyFill="1" applyBorder="1" applyAlignment="1">
      <alignment horizontal="center" vertical="center"/>
    </xf>
    <xf numFmtId="44" fontId="8" fillId="3" borderId="2" xfId="0" applyNumberFormat="1" applyFont="1" applyFill="1" applyBorder="1" applyAlignment="1">
      <alignment horizontal="right" vertical="center"/>
    </xf>
    <xf numFmtId="10" fontId="8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/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9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left" vertical="center"/>
    </xf>
    <xf numFmtId="2" fontId="7" fillId="2" borderId="0" xfId="0" applyNumberFormat="1" applyFont="1" applyFill="1" applyAlignment="1">
      <alignment horizontal="center" vertical="center"/>
    </xf>
    <xf numFmtId="14" fontId="7" fillId="0" borderId="0" xfId="0" applyNumberFormat="1" applyFont="1" applyAlignment="1">
      <alignment horizontal="left"/>
    </xf>
    <xf numFmtId="44" fontId="7" fillId="0" borderId="3" xfId="0" applyNumberFormat="1" applyFont="1" applyBorder="1" applyAlignment="1">
      <alignment vertical="center"/>
    </xf>
    <xf numFmtId="4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7" borderId="0" xfId="0" applyFont="1" applyFill="1" applyAlignment="1">
      <alignment horizontal="left" vertical="center"/>
    </xf>
    <xf numFmtId="44" fontId="8" fillId="7" borderId="0" xfId="0" applyNumberFormat="1" applyFont="1" applyFill="1" applyAlignment="1">
      <alignment horizontal="center" vertical="center"/>
    </xf>
    <xf numFmtId="14" fontId="7" fillId="0" borderId="0" xfId="0" applyNumberFormat="1" applyFont="1"/>
    <xf numFmtId="9" fontId="7" fillId="0" borderId="0" xfId="0" applyNumberFormat="1" applyFont="1"/>
    <xf numFmtId="0" fontId="8" fillId="8" borderId="0" xfId="0" applyFont="1" applyFill="1" applyAlignment="1">
      <alignment horizontal="left" vertical="center" indent="1"/>
    </xf>
    <xf numFmtId="0" fontId="7" fillId="8" borderId="0" xfId="0" applyFont="1" applyFill="1" applyAlignment="1">
      <alignment horizontal="left" vertical="center" indent="1"/>
    </xf>
    <xf numFmtId="2" fontId="7" fillId="13" borderId="11" xfId="3" applyNumberFormat="1" applyFont="1" applyBorder="1" applyAlignment="1">
      <alignment horizontal="right" vertical="center" indent="1"/>
    </xf>
    <xf numFmtId="0" fontId="8" fillId="7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44" fontId="7" fillId="14" borderId="1" xfId="2" applyNumberFormat="1" applyFont="1" applyFill="1" applyBorder="1" applyAlignment="1">
      <alignment horizontal="center" vertical="center"/>
    </xf>
    <xf numFmtId="2" fontId="7" fillId="7" borderId="0" xfId="3" applyNumberFormat="1" applyFont="1" applyFill="1" applyBorder="1" applyAlignment="1">
      <alignment horizontal="right" vertical="center" indent="1"/>
    </xf>
    <xf numFmtId="10" fontId="7" fillId="7" borderId="0" xfId="3" applyNumberFormat="1" applyFont="1" applyFill="1" applyBorder="1" applyAlignment="1">
      <alignment horizontal="right" vertical="center" indent="1"/>
    </xf>
    <xf numFmtId="10" fontId="8" fillId="7" borderId="0" xfId="3" applyNumberFormat="1" applyFont="1" applyFill="1" applyBorder="1" applyAlignment="1">
      <alignment horizontal="right" vertical="center" indent="1"/>
    </xf>
    <xf numFmtId="10" fontId="7" fillId="13" borderId="11" xfId="3" applyNumberFormat="1" applyFont="1" applyBorder="1" applyAlignment="1">
      <alignment horizontal="right" vertical="center" indent="1"/>
    </xf>
    <xf numFmtId="0" fontId="7" fillId="14" borderId="1" xfId="2" applyFont="1" applyFill="1" applyBorder="1" applyAlignment="1">
      <alignment horizontal="right" vertical="center" indent="1"/>
    </xf>
    <xf numFmtId="165" fontId="7" fillId="7" borderId="0" xfId="3" applyNumberFormat="1" applyFont="1" applyFill="1" applyBorder="1" applyAlignment="1">
      <alignment horizontal="right" vertical="center" indent="1"/>
    </xf>
    <xf numFmtId="165" fontId="8" fillId="7" borderId="0" xfId="3" applyNumberFormat="1" applyFont="1" applyFill="1" applyBorder="1" applyAlignment="1">
      <alignment horizontal="right" vertical="center" indent="1"/>
    </xf>
    <xf numFmtId="0" fontId="7" fillId="8" borderId="10" xfId="0" applyFont="1" applyFill="1" applyBorder="1" applyAlignment="1">
      <alignment horizontal="left" vertical="center" indent="1"/>
    </xf>
    <xf numFmtId="165" fontId="7" fillId="7" borderId="0" xfId="0" applyNumberFormat="1" applyFont="1" applyFill="1" applyAlignment="1">
      <alignment horizontal="right" vertical="center" indent="2"/>
    </xf>
    <xf numFmtId="2" fontId="7" fillId="7" borderId="0" xfId="0" applyNumberFormat="1" applyFont="1" applyFill="1" applyAlignment="1">
      <alignment horizontal="right" vertical="center" indent="2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0" fontId="5" fillId="0" borderId="0" xfId="0" applyNumberFormat="1" applyFont="1" applyAlignment="1">
      <alignment horizontal="right" vertical="center"/>
    </xf>
  </cellXfs>
  <cellStyles count="4">
    <cellStyle name="Input" xfId="2" builtinId="20"/>
    <cellStyle name="Normal" xfId="0" builtinId="0"/>
    <cellStyle name="Normal 2" xfId="1" xr:uid="{00000000-0005-0000-0000-000002000000}"/>
    <cellStyle name="Output" xfId="3" builtinId="21"/>
  </cellStyles>
  <dxfs count="5">
    <dxf>
      <font>
        <color rgb="FF9C0006"/>
      </font>
      <fill>
        <patternFill>
          <bgColor rgb="FFFFC7CE"/>
        </patternFill>
      </fill>
    </dxf>
    <dxf>
      <font>
        <color rgb="FF92D050"/>
      </font>
    </dxf>
    <dxf>
      <font>
        <color rgb="FFFF0000"/>
      </font>
    </dxf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99FF33"/>
      <color rgb="FF66FF33"/>
      <color rgb="FF99FF66"/>
      <color rgb="FF00FF00"/>
      <color rgb="FFFFFFCC"/>
      <color rgb="FF003366"/>
      <color rgb="FF00FFFF"/>
      <color rgb="FFC85D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cap="none" spc="2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>
                <a:solidFill>
                  <a:schemeClr val="tx1">
                    <a:lumMod val="75000"/>
                    <a:lumOff val="25000"/>
                  </a:schemeClr>
                </a:solidFill>
              </a:rPr>
              <a:t>$ Value Performance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990162687997332"/>
          <c:y val="0.1319148610073376"/>
          <c:w val="0.75702959005124359"/>
          <c:h val="0.71770049235648836"/>
        </c:manualLayout>
      </c:layout>
      <c:areaChart>
        <c:grouping val="standard"/>
        <c:varyColors val="0"/>
        <c:ser>
          <c:idx val="0"/>
          <c:order val="0"/>
          <c:tx>
            <c:v>Invested</c:v>
          </c:tx>
          <c:spPr>
            <a:solidFill>
              <a:schemeClr val="accent5">
                <a:lumMod val="40000"/>
                <a:lumOff val="60000"/>
              </a:schemeClr>
            </a:solidFill>
            <a:ln w="15875">
              <a:solidFill>
                <a:srgbClr val="002060"/>
              </a:solidFill>
            </a:ln>
          </c:spPr>
          <c:cat>
            <c:numRef>
              <c:f>Sheet1!$B$42:$B$665</c:f>
              <c:numCache>
                <c:formatCode>m/d/yyyy</c:formatCode>
                <c:ptCount val="624"/>
                <c:pt idx="0">
                  <c:v>39293</c:v>
                </c:pt>
                <c:pt idx="1">
                  <c:v>39300</c:v>
                </c:pt>
                <c:pt idx="2">
                  <c:v>39307</c:v>
                </c:pt>
                <c:pt idx="3">
                  <c:v>39314</c:v>
                </c:pt>
                <c:pt idx="4">
                  <c:v>39321</c:v>
                </c:pt>
                <c:pt idx="5">
                  <c:v>39329</c:v>
                </c:pt>
                <c:pt idx="6">
                  <c:v>39335</c:v>
                </c:pt>
                <c:pt idx="7">
                  <c:v>39342</c:v>
                </c:pt>
                <c:pt idx="8">
                  <c:v>39349</c:v>
                </c:pt>
                <c:pt idx="9">
                  <c:v>39356</c:v>
                </c:pt>
                <c:pt idx="10">
                  <c:v>39363</c:v>
                </c:pt>
                <c:pt idx="11">
                  <c:v>39370</c:v>
                </c:pt>
                <c:pt idx="12">
                  <c:v>39377</c:v>
                </c:pt>
                <c:pt idx="13">
                  <c:v>39384</c:v>
                </c:pt>
                <c:pt idx="14">
                  <c:v>39391</c:v>
                </c:pt>
                <c:pt idx="15">
                  <c:v>39398</c:v>
                </c:pt>
                <c:pt idx="16">
                  <c:v>39405</c:v>
                </c:pt>
                <c:pt idx="17">
                  <c:v>39412</c:v>
                </c:pt>
                <c:pt idx="18">
                  <c:v>39419</c:v>
                </c:pt>
                <c:pt idx="19">
                  <c:v>39426</c:v>
                </c:pt>
                <c:pt idx="20">
                  <c:v>39433</c:v>
                </c:pt>
                <c:pt idx="21">
                  <c:v>39440</c:v>
                </c:pt>
                <c:pt idx="22">
                  <c:v>39447</c:v>
                </c:pt>
                <c:pt idx="23">
                  <c:v>39454</c:v>
                </c:pt>
                <c:pt idx="24">
                  <c:v>39461</c:v>
                </c:pt>
                <c:pt idx="25">
                  <c:v>39469</c:v>
                </c:pt>
                <c:pt idx="26">
                  <c:v>39475</c:v>
                </c:pt>
                <c:pt idx="27">
                  <c:v>39482</c:v>
                </c:pt>
                <c:pt idx="28">
                  <c:v>39489</c:v>
                </c:pt>
                <c:pt idx="29">
                  <c:v>39497</c:v>
                </c:pt>
                <c:pt idx="30">
                  <c:v>39503</c:v>
                </c:pt>
                <c:pt idx="31">
                  <c:v>39510</c:v>
                </c:pt>
                <c:pt idx="32">
                  <c:v>39517</c:v>
                </c:pt>
                <c:pt idx="33">
                  <c:v>39524</c:v>
                </c:pt>
                <c:pt idx="34">
                  <c:v>39531</c:v>
                </c:pt>
                <c:pt idx="35">
                  <c:v>39538</c:v>
                </c:pt>
                <c:pt idx="36">
                  <c:v>39545</c:v>
                </c:pt>
                <c:pt idx="37">
                  <c:v>39552</c:v>
                </c:pt>
                <c:pt idx="38">
                  <c:v>39559</c:v>
                </c:pt>
                <c:pt idx="39">
                  <c:v>39566</c:v>
                </c:pt>
                <c:pt idx="40">
                  <c:v>39573</c:v>
                </c:pt>
                <c:pt idx="41">
                  <c:v>39580</c:v>
                </c:pt>
                <c:pt idx="42">
                  <c:v>39587</c:v>
                </c:pt>
                <c:pt idx="43">
                  <c:v>39595</c:v>
                </c:pt>
                <c:pt idx="44">
                  <c:v>39601</c:v>
                </c:pt>
                <c:pt idx="45">
                  <c:v>39608</c:v>
                </c:pt>
                <c:pt idx="46">
                  <c:v>39615</c:v>
                </c:pt>
                <c:pt idx="47">
                  <c:v>39622</c:v>
                </c:pt>
                <c:pt idx="48">
                  <c:v>39629</c:v>
                </c:pt>
                <c:pt idx="49">
                  <c:v>39636</c:v>
                </c:pt>
                <c:pt idx="50">
                  <c:v>39643</c:v>
                </c:pt>
                <c:pt idx="51">
                  <c:v>39650</c:v>
                </c:pt>
                <c:pt idx="52">
                  <c:v>39657</c:v>
                </c:pt>
                <c:pt idx="53">
                  <c:v>39664</c:v>
                </c:pt>
                <c:pt idx="54">
                  <c:v>39671</c:v>
                </c:pt>
                <c:pt idx="55">
                  <c:v>39678</c:v>
                </c:pt>
                <c:pt idx="56">
                  <c:v>39685</c:v>
                </c:pt>
                <c:pt idx="57">
                  <c:v>39693</c:v>
                </c:pt>
                <c:pt idx="58">
                  <c:v>39699</c:v>
                </c:pt>
                <c:pt idx="59">
                  <c:v>39706</c:v>
                </c:pt>
                <c:pt idx="60">
                  <c:v>39713</c:v>
                </c:pt>
                <c:pt idx="61">
                  <c:v>39720</c:v>
                </c:pt>
                <c:pt idx="62">
                  <c:v>39727</c:v>
                </c:pt>
                <c:pt idx="63">
                  <c:v>39734</c:v>
                </c:pt>
                <c:pt idx="64">
                  <c:v>39741</c:v>
                </c:pt>
                <c:pt idx="65">
                  <c:v>39748</c:v>
                </c:pt>
                <c:pt idx="66">
                  <c:v>39755</c:v>
                </c:pt>
                <c:pt idx="67">
                  <c:v>39762</c:v>
                </c:pt>
                <c:pt idx="68">
                  <c:v>39769</c:v>
                </c:pt>
                <c:pt idx="69">
                  <c:v>39776</c:v>
                </c:pt>
                <c:pt idx="70">
                  <c:v>39783</c:v>
                </c:pt>
                <c:pt idx="71">
                  <c:v>39790</c:v>
                </c:pt>
                <c:pt idx="72">
                  <c:v>39797</c:v>
                </c:pt>
                <c:pt idx="73">
                  <c:v>39804</c:v>
                </c:pt>
                <c:pt idx="74">
                  <c:v>39811</c:v>
                </c:pt>
                <c:pt idx="75">
                  <c:v>39818</c:v>
                </c:pt>
                <c:pt idx="76">
                  <c:v>39825</c:v>
                </c:pt>
                <c:pt idx="77">
                  <c:v>39833</c:v>
                </c:pt>
                <c:pt idx="78">
                  <c:v>39839</c:v>
                </c:pt>
                <c:pt idx="79">
                  <c:v>39846</c:v>
                </c:pt>
                <c:pt idx="80">
                  <c:v>39853</c:v>
                </c:pt>
                <c:pt idx="81">
                  <c:v>39861</c:v>
                </c:pt>
                <c:pt idx="82">
                  <c:v>39867</c:v>
                </c:pt>
                <c:pt idx="83">
                  <c:v>39874</c:v>
                </c:pt>
                <c:pt idx="84">
                  <c:v>39881</c:v>
                </c:pt>
                <c:pt idx="85">
                  <c:v>39888</c:v>
                </c:pt>
                <c:pt idx="86">
                  <c:v>39895</c:v>
                </c:pt>
                <c:pt idx="87">
                  <c:v>39902</c:v>
                </c:pt>
                <c:pt idx="88">
                  <c:v>39909</c:v>
                </c:pt>
                <c:pt idx="89">
                  <c:v>39916</c:v>
                </c:pt>
                <c:pt idx="90">
                  <c:v>39923</c:v>
                </c:pt>
                <c:pt idx="91">
                  <c:v>39930</c:v>
                </c:pt>
                <c:pt idx="92">
                  <c:v>39937</c:v>
                </c:pt>
                <c:pt idx="93">
                  <c:v>39944</c:v>
                </c:pt>
                <c:pt idx="94">
                  <c:v>39951</c:v>
                </c:pt>
                <c:pt idx="95">
                  <c:v>39959</c:v>
                </c:pt>
                <c:pt idx="96">
                  <c:v>39965</c:v>
                </c:pt>
                <c:pt idx="97">
                  <c:v>39972</c:v>
                </c:pt>
                <c:pt idx="98">
                  <c:v>39979</c:v>
                </c:pt>
                <c:pt idx="99">
                  <c:v>39986</c:v>
                </c:pt>
                <c:pt idx="100">
                  <c:v>39993</c:v>
                </c:pt>
                <c:pt idx="101">
                  <c:v>40000</c:v>
                </c:pt>
                <c:pt idx="102">
                  <c:v>40007</c:v>
                </c:pt>
                <c:pt idx="103">
                  <c:v>40014</c:v>
                </c:pt>
                <c:pt idx="104">
                  <c:v>40021</c:v>
                </c:pt>
                <c:pt idx="105">
                  <c:v>40028</c:v>
                </c:pt>
                <c:pt idx="106">
                  <c:v>40035</c:v>
                </c:pt>
                <c:pt idx="107">
                  <c:v>40042</c:v>
                </c:pt>
                <c:pt idx="108">
                  <c:v>40049</c:v>
                </c:pt>
                <c:pt idx="109">
                  <c:v>40056</c:v>
                </c:pt>
                <c:pt idx="110">
                  <c:v>40064</c:v>
                </c:pt>
                <c:pt idx="111">
                  <c:v>40070</c:v>
                </c:pt>
                <c:pt idx="112">
                  <c:v>40077</c:v>
                </c:pt>
                <c:pt idx="113">
                  <c:v>40084</c:v>
                </c:pt>
                <c:pt idx="114">
                  <c:v>40091</c:v>
                </c:pt>
                <c:pt idx="115">
                  <c:v>40098</c:v>
                </c:pt>
                <c:pt idx="116">
                  <c:v>40105</c:v>
                </c:pt>
                <c:pt idx="117">
                  <c:v>40112</c:v>
                </c:pt>
                <c:pt idx="118">
                  <c:v>40119</c:v>
                </c:pt>
                <c:pt idx="119">
                  <c:v>40126</c:v>
                </c:pt>
                <c:pt idx="120">
                  <c:v>40133</c:v>
                </c:pt>
                <c:pt idx="121">
                  <c:v>40140</c:v>
                </c:pt>
                <c:pt idx="122">
                  <c:v>40147</c:v>
                </c:pt>
                <c:pt idx="123">
                  <c:v>40154</c:v>
                </c:pt>
                <c:pt idx="124">
                  <c:v>40161</c:v>
                </c:pt>
                <c:pt idx="125">
                  <c:v>40168</c:v>
                </c:pt>
                <c:pt idx="126">
                  <c:v>40175</c:v>
                </c:pt>
                <c:pt idx="127">
                  <c:v>40182</c:v>
                </c:pt>
                <c:pt idx="128">
                  <c:v>40189</c:v>
                </c:pt>
                <c:pt idx="129">
                  <c:v>40197</c:v>
                </c:pt>
                <c:pt idx="130">
                  <c:v>40203</c:v>
                </c:pt>
                <c:pt idx="131">
                  <c:v>40210</c:v>
                </c:pt>
                <c:pt idx="132">
                  <c:v>40217</c:v>
                </c:pt>
                <c:pt idx="133">
                  <c:v>40225</c:v>
                </c:pt>
                <c:pt idx="134">
                  <c:v>40231</c:v>
                </c:pt>
                <c:pt idx="135">
                  <c:v>40238</c:v>
                </c:pt>
                <c:pt idx="136">
                  <c:v>40245</c:v>
                </c:pt>
                <c:pt idx="137">
                  <c:v>40252</c:v>
                </c:pt>
                <c:pt idx="138">
                  <c:v>40259</c:v>
                </c:pt>
                <c:pt idx="139">
                  <c:v>40266</c:v>
                </c:pt>
                <c:pt idx="140">
                  <c:v>40273</c:v>
                </c:pt>
                <c:pt idx="141">
                  <c:v>40280</c:v>
                </c:pt>
                <c:pt idx="142">
                  <c:v>40287</c:v>
                </c:pt>
                <c:pt idx="143">
                  <c:v>40294</c:v>
                </c:pt>
                <c:pt idx="144">
                  <c:v>40301</c:v>
                </c:pt>
                <c:pt idx="145">
                  <c:v>40308</c:v>
                </c:pt>
                <c:pt idx="146">
                  <c:v>40315</c:v>
                </c:pt>
                <c:pt idx="147">
                  <c:v>40322</c:v>
                </c:pt>
                <c:pt idx="148">
                  <c:v>40330</c:v>
                </c:pt>
                <c:pt idx="149">
                  <c:v>40336</c:v>
                </c:pt>
                <c:pt idx="150">
                  <c:v>40343</c:v>
                </c:pt>
                <c:pt idx="151">
                  <c:v>40350</c:v>
                </c:pt>
                <c:pt idx="152">
                  <c:v>40357</c:v>
                </c:pt>
                <c:pt idx="153">
                  <c:v>40365</c:v>
                </c:pt>
                <c:pt idx="154">
                  <c:v>40371</c:v>
                </c:pt>
                <c:pt idx="155">
                  <c:v>40378</c:v>
                </c:pt>
                <c:pt idx="156">
                  <c:v>40385</c:v>
                </c:pt>
                <c:pt idx="157">
                  <c:v>40392</c:v>
                </c:pt>
                <c:pt idx="158">
                  <c:v>40399</c:v>
                </c:pt>
                <c:pt idx="159">
                  <c:v>40406</c:v>
                </c:pt>
                <c:pt idx="160">
                  <c:v>40413</c:v>
                </c:pt>
                <c:pt idx="161">
                  <c:v>40420</c:v>
                </c:pt>
                <c:pt idx="162">
                  <c:v>40428</c:v>
                </c:pt>
                <c:pt idx="163">
                  <c:v>40434</c:v>
                </c:pt>
                <c:pt idx="164">
                  <c:v>40441</c:v>
                </c:pt>
                <c:pt idx="165">
                  <c:v>40448</c:v>
                </c:pt>
                <c:pt idx="166">
                  <c:v>40455</c:v>
                </c:pt>
                <c:pt idx="167">
                  <c:v>40462</c:v>
                </c:pt>
                <c:pt idx="168">
                  <c:v>40469</c:v>
                </c:pt>
                <c:pt idx="169">
                  <c:v>40476</c:v>
                </c:pt>
                <c:pt idx="170">
                  <c:v>40483</c:v>
                </c:pt>
                <c:pt idx="171">
                  <c:v>40490</c:v>
                </c:pt>
                <c:pt idx="172">
                  <c:v>40497</c:v>
                </c:pt>
                <c:pt idx="173">
                  <c:v>40504</c:v>
                </c:pt>
                <c:pt idx="174">
                  <c:v>40511</c:v>
                </c:pt>
                <c:pt idx="175">
                  <c:v>40518</c:v>
                </c:pt>
                <c:pt idx="176">
                  <c:v>40525</c:v>
                </c:pt>
                <c:pt idx="177">
                  <c:v>40532</c:v>
                </c:pt>
                <c:pt idx="178">
                  <c:v>40539</c:v>
                </c:pt>
                <c:pt idx="179">
                  <c:v>40546</c:v>
                </c:pt>
                <c:pt idx="180">
                  <c:v>40553</c:v>
                </c:pt>
                <c:pt idx="181">
                  <c:v>40561</c:v>
                </c:pt>
                <c:pt idx="182">
                  <c:v>40567</c:v>
                </c:pt>
                <c:pt idx="183">
                  <c:v>40574</c:v>
                </c:pt>
                <c:pt idx="184">
                  <c:v>40581</c:v>
                </c:pt>
                <c:pt idx="185">
                  <c:v>40588</c:v>
                </c:pt>
                <c:pt idx="186">
                  <c:v>40596</c:v>
                </c:pt>
                <c:pt idx="187">
                  <c:v>40602</c:v>
                </c:pt>
                <c:pt idx="188">
                  <c:v>40609</c:v>
                </c:pt>
                <c:pt idx="189">
                  <c:v>40616</c:v>
                </c:pt>
                <c:pt idx="190">
                  <c:v>40623</c:v>
                </c:pt>
                <c:pt idx="191">
                  <c:v>40630</c:v>
                </c:pt>
                <c:pt idx="192">
                  <c:v>40637</c:v>
                </c:pt>
                <c:pt idx="193">
                  <c:v>40644</c:v>
                </c:pt>
                <c:pt idx="194">
                  <c:v>40651</c:v>
                </c:pt>
                <c:pt idx="195">
                  <c:v>40658</c:v>
                </c:pt>
                <c:pt idx="196">
                  <c:v>40665</c:v>
                </c:pt>
                <c:pt idx="197">
                  <c:v>40672</c:v>
                </c:pt>
                <c:pt idx="198">
                  <c:v>40679</c:v>
                </c:pt>
                <c:pt idx="199">
                  <c:v>40686</c:v>
                </c:pt>
                <c:pt idx="200">
                  <c:v>40694</c:v>
                </c:pt>
                <c:pt idx="201">
                  <c:v>40700</c:v>
                </c:pt>
                <c:pt idx="202">
                  <c:v>40707</c:v>
                </c:pt>
                <c:pt idx="203">
                  <c:v>40714</c:v>
                </c:pt>
                <c:pt idx="204">
                  <c:v>40721</c:v>
                </c:pt>
                <c:pt idx="205">
                  <c:v>40729</c:v>
                </c:pt>
                <c:pt idx="206">
                  <c:v>40735</c:v>
                </c:pt>
                <c:pt idx="207">
                  <c:v>40742</c:v>
                </c:pt>
                <c:pt idx="208">
                  <c:v>40749</c:v>
                </c:pt>
                <c:pt idx="209">
                  <c:v>40756</c:v>
                </c:pt>
                <c:pt idx="210">
                  <c:v>40763</c:v>
                </c:pt>
                <c:pt idx="211">
                  <c:v>40770</c:v>
                </c:pt>
                <c:pt idx="212">
                  <c:v>40777</c:v>
                </c:pt>
                <c:pt idx="213">
                  <c:v>40784</c:v>
                </c:pt>
                <c:pt idx="214">
                  <c:v>40792</c:v>
                </c:pt>
                <c:pt idx="215">
                  <c:v>40798</c:v>
                </c:pt>
                <c:pt idx="216">
                  <c:v>40805</c:v>
                </c:pt>
                <c:pt idx="217">
                  <c:v>40812</c:v>
                </c:pt>
                <c:pt idx="218">
                  <c:v>40819</c:v>
                </c:pt>
                <c:pt idx="219">
                  <c:v>40826</c:v>
                </c:pt>
                <c:pt idx="220">
                  <c:v>40833</c:v>
                </c:pt>
                <c:pt idx="221">
                  <c:v>40840</c:v>
                </c:pt>
                <c:pt idx="222">
                  <c:v>40847</c:v>
                </c:pt>
                <c:pt idx="223">
                  <c:v>40854</c:v>
                </c:pt>
                <c:pt idx="224">
                  <c:v>40861</c:v>
                </c:pt>
                <c:pt idx="225">
                  <c:v>40868</c:v>
                </c:pt>
                <c:pt idx="226">
                  <c:v>40875</c:v>
                </c:pt>
                <c:pt idx="227">
                  <c:v>40882</c:v>
                </c:pt>
                <c:pt idx="228">
                  <c:v>40889</c:v>
                </c:pt>
                <c:pt idx="229">
                  <c:v>40896</c:v>
                </c:pt>
                <c:pt idx="230">
                  <c:v>40904</c:v>
                </c:pt>
                <c:pt idx="231">
                  <c:v>40911</c:v>
                </c:pt>
                <c:pt idx="232">
                  <c:v>40917</c:v>
                </c:pt>
                <c:pt idx="233">
                  <c:v>40925</c:v>
                </c:pt>
                <c:pt idx="234">
                  <c:v>40931</c:v>
                </c:pt>
                <c:pt idx="235">
                  <c:v>40938</c:v>
                </c:pt>
                <c:pt idx="236">
                  <c:v>40945</c:v>
                </c:pt>
                <c:pt idx="237">
                  <c:v>40952</c:v>
                </c:pt>
                <c:pt idx="238">
                  <c:v>40960</c:v>
                </c:pt>
                <c:pt idx="239">
                  <c:v>40966</c:v>
                </c:pt>
                <c:pt idx="240">
                  <c:v>40973</c:v>
                </c:pt>
                <c:pt idx="241">
                  <c:v>40980</c:v>
                </c:pt>
                <c:pt idx="242">
                  <c:v>40987</c:v>
                </c:pt>
                <c:pt idx="243">
                  <c:v>40994</c:v>
                </c:pt>
                <c:pt idx="244">
                  <c:v>41001</c:v>
                </c:pt>
                <c:pt idx="245">
                  <c:v>41008</c:v>
                </c:pt>
                <c:pt idx="246">
                  <c:v>41015</c:v>
                </c:pt>
                <c:pt idx="247">
                  <c:v>41022</c:v>
                </c:pt>
                <c:pt idx="248">
                  <c:v>41029</c:v>
                </c:pt>
                <c:pt idx="249">
                  <c:v>41036</c:v>
                </c:pt>
                <c:pt idx="250">
                  <c:v>41043</c:v>
                </c:pt>
                <c:pt idx="251">
                  <c:v>41050</c:v>
                </c:pt>
                <c:pt idx="252">
                  <c:v>41058</c:v>
                </c:pt>
                <c:pt idx="253">
                  <c:v>41064</c:v>
                </c:pt>
                <c:pt idx="254">
                  <c:v>41071</c:v>
                </c:pt>
                <c:pt idx="255">
                  <c:v>41078</c:v>
                </c:pt>
                <c:pt idx="256">
                  <c:v>41085</c:v>
                </c:pt>
                <c:pt idx="257">
                  <c:v>41092</c:v>
                </c:pt>
                <c:pt idx="258">
                  <c:v>41099</c:v>
                </c:pt>
                <c:pt idx="259">
                  <c:v>41106</c:v>
                </c:pt>
                <c:pt idx="260">
                  <c:v>41113</c:v>
                </c:pt>
                <c:pt idx="261">
                  <c:v>41120</c:v>
                </c:pt>
                <c:pt idx="262">
                  <c:v>41127</c:v>
                </c:pt>
                <c:pt idx="263">
                  <c:v>41134</c:v>
                </c:pt>
                <c:pt idx="264">
                  <c:v>41141</c:v>
                </c:pt>
                <c:pt idx="265">
                  <c:v>41148</c:v>
                </c:pt>
                <c:pt idx="266">
                  <c:v>41156</c:v>
                </c:pt>
                <c:pt idx="267">
                  <c:v>41162</c:v>
                </c:pt>
                <c:pt idx="268">
                  <c:v>41169</c:v>
                </c:pt>
                <c:pt idx="269">
                  <c:v>41176</c:v>
                </c:pt>
                <c:pt idx="270">
                  <c:v>41183</c:v>
                </c:pt>
                <c:pt idx="271">
                  <c:v>41190</c:v>
                </c:pt>
                <c:pt idx="272">
                  <c:v>41197</c:v>
                </c:pt>
                <c:pt idx="273">
                  <c:v>41204</c:v>
                </c:pt>
                <c:pt idx="274">
                  <c:v>41213</c:v>
                </c:pt>
                <c:pt idx="275">
                  <c:v>41218</c:v>
                </c:pt>
                <c:pt idx="276">
                  <c:v>41225</c:v>
                </c:pt>
                <c:pt idx="277">
                  <c:v>41232</c:v>
                </c:pt>
                <c:pt idx="278">
                  <c:v>41239</c:v>
                </c:pt>
                <c:pt idx="279">
                  <c:v>41246</c:v>
                </c:pt>
                <c:pt idx="280">
                  <c:v>41253</c:v>
                </c:pt>
                <c:pt idx="281">
                  <c:v>41260</c:v>
                </c:pt>
                <c:pt idx="282">
                  <c:v>41267</c:v>
                </c:pt>
                <c:pt idx="283">
                  <c:v>41274</c:v>
                </c:pt>
                <c:pt idx="284">
                  <c:v>41281</c:v>
                </c:pt>
                <c:pt idx="285">
                  <c:v>41288</c:v>
                </c:pt>
                <c:pt idx="286">
                  <c:v>41296</c:v>
                </c:pt>
                <c:pt idx="287">
                  <c:v>41302</c:v>
                </c:pt>
                <c:pt idx="288">
                  <c:v>41309</c:v>
                </c:pt>
                <c:pt idx="289">
                  <c:v>41316</c:v>
                </c:pt>
                <c:pt idx="290">
                  <c:v>41324</c:v>
                </c:pt>
                <c:pt idx="291">
                  <c:v>41330</c:v>
                </c:pt>
                <c:pt idx="292">
                  <c:v>41337</c:v>
                </c:pt>
                <c:pt idx="293">
                  <c:v>41344</c:v>
                </c:pt>
                <c:pt idx="294">
                  <c:v>41351</c:v>
                </c:pt>
                <c:pt idx="295">
                  <c:v>41358</c:v>
                </c:pt>
                <c:pt idx="296">
                  <c:v>41365</c:v>
                </c:pt>
                <c:pt idx="297">
                  <c:v>41372</c:v>
                </c:pt>
                <c:pt idx="298">
                  <c:v>41379</c:v>
                </c:pt>
                <c:pt idx="299">
                  <c:v>41386</c:v>
                </c:pt>
                <c:pt idx="300">
                  <c:v>41393</c:v>
                </c:pt>
                <c:pt idx="301">
                  <c:v>41400</c:v>
                </c:pt>
                <c:pt idx="302">
                  <c:v>41407</c:v>
                </c:pt>
                <c:pt idx="303">
                  <c:v>41414</c:v>
                </c:pt>
                <c:pt idx="304">
                  <c:v>41422</c:v>
                </c:pt>
                <c:pt idx="305">
                  <c:v>41428</c:v>
                </c:pt>
                <c:pt idx="306">
                  <c:v>41435</c:v>
                </c:pt>
                <c:pt idx="307">
                  <c:v>41442</c:v>
                </c:pt>
                <c:pt idx="308">
                  <c:v>41449</c:v>
                </c:pt>
                <c:pt idx="309">
                  <c:v>41456</c:v>
                </c:pt>
                <c:pt idx="310">
                  <c:v>41463</c:v>
                </c:pt>
                <c:pt idx="311">
                  <c:v>41470</c:v>
                </c:pt>
                <c:pt idx="312">
                  <c:v>41477</c:v>
                </c:pt>
                <c:pt idx="313">
                  <c:v>41484</c:v>
                </c:pt>
                <c:pt idx="314">
                  <c:v>41491</c:v>
                </c:pt>
                <c:pt idx="315">
                  <c:v>41498</c:v>
                </c:pt>
                <c:pt idx="316">
                  <c:v>41505</c:v>
                </c:pt>
                <c:pt idx="317">
                  <c:v>41512</c:v>
                </c:pt>
                <c:pt idx="318">
                  <c:v>41520</c:v>
                </c:pt>
                <c:pt idx="319">
                  <c:v>41526</c:v>
                </c:pt>
                <c:pt idx="320">
                  <c:v>41533</c:v>
                </c:pt>
                <c:pt idx="321">
                  <c:v>41540</c:v>
                </c:pt>
                <c:pt idx="322">
                  <c:v>41547</c:v>
                </c:pt>
                <c:pt idx="323">
                  <c:v>41554</c:v>
                </c:pt>
                <c:pt idx="324">
                  <c:v>41561</c:v>
                </c:pt>
                <c:pt idx="325">
                  <c:v>41568</c:v>
                </c:pt>
                <c:pt idx="326">
                  <c:v>41575</c:v>
                </c:pt>
                <c:pt idx="327">
                  <c:v>41582</c:v>
                </c:pt>
                <c:pt idx="328">
                  <c:v>41589</c:v>
                </c:pt>
                <c:pt idx="329">
                  <c:v>41596</c:v>
                </c:pt>
                <c:pt idx="330">
                  <c:v>41603</c:v>
                </c:pt>
                <c:pt idx="331">
                  <c:v>41610</c:v>
                </c:pt>
                <c:pt idx="332">
                  <c:v>41617</c:v>
                </c:pt>
                <c:pt idx="333">
                  <c:v>41624</c:v>
                </c:pt>
                <c:pt idx="334">
                  <c:v>41631</c:v>
                </c:pt>
                <c:pt idx="335">
                  <c:v>41638</c:v>
                </c:pt>
                <c:pt idx="336">
                  <c:v>41645</c:v>
                </c:pt>
                <c:pt idx="337">
                  <c:v>41652</c:v>
                </c:pt>
                <c:pt idx="338">
                  <c:v>41660</c:v>
                </c:pt>
                <c:pt idx="339">
                  <c:v>41666</c:v>
                </c:pt>
                <c:pt idx="340">
                  <c:v>41673</c:v>
                </c:pt>
                <c:pt idx="341">
                  <c:v>41680</c:v>
                </c:pt>
                <c:pt idx="342">
                  <c:v>41688</c:v>
                </c:pt>
                <c:pt idx="343">
                  <c:v>41694</c:v>
                </c:pt>
                <c:pt idx="344">
                  <c:v>41701</c:v>
                </c:pt>
                <c:pt idx="345">
                  <c:v>41708</c:v>
                </c:pt>
                <c:pt idx="346">
                  <c:v>41715</c:v>
                </c:pt>
                <c:pt idx="347">
                  <c:v>41722</c:v>
                </c:pt>
                <c:pt idx="348">
                  <c:v>41729</c:v>
                </c:pt>
                <c:pt idx="349">
                  <c:v>41736</c:v>
                </c:pt>
                <c:pt idx="350">
                  <c:v>41743</c:v>
                </c:pt>
                <c:pt idx="351">
                  <c:v>41750</c:v>
                </c:pt>
                <c:pt idx="352">
                  <c:v>41757</c:v>
                </c:pt>
                <c:pt idx="353">
                  <c:v>41764</c:v>
                </c:pt>
                <c:pt idx="354">
                  <c:v>41771</c:v>
                </c:pt>
                <c:pt idx="355">
                  <c:v>41778</c:v>
                </c:pt>
                <c:pt idx="356">
                  <c:v>41786</c:v>
                </c:pt>
                <c:pt idx="357">
                  <c:v>41792</c:v>
                </c:pt>
                <c:pt idx="358">
                  <c:v>41799</c:v>
                </c:pt>
                <c:pt idx="359">
                  <c:v>41806</c:v>
                </c:pt>
                <c:pt idx="360">
                  <c:v>41813</c:v>
                </c:pt>
                <c:pt idx="361">
                  <c:v>41820</c:v>
                </c:pt>
                <c:pt idx="362">
                  <c:v>41827</c:v>
                </c:pt>
                <c:pt idx="363">
                  <c:v>41834</c:v>
                </c:pt>
                <c:pt idx="364">
                  <c:v>41841</c:v>
                </c:pt>
                <c:pt idx="365">
                  <c:v>41848</c:v>
                </c:pt>
                <c:pt idx="366">
                  <c:v>41855</c:v>
                </c:pt>
                <c:pt idx="367">
                  <c:v>41862</c:v>
                </c:pt>
                <c:pt idx="368">
                  <c:v>41869</c:v>
                </c:pt>
                <c:pt idx="369">
                  <c:v>41876</c:v>
                </c:pt>
                <c:pt idx="370">
                  <c:v>41884</c:v>
                </c:pt>
                <c:pt idx="371">
                  <c:v>41890</c:v>
                </c:pt>
                <c:pt idx="372">
                  <c:v>41897</c:v>
                </c:pt>
                <c:pt idx="373">
                  <c:v>41904</c:v>
                </c:pt>
                <c:pt idx="374">
                  <c:v>41911</c:v>
                </c:pt>
                <c:pt idx="375">
                  <c:v>41918</c:v>
                </c:pt>
                <c:pt idx="376">
                  <c:v>41925</c:v>
                </c:pt>
                <c:pt idx="377">
                  <c:v>41932</c:v>
                </c:pt>
                <c:pt idx="378">
                  <c:v>41939</c:v>
                </c:pt>
                <c:pt idx="379">
                  <c:v>41946</c:v>
                </c:pt>
                <c:pt idx="380">
                  <c:v>41953</c:v>
                </c:pt>
                <c:pt idx="381">
                  <c:v>41960</c:v>
                </c:pt>
                <c:pt idx="382">
                  <c:v>41967</c:v>
                </c:pt>
                <c:pt idx="383">
                  <c:v>41974</c:v>
                </c:pt>
                <c:pt idx="384">
                  <c:v>41981</c:v>
                </c:pt>
                <c:pt idx="385">
                  <c:v>41988</c:v>
                </c:pt>
                <c:pt idx="386">
                  <c:v>41995</c:v>
                </c:pt>
                <c:pt idx="387">
                  <c:v>42002</c:v>
                </c:pt>
                <c:pt idx="388">
                  <c:v>42009</c:v>
                </c:pt>
                <c:pt idx="389">
                  <c:v>42016</c:v>
                </c:pt>
                <c:pt idx="390">
                  <c:v>42024</c:v>
                </c:pt>
                <c:pt idx="391">
                  <c:v>42030</c:v>
                </c:pt>
                <c:pt idx="392">
                  <c:v>42037</c:v>
                </c:pt>
                <c:pt idx="393">
                  <c:v>42044</c:v>
                </c:pt>
                <c:pt idx="394">
                  <c:v>42052</c:v>
                </c:pt>
                <c:pt idx="395">
                  <c:v>42058</c:v>
                </c:pt>
                <c:pt idx="396">
                  <c:v>42065</c:v>
                </c:pt>
                <c:pt idx="397">
                  <c:v>42072</c:v>
                </c:pt>
                <c:pt idx="398">
                  <c:v>42079</c:v>
                </c:pt>
                <c:pt idx="399">
                  <c:v>42086</c:v>
                </c:pt>
                <c:pt idx="400">
                  <c:v>42093</c:v>
                </c:pt>
                <c:pt idx="401">
                  <c:v>42100</c:v>
                </c:pt>
                <c:pt idx="402">
                  <c:v>42107</c:v>
                </c:pt>
                <c:pt idx="403">
                  <c:v>42114</c:v>
                </c:pt>
                <c:pt idx="404">
                  <c:v>42121</c:v>
                </c:pt>
                <c:pt idx="405">
                  <c:v>42128</c:v>
                </c:pt>
                <c:pt idx="406">
                  <c:v>42135</c:v>
                </c:pt>
                <c:pt idx="407">
                  <c:v>42142</c:v>
                </c:pt>
                <c:pt idx="408">
                  <c:v>42150</c:v>
                </c:pt>
                <c:pt idx="409">
                  <c:v>42156</c:v>
                </c:pt>
                <c:pt idx="410">
                  <c:v>42163</c:v>
                </c:pt>
                <c:pt idx="411">
                  <c:v>42170</c:v>
                </c:pt>
                <c:pt idx="412">
                  <c:v>42177</c:v>
                </c:pt>
                <c:pt idx="413">
                  <c:v>42184</c:v>
                </c:pt>
                <c:pt idx="414">
                  <c:v>42191</c:v>
                </c:pt>
                <c:pt idx="415">
                  <c:v>42198</c:v>
                </c:pt>
                <c:pt idx="416">
                  <c:v>42205</c:v>
                </c:pt>
                <c:pt idx="417">
                  <c:v>42212</c:v>
                </c:pt>
                <c:pt idx="418">
                  <c:v>42219</c:v>
                </c:pt>
                <c:pt idx="419">
                  <c:v>42226</c:v>
                </c:pt>
                <c:pt idx="420">
                  <c:v>42233</c:v>
                </c:pt>
                <c:pt idx="421">
                  <c:v>42240</c:v>
                </c:pt>
                <c:pt idx="422">
                  <c:v>42247</c:v>
                </c:pt>
                <c:pt idx="423">
                  <c:v>42255</c:v>
                </c:pt>
                <c:pt idx="424">
                  <c:v>42261</c:v>
                </c:pt>
                <c:pt idx="425">
                  <c:v>42268</c:v>
                </c:pt>
                <c:pt idx="426">
                  <c:v>42275</c:v>
                </c:pt>
                <c:pt idx="427">
                  <c:v>42282</c:v>
                </c:pt>
                <c:pt idx="428">
                  <c:v>42289</c:v>
                </c:pt>
                <c:pt idx="429">
                  <c:v>42296</c:v>
                </c:pt>
                <c:pt idx="430">
                  <c:v>42303</c:v>
                </c:pt>
                <c:pt idx="431">
                  <c:v>42310</c:v>
                </c:pt>
                <c:pt idx="432">
                  <c:v>42317</c:v>
                </c:pt>
                <c:pt idx="433">
                  <c:v>42324</c:v>
                </c:pt>
                <c:pt idx="434">
                  <c:v>42331</c:v>
                </c:pt>
                <c:pt idx="435">
                  <c:v>42338</c:v>
                </c:pt>
                <c:pt idx="436">
                  <c:v>42345</c:v>
                </c:pt>
                <c:pt idx="437">
                  <c:v>42352</c:v>
                </c:pt>
                <c:pt idx="438">
                  <c:v>42359</c:v>
                </c:pt>
                <c:pt idx="439">
                  <c:v>42366</c:v>
                </c:pt>
                <c:pt idx="440">
                  <c:v>42373</c:v>
                </c:pt>
                <c:pt idx="441">
                  <c:v>42380</c:v>
                </c:pt>
                <c:pt idx="442">
                  <c:v>42388</c:v>
                </c:pt>
                <c:pt idx="443">
                  <c:v>42394</c:v>
                </c:pt>
                <c:pt idx="444">
                  <c:v>42401</c:v>
                </c:pt>
                <c:pt idx="445">
                  <c:v>42408</c:v>
                </c:pt>
                <c:pt idx="446">
                  <c:v>42416</c:v>
                </c:pt>
                <c:pt idx="447">
                  <c:v>42422</c:v>
                </c:pt>
                <c:pt idx="448">
                  <c:v>42429</c:v>
                </c:pt>
                <c:pt idx="449">
                  <c:v>42436</c:v>
                </c:pt>
                <c:pt idx="450">
                  <c:v>42443</c:v>
                </c:pt>
                <c:pt idx="451">
                  <c:v>42450</c:v>
                </c:pt>
                <c:pt idx="452">
                  <c:v>42457</c:v>
                </c:pt>
                <c:pt idx="453">
                  <c:v>42464</c:v>
                </c:pt>
                <c:pt idx="454">
                  <c:v>42471</c:v>
                </c:pt>
                <c:pt idx="455">
                  <c:v>42478</c:v>
                </c:pt>
                <c:pt idx="456">
                  <c:v>42485</c:v>
                </c:pt>
                <c:pt idx="457">
                  <c:v>42492</c:v>
                </c:pt>
                <c:pt idx="458">
                  <c:v>42499</c:v>
                </c:pt>
                <c:pt idx="459">
                  <c:v>42506</c:v>
                </c:pt>
                <c:pt idx="460">
                  <c:v>42513</c:v>
                </c:pt>
                <c:pt idx="461">
                  <c:v>42521</c:v>
                </c:pt>
                <c:pt idx="462">
                  <c:v>42527</c:v>
                </c:pt>
                <c:pt idx="463">
                  <c:v>42534</c:v>
                </c:pt>
                <c:pt idx="464">
                  <c:v>42541</c:v>
                </c:pt>
                <c:pt idx="465">
                  <c:v>42548</c:v>
                </c:pt>
                <c:pt idx="466">
                  <c:v>42556</c:v>
                </c:pt>
                <c:pt idx="467">
                  <c:v>42562</c:v>
                </c:pt>
                <c:pt idx="468">
                  <c:v>42569</c:v>
                </c:pt>
                <c:pt idx="469">
                  <c:v>42576</c:v>
                </c:pt>
                <c:pt idx="470">
                  <c:v>42583</c:v>
                </c:pt>
                <c:pt idx="471">
                  <c:v>42590</c:v>
                </c:pt>
                <c:pt idx="472">
                  <c:v>42597</c:v>
                </c:pt>
                <c:pt idx="473">
                  <c:v>42604</c:v>
                </c:pt>
                <c:pt idx="474">
                  <c:v>42611</c:v>
                </c:pt>
                <c:pt idx="475">
                  <c:v>42619</c:v>
                </c:pt>
                <c:pt idx="476">
                  <c:v>42625</c:v>
                </c:pt>
                <c:pt idx="477">
                  <c:v>42632</c:v>
                </c:pt>
                <c:pt idx="478">
                  <c:v>42639</c:v>
                </c:pt>
                <c:pt idx="479">
                  <c:v>42646</c:v>
                </c:pt>
                <c:pt idx="480">
                  <c:v>42653</c:v>
                </c:pt>
                <c:pt idx="481">
                  <c:v>42660</c:v>
                </c:pt>
                <c:pt idx="482">
                  <c:v>42667</c:v>
                </c:pt>
                <c:pt idx="483">
                  <c:v>42674</c:v>
                </c:pt>
                <c:pt idx="484">
                  <c:v>42681</c:v>
                </c:pt>
                <c:pt idx="485">
                  <c:v>42688</c:v>
                </c:pt>
                <c:pt idx="486">
                  <c:v>42695</c:v>
                </c:pt>
                <c:pt idx="487">
                  <c:v>42702</c:v>
                </c:pt>
                <c:pt idx="488">
                  <c:v>42709</c:v>
                </c:pt>
                <c:pt idx="489">
                  <c:v>42716</c:v>
                </c:pt>
                <c:pt idx="490">
                  <c:v>42723</c:v>
                </c:pt>
                <c:pt idx="491">
                  <c:v>42731</c:v>
                </c:pt>
                <c:pt idx="492">
                  <c:v>42736</c:v>
                </c:pt>
                <c:pt idx="493">
                  <c:v>42743</c:v>
                </c:pt>
                <c:pt idx="494">
                  <c:v>42750</c:v>
                </c:pt>
                <c:pt idx="495">
                  <c:v>42757</c:v>
                </c:pt>
                <c:pt idx="496">
                  <c:v>42764</c:v>
                </c:pt>
                <c:pt idx="497">
                  <c:v>42771</c:v>
                </c:pt>
                <c:pt idx="498">
                  <c:v>42778</c:v>
                </c:pt>
                <c:pt idx="499">
                  <c:v>42785</c:v>
                </c:pt>
                <c:pt idx="500">
                  <c:v>42792</c:v>
                </c:pt>
                <c:pt idx="501">
                  <c:v>42799</c:v>
                </c:pt>
                <c:pt idx="502">
                  <c:v>42806</c:v>
                </c:pt>
                <c:pt idx="503">
                  <c:v>42813</c:v>
                </c:pt>
                <c:pt idx="504">
                  <c:v>42820</c:v>
                </c:pt>
                <c:pt idx="505">
                  <c:v>42827</c:v>
                </c:pt>
                <c:pt idx="506">
                  <c:v>42834</c:v>
                </c:pt>
                <c:pt idx="507">
                  <c:v>42841</c:v>
                </c:pt>
                <c:pt idx="508">
                  <c:v>42848</c:v>
                </c:pt>
                <c:pt idx="509">
                  <c:v>42855</c:v>
                </c:pt>
                <c:pt idx="510">
                  <c:v>42862</c:v>
                </c:pt>
                <c:pt idx="511">
                  <c:v>42869</c:v>
                </c:pt>
                <c:pt idx="512">
                  <c:v>42876</c:v>
                </c:pt>
                <c:pt idx="513">
                  <c:v>42883</c:v>
                </c:pt>
                <c:pt idx="514">
                  <c:v>42890</c:v>
                </c:pt>
                <c:pt idx="515">
                  <c:v>42897</c:v>
                </c:pt>
                <c:pt idx="516">
                  <c:v>42904</c:v>
                </c:pt>
                <c:pt idx="517">
                  <c:v>42911</c:v>
                </c:pt>
                <c:pt idx="518">
                  <c:v>42918</c:v>
                </c:pt>
                <c:pt idx="519">
                  <c:v>42925</c:v>
                </c:pt>
                <c:pt idx="520">
                  <c:v>42932</c:v>
                </c:pt>
                <c:pt idx="521">
                  <c:v>42939</c:v>
                </c:pt>
                <c:pt idx="522">
                  <c:v>42946</c:v>
                </c:pt>
                <c:pt idx="523">
                  <c:v>42953</c:v>
                </c:pt>
                <c:pt idx="524">
                  <c:v>42960</c:v>
                </c:pt>
                <c:pt idx="525">
                  <c:v>42967</c:v>
                </c:pt>
                <c:pt idx="526">
                  <c:v>42974</c:v>
                </c:pt>
                <c:pt idx="527">
                  <c:v>42981</c:v>
                </c:pt>
                <c:pt idx="528">
                  <c:v>42988</c:v>
                </c:pt>
                <c:pt idx="529">
                  <c:v>42995</c:v>
                </c:pt>
                <c:pt idx="530">
                  <c:v>43002</c:v>
                </c:pt>
                <c:pt idx="531">
                  <c:v>43009</c:v>
                </c:pt>
                <c:pt idx="532">
                  <c:v>43016</c:v>
                </c:pt>
                <c:pt idx="533">
                  <c:v>43023</c:v>
                </c:pt>
                <c:pt idx="534">
                  <c:v>43030</c:v>
                </c:pt>
                <c:pt idx="535">
                  <c:v>43037</c:v>
                </c:pt>
                <c:pt idx="536">
                  <c:v>43044</c:v>
                </c:pt>
                <c:pt idx="537">
                  <c:v>43051</c:v>
                </c:pt>
                <c:pt idx="538">
                  <c:v>43058</c:v>
                </c:pt>
                <c:pt idx="539">
                  <c:v>43065</c:v>
                </c:pt>
                <c:pt idx="540">
                  <c:v>43072</c:v>
                </c:pt>
                <c:pt idx="541">
                  <c:v>43079</c:v>
                </c:pt>
                <c:pt idx="542">
                  <c:v>43086</c:v>
                </c:pt>
                <c:pt idx="543">
                  <c:v>43093</c:v>
                </c:pt>
                <c:pt idx="544">
                  <c:v>43100</c:v>
                </c:pt>
                <c:pt idx="545">
                  <c:v>43107</c:v>
                </c:pt>
                <c:pt idx="546">
                  <c:v>43114</c:v>
                </c:pt>
                <c:pt idx="547">
                  <c:v>43121</c:v>
                </c:pt>
                <c:pt idx="548">
                  <c:v>43128</c:v>
                </c:pt>
                <c:pt idx="549">
                  <c:v>43135</c:v>
                </c:pt>
                <c:pt idx="550">
                  <c:v>43142</c:v>
                </c:pt>
                <c:pt idx="551">
                  <c:v>43149</c:v>
                </c:pt>
                <c:pt idx="552">
                  <c:v>43156</c:v>
                </c:pt>
                <c:pt idx="553">
                  <c:v>43163</c:v>
                </c:pt>
                <c:pt idx="554">
                  <c:v>43170</c:v>
                </c:pt>
                <c:pt idx="555">
                  <c:v>43177</c:v>
                </c:pt>
                <c:pt idx="556">
                  <c:v>43184</c:v>
                </c:pt>
                <c:pt idx="557">
                  <c:v>43191</c:v>
                </c:pt>
                <c:pt idx="558">
                  <c:v>43198</c:v>
                </c:pt>
                <c:pt idx="559">
                  <c:v>43205</c:v>
                </c:pt>
                <c:pt idx="560">
                  <c:v>43212</c:v>
                </c:pt>
                <c:pt idx="561">
                  <c:v>43219</c:v>
                </c:pt>
                <c:pt idx="562">
                  <c:v>43226</c:v>
                </c:pt>
                <c:pt idx="563">
                  <c:v>43233</c:v>
                </c:pt>
                <c:pt idx="564">
                  <c:v>43240</c:v>
                </c:pt>
                <c:pt idx="565">
                  <c:v>43247</c:v>
                </c:pt>
                <c:pt idx="566">
                  <c:v>43254</c:v>
                </c:pt>
                <c:pt idx="567">
                  <c:v>43261</c:v>
                </c:pt>
                <c:pt idx="568">
                  <c:v>43268</c:v>
                </c:pt>
                <c:pt idx="569">
                  <c:v>43275</c:v>
                </c:pt>
                <c:pt idx="570">
                  <c:v>43282</c:v>
                </c:pt>
                <c:pt idx="571">
                  <c:v>43289</c:v>
                </c:pt>
                <c:pt idx="572">
                  <c:v>43296</c:v>
                </c:pt>
                <c:pt idx="573">
                  <c:v>43303</c:v>
                </c:pt>
                <c:pt idx="574">
                  <c:v>43310</c:v>
                </c:pt>
                <c:pt idx="575">
                  <c:v>43317</c:v>
                </c:pt>
                <c:pt idx="576">
                  <c:v>43324</c:v>
                </c:pt>
                <c:pt idx="577">
                  <c:v>43331</c:v>
                </c:pt>
                <c:pt idx="578">
                  <c:v>43338</c:v>
                </c:pt>
                <c:pt idx="579">
                  <c:v>43345</c:v>
                </c:pt>
                <c:pt idx="580">
                  <c:v>43352</c:v>
                </c:pt>
                <c:pt idx="581">
                  <c:v>43359</c:v>
                </c:pt>
                <c:pt idx="582">
                  <c:v>43366</c:v>
                </c:pt>
                <c:pt idx="583">
                  <c:v>43373</c:v>
                </c:pt>
                <c:pt idx="584">
                  <c:v>43380</c:v>
                </c:pt>
                <c:pt idx="585">
                  <c:v>43387</c:v>
                </c:pt>
                <c:pt idx="586">
                  <c:v>43394</c:v>
                </c:pt>
                <c:pt idx="587">
                  <c:v>43401</c:v>
                </c:pt>
                <c:pt idx="588">
                  <c:v>43408</c:v>
                </c:pt>
                <c:pt idx="589">
                  <c:v>43415</c:v>
                </c:pt>
                <c:pt idx="590">
                  <c:v>43422</c:v>
                </c:pt>
                <c:pt idx="591">
                  <c:v>43429</c:v>
                </c:pt>
                <c:pt idx="592">
                  <c:v>43436</c:v>
                </c:pt>
                <c:pt idx="593">
                  <c:v>43443</c:v>
                </c:pt>
                <c:pt idx="594">
                  <c:v>43450</c:v>
                </c:pt>
                <c:pt idx="595">
                  <c:v>43457</c:v>
                </c:pt>
                <c:pt idx="596">
                  <c:v>43464</c:v>
                </c:pt>
                <c:pt idx="597">
                  <c:v>43471</c:v>
                </c:pt>
                <c:pt idx="598">
                  <c:v>43478</c:v>
                </c:pt>
                <c:pt idx="599">
                  <c:v>43485</c:v>
                </c:pt>
                <c:pt idx="600">
                  <c:v>43492</c:v>
                </c:pt>
                <c:pt idx="601">
                  <c:v>43499</c:v>
                </c:pt>
                <c:pt idx="602">
                  <c:v>43506</c:v>
                </c:pt>
                <c:pt idx="603">
                  <c:v>43513</c:v>
                </c:pt>
                <c:pt idx="604">
                  <c:v>43520</c:v>
                </c:pt>
                <c:pt idx="605">
                  <c:v>43527</c:v>
                </c:pt>
                <c:pt idx="606">
                  <c:v>43534</c:v>
                </c:pt>
                <c:pt idx="607">
                  <c:v>43541</c:v>
                </c:pt>
                <c:pt idx="608">
                  <c:v>43548</c:v>
                </c:pt>
                <c:pt idx="609">
                  <c:v>43555</c:v>
                </c:pt>
                <c:pt idx="610">
                  <c:v>43562</c:v>
                </c:pt>
                <c:pt idx="611">
                  <c:v>43569</c:v>
                </c:pt>
                <c:pt idx="612">
                  <c:v>43576</c:v>
                </c:pt>
                <c:pt idx="613">
                  <c:v>43583</c:v>
                </c:pt>
                <c:pt idx="614">
                  <c:v>43590</c:v>
                </c:pt>
                <c:pt idx="615">
                  <c:v>43597</c:v>
                </c:pt>
                <c:pt idx="616">
                  <c:v>43604</c:v>
                </c:pt>
                <c:pt idx="617">
                  <c:v>43611</c:v>
                </c:pt>
                <c:pt idx="618">
                  <c:v>43618</c:v>
                </c:pt>
                <c:pt idx="619">
                  <c:v>43625</c:v>
                </c:pt>
                <c:pt idx="620">
                  <c:v>43632</c:v>
                </c:pt>
                <c:pt idx="621">
                  <c:v>43639</c:v>
                </c:pt>
                <c:pt idx="622">
                  <c:v>43646</c:v>
                </c:pt>
                <c:pt idx="623">
                  <c:v>43653</c:v>
                </c:pt>
              </c:numCache>
            </c:numRef>
          </c:cat>
          <c:val>
            <c:numRef>
              <c:f>Sheet1!$BS$42:$BS$665</c:f>
              <c:numCache>
                <c:formatCode>_("$"* #,##0.00_);_("$"* \(#,##0.00\);_("$"* "-"??_);_(@_)</c:formatCode>
                <c:ptCount val="624"/>
                <c:pt idx="0">
                  <c:v>20000</c:v>
                </c:pt>
                <c:pt idx="1">
                  <c:v>20000</c:v>
                </c:pt>
                <c:pt idx="2">
                  <c:v>20816.349219945012</c:v>
                </c:pt>
                <c:pt idx="3">
                  <c:v>20816.349219945012</c:v>
                </c:pt>
                <c:pt idx="4">
                  <c:v>20577.656170094149</c:v>
                </c:pt>
                <c:pt idx="5">
                  <c:v>20577.656170094149</c:v>
                </c:pt>
                <c:pt idx="6">
                  <c:v>21115.666936187463</c:v>
                </c:pt>
                <c:pt idx="7">
                  <c:v>21115.666936187463</c:v>
                </c:pt>
                <c:pt idx="8">
                  <c:v>20831.560216305657</c:v>
                </c:pt>
                <c:pt idx="9">
                  <c:v>20831.560216305657</c:v>
                </c:pt>
                <c:pt idx="10">
                  <c:v>20683.132621793382</c:v>
                </c:pt>
                <c:pt idx="11">
                  <c:v>20683.132621793382</c:v>
                </c:pt>
                <c:pt idx="12">
                  <c:v>21455.660797419925</c:v>
                </c:pt>
                <c:pt idx="13">
                  <c:v>21455.660797419925</c:v>
                </c:pt>
                <c:pt idx="14">
                  <c:v>23211.314229129566</c:v>
                </c:pt>
                <c:pt idx="15">
                  <c:v>23211.314229129566</c:v>
                </c:pt>
                <c:pt idx="16">
                  <c:v>24297.757445822055</c:v>
                </c:pt>
                <c:pt idx="17">
                  <c:v>24297.757445822055</c:v>
                </c:pt>
                <c:pt idx="18">
                  <c:v>23671.046608595698</c:v>
                </c:pt>
                <c:pt idx="19">
                  <c:v>23671.046608595698</c:v>
                </c:pt>
                <c:pt idx="20">
                  <c:v>25120.084212355046</c:v>
                </c:pt>
                <c:pt idx="21">
                  <c:v>25120.084212355046</c:v>
                </c:pt>
                <c:pt idx="22">
                  <c:v>26993.018372253689</c:v>
                </c:pt>
                <c:pt idx="23">
                  <c:v>26993.018372253689</c:v>
                </c:pt>
                <c:pt idx="24">
                  <c:v>29283.832868678386</c:v>
                </c:pt>
                <c:pt idx="25">
                  <c:v>29283.832868678386</c:v>
                </c:pt>
                <c:pt idx="26">
                  <c:v>28387.85621257982</c:v>
                </c:pt>
                <c:pt idx="27">
                  <c:v>28387.85621257982</c:v>
                </c:pt>
                <c:pt idx="28">
                  <c:v>29871.080501131852</c:v>
                </c:pt>
                <c:pt idx="29">
                  <c:v>29871.080501131852</c:v>
                </c:pt>
                <c:pt idx="30">
                  <c:v>30522.216802011382</c:v>
                </c:pt>
                <c:pt idx="31">
                  <c:v>30522.216802011382</c:v>
                </c:pt>
                <c:pt idx="32">
                  <c:v>32146.682062116484</c:v>
                </c:pt>
                <c:pt idx="33">
                  <c:v>32146.682062116484</c:v>
                </c:pt>
                <c:pt idx="34">
                  <c:v>32188.032341413127</c:v>
                </c:pt>
                <c:pt idx="35">
                  <c:v>32188.032341413127</c:v>
                </c:pt>
                <c:pt idx="36">
                  <c:v>32217.422850057039</c:v>
                </c:pt>
                <c:pt idx="37">
                  <c:v>32217.422850057039</c:v>
                </c:pt>
                <c:pt idx="38">
                  <c:v>31330.101732685504</c:v>
                </c:pt>
                <c:pt idx="39">
                  <c:v>31330.101732685504</c:v>
                </c:pt>
                <c:pt idx="40">
                  <c:v>32010.688726363427</c:v>
                </c:pt>
                <c:pt idx="41">
                  <c:v>32010.688726363427</c:v>
                </c:pt>
                <c:pt idx="42">
                  <c:v>32631.91129823255</c:v>
                </c:pt>
                <c:pt idx="43">
                  <c:v>32631.91129823255</c:v>
                </c:pt>
                <c:pt idx="44">
                  <c:v>33698.205230814063</c:v>
                </c:pt>
                <c:pt idx="45">
                  <c:v>33698.205230814063</c:v>
                </c:pt>
                <c:pt idx="46">
                  <c:v>43647.162895942645</c:v>
                </c:pt>
                <c:pt idx="47">
                  <c:v>43647.162895942645</c:v>
                </c:pt>
                <c:pt idx="48">
                  <c:v>38365.070978739772</c:v>
                </c:pt>
                <c:pt idx="49">
                  <c:v>38365.070978739772</c:v>
                </c:pt>
                <c:pt idx="50">
                  <c:v>38761.601798138865</c:v>
                </c:pt>
                <c:pt idx="51">
                  <c:v>38761.601798138865</c:v>
                </c:pt>
                <c:pt idx="52">
                  <c:v>39463.36521373396</c:v>
                </c:pt>
                <c:pt idx="53">
                  <c:v>39463.36521373396</c:v>
                </c:pt>
                <c:pt idx="54">
                  <c:v>39938.513604974345</c:v>
                </c:pt>
                <c:pt idx="55">
                  <c:v>39938.513604974345</c:v>
                </c:pt>
                <c:pt idx="56">
                  <c:v>40842.155113259054</c:v>
                </c:pt>
                <c:pt idx="57">
                  <c:v>40842.155113259054</c:v>
                </c:pt>
                <c:pt idx="58">
                  <c:v>42726.270382100563</c:v>
                </c:pt>
                <c:pt idx="59">
                  <c:v>42726.270382100563</c:v>
                </c:pt>
                <c:pt idx="60">
                  <c:v>44431.790191466156</c:v>
                </c:pt>
                <c:pt idx="61">
                  <c:v>44431.790191466156</c:v>
                </c:pt>
                <c:pt idx="62">
                  <c:v>55605.010442543782</c:v>
                </c:pt>
                <c:pt idx="63">
                  <c:v>55605.010442543782</c:v>
                </c:pt>
                <c:pt idx="64">
                  <c:v>58858.416571312046</c:v>
                </c:pt>
                <c:pt idx="65">
                  <c:v>58858.416571312046</c:v>
                </c:pt>
                <c:pt idx="66">
                  <c:v>55356.350270779236</c:v>
                </c:pt>
                <c:pt idx="67">
                  <c:v>55356.350270779236</c:v>
                </c:pt>
                <c:pt idx="68">
                  <c:v>62143.876192432428</c:v>
                </c:pt>
                <c:pt idx="69">
                  <c:v>62143.876192432428</c:v>
                </c:pt>
                <c:pt idx="70">
                  <c:v>58867.723880174366</c:v>
                </c:pt>
                <c:pt idx="71">
                  <c:v>58867.723880174366</c:v>
                </c:pt>
                <c:pt idx="72">
                  <c:v>57434.443763917159</c:v>
                </c:pt>
                <c:pt idx="73">
                  <c:v>57434.443763917159</c:v>
                </c:pt>
                <c:pt idx="74">
                  <c:v>56928.928208794183</c:v>
                </c:pt>
                <c:pt idx="75">
                  <c:v>56928.928208794183</c:v>
                </c:pt>
                <c:pt idx="76">
                  <c:v>61393.340208535854</c:v>
                </c:pt>
                <c:pt idx="77">
                  <c:v>61393.340208535854</c:v>
                </c:pt>
                <c:pt idx="78">
                  <c:v>63623.746768664278</c:v>
                </c:pt>
                <c:pt idx="79">
                  <c:v>63623.746768664278</c:v>
                </c:pt>
                <c:pt idx="80">
                  <c:v>63920.892208676021</c:v>
                </c:pt>
                <c:pt idx="81">
                  <c:v>63920.892208676021</c:v>
                </c:pt>
                <c:pt idx="82">
                  <c:v>69146.565570436462</c:v>
                </c:pt>
                <c:pt idx="83">
                  <c:v>69146.565570436462</c:v>
                </c:pt>
                <c:pt idx="84">
                  <c:v>68671.296128083224</c:v>
                </c:pt>
                <c:pt idx="85">
                  <c:v>68671.296128083224</c:v>
                </c:pt>
                <c:pt idx="86">
                  <c:v>65373.181957749926</c:v>
                </c:pt>
                <c:pt idx="87">
                  <c:v>65373.181957749926</c:v>
                </c:pt>
                <c:pt idx="88">
                  <c:v>62800.81892917199</c:v>
                </c:pt>
                <c:pt idx="89">
                  <c:v>62800.81892917199</c:v>
                </c:pt>
                <c:pt idx="90">
                  <c:v>62400.24045806611</c:v>
                </c:pt>
                <c:pt idx="91">
                  <c:v>62400.24045806611</c:v>
                </c:pt>
                <c:pt idx="92">
                  <c:v>58585.131690557857</c:v>
                </c:pt>
                <c:pt idx="93">
                  <c:v>58585.131690557857</c:v>
                </c:pt>
                <c:pt idx="94">
                  <c:v>60544.830060374334</c:v>
                </c:pt>
                <c:pt idx="95">
                  <c:v>60544.830060374334</c:v>
                </c:pt>
                <c:pt idx="96">
                  <c:v>58447.170854416596</c:v>
                </c:pt>
                <c:pt idx="97">
                  <c:v>58447.170854416596</c:v>
                </c:pt>
                <c:pt idx="98">
                  <c:v>60378.1368052986</c:v>
                </c:pt>
                <c:pt idx="99">
                  <c:v>60378.1368052986</c:v>
                </c:pt>
                <c:pt idx="100">
                  <c:v>61734.598841076193</c:v>
                </c:pt>
                <c:pt idx="101">
                  <c:v>61734.598841076193</c:v>
                </c:pt>
                <c:pt idx="102">
                  <c:v>60176.748059327569</c:v>
                </c:pt>
                <c:pt idx="103">
                  <c:v>60176.748059327569</c:v>
                </c:pt>
                <c:pt idx="104">
                  <c:v>57482.327026554442</c:v>
                </c:pt>
                <c:pt idx="105">
                  <c:v>57482.327026554442</c:v>
                </c:pt>
                <c:pt idx="106">
                  <c:v>56929.487996828182</c:v>
                </c:pt>
                <c:pt idx="107">
                  <c:v>56929.487996828182</c:v>
                </c:pt>
                <c:pt idx="108">
                  <c:v>56181.038315265265</c:v>
                </c:pt>
                <c:pt idx="109">
                  <c:v>56181.038315265265</c:v>
                </c:pt>
                <c:pt idx="110">
                  <c:v>55532.342535727119</c:v>
                </c:pt>
                <c:pt idx="111">
                  <c:v>55532.342535727119</c:v>
                </c:pt>
                <c:pt idx="112">
                  <c:v>56062.323919811737</c:v>
                </c:pt>
                <c:pt idx="113">
                  <c:v>56062.323919811737</c:v>
                </c:pt>
                <c:pt idx="114">
                  <c:v>55140.208413448767</c:v>
                </c:pt>
                <c:pt idx="115">
                  <c:v>55140.208413448767</c:v>
                </c:pt>
                <c:pt idx="116">
                  <c:v>55313.423346349875</c:v>
                </c:pt>
                <c:pt idx="117">
                  <c:v>55313.423346349875</c:v>
                </c:pt>
                <c:pt idx="118">
                  <c:v>57001.845276252083</c:v>
                </c:pt>
                <c:pt idx="119">
                  <c:v>57001.845276252083</c:v>
                </c:pt>
                <c:pt idx="120">
                  <c:v>56654.737448033084</c:v>
                </c:pt>
                <c:pt idx="121">
                  <c:v>56654.737448033084</c:v>
                </c:pt>
                <c:pt idx="122">
                  <c:v>56103.790134163151</c:v>
                </c:pt>
                <c:pt idx="123">
                  <c:v>56103.790134163151</c:v>
                </c:pt>
                <c:pt idx="124">
                  <c:v>57305.940654322731</c:v>
                </c:pt>
                <c:pt idx="125">
                  <c:v>57305.940654322731</c:v>
                </c:pt>
                <c:pt idx="126">
                  <c:v>57662.333394094341</c:v>
                </c:pt>
                <c:pt idx="127">
                  <c:v>57662.333394094341</c:v>
                </c:pt>
                <c:pt idx="128">
                  <c:v>56911.542563879309</c:v>
                </c:pt>
                <c:pt idx="129">
                  <c:v>56911.542563879309</c:v>
                </c:pt>
                <c:pt idx="130">
                  <c:v>61271.902211918074</c:v>
                </c:pt>
                <c:pt idx="131">
                  <c:v>61271.902211918074</c:v>
                </c:pt>
                <c:pt idx="132">
                  <c:v>61678.315360778361</c:v>
                </c:pt>
                <c:pt idx="133">
                  <c:v>61678.315360778361</c:v>
                </c:pt>
                <c:pt idx="134">
                  <c:v>60892.626594653186</c:v>
                </c:pt>
                <c:pt idx="135">
                  <c:v>60892.626594653186</c:v>
                </c:pt>
                <c:pt idx="136">
                  <c:v>58305.884682287011</c:v>
                </c:pt>
                <c:pt idx="137">
                  <c:v>58305.884682287011</c:v>
                </c:pt>
                <c:pt idx="138">
                  <c:v>58662.222184455823</c:v>
                </c:pt>
                <c:pt idx="139">
                  <c:v>58662.222184455823</c:v>
                </c:pt>
                <c:pt idx="140">
                  <c:v>57124.666153241116</c:v>
                </c:pt>
                <c:pt idx="141">
                  <c:v>57124.666153241116</c:v>
                </c:pt>
                <c:pt idx="142">
                  <c:v>56968.976895492131</c:v>
                </c:pt>
                <c:pt idx="143">
                  <c:v>56968.976895492131</c:v>
                </c:pt>
                <c:pt idx="144">
                  <c:v>64225.309516559602</c:v>
                </c:pt>
                <c:pt idx="145">
                  <c:v>64225.309516559602</c:v>
                </c:pt>
                <c:pt idx="146">
                  <c:v>65894.785195081873</c:v>
                </c:pt>
                <c:pt idx="147">
                  <c:v>65894.785195081873</c:v>
                </c:pt>
                <c:pt idx="148">
                  <c:v>67821.074347123009</c:v>
                </c:pt>
                <c:pt idx="149">
                  <c:v>67821.074347123009</c:v>
                </c:pt>
                <c:pt idx="150">
                  <c:v>64449.100414247165</c:v>
                </c:pt>
                <c:pt idx="151">
                  <c:v>64449.100414247165</c:v>
                </c:pt>
                <c:pt idx="152">
                  <c:v>70022.927228246321</c:v>
                </c:pt>
                <c:pt idx="153">
                  <c:v>70022.927228246321</c:v>
                </c:pt>
                <c:pt idx="154">
                  <c:v>67912.560544964697</c:v>
                </c:pt>
                <c:pt idx="155">
                  <c:v>67912.560544964697</c:v>
                </c:pt>
                <c:pt idx="156">
                  <c:v>65450.625732612054</c:v>
                </c:pt>
                <c:pt idx="157">
                  <c:v>65450.625732612054</c:v>
                </c:pt>
                <c:pt idx="158">
                  <c:v>67622.856087747088</c:v>
                </c:pt>
                <c:pt idx="159">
                  <c:v>67622.856087747088</c:v>
                </c:pt>
                <c:pt idx="160">
                  <c:v>68645.839400638521</c:v>
                </c:pt>
                <c:pt idx="161">
                  <c:v>68645.839400638521</c:v>
                </c:pt>
                <c:pt idx="162">
                  <c:v>66377.053128216692</c:v>
                </c:pt>
                <c:pt idx="163">
                  <c:v>66377.053128216692</c:v>
                </c:pt>
                <c:pt idx="164">
                  <c:v>64432.355882865319</c:v>
                </c:pt>
                <c:pt idx="165">
                  <c:v>64432.355882865319</c:v>
                </c:pt>
                <c:pt idx="166">
                  <c:v>63211.056143648682</c:v>
                </c:pt>
                <c:pt idx="167">
                  <c:v>63211.056143648682</c:v>
                </c:pt>
                <c:pt idx="168">
                  <c:v>63114.628947342724</c:v>
                </c:pt>
                <c:pt idx="169">
                  <c:v>63114.628947342724</c:v>
                </c:pt>
                <c:pt idx="170">
                  <c:v>60941.673218148979</c:v>
                </c:pt>
                <c:pt idx="171">
                  <c:v>60941.673218148979</c:v>
                </c:pt>
                <c:pt idx="172">
                  <c:v>63235.79436479057</c:v>
                </c:pt>
                <c:pt idx="173">
                  <c:v>63235.79436479057</c:v>
                </c:pt>
                <c:pt idx="174">
                  <c:v>62685.43083507289</c:v>
                </c:pt>
                <c:pt idx="175">
                  <c:v>62685.43083507289</c:v>
                </c:pt>
                <c:pt idx="176">
                  <c:v>62572.842251164344</c:v>
                </c:pt>
                <c:pt idx="177">
                  <c:v>62572.842251164344</c:v>
                </c:pt>
                <c:pt idx="178">
                  <c:v>62826.017110166853</c:v>
                </c:pt>
                <c:pt idx="179">
                  <c:v>62826.017110166853</c:v>
                </c:pt>
                <c:pt idx="180">
                  <c:v>61735.771955986937</c:v>
                </c:pt>
                <c:pt idx="181">
                  <c:v>61735.771955986937</c:v>
                </c:pt>
                <c:pt idx="182">
                  <c:v>63672.442883184929</c:v>
                </c:pt>
                <c:pt idx="183">
                  <c:v>63672.442883184929</c:v>
                </c:pt>
                <c:pt idx="184">
                  <c:v>61694.997155869285</c:v>
                </c:pt>
                <c:pt idx="185">
                  <c:v>61694.997155869285</c:v>
                </c:pt>
                <c:pt idx="186">
                  <c:v>62411.452823888983</c:v>
                </c:pt>
                <c:pt idx="187">
                  <c:v>62411.452823888983</c:v>
                </c:pt>
                <c:pt idx="188">
                  <c:v>63997.170058139396</c:v>
                </c:pt>
                <c:pt idx="189">
                  <c:v>63997.170058139396</c:v>
                </c:pt>
                <c:pt idx="190">
                  <c:v>63934.066811115466</c:v>
                </c:pt>
                <c:pt idx="191">
                  <c:v>63934.066811115466</c:v>
                </c:pt>
                <c:pt idx="192">
                  <c:v>62569.992240755193</c:v>
                </c:pt>
                <c:pt idx="193">
                  <c:v>62569.992240755193</c:v>
                </c:pt>
                <c:pt idx="194">
                  <c:v>62581.999976686384</c:v>
                </c:pt>
                <c:pt idx="195">
                  <c:v>62581.999976686384</c:v>
                </c:pt>
                <c:pt idx="196">
                  <c:v>63736.166279600271</c:v>
                </c:pt>
                <c:pt idx="197">
                  <c:v>63736.166279600271</c:v>
                </c:pt>
                <c:pt idx="198">
                  <c:v>65117.145498932034</c:v>
                </c:pt>
                <c:pt idx="199">
                  <c:v>65117.145498932034</c:v>
                </c:pt>
                <c:pt idx="200">
                  <c:v>66525.354409514373</c:v>
                </c:pt>
                <c:pt idx="201">
                  <c:v>66525.354409514373</c:v>
                </c:pt>
                <c:pt idx="202">
                  <c:v>69447.601797768686</c:v>
                </c:pt>
                <c:pt idx="203">
                  <c:v>69447.601797768686</c:v>
                </c:pt>
                <c:pt idx="204">
                  <c:v>65761.448730386808</c:v>
                </c:pt>
                <c:pt idx="205">
                  <c:v>65761.448730386808</c:v>
                </c:pt>
                <c:pt idx="206">
                  <c:v>68504.352349668028</c:v>
                </c:pt>
                <c:pt idx="207">
                  <c:v>68504.352349668028</c:v>
                </c:pt>
                <c:pt idx="208">
                  <c:v>69953.17098394614</c:v>
                </c:pt>
                <c:pt idx="209">
                  <c:v>69953.17098394614</c:v>
                </c:pt>
                <c:pt idx="210">
                  <c:v>78904.428984304715</c:v>
                </c:pt>
                <c:pt idx="211">
                  <c:v>78904.428984304715</c:v>
                </c:pt>
                <c:pt idx="212">
                  <c:v>80371.092697499655</c:v>
                </c:pt>
                <c:pt idx="213">
                  <c:v>80371.092697499655</c:v>
                </c:pt>
                <c:pt idx="214">
                  <c:v>83111.354369275243</c:v>
                </c:pt>
                <c:pt idx="215">
                  <c:v>83111.354369275243</c:v>
                </c:pt>
                <c:pt idx="216">
                  <c:v>87254.846203447218</c:v>
                </c:pt>
                <c:pt idx="217">
                  <c:v>87254.846203447218</c:v>
                </c:pt>
                <c:pt idx="218">
                  <c:v>86083.215765136847</c:v>
                </c:pt>
                <c:pt idx="219">
                  <c:v>86083.215765136847</c:v>
                </c:pt>
                <c:pt idx="220">
                  <c:v>80539.629912637014</c:v>
                </c:pt>
                <c:pt idx="221">
                  <c:v>80539.629912637014</c:v>
                </c:pt>
                <c:pt idx="222">
                  <c:v>79357.863722676964</c:v>
                </c:pt>
                <c:pt idx="223">
                  <c:v>79357.863722676964</c:v>
                </c:pt>
                <c:pt idx="224">
                  <c:v>83355.419380663501</c:v>
                </c:pt>
                <c:pt idx="225">
                  <c:v>83355.419380663501</c:v>
                </c:pt>
                <c:pt idx="226">
                  <c:v>81631.975343734157</c:v>
                </c:pt>
                <c:pt idx="227">
                  <c:v>81631.975343734157</c:v>
                </c:pt>
                <c:pt idx="228">
                  <c:v>85056.445129846456</c:v>
                </c:pt>
                <c:pt idx="229">
                  <c:v>85056.445129846456</c:v>
                </c:pt>
                <c:pt idx="230">
                  <c:v>84443.413408788736</c:v>
                </c:pt>
                <c:pt idx="231">
                  <c:v>84443.413408788736</c:v>
                </c:pt>
                <c:pt idx="232">
                  <c:v>82908.566181257978</c:v>
                </c:pt>
                <c:pt idx="233">
                  <c:v>82908.566181257978</c:v>
                </c:pt>
                <c:pt idx="234">
                  <c:v>79761.786887034497</c:v>
                </c:pt>
                <c:pt idx="235">
                  <c:v>79761.786887034497</c:v>
                </c:pt>
                <c:pt idx="236">
                  <c:v>78698.288119516801</c:v>
                </c:pt>
                <c:pt idx="237">
                  <c:v>78698.288119516801</c:v>
                </c:pt>
                <c:pt idx="238">
                  <c:v>77193.77359119647</c:v>
                </c:pt>
                <c:pt idx="239">
                  <c:v>77193.77359119647</c:v>
                </c:pt>
                <c:pt idx="240">
                  <c:v>78206.669138561701</c:v>
                </c:pt>
                <c:pt idx="241">
                  <c:v>78206.669138561701</c:v>
                </c:pt>
                <c:pt idx="242">
                  <c:v>77976.299952234171</c:v>
                </c:pt>
                <c:pt idx="243">
                  <c:v>77976.299952234171</c:v>
                </c:pt>
                <c:pt idx="244">
                  <c:v>79754.703201245837</c:v>
                </c:pt>
                <c:pt idx="245">
                  <c:v>79754.703201245837</c:v>
                </c:pt>
                <c:pt idx="246">
                  <c:v>80979.840030000283</c:v>
                </c:pt>
                <c:pt idx="247">
                  <c:v>80979.840030000283</c:v>
                </c:pt>
                <c:pt idx="248">
                  <c:v>82870.003410627833</c:v>
                </c:pt>
                <c:pt idx="249">
                  <c:v>82870.003410627833</c:v>
                </c:pt>
                <c:pt idx="250">
                  <c:v>89945.252551853249</c:v>
                </c:pt>
                <c:pt idx="251">
                  <c:v>89945.252551853249</c:v>
                </c:pt>
                <c:pt idx="252">
                  <c:v>92181.286788939586</c:v>
                </c:pt>
                <c:pt idx="253">
                  <c:v>92181.286788939586</c:v>
                </c:pt>
                <c:pt idx="254">
                  <c:v>87778.069521580124</c:v>
                </c:pt>
                <c:pt idx="255">
                  <c:v>87778.069521580124</c:v>
                </c:pt>
                <c:pt idx="256">
                  <c:v>86343.509309388886</c:v>
                </c:pt>
                <c:pt idx="257">
                  <c:v>86343.509309388886</c:v>
                </c:pt>
                <c:pt idx="258">
                  <c:v>87542.791598790034</c:v>
                </c:pt>
                <c:pt idx="259">
                  <c:v>87542.791598790034</c:v>
                </c:pt>
                <c:pt idx="260">
                  <c:v>86340.518529031484</c:v>
                </c:pt>
                <c:pt idx="261">
                  <c:v>86340.518529031484</c:v>
                </c:pt>
                <c:pt idx="262">
                  <c:v>84865.930027161361</c:v>
                </c:pt>
                <c:pt idx="263">
                  <c:v>84865.930027161361</c:v>
                </c:pt>
                <c:pt idx="264">
                  <c:v>85352.360467036313</c:v>
                </c:pt>
                <c:pt idx="265">
                  <c:v>85352.360467036313</c:v>
                </c:pt>
                <c:pt idx="266">
                  <c:v>83656.848170811732</c:v>
                </c:pt>
                <c:pt idx="267">
                  <c:v>83656.848170811732</c:v>
                </c:pt>
                <c:pt idx="268">
                  <c:v>82430.415217278191</c:v>
                </c:pt>
                <c:pt idx="269">
                  <c:v>82430.415217278191</c:v>
                </c:pt>
                <c:pt idx="270">
                  <c:v>84046.050909680867</c:v>
                </c:pt>
                <c:pt idx="271">
                  <c:v>84046.050909680867</c:v>
                </c:pt>
                <c:pt idx="272">
                  <c:v>85691.251118545071</c:v>
                </c:pt>
                <c:pt idx="273">
                  <c:v>85691.251118545071</c:v>
                </c:pt>
                <c:pt idx="274">
                  <c:v>87081.083434571512</c:v>
                </c:pt>
                <c:pt idx="275">
                  <c:v>87081.083434571512</c:v>
                </c:pt>
                <c:pt idx="276">
                  <c:v>91296.577266454799</c:v>
                </c:pt>
                <c:pt idx="277">
                  <c:v>91296.577266454799</c:v>
                </c:pt>
                <c:pt idx="278">
                  <c:v>87175.579666706675</c:v>
                </c:pt>
                <c:pt idx="279">
                  <c:v>87175.579666706675</c:v>
                </c:pt>
                <c:pt idx="280">
                  <c:v>86459.203183980106</c:v>
                </c:pt>
                <c:pt idx="281">
                  <c:v>86459.203183980106</c:v>
                </c:pt>
                <c:pt idx="282">
                  <c:v>87901.296070986311</c:v>
                </c:pt>
                <c:pt idx="283">
                  <c:v>87901.296070986311</c:v>
                </c:pt>
                <c:pt idx="284">
                  <c:v>83907.787650090613</c:v>
                </c:pt>
                <c:pt idx="285">
                  <c:v>83907.787650090613</c:v>
                </c:pt>
                <c:pt idx="286">
                  <c:v>82514.341067951027</c:v>
                </c:pt>
                <c:pt idx="287">
                  <c:v>82514.341067951027</c:v>
                </c:pt>
                <c:pt idx="288">
                  <c:v>82595.566103649951</c:v>
                </c:pt>
                <c:pt idx="289">
                  <c:v>82595.566103649951</c:v>
                </c:pt>
                <c:pt idx="290">
                  <c:v>83386.319110096054</c:v>
                </c:pt>
                <c:pt idx="291">
                  <c:v>83386.319110096054</c:v>
                </c:pt>
                <c:pt idx="292">
                  <c:v>81703.006588193792</c:v>
                </c:pt>
                <c:pt idx="293">
                  <c:v>81703.006588193792</c:v>
                </c:pt>
                <c:pt idx="294">
                  <c:v>82987.28911243708</c:v>
                </c:pt>
                <c:pt idx="295">
                  <c:v>82987.28911243708</c:v>
                </c:pt>
                <c:pt idx="296">
                  <c:v>84324.19726589034</c:v>
                </c:pt>
                <c:pt idx="297">
                  <c:v>84324.19726589034</c:v>
                </c:pt>
                <c:pt idx="298">
                  <c:v>84679.580111976771</c:v>
                </c:pt>
                <c:pt idx="299">
                  <c:v>84679.580111976771</c:v>
                </c:pt>
                <c:pt idx="300">
                  <c:v>80558.03672115106</c:v>
                </c:pt>
                <c:pt idx="301">
                  <c:v>80558.03672115106</c:v>
                </c:pt>
                <c:pt idx="302">
                  <c:v>78424.576190569918</c:v>
                </c:pt>
                <c:pt idx="303">
                  <c:v>78424.576190569918</c:v>
                </c:pt>
                <c:pt idx="304">
                  <c:v>82613.780486863616</c:v>
                </c:pt>
                <c:pt idx="305">
                  <c:v>82613.780486863616</c:v>
                </c:pt>
                <c:pt idx="306">
                  <c:v>84213.971761671623</c:v>
                </c:pt>
                <c:pt idx="307">
                  <c:v>84213.971761671623</c:v>
                </c:pt>
                <c:pt idx="308">
                  <c:v>87281.121385513194</c:v>
                </c:pt>
                <c:pt idx="309">
                  <c:v>87281.121385513194</c:v>
                </c:pt>
                <c:pt idx="310">
                  <c:v>83188.189931732675</c:v>
                </c:pt>
                <c:pt idx="311">
                  <c:v>83188.189931732675</c:v>
                </c:pt>
                <c:pt idx="312">
                  <c:v>82325.195102138256</c:v>
                </c:pt>
                <c:pt idx="313">
                  <c:v>82325.195102138256</c:v>
                </c:pt>
                <c:pt idx="314">
                  <c:v>82455.441292297342</c:v>
                </c:pt>
                <c:pt idx="315">
                  <c:v>82455.441292297342</c:v>
                </c:pt>
                <c:pt idx="316">
                  <c:v>84588.857356527122</c:v>
                </c:pt>
                <c:pt idx="317">
                  <c:v>84588.857356527122</c:v>
                </c:pt>
                <c:pt idx="318">
                  <c:v>85371.645023374091</c:v>
                </c:pt>
                <c:pt idx="319">
                  <c:v>85371.645023374091</c:v>
                </c:pt>
                <c:pt idx="320">
                  <c:v>81122.831069741515</c:v>
                </c:pt>
                <c:pt idx="321">
                  <c:v>81122.831069741515</c:v>
                </c:pt>
                <c:pt idx="322">
                  <c:v>82743.853358979948</c:v>
                </c:pt>
                <c:pt idx="323">
                  <c:v>82743.853358979948</c:v>
                </c:pt>
                <c:pt idx="324">
                  <c:v>79649.086272451415</c:v>
                </c:pt>
                <c:pt idx="325">
                  <c:v>79649.086272451415</c:v>
                </c:pt>
                <c:pt idx="326">
                  <c:v>80377.964888472285</c:v>
                </c:pt>
                <c:pt idx="327">
                  <c:v>80377.964888472285</c:v>
                </c:pt>
                <c:pt idx="328">
                  <c:v>79210.825706243661</c:v>
                </c:pt>
                <c:pt idx="329">
                  <c:v>79210.825706243661</c:v>
                </c:pt>
                <c:pt idx="330">
                  <c:v>79506.646775696587</c:v>
                </c:pt>
                <c:pt idx="331">
                  <c:v>79506.646775696587</c:v>
                </c:pt>
                <c:pt idx="332">
                  <c:v>82668.366834367582</c:v>
                </c:pt>
                <c:pt idx="333">
                  <c:v>82668.366834367582</c:v>
                </c:pt>
                <c:pt idx="334">
                  <c:v>79791.769229547805</c:v>
                </c:pt>
                <c:pt idx="335">
                  <c:v>79791.769229547805</c:v>
                </c:pt>
                <c:pt idx="336">
                  <c:v>80395.442838383169</c:v>
                </c:pt>
                <c:pt idx="337">
                  <c:v>80395.442838383169</c:v>
                </c:pt>
                <c:pt idx="338">
                  <c:v>84754.529424404725</c:v>
                </c:pt>
                <c:pt idx="339">
                  <c:v>84754.529424404725</c:v>
                </c:pt>
                <c:pt idx="340">
                  <c:v>85030.652041271183</c:v>
                </c:pt>
                <c:pt idx="341">
                  <c:v>85030.652041271183</c:v>
                </c:pt>
                <c:pt idx="342">
                  <c:v>82285.662045012519</c:v>
                </c:pt>
                <c:pt idx="343">
                  <c:v>82285.662045012519</c:v>
                </c:pt>
                <c:pt idx="344">
                  <c:v>80778.684622212779</c:v>
                </c:pt>
                <c:pt idx="345">
                  <c:v>80778.684622212779</c:v>
                </c:pt>
                <c:pt idx="346">
                  <c:v>82973.682383457577</c:v>
                </c:pt>
                <c:pt idx="347">
                  <c:v>82973.682383457577</c:v>
                </c:pt>
                <c:pt idx="348">
                  <c:v>82048.847079248488</c:v>
                </c:pt>
                <c:pt idx="349">
                  <c:v>82048.847079248488</c:v>
                </c:pt>
                <c:pt idx="350">
                  <c:v>82481.84986872274</c:v>
                </c:pt>
                <c:pt idx="351">
                  <c:v>82481.84986872274</c:v>
                </c:pt>
                <c:pt idx="352">
                  <c:v>82257.531097243686</c:v>
                </c:pt>
                <c:pt idx="353">
                  <c:v>82257.531097243686</c:v>
                </c:pt>
                <c:pt idx="354">
                  <c:v>82498.49925361677</c:v>
                </c:pt>
                <c:pt idx="355">
                  <c:v>82498.49925361677</c:v>
                </c:pt>
                <c:pt idx="356">
                  <c:v>81043.153069684195</c:v>
                </c:pt>
                <c:pt idx="357">
                  <c:v>81043.153069684195</c:v>
                </c:pt>
                <c:pt idx="358">
                  <c:v>80031.343408525281</c:v>
                </c:pt>
                <c:pt idx="359">
                  <c:v>80031.343408525281</c:v>
                </c:pt>
                <c:pt idx="360">
                  <c:v>80128.063729438494</c:v>
                </c:pt>
                <c:pt idx="361">
                  <c:v>80128.063729438494</c:v>
                </c:pt>
                <c:pt idx="362">
                  <c:v>80831.051649556044</c:v>
                </c:pt>
                <c:pt idx="363">
                  <c:v>80831.051649556044</c:v>
                </c:pt>
                <c:pt idx="364">
                  <c:v>80526.275697007484</c:v>
                </c:pt>
                <c:pt idx="365">
                  <c:v>80526.275697007484</c:v>
                </c:pt>
                <c:pt idx="366">
                  <c:v>84556.372753325253</c:v>
                </c:pt>
                <c:pt idx="367">
                  <c:v>84556.372753325253</c:v>
                </c:pt>
                <c:pt idx="368">
                  <c:v>81693.06877456684</c:v>
                </c:pt>
                <c:pt idx="369">
                  <c:v>81693.06877456684</c:v>
                </c:pt>
                <c:pt idx="370">
                  <c:v>80543.012079854758</c:v>
                </c:pt>
                <c:pt idx="371">
                  <c:v>80543.012079854758</c:v>
                </c:pt>
                <c:pt idx="372">
                  <c:v>83032.981050308474</c:v>
                </c:pt>
                <c:pt idx="373">
                  <c:v>83032.981050308474</c:v>
                </c:pt>
                <c:pt idx="374">
                  <c:v>88836.643634805601</c:v>
                </c:pt>
                <c:pt idx="375">
                  <c:v>88836.643634805601</c:v>
                </c:pt>
                <c:pt idx="376">
                  <c:v>93663.830267817335</c:v>
                </c:pt>
                <c:pt idx="377">
                  <c:v>93663.830267817335</c:v>
                </c:pt>
                <c:pt idx="378">
                  <c:v>86108.725761258829</c:v>
                </c:pt>
                <c:pt idx="379">
                  <c:v>86108.725761258829</c:v>
                </c:pt>
                <c:pt idx="380">
                  <c:v>86442.622395483399</c:v>
                </c:pt>
                <c:pt idx="381">
                  <c:v>86442.622395483399</c:v>
                </c:pt>
                <c:pt idx="382">
                  <c:v>85650.379128126297</c:v>
                </c:pt>
                <c:pt idx="383">
                  <c:v>85650.379128126297</c:v>
                </c:pt>
                <c:pt idx="384">
                  <c:v>91777.283475618722</c:v>
                </c:pt>
                <c:pt idx="385">
                  <c:v>91777.283475618722</c:v>
                </c:pt>
                <c:pt idx="386">
                  <c:v>87863.944680174885</c:v>
                </c:pt>
                <c:pt idx="387">
                  <c:v>87863.944680174885</c:v>
                </c:pt>
                <c:pt idx="388">
                  <c:v>91403.224475482712</c:v>
                </c:pt>
                <c:pt idx="389">
                  <c:v>91403.224475482712</c:v>
                </c:pt>
                <c:pt idx="390">
                  <c:v>90006.562373291323</c:v>
                </c:pt>
                <c:pt idx="391">
                  <c:v>90006.562373291323</c:v>
                </c:pt>
                <c:pt idx="392">
                  <c:v>89852.366229123276</c:v>
                </c:pt>
                <c:pt idx="393">
                  <c:v>89852.366229123276</c:v>
                </c:pt>
                <c:pt idx="394">
                  <c:v>86409.71329173597</c:v>
                </c:pt>
                <c:pt idx="395">
                  <c:v>86409.71329173597</c:v>
                </c:pt>
                <c:pt idx="396">
                  <c:v>89942.253301987424</c:v>
                </c:pt>
                <c:pt idx="397">
                  <c:v>89942.253301987424</c:v>
                </c:pt>
                <c:pt idx="398">
                  <c:v>87422.090818533063</c:v>
                </c:pt>
                <c:pt idx="399">
                  <c:v>87422.090818533063</c:v>
                </c:pt>
                <c:pt idx="400">
                  <c:v>89185.42647149702</c:v>
                </c:pt>
                <c:pt idx="401">
                  <c:v>89185.42647149702</c:v>
                </c:pt>
                <c:pt idx="402">
                  <c:v>88077.880373903186</c:v>
                </c:pt>
                <c:pt idx="403">
                  <c:v>88077.880373903186</c:v>
                </c:pt>
                <c:pt idx="404">
                  <c:v>87181.02551988393</c:v>
                </c:pt>
                <c:pt idx="405">
                  <c:v>87181.02551988393</c:v>
                </c:pt>
                <c:pt idx="406">
                  <c:v>86292.405404307021</c:v>
                </c:pt>
                <c:pt idx="407">
                  <c:v>86292.405404307021</c:v>
                </c:pt>
                <c:pt idx="408">
                  <c:v>89251.008091546435</c:v>
                </c:pt>
                <c:pt idx="409">
                  <c:v>89251.008091546435</c:v>
                </c:pt>
                <c:pt idx="410">
                  <c:v>90718.358911720206</c:v>
                </c:pt>
                <c:pt idx="411">
                  <c:v>90718.358911720206</c:v>
                </c:pt>
                <c:pt idx="412">
                  <c:v>91593.02782717727</c:v>
                </c:pt>
                <c:pt idx="413">
                  <c:v>91593.02782717727</c:v>
                </c:pt>
                <c:pt idx="414">
                  <c:v>95052.961498159653</c:v>
                </c:pt>
                <c:pt idx="415">
                  <c:v>95052.961498159653</c:v>
                </c:pt>
                <c:pt idx="416">
                  <c:v>97222.872155291145</c:v>
                </c:pt>
                <c:pt idx="417">
                  <c:v>97222.872155291145</c:v>
                </c:pt>
                <c:pt idx="418">
                  <c:v>97751.70289733613</c:v>
                </c:pt>
                <c:pt idx="419">
                  <c:v>97751.70289733613</c:v>
                </c:pt>
                <c:pt idx="420">
                  <c:v>107114.39961283871</c:v>
                </c:pt>
                <c:pt idx="421">
                  <c:v>107114.39961283871</c:v>
                </c:pt>
                <c:pt idx="422">
                  <c:v>111875.87387925654</c:v>
                </c:pt>
                <c:pt idx="423">
                  <c:v>111875.87387925654</c:v>
                </c:pt>
                <c:pt idx="424">
                  <c:v>108916.37984093203</c:v>
                </c:pt>
                <c:pt idx="425">
                  <c:v>108916.37984093203</c:v>
                </c:pt>
                <c:pt idx="426">
                  <c:v>111501.51136379207</c:v>
                </c:pt>
                <c:pt idx="427">
                  <c:v>111501.51136379207</c:v>
                </c:pt>
                <c:pt idx="428">
                  <c:v>105018.16830552112</c:v>
                </c:pt>
                <c:pt idx="429">
                  <c:v>105018.16830552112</c:v>
                </c:pt>
                <c:pt idx="430">
                  <c:v>105241.87909337692</c:v>
                </c:pt>
                <c:pt idx="431">
                  <c:v>105241.87909337692</c:v>
                </c:pt>
                <c:pt idx="432">
                  <c:v>109859.44246756453</c:v>
                </c:pt>
                <c:pt idx="433">
                  <c:v>109859.44246756453</c:v>
                </c:pt>
                <c:pt idx="434">
                  <c:v>106189.9176301009</c:v>
                </c:pt>
                <c:pt idx="435">
                  <c:v>106189.9176301009</c:v>
                </c:pt>
                <c:pt idx="436">
                  <c:v>113816.71421871748</c:v>
                </c:pt>
                <c:pt idx="437">
                  <c:v>113816.71421871748</c:v>
                </c:pt>
                <c:pt idx="438">
                  <c:v>110339.17756421787</c:v>
                </c:pt>
                <c:pt idx="439">
                  <c:v>110339.17756421787</c:v>
                </c:pt>
                <c:pt idx="440">
                  <c:v>122462.19924310531</c:v>
                </c:pt>
                <c:pt idx="441">
                  <c:v>122462.19924310531</c:v>
                </c:pt>
                <c:pt idx="442">
                  <c:v>125161.34994351312</c:v>
                </c:pt>
                <c:pt idx="443">
                  <c:v>125161.34994351312</c:v>
                </c:pt>
                <c:pt idx="444">
                  <c:v>126382.83376430746</c:v>
                </c:pt>
                <c:pt idx="445">
                  <c:v>126382.83376430746</c:v>
                </c:pt>
                <c:pt idx="446">
                  <c:v>124841.88517122847</c:v>
                </c:pt>
                <c:pt idx="447">
                  <c:v>124841.88517122847</c:v>
                </c:pt>
                <c:pt idx="448">
                  <c:v>116586.71437270328</c:v>
                </c:pt>
                <c:pt idx="449">
                  <c:v>116586.71437270328</c:v>
                </c:pt>
                <c:pt idx="450">
                  <c:v>113742.30525984314</c:v>
                </c:pt>
                <c:pt idx="451">
                  <c:v>113742.30525984314</c:v>
                </c:pt>
                <c:pt idx="452">
                  <c:v>113879.49126321595</c:v>
                </c:pt>
                <c:pt idx="453">
                  <c:v>113879.49126321595</c:v>
                </c:pt>
                <c:pt idx="454">
                  <c:v>112491.17486698029</c:v>
                </c:pt>
                <c:pt idx="455">
                  <c:v>112491.17486698029</c:v>
                </c:pt>
                <c:pt idx="456">
                  <c:v>113085.44965353717</c:v>
                </c:pt>
                <c:pt idx="457">
                  <c:v>113085.44965353717</c:v>
                </c:pt>
                <c:pt idx="458">
                  <c:v>117342.52398769563</c:v>
                </c:pt>
                <c:pt idx="459">
                  <c:v>117342.52398769563</c:v>
                </c:pt>
                <c:pt idx="460">
                  <c:v>113518.2535877351</c:v>
                </c:pt>
                <c:pt idx="461">
                  <c:v>113518.2535877351</c:v>
                </c:pt>
                <c:pt idx="462">
                  <c:v>114202.42119398554</c:v>
                </c:pt>
                <c:pt idx="463">
                  <c:v>114202.42119398554</c:v>
                </c:pt>
                <c:pt idx="464">
                  <c:v>120491.53598563701</c:v>
                </c:pt>
                <c:pt idx="465">
                  <c:v>120491.53598563701</c:v>
                </c:pt>
                <c:pt idx="466">
                  <c:v>114421.45021695446</c:v>
                </c:pt>
                <c:pt idx="467">
                  <c:v>114421.45021695446</c:v>
                </c:pt>
                <c:pt idx="468">
                  <c:v>110469.66165486819</c:v>
                </c:pt>
                <c:pt idx="469">
                  <c:v>110469.66165486819</c:v>
                </c:pt>
                <c:pt idx="470">
                  <c:v>109728.60962710141</c:v>
                </c:pt>
                <c:pt idx="471">
                  <c:v>109728.60962710141</c:v>
                </c:pt>
                <c:pt idx="472">
                  <c:v>108639.58679056667</c:v>
                </c:pt>
                <c:pt idx="473">
                  <c:v>108639.58679056667</c:v>
                </c:pt>
                <c:pt idx="474">
                  <c:v>108773.81375895647</c:v>
                </c:pt>
                <c:pt idx="475">
                  <c:v>108773.81375895647</c:v>
                </c:pt>
                <c:pt idx="476">
                  <c:v>114154.48583251773</c:v>
                </c:pt>
                <c:pt idx="477">
                  <c:v>114154.48583251773</c:v>
                </c:pt>
                <c:pt idx="478">
                  <c:v>111398.59622214286</c:v>
                </c:pt>
                <c:pt idx="479">
                  <c:v>111398.59622214286</c:v>
                </c:pt>
                <c:pt idx="480">
                  <c:v>115040.43377265408</c:v>
                </c:pt>
                <c:pt idx="481">
                  <c:v>115040.43377265408</c:v>
                </c:pt>
                <c:pt idx="482">
                  <c:v>115931.00396199471</c:v>
                </c:pt>
                <c:pt idx="483">
                  <c:v>115931.00396199471</c:v>
                </c:pt>
                <c:pt idx="484">
                  <c:v>115636.14791954367</c:v>
                </c:pt>
                <c:pt idx="485">
                  <c:v>115636.14791954367</c:v>
                </c:pt>
                <c:pt idx="486">
                  <c:v>112490.77491823159</c:v>
                </c:pt>
                <c:pt idx="487">
                  <c:v>112490.77491823159</c:v>
                </c:pt>
                <c:pt idx="488">
                  <c:v>108529.21023448705</c:v>
                </c:pt>
                <c:pt idx="489">
                  <c:v>108529.21023448705</c:v>
                </c:pt>
                <c:pt idx="490">
                  <c:v>111880.78162385698</c:v>
                </c:pt>
                <c:pt idx="491">
                  <c:v>111880.78162385698</c:v>
                </c:pt>
                <c:pt idx="492">
                  <c:v>109673.27506511378</c:v>
                </c:pt>
                <c:pt idx="493">
                  <c:v>109673.27506511378</c:v>
                </c:pt>
                <c:pt idx="494">
                  <c:v>110281.52979093572</c:v>
                </c:pt>
                <c:pt idx="495">
                  <c:v>110281.52979093572</c:v>
                </c:pt>
                <c:pt idx="496">
                  <c:v>107960.97298342374</c:v>
                </c:pt>
                <c:pt idx="497">
                  <c:v>107960.97298342374</c:v>
                </c:pt>
                <c:pt idx="498">
                  <c:v>105463.73150425572</c:v>
                </c:pt>
                <c:pt idx="499">
                  <c:v>105463.73150425572</c:v>
                </c:pt>
                <c:pt idx="500">
                  <c:v>105032.06299374549</c:v>
                </c:pt>
                <c:pt idx="501">
                  <c:v>105032.06299374549</c:v>
                </c:pt>
                <c:pt idx="502">
                  <c:v>104393.01598266726</c:v>
                </c:pt>
                <c:pt idx="503">
                  <c:v>104393.01598266726</c:v>
                </c:pt>
                <c:pt idx="504">
                  <c:v>106365.22505588787</c:v>
                </c:pt>
                <c:pt idx="505">
                  <c:v>106365.22505588787</c:v>
                </c:pt>
                <c:pt idx="506">
                  <c:v>109071.05471092106</c:v>
                </c:pt>
                <c:pt idx="507">
                  <c:v>109071.05471092106</c:v>
                </c:pt>
                <c:pt idx="508">
                  <c:v>105413.57256836782</c:v>
                </c:pt>
                <c:pt idx="509">
                  <c:v>105413.57256836782</c:v>
                </c:pt>
                <c:pt idx="510">
                  <c:v>105058.97026471166</c:v>
                </c:pt>
                <c:pt idx="511">
                  <c:v>105058.97026471166</c:v>
                </c:pt>
                <c:pt idx="512">
                  <c:v>104057.70972830385</c:v>
                </c:pt>
                <c:pt idx="513">
                  <c:v>104057.70972830385</c:v>
                </c:pt>
                <c:pt idx="514">
                  <c:v>103391.58595072056</c:v>
                </c:pt>
                <c:pt idx="515">
                  <c:v>103391.58595072056</c:v>
                </c:pt>
                <c:pt idx="516">
                  <c:v>105083.84353466319</c:v>
                </c:pt>
                <c:pt idx="517">
                  <c:v>105083.84353466319</c:v>
                </c:pt>
                <c:pt idx="518">
                  <c:v>106011.68863449758</c:v>
                </c:pt>
                <c:pt idx="519">
                  <c:v>106011.68863449758</c:v>
                </c:pt>
                <c:pt idx="520">
                  <c:v>102182.03499726178</c:v>
                </c:pt>
                <c:pt idx="521">
                  <c:v>102182.03499726178</c:v>
                </c:pt>
                <c:pt idx="522">
                  <c:v>101978.71459628249</c:v>
                </c:pt>
                <c:pt idx="523">
                  <c:v>101978.71459628249</c:v>
                </c:pt>
                <c:pt idx="524">
                  <c:v>106056.28914015935</c:v>
                </c:pt>
                <c:pt idx="525">
                  <c:v>106056.28914015935</c:v>
                </c:pt>
                <c:pt idx="526">
                  <c:v>102454.72299866084</c:v>
                </c:pt>
                <c:pt idx="527">
                  <c:v>102454.72299866084</c:v>
                </c:pt>
                <c:pt idx="528">
                  <c:v>100927.68162366224</c:v>
                </c:pt>
                <c:pt idx="529">
                  <c:v>100927.68162366224</c:v>
                </c:pt>
                <c:pt idx="530">
                  <c:v>101283.35641052118</c:v>
                </c:pt>
                <c:pt idx="531">
                  <c:v>101283.35641052118</c:v>
                </c:pt>
                <c:pt idx="532">
                  <c:v>98771.94757846088</c:v>
                </c:pt>
                <c:pt idx="533">
                  <c:v>98771.94757846088</c:v>
                </c:pt>
                <c:pt idx="534">
                  <c:v>99006.025988324618</c:v>
                </c:pt>
                <c:pt idx="535">
                  <c:v>99006.025988324618</c:v>
                </c:pt>
                <c:pt idx="536">
                  <c:v>99985.680538793269</c:v>
                </c:pt>
                <c:pt idx="537">
                  <c:v>99985.680538793269</c:v>
                </c:pt>
                <c:pt idx="538">
                  <c:v>97990.165897585874</c:v>
                </c:pt>
                <c:pt idx="539">
                  <c:v>97990.165897585874</c:v>
                </c:pt>
                <c:pt idx="540">
                  <c:v>97344.766271218483</c:v>
                </c:pt>
                <c:pt idx="541">
                  <c:v>97344.766271218483</c:v>
                </c:pt>
                <c:pt idx="542">
                  <c:v>96181.525206314051</c:v>
                </c:pt>
                <c:pt idx="543">
                  <c:v>96181.525206314051</c:v>
                </c:pt>
                <c:pt idx="544">
                  <c:v>91687.398497292248</c:v>
                </c:pt>
                <c:pt idx="545">
                  <c:v>91687.398497292248</c:v>
                </c:pt>
                <c:pt idx="546">
                  <c:v>87761.578610133627</c:v>
                </c:pt>
                <c:pt idx="547">
                  <c:v>87761.578610133627</c:v>
                </c:pt>
                <c:pt idx="548">
                  <c:v>92313.777444138512</c:v>
                </c:pt>
                <c:pt idx="549">
                  <c:v>92313.777444138512</c:v>
                </c:pt>
                <c:pt idx="550">
                  <c:v>94564.187506935923</c:v>
                </c:pt>
                <c:pt idx="551">
                  <c:v>94564.187506935923</c:v>
                </c:pt>
                <c:pt idx="552">
                  <c:v>98731.580961789616</c:v>
                </c:pt>
                <c:pt idx="553">
                  <c:v>98731.580961789616</c:v>
                </c:pt>
                <c:pt idx="554">
                  <c:v>95547.546121965905</c:v>
                </c:pt>
                <c:pt idx="555">
                  <c:v>95547.546121965905</c:v>
                </c:pt>
                <c:pt idx="556">
                  <c:v>101610.79582822981</c:v>
                </c:pt>
                <c:pt idx="557">
                  <c:v>101610.79582822981</c:v>
                </c:pt>
                <c:pt idx="558">
                  <c:v>101121.44795574884</c:v>
                </c:pt>
                <c:pt idx="559">
                  <c:v>101121.44795574884</c:v>
                </c:pt>
                <c:pt idx="560">
                  <c:v>101116.46800200702</c:v>
                </c:pt>
                <c:pt idx="561">
                  <c:v>101116.46800200702</c:v>
                </c:pt>
                <c:pt idx="562">
                  <c:v>99217.23788657377</c:v>
                </c:pt>
                <c:pt idx="563">
                  <c:v>99217.23788657377</c:v>
                </c:pt>
                <c:pt idx="564">
                  <c:v>101087.08017758103</c:v>
                </c:pt>
                <c:pt idx="565">
                  <c:v>101087.08017758103</c:v>
                </c:pt>
                <c:pt idx="566">
                  <c:v>99075.931998569868</c:v>
                </c:pt>
                <c:pt idx="567">
                  <c:v>99075.931998569868</c:v>
                </c:pt>
                <c:pt idx="568">
                  <c:v>103959.75537964382</c:v>
                </c:pt>
                <c:pt idx="569">
                  <c:v>103959.75537964382</c:v>
                </c:pt>
                <c:pt idx="570">
                  <c:v>104966.28279384418</c:v>
                </c:pt>
                <c:pt idx="571">
                  <c:v>104966.28279384418</c:v>
                </c:pt>
                <c:pt idx="572">
                  <c:v>103417.58312600735</c:v>
                </c:pt>
                <c:pt idx="573">
                  <c:v>103417.58312600735</c:v>
                </c:pt>
                <c:pt idx="574">
                  <c:v>102366.46326596719</c:v>
                </c:pt>
                <c:pt idx="575">
                  <c:v>102366.46326596719</c:v>
                </c:pt>
                <c:pt idx="576">
                  <c:v>104811.58462112173</c:v>
                </c:pt>
                <c:pt idx="577">
                  <c:v>104811.58462112173</c:v>
                </c:pt>
                <c:pt idx="578">
                  <c:v>102335.52432037886</c:v>
                </c:pt>
                <c:pt idx="579">
                  <c:v>102335.52432037886</c:v>
                </c:pt>
                <c:pt idx="580">
                  <c:v>104044.44835080176</c:v>
                </c:pt>
                <c:pt idx="581">
                  <c:v>104044.44835080176</c:v>
                </c:pt>
                <c:pt idx="582">
                  <c:v>104780.18245044602</c:v>
                </c:pt>
                <c:pt idx="583">
                  <c:v>104780.18245044602</c:v>
                </c:pt>
                <c:pt idx="584">
                  <c:v>116441.90046151515</c:v>
                </c:pt>
                <c:pt idx="585">
                  <c:v>116441.90046151515</c:v>
                </c:pt>
                <c:pt idx="586">
                  <c:v>124500.83993234629</c:v>
                </c:pt>
                <c:pt idx="587">
                  <c:v>124500.83993234629</c:v>
                </c:pt>
                <c:pt idx="588">
                  <c:v>116825.34471341602</c:v>
                </c:pt>
                <c:pt idx="589">
                  <c:v>116825.34471341602</c:v>
                </c:pt>
                <c:pt idx="590">
                  <c:v>123677.98622485661</c:v>
                </c:pt>
                <c:pt idx="591">
                  <c:v>123677.98622485661</c:v>
                </c:pt>
                <c:pt idx="592">
                  <c:v>125896.49862646074</c:v>
                </c:pt>
                <c:pt idx="593">
                  <c:v>125896.49862646074</c:v>
                </c:pt>
                <c:pt idx="594">
                  <c:v>139615.37635840013</c:v>
                </c:pt>
                <c:pt idx="595">
                  <c:v>139615.37635840013</c:v>
                </c:pt>
                <c:pt idx="596">
                  <c:v>132880.80993476545</c:v>
                </c:pt>
                <c:pt idx="597">
                  <c:v>132880.80993476545</c:v>
                </c:pt>
                <c:pt idx="598">
                  <c:v>123011.16983428667</c:v>
                </c:pt>
                <c:pt idx="599">
                  <c:v>123011.16983428667</c:v>
                </c:pt>
                <c:pt idx="600">
                  <c:v>120514.44507510918</c:v>
                </c:pt>
                <c:pt idx="601">
                  <c:v>120514.44507510918</c:v>
                </c:pt>
                <c:pt idx="602">
                  <c:v>117443.60975236402</c:v>
                </c:pt>
                <c:pt idx="603">
                  <c:v>117443.60975236402</c:v>
                </c:pt>
                <c:pt idx="604">
                  <c:v>115361.21539112576</c:v>
                </c:pt>
                <c:pt idx="605">
                  <c:v>115361.21539112576</c:v>
                </c:pt>
                <c:pt idx="606">
                  <c:v>115018.6504063982</c:v>
                </c:pt>
                <c:pt idx="607">
                  <c:v>115018.6504063982</c:v>
                </c:pt>
                <c:pt idx="608">
                  <c:v>116755.61713860421</c:v>
                </c:pt>
                <c:pt idx="609">
                  <c:v>116755.61713860421</c:v>
                </c:pt>
                <c:pt idx="610">
                  <c:v>111655.12335066072</c:v>
                </c:pt>
                <c:pt idx="611">
                  <c:v>111655.12335066072</c:v>
                </c:pt>
                <c:pt idx="612">
                  <c:v>111782.3706848891</c:v>
                </c:pt>
                <c:pt idx="613">
                  <c:v>111782.3706848891</c:v>
                </c:pt>
                <c:pt idx="614">
                  <c:v>116610.9765929995</c:v>
                </c:pt>
                <c:pt idx="615">
                  <c:v>116610.9765929995</c:v>
                </c:pt>
                <c:pt idx="616">
                  <c:v>121674.64512679804</c:v>
                </c:pt>
                <c:pt idx="617">
                  <c:v>121674.64512679804</c:v>
                </c:pt>
                <c:pt idx="618">
                  <c:v>119066.39256438489</c:v>
                </c:pt>
                <c:pt idx="619">
                  <c:v>119066.39256438489</c:v>
                </c:pt>
                <c:pt idx="620">
                  <c:v>115154.10193241941</c:v>
                </c:pt>
                <c:pt idx="621">
                  <c:v>115154.10193241941</c:v>
                </c:pt>
                <c:pt idx="622">
                  <c:v>113253.56054367579</c:v>
                </c:pt>
                <c:pt idx="623">
                  <c:v>113253.56054367579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4-41A1-95A3-D4091118BBD3}"/>
            </c:ext>
          </c:extLst>
        </c:ser>
        <c:ser>
          <c:idx val="4"/>
          <c:order val="1"/>
          <c:tx>
            <c:v>Balance</c:v>
          </c:tx>
          <c:spPr>
            <a:solidFill>
              <a:schemeClr val="tx2">
                <a:lumMod val="40000"/>
                <a:lumOff val="60000"/>
                <a:alpha val="25000"/>
              </a:schemeClr>
            </a:solidFill>
            <a:ln w="12700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cat>
            <c:numRef>
              <c:f>Sheet1!$B$42:$B$665</c:f>
              <c:numCache>
                <c:formatCode>m/d/yyyy</c:formatCode>
                <c:ptCount val="624"/>
                <c:pt idx="0">
                  <c:v>39293</c:v>
                </c:pt>
                <c:pt idx="1">
                  <c:v>39300</c:v>
                </c:pt>
                <c:pt idx="2">
                  <c:v>39307</c:v>
                </c:pt>
                <c:pt idx="3">
                  <c:v>39314</c:v>
                </c:pt>
                <c:pt idx="4">
                  <c:v>39321</c:v>
                </c:pt>
                <c:pt idx="5">
                  <c:v>39329</c:v>
                </c:pt>
                <c:pt idx="6">
                  <c:v>39335</c:v>
                </c:pt>
                <c:pt idx="7">
                  <c:v>39342</c:v>
                </c:pt>
                <c:pt idx="8">
                  <c:v>39349</c:v>
                </c:pt>
                <c:pt idx="9">
                  <c:v>39356</c:v>
                </c:pt>
                <c:pt idx="10">
                  <c:v>39363</c:v>
                </c:pt>
                <c:pt idx="11">
                  <c:v>39370</c:v>
                </c:pt>
                <c:pt idx="12">
                  <c:v>39377</c:v>
                </c:pt>
                <c:pt idx="13">
                  <c:v>39384</c:v>
                </c:pt>
                <c:pt idx="14">
                  <c:v>39391</c:v>
                </c:pt>
                <c:pt idx="15">
                  <c:v>39398</c:v>
                </c:pt>
                <c:pt idx="16">
                  <c:v>39405</c:v>
                </c:pt>
                <c:pt idx="17">
                  <c:v>39412</c:v>
                </c:pt>
                <c:pt idx="18">
                  <c:v>39419</c:v>
                </c:pt>
                <c:pt idx="19">
                  <c:v>39426</c:v>
                </c:pt>
                <c:pt idx="20">
                  <c:v>39433</c:v>
                </c:pt>
                <c:pt idx="21">
                  <c:v>39440</c:v>
                </c:pt>
                <c:pt idx="22">
                  <c:v>39447</c:v>
                </c:pt>
                <c:pt idx="23">
                  <c:v>39454</c:v>
                </c:pt>
                <c:pt idx="24">
                  <c:v>39461</c:v>
                </c:pt>
                <c:pt idx="25">
                  <c:v>39469</c:v>
                </c:pt>
                <c:pt idx="26">
                  <c:v>39475</c:v>
                </c:pt>
                <c:pt idx="27">
                  <c:v>39482</c:v>
                </c:pt>
                <c:pt idx="28">
                  <c:v>39489</c:v>
                </c:pt>
                <c:pt idx="29">
                  <c:v>39497</c:v>
                </c:pt>
                <c:pt idx="30">
                  <c:v>39503</c:v>
                </c:pt>
                <c:pt idx="31">
                  <c:v>39510</c:v>
                </c:pt>
                <c:pt idx="32">
                  <c:v>39517</c:v>
                </c:pt>
                <c:pt idx="33">
                  <c:v>39524</c:v>
                </c:pt>
                <c:pt idx="34">
                  <c:v>39531</c:v>
                </c:pt>
                <c:pt idx="35">
                  <c:v>39538</c:v>
                </c:pt>
                <c:pt idx="36">
                  <c:v>39545</c:v>
                </c:pt>
                <c:pt idx="37">
                  <c:v>39552</c:v>
                </c:pt>
                <c:pt idx="38">
                  <c:v>39559</c:v>
                </c:pt>
                <c:pt idx="39">
                  <c:v>39566</c:v>
                </c:pt>
                <c:pt idx="40">
                  <c:v>39573</c:v>
                </c:pt>
                <c:pt idx="41">
                  <c:v>39580</c:v>
                </c:pt>
                <c:pt idx="42">
                  <c:v>39587</c:v>
                </c:pt>
                <c:pt idx="43">
                  <c:v>39595</c:v>
                </c:pt>
                <c:pt idx="44">
                  <c:v>39601</c:v>
                </c:pt>
                <c:pt idx="45">
                  <c:v>39608</c:v>
                </c:pt>
                <c:pt idx="46">
                  <c:v>39615</c:v>
                </c:pt>
                <c:pt idx="47">
                  <c:v>39622</c:v>
                </c:pt>
                <c:pt idx="48">
                  <c:v>39629</c:v>
                </c:pt>
                <c:pt idx="49">
                  <c:v>39636</c:v>
                </c:pt>
                <c:pt idx="50">
                  <c:v>39643</c:v>
                </c:pt>
                <c:pt idx="51">
                  <c:v>39650</c:v>
                </c:pt>
                <c:pt idx="52">
                  <c:v>39657</c:v>
                </c:pt>
                <c:pt idx="53">
                  <c:v>39664</c:v>
                </c:pt>
                <c:pt idx="54">
                  <c:v>39671</c:v>
                </c:pt>
                <c:pt idx="55">
                  <c:v>39678</c:v>
                </c:pt>
                <c:pt idx="56">
                  <c:v>39685</c:v>
                </c:pt>
                <c:pt idx="57">
                  <c:v>39693</c:v>
                </c:pt>
                <c:pt idx="58">
                  <c:v>39699</c:v>
                </c:pt>
                <c:pt idx="59">
                  <c:v>39706</c:v>
                </c:pt>
                <c:pt idx="60">
                  <c:v>39713</c:v>
                </c:pt>
                <c:pt idx="61">
                  <c:v>39720</c:v>
                </c:pt>
                <c:pt idx="62">
                  <c:v>39727</c:v>
                </c:pt>
                <c:pt idx="63">
                  <c:v>39734</c:v>
                </c:pt>
                <c:pt idx="64">
                  <c:v>39741</c:v>
                </c:pt>
                <c:pt idx="65">
                  <c:v>39748</c:v>
                </c:pt>
                <c:pt idx="66">
                  <c:v>39755</c:v>
                </c:pt>
                <c:pt idx="67">
                  <c:v>39762</c:v>
                </c:pt>
                <c:pt idx="68">
                  <c:v>39769</c:v>
                </c:pt>
                <c:pt idx="69">
                  <c:v>39776</c:v>
                </c:pt>
                <c:pt idx="70">
                  <c:v>39783</c:v>
                </c:pt>
                <c:pt idx="71">
                  <c:v>39790</c:v>
                </c:pt>
                <c:pt idx="72">
                  <c:v>39797</c:v>
                </c:pt>
                <c:pt idx="73">
                  <c:v>39804</c:v>
                </c:pt>
                <c:pt idx="74">
                  <c:v>39811</c:v>
                </c:pt>
                <c:pt idx="75">
                  <c:v>39818</c:v>
                </c:pt>
                <c:pt idx="76">
                  <c:v>39825</c:v>
                </c:pt>
                <c:pt idx="77">
                  <c:v>39833</c:v>
                </c:pt>
                <c:pt idx="78">
                  <c:v>39839</c:v>
                </c:pt>
                <c:pt idx="79">
                  <c:v>39846</c:v>
                </c:pt>
                <c:pt idx="80">
                  <c:v>39853</c:v>
                </c:pt>
                <c:pt idx="81">
                  <c:v>39861</c:v>
                </c:pt>
                <c:pt idx="82">
                  <c:v>39867</c:v>
                </c:pt>
                <c:pt idx="83">
                  <c:v>39874</c:v>
                </c:pt>
                <c:pt idx="84">
                  <c:v>39881</c:v>
                </c:pt>
                <c:pt idx="85">
                  <c:v>39888</c:v>
                </c:pt>
                <c:pt idx="86">
                  <c:v>39895</c:v>
                </c:pt>
                <c:pt idx="87">
                  <c:v>39902</c:v>
                </c:pt>
                <c:pt idx="88">
                  <c:v>39909</c:v>
                </c:pt>
                <c:pt idx="89">
                  <c:v>39916</c:v>
                </c:pt>
                <c:pt idx="90">
                  <c:v>39923</c:v>
                </c:pt>
                <c:pt idx="91">
                  <c:v>39930</c:v>
                </c:pt>
                <c:pt idx="92">
                  <c:v>39937</c:v>
                </c:pt>
                <c:pt idx="93">
                  <c:v>39944</c:v>
                </c:pt>
                <c:pt idx="94">
                  <c:v>39951</c:v>
                </c:pt>
                <c:pt idx="95">
                  <c:v>39959</c:v>
                </c:pt>
                <c:pt idx="96">
                  <c:v>39965</c:v>
                </c:pt>
                <c:pt idx="97">
                  <c:v>39972</c:v>
                </c:pt>
                <c:pt idx="98">
                  <c:v>39979</c:v>
                </c:pt>
                <c:pt idx="99">
                  <c:v>39986</c:v>
                </c:pt>
                <c:pt idx="100">
                  <c:v>39993</c:v>
                </c:pt>
                <c:pt idx="101">
                  <c:v>40000</c:v>
                </c:pt>
                <c:pt idx="102">
                  <c:v>40007</c:v>
                </c:pt>
                <c:pt idx="103">
                  <c:v>40014</c:v>
                </c:pt>
                <c:pt idx="104">
                  <c:v>40021</c:v>
                </c:pt>
                <c:pt idx="105">
                  <c:v>40028</c:v>
                </c:pt>
                <c:pt idx="106">
                  <c:v>40035</c:v>
                </c:pt>
                <c:pt idx="107">
                  <c:v>40042</c:v>
                </c:pt>
                <c:pt idx="108">
                  <c:v>40049</c:v>
                </c:pt>
                <c:pt idx="109">
                  <c:v>40056</c:v>
                </c:pt>
                <c:pt idx="110">
                  <c:v>40064</c:v>
                </c:pt>
                <c:pt idx="111">
                  <c:v>40070</c:v>
                </c:pt>
                <c:pt idx="112">
                  <c:v>40077</c:v>
                </c:pt>
                <c:pt idx="113">
                  <c:v>40084</c:v>
                </c:pt>
                <c:pt idx="114">
                  <c:v>40091</c:v>
                </c:pt>
                <c:pt idx="115">
                  <c:v>40098</c:v>
                </c:pt>
                <c:pt idx="116">
                  <c:v>40105</c:v>
                </c:pt>
                <c:pt idx="117">
                  <c:v>40112</c:v>
                </c:pt>
                <c:pt idx="118">
                  <c:v>40119</c:v>
                </c:pt>
                <c:pt idx="119">
                  <c:v>40126</c:v>
                </c:pt>
                <c:pt idx="120">
                  <c:v>40133</c:v>
                </c:pt>
                <c:pt idx="121">
                  <c:v>40140</c:v>
                </c:pt>
                <c:pt idx="122">
                  <c:v>40147</c:v>
                </c:pt>
                <c:pt idx="123">
                  <c:v>40154</c:v>
                </c:pt>
                <c:pt idx="124">
                  <c:v>40161</c:v>
                </c:pt>
                <c:pt idx="125">
                  <c:v>40168</c:v>
                </c:pt>
                <c:pt idx="126">
                  <c:v>40175</c:v>
                </c:pt>
                <c:pt idx="127">
                  <c:v>40182</c:v>
                </c:pt>
                <c:pt idx="128">
                  <c:v>40189</c:v>
                </c:pt>
                <c:pt idx="129">
                  <c:v>40197</c:v>
                </c:pt>
                <c:pt idx="130">
                  <c:v>40203</c:v>
                </c:pt>
                <c:pt idx="131">
                  <c:v>40210</c:v>
                </c:pt>
                <c:pt idx="132">
                  <c:v>40217</c:v>
                </c:pt>
                <c:pt idx="133">
                  <c:v>40225</c:v>
                </c:pt>
                <c:pt idx="134">
                  <c:v>40231</c:v>
                </c:pt>
                <c:pt idx="135">
                  <c:v>40238</c:v>
                </c:pt>
                <c:pt idx="136">
                  <c:v>40245</c:v>
                </c:pt>
                <c:pt idx="137">
                  <c:v>40252</c:v>
                </c:pt>
                <c:pt idx="138">
                  <c:v>40259</c:v>
                </c:pt>
                <c:pt idx="139">
                  <c:v>40266</c:v>
                </c:pt>
                <c:pt idx="140">
                  <c:v>40273</c:v>
                </c:pt>
                <c:pt idx="141">
                  <c:v>40280</c:v>
                </c:pt>
                <c:pt idx="142">
                  <c:v>40287</c:v>
                </c:pt>
                <c:pt idx="143">
                  <c:v>40294</c:v>
                </c:pt>
                <c:pt idx="144">
                  <c:v>40301</c:v>
                </c:pt>
                <c:pt idx="145">
                  <c:v>40308</c:v>
                </c:pt>
                <c:pt idx="146">
                  <c:v>40315</c:v>
                </c:pt>
                <c:pt idx="147">
                  <c:v>40322</c:v>
                </c:pt>
                <c:pt idx="148">
                  <c:v>40330</c:v>
                </c:pt>
                <c:pt idx="149">
                  <c:v>40336</c:v>
                </c:pt>
                <c:pt idx="150">
                  <c:v>40343</c:v>
                </c:pt>
                <c:pt idx="151">
                  <c:v>40350</c:v>
                </c:pt>
                <c:pt idx="152">
                  <c:v>40357</c:v>
                </c:pt>
                <c:pt idx="153">
                  <c:v>40365</c:v>
                </c:pt>
                <c:pt idx="154">
                  <c:v>40371</c:v>
                </c:pt>
                <c:pt idx="155">
                  <c:v>40378</c:v>
                </c:pt>
                <c:pt idx="156">
                  <c:v>40385</c:v>
                </c:pt>
                <c:pt idx="157">
                  <c:v>40392</c:v>
                </c:pt>
                <c:pt idx="158">
                  <c:v>40399</c:v>
                </c:pt>
                <c:pt idx="159">
                  <c:v>40406</c:v>
                </c:pt>
                <c:pt idx="160">
                  <c:v>40413</c:v>
                </c:pt>
                <c:pt idx="161">
                  <c:v>40420</c:v>
                </c:pt>
                <c:pt idx="162">
                  <c:v>40428</c:v>
                </c:pt>
                <c:pt idx="163">
                  <c:v>40434</c:v>
                </c:pt>
                <c:pt idx="164">
                  <c:v>40441</c:v>
                </c:pt>
                <c:pt idx="165">
                  <c:v>40448</c:v>
                </c:pt>
                <c:pt idx="166">
                  <c:v>40455</c:v>
                </c:pt>
                <c:pt idx="167">
                  <c:v>40462</c:v>
                </c:pt>
                <c:pt idx="168">
                  <c:v>40469</c:v>
                </c:pt>
                <c:pt idx="169">
                  <c:v>40476</c:v>
                </c:pt>
                <c:pt idx="170">
                  <c:v>40483</c:v>
                </c:pt>
                <c:pt idx="171">
                  <c:v>40490</c:v>
                </c:pt>
                <c:pt idx="172">
                  <c:v>40497</c:v>
                </c:pt>
                <c:pt idx="173">
                  <c:v>40504</c:v>
                </c:pt>
                <c:pt idx="174">
                  <c:v>40511</c:v>
                </c:pt>
                <c:pt idx="175">
                  <c:v>40518</c:v>
                </c:pt>
                <c:pt idx="176">
                  <c:v>40525</c:v>
                </c:pt>
                <c:pt idx="177">
                  <c:v>40532</c:v>
                </c:pt>
                <c:pt idx="178">
                  <c:v>40539</c:v>
                </c:pt>
                <c:pt idx="179">
                  <c:v>40546</c:v>
                </c:pt>
                <c:pt idx="180">
                  <c:v>40553</c:v>
                </c:pt>
                <c:pt idx="181">
                  <c:v>40561</c:v>
                </c:pt>
                <c:pt idx="182">
                  <c:v>40567</c:v>
                </c:pt>
                <c:pt idx="183">
                  <c:v>40574</c:v>
                </c:pt>
                <c:pt idx="184">
                  <c:v>40581</c:v>
                </c:pt>
                <c:pt idx="185">
                  <c:v>40588</c:v>
                </c:pt>
                <c:pt idx="186">
                  <c:v>40596</c:v>
                </c:pt>
                <c:pt idx="187">
                  <c:v>40602</c:v>
                </c:pt>
                <c:pt idx="188">
                  <c:v>40609</c:v>
                </c:pt>
                <c:pt idx="189">
                  <c:v>40616</c:v>
                </c:pt>
                <c:pt idx="190">
                  <c:v>40623</c:v>
                </c:pt>
                <c:pt idx="191">
                  <c:v>40630</c:v>
                </c:pt>
                <c:pt idx="192">
                  <c:v>40637</c:v>
                </c:pt>
                <c:pt idx="193">
                  <c:v>40644</c:v>
                </c:pt>
                <c:pt idx="194">
                  <c:v>40651</c:v>
                </c:pt>
                <c:pt idx="195">
                  <c:v>40658</c:v>
                </c:pt>
                <c:pt idx="196">
                  <c:v>40665</c:v>
                </c:pt>
                <c:pt idx="197">
                  <c:v>40672</c:v>
                </c:pt>
                <c:pt idx="198">
                  <c:v>40679</c:v>
                </c:pt>
                <c:pt idx="199">
                  <c:v>40686</c:v>
                </c:pt>
                <c:pt idx="200">
                  <c:v>40694</c:v>
                </c:pt>
                <c:pt idx="201">
                  <c:v>40700</c:v>
                </c:pt>
                <c:pt idx="202">
                  <c:v>40707</c:v>
                </c:pt>
                <c:pt idx="203">
                  <c:v>40714</c:v>
                </c:pt>
                <c:pt idx="204">
                  <c:v>40721</c:v>
                </c:pt>
                <c:pt idx="205">
                  <c:v>40729</c:v>
                </c:pt>
                <c:pt idx="206">
                  <c:v>40735</c:v>
                </c:pt>
                <c:pt idx="207">
                  <c:v>40742</c:v>
                </c:pt>
                <c:pt idx="208">
                  <c:v>40749</c:v>
                </c:pt>
                <c:pt idx="209">
                  <c:v>40756</c:v>
                </c:pt>
                <c:pt idx="210">
                  <c:v>40763</c:v>
                </c:pt>
                <c:pt idx="211">
                  <c:v>40770</c:v>
                </c:pt>
                <c:pt idx="212">
                  <c:v>40777</c:v>
                </c:pt>
                <c:pt idx="213">
                  <c:v>40784</c:v>
                </c:pt>
                <c:pt idx="214">
                  <c:v>40792</c:v>
                </c:pt>
                <c:pt idx="215">
                  <c:v>40798</c:v>
                </c:pt>
                <c:pt idx="216">
                  <c:v>40805</c:v>
                </c:pt>
                <c:pt idx="217">
                  <c:v>40812</c:v>
                </c:pt>
                <c:pt idx="218">
                  <c:v>40819</c:v>
                </c:pt>
                <c:pt idx="219">
                  <c:v>40826</c:v>
                </c:pt>
                <c:pt idx="220">
                  <c:v>40833</c:v>
                </c:pt>
                <c:pt idx="221">
                  <c:v>40840</c:v>
                </c:pt>
                <c:pt idx="222">
                  <c:v>40847</c:v>
                </c:pt>
                <c:pt idx="223">
                  <c:v>40854</c:v>
                </c:pt>
                <c:pt idx="224">
                  <c:v>40861</c:v>
                </c:pt>
                <c:pt idx="225">
                  <c:v>40868</c:v>
                </c:pt>
                <c:pt idx="226">
                  <c:v>40875</c:v>
                </c:pt>
                <c:pt idx="227">
                  <c:v>40882</c:v>
                </c:pt>
                <c:pt idx="228">
                  <c:v>40889</c:v>
                </c:pt>
                <c:pt idx="229">
                  <c:v>40896</c:v>
                </c:pt>
                <c:pt idx="230">
                  <c:v>40904</c:v>
                </c:pt>
                <c:pt idx="231">
                  <c:v>40911</c:v>
                </c:pt>
                <c:pt idx="232">
                  <c:v>40917</c:v>
                </c:pt>
                <c:pt idx="233">
                  <c:v>40925</c:v>
                </c:pt>
                <c:pt idx="234">
                  <c:v>40931</c:v>
                </c:pt>
                <c:pt idx="235">
                  <c:v>40938</c:v>
                </c:pt>
                <c:pt idx="236">
                  <c:v>40945</c:v>
                </c:pt>
                <c:pt idx="237">
                  <c:v>40952</c:v>
                </c:pt>
                <c:pt idx="238">
                  <c:v>40960</c:v>
                </c:pt>
                <c:pt idx="239">
                  <c:v>40966</c:v>
                </c:pt>
                <c:pt idx="240">
                  <c:v>40973</c:v>
                </c:pt>
                <c:pt idx="241">
                  <c:v>40980</c:v>
                </c:pt>
                <c:pt idx="242">
                  <c:v>40987</c:v>
                </c:pt>
                <c:pt idx="243">
                  <c:v>40994</c:v>
                </c:pt>
                <c:pt idx="244">
                  <c:v>41001</c:v>
                </c:pt>
                <c:pt idx="245">
                  <c:v>41008</c:v>
                </c:pt>
                <c:pt idx="246">
                  <c:v>41015</c:v>
                </c:pt>
                <c:pt idx="247">
                  <c:v>41022</c:v>
                </c:pt>
                <c:pt idx="248">
                  <c:v>41029</c:v>
                </c:pt>
                <c:pt idx="249">
                  <c:v>41036</c:v>
                </c:pt>
                <c:pt idx="250">
                  <c:v>41043</c:v>
                </c:pt>
                <c:pt idx="251">
                  <c:v>41050</c:v>
                </c:pt>
                <c:pt idx="252">
                  <c:v>41058</c:v>
                </c:pt>
                <c:pt idx="253">
                  <c:v>41064</c:v>
                </c:pt>
                <c:pt idx="254">
                  <c:v>41071</c:v>
                </c:pt>
                <c:pt idx="255">
                  <c:v>41078</c:v>
                </c:pt>
                <c:pt idx="256">
                  <c:v>41085</c:v>
                </c:pt>
                <c:pt idx="257">
                  <c:v>41092</c:v>
                </c:pt>
                <c:pt idx="258">
                  <c:v>41099</c:v>
                </c:pt>
                <c:pt idx="259">
                  <c:v>41106</c:v>
                </c:pt>
                <c:pt idx="260">
                  <c:v>41113</c:v>
                </c:pt>
                <c:pt idx="261">
                  <c:v>41120</c:v>
                </c:pt>
                <c:pt idx="262">
                  <c:v>41127</c:v>
                </c:pt>
                <c:pt idx="263">
                  <c:v>41134</c:v>
                </c:pt>
                <c:pt idx="264">
                  <c:v>41141</c:v>
                </c:pt>
                <c:pt idx="265">
                  <c:v>41148</c:v>
                </c:pt>
                <c:pt idx="266">
                  <c:v>41156</c:v>
                </c:pt>
                <c:pt idx="267">
                  <c:v>41162</c:v>
                </c:pt>
                <c:pt idx="268">
                  <c:v>41169</c:v>
                </c:pt>
                <c:pt idx="269">
                  <c:v>41176</c:v>
                </c:pt>
                <c:pt idx="270">
                  <c:v>41183</c:v>
                </c:pt>
                <c:pt idx="271">
                  <c:v>41190</c:v>
                </c:pt>
                <c:pt idx="272">
                  <c:v>41197</c:v>
                </c:pt>
                <c:pt idx="273">
                  <c:v>41204</c:v>
                </c:pt>
                <c:pt idx="274">
                  <c:v>41213</c:v>
                </c:pt>
                <c:pt idx="275">
                  <c:v>41218</c:v>
                </c:pt>
                <c:pt idx="276">
                  <c:v>41225</c:v>
                </c:pt>
                <c:pt idx="277">
                  <c:v>41232</c:v>
                </c:pt>
                <c:pt idx="278">
                  <c:v>41239</c:v>
                </c:pt>
                <c:pt idx="279">
                  <c:v>41246</c:v>
                </c:pt>
                <c:pt idx="280">
                  <c:v>41253</c:v>
                </c:pt>
                <c:pt idx="281">
                  <c:v>41260</c:v>
                </c:pt>
                <c:pt idx="282">
                  <c:v>41267</c:v>
                </c:pt>
                <c:pt idx="283">
                  <c:v>41274</c:v>
                </c:pt>
                <c:pt idx="284">
                  <c:v>41281</c:v>
                </c:pt>
                <c:pt idx="285">
                  <c:v>41288</c:v>
                </c:pt>
                <c:pt idx="286">
                  <c:v>41296</c:v>
                </c:pt>
                <c:pt idx="287">
                  <c:v>41302</c:v>
                </c:pt>
                <c:pt idx="288">
                  <c:v>41309</c:v>
                </c:pt>
                <c:pt idx="289">
                  <c:v>41316</c:v>
                </c:pt>
                <c:pt idx="290">
                  <c:v>41324</c:v>
                </c:pt>
                <c:pt idx="291">
                  <c:v>41330</c:v>
                </c:pt>
                <c:pt idx="292">
                  <c:v>41337</c:v>
                </c:pt>
                <c:pt idx="293">
                  <c:v>41344</c:v>
                </c:pt>
                <c:pt idx="294">
                  <c:v>41351</c:v>
                </c:pt>
                <c:pt idx="295">
                  <c:v>41358</c:v>
                </c:pt>
                <c:pt idx="296">
                  <c:v>41365</c:v>
                </c:pt>
                <c:pt idx="297">
                  <c:v>41372</c:v>
                </c:pt>
                <c:pt idx="298">
                  <c:v>41379</c:v>
                </c:pt>
                <c:pt idx="299">
                  <c:v>41386</c:v>
                </c:pt>
                <c:pt idx="300">
                  <c:v>41393</c:v>
                </c:pt>
                <c:pt idx="301">
                  <c:v>41400</c:v>
                </c:pt>
                <c:pt idx="302">
                  <c:v>41407</c:v>
                </c:pt>
                <c:pt idx="303">
                  <c:v>41414</c:v>
                </c:pt>
                <c:pt idx="304">
                  <c:v>41422</c:v>
                </c:pt>
                <c:pt idx="305">
                  <c:v>41428</c:v>
                </c:pt>
                <c:pt idx="306">
                  <c:v>41435</c:v>
                </c:pt>
                <c:pt idx="307">
                  <c:v>41442</c:v>
                </c:pt>
                <c:pt idx="308">
                  <c:v>41449</c:v>
                </c:pt>
                <c:pt idx="309">
                  <c:v>41456</c:v>
                </c:pt>
                <c:pt idx="310">
                  <c:v>41463</c:v>
                </c:pt>
                <c:pt idx="311">
                  <c:v>41470</c:v>
                </c:pt>
                <c:pt idx="312">
                  <c:v>41477</c:v>
                </c:pt>
                <c:pt idx="313">
                  <c:v>41484</c:v>
                </c:pt>
                <c:pt idx="314">
                  <c:v>41491</c:v>
                </c:pt>
                <c:pt idx="315">
                  <c:v>41498</c:v>
                </c:pt>
                <c:pt idx="316">
                  <c:v>41505</c:v>
                </c:pt>
                <c:pt idx="317">
                  <c:v>41512</c:v>
                </c:pt>
                <c:pt idx="318">
                  <c:v>41520</c:v>
                </c:pt>
                <c:pt idx="319">
                  <c:v>41526</c:v>
                </c:pt>
                <c:pt idx="320">
                  <c:v>41533</c:v>
                </c:pt>
                <c:pt idx="321">
                  <c:v>41540</c:v>
                </c:pt>
                <c:pt idx="322">
                  <c:v>41547</c:v>
                </c:pt>
                <c:pt idx="323">
                  <c:v>41554</c:v>
                </c:pt>
                <c:pt idx="324">
                  <c:v>41561</c:v>
                </c:pt>
                <c:pt idx="325">
                  <c:v>41568</c:v>
                </c:pt>
                <c:pt idx="326">
                  <c:v>41575</c:v>
                </c:pt>
                <c:pt idx="327">
                  <c:v>41582</c:v>
                </c:pt>
                <c:pt idx="328">
                  <c:v>41589</c:v>
                </c:pt>
                <c:pt idx="329">
                  <c:v>41596</c:v>
                </c:pt>
                <c:pt idx="330">
                  <c:v>41603</c:v>
                </c:pt>
                <c:pt idx="331">
                  <c:v>41610</c:v>
                </c:pt>
                <c:pt idx="332">
                  <c:v>41617</c:v>
                </c:pt>
                <c:pt idx="333">
                  <c:v>41624</c:v>
                </c:pt>
                <c:pt idx="334">
                  <c:v>41631</c:v>
                </c:pt>
                <c:pt idx="335">
                  <c:v>41638</c:v>
                </c:pt>
                <c:pt idx="336">
                  <c:v>41645</c:v>
                </c:pt>
                <c:pt idx="337">
                  <c:v>41652</c:v>
                </c:pt>
                <c:pt idx="338">
                  <c:v>41660</c:v>
                </c:pt>
                <c:pt idx="339">
                  <c:v>41666</c:v>
                </c:pt>
                <c:pt idx="340">
                  <c:v>41673</c:v>
                </c:pt>
                <c:pt idx="341">
                  <c:v>41680</c:v>
                </c:pt>
                <c:pt idx="342">
                  <c:v>41688</c:v>
                </c:pt>
                <c:pt idx="343">
                  <c:v>41694</c:v>
                </c:pt>
                <c:pt idx="344">
                  <c:v>41701</c:v>
                </c:pt>
                <c:pt idx="345">
                  <c:v>41708</c:v>
                </c:pt>
                <c:pt idx="346">
                  <c:v>41715</c:v>
                </c:pt>
                <c:pt idx="347">
                  <c:v>41722</c:v>
                </c:pt>
                <c:pt idx="348">
                  <c:v>41729</c:v>
                </c:pt>
                <c:pt idx="349">
                  <c:v>41736</c:v>
                </c:pt>
                <c:pt idx="350">
                  <c:v>41743</c:v>
                </c:pt>
                <c:pt idx="351">
                  <c:v>41750</c:v>
                </c:pt>
                <c:pt idx="352">
                  <c:v>41757</c:v>
                </c:pt>
                <c:pt idx="353">
                  <c:v>41764</c:v>
                </c:pt>
                <c:pt idx="354">
                  <c:v>41771</c:v>
                </c:pt>
                <c:pt idx="355">
                  <c:v>41778</c:v>
                </c:pt>
                <c:pt idx="356">
                  <c:v>41786</c:v>
                </c:pt>
                <c:pt idx="357">
                  <c:v>41792</c:v>
                </c:pt>
                <c:pt idx="358">
                  <c:v>41799</c:v>
                </c:pt>
                <c:pt idx="359">
                  <c:v>41806</c:v>
                </c:pt>
                <c:pt idx="360">
                  <c:v>41813</c:v>
                </c:pt>
                <c:pt idx="361">
                  <c:v>41820</c:v>
                </c:pt>
                <c:pt idx="362">
                  <c:v>41827</c:v>
                </c:pt>
                <c:pt idx="363">
                  <c:v>41834</c:v>
                </c:pt>
                <c:pt idx="364">
                  <c:v>41841</c:v>
                </c:pt>
                <c:pt idx="365">
                  <c:v>41848</c:v>
                </c:pt>
                <c:pt idx="366">
                  <c:v>41855</c:v>
                </c:pt>
                <c:pt idx="367">
                  <c:v>41862</c:v>
                </c:pt>
                <c:pt idx="368">
                  <c:v>41869</c:v>
                </c:pt>
                <c:pt idx="369">
                  <c:v>41876</c:v>
                </c:pt>
                <c:pt idx="370">
                  <c:v>41884</c:v>
                </c:pt>
                <c:pt idx="371">
                  <c:v>41890</c:v>
                </c:pt>
                <c:pt idx="372">
                  <c:v>41897</c:v>
                </c:pt>
                <c:pt idx="373">
                  <c:v>41904</c:v>
                </c:pt>
                <c:pt idx="374">
                  <c:v>41911</c:v>
                </c:pt>
                <c:pt idx="375">
                  <c:v>41918</c:v>
                </c:pt>
                <c:pt idx="376">
                  <c:v>41925</c:v>
                </c:pt>
                <c:pt idx="377">
                  <c:v>41932</c:v>
                </c:pt>
                <c:pt idx="378">
                  <c:v>41939</c:v>
                </c:pt>
                <c:pt idx="379">
                  <c:v>41946</c:v>
                </c:pt>
                <c:pt idx="380">
                  <c:v>41953</c:v>
                </c:pt>
                <c:pt idx="381">
                  <c:v>41960</c:v>
                </c:pt>
                <c:pt idx="382">
                  <c:v>41967</c:v>
                </c:pt>
                <c:pt idx="383">
                  <c:v>41974</c:v>
                </c:pt>
                <c:pt idx="384">
                  <c:v>41981</c:v>
                </c:pt>
                <c:pt idx="385">
                  <c:v>41988</c:v>
                </c:pt>
                <c:pt idx="386">
                  <c:v>41995</c:v>
                </c:pt>
                <c:pt idx="387">
                  <c:v>42002</c:v>
                </c:pt>
                <c:pt idx="388">
                  <c:v>42009</c:v>
                </c:pt>
                <c:pt idx="389">
                  <c:v>42016</c:v>
                </c:pt>
                <c:pt idx="390">
                  <c:v>42024</c:v>
                </c:pt>
                <c:pt idx="391">
                  <c:v>42030</c:v>
                </c:pt>
                <c:pt idx="392">
                  <c:v>42037</c:v>
                </c:pt>
                <c:pt idx="393">
                  <c:v>42044</c:v>
                </c:pt>
                <c:pt idx="394">
                  <c:v>42052</c:v>
                </c:pt>
                <c:pt idx="395">
                  <c:v>42058</c:v>
                </c:pt>
                <c:pt idx="396">
                  <c:v>42065</c:v>
                </c:pt>
                <c:pt idx="397">
                  <c:v>42072</c:v>
                </c:pt>
                <c:pt idx="398">
                  <c:v>42079</c:v>
                </c:pt>
                <c:pt idx="399">
                  <c:v>42086</c:v>
                </c:pt>
                <c:pt idx="400">
                  <c:v>42093</c:v>
                </c:pt>
                <c:pt idx="401">
                  <c:v>42100</c:v>
                </c:pt>
                <c:pt idx="402">
                  <c:v>42107</c:v>
                </c:pt>
                <c:pt idx="403">
                  <c:v>42114</c:v>
                </c:pt>
                <c:pt idx="404">
                  <c:v>42121</c:v>
                </c:pt>
                <c:pt idx="405">
                  <c:v>42128</c:v>
                </c:pt>
                <c:pt idx="406">
                  <c:v>42135</c:v>
                </c:pt>
                <c:pt idx="407">
                  <c:v>42142</c:v>
                </c:pt>
                <c:pt idx="408">
                  <c:v>42150</c:v>
                </c:pt>
                <c:pt idx="409">
                  <c:v>42156</c:v>
                </c:pt>
                <c:pt idx="410">
                  <c:v>42163</c:v>
                </c:pt>
                <c:pt idx="411">
                  <c:v>42170</c:v>
                </c:pt>
                <c:pt idx="412">
                  <c:v>42177</c:v>
                </c:pt>
                <c:pt idx="413">
                  <c:v>42184</c:v>
                </c:pt>
                <c:pt idx="414">
                  <c:v>42191</c:v>
                </c:pt>
                <c:pt idx="415">
                  <c:v>42198</c:v>
                </c:pt>
                <c:pt idx="416">
                  <c:v>42205</c:v>
                </c:pt>
                <c:pt idx="417">
                  <c:v>42212</c:v>
                </c:pt>
                <c:pt idx="418">
                  <c:v>42219</c:v>
                </c:pt>
                <c:pt idx="419">
                  <c:v>42226</c:v>
                </c:pt>
                <c:pt idx="420">
                  <c:v>42233</c:v>
                </c:pt>
                <c:pt idx="421">
                  <c:v>42240</c:v>
                </c:pt>
                <c:pt idx="422">
                  <c:v>42247</c:v>
                </c:pt>
                <c:pt idx="423">
                  <c:v>42255</c:v>
                </c:pt>
                <c:pt idx="424">
                  <c:v>42261</c:v>
                </c:pt>
                <c:pt idx="425">
                  <c:v>42268</c:v>
                </c:pt>
                <c:pt idx="426">
                  <c:v>42275</c:v>
                </c:pt>
                <c:pt idx="427">
                  <c:v>42282</c:v>
                </c:pt>
                <c:pt idx="428">
                  <c:v>42289</c:v>
                </c:pt>
                <c:pt idx="429">
                  <c:v>42296</c:v>
                </c:pt>
                <c:pt idx="430">
                  <c:v>42303</c:v>
                </c:pt>
                <c:pt idx="431">
                  <c:v>42310</c:v>
                </c:pt>
                <c:pt idx="432">
                  <c:v>42317</c:v>
                </c:pt>
                <c:pt idx="433">
                  <c:v>42324</c:v>
                </c:pt>
                <c:pt idx="434">
                  <c:v>42331</c:v>
                </c:pt>
                <c:pt idx="435">
                  <c:v>42338</c:v>
                </c:pt>
                <c:pt idx="436">
                  <c:v>42345</c:v>
                </c:pt>
                <c:pt idx="437">
                  <c:v>42352</c:v>
                </c:pt>
                <c:pt idx="438">
                  <c:v>42359</c:v>
                </c:pt>
                <c:pt idx="439">
                  <c:v>42366</c:v>
                </c:pt>
                <c:pt idx="440">
                  <c:v>42373</c:v>
                </c:pt>
                <c:pt idx="441">
                  <c:v>42380</c:v>
                </c:pt>
                <c:pt idx="442">
                  <c:v>42388</c:v>
                </c:pt>
                <c:pt idx="443">
                  <c:v>42394</c:v>
                </c:pt>
                <c:pt idx="444">
                  <c:v>42401</c:v>
                </c:pt>
                <c:pt idx="445">
                  <c:v>42408</c:v>
                </c:pt>
                <c:pt idx="446">
                  <c:v>42416</c:v>
                </c:pt>
                <c:pt idx="447">
                  <c:v>42422</c:v>
                </c:pt>
                <c:pt idx="448">
                  <c:v>42429</c:v>
                </c:pt>
                <c:pt idx="449">
                  <c:v>42436</c:v>
                </c:pt>
                <c:pt idx="450">
                  <c:v>42443</c:v>
                </c:pt>
                <c:pt idx="451">
                  <c:v>42450</c:v>
                </c:pt>
                <c:pt idx="452">
                  <c:v>42457</c:v>
                </c:pt>
                <c:pt idx="453">
                  <c:v>42464</c:v>
                </c:pt>
                <c:pt idx="454">
                  <c:v>42471</c:v>
                </c:pt>
                <c:pt idx="455">
                  <c:v>42478</c:v>
                </c:pt>
                <c:pt idx="456">
                  <c:v>42485</c:v>
                </c:pt>
                <c:pt idx="457">
                  <c:v>42492</c:v>
                </c:pt>
                <c:pt idx="458">
                  <c:v>42499</c:v>
                </c:pt>
                <c:pt idx="459">
                  <c:v>42506</c:v>
                </c:pt>
                <c:pt idx="460">
                  <c:v>42513</c:v>
                </c:pt>
                <c:pt idx="461">
                  <c:v>42521</c:v>
                </c:pt>
                <c:pt idx="462">
                  <c:v>42527</c:v>
                </c:pt>
                <c:pt idx="463">
                  <c:v>42534</c:v>
                </c:pt>
                <c:pt idx="464">
                  <c:v>42541</c:v>
                </c:pt>
                <c:pt idx="465">
                  <c:v>42548</c:v>
                </c:pt>
                <c:pt idx="466">
                  <c:v>42556</c:v>
                </c:pt>
                <c:pt idx="467">
                  <c:v>42562</c:v>
                </c:pt>
                <c:pt idx="468">
                  <c:v>42569</c:v>
                </c:pt>
                <c:pt idx="469">
                  <c:v>42576</c:v>
                </c:pt>
                <c:pt idx="470">
                  <c:v>42583</c:v>
                </c:pt>
                <c:pt idx="471">
                  <c:v>42590</c:v>
                </c:pt>
                <c:pt idx="472">
                  <c:v>42597</c:v>
                </c:pt>
                <c:pt idx="473">
                  <c:v>42604</c:v>
                </c:pt>
                <c:pt idx="474">
                  <c:v>42611</c:v>
                </c:pt>
                <c:pt idx="475">
                  <c:v>42619</c:v>
                </c:pt>
                <c:pt idx="476">
                  <c:v>42625</c:v>
                </c:pt>
                <c:pt idx="477">
                  <c:v>42632</c:v>
                </c:pt>
                <c:pt idx="478">
                  <c:v>42639</c:v>
                </c:pt>
                <c:pt idx="479">
                  <c:v>42646</c:v>
                </c:pt>
                <c:pt idx="480">
                  <c:v>42653</c:v>
                </c:pt>
                <c:pt idx="481">
                  <c:v>42660</c:v>
                </c:pt>
                <c:pt idx="482">
                  <c:v>42667</c:v>
                </c:pt>
                <c:pt idx="483">
                  <c:v>42674</c:v>
                </c:pt>
                <c:pt idx="484">
                  <c:v>42681</c:v>
                </c:pt>
                <c:pt idx="485">
                  <c:v>42688</c:v>
                </c:pt>
                <c:pt idx="486">
                  <c:v>42695</c:v>
                </c:pt>
                <c:pt idx="487">
                  <c:v>42702</c:v>
                </c:pt>
                <c:pt idx="488">
                  <c:v>42709</c:v>
                </c:pt>
                <c:pt idx="489">
                  <c:v>42716</c:v>
                </c:pt>
                <c:pt idx="490">
                  <c:v>42723</c:v>
                </c:pt>
                <c:pt idx="491">
                  <c:v>42731</c:v>
                </c:pt>
                <c:pt idx="492">
                  <c:v>42736</c:v>
                </c:pt>
                <c:pt idx="493">
                  <c:v>42743</c:v>
                </c:pt>
                <c:pt idx="494">
                  <c:v>42750</c:v>
                </c:pt>
                <c:pt idx="495">
                  <c:v>42757</c:v>
                </c:pt>
                <c:pt idx="496">
                  <c:v>42764</c:v>
                </c:pt>
                <c:pt idx="497">
                  <c:v>42771</c:v>
                </c:pt>
                <c:pt idx="498">
                  <c:v>42778</c:v>
                </c:pt>
                <c:pt idx="499">
                  <c:v>42785</c:v>
                </c:pt>
                <c:pt idx="500">
                  <c:v>42792</c:v>
                </c:pt>
                <c:pt idx="501">
                  <c:v>42799</c:v>
                </c:pt>
                <c:pt idx="502">
                  <c:v>42806</c:v>
                </c:pt>
                <c:pt idx="503">
                  <c:v>42813</c:v>
                </c:pt>
                <c:pt idx="504">
                  <c:v>42820</c:v>
                </c:pt>
                <c:pt idx="505">
                  <c:v>42827</c:v>
                </c:pt>
                <c:pt idx="506">
                  <c:v>42834</c:v>
                </c:pt>
                <c:pt idx="507">
                  <c:v>42841</c:v>
                </c:pt>
                <c:pt idx="508">
                  <c:v>42848</c:v>
                </c:pt>
                <c:pt idx="509">
                  <c:v>42855</c:v>
                </c:pt>
                <c:pt idx="510">
                  <c:v>42862</c:v>
                </c:pt>
                <c:pt idx="511">
                  <c:v>42869</c:v>
                </c:pt>
                <c:pt idx="512">
                  <c:v>42876</c:v>
                </c:pt>
                <c:pt idx="513">
                  <c:v>42883</c:v>
                </c:pt>
                <c:pt idx="514">
                  <c:v>42890</c:v>
                </c:pt>
                <c:pt idx="515">
                  <c:v>42897</c:v>
                </c:pt>
                <c:pt idx="516">
                  <c:v>42904</c:v>
                </c:pt>
                <c:pt idx="517">
                  <c:v>42911</c:v>
                </c:pt>
                <c:pt idx="518">
                  <c:v>42918</c:v>
                </c:pt>
                <c:pt idx="519">
                  <c:v>42925</c:v>
                </c:pt>
                <c:pt idx="520">
                  <c:v>42932</c:v>
                </c:pt>
                <c:pt idx="521">
                  <c:v>42939</c:v>
                </c:pt>
                <c:pt idx="522">
                  <c:v>42946</c:v>
                </c:pt>
                <c:pt idx="523">
                  <c:v>42953</c:v>
                </c:pt>
                <c:pt idx="524">
                  <c:v>42960</c:v>
                </c:pt>
                <c:pt idx="525">
                  <c:v>42967</c:v>
                </c:pt>
                <c:pt idx="526">
                  <c:v>42974</c:v>
                </c:pt>
                <c:pt idx="527">
                  <c:v>42981</c:v>
                </c:pt>
                <c:pt idx="528">
                  <c:v>42988</c:v>
                </c:pt>
                <c:pt idx="529">
                  <c:v>42995</c:v>
                </c:pt>
                <c:pt idx="530">
                  <c:v>43002</c:v>
                </c:pt>
                <c:pt idx="531">
                  <c:v>43009</c:v>
                </c:pt>
                <c:pt idx="532">
                  <c:v>43016</c:v>
                </c:pt>
                <c:pt idx="533">
                  <c:v>43023</c:v>
                </c:pt>
                <c:pt idx="534">
                  <c:v>43030</c:v>
                </c:pt>
                <c:pt idx="535">
                  <c:v>43037</c:v>
                </c:pt>
                <c:pt idx="536">
                  <c:v>43044</c:v>
                </c:pt>
                <c:pt idx="537">
                  <c:v>43051</c:v>
                </c:pt>
                <c:pt idx="538">
                  <c:v>43058</c:v>
                </c:pt>
                <c:pt idx="539">
                  <c:v>43065</c:v>
                </c:pt>
                <c:pt idx="540">
                  <c:v>43072</c:v>
                </c:pt>
                <c:pt idx="541">
                  <c:v>43079</c:v>
                </c:pt>
                <c:pt idx="542">
                  <c:v>43086</c:v>
                </c:pt>
                <c:pt idx="543">
                  <c:v>43093</c:v>
                </c:pt>
                <c:pt idx="544">
                  <c:v>43100</c:v>
                </c:pt>
                <c:pt idx="545">
                  <c:v>43107</c:v>
                </c:pt>
                <c:pt idx="546">
                  <c:v>43114</c:v>
                </c:pt>
                <c:pt idx="547">
                  <c:v>43121</c:v>
                </c:pt>
                <c:pt idx="548">
                  <c:v>43128</c:v>
                </c:pt>
                <c:pt idx="549">
                  <c:v>43135</c:v>
                </c:pt>
                <c:pt idx="550">
                  <c:v>43142</c:v>
                </c:pt>
                <c:pt idx="551">
                  <c:v>43149</c:v>
                </c:pt>
                <c:pt idx="552">
                  <c:v>43156</c:v>
                </c:pt>
                <c:pt idx="553">
                  <c:v>43163</c:v>
                </c:pt>
                <c:pt idx="554">
                  <c:v>43170</c:v>
                </c:pt>
                <c:pt idx="555">
                  <c:v>43177</c:v>
                </c:pt>
                <c:pt idx="556">
                  <c:v>43184</c:v>
                </c:pt>
                <c:pt idx="557">
                  <c:v>43191</c:v>
                </c:pt>
                <c:pt idx="558">
                  <c:v>43198</c:v>
                </c:pt>
                <c:pt idx="559">
                  <c:v>43205</c:v>
                </c:pt>
                <c:pt idx="560">
                  <c:v>43212</c:v>
                </c:pt>
                <c:pt idx="561">
                  <c:v>43219</c:v>
                </c:pt>
                <c:pt idx="562">
                  <c:v>43226</c:v>
                </c:pt>
                <c:pt idx="563">
                  <c:v>43233</c:v>
                </c:pt>
                <c:pt idx="564">
                  <c:v>43240</c:v>
                </c:pt>
                <c:pt idx="565">
                  <c:v>43247</c:v>
                </c:pt>
                <c:pt idx="566">
                  <c:v>43254</c:v>
                </c:pt>
                <c:pt idx="567">
                  <c:v>43261</c:v>
                </c:pt>
                <c:pt idx="568">
                  <c:v>43268</c:v>
                </c:pt>
                <c:pt idx="569">
                  <c:v>43275</c:v>
                </c:pt>
                <c:pt idx="570">
                  <c:v>43282</c:v>
                </c:pt>
                <c:pt idx="571">
                  <c:v>43289</c:v>
                </c:pt>
                <c:pt idx="572">
                  <c:v>43296</c:v>
                </c:pt>
                <c:pt idx="573">
                  <c:v>43303</c:v>
                </c:pt>
                <c:pt idx="574">
                  <c:v>43310</c:v>
                </c:pt>
                <c:pt idx="575">
                  <c:v>43317</c:v>
                </c:pt>
                <c:pt idx="576">
                  <c:v>43324</c:v>
                </c:pt>
                <c:pt idx="577">
                  <c:v>43331</c:v>
                </c:pt>
                <c:pt idx="578">
                  <c:v>43338</c:v>
                </c:pt>
                <c:pt idx="579">
                  <c:v>43345</c:v>
                </c:pt>
                <c:pt idx="580">
                  <c:v>43352</c:v>
                </c:pt>
                <c:pt idx="581">
                  <c:v>43359</c:v>
                </c:pt>
                <c:pt idx="582">
                  <c:v>43366</c:v>
                </c:pt>
                <c:pt idx="583">
                  <c:v>43373</c:v>
                </c:pt>
                <c:pt idx="584">
                  <c:v>43380</c:v>
                </c:pt>
                <c:pt idx="585">
                  <c:v>43387</c:v>
                </c:pt>
                <c:pt idx="586">
                  <c:v>43394</c:v>
                </c:pt>
                <c:pt idx="587">
                  <c:v>43401</c:v>
                </c:pt>
                <c:pt idx="588">
                  <c:v>43408</c:v>
                </c:pt>
                <c:pt idx="589">
                  <c:v>43415</c:v>
                </c:pt>
                <c:pt idx="590">
                  <c:v>43422</c:v>
                </c:pt>
                <c:pt idx="591">
                  <c:v>43429</c:v>
                </c:pt>
                <c:pt idx="592">
                  <c:v>43436</c:v>
                </c:pt>
                <c:pt idx="593">
                  <c:v>43443</c:v>
                </c:pt>
                <c:pt idx="594">
                  <c:v>43450</c:v>
                </c:pt>
                <c:pt idx="595">
                  <c:v>43457</c:v>
                </c:pt>
                <c:pt idx="596">
                  <c:v>43464</c:v>
                </c:pt>
                <c:pt idx="597">
                  <c:v>43471</c:v>
                </c:pt>
                <c:pt idx="598">
                  <c:v>43478</c:v>
                </c:pt>
                <c:pt idx="599">
                  <c:v>43485</c:v>
                </c:pt>
                <c:pt idx="600">
                  <c:v>43492</c:v>
                </c:pt>
                <c:pt idx="601">
                  <c:v>43499</c:v>
                </c:pt>
                <c:pt idx="602">
                  <c:v>43506</c:v>
                </c:pt>
                <c:pt idx="603">
                  <c:v>43513</c:v>
                </c:pt>
                <c:pt idx="604">
                  <c:v>43520</c:v>
                </c:pt>
                <c:pt idx="605">
                  <c:v>43527</c:v>
                </c:pt>
                <c:pt idx="606">
                  <c:v>43534</c:v>
                </c:pt>
                <c:pt idx="607">
                  <c:v>43541</c:v>
                </c:pt>
                <c:pt idx="608">
                  <c:v>43548</c:v>
                </c:pt>
                <c:pt idx="609">
                  <c:v>43555</c:v>
                </c:pt>
                <c:pt idx="610">
                  <c:v>43562</c:v>
                </c:pt>
                <c:pt idx="611">
                  <c:v>43569</c:v>
                </c:pt>
                <c:pt idx="612">
                  <c:v>43576</c:v>
                </c:pt>
                <c:pt idx="613">
                  <c:v>43583</c:v>
                </c:pt>
                <c:pt idx="614">
                  <c:v>43590</c:v>
                </c:pt>
                <c:pt idx="615">
                  <c:v>43597</c:v>
                </c:pt>
                <c:pt idx="616">
                  <c:v>43604</c:v>
                </c:pt>
                <c:pt idx="617">
                  <c:v>43611</c:v>
                </c:pt>
                <c:pt idx="618">
                  <c:v>43618</c:v>
                </c:pt>
                <c:pt idx="619">
                  <c:v>43625</c:v>
                </c:pt>
                <c:pt idx="620">
                  <c:v>43632</c:v>
                </c:pt>
                <c:pt idx="621">
                  <c:v>43639</c:v>
                </c:pt>
                <c:pt idx="622">
                  <c:v>43646</c:v>
                </c:pt>
                <c:pt idx="623">
                  <c:v>43653</c:v>
                </c:pt>
              </c:numCache>
            </c:numRef>
          </c:cat>
          <c:val>
            <c:numRef>
              <c:f>Sheet1!$BP$42:$BP$665</c:f>
              <c:numCache>
                <c:formatCode>_("$"* #,##0.00_);_("$"* \(#,##0.00\);_("$"* "-"??_);_(@_)</c:formatCode>
                <c:ptCount val="624"/>
                <c:pt idx="0">
                  <c:v>20000</c:v>
                </c:pt>
                <c:pt idx="1">
                  <c:v>20110.280408477149</c:v>
                </c:pt>
                <c:pt idx="2">
                  <c:v>20600</c:v>
                </c:pt>
                <c:pt idx="3">
                  <c:v>21381.113055275833</c:v>
                </c:pt>
                <c:pt idx="4">
                  <c:v>21200</c:v>
                </c:pt>
                <c:pt idx="5">
                  <c:v>20893.833583536099</c:v>
                </c:pt>
                <c:pt idx="6">
                  <c:v>21800</c:v>
                </c:pt>
                <c:pt idx="7">
                  <c:v>22498.975875863351</c:v>
                </c:pt>
                <c:pt idx="8">
                  <c:v>22431.053617913854</c:v>
                </c:pt>
                <c:pt idx="9">
                  <c:v>23075.261321026413</c:v>
                </c:pt>
                <c:pt idx="10">
                  <c:v>23031.766865587666</c:v>
                </c:pt>
                <c:pt idx="11">
                  <c:v>22108.846034778493</c:v>
                </c:pt>
                <c:pt idx="12">
                  <c:v>23631.120323300973</c:v>
                </c:pt>
                <c:pt idx="13">
                  <c:v>23272.228644983388</c:v>
                </c:pt>
                <c:pt idx="14">
                  <c:v>24229.422158755086</c:v>
                </c:pt>
                <c:pt idx="15">
                  <c:v>24164.655663484114</c:v>
                </c:pt>
                <c:pt idx="16">
                  <c:v>24828.96441215467</c:v>
                </c:pt>
                <c:pt idx="17">
                  <c:v>25546.578522445812</c:v>
                </c:pt>
                <c:pt idx="18">
                  <c:v>25430.391874513807</c:v>
                </c:pt>
                <c:pt idx="19">
                  <c:v>24468.597010737994</c:v>
                </c:pt>
                <c:pt idx="20">
                  <c:v>26029.661597103797</c:v>
                </c:pt>
                <c:pt idx="21">
                  <c:v>26123.835780213074</c:v>
                </c:pt>
                <c:pt idx="22">
                  <c:v>26921.4659954665</c:v>
                </c:pt>
                <c:pt idx="23">
                  <c:v>26698.116856504119</c:v>
                </c:pt>
                <c:pt idx="24">
                  <c:v>27500.842419336557</c:v>
                </c:pt>
                <c:pt idx="25">
                  <c:v>27543.924589751248</c:v>
                </c:pt>
                <c:pt idx="26">
                  <c:v>28117.79675658809</c:v>
                </c:pt>
                <c:pt idx="27">
                  <c:v>26685.362676278979</c:v>
                </c:pt>
                <c:pt idx="28">
                  <c:v>28706.656182347662</c:v>
                </c:pt>
                <c:pt idx="29">
                  <c:v>28966.709580266004</c:v>
                </c:pt>
                <c:pt idx="30">
                  <c:v>29306.89588062085</c:v>
                </c:pt>
                <c:pt idx="31">
                  <c:v>28386.902167829394</c:v>
                </c:pt>
                <c:pt idx="32">
                  <c:v>29896.990970850038</c:v>
                </c:pt>
                <c:pt idx="33">
                  <c:v>30190.571373549796</c:v>
                </c:pt>
                <c:pt idx="34">
                  <c:v>30502.956642447694</c:v>
                </c:pt>
                <c:pt idx="35">
                  <c:v>31858.09662160265</c:v>
                </c:pt>
                <c:pt idx="36">
                  <c:v>31163.054243144223</c:v>
                </c:pt>
                <c:pt idx="37">
                  <c:v>32419.595036355659</c:v>
                </c:pt>
                <c:pt idx="38">
                  <c:v>31780.061576693908</c:v>
                </c:pt>
                <c:pt idx="39">
                  <c:v>32134.478737509064</c:v>
                </c:pt>
                <c:pt idx="40">
                  <c:v>32379.253657331516</c:v>
                </c:pt>
                <c:pt idx="41">
                  <c:v>33432.26250171884</c:v>
                </c:pt>
                <c:pt idx="42">
                  <c:v>32979.809240917384</c:v>
                </c:pt>
                <c:pt idx="43">
                  <c:v>33453.208770714045</c:v>
                </c:pt>
                <c:pt idx="44">
                  <c:v>33573.540217570167</c:v>
                </c:pt>
                <c:pt idx="45">
                  <c:v>33123.342290049637</c:v>
                </c:pt>
                <c:pt idx="46">
                  <c:v>42109.846364261044</c:v>
                </c:pt>
                <c:pt idx="47">
                  <c:v>41076.664219447615</c:v>
                </c:pt>
                <c:pt idx="48">
                  <c:v>34799.903232287244</c:v>
                </c:pt>
                <c:pt idx="49">
                  <c:v>34282.055048084279</c:v>
                </c:pt>
                <c:pt idx="50">
                  <c:v>35402.255367207821</c:v>
                </c:pt>
                <c:pt idx="51">
                  <c:v>35284.702718765831</c:v>
                </c:pt>
                <c:pt idx="52">
                  <c:v>36001.409823523281</c:v>
                </c:pt>
                <c:pt idx="53">
                  <c:v>36364.498508128738</c:v>
                </c:pt>
                <c:pt idx="54">
                  <c:v>36605.325222416715</c:v>
                </c:pt>
                <c:pt idx="55">
                  <c:v>36394.694158137332</c:v>
                </c:pt>
                <c:pt idx="56">
                  <c:v>37202.967618613875</c:v>
                </c:pt>
                <c:pt idx="57">
                  <c:v>35610.917485354985</c:v>
                </c:pt>
                <c:pt idx="58">
                  <c:v>37791.957558727408</c:v>
                </c:pt>
                <c:pt idx="59">
                  <c:v>38359.220284932773</c:v>
                </c:pt>
                <c:pt idx="60">
                  <c:v>38477.987741681405</c:v>
                </c:pt>
                <c:pt idx="61">
                  <c:v>34388.762108232484</c:v>
                </c:pt>
                <c:pt idx="62">
                  <c:v>38949.140423730591</c:v>
                </c:pt>
                <c:pt idx="63">
                  <c:v>40306.258713573181</c:v>
                </c:pt>
                <c:pt idx="64">
                  <c:v>39531.43646784404</c:v>
                </c:pt>
                <c:pt idx="65">
                  <c:v>44873.860452649096</c:v>
                </c:pt>
                <c:pt idx="66">
                  <c:v>40158.815508368483</c:v>
                </c:pt>
                <c:pt idx="67">
                  <c:v>37124.114695108488</c:v>
                </c:pt>
                <c:pt idx="68">
                  <c:v>40703.357515636817</c:v>
                </c:pt>
                <c:pt idx="69">
                  <c:v>45755.033076325293</c:v>
                </c:pt>
                <c:pt idx="70">
                  <c:v>41334.439083426907</c:v>
                </c:pt>
                <c:pt idx="71">
                  <c:v>42824.980329382</c:v>
                </c:pt>
                <c:pt idx="72">
                  <c:v>41946.175032532759</c:v>
                </c:pt>
                <c:pt idx="73">
                  <c:v>41437.32152681856</c:v>
                </c:pt>
                <c:pt idx="74">
                  <c:v>43595.046965235837</c:v>
                </c:pt>
                <c:pt idx="75">
                  <c:v>41830.091097750977</c:v>
                </c:pt>
                <c:pt idx="76">
                  <c:v>44062.232885347017</c:v>
                </c:pt>
                <c:pt idx="77">
                  <c:v>42364.22003904391</c:v>
                </c:pt>
                <c:pt idx="78">
                  <c:v>44611.109285502302</c:v>
                </c:pt>
                <c:pt idx="79">
                  <c:v>47234.514974697726</c:v>
                </c:pt>
                <c:pt idx="80">
                  <c:v>45224.709797186668</c:v>
                </c:pt>
                <c:pt idx="81">
                  <c:v>41762.215975345061</c:v>
                </c:pt>
                <c:pt idx="82">
                  <c:v>45699.666798159102</c:v>
                </c:pt>
                <c:pt idx="83">
                  <c:v>42417.566566729969</c:v>
                </c:pt>
                <c:pt idx="84">
                  <c:v>46327.053689365399</c:v>
                </c:pt>
                <c:pt idx="85">
                  <c:v>47677.132467130628</c:v>
                </c:pt>
                <c:pt idx="86">
                  <c:v>47205.062415354863</c:v>
                </c:pt>
                <c:pt idx="87">
                  <c:v>49718.394272841062</c:v>
                </c:pt>
                <c:pt idx="88">
                  <c:v>47907.936884943585</c:v>
                </c:pt>
                <c:pt idx="89">
                  <c:v>48856.122342521616</c:v>
                </c:pt>
                <c:pt idx="90">
                  <c:v>48541.303714277572</c:v>
                </c:pt>
                <c:pt idx="91">
                  <c:v>49545.785540327997</c:v>
                </c:pt>
                <c:pt idx="92">
                  <c:v>49295.084484140374</c:v>
                </c:pt>
                <c:pt idx="93">
                  <c:v>46601.043065226222</c:v>
                </c:pt>
                <c:pt idx="94">
                  <c:v>49856.89198823287</c:v>
                </c:pt>
                <c:pt idx="95">
                  <c:v>51785.46700828847</c:v>
                </c:pt>
                <c:pt idx="96">
                  <c:v>50546.308960925177</c:v>
                </c:pt>
                <c:pt idx="97">
                  <c:v>50981.553870309013</c:v>
                </c:pt>
                <c:pt idx="98">
                  <c:v>51094.127829265453</c:v>
                </c:pt>
                <c:pt idx="99">
                  <c:v>51253.294151329887</c:v>
                </c:pt>
                <c:pt idx="100">
                  <c:v>51788.413437170842</c:v>
                </c:pt>
                <c:pt idx="101">
                  <c:v>50324.456112752887</c:v>
                </c:pt>
                <c:pt idx="102">
                  <c:v>52466.220794449167</c:v>
                </c:pt>
                <c:pt idx="103">
                  <c:v>55056.137909788536</c:v>
                </c:pt>
                <c:pt idx="104">
                  <c:v>53189.738099404931</c:v>
                </c:pt>
                <c:pt idx="105">
                  <c:v>54625.229541571076</c:v>
                </c:pt>
                <c:pt idx="106">
                  <c:v>53832.083072575086</c:v>
                </c:pt>
                <c:pt idx="107">
                  <c:v>54924.269737558367</c:v>
                </c:pt>
                <c:pt idx="108">
                  <c:v>54481.723422880517</c:v>
                </c:pt>
                <c:pt idx="109">
                  <c:v>53904.227752335624</c:v>
                </c:pt>
                <c:pt idx="110">
                  <c:v>55136.687138024674</c:v>
                </c:pt>
                <c:pt idx="111">
                  <c:v>56721.306430204328</c:v>
                </c:pt>
                <c:pt idx="112">
                  <c:v>55865.422420753748</c:v>
                </c:pt>
                <c:pt idx="113">
                  <c:v>54620.863299515026</c:v>
                </c:pt>
                <c:pt idx="114">
                  <c:v>56532.725556621393</c:v>
                </c:pt>
                <c:pt idx="115">
                  <c:v>57387.139745172564</c:v>
                </c:pt>
                <c:pt idx="116">
                  <c:v>57153.314697456182</c:v>
                </c:pt>
                <c:pt idx="117">
                  <c:v>54092.643762670945</c:v>
                </c:pt>
                <c:pt idx="118">
                  <c:v>57705.494690861706</c:v>
                </c:pt>
                <c:pt idx="119">
                  <c:v>59126.802982575638</c:v>
                </c:pt>
                <c:pt idx="120">
                  <c:v>58345.742764332274</c:v>
                </c:pt>
                <c:pt idx="121">
                  <c:v>58082.22325447842</c:v>
                </c:pt>
                <c:pt idx="122">
                  <c:v>58994.671443426487</c:v>
                </c:pt>
                <c:pt idx="123">
                  <c:v>58693.598680912219</c:v>
                </c:pt>
                <c:pt idx="124">
                  <c:v>59562.451125258245</c:v>
                </c:pt>
                <c:pt idx="125">
                  <c:v>60240.286220106602</c:v>
                </c:pt>
                <c:pt idx="126">
                  <c:v>60968.970825859993</c:v>
                </c:pt>
                <c:pt idx="127">
                  <c:v>63039.163858115207</c:v>
                </c:pt>
                <c:pt idx="128">
                  <c:v>61643.762074093524</c:v>
                </c:pt>
                <c:pt idx="129">
                  <c:v>58926.088878778901</c:v>
                </c:pt>
                <c:pt idx="130">
                  <c:v>62026.658719643216</c:v>
                </c:pt>
                <c:pt idx="131">
                  <c:v>61147.886732621671</c:v>
                </c:pt>
                <c:pt idx="132">
                  <c:v>62634.381526866528</c:v>
                </c:pt>
                <c:pt idx="133">
                  <c:v>64395.505900382494</c:v>
                </c:pt>
                <c:pt idx="134">
                  <c:v>63302.219181965083</c:v>
                </c:pt>
                <c:pt idx="135">
                  <c:v>65943.567826156213</c:v>
                </c:pt>
                <c:pt idx="136">
                  <c:v>64069.922625836494</c:v>
                </c:pt>
                <c:pt idx="137">
                  <c:v>64229.517560661989</c:v>
                </c:pt>
                <c:pt idx="138">
                  <c:v>64679.81493261487</c:v>
                </c:pt>
                <c:pt idx="139">
                  <c:v>66140.871730718078</c:v>
                </c:pt>
                <c:pt idx="140">
                  <c:v>65533.47468634088</c:v>
                </c:pt>
                <c:pt idx="141">
                  <c:v>65181.675808734064</c:v>
                </c:pt>
                <c:pt idx="142">
                  <c:v>66168.607299917436</c:v>
                </c:pt>
                <c:pt idx="143">
                  <c:v>64299.39271584044</c:v>
                </c:pt>
                <c:pt idx="144">
                  <c:v>66385.029065010633</c:v>
                </c:pt>
                <c:pt idx="145">
                  <c:v>68340.62264921311</c:v>
                </c:pt>
                <c:pt idx="146">
                  <c:v>66929.718830996644</c:v>
                </c:pt>
                <c:pt idx="147">
                  <c:v>67413.231193763975</c:v>
                </c:pt>
                <c:pt idx="148">
                  <c:v>67466.083510811499</c:v>
                </c:pt>
                <c:pt idx="149">
                  <c:v>69692.933442523179</c:v>
                </c:pt>
                <c:pt idx="150">
                  <c:v>68259.044800757925</c:v>
                </c:pt>
                <c:pt idx="151">
                  <c:v>66357.146612585988</c:v>
                </c:pt>
                <c:pt idx="152">
                  <c:v>68784.394607737544</c:v>
                </c:pt>
                <c:pt idx="153">
                  <c:v>72799.181600892625</c:v>
                </c:pt>
                <c:pt idx="154">
                  <c:v>69513.914959127665</c:v>
                </c:pt>
                <c:pt idx="155">
                  <c:v>72511.318137385693</c:v>
                </c:pt>
                <c:pt idx="156">
                  <c:v>70270.687143848962</c:v>
                </c:pt>
                <c:pt idx="157">
                  <c:v>71730.017279832799</c:v>
                </c:pt>
                <c:pt idx="158">
                  <c:v>70790.509031910769</c:v>
                </c:pt>
                <c:pt idx="159">
                  <c:v>70536.347744745784</c:v>
                </c:pt>
                <c:pt idx="160">
                  <c:v>71370.336776029464</c:v>
                </c:pt>
                <c:pt idx="161">
                  <c:v>74155.491043857546</c:v>
                </c:pt>
                <c:pt idx="162">
                  <c:v>72112.528667408798</c:v>
                </c:pt>
                <c:pt idx="163">
                  <c:v>73172.797936014016</c:v>
                </c:pt>
                <c:pt idx="164">
                  <c:v>73016.646053111894</c:v>
                </c:pt>
                <c:pt idx="165">
                  <c:v>73526.478926369979</c:v>
                </c:pt>
                <c:pt idx="166">
                  <c:v>73720.569877489776</c:v>
                </c:pt>
                <c:pt idx="167">
                  <c:v>74468.363882201375</c:v>
                </c:pt>
                <c:pt idx="168">
                  <c:v>74355.555261982081</c:v>
                </c:pt>
                <c:pt idx="169">
                  <c:v>74304.428708234773</c:v>
                </c:pt>
                <c:pt idx="170">
                  <c:v>75113.200636399139</c:v>
                </c:pt>
                <c:pt idx="171">
                  <c:v>73126.839708494925</c:v>
                </c:pt>
                <c:pt idx="172">
                  <c:v>75611.111432291131</c:v>
                </c:pt>
                <c:pt idx="173">
                  <c:v>74251.102208127384</c:v>
                </c:pt>
                <c:pt idx="174">
                  <c:v>76273.524887630585</c:v>
                </c:pt>
                <c:pt idx="175">
                  <c:v>76949.949018285581</c:v>
                </c:pt>
                <c:pt idx="176">
                  <c:v>76910.393302720389</c:v>
                </c:pt>
                <c:pt idx="177">
                  <c:v>78058.221617063609</c:v>
                </c:pt>
                <c:pt idx="178">
                  <c:v>78556.593121182159</c:v>
                </c:pt>
                <c:pt idx="179">
                  <c:v>78604.641050360544</c:v>
                </c:pt>
                <c:pt idx="180">
                  <c:v>79270.4719541472</c:v>
                </c:pt>
                <c:pt idx="181">
                  <c:v>78341.999343686271</c:v>
                </c:pt>
                <c:pt idx="182">
                  <c:v>79769.454751311278</c:v>
                </c:pt>
                <c:pt idx="183">
                  <c:v>81975.16479596647</c:v>
                </c:pt>
                <c:pt idx="184">
                  <c:v>80539.811988043322</c:v>
                </c:pt>
                <c:pt idx="185">
                  <c:v>81807.998446592595</c:v>
                </c:pt>
                <c:pt idx="186">
                  <c:v>81134.267286710645</c:v>
                </c:pt>
                <c:pt idx="187">
                  <c:v>81637.523947295791</c:v>
                </c:pt>
                <c:pt idx="188">
                  <c:v>81665.215322806995</c:v>
                </c:pt>
                <c:pt idx="189">
                  <c:v>80238.884032830567</c:v>
                </c:pt>
                <c:pt idx="190">
                  <c:v>82313.565635074148</c:v>
                </c:pt>
                <c:pt idx="191">
                  <c:v>84393.085157276175</c:v>
                </c:pt>
                <c:pt idx="192">
                  <c:v>83226.584528113483</c:v>
                </c:pt>
                <c:pt idx="193">
                  <c:v>82604.758012635066</c:v>
                </c:pt>
                <c:pt idx="194">
                  <c:v>83868.953308792668</c:v>
                </c:pt>
                <c:pt idx="195">
                  <c:v>85466.478512343223</c:v>
                </c:pt>
                <c:pt idx="196">
                  <c:v>84421.640507261385</c:v>
                </c:pt>
                <c:pt idx="197">
                  <c:v>83708.299819803797</c:v>
                </c:pt>
                <c:pt idx="198">
                  <c:v>84962.174861648731</c:v>
                </c:pt>
                <c:pt idx="199">
                  <c:v>85293.273362759661</c:v>
                </c:pt>
                <c:pt idx="200">
                  <c:v>85512.732996199935</c:v>
                </c:pt>
                <c:pt idx="201">
                  <c:v>83244.318383750317</c:v>
                </c:pt>
                <c:pt idx="202">
                  <c:v>85949.63773772346</c:v>
                </c:pt>
                <c:pt idx="203">
                  <c:v>85831.919171036905</c:v>
                </c:pt>
                <c:pt idx="204">
                  <c:v>87010.833145906101</c:v>
                </c:pt>
                <c:pt idx="205">
                  <c:v>86821.818542066656</c:v>
                </c:pt>
                <c:pt idx="206">
                  <c:v>87453.513665722683</c:v>
                </c:pt>
                <c:pt idx="207">
                  <c:v>89513.195543453709</c:v>
                </c:pt>
                <c:pt idx="208">
                  <c:v>87998.814122865733</c:v>
                </c:pt>
                <c:pt idx="209">
                  <c:v>80490.458848141046</c:v>
                </c:pt>
                <c:pt idx="210">
                  <c:v>88027.114043166133</c:v>
                </c:pt>
                <c:pt idx="211">
                  <c:v>83805.713816973555</c:v>
                </c:pt>
                <c:pt idx="212">
                  <c:v>88572.892224650801</c:v>
                </c:pt>
                <c:pt idx="213">
                  <c:v>88860.481157722883</c:v>
                </c:pt>
                <c:pt idx="214">
                  <c:v>89043.89925285599</c:v>
                </c:pt>
                <c:pt idx="215">
                  <c:v>92883.731567274386</c:v>
                </c:pt>
                <c:pt idx="216">
                  <c:v>89653.311984811793</c:v>
                </c:pt>
                <c:pt idx="217">
                  <c:v>89459.787700433531</c:v>
                </c:pt>
                <c:pt idx="218">
                  <c:v>90355.252654888231</c:v>
                </c:pt>
                <c:pt idx="219">
                  <c:v>96361.846208750663</c:v>
                </c:pt>
                <c:pt idx="220">
                  <c:v>91311.531867353522</c:v>
                </c:pt>
                <c:pt idx="221">
                  <c:v>96381.655041930513</c:v>
                </c:pt>
                <c:pt idx="222">
                  <c:v>92019.674981579956</c:v>
                </c:pt>
                <c:pt idx="223">
                  <c:v>92242.712050055503</c:v>
                </c:pt>
                <c:pt idx="224">
                  <c:v>92408.155366729959</c:v>
                </c:pt>
                <c:pt idx="225">
                  <c:v>87412.830475106908</c:v>
                </c:pt>
                <c:pt idx="226">
                  <c:v>93146.344346181024</c:v>
                </c:pt>
                <c:pt idx="227">
                  <c:v>93555.634529663657</c:v>
                </c:pt>
                <c:pt idx="228">
                  <c:v>93577.718274795508</c:v>
                </c:pt>
                <c:pt idx="229">
                  <c:v>97100.974417010293</c:v>
                </c:pt>
                <c:pt idx="230">
                  <c:v>95854.445052628042</c:v>
                </c:pt>
                <c:pt idx="231">
                  <c:v>96800.766370794328</c:v>
                </c:pt>
                <c:pt idx="232">
                  <c:v>96612.929751257077</c:v>
                </c:pt>
                <c:pt idx="233">
                  <c:v>99686.981993984213</c:v>
                </c:pt>
                <c:pt idx="234">
                  <c:v>97514.988649893887</c:v>
                </c:pt>
                <c:pt idx="235">
                  <c:v>100183.71128224439</c:v>
                </c:pt>
                <c:pt idx="236">
                  <c:v>98247.258081005188</c:v>
                </c:pt>
                <c:pt idx="237">
                  <c:v>100099.34075736627</c:v>
                </c:pt>
                <c:pt idx="238">
                  <c:v>99024.627526139418</c:v>
                </c:pt>
                <c:pt idx="239">
                  <c:v>98812.948458263898</c:v>
                </c:pt>
                <c:pt idx="240">
                  <c:v>99583.397657715439</c:v>
                </c:pt>
                <c:pt idx="241">
                  <c:v>101601.67161962182</c:v>
                </c:pt>
                <c:pt idx="242">
                  <c:v>100245.27128047084</c:v>
                </c:pt>
                <c:pt idx="243">
                  <c:v>100718.11802434037</c:v>
                </c:pt>
                <c:pt idx="244">
                  <c:v>100942.48031798551</c:v>
                </c:pt>
                <c:pt idx="245">
                  <c:v>99169.081689251121</c:v>
                </c:pt>
                <c:pt idx="246">
                  <c:v>101494.72626425583</c:v>
                </c:pt>
                <c:pt idx="247">
                  <c:v>102898.89759205896</c:v>
                </c:pt>
                <c:pt idx="248">
                  <c:v>101985.43636081825</c:v>
                </c:pt>
                <c:pt idx="249">
                  <c:v>100427.93670755217</c:v>
                </c:pt>
                <c:pt idx="250">
                  <c:v>102059.99218372696</c:v>
                </c:pt>
                <c:pt idx="251">
                  <c:v>103326.30194999867</c:v>
                </c:pt>
                <c:pt idx="252">
                  <c:v>102535.28493769829</c:v>
                </c:pt>
                <c:pt idx="253">
                  <c:v>106344.94921835966</c:v>
                </c:pt>
                <c:pt idx="254">
                  <c:v>103500.65465036263</c:v>
                </c:pt>
                <c:pt idx="255">
                  <c:v>103168.84450268267</c:v>
                </c:pt>
                <c:pt idx="256">
                  <c:v>104492.60668755828</c:v>
                </c:pt>
                <c:pt idx="257">
                  <c:v>104067.83777973561</c:v>
                </c:pt>
                <c:pt idx="258">
                  <c:v>105044.69486625043</c:v>
                </c:pt>
                <c:pt idx="259">
                  <c:v>105078.93906327531</c:v>
                </c:pt>
                <c:pt idx="260">
                  <c:v>105785.73607856903</c:v>
                </c:pt>
                <c:pt idx="261">
                  <c:v>106411.27753200948</c:v>
                </c:pt>
                <c:pt idx="262">
                  <c:v>106551.22171313304</c:v>
                </c:pt>
                <c:pt idx="263">
                  <c:v>107357.76559415137</c:v>
                </c:pt>
                <c:pt idx="264">
                  <c:v>107159.27893812335</c:v>
                </c:pt>
                <c:pt idx="265">
                  <c:v>106591.36965443876</c:v>
                </c:pt>
                <c:pt idx="266">
                  <c:v>107943.68086634188</c:v>
                </c:pt>
                <c:pt idx="267">
                  <c:v>111006.96923317475</c:v>
                </c:pt>
                <c:pt idx="268">
                  <c:v>108693.38085192087</c:v>
                </c:pt>
                <c:pt idx="269">
                  <c:v>106797.77308521257</c:v>
                </c:pt>
                <c:pt idx="270">
                  <c:v>110146.27494555594</c:v>
                </c:pt>
                <c:pt idx="271">
                  <c:v>107991.41669573881</c:v>
                </c:pt>
                <c:pt idx="272">
                  <c:v>110659.41595447346</c:v>
                </c:pt>
                <c:pt idx="273">
                  <c:v>109375.44462298867</c:v>
                </c:pt>
                <c:pt idx="274">
                  <c:v>111188.45320427846</c:v>
                </c:pt>
                <c:pt idx="275">
                  <c:v>108922.26608284176</c:v>
                </c:pt>
                <c:pt idx="276">
                  <c:v>111472.73155058027</c:v>
                </c:pt>
                <c:pt idx="277">
                  <c:v>115709.44110153845</c:v>
                </c:pt>
                <c:pt idx="278">
                  <c:v>112473.68217042697</c:v>
                </c:pt>
                <c:pt idx="279">
                  <c:v>113420.12645681962</c:v>
                </c:pt>
                <c:pt idx="280">
                  <c:v>113198.33183282358</c:v>
                </c:pt>
                <c:pt idx="281">
                  <c:v>115306.77426034477</c:v>
                </c:pt>
                <c:pt idx="282">
                  <c:v>114833.69264869965</c:v>
                </c:pt>
                <c:pt idx="283">
                  <c:v>119498.07722748423</c:v>
                </c:pt>
                <c:pt idx="284">
                  <c:v>115874.16941029625</c:v>
                </c:pt>
                <c:pt idx="285">
                  <c:v>116849.07041619156</c:v>
                </c:pt>
                <c:pt idx="286">
                  <c:v>116673.77029757075</c:v>
                </c:pt>
                <c:pt idx="287">
                  <c:v>117532.07325795868</c:v>
                </c:pt>
                <c:pt idx="288">
                  <c:v>117318.77279540007</c:v>
                </c:pt>
                <c:pt idx="289">
                  <c:v>117635.10159217269</c:v>
                </c:pt>
                <c:pt idx="290">
                  <c:v>117901.24502457111</c:v>
                </c:pt>
                <c:pt idx="291">
                  <c:v>117711.17992053193</c:v>
                </c:pt>
                <c:pt idx="292">
                  <c:v>118729.74167165291</c:v>
                </c:pt>
                <c:pt idx="293">
                  <c:v>119169.37841000078</c:v>
                </c:pt>
                <c:pt idx="294">
                  <c:v>119261.12001351595</c:v>
                </c:pt>
                <c:pt idx="295">
                  <c:v>120212.6139175162</c:v>
                </c:pt>
                <c:pt idx="296">
                  <c:v>120161.43091863795</c:v>
                </c:pt>
                <c:pt idx="297">
                  <c:v>122754.14601018745</c:v>
                </c:pt>
                <c:pt idx="298">
                  <c:v>120788.47783936547</c:v>
                </c:pt>
                <c:pt idx="299">
                  <c:v>123432.21666739366</c:v>
                </c:pt>
                <c:pt idx="300">
                  <c:v>121885.98207756679</c:v>
                </c:pt>
                <c:pt idx="301">
                  <c:v>123174.12033451194</c:v>
                </c:pt>
                <c:pt idx="302">
                  <c:v>122774.24534764365</c:v>
                </c:pt>
                <c:pt idx="303">
                  <c:v>120611.29333843445</c:v>
                </c:pt>
                <c:pt idx="304">
                  <c:v>122975.90109780157</c:v>
                </c:pt>
                <c:pt idx="305">
                  <c:v>123305.09278474313</c:v>
                </c:pt>
                <c:pt idx="306">
                  <c:v>123478.89118449338</c:v>
                </c:pt>
                <c:pt idx="307">
                  <c:v>119983.51641363183</c:v>
                </c:pt>
                <c:pt idx="308">
                  <c:v>124714.6014440319</c:v>
                </c:pt>
                <c:pt idx="309">
                  <c:v>125883.34683248056</c:v>
                </c:pt>
                <c:pt idx="310">
                  <c:v>125833.5965828739</c:v>
                </c:pt>
                <c:pt idx="311">
                  <c:v>127215.33360916693</c:v>
                </c:pt>
                <c:pt idx="312">
                  <c:v>126599.95526576758</c:v>
                </c:pt>
                <c:pt idx="313">
                  <c:v>127902.92962078353</c:v>
                </c:pt>
                <c:pt idx="314">
                  <c:v>127263.3554365898</c:v>
                </c:pt>
                <c:pt idx="315">
                  <c:v>125427.52012562286</c:v>
                </c:pt>
                <c:pt idx="316">
                  <c:v>127697.57192656238</c:v>
                </c:pt>
                <c:pt idx="317">
                  <c:v>124432.63799235148</c:v>
                </c:pt>
                <c:pt idx="318">
                  <c:v>128267.55146443128</c:v>
                </c:pt>
                <c:pt idx="319">
                  <c:v>131403.42430607221</c:v>
                </c:pt>
                <c:pt idx="320">
                  <c:v>129412.510625179</c:v>
                </c:pt>
                <c:pt idx="321">
                  <c:v>128377.51788964328</c:v>
                </c:pt>
                <c:pt idx="322">
                  <c:v>130420.56509087959</c:v>
                </c:pt>
                <c:pt idx="323">
                  <c:v>131632.6088856977</c:v>
                </c:pt>
                <c:pt idx="324">
                  <c:v>131463.2232246231</c:v>
                </c:pt>
                <c:pt idx="325">
                  <c:v>132032.67642342136</c:v>
                </c:pt>
                <c:pt idx="326">
                  <c:v>132040.76741422212</c:v>
                </c:pt>
                <c:pt idx="327">
                  <c:v>131654.02149185922</c:v>
                </c:pt>
                <c:pt idx="328">
                  <c:v>132852.80724122893</c:v>
                </c:pt>
                <c:pt idx="329">
                  <c:v>132978.32178080658</c:v>
                </c:pt>
                <c:pt idx="330">
                  <c:v>133489.82184057354</c:v>
                </c:pt>
                <c:pt idx="331">
                  <c:v>132933.13178595688</c:v>
                </c:pt>
                <c:pt idx="332">
                  <c:v>133767.57314604303</c:v>
                </c:pt>
                <c:pt idx="333">
                  <c:v>135938.39587033069</c:v>
                </c:pt>
                <c:pt idx="334">
                  <c:v>135639.01422271717</c:v>
                </c:pt>
                <c:pt idx="335">
                  <c:v>134430.63364631028</c:v>
                </c:pt>
                <c:pt idx="336">
                  <c:v>136245.26714651179</c:v>
                </c:pt>
                <c:pt idx="337">
                  <c:v>135873.01332009121</c:v>
                </c:pt>
                <c:pt idx="338">
                  <c:v>136369.23410294653</c:v>
                </c:pt>
                <c:pt idx="339">
                  <c:v>135280.67763496854</c:v>
                </c:pt>
                <c:pt idx="340">
                  <c:v>137006.14066033889</c:v>
                </c:pt>
                <c:pt idx="341">
                  <c:v>140239.14595647898</c:v>
                </c:pt>
                <c:pt idx="342">
                  <c:v>138020.06415188441</c:v>
                </c:pt>
                <c:pt idx="343">
                  <c:v>139368.52248156018</c:v>
                </c:pt>
                <c:pt idx="344">
                  <c:v>138889.89584121361</c:v>
                </c:pt>
                <c:pt idx="345">
                  <c:v>135596.58539988953</c:v>
                </c:pt>
                <c:pt idx="346">
                  <c:v>139270.06924875983</c:v>
                </c:pt>
                <c:pt idx="347">
                  <c:v>140455.22682482109</c:v>
                </c:pt>
                <c:pt idx="348">
                  <c:v>140698.47200746028</c:v>
                </c:pt>
                <c:pt idx="349">
                  <c:v>138023.73552797883</c:v>
                </c:pt>
                <c:pt idx="350">
                  <c:v>141314.92092242755</c:v>
                </c:pt>
                <c:pt idx="351">
                  <c:v>140591.04053188479</c:v>
                </c:pt>
                <c:pt idx="352">
                  <c:v>142031.35004482124</c:v>
                </c:pt>
                <c:pt idx="353">
                  <c:v>141681.82337889189</c:v>
                </c:pt>
                <c:pt idx="354">
                  <c:v>142666.40944731788</c:v>
                </c:pt>
                <c:pt idx="355">
                  <c:v>144026.07734466076</c:v>
                </c:pt>
                <c:pt idx="356">
                  <c:v>143537.26489962032</c:v>
                </c:pt>
                <c:pt idx="357">
                  <c:v>146042.39496947645</c:v>
                </c:pt>
                <c:pt idx="358">
                  <c:v>144335.61095534149</c:v>
                </c:pt>
                <c:pt idx="359">
                  <c:v>146120.23203469394</c:v>
                </c:pt>
                <c:pt idx="360">
                  <c:v>145823.46012598084</c:v>
                </c:pt>
                <c:pt idx="361">
                  <c:v>147705.32181336</c:v>
                </c:pt>
                <c:pt idx="362">
                  <c:v>146392.8006812105</c:v>
                </c:pt>
                <c:pt idx="363">
                  <c:v>147093.99477460465</c:v>
                </c:pt>
                <c:pt idx="364">
                  <c:v>147117.95389961021</c:v>
                </c:pt>
                <c:pt idx="365">
                  <c:v>143440.69196620432</c:v>
                </c:pt>
                <c:pt idx="366">
                  <c:v>147228.85859436501</c:v>
                </c:pt>
                <c:pt idx="367">
                  <c:v>149270.20390617667</c:v>
                </c:pt>
                <c:pt idx="368">
                  <c:v>148283.14239647932</c:v>
                </c:pt>
                <c:pt idx="369">
                  <c:v>149415.56057818772</c:v>
                </c:pt>
                <c:pt idx="370">
                  <c:v>149114.95728024354</c:v>
                </c:pt>
                <c:pt idx="371">
                  <c:v>146519.32901055395</c:v>
                </c:pt>
                <c:pt idx="372">
                  <c:v>149456.35944882431</c:v>
                </c:pt>
                <c:pt idx="373">
                  <c:v>146682.44150138504</c:v>
                </c:pt>
                <c:pt idx="374">
                  <c:v>149977.92686720713</c:v>
                </c:pt>
                <c:pt idx="375">
                  <c:v>145235.86820210514</c:v>
                </c:pt>
                <c:pt idx="376">
                  <c:v>150003.77683506391</c:v>
                </c:pt>
                <c:pt idx="377">
                  <c:v>154855.36181164338</c:v>
                </c:pt>
                <c:pt idx="378">
                  <c:v>151653.44088244278</c:v>
                </c:pt>
                <c:pt idx="379">
                  <c:v>151279.22370471852</c:v>
                </c:pt>
                <c:pt idx="380">
                  <c:v>152284.97664538198</c:v>
                </c:pt>
                <c:pt idx="381">
                  <c:v>154120.02419592143</c:v>
                </c:pt>
                <c:pt idx="382">
                  <c:v>153074.33802177227</c:v>
                </c:pt>
                <c:pt idx="383">
                  <c:v>153140.24556884097</c:v>
                </c:pt>
                <c:pt idx="384">
                  <c:v>152923.39678918675</c:v>
                </c:pt>
                <c:pt idx="385">
                  <c:v>157500.97660766251</c:v>
                </c:pt>
                <c:pt idx="386">
                  <c:v>155081.6921050901</c:v>
                </c:pt>
                <c:pt idx="387">
                  <c:v>153116.14729603191</c:v>
                </c:pt>
                <c:pt idx="388">
                  <c:v>155245.44957574704</c:v>
                </c:pt>
                <c:pt idx="389">
                  <c:v>155033.07122885351</c:v>
                </c:pt>
                <c:pt idx="390">
                  <c:v>156113.38620865686</c:v>
                </c:pt>
                <c:pt idx="391">
                  <c:v>152762.09738407459</c:v>
                </c:pt>
                <c:pt idx="392">
                  <c:v>156832.40831489407</c:v>
                </c:pt>
                <c:pt idx="393">
                  <c:v>159970.5631571894</c:v>
                </c:pt>
                <c:pt idx="394">
                  <c:v>158000.3888881109</c:v>
                </c:pt>
                <c:pt idx="395">
                  <c:v>157732.30610931033</c:v>
                </c:pt>
                <c:pt idx="396">
                  <c:v>158187.44626915298</c:v>
                </c:pt>
                <c:pt idx="397">
                  <c:v>156729.54622243685</c:v>
                </c:pt>
                <c:pt idx="398">
                  <c:v>159229.38220022171</c:v>
                </c:pt>
                <c:pt idx="399">
                  <c:v>156593.95494206762</c:v>
                </c:pt>
                <c:pt idx="400">
                  <c:v>160157.59091184969</c:v>
                </c:pt>
                <c:pt idx="401">
                  <c:v>163235.89431096002</c:v>
                </c:pt>
                <c:pt idx="402">
                  <c:v>160996.60144951247</c:v>
                </c:pt>
                <c:pt idx="403">
                  <c:v>163903.8375152045</c:v>
                </c:pt>
                <c:pt idx="404">
                  <c:v>161819.04431807602</c:v>
                </c:pt>
                <c:pt idx="405">
                  <c:v>162371.01200331139</c:v>
                </c:pt>
                <c:pt idx="406">
                  <c:v>162643.09614101556</c:v>
                </c:pt>
                <c:pt idx="407">
                  <c:v>162481.36383317201</c:v>
                </c:pt>
                <c:pt idx="408">
                  <c:v>162897.83110166769</c:v>
                </c:pt>
                <c:pt idx="409">
                  <c:v>161287.97617398493</c:v>
                </c:pt>
                <c:pt idx="410">
                  <c:v>163376.77234586698</c:v>
                </c:pt>
                <c:pt idx="411">
                  <c:v>164013.32793963866</c:v>
                </c:pt>
                <c:pt idx="412">
                  <c:v>164891.87426221583</c:v>
                </c:pt>
                <c:pt idx="413">
                  <c:v>162460.72307604612</c:v>
                </c:pt>
                <c:pt idx="414">
                  <c:v>165071.07927314713</c:v>
                </c:pt>
                <c:pt idx="415">
                  <c:v>167533.69618621556</c:v>
                </c:pt>
                <c:pt idx="416">
                  <c:v>165451.16945025048</c:v>
                </c:pt>
                <c:pt idx="417">
                  <c:v>167319.38079304769</c:v>
                </c:pt>
                <c:pt idx="418">
                  <c:v>166082.96766869834</c:v>
                </c:pt>
                <c:pt idx="419">
                  <c:v>166071.80172810977</c:v>
                </c:pt>
                <c:pt idx="420">
                  <c:v>165443.83374934085</c:v>
                </c:pt>
                <c:pt idx="421">
                  <c:v>167017.09982571768</c:v>
                </c:pt>
                <c:pt idx="422">
                  <c:v>165484.91735145063</c:v>
                </c:pt>
                <c:pt idx="423">
                  <c:v>169724.13820142898</c:v>
                </c:pt>
                <c:pt idx="424">
                  <c:v>166524.12643984245</c:v>
                </c:pt>
                <c:pt idx="425">
                  <c:v>162965.80229754405</c:v>
                </c:pt>
                <c:pt idx="426">
                  <c:v>167965.45450718378</c:v>
                </c:pt>
                <c:pt idx="427">
                  <c:v>175047.17309486889</c:v>
                </c:pt>
                <c:pt idx="428">
                  <c:v>169526.49118721156</c:v>
                </c:pt>
                <c:pt idx="429">
                  <c:v>171666.16450127919</c:v>
                </c:pt>
                <c:pt idx="430">
                  <c:v>170190.56853894744</c:v>
                </c:pt>
                <c:pt idx="431">
                  <c:v>171683.94246390209</c:v>
                </c:pt>
                <c:pt idx="432">
                  <c:v>170223.11689562624</c:v>
                </c:pt>
                <c:pt idx="433">
                  <c:v>175603.87172949628</c:v>
                </c:pt>
                <c:pt idx="434">
                  <c:v>171416.83114576037</c:v>
                </c:pt>
                <c:pt idx="435">
                  <c:v>171138.08289949471</c:v>
                </c:pt>
                <c:pt idx="436">
                  <c:v>171043.84561270988</c:v>
                </c:pt>
                <c:pt idx="437">
                  <c:v>171795.56947416405</c:v>
                </c:pt>
                <c:pt idx="438">
                  <c:v>173069.28227484881</c:v>
                </c:pt>
                <c:pt idx="439">
                  <c:v>171035.56631366329</c:v>
                </c:pt>
                <c:pt idx="440">
                  <c:v>172036.54651316028</c:v>
                </c:pt>
                <c:pt idx="441">
                  <c:v>166921.14068016305</c:v>
                </c:pt>
                <c:pt idx="442">
                  <c:v>172360.99257006479</c:v>
                </c:pt>
                <c:pt idx="443">
                  <c:v>176262.43562605925</c:v>
                </c:pt>
                <c:pt idx="444">
                  <c:v>172867.02148508991</c:v>
                </c:pt>
                <c:pt idx="445">
                  <c:v>169909.61201201731</c:v>
                </c:pt>
                <c:pt idx="446">
                  <c:v>173734.6146390709</c:v>
                </c:pt>
                <c:pt idx="447">
                  <c:v>175689.52109616232</c:v>
                </c:pt>
                <c:pt idx="448">
                  <c:v>175458.50943435371</c:v>
                </c:pt>
                <c:pt idx="449">
                  <c:v>177604.9983102949</c:v>
                </c:pt>
                <c:pt idx="450">
                  <c:v>177166.77022765548</c:v>
                </c:pt>
                <c:pt idx="451">
                  <c:v>174708.37980786077</c:v>
                </c:pt>
                <c:pt idx="452">
                  <c:v>177815.56766778851</c:v>
                </c:pt>
                <c:pt idx="453">
                  <c:v>175678.54213128917</c:v>
                </c:pt>
                <c:pt idx="454">
                  <c:v>178704.24857967297</c:v>
                </c:pt>
                <c:pt idx="455">
                  <c:v>180524.19428656908</c:v>
                </c:pt>
                <c:pt idx="456">
                  <c:v>179315.39089195846</c:v>
                </c:pt>
                <c:pt idx="457">
                  <c:v>176611.32039444745</c:v>
                </c:pt>
                <c:pt idx="458">
                  <c:v>179408.71657122171</c:v>
                </c:pt>
                <c:pt idx="459">
                  <c:v>180266.67311375643</c:v>
                </c:pt>
                <c:pt idx="460">
                  <c:v>180627.97316289635</c:v>
                </c:pt>
                <c:pt idx="461">
                  <c:v>181899.77181124489</c:v>
                </c:pt>
                <c:pt idx="462">
                  <c:v>181200.35797008369</c:v>
                </c:pt>
                <c:pt idx="463">
                  <c:v>179163.71724216847</c:v>
                </c:pt>
                <c:pt idx="464">
                  <c:v>182066.26028042307</c:v>
                </c:pt>
                <c:pt idx="465">
                  <c:v>188893.40136885052</c:v>
                </c:pt>
                <c:pt idx="466">
                  <c:v>183606.98467032835</c:v>
                </c:pt>
                <c:pt idx="467">
                  <c:v>187867.87684220623</c:v>
                </c:pt>
                <c:pt idx="468">
                  <c:v>184878.39953385288</c:v>
                </c:pt>
                <c:pt idx="469">
                  <c:v>185912.19032183327</c:v>
                </c:pt>
                <c:pt idx="470">
                  <c:v>185677.20840111008</c:v>
                </c:pt>
                <c:pt idx="471">
                  <c:v>187251.11857226188</c:v>
                </c:pt>
                <c:pt idx="472">
                  <c:v>186533.59537400733</c:v>
                </c:pt>
                <c:pt idx="473">
                  <c:v>184955.91859458946</c:v>
                </c:pt>
                <c:pt idx="474">
                  <c:v>187214.47081880868</c:v>
                </c:pt>
                <c:pt idx="475">
                  <c:v>183402.89638216843</c:v>
                </c:pt>
                <c:pt idx="476">
                  <c:v>188091.86053947324</c:v>
                </c:pt>
                <c:pt idx="477">
                  <c:v>191768.72183409682</c:v>
                </c:pt>
                <c:pt idx="478">
                  <c:v>189216.6790967116</c:v>
                </c:pt>
                <c:pt idx="479">
                  <c:v>188029.77951805969</c:v>
                </c:pt>
                <c:pt idx="480">
                  <c:v>189330.39500943499</c:v>
                </c:pt>
                <c:pt idx="481">
                  <c:v>190856.11798312393</c:v>
                </c:pt>
                <c:pt idx="482">
                  <c:v>189888.65345235495</c:v>
                </c:pt>
                <c:pt idx="483">
                  <c:v>186314.47490124343</c:v>
                </c:pt>
                <c:pt idx="484">
                  <c:v>190641.46621085948</c:v>
                </c:pt>
                <c:pt idx="485">
                  <c:v>192010.30185855433</c:v>
                </c:pt>
                <c:pt idx="486">
                  <c:v>191817.38856708078</c:v>
                </c:pt>
                <c:pt idx="487">
                  <c:v>190766.49124725294</c:v>
                </c:pt>
                <c:pt idx="488">
                  <c:v>193145.72763291071</c:v>
                </c:pt>
                <c:pt idx="489">
                  <c:v>191138.11085656335</c:v>
                </c:pt>
                <c:pt idx="490">
                  <c:v>194436.83947338691</c:v>
                </c:pt>
                <c:pt idx="491">
                  <c:v>194032.83038562647</c:v>
                </c:pt>
                <c:pt idx="492">
                  <c:v>195465.54646213539</c:v>
                </c:pt>
                <c:pt idx="493">
                  <c:v>196231.00909647747</c:v>
                </c:pt>
                <c:pt idx="494">
                  <c:v>196056.18186920515</c:v>
                </c:pt>
                <c:pt idx="495">
                  <c:v>198621.66191693477</c:v>
                </c:pt>
                <c:pt idx="496">
                  <c:v>197125.84663955329</c:v>
                </c:pt>
                <c:pt idx="497">
                  <c:v>198634.71373628802</c:v>
                </c:pt>
                <c:pt idx="498">
                  <c:v>198235.81583885383</c:v>
                </c:pt>
                <c:pt idx="499">
                  <c:v>198685.13061650982</c:v>
                </c:pt>
                <c:pt idx="500">
                  <c:v>199017.7265185148</c:v>
                </c:pt>
                <c:pt idx="501">
                  <c:v>197873.05998087989</c:v>
                </c:pt>
                <c:pt idx="502">
                  <c:v>199812.86675503588</c:v>
                </c:pt>
                <c:pt idx="503">
                  <c:v>197133.69604030979</c:v>
                </c:pt>
                <c:pt idx="504">
                  <c:v>200860.73489631226</c:v>
                </c:pt>
                <c:pt idx="505">
                  <c:v>200125.00551609567</c:v>
                </c:pt>
                <c:pt idx="506">
                  <c:v>201086.56170074333</c:v>
                </c:pt>
                <c:pt idx="507">
                  <c:v>202750.29920222677</c:v>
                </c:pt>
                <c:pt idx="508">
                  <c:v>202415.02009773548</c:v>
                </c:pt>
                <c:pt idx="509">
                  <c:v>203991.76166633444</c:v>
                </c:pt>
                <c:pt idx="510">
                  <c:v>203177.73708389781</c:v>
                </c:pt>
                <c:pt idx="511">
                  <c:v>203113.82597806631</c:v>
                </c:pt>
                <c:pt idx="512">
                  <c:v>204059.38681167582</c:v>
                </c:pt>
                <c:pt idx="513">
                  <c:v>206168.26552654506</c:v>
                </c:pt>
                <c:pt idx="514">
                  <c:v>204889.2536080695</c:v>
                </c:pt>
                <c:pt idx="515">
                  <c:v>204954.49082394384</c:v>
                </c:pt>
                <c:pt idx="516">
                  <c:v>205288.2270218466</c:v>
                </c:pt>
                <c:pt idx="517">
                  <c:v>206439.27749345137</c:v>
                </c:pt>
                <c:pt idx="518">
                  <c:v>206994.12168155657</c:v>
                </c:pt>
                <c:pt idx="519">
                  <c:v>211195.47230340942</c:v>
                </c:pt>
                <c:pt idx="520">
                  <c:v>208376.07323949249</c:v>
                </c:pt>
                <c:pt idx="521">
                  <c:v>208622.73920894187</c:v>
                </c:pt>
                <c:pt idx="522">
                  <c:v>209129.00479365652</c:v>
                </c:pt>
                <c:pt idx="523">
                  <c:v>205336.2276871659</c:v>
                </c:pt>
                <c:pt idx="524">
                  <c:v>209082.98910831439</c:v>
                </c:pt>
                <c:pt idx="525">
                  <c:v>211766.82314549939</c:v>
                </c:pt>
                <c:pt idx="526">
                  <c:v>210420.42304266186</c:v>
                </c:pt>
                <c:pt idx="527">
                  <c:v>209767.1504960852</c:v>
                </c:pt>
                <c:pt idx="528">
                  <c:v>211417.47863512157</c:v>
                </c:pt>
                <c:pt idx="529">
                  <c:v>210792.26031848369</c:v>
                </c:pt>
                <c:pt idx="530">
                  <c:v>213094.41699217109</c:v>
                </c:pt>
                <c:pt idx="531">
                  <c:v>215152.46793071085</c:v>
                </c:pt>
                <c:pt idx="532">
                  <c:v>214279.31148262919</c:v>
                </c:pt>
                <c:pt idx="533">
                  <c:v>214939.0691300203</c:v>
                </c:pt>
                <c:pt idx="534">
                  <c:v>214945.36777941944</c:v>
                </c:pt>
                <c:pt idx="535">
                  <c:v>215322.21454061248</c:v>
                </c:pt>
                <c:pt idx="536">
                  <c:v>215472.59888473601</c:v>
                </c:pt>
                <c:pt idx="537">
                  <c:v>215783.22120205653</c:v>
                </c:pt>
                <c:pt idx="538">
                  <c:v>216565.22094775483</c:v>
                </c:pt>
                <c:pt idx="539">
                  <c:v>217594.44366527291</c:v>
                </c:pt>
                <c:pt idx="540">
                  <c:v>217722.92676568241</c:v>
                </c:pt>
                <c:pt idx="541">
                  <c:v>218744.04160918575</c:v>
                </c:pt>
                <c:pt idx="542">
                  <c:v>219307.62855039965</c:v>
                </c:pt>
                <c:pt idx="543">
                  <c:v>219788.59844153537</c:v>
                </c:pt>
                <c:pt idx="544">
                  <c:v>220928.38043677548</c:v>
                </c:pt>
                <c:pt idx="545">
                  <c:v>224420.06017839338</c:v>
                </c:pt>
                <c:pt idx="546">
                  <c:v>222452.68283247651</c:v>
                </c:pt>
                <c:pt idx="547">
                  <c:v>226828.93206175498</c:v>
                </c:pt>
                <c:pt idx="548">
                  <c:v>222222.86900811389</c:v>
                </c:pt>
                <c:pt idx="549">
                  <c:v>210934.34496338631</c:v>
                </c:pt>
                <c:pt idx="550">
                  <c:v>222471.91674635746</c:v>
                </c:pt>
                <c:pt idx="551">
                  <c:v>223200.4972043212</c:v>
                </c:pt>
                <c:pt idx="552">
                  <c:v>222336.20288407151</c:v>
                </c:pt>
                <c:pt idx="553">
                  <c:v>229058.08181647953</c:v>
                </c:pt>
                <c:pt idx="554">
                  <c:v>223677.40526031351</c:v>
                </c:pt>
                <c:pt idx="555">
                  <c:v>213161.21129688664</c:v>
                </c:pt>
                <c:pt idx="556">
                  <c:v>223916.57045124003</c:v>
                </c:pt>
                <c:pt idx="557">
                  <c:v>221399.45601643261</c:v>
                </c:pt>
                <c:pt idx="558">
                  <c:v>224745.36220558183</c:v>
                </c:pt>
                <c:pt idx="559">
                  <c:v>225621.28616284297</c:v>
                </c:pt>
                <c:pt idx="560">
                  <c:v>225471.1318763181</c:v>
                </c:pt>
                <c:pt idx="561">
                  <c:v>224105.23092282756</c:v>
                </c:pt>
                <c:pt idx="562">
                  <c:v>226559.73493938698</c:v>
                </c:pt>
                <c:pt idx="563">
                  <c:v>225305.22623336935</c:v>
                </c:pt>
                <c:pt idx="564">
                  <c:v>226894.32529892348</c:v>
                </c:pt>
                <c:pt idx="565">
                  <c:v>227178.52264800493</c:v>
                </c:pt>
                <c:pt idx="566">
                  <c:v>228011.12719756499</c:v>
                </c:pt>
                <c:pt idx="567">
                  <c:v>226724.6407797962</c:v>
                </c:pt>
                <c:pt idx="568">
                  <c:v>229045.06396640194</c:v>
                </c:pt>
                <c:pt idx="569">
                  <c:v>226051.69047648579</c:v>
                </c:pt>
                <c:pt idx="570">
                  <c:v>229566.3043453595</c:v>
                </c:pt>
                <c:pt idx="571">
                  <c:v>231632.71739554656</c:v>
                </c:pt>
                <c:pt idx="572">
                  <c:v>230593.09218921943</c:v>
                </c:pt>
                <c:pt idx="573">
                  <c:v>232430.43058935419</c:v>
                </c:pt>
                <c:pt idx="574">
                  <c:v>231529.6701362592</c:v>
                </c:pt>
                <c:pt idx="575">
                  <c:v>229408.48801081127</c:v>
                </c:pt>
                <c:pt idx="576">
                  <c:v>231773.8774399971</c:v>
                </c:pt>
                <c:pt idx="577">
                  <c:v>234607.78620690948</c:v>
                </c:pt>
                <c:pt idx="578">
                  <c:v>232988.64206267029</c:v>
                </c:pt>
                <c:pt idx="579">
                  <c:v>228790.29709066555</c:v>
                </c:pt>
                <c:pt idx="580">
                  <c:v>233391.98759088246</c:v>
                </c:pt>
                <c:pt idx="581">
                  <c:v>236803.54263930241</c:v>
                </c:pt>
                <c:pt idx="582">
                  <c:v>235112.17172495078</c:v>
                </c:pt>
                <c:pt idx="583">
                  <c:v>230615.39112285565</c:v>
                </c:pt>
                <c:pt idx="584">
                  <c:v>233415.66307178081</c:v>
                </c:pt>
                <c:pt idx="585">
                  <c:v>233075.06530801949</c:v>
                </c:pt>
                <c:pt idx="586">
                  <c:v>232555.89017718897</c:v>
                </c:pt>
                <c:pt idx="587">
                  <c:v>240513.65409426214</c:v>
                </c:pt>
                <c:pt idx="588">
                  <c:v>234722.73567428708</c:v>
                </c:pt>
                <c:pt idx="589">
                  <c:v>233551.17182548618</c:v>
                </c:pt>
                <c:pt idx="590">
                  <c:v>234070.41214277182</c:v>
                </c:pt>
                <c:pt idx="591">
                  <c:v>241625.24605843629</c:v>
                </c:pt>
                <c:pt idx="592">
                  <c:v>234355.59873805667</c:v>
                </c:pt>
                <c:pt idx="593">
                  <c:v>231658.93770699645</c:v>
                </c:pt>
                <c:pt idx="594">
                  <c:v>232491.06500758056</c:v>
                </c:pt>
                <c:pt idx="595">
                  <c:v>237551.56198506785</c:v>
                </c:pt>
                <c:pt idx="596">
                  <c:v>235900.87023499483</c:v>
                </c:pt>
                <c:pt idx="597">
                  <c:v>242330.30759035237</c:v>
                </c:pt>
                <c:pt idx="598">
                  <c:v>238440.96422953741</c:v>
                </c:pt>
                <c:pt idx="599">
                  <c:v>238900.03148493479</c:v>
                </c:pt>
                <c:pt idx="600">
                  <c:v>239636.54100005177</c:v>
                </c:pt>
                <c:pt idx="601">
                  <c:v>238746.92176733032</c:v>
                </c:pt>
                <c:pt idx="602">
                  <c:v>240974.99171265814</c:v>
                </c:pt>
                <c:pt idx="603">
                  <c:v>243658.55142368388</c:v>
                </c:pt>
                <c:pt idx="604">
                  <c:v>242108.13096865261</c:v>
                </c:pt>
                <c:pt idx="605">
                  <c:v>236772.8403952237</c:v>
                </c:pt>
                <c:pt idx="606">
                  <c:v>242889.33609982466</c:v>
                </c:pt>
                <c:pt idx="607">
                  <c:v>239501.54675207747</c:v>
                </c:pt>
                <c:pt idx="608">
                  <c:v>244182.34360285493</c:v>
                </c:pt>
                <c:pt idx="609">
                  <c:v>249977.6282527594</c:v>
                </c:pt>
                <c:pt idx="610">
                  <c:v>245950.63088842007</c:v>
                </c:pt>
                <c:pt idx="611">
                  <c:v>245784.15981617491</c:v>
                </c:pt>
                <c:pt idx="612">
                  <c:v>246654.05930562218</c:v>
                </c:pt>
                <c:pt idx="613">
                  <c:v>247857.96623034772</c:v>
                </c:pt>
                <c:pt idx="614">
                  <c:v>246379.29979454807</c:v>
                </c:pt>
                <c:pt idx="615">
                  <c:v>242865.08889871961</c:v>
                </c:pt>
                <c:pt idx="616">
                  <c:v>246088.6863186358</c:v>
                </c:pt>
                <c:pt idx="617">
                  <c:v>241358.9667360037</c:v>
                </c:pt>
                <c:pt idx="618">
                  <c:v>247323.56274439429</c:v>
                </c:pt>
                <c:pt idx="619">
                  <c:v>247624.40859863046</c:v>
                </c:pt>
                <c:pt idx="620">
                  <c:v>250149.62853620504</c:v>
                </c:pt>
                <c:pt idx="621">
                  <c:v>250244.59397270915</c:v>
                </c:pt>
                <c:pt idx="622">
                  <c:v>251281.45075887581</c:v>
                </c:pt>
                <c:pt idx="623">
                  <c:v>251539.97983706402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4-41A1-95A3-D4091118B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75200"/>
        <c:axId val="189775760"/>
      </c:areaChart>
      <c:dateAx>
        <c:axId val="189775200"/>
        <c:scaling>
          <c:orientation val="minMax"/>
        </c:scaling>
        <c:delete val="0"/>
        <c:axPos val="b"/>
        <c:numFmt formatCode="yyyy;@" sourceLinked="0"/>
        <c:majorTickMark val="out"/>
        <c:minorTickMark val="none"/>
        <c:tickLblPos val="nextTo"/>
        <c:crossAx val="189775760"/>
        <c:crosses val="autoZero"/>
        <c:auto val="1"/>
        <c:lblOffset val="100"/>
        <c:baseTimeUnit val="days"/>
        <c:majorUnit val="1"/>
        <c:majorTimeUnit val="years"/>
        <c:minorUnit val="1"/>
        <c:minorTimeUnit val="years"/>
      </c:dateAx>
      <c:valAx>
        <c:axId val="1897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520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800" b="0">
                <a:solidFill>
                  <a:schemeClr val="tx1">
                    <a:lumMod val="75000"/>
                    <a:lumOff val="25000"/>
                  </a:schemeClr>
                </a:solidFill>
              </a:rPr>
              <a:t>%</a:t>
            </a:r>
            <a:r>
              <a:rPr lang="en-US" sz="800" b="0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Return Performance</a:t>
            </a:r>
            <a:endParaRPr lang="en-US" sz="800" b="0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23337707786526"/>
          <c:y val="0.11449957183733996"/>
          <c:w val="0.81169254884806064"/>
          <c:h val="0.83339768826973537"/>
        </c:manualLayout>
      </c:layout>
      <c:scatterChart>
        <c:scatterStyle val="smoothMarker"/>
        <c:varyColors val="0"/>
        <c:ser>
          <c:idx val="0"/>
          <c:order val="0"/>
          <c:tx>
            <c:v/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Sheet1!$B$42:$B$665</c:f>
              <c:numCache>
                <c:formatCode>m/d/yyyy</c:formatCode>
                <c:ptCount val="624"/>
                <c:pt idx="0">
                  <c:v>39293</c:v>
                </c:pt>
                <c:pt idx="1">
                  <c:v>39300</c:v>
                </c:pt>
                <c:pt idx="2">
                  <c:v>39307</c:v>
                </c:pt>
                <c:pt idx="3">
                  <c:v>39314</c:v>
                </c:pt>
                <c:pt idx="4">
                  <c:v>39321</c:v>
                </c:pt>
                <c:pt idx="5">
                  <c:v>39329</c:v>
                </c:pt>
                <c:pt idx="6">
                  <c:v>39335</c:v>
                </c:pt>
                <c:pt idx="7">
                  <c:v>39342</c:v>
                </c:pt>
                <c:pt idx="8">
                  <c:v>39349</c:v>
                </c:pt>
                <c:pt idx="9">
                  <c:v>39356</c:v>
                </c:pt>
                <c:pt idx="10">
                  <c:v>39363</c:v>
                </c:pt>
                <c:pt idx="11">
                  <c:v>39370</c:v>
                </c:pt>
                <c:pt idx="12">
                  <c:v>39377</c:v>
                </c:pt>
                <c:pt idx="13">
                  <c:v>39384</c:v>
                </c:pt>
                <c:pt idx="14">
                  <c:v>39391</c:v>
                </c:pt>
                <c:pt idx="15">
                  <c:v>39398</c:v>
                </c:pt>
                <c:pt idx="16">
                  <c:v>39405</c:v>
                </c:pt>
                <c:pt idx="17">
                  <c:v>39412</c:v>
                </c:pt>
                <c:pt idx="18">
                  <c:v>39419</c:v>
                </c:pt>
                <c:pt idx="19">
                  <c:v>39426</c:v>
                </c:pt>
                <c:pt idx="20">
                  <c:v>39433</c:v>
                </c:pt>
                <c:pt idx="21">
                  <c:v>39440</c:v>
                </c:pt>
                <c:pt idx="22">
                  <c:v>39447</c:v>
                </c:pt>
                <c:pt idx="23">
                  <c:v>39454</c:v>
                </c:pt>
                <c:pt idx="24">
                  <c:v>39461</c:v>
                </c:pt>
                <c:pt idx="25">
                  <c:v>39469</c:v>
                </c:pt>
                <c:pt idx="26">
                  <c:v>39475</c:v>
                </c:pt>
                <c:pt idx="27">
                  <c:v>39482</c:v>
                </c:pt>
                <c:pt idx="28">
                  <c:v>39489</c:v>
                </c:pt>
                <c:pt idx="29">
                  <c:v>39497</c:v>
                </c:pt>
                <c:pt idx="30">
                  <c:v>39503</c:v>
                </c:pt>
                <c:pt idx="31">
                  <c:v>39510</c:v>
                </c:pt>
                <c:pt idx="32">
                  <c:v>39517</c:v>
                </c:pt>
                <c:pt idx="33">
                  <c:v>39524</c:v>
                </c:pt>
                <c:pt idx="34">
                  <c:v>39531</c:v>
                </c:pt>
                <c:pt idx="35">
                  <c:v>39538</c:v>
                </c:pt>
                <c:pt idx="36">
                  <c:v>39545</c:v>
                </c:pt>
                <c:pt idx="37">
                  <c:v>39552</c:v>
                </c:pt>
                <c:pt idx="38">
                  <c:v>39559</c:v>
                </c:pt>
                <c:pt idx="39">
                  <c:v>39566</c:v>
                </c:pt>
                <c:pt idx="40">
                  <c:v>39573</c:v>
                </c:pt>
                <c:pt idx="41">
                  <c:v>39580</c:v>
                </c:pt>
                <c:pt idx="42">
                  <c:v>39587</c:v>
                </c:pt>
                <c:pt idx="43">
                  <c:v>39595</c:v>
                </c:pt>
                <c:pt idx="44">
                  <c:v>39601</c:v>
                </c:pt>
                <c:pt idx="45">
                  <c:v>39608</c:v>
                </c:pt>
                <c:pt idx="46">
                  <c:v>39615</c:v>
                </c:pt>
                <c:pt idx="47">
                  <c:v>39622</c:v>
                </c:pt>
                <c:pt idx="48">
                  <c:v>39629</c:v>
                </c:pt>
                <c:pt idx="49">
                  <c:v>39636</c:v>
                </c:pt>
                <c:pt idx="50">
                  <c:v>39643</c:v>
                </c:pt>
                <c:pt idx="51">
                  <c:v>39650</c:v>
                </c:pt>
                <c:pt idx="52">
                  <c:v>39657</c:v>
                </c:pt>
                <c:pt idx="53">
                  <c:v>39664</c:v>
                </c:pt>
                <c:pt idx="54">
                  <c:v>39671</c:v>
                </c:pt>
                <c:pt idx="55">
                  <c:v>39678</c:v>
                </c:pt>
                <c:pt idx="56">
                  <c:v>39685</c:v>
                </c:pt>
                <c:pt idx="57">
                  <c:v>39693</c:v>
                </c:pt>
                <c:pt idx="58">
                  <c:v>39699</c:v>
                </c:pt>
                <c:pt idx="59">
                  <c:v>39706</c:v>
                </c:pt>
                <c:pt idx="60">
                  <c:v>39713</c:v>
                </c:pt>
                <c:pt idx="61">
                  <c:v>39720</c:v>
                </c:pt>
                <c:pt idx="62">
                  <c:v>39727</c:v>
                </c:pt>
                <c:pt idx="63">
                  <c:v>39734</c:v>
                </c:pt>
                <c:pt idx="64">
                  <c:v>39741</c:v>
                </c:pt>
                <c:pt idx="65">
                  <c:v>39748</c:v>
                </c:pt>
                <c:pt idx="66">
                  <c:v>39755</c:v>
                </c:pt>
                <c:pt idx="67">
                  <c:v>39762</c:v>
                </c:pt>
                <c:pt idx="68">
                  <c:v>39769</c:v>
                </c:pt>
                <c:pt idx="69">
                  <c:v>39776</c:v>
                </c:pt>
                <c:pt idx="70">
                  <c:v>39783</c:v>
                </c:pt>
                <c:pt idx="71">
                  <c:v>39790</c:v>
                </c:pt>
                <c:pt idx="72">
                  <c:v>39797</c:v>
                </c:pt>
                <c:pt idx="73">
                  <c:v>39804</c:v>
                </c:pt>
                <c:pt idx="74">
                  <c:v>39811</c:v>
                </c:pt>
                <c:pt idx="75">
                  <c:v>39818</c:v>
                </c:pt>
                <c:pt idx="76">
                  <c:v>39825</c:v>
                </c:pt>
                <c:pt idx="77">
                  <c:v>39833</c:v>
                </c:pt>
                <c:pt idx="78">
                  <c:v>39839</c:v>
                </c:pt>
                <c:pt idx="79">
                  <c:v>39846</c:v>
                </c:pt>
                <c:pt idx="80">
                  <c:v>39853</c:v>
                </c:pt>
                <c:pt idx="81">
                  <c:v>39861</c:v>
                </c:pt>
                <c:pt idx="82">
                  <c:v>39867</c:v>
                </c:pt>
                <c:pt idx="83">
                  <c:v>39874</c:v>
                </c:pt>
                <c:pt idx="84">
                  <c:v>39881</c:v>
                </c:pt>
                <c:pt idx="85">
                  <c:v>39888</c:v>
                </c:pt>
                <c:pt idx="86">
                  <c:v>39895</c:v>
                </c:pt>
                <c:pt idx="87">
                  <c:v>39902</c:v>
                </c:pt>
                <c:pt idx="88">
                  <c:v>39909</c:v>
                </c:pt>
                <c:pt idx="89">
                  <c:v>39916</c:v>
                </c:pt>
                <c:pt idx="90">
                  <c:v>39923</c:v>
                </c:pt>
                <c:pt idx="91">
                  <c:v>39930</c:v>
                </c:pt>
                <c:pt idx="92">
                  <c:v>39937</c:v>
                </c:pt>
                <c:pt idx="93">
                  <c:v>39944</c:v>
                </c:pt>
                <c:pt idx="94">
                  <c:v>39951</c:v>
                </c:pt>
                <c:pt idx="95">
                  <c:v>39959</c:v>
                </c:pt>
                <c:pt idx="96">
                  <c:v>39965</c:v>
                </c:pt>
                <c:pt idx="97">
                  <c:v>39972</c:v>
                </c:pt>
                <c:pt idx="98">
                  <c:v>39979</c:v>
                </c:pt>
                <c:pt idx="99">
                  <c:v>39986</c:v>
                </c:pt>
                <c:pt idx="100">
                  <c:v>39993</c:v>
                </c:pt>
                <c:pt idx="101">
                  <c:v>40000</c:v>
                </c:pt>
                <c:pt idx="102">
                  <c:v>40007</c:v>
                </c:pt>
                <c:pt idx="103">
                  <c:v>40014</c:v>
                </c:pt>
                <c:pt idx="104">
                  <c:v>40021</c:v>
                </c:pt>
                <c:pt idx="105">
                  <c:v>40028</c:v>
                </c:pt>
                <c:pt idx="106">
                  <c:v>40035</c:v>
                </c:pt>
                <c:pt idx="107">
                  <c:v>40042</c:v>
                </c:pt>
                <c:pt idx="108">
                  <c:v>40049</c:v>
                </c:pt>
                <c:pt idx="109">
                  <c:v>40056</c:v>
                </c:pt>
                <c:pt idx="110">
                  <c:v>40064</c:v>
                </c:pt>
                <c:pt idx="111">
                  <c:v>40070</c:v>
                </c:pt>
                <c:pt idx="112">
                  <c:v>40077</c:v>
                </c:pt>
                <c:pt idx="113">
                  <c:v>40084</c:v>
                </c:pt>
                <c:pt idx="114">
                  <c:v>40091</c:v>
                </c:pt>
                <c:pt idx="115">
                  <c:v>40098</c:v>
                </c:pt>
                <c:pt idx="116">
                  <c:v>40105</c:v>
                </c:pt>
                <c:pt idx="117">
                  <c:v>40112</c:v>
                </c:pt>
                <c:pt idx="118">
                  <c:v>40119</c:v>
                </c:pt>
                <c:pt idx="119">
                  <c:v>40126</c:v>
                </c:pt>
                <c:pt idx="120">
                  <c:v>40133</c:v>
                </c:pt>
                <c:pt idx="121">
                  <c:v>40140</c:v>
                </c:pt>
                <c:pt idx="122">
                  <c:v>40147</c:v>
                </c:pt>
                <c:pt idx="123">
                  <c:v>40154</c:v>
                </c:pt>
                <c:pt idx="124">
                  <c:v>40161</c:v>
                </c:pt>
                <c:pt idx="125">
                  <c:v>40168</c:v>
                </c:pt>
                <c:pt idx="126">
                  <c:v>40175</c:v>
                </c:pt>
                <c:pt idx="127">
                  <c:v>40182</c:v>
                </c:pt>
                <c:pt idx="128">
                  <c:v>40189</c:v>
                </c:pt>
                <c:pt idx="129">
                  <c:v>40197</c:v>
                </c:pt>
                <c:pt idx="130">
                  <c:v>40203</c:v>
                </c:pt>
                <c:pt idx="131">
                  <c:v>40210</c:v>
                </c:pt>
                <c:pt idx="132">
                  <c:v>40217</c:v>
                </c:pt>
                <c:pt idx="133">
                  <c:v>40225</c:v>
                </c:pt>
                <c:pt idx="134">
                  <c:v>40231</c:v>
                </c:pt>
                <c:pt idx="135">
                  <c:v>40238</c:v>
                </c:pt>
                <c:pt idx="136">
                  <c:v>40245</c:v>
                </c:pt>
                <c:pt idx="137">
                  <c:v>40252</c:v>
                </c:pt>
                <c:pt idx="138">
                  <c:v>40259</c:v>
                </c:pt>
                <c:pt idx="139">
                  <c:v>40266</c:v>
                </c:pt>
                <c:pt idx="140">
                  <c:v>40273</c:v>
                </c:pt>
                <c:pt idx="141">
                  <c:v>40280</c:v>
                </c:pt>
                <c:pt idx="142">
                  <c:v>40287</c:v>
                </c:pt>
                <c:pt idx="143">
                  <c:v>40294</c:v>
                </c:pt>
                <c:pt idx="144">
                  <c:v>40301</c:v>
                </c:pt>
                <c:pt idx="145">
                  <c:v>40308</c:v>
                </c:pt>
                <c:pt idx="146">
                  <c:v>40315</c:v>
                </c:pt>
                <c:pt idx="147">
                  <c:v>40322</c:v>
                </c:pt>
                <c:pt idx="148">
                  <c:v>40330</c:v>
                </c:pt>
                <c:pt idx="149">
                  <c:v>40336</c:v>
                </c:pt>
                <c:pt idx="150">
                  <c:v>40343</c:v>
                </c:pt>
                <c:pt idx="151">
                  <c:v>40350</c:v>
                </c:pt>
                <c:pt idx="152">
                  <c:v>40357</c:v>
                </c:pt>
                <c:pt idx="153">
                  <c:v>40365</c:v>
                </c:pt>
                <c:pt idx="154">
                  <c:v>40371</c:v>
                </c:pt>
                <c:pt idx="155">
                  <c:v>40378</c:v>
                </c:pt>
                <c:pt idx="156">
                  <c:v>40385</c:v>
                </c:pt>
                <c:pt idx="157">
                  <c:v>40392</c:v>
                </c:pt>
                <c:pt idx="158">
                  <c:v>40399</c:v>
                </c:pt>
                <c:pt idx="159">
                  <c:v>40406</c:v>
                </c:pt>
                <c:pt idx="160">
                  <c:v>40413</c:v>
                </c:pt>
                <c:pt idx="161">
                  <c:v>40420</c:v>
                </c:pt>
                <c:pt idx="162">
                  <c:v>40428</c:v>
                </c:pt>
                <c:pt idx="163">
                  <c:v>40434</c:v>
                </c:pt>
                <c:pt idx="164">
                  <c:v>40441</c:v>
                </c:pt>
                <c:pt idx="165">
                  <c:v>40448</c:v>
                </c:pt>
                <c:pt idx="166">
                  <c:v>40455</c:v>
                </c:pt>
                <c:pt idx="167">
                  <c:v>40462</c:v>
                </c:pt>
                <c:pt idx="168">
                  <c:v>40469</c:v>
                </c:pt>
                <c:pt idx="169">
                  <c:v>40476</c:v>
                </c:pt>
                <c:pt idx="170">
                  <c:v>40483</c:v>
                </c:pt>
                <c:pt idx="171">
                  <c:v>40490</c:v>
                </c:pt>
                <c:pt idx="172">
                  <c:v>40497</c:v>
                </c:pt>
                <c:pt idx="173">
                  <c:v>40504</c:v>
                </c:pt>
                <c:pt idx="174">
                  <c:v>40511</c:v>
                </c:pt>
                <c:pt idx="175">
                  <c:v>40518</c:v>
                </c:pt>
                <c:pt idx="176">
                  <c:v>40525</c:v>
                </c:pt>
                <c:pt idx="177">
                  <c:v>40532</c:v>
                </c:pt>
                <c:pt idx="178">
                  <c:v>40539</c:v>
                </c:pt>
                <c:pt idx="179">
                  <c:v>40546</c:v>
                </c:pt>
                <c:pt idx="180">
                  <c:v>40553</c:v>
                </c:pt>
                <c:pt idx="181">
                  <c:v>40561</c:v>
                </c:pt>
                <c:pt idx="182">
                  <c:v>40567</c:v>
                </c:pt>
                <c:pt idx="183">
                  <c:v>40574</c:v>
                </c:pt>
                <c:pt idx="184">
                  <c:v>40581</c:v>
                </c:pt>
                <c:pt idx="185">
                  <c:v>40588</c:v>
                </c:pt>
                <c:pt idx="186">
                  <c:v>40596</c:v>
                </c:pt>
                <c:pt idx="187">
                  <c:v>40602</c:v>
                </c:pt>
                <c:pt idx="188">
                  <c:v>40609</c:v>
                </c:pt>
                <c:pt idx="189">
                  <c:v>40616</c:v>
                </c:pt>
                <c:pt idx="190">
                  <c:v>40623</c:v>
                </c:pt>
                <c:pt idx="191">
                  <c:v>40630</c:v>
                </c:pt>
                <c:pt idx="192">
                  <c:v>40637</c:v>
                </c:pt>
                <c:pt idx="193">
                  <c:v>40644</c:v>
                </c:pt>
                <c:pt idx="194">
                  <c:v>40651</c:v>
                </c:pt>
                <c:pt idx="195">
                  <c:v>40658</c:v>
                </c:pt>
                <c:pt idx="196">
                  <c:v>40665</c:v>
                </c:pt>
                <c:pt idx="197">
                  <c:v>40672</c:v>
                </c:pt>
                <c:pt idx="198">
                  <c:v>40679</c:v>
                </c:pt>
                <c:pt idx="199">
                  <c:v>40686</c:v>
                </c:pt>
                <c:pt idx="200">
                  <c:v>40694</c:v>
                </c:pt>
                <c:pt idx="201">
                  <c:v>40700</c:v>
                </c:pt>
                <c:pt idx="202">
                  <c:v>40707</c:v>
                </c:pt>
                <c:pt idx="203">
                  <c:v>40714</c:v>
                </c:pt>
                <c:pt idx="204">
                  <c:v>40721</c:v>
                </c:pt>
                <c:pt idx="205">
                  <c:v>40729</c:v>
                </c:pt>
                <c:pt idx="206">
                  <c:v>40735</c:v>
                </c:pt>
                <c:pt idx="207">
                  <c:v>40742</c:v>
                </c:pt>
                <c:pt idx="208">
                  <c:v>40749</c:v>
                </c:pt>
                <c:pt idx="209">
                  <c:v>40756</c:v>
                </c:pt>
                <c:pt idx="210">
                  <c:v>40763</c:v>
                </c:pt>
                <c:pt idx="211">
                  <c:v>40770</c:v>
                </c:pt>
                <c:pt idx="212">
                  <c:v>40777</c:v>
                </c:pt>
                <c:pt idx="213">
                  <c:v>40784</c:v>
                </c:pt>
                <c:pt idx="214">
                  <c:v>40792</c:v>
                </c:pt>
                <c:pt idx="215">
                  <c:v>40798</c:v>
                </c:pt>
                <c:pt idx="216">
                  <c:v>40805</c:v>
                </c:pt>
                <c:pt idx="217">
                  <c:v>40812</c:v>
                </c:pt>
                <c:pt idx="218">
                  <c:v>40819</c:v>
                </c:pt>
                <c:pt idx="219">
                  <c:v>40826</c:v>
                </c:pt>
                <c:pt idx="220">
                  <c:v>40833</c:v>
                </c:pt>
                <c:pt idx="221">
                  <c:v>40840</c:v>
                </c:pt>
                <c:pt idx="222">
                  <c:v>40847</c:v>
                </c:pt>
                <c:pt idx="223">
                  <c:v>40854</c:v>
                </c:pt>
                <c:pt idx="224">
                  <c:v>40861</c:v>
                </c:pt>
                <c:pt idx="225">
                  <c:v>40868</c:v>
                </c:pt>
                <c:pt idx="226">
                  <c:v>40875</c:v>
                </c:pt>
                <c:pt idx="227">
                  <c:v>40882</c:v>
                </c:pt>
                <c:pt idx="228">
                  <c:v>40889</c:v>
                </c:pt>
                <c:pt idx="229">
                  <c:v>40896</c:v>
                </c:pt>
                <c:pt idx="230">
                  <c:v>40904</c:v>
                </c:pt>
                <c:pt idx="231">
                  <c:v>40911</c:v>
                </c:pt>
                <c:pt idx="232">
                  <c:v>40917</c:v>
                </c:pt>
                <c:pt idx="233">
                  <c:v>40925</c:v>
                </c:pt>
                <c:pt idx="234">
                  <c:v>40931</c:v>
                </c:pt>
                <c:pt idx="235">
                  <c:v>40938</c:v>
                </c:pt>
                <c:pt idx="236">
                  <c:v>40945</c:v>
                </c:pt>
                <c:pt idx="237">
                  <c:v>40952</c:v>
                </c:pt>
                <c:pt idx="238">
                  <c:v>40960</c:v>
                </c:pt>
                <c:pt idx="239">
                  <c:v>40966</c:v>
                </c:pt>
                <c:pt idx="240">
                  <c:v>40973</c:v>
                </c:pt>
                <c:pt idx="241">
                  <c:v>40980</c:v>
                </c:pt>
                <c:pt idx="242">
                  <c:v>40987</c:v>
                </c:pt>
                <c:pt idx="243">
                  <c:v>40994</c:v>
                </c:pt>
                <c:pt idx="244">
                  <c:v>41001</c:v>
                </c:pt>
                <c:pt idx="245">
                  <c:v>41008</c:v>
                </c:pt>
                <c:pt idx="246">
                  <c:v>41015</c:v>
                </c:pt>
                <c:pt idx="247">
                  <c:v>41022</c:v>
                </c:pt>
                <c:pt idx="248">
                  <c:v>41029</c:v>
                </c:pt>
                <c:pt idx="249">
                  <c:v>41036</c:v>
                </c:pt>
                <c:pt idx="250">
                  <c:v>41043</c:v>
                </c:pt>
                <c:pt idx="251">
                  <c:v>41050</c:v>
                </c:pt>
                <c:pt idx="252">
                  <c:v>41058</c:v>
                </c:pt>
                <c:pt idx="253">
                  <c:v>41064</c:v>
                </c:pt>
                <c:pt idx="254">
                  <c:v>41071</c:v>
                </c:pt>
                <c:pt idx="255">
                  <c:v>41078</c:v>
                </c:pt>
                <c:pt idx="256">
                  <c:v>41085</c:v>
                </c:pt>
                <c:pt idx="257">
                  <c:v>41092</c:v>
                </c:pt>
                <c:pt idx="258">
                  <c:v>41099</c:v>
                </c:pt>
                <c:pt idx="259">
                  <c:v>41106</c:v>
                </c:pt>
                <c:pt idx="260">
                  <c:v>41113</c:v>
                </c:pt>
                <c:pt idx="261">
                  <c:v>41120</c:v>
                </c:pt>
                <c:pt idx="262">
                  <c:v>41127</c:v>
                </c:pt>
                <c:pt idx="263">
                  <c:v>41134</c:v>
                </c:pt>
                <c:pt idx="264">
                  <c:v>41141</c:v>
                </c:pt>
                <c:pt idx="265">
                  <c:v>41148</c:v>
                </c:pt>
                <c:pt idx="266">
                  <c:v>41156</c:v>
                </c:pt>
                <c:pt idx="267">
                  <c:v>41162</c:v>
                </c:pt>
                <c:pt idx="268">
                  <c:v>41169</c:v>
                </c:pt>
                <c:pt idx="269">
                  <c:v>41176</c:v>
                </c:pt>
                <c:pt idx="270">
                  <c:v>41183</c:v>
                </c:pt>
                <c:pt idx="271">
                  <c:v>41190</c:v>
                </c:pt>
                <c:pt idx="272">
                  <c:v>41197</c:v>
                </c:pt>
                <c:pt idx="273">
                  <c:v>41204</c:v>
                </c:pt>
                <c:pt idx="274">
                  <c:v>41213</c:v>
                </c:pt>
                <c:pt idx="275">
                  <c:v>41218</c:v>
                </c:pt>
                <c:pt idx="276">
                  <c:v>41225</c:v>
                </c:pt>
                <c:pt idx="277">
                  <c:v>41232</c:v>
                </c:pt>
                <c:pt idx="278">
                  <c:v>41239</c:v>
                </c:pt>
                <c:pt idx="279">
                  <c:v>41246</c:v>
                </c:pt>
                <c:pt idx="280">
                  <c:v>41253</c:v>
                </c:pt>
                <c:pt idx="281">
                  <c:v>41260</c:v>
                </c:pt>
                <c:pt idx="282">
                  <c:v>41267</c:v>
                </c:pt>
                <c:pt idx="283">
                  <c:v>41274</c:v>
                </c:pt>
                <c:pt idx="284">
                  <c:v>41281</c:v>
                </c:pt>
                <c:pt idx="285">
                  <c:v>41288</c:v>
                </c:pt>
                <c:pt idx="286">
                  <c:v>41296</c:v>
                </c:pt>
                <c:pt idx="287">
                  <c:v>41302</c:v>
                </c:pt>
                <c:pt idx="288">
                  <c:v>41309</c:v>
                </c:pt>
                <c:pt idx="289">
                  <c:v>41316</c:v>
                </c:pt>
                <c:pt idx="290">
                  <c:v>41324</c:v>
                </c:pt>
                <c:pt idx="291">
                  <c:v>41330</c:v>
                </c:pt>
                <c:pt idx="292">
                  <c:v>41337</c:v>
                </c:pt>
                <c:pt idx="293">
                  <c:v>41344</c:v>
                </c:pt>
                <c:pt idx="294">
                  <c:v>41351</c:v>
                </c:pt>
                <c:pt idx="295">
                  <c:v>41358</c:v>
                </c:pt>
                <c:pt idx="296">
                  <c:v>41365</c:v>
                </c:pt>
                <c:pt idx="297">
                  <c:v>41372</c:v>
                </c:pt>
                <c:pt idx="298">
                  <c:v>41379</c:v>
                </c:pt>
                <c:pt idx="299">
                  <c:v>41386</c:v>
                </c:pt>
                <c:pt idx="300">
                  <c:v>41393</c:v>
                </c:pt>
                <c:pt idx="301">
                  <c:v>41400</c:v>
                </c:pt>
                <c:pt idx="302">
                  <c:v>41407</c:v>
                </c:pt>
                <c:pt idx="303">
                  <c:v>41414</c:v>
                </c:pt>
                <c:pt idx="304">
                  <c:v>41422</c:v>
                </c:pt>
                <c:pt idx="305">
                  <c:v>41428</c:v>
                </c:pt>
                <c:pt idx="306">
                  <c:v>41435</c:v>
                </c:pt>
                <c:pt idx="307">
                  <c:v>41442</c:v>
                </c:pt>
                <c:pt idx="308">
                  <c:v>41449</c:v>
                </c:pt>
                <c:pt idx="309">
                  <c:v>41456</c:v>
                </c:pt>
                <c:pt idx="310">
                  <c:v>41463</c:v>
                </c:pt>
                <c:pt idx="311">
                  <c:v>41470</c:v>
                </c:pt>
                <c:pt idx="312">
                  <c:v>41477</c:v>
                </c:pt>
                <c:pt idx="313">
                  <c:v>41484</c:v>
                </c:pt>
                <c:pt idx="314">
                  <c:v>41491</c:v>
                </c:pt>
                <c:pt idx="315">
                  <c:v>41498</c:v>
                </c:pt>
                <c:pt idx="316">
                  <c:v>41505</c:v>
                </c:pt>
                <c:pt idx="317">
                  <c:v>41512</c:v>
                </c:pt>
                <c:pt idx="318">
                  <c:v>41520</c:v>
                </c:pt>
                <c:pt idx="319">
                  <c:v>41526</c:v>
                </c:pt>
                <c:pt idx="320">
                  <c:v>41533</c:v>
                </c:pt>
                <c:pt idx="321">
                  <c:v>41540</c:v>
                </c:pt>
                <c:pt idx="322">
                  <c:v>41547</c:v>
                </c:pt>
                <c:pt idx="323">
                  <c:v>41554</c:v>
                </c:pt>
                <c:pt idx="324">
                  <c:v>41561</c:v>
                </c:pt>
                <c:pt idx="325">
                  <c:v>41568</c:v>
                </c:pt>
                <c:pt idx="326">
                  <c:v>41575</c:v>
                </c:pt>
                <c:pt idx="327">
                  <c:v>41582</c:v>
                </c:pt>
                <c:pt idx="328">
                  <c:v>41589</c:v>
                </c:pt>
                <c:pt idx="329">
                  <c:v>41596</c:v>
                </c:pt>
                <c:pt idx="330">
                  <c:v>41603</c:v>
                </c:pt>
                <c:pt idx="331">
                  <c:v>41610</c:v>
                </c:pt>
                <c:pt idx="332">
                  <c:v>41617</c:v>
                </c:pt>
                <c:pt idx="333">
                  <c:v>41624</c:v>
                </c:pt>
                <c:pt idx="334">
                  <c:v>41631</c:v>
                </c:pt>
                <c:pt idx="335">
                  <c:v>41638</c:v>
                </c:pt>
                <c:pt idx="336">
                  <c:v>41645</c:v>
                </c:pt>
                <c:pt idx="337">
                  <c:v>41652</c:v>
                </c:pt>
                <c:pt idx="338">
                  <c:v>41660</c:v>
                </c:pt>
                <c:pt idx="339">
                  <c:v>41666</c:v>
                </c:pt>
                <c:pt idx="340">
                  <c:v>41673</c:v>
                </c:pt>
                <c:pt idx="341">
                  <c:v>41680</c:v>
                </c:pt>
                <c:pt idx="342">
                  <c:v>41688</c:v>
                </c:pt>
                <c:pt idx="343">
                  <c:v>41694</c:v>
                </c:pt>
                <c:pt idx="344">
                  <c:v>41701</c:v>
                </c:pt>
                <c:pt idx="345">
                  <c:v>41708</c:v>
                </c:pt>
                <c:pt idx="346">
                  <c:v>41715</c:v>
                </c:pt>
                <c:pt idx="347">
                  <c:v>41722</c:v>
                </c:pt>
                <c:pt idx="348">
                  <c:v>41729</c:v>
                </c:pt>
                <c:pt idx="349">
                  <c:v>41736</c:v>
                </c:pt>
                <c:pt idx="350">
                  <c:v>41743</c:v>
                </c:pt>
                <c:pt idx="351">
                  <c:v>41750</c:v>
                </c:pt>
                <c:pt idx="352">
                  <c:v>41757</c:v>
                </c:pt>
                <c:pt idx="353">
                  <c:v>41764</c:v>
                </c:pt>
                <c:pt idx="354">
                  <c:v>41771</c:v>
                </c:pt>
                <c:pt idx="355">
                  <c:v>41778</c:v>
                </c:pt>
                <c:pt idx="356">
                  <c:v>41786</c:v>
                </c:pt>
                <c:pt idx="357">
                  <c:v>41792</c:v>
                </c:pt>
                <c:pt idx="358">
                  <c:v>41799</c:v>
                </c:pt>
                <c:pt idx="359">
                  <c:v>41806</c:v>
                </c:pt>
                <c:pt idx="360">
                  <c:v>41813</c:v>
                </c:pt>
                <c:pt idx="361">
                  <c:v>41820</c:v>
                </c:pt>
                <c:pt idx="362">
                  <c:v>41827</c:v>
                </c:pt>
                <c:pt idx="363">
                  <c:v>41834</c:v>
                </c:pt>
                <c:pt idx="364">
                  <c:v>41841</c:v>
                </c:pt>
                <c:pt idx="365">
                  <c:v>41848</c:v>
                </c:pt>
                <c:pt idx="366">
                  <c:v>41855</c:v>
                </c:pt>
                <c:pt idx="367">
                  <c:v>41862</c:v>
                </c:pt>
                <c:pt idx="368">
                  <c:v>41869</c:v>
                </c:pt>
                <c:pt idx="369">
                  <c:v>41876</c:v>
                </c:pt>
                <c:pt idx="370">
                  <c:v>41884</c:v>
                </c:pt>
                <c:pt idx="371">
                  <c:v>41890</c:v>
                </c:pt>
                <c:pt idx="372">
                  <c:v>41897</c:v>
                </c:pt>
                <c:pt idx="373">
                  <c:v>41904</c:v>
                </c:pt>
                <c:pt idx="374">
                  <c:v>41911</c:v>
                </c:pt>
                <c:pt idx="375">
                  <c:v>41918</c:v>
                </c:pt>
                <c:pt idx="376">
                  <c:v>41925</c:v>
                </c:pt>
                <c:pt idx="377">
                  <c:v>41932</c:v>
                </c:pt>
                <c:pt idx="378">
                  <c:v>41939</c:v>
                </c:pt>
                <c:pt idx="379">
                  <c:v>41946</c:v>
                </c:pt>
                <c:pt idx="380">
                  <c:v>41953</c:v>
                </c:pt>
                <c:pt idx="381">
                  <c:v>41960</c:v>
                </c:pt>
                <c:pt idx="382">
                  <c:v>41967</c:v>
                </c:pt>
                <c:pt idx="383">
                  <c:v>41974</c:v>
                </c:pt>
                <c:pt idx="384">
                  <c:v>41981</c:v>
                </c:pt>
                <c:pt idx="385">
                  <c:v>41988</c:v>
                </c:pt>
                <c:pt idx="386">
                  <c:v>41995</c:v>
                </c:pt>
                <c:pt idx="387">
                  <c:v>42002</c:v>
                </c:pt>
                <c:pt idx="388">
                  <c:v>42009</c:v>
                </c:pt>
                <c:pt idx="389">
                  <c:v>42016</c:v>
                </c:pt>
                <c:pt idx="390">
                  <c:v>42024</c:v>
                </c:pt>
                <c:pt idx="391">
                  <c:v>42030</c:v>
                </c:pt>
                <c:pt idx="392">
                  <c:v>42037</c:v>
                </c:pt>
                <c:pt idx="393">
                  <c:v>42044</c:v>
                </c:pt>
                <c:pt idx="394">
                  <c:v>42052</c:v>
                </c:pt>
                <c:pt idx="395">
                  <c:v>42058</c:v>
                </c:pt>
                <c:pt idx="396">
                  <c:v>42065</c:v>
                </c:pt>
                <c:pt idx="397">
                  <c:v>42072</c:v>
                </c:pt>
                <c:pt idx="398">
                  <c:v>42079</c:v>
                </c:pt>
                <c:pt idx="399">
                  <c:v>42086</c:v>
                </c:pt>
                <c:pt idx="400">
                  <c:v>42093</c:v>
                </c:pt>
                <c:pt idx="401">
                  <c:v>42100</c:v>
                </c:pt>
                <c:pt idx="402">
                  <c:v>42107</c:v>
                </c:pt>
                <c:pt idx="403">
                  <c:v>42114</c:v>
                </c:pt>
                <c:pt idx="404">
                  <c:v>42121</c:v>
                </c:pt>
                <c:pt idx="405">
                  <c:v>42128</c:v>
                </c:pt>
                <c:pt idx="406">
                  <c:v>42135</c:v>
                </c:pt>
                <c:pt idx="407">
                  <c:v>42142</c:v>
                </c:pt>
                <c:pt idx="408">
                  <c:v>42150</c:v>
                </c:pt>
                <c:pt idx="409">
                  <c:v>42156</c:v>
                </c:pt>
                <c:pt idx="410">
                  <c:v>42163</c:v>
                </c:pt>
                <c:pt idx="411">
                  <c:v>42170</c:v>
                </c:pt>
                <c:pt idx="412">
                  <c:v>42177</c:v>
                </c:pt>
                <c:pt idx="413">
                  <c:v>42184</c:v>
                </c:pt>
                <c:pt idx="414">
                  <c:v>42191</c:v>
                </c:pt>
                <c:pt idx="415">
                  <c:v>42198</c:v>
                </c:pt>
                <c:pt idx="416">
                  <c:v>42205</c:v>
                </c:pt>
                <c:pt idx="417">
                  <c:v>42212</c:v>
                </c:pt>
                <c:pt idx="418">
                  <c:v>42219</c:v>
                </c:pt>
                <c:pt idx="419">
                  <c:v>42226</c:v>
                </c:pt>
                <c:pt idx="420">
                  <c:v>42233</c:v>
                </c:pt>
                <c:pt idx="421">
                  <c:v>42240</c:v>
                </c:pt>
                <c:pt idx="422">
                  <c:v>42247</c:v>
                </c:pt>
                <c:pt idx="423">
                  <c:v>42255</c:v>
                </c:pt>
                <c:pt idx="424">
                  <c:v>42261</c:v>
                </c:pt>
                <c:pt idx="425">
                  <c:v>42268</c:v>
                </c:pt>
                <c:pt idx="426">
                  <c:v>42275</c:v>
                </c:pt>
                <c:pt idx="427">
                  <c:v>42282</c:v>
                </c:pt>
                <c:pt idx="428">
                  <c:v>42289</c:v>
                </c:pt>
                <c:pt idx="429">
                  <c:v>42296</c:v>
                </c:pt>
                <c:pt idx="430">
                  <c:v>42303</c:v>
                </c:pt>
                <c:pt idx="431">
                  <c:v>42310</c:v>
                </c:pt>
                <c:pt idx="432">
                  <c:v>42317</c:v>
                </c:pt>
                <c:pt idx="433">
                  <c:v>42324</c:v>
                </c:pt>
                <c:pt idx="434">
                  <c:v>42331</c:v>
                </c:pt>
                <c:pt idx="435">
                  <c:v>42338</c:v>
                </c:pt>
                <c:pt idx="436">
                  <c:v>42345</c:v>
                </c:pt>
                <c:pt idx="437">
                  <c:v>42352</c:v>
                </c:pt>
                <c:pt idx="438">
                  <c:v>42359</c:v>
                </c:pt>
                <c:pt idx="439">
                  <c:v>42366</c:v>
                </c:pt>
                <c:pt idx="440">
                  <c:v>42373</c:v>
                </c:pt>
                <c:pt idx="441">
                  <c:v>42380</c:v>
                </c:pt>
                <c:pt idx="442">
                  <c:v>42388</c:v>
                </c:pt>
                <c:pt idx="443">
                  <c:v>42394</c:v>
                </c:pt>
                <c:pt idx="444">
                  <c:v>42401</c:v>
                </c:pt>
                <c:pt idx="445">
                  <c:v>42408</c:v>
                </c:pt>
                <c:pt idx="446">
                  <c:v>42416</c:v>
                </c:pt>
                <c:pt idx="447">
                  <c:v>42422</c:v>
                </c:pt>
                <c:pt idx="448">
                  <c:v>42429</c:v>
                </c:pt>
                <c:pt idx="449">
                  <c:v>42436</c:v>
                </c:pt>
                <c:pt idx="450">
                  <c:v>42443</c:v>
                </c:pt>
                <c:pt idx="451">
                  <c:v>42450</c:v>
                </c:pt>
                <c:pt idx="452">
                  <c:v>42457</c:v>
                </c:pt>
                <c:pt idx="453">
                  <c:v>42464</c:v>
                </c:pt>
                <c:pt idx="454">
                  <c:v>42471</c:v>
                </c:pt>
                <c:pt idx="455">
                  <c:v>42478</c:v>
                </c:pt>
                <c:pt idx="456">
                  <c:v>42485</c:v>
                </c:pt>
                <c:pt idx="457">
                  <c:v>42492</c:v>
                </c:pt>
                <c:pt idx="458">
                  <c:v>42499</c:v>
                </c:pt>
                <c:pt idx="459">
                  <c:v>42506</c:v>
                </c:pt>
                <c:pt idx="460">
                  <c:v>42513</c:v>
                </c:pt>
                <c:pt idx="461">
                  <c:v>42521</c:v>
                </c:pt>
                <c:pt idx="462">
                  <c:v>42527</c:v>
                </c:pt>
                <c:pt idx="463">
                  <c:v>42534</c:v>
                </c:pt>
                <c:pt idx="464">
                  <c:v>42541</c:v>
                </c:pt>
                <c:pt idx="465">
                  <c:v>42548</c:v>
                </c:pt>
                <c:pt idx="466">
                  <c:v>42556</c:v>
                </c:pt>
                <c:pt idx="467">
                  <c:v>42562</c:v>
                </c:pt>
                <c:pt idx="468">
                  <c:v>42569</c:v>
                </c:pt>
                <c:pt idx="469">
                  <c:v>42576</c:v>
                </c:pt>
                <c:pt idx="470">
                  <c:v>42583</c:v>
                </c:pt>
                <c:pt idx="471">
                  <c:v>42590</c:v>
                </c:pt>
                <c:pt idx="472">
                  <c:v>42597</c:v>
                </c:pt>
                <c:pt idx="473">
                  <c:v>42604</c:v>
                </c:pt>
                <c:pt idx="474">
                  <c:v>42611</c:v>
                </c:pt>
                <c:pt idx="475">
                  <c:v>42619</c:v>
                </c:pt>
                <c:pt idx="476">
                  <c:v>42625</c:v>
                </c:pt>
                <c:pt idx="477">
                  <c:v>42632</c:v>
                </c:pt>
                <c:pt idx="478">
                  <c:v>42639</c:v>
                </c:pt>
                <c:pt idx="479">
                  <c:v>42646</c:v>
                </c:pt>
                <c:pt idx="480">
                  <c:v>42653</c:v>
                </c:pt>
                <c:pt idx="481">
                  <c:v>42660</c:v>
                </c:pt>
                <c:pt idx="482">
                  <c:v>42667</c:v>
                </c:pt>
                <c:pt idx="483">
                  <c:v>42674</c:v>
                </c:pt>
                <c:pt idx="484">
                  <c:v>42681</c:v>
                </c:pt>
                <c:pt idx="485">
                  <c:v>42688</c:v>
                </c:pt>
                <c:pt idx="486">
                  <c:v>42695</c:v>
                </c:pt>
                <c:pt idx="487">
                  <c:v>42702</c:v>
                </c:pt>
                <c:pt idx="488">
                  <c:v>42709</c:v>
                </c:pt>
                <c:pt idx="489">
                  <c:v>42716</c:v>
                </c:pt>
                <c:pt idx="490">
                  <c:v>42723</c:v>
                </c:pt>
                <c:pt idx="491">
                  <c:v>42731</c:v>
                </c:pt>
                <c:pt idx="492">
                  <c:v>42736</c:v>
                </c:pt>
                <c:pt idx="493">
                  <c:v>42743</c:v>
                </c:pt>
                <c:pt idx="494">
                  <c:v>42750</c:v>
                </c:pt>
                <c:pt idx="495">
                  <c:v>42757</c:v>
                </c:pt>
                <c:pt idx="496">
                  <c:v>42764</c:v>
                </c:pt>
                <c:pt idx="497">
                  <c:v>42771</c:v>
                </c:pt>
                <c:pt idx="498">
                  <c:v>42778</c:v>
                </c:pt>
                <c:pt idx="499">
                  <c:v>42785</c:v>
                </c:pt>
                <c:pt idx="500">
                  <c:v>42792</c:v>
                </c:pt>
                <c:pt idx="501">
                  <c:v>42799</c:v>
                </c:pt>
                <c:pt idx="502">
                  <c:v>42806</c:v>
                </c:pt>
                <c:pt idx="503">
                  <c:v>42813</c:v>
                </c:pt>
                <c:pt idx="504">
                  <c:v>42820</c:v>
                </c:pt>
                <c:pt idx="505">
                  <c:v>42827</c:v>
                </c:pt>
                <c:pt idx="506">
                  <c:v>42834</c:v>
                </c:pt>
                <c:pt idx="507">
                  <c:v>42841</c:v>
                </c:pt>
                <c:pt idx="508">
                  <c:v>42848</c:v>
                </c:pt>
                <c:pt idx="509">
                  <c:v>42855</c:v>
                </c:pt>
                <c:pt idx="510">
                  <c:v>42862</c:v>
                </c:pt>
                <c:pt idx="511">
                  <c:v>42869</c:v>
                </c:pt>
                <c:pt idx="512">
                  <c:v>42876</c:v>
                </c:pt>
                <c:pt idx="513">
                  <c:v>42883</c:v>
                </c:pt>
                <c:pt idx="514">
                  <c:v>42890</c:v>
                </c:pt>
                <c:pt idx="515">
                  <c:v>42897</c:v>
                </c:pt>
                <c:pt idx="516">
                  <c:v>42904</c:v>
                </c:pt>
                <c:pt idx="517">
                  <c:v>42911</c:v>
                </c:pt>
                <c:pt idx="518">
                  <c:v>42918</c:v>
                </c:pt>
                <c:pt idx="519">
                  <c:v>42925</c:v>
                </c:pt>
                <c:pt idx="520">
                  <c:v>42932</c:v>
                </c:pt>
                <c:pt idx="521">
                  <c:v>42939</c:v>
                </c:pt>
                <c:pt idx="522">
                  <c:v>42946</c:v>
                </c:pt>
                <c:pt idx="523">
                  <c:v>42953</c:v>
                </c:pt>
                <c:pt idx="524">
                  <c:v>42960</c:v>
                </c:pt>
                <c:pt idx="525">
                  <c:v>42967</c:v>
                </c:pt>
                <c:pt idx="526">
                  <c:v>42974</c:v>
                </c:pt>
                <c:pt idx="527">
                  <c:v>42981</c:v>
                </c:pt>
                <c:pt idx="528">
                  <c:v>42988</c:v>
                </c:pt>
                <c:pt idx="529">
                  <c:v>42995</c:v>
                </c:pt>
                <c:pt idx="530">
                  <c:v>43002</c:v>
                </c:pt>
                <c:pt idx="531">
                  <c:v>43009</c:v>
                </c:pt>
                <c:pt idx="532">
                  <c:v>43016</c:v>
                </c:pt>
                <c:pt idx="533">
                  <c:v>43023</c:v>
                </c:pt>
                <c:pt idx="534">
                  <c:v>43030</c:v>
                </c:pt>
                <c:pt idx="535">
                  <c:v>43037</c:v>
                </c:pt>
                <c:pt idx="536">
                  <c:v>43044</c:v>
                </c:pt>
                <c:pt idx="537">
                  <c:v>43051</c:v>
                </c:pt>
                <c:pt idx="538">
                  <c:v>43058</c:v>
                </c:pt>
                <c:pt idx="539">
                  <c:v>43065</c:v>
                </c:pt>
                <c:pt idx="540">
                  <c:v>43072</c:v>
                </c:pt>
                <c:pt idx="541">
                  <c:v>43079</c:v>
                </c:pt>
                <c:pt idx="542">
                  <c:v>43086</c:v>
                </c:pt>
                <c:pt idx="543">
                  <c:v>43093</c:v>
                </c:pt>
                <c:pt idx="544">
                  <c:v>43100</c:v>
                </c:pt>
                <c:pt idx="545">
                  <c:v>43107</c:v>
                </c:pt>
                <c:pt idx="546">
                  <c:v>43114</c:v>
                </c:pt>
                <c:pt idx="547">
                  <c:v>43121</c:v>
                </c:pt>
                <c:pt idx="548">
                  <c:v>43128</c:v>
                </c:pt>
                <c:pt idx="549">
                  <c:v>43135</c:v>
                </c:pt>
                <c:pt idx="550">
                  <c:v>43142</c:v>
                </c:pt>
                <c:pt idx="551">
                  <c:v>43149</c:v>
                </c:pt>
                <c:pt idx="552">
                  <c:v>43156</c:v>
                </c:pt>
                <c:pt idx="553">
                  <c:v>43163</c:v>
                </c:pt>
                <c:pt idx="554">
                  <c:v>43170</c:v>
                </c:pt>
                <c:pt idx="555">
                  <c:v>43177</c:v>
                </c:pt>
                <c:pt idx="556">
                  <c:v>43184</c:v>
                </c:pt>
                <c:pt idx="557">
                  <c:v>43191</c:v>
                </c:pt>
                <c:pt idx="558">
                  <c:v>43198</c:v>
                </c:pt>
                <c:pt idx="559">
                  <c:v>43205</c:v>
                </c:pt>
                <c:pt idx="560">
                  <c:v>43212</c:v>
                </c:pt>
                <c:pt idx="561">
                  <c:v>43219</c:v>
                </c:pt>
                <c:pt idx="562">
                  <c:v>43226</c:v>
                </c:pt>
                <c:pt idx="563">
                  <c:v>43233</c:v>
                </c:pt>
                <c:pt idx="564">
                  <c:v>43240</c:v>
                </c:pt>
                <c:pt idx="565">
                  <c:v>43247</c:v>
                </c:pt>
                <c:pt idx="566">
                  <c:v>43254</c:v>
                </c:pt>
                <c:pt idx="567">
                  <c:v>43261</c:v>
                </c:pt>
                <c:pt idx="568">
                  <c:v>43268</c:v>
                </c:pt>
                <c:pt idx="569">
                  <c:v>43275</c:v>
                </c:pt>
                <c:pt idx="570">
                  <c:v>43282</c:v>
                </c:pt>
                <c:pt idx="571">
                  <c:v>43289</c:v>
                </c:pt>
                <c:pt idx="572">
                  <c:v>43296</c:v>
                </c:pt>
                <c:pt idx="573">
                  <c:v>43303</c:v>
                </c:pt>
                <c:pt idx="574">
                  <c:v>43310</c:v>
                </c:pt>
                <c:pt idx="575">
                  <c:v>43317</c:v>
                </c:pt>
                <c:pt idx="576">
                  <c:v>43324</c:v>
                </c:pt>
                <c:pt idx="577">
                  <c:v>43331</c:v>
                </c:pt>
                <c:pt idx="578">
                  <c:v>43338</c:v>
                </c:pt>
                <c:pt idx="579">
                  <c:v>43345</c:v>
                </c:pt>
                <c:pt idx="580">
                  <c:v>43352</c:v>
                </c:pt>
                <c:pt idx="581">
                  <c:v>43359</c:v>
                </c:pt>
                <c:pt idx="582">
                  <c:v>43366</c:v>
                </c:pt>
                <c:pt idx="583">
                  <c:v>43373</c:v>
                </c:pt>
                <c:pt idx="584">
                  <c:v>43380</c:v>
                </c:pt>
                <c:pt idx="585">
                  <c:v>43387</c:v>
                </c:pt>
                <c:pt idx="586">
                  <c:v>43394</c:v>
                </c:pt>
                <c:pt idx="587">
                  <c:v>43401</c:v>
                </c:pt>
                <c:pt idx="588">
                  <c:v>43408</c:v>
                </c:pt>
                <c:pt idx="589">
                  <c:v>43415</c:v>
                </c:pt>
                <c:pt idx="590">
                  <c:v>43422</c:v>
                </c:pt>
                <c:pt idx="591">
                  <c:v>43429</c:v>
                </c:pt>
                <c:pt idx="592">
                  <c:v>43436</c:v>
                </c:pt>
                <c:pt idx="593">
                  <c:v>43443</c:v>
                </c:pt>
                <c:pt idx="594">
                  <c:v>43450</c:v>
                </c:pt>
                <c:pt idx="595">
                  <c:v>43457</c:v>
                </c:pt>
                <c:pt idx="596">
                  <c:v>43464</c:v>
                </c:pt>
                <c:pt idx="597">
                  <c:v>43471</c:v>
                </c:pt>
                <c:pt idx="598">
                  <c:v>43478</c:v>
                </c:pt>
                <c:pt idx="599">
                  <c:v>43485</c:v>
                </c:pt>
                <c:pt idx="600">
                  <c:v>43492</c:v>
                </c:pt>
                <c:pt idx="601">
                  <c:v>43499</c:v>
                </c:pt>
                <c:pt idx="602">
                  <c:v>43506</c:v>
                </c:pt>
                <c:pt idx="603">
                  <c:v>43513</c:v>
                </c:pt>
                <c:pt idx="604">
                  <c:v>43520</c:v>
                </c:pt>
                <c:pt idx="605">
                  <c:v>43527</c:v>
                </c:pt>
                <c:pt idx="606">
                  <c:v>43534</c:v>
                </c:pt>
                <c:pt idx="607">
                  <c:v>43541</c:v>
                </c:pt>
                <c:pt idx="608">
                  <c:v>43548</c:v>
                </c:pt>
                <c:pt idx="609">
                  <c:v>43555</c:v>
                </c:pt>
                <c:pt idx="610">
                  <c:v>43562</c:v>
                </c:pt>
                <c:pt idx="611">
                  <c:v>43569</c:v>
                </c:pt>
                <c:pt idx="612">
                  <c:v>43576</c:v>
                </c:pt>
                <c:pt idx="613">
                  <c:v>43583</c:v>
                </c:pt>
                <c:pt idx="614">
                  <c:v>43590</c:v>
                </c:pt>
                <c:pt idx="615">
                  <c:v>43597</c:v>
                </c:pt>
                <c:pt idx="616">
                  <c:v>43604</c:v>
                </c:pt>
                <c:pt idx="617">
                  <c:v>43611</c:v>
                </c:pt>
                <c:pt idx="618">
                  <c:v>43618</c:v>
                </c:pt>
                <c:pt idx="619">
                  <c:v>43625</c:v>
                </c:pt>
                <c:pt idx="620">
                  <c:v>43632</c:v>
                </c:pt>
                <c:pt idx="621">
                  <c:v>43639</c:v>
                </c:pt>
                <c:pt idx="622">
                  <c:v>43646</c:v>
                </c:pt>
                <c:pt idx="623">
                  <c:v>43653</c:v>
                </c:pt>
              </c:numCache>
            </c:numRef>
          </c:xVal>
          <c:yVal>
            <c:numRef>
              <c:f>Sheet1!$BQ$42:$BQ$665</c:f>
              <c:numCache>
                <c:formatCode>0.00%</c:formatCode>
                <c:ptCount val="624"/>
                <c:pt idx="0">
                  <c:v>0</c:v>
                </c:pt>
                <c:pt idx="1">
                  <c:v>5.514020423857513E-3</c:v>
                </c:pt>
                <c:pt idx="2">
                  <c:v>-1.0393235512100252E-2</c:v>
                </c:pt>
                <c:pt idx="3">
                  <c:v>2.7130782125316166E-2</c:v>
                </c:pt>
                <c:pt idx="4">
                  <c:v>3.024366938399492E-2</c:v>
                </c:pt>
                <c:pt idx="5">
                  <c:v>1.5365083896262899E-2</c:v>
                </c:pt>
                <c:pt idx="6">
                  <c:v>3.2408782818966753E-2</c:v>
                </c:pt>
                <c:pt idx="7">
                  <c:v>6.5511022874925606E-2</c:v>
                </c:pt>
                <c:pt idx="8">
                  <c:v>7.6782218182400497E-2</c:v>
                </c:pt>
                <c:pt idx="9">
                  <c:v>0.10770681991282283</c:v>
                </c:pt>
                <c:pt idx="10">
                  <c:v>0.11355312015548247</c:v>
                </c:pt>
                <c:pt idx="11">
                  <c:v>6.8931212648265294E-2</c:v>
                </c:pt>
                <c:pt idx="12">
                  <c:v>0.10139326616044619</c:v>
                </c:pt>
                <c:pt idx="13">
                  <c:v>8.4666133787028697E-2</c:v>
                </c:pt>
                <c:pt idx="14">
                  <c:v>4.3862571484548862E-2</c:v>
                </c:pt>
                <c:pt idx="15">
                  <c:v>4.1072272984789882E-2</c:v>
                </c:pt>
                <c:pt idx="16">
                  <c:v>2.1862386581028126E-2</c:v>
                </c:pt>
                <c:pt idx="17">
                  <c:v>5.1396557044752766E-2</c:v>
                </c:pt>
                <c:pt idx="18">
                  <c:v>7.432477722718156E-2</c:v>
                </c:pt>
                <c:pt idx="19">
                  <c:v>3.3693077257204163E-2</c:v>
                </c:pt>
                <c:pt idx="20">
                  <c:v>3.6209169406421937E-2</c:v>
                </c:pt>
                <c:pt idx="21">
                  <c:v>3.9958129095934547E-2</c:v>
                </c:pt>
                <c:pt idx="22">
                  <c:v>-2.6507734629906965E-3</c:v>
                </c:pt>
                <c:pt idx="23">
                  <c:v>-1.0925103361271393E-2</c:v>
                </c:pt>
                <c:pt idx="24">
                  <c:v>-6.0886512272404492E-2</c:v>
                </c:pt>
                <c:pt idx="25">
                  <c:v>-5.9415319255838317E-2</c:v>
                </c:pt>
                <c:pt idx="26">
                  <c:v>-9.5132036026044364E-3</c:v>
                </c:pt>
                <c:pt idx="27">
                  <c:v>-5.9972599676138882E-2</c:v>
                </c:pt>
                <c:pt idx="28">
                  <c:v>-3.8981660497351855E-2</c:v>
                </c:pt>
                <c:pt idx="29">
                  <c:v>-3.0275802069884228E-2</c:v>
                </c:pt>
                <c:pt idx="30">
                  <c:v>-3.9817583672705048E-2</c:v>
                </c:pt>
                <c:pt idx="31">
                  <c:v>-6.9959356098973524E-2</c:v>
                </c:pt>
                <c:pt idx="32">
                  <c:v>-6.998206181650124E-2</c:v>
                </c:pt>
                <c:pt idx="33">
                  <c:v>-6.0849536035691987E-2</c:v>
                </c:pt>
                <c:pt idx="34">
                  <c:v>-5.2351000554868188E-2</c:v>
                </c:pt>
                <c:pt idx="35">
                  <c:v>-1.0250260603410055E-2</c:v>
                </c:pt>
                <c:pt idx="36">
                  <c:v>-3.2726658858467594E-2</c:v>
                </c:pt>
                <c:pt idx="37">
                  <c:v>6.2752439026407814E-3</c:v>
                </c:pt>
                <c:pt idx="38">
                  <c:v>1.4361901785303832E-2</c:v>
                </c:pt>
                <c:pt idx="39">
                  <c:v>2.5674254481733216E-2</c:v>
                </c:pt>
                <c:pt idx="40">
                  <c:v>1.1513808219457244E-2</c:v>
                </c:pt>
                <c:pt idx="41">
                  <c:v>4.4409346750000633E-2</c:v>
                </c:pt>
                <c:pt idx="42">
                  <c:v>1.0661279981589056E-2</c:v>
                </c:pt>
                <c:pt idx="43">
                  <c:v>2.5168537171341931E-2</c:v>
                </c:pt>
                <c:pt idx="44">
                  <c:v>-3.6994555760465619E-3</c:v>
                </c:pt>
                <c:pt idx="45">
                  <c:v>-1.7059156024094801E-2</c:v>
                </c:pt>
                <c:pt idx="46">
                  <c:v>-3.5221453805523439E-2</c:v>
                </c:pt>
                <c:pt idx="47">
                  <c:v>-5.8892686395751515E-2</c:v>
                </c:pt>
                <c:pt idx="48">
                  <c:v>-9.2927437783920319E-2</c:v>
                </c:pt>
                <c:pt idx="49">
                  <c:v>-0.10642534541166682</c:v>
                </c:pt>
                <c:pt idx="50">
                  <c:v>-8.6666862954366986E-2</c:v>
                </c:pt>
                <c:pt idx="51">
                  <c:v>-8.9699571691590374E-2</c:v>
                </c:pt>
                <c:pt idx="52">
                  <c:v>-8.772580268967678E-2</c:v>
                </c:pt>
                <c:pt idx="53">
                  <c:v>-7.8525150828413381E-2</c:v>
                </c:pt>
                <c:pt idx="54">
                  <c:v>-8.3457997849536447E-2</c:v>
                </c:pt>
                <c:pt idx="55">
                  <c:v>-8.8731881258486078E-2</c:v>
                </c:pt>
                <c:pt idx="56">
                  <c:v>-8.9103708767409029E-2</c:v>
                </c:pt>
                <c:pt idx="57">
                  <c:v>-0.12808427012231272</c:v>
                </c:pt>
                <c:pt idx="58">
                  <c:v>-0.11548662635998064</c:v>
                </c:pt>
                <c:pt idx="59">
                  <c:v>-0.10220995322346904</c:v>
                </c:pt>
                <c:pt idx="60">
                  <c:v>-0.1339987073248351</c:v>
                </c:pt>
                <c:pt idx="61">
                  <c:v>-0.22603248799915787</c:v>
                </c:pt>
                <c:pt idx="62">
                  <c:v>-0.29953901431281216</c:v>
                </c:pt>
                <c:pt idx="63">
                  <c:v>-0.27513261138182288</c:v>
                </c:pt>
                <c:pt idx="64">
                  <c:v>-0.32836391512591412</c:v>
                </c:pt>
                <c:pt idx="65">
                  <c:v>-0.23759653985457552</c:v>
                </c:pt>
                <c:pt idx="66">
                  <c:v>-0.27454004261608667</c:v>
                </c:pt>
                <c:pt idx="67">
                  <c:v>-0.32936122931671918</c:v>
                </c:pt>
                <c:pt idx="68">
                  <c:v>-0.34501418306131559</c:v>
                </c:pt>
                <c:pt idx="69">
                  <c:v>-0.26372418523360286</c:v>
                </c:pt>
                <c:pt idx="70">
                  <c:v>-0.29784207102072735</c:v>
                </c:pt>
                <c:pt idx="71">
                  <c:v>-0.27252189304019081</c:v>
                </c:pt>
                <c:pt idx="72">
                  <c:v>-0.2696686468323527</c:v>
                </c:pt>
                <c:pt idx="73">
                  <c:v>-0.27852837406860542</c:v>
                </c:pt>
                <c:pt idx="74">
                  <c:v>-0.23421978356336903</c:v>
                </c:pt>
                <c:pt idx="75">
                  <c:v>-0.26522257815334715</c:v>
                </c:pt>
                <c:pt idx="76">
                  <c:v>-0.28229621102744951</c:v>
                </c:pt>
                <c:pt idx="77">
                  <c:v>-0.30995414331351567</c:v>
                </c:pt>
                <c:pt idx="78">
                  <c:v>-0.29882926499584916</c:v>
                </c:pt>
                <c:pt idx="79">
                  <c:v>-0.25759614336385661</c:v>
                </c:pt>
                <c:pt idx="80">
                  <c:v>-0.29248938438552818</c:v>
                </c:pt>
                <c:pt idx="81">
                  <c:v>-0.34665780572949123</c:v>
                </c:pt>
                <c:pt idx="82">
                  <c:v>-0.33908985325371033</c:v>
                </c:pt>
                <c:pt idx="83">
                  <c:v>-0.38655569923395372</c:v>
                </c:pt>
                <c:pt idx="84">
                  <c:v>-0.32537965203164576</c:v>
                </c:pt>
                <c:pt idx="85">
                  <c:v>-0.30571963607320063</c:v>
                </c:pt>
                <c:pt idx="86">
                  <c:v>-0.27791395490182735</c:v>
                </c:pt>
                <c:pt idx="87">
                  <c:v>-0.23946803897393898</c:v>
                </c:pt>
                <c:pt idx="88">
                  <c:v>-0.23714471082017086</c:v>
                </c:pt>
                <c:pt idx="89">
                  <c:v>-0.22204641315868001</c:v>
                </c:pt>
                <c:pt idx="90">
                  <c:v>-0.2220974894015344</c:v>
                </c:pt>
                <c:pt idx="91">
                  <c:v>-0.20600008627172672</c:v>
                </c:pt>
                <c:pt idx="92">
                  <c:v>-0.15857346289647001</c:v>
                </c:pt>
                <c:pt idx="93">
                  <c:v>-0.20455853353083964</c:v>
                </c:pt>
                <c:pt idx="94">
                  <c:v>-0.17652932647566477</c:v>
                </c:pt>
                <c:pt idx="95">
                  <c:v>-0.14467565675469185</c:v>
                </c:pt>
                <c:pt idx="96">
                  <c:v>-0.13517954381695085</c:v>
                </c:pt>
                <c:pt idx="97">
                  <c:v>-0.1277327349633971</c:v>
                </c:pt>
                <c:pt idx="98">
                  <c:v>-0.15376441651340278</c:v>
                </c:pt>
                <c:pt idx="99">
                  <c:v>-0.15112825828649856</c:v>
                </c:pt>
                <c:pt idx="100">
                  <c:v>-0.16111201158866983</c:v>
                </c:pt>
                <c:pt idx="101">
                  <c:v>-0.18482573698577864</c:v>
                </c:pt>
                <c:pt idx="102">
                  <c:v>-0.12813133832484069</c:v>
                </c:pt>
                <c:pt idx="103">
                  <c:v>-8.5092835932089272E-2</c:v>
                </c:pt>
                <c:pt idx="104">
                  <c:v>-7.4676672800085386E-2</c:v>
                </c:pt>
                <c:pt idx="105">
                  <c:v>-4.9703928716447132E-2</c:v>
                </c:pt>
                <c:pt idx="106">
                  <c:v>-5.4407742511678125E-2</c:v>
                </c:pt>
                <c:pt idx="107">
                  <c:v>-3.5222840215628382E-2</c:v>
                </c:pt>
                <c:pt idx="108">
                  <c:v>-3.0247125068228131E-2</c:v>
                </c:pt>
                <c:pt idx="109">
                  <c:v>-4.0526316907015913E-2</c:v>
                </c:pt>
                <c:pt idx="110">
                  <c:v>-7.1247741340624282E-3</c:v>
                </c:pt>
                <c:pt idx="111">
                  <c:v>2.1410296057874367E-2</c:v>
                </c:pt>
                <c:pt idx="112">
                  <c:v>-3.512189386576714E-3</c:v>
                </c:pt>
                <c:pt idx="113">
                  <c:v>-2.571175291196437E-2</c:v>
                </c:pt>
                <c:pt idx="114">
                  <c:v>2.5254114615079981E-2</c:v>
                </c:pt>
                <c:pt idx="115">
                  <c:v>4.074941673916066E-2</c:v>
                </c:pt>
                <c:pt idx="116">
                  <c:v>3.3263017180941157E-2</c:v>
                </c:pt>
                <c:pt idx="117">
                  <c:v>-2.2070222919216342E-2</c:v>
                </c:pt>
                <c:pt idx="118">
                  <c:v>1.2344326945899375E-2</c:v>
                </c:pt>
                <c:pt idx="119">
                  <c:v>3.7278752925018921E-2</c:v>
                </c:pt>
                <c:pt idx="120">
                  <c:v>2.9847553663985726E-2</c:v>
                </c:pt>
                <c:pt idx="121">
                  <c:v>2.5196230196189884E-2</c:v>
                </c:pt>
                <c:pt idx="122">
                  <c:v>5.1527379921218586E-2</c:v>
                </c:pt>
                <c:pt idx="123">
                  <c:v>4.616102656444343E-2</c:v>
                </c:pt>
                <c:pt idx="124">
                  <c:v>3.9376554073984993E-2</c:v>
                </c:pt>
                <c:pt idx="125">
                  <c:v>5.1204910560394445E-2</c:v>
                </c:pt>
                <c:pt idx="126">
                  <c:v>5.7344842588425537E-2</c:v>
                </c:pt>
                <c:pt idx="127">
                  <c:v>9.3246841526041235E-2</c:v>
                </c:pt>
                <c:pt idx="128">
                  <c:v>8.3150434815619789E-2</c:v>
                </c:pt>
                <c:pt idx="129">
                  <c:v>3.539785119404204E-2</c:v>
                </c:pt>
                <c:pt idx="130">
                  <c:v>1.2318150416070095E-2</c:v>
                </c:pt>
                <c:pt idx="131">
                  <c:v>-2.0240187560600642E-3</c:v>
                </c:pt>
                <c:pt idx="132">
                  <c:v>1.5500847591179978E-2</c:v>
                </c:pt>
                <c:pt idx="133">
                  <c:v>4.4054227546753255E-2</c:v>
                </c:pt>
                <c:pt idx="134">
                  <c:v>3.9571171783275849E-2</c:v>
                </c:pt>
                <c:pt idx="135">
                  <c:v>8.2948322546929409E-2</c:v>
                </c:pt>
                <c:pt idx="136">
                  <c:v>9.8858596777291696E-2</c:v>
                </c:pt>
                <c:pt idx="137">
                  <c:v>0.10159579793108842</c:v>
                </c:pt>
                <c:pt idx="138">
                  <c:v>0.10258037496836558</c:v>
                </c:pt>
                <c:pt idx="139">
                  <c:v>0.12748663906298341</c:v>
                </c:pt>
                <c:pt idx="140">
                  <c:v>0.1472010096399079</c:v>
                </c:pt>
                <c:pt idx="141">
                  <c:v>0.14104256878945121</c:v>
                </c:pt>
                <c:pt idx="142">
                  <c:v>0.16148491522503106</c:v>
                </c:pt>
                <c:pt idx="143">
                  <c:v>0.12867381897687458</c:v>
                </c:pt>
                <c:pt idx="144">
                  <c:v>3.3627234570106301E-2</c:v>
                </c:pt>
                <c:pt idx="145">
                  <c:v>6.4076189957362972E-2</c:v>
                </c:pt>
                <c:pt idx="146">
                  <c:v>1.5705850362071061E-2</c:v>
                </c:pt>
                <c:pt idx="147">
                  <c:v>2.3043492655552944E-2</c:v>
                </c:pt>
                <c:pt idx="148">
                  <c:v>-5.2342260828041054E-3</c:v>
                </c:pt>
                <c:pt idx="149">
                  <c:v>2.759996230404127E-2</c:v>
                </c:pt>
                <c:pt idx="150">
                  <c:v>5.9115555717959012E-2</c:v>
                </c:pt>
                <c:pt idx="151">
                  <c:v>2.9605474491883443E-2</c:v>
                </c:pt>
                <c:pt idx="152">
                  <c:v>-1.7687529921045164E-2</c:v>
                </c:pt>
                <c:pt idx="153">
                  <c:v>3.9647790838518437E-2</c:v>
                </c:pt>
                <c:pt idx="154">
                  <c:v>2.3579650087007353E-2</c:v>
                </c:pt>
                <c:pt idx="155">
                  <c:v>6.7715862213385103E-2</c:v>
                </c:pt>
                <c:pt idx="156">
                  <c:v>7.3644237274804514E-2</c:v>
                </c:pt>
                <c:pt idx="157">
                  <c:v>9.5940894024056922E-2</c:v>
                </c:pt>
                <c:pt idx="158">
                  <c:v>4.6842933401886278E-2</c:v>
                </c:pt>
                <c:pt idx="159">
                  <c:v>4.3084421829479691E-2</c:v>
                </c:pt>
                <c:pt idx="160">
                  <c:v>3.9689184358136176E-2</c:v>
                </c:pt>
                <c:pt idx="161">
                  <c:v>8.0261989529518019E-2</c:v>
                </c:pt>
                <c:pt idx="162">
                  <c:v>8.6407504836245375E-2</c:v>
                </c:pt>
                <c:pt idx="163">
                  <c:v>0.10238093569279694</c:v>
                </c:pt>
                <c:pt idx="164">
                  <c:v>0.13322949398051454</c:v>
                </c:pt>
                <c:pt idx="165">
                  <c:v>0.14114217800816253</c:v>
                </c:pt>
                <c:pt idx="166">
                  <c:v>0.16626068879402944</c:v>
                </c:pt>
                <c:pt idx="167">
                  <c:v>0.17809080286477386</c:v>
                </c:pt>
                <c:pt idx="168">
                  <c:v>0.17810334152511298</c:v>
                </c:pt>
                <c:pt idx="169">
                  <c:v>0.17729328283349055</c:v>
                </c:pt>
                <c:pt idx="170">
                  <c:v>0.23254247331741706</c:v>
                </c:pt>
                <c:pt idx="171">
                  <c:v>0.19994801335249668</c:v>
                </c:pt>
                <c:pt idx="172">
                  <c:v>0.1957011403400839</c:v>
                </c:pt>
                <c:pt idx="173">
                  <c:v>0.17419418786443042</c:v>
                </c:pt>
                <c:pt idx="174">
                  <c:v>0.21676638210094379</c:v>
                </c:pt>
                <c:pt idx="175">
                  <c:v>0.22755715312451197</c:v>
                </c:pt>
                <c:pt idx="176">
                  <c:v>0.22913376691449971</c:v>
                </c:pt>
                <c:pt idx="177">
                  <c:v>0.24747764059912303</c:v>
                </c:pt>
                <c:pt idx="178">
                  <c:v>0.25038314912485027</c:v>
                </c:pt>
                <c:pt idx="179">
                  <c:v>0.25114792670249186</c:v>
                </c:pt>
                <c:pt idx="180">
                  <c:v>0.2840281969853915</c:v>
                </c:pt>
                <c:pt idx="181">
                  <c:v>0.26898873799680278</c:v>
                </c:pt>
                <c:pt idx="182">
                  <c:v>0.25280971075129521</c:v>
                </c:pt>
                <c:pt idx="183">
                  <c:v>0.28745122825521507</c:v>
                </c:pt>
                <c:pt idx="184">
                  <c:v>0.30545126348840834</c:v>
                </c:pt>
                <c:pt idx="185">
                  <c:v>0.32600700572055841</c:v>
                </c:pt>
                <c:pt idx="186">
                  <c:v>0.29999004374490701</c:v>
                </c:pt>
                <c:pt idx="187">
                  <c:v>0.30805357436011671</c:v>
                </c:pt>
                <c:pt idx="188">
                  <c:v>0.27607541471938113</c:v>
                </c:pt>
                <c:pt idx="189">
                  <c:v>0.25378800281225078</c:v>
                </c:pt>
                <c:pt idx="190">
                  <c:v>0.28747582846963926</c:v>
                </c:pt>
                <c:pt idx="191">
                  <c:v>0.32000182948793343</c:v>
                </c:pt>
                <c:pt idx="192">
                  <c:v>0.33013576552601109</c:v>
                </c:pt>
                <c:pt idx="193">
                  <c:v>0.32019767071075567</c:v>
                </c:pt>
                <c:pt idx="194">
                  <c:v>0.34014498322259268</c:v>
                </c:pt>
                <c:pt idx="195">
                  <c:v>0.36567189518043475</c:v>
                </c:pt>
                <c:pt idx="196">
                  <c:v>0.32454845396438303</c:v>
                </c:pt>
                <c:pt idx="197">
                  <c:v>0.31335636744433293</c:v>
                </c:pt>
                <c:pt idx="198">
                  <c:v>0.30475889584321791</c:v>
                </c:pt>
                <c:pt idx="199">
                  <c:v>0.30984355516871553</c:v>
                </c:pt>
                <c:pt idx="200">
                  <c:v>0.28541566978814936</c:v>
                </c:pt>
                <c:pt idx="201">
                  <c:v>0.25131717256728847</c:v>
                </c:pt>
                <c:pt idx="202">
                  <c:v>0.23761851399863576</c:v>
                </c:pt>
                <c:pt idx="203">
                  <c:v>0.2359234437062252</c:v>
                </c:pt>
                <c:pt idx="204">
                  <c:v>0.32312828907767743</c:v>
                </c:pt>
                <c:pt idx="205">
                  <c:v>0.32025404272987612</c:v>
                </c:pt>
                <c:pt idx="206">
                  <c:v>0.27661251681253907</c:v>
                </c:pt>
                <c:pt idx="207">
                  <c:v>0.30667895503266496</c:v>
                </c:pt>
                <c:pt idx="208">
                  <c:v>0.25796747860166303</c:v>
                </c:pt>
                <c:pt idx="209">
                  <c:v>0.15063345543854134</c:v>
                </c:pt>
                <c:pt idx="210">
                  <c:v>0.11561689472052405</c:v>
                </c:pt>
                <c:pt idx="211">
                  <c:v>6.2116726472271733E-2</c:v>
                </c:pt>
                <c:pt idx="212">
                  <c:v>0.1020491230350824</c:v>
                </c:pt>
                <c:pt idx="213">
                  <c:v>0.10562738635613123</c:v>
                </c:pt>
                <c:pt idx="214">
                  <c:v>7.1380678712340995E-2</c:v>
                </c:pt>
                <c:pt idx="215">
                  <c:v>0.1175817344352148</c:v>
                </c:pt>
                <c:pt idx="216">
                  <c:v>2.7488052362985238E-2</c:v>
                </c:pt>
                <c:pt idx="217">
                  <c:v>2.5270132180912563E-2</c:v>
                </c:pt>
                <c:pt idx="218">
                  <c:v>4.9626827387662775E-2</c:v>
                </c:pt>
                <c:pt idx="219">
                  <c:v>0.11940342089051681</c:v>
                </c:pt>
                <c:pt idx="220">
                  <c:v>0.13374660358386303</c:v>
                </c:pt>
                <c:pt idx="221">
                  <c:v>0.19669850912498199</c:v>
                </c:pt>
                <c:pt idx="222">
                  <c:v>0.1595533279871395</c:v>
                </c:pt>
                <c:pt idx="223">
                  <c:v>0.16236385057447844</c:v>
                </c:pt>
                <c:pt idx="224">
                  <c:v>0.10860404822300596</c:v>
                </c:pt>
                <c:pt idx="225">
                  <c:v>4.8676032399455949E-2</c:v>
                </c:pt>
                <c:pt idx="226">
                  <c:v>0.1410521913008036</c:v>
                </c:pt>
                <c:pt idx="227">
                  <c:v>0.14606603767361515</c:v>
                </c:pt>
                <c:pt idx="228">
                  <c:v>0.10018374424113952</c:v>
                </c:pt>
                <c:pt idx="229">
                  <c:v>0.14160630941931274</c:v>
                </c:pt>
                <c:pt idx="230">
                  <c:v>0.13513228780317954</c:v>
                </c:pt>
                <c:pt idx="231">
                  <c:v>0.1463388612938219</c:v>
                </c:pt>
                <c:pt idx="232">
                  <c:v>0.16529490499254429</c:v>
                </c:pt>
                <c:pt idx="233">
                  <c:v>0.20237252416167228</c:v>
                </c:pt>
                <c:pt idx="234">
                  <c:v>0.2225777838704015</c:v>
                </c:pt>
                <c:pt idx="235">
                  <c:v>0.25603644542383663</c:v>
                </c:pt>
                <c:pt idx="236">
                  <c:v>0.24840400507568772</c:v>
                </c:pt>
                <c:pt idx="237">
                  <c:v>0.27193796903623002</c:v>
                </c:pt>
                <c:pt idx="238">
                  <c:v>0.2828058911921445</c:v>
                </c:pt>
                <c:pt idx="239">
                  <c:v>0.28006371318959555</c:v>
                </c:pt>
                <c:pt idx="240">
                  <c:v>0.27333638875835242</c:v>
                </c:pt>
                <c:pt idx="241">
                  <c:v>0.29914331781104631</c:v>
                </c:pt>
                <c:pt idx="242">
                  <c:v>0.28558640691951198</c:v>
                </c:pt>
                <c:pt idx="243">
                  <c:v>0.29165038718222225</c:v>
                </c:pt>
                <c:pt idx="244">
                  <c:v>0.26566178878850999</c:v>
                </c:pt>
                <c:pt idx="245">
                  <c:v>0.24342612672028618</c:v>
                </c:pt>
                <c:pt idx="246">
                  <c:v>0.25333325216072899</c:v>
                </c:pt>
                <c:pt idx="247">
                  <c:v>0.27067301632033858</c:v>
                </c:pt>
                <c:pt idx="248">
                  <c:v>0.23066769836453171</c:v>
                </c:pt>
                <c:pt idx="249">
                  <c:v>0.21187320591654024</c:v>
                </c:pt>
                <c:pt idx="250">
                  <c:v>0.13469015082135205</c:v>
                </c:pt>
                <c:pt idx="251">
                  <c:v>0.14876882346215292</c:v>
                </c:pt>
                <c:pt idx="252">
                  <c:v>0.11232212642534978</c:v>
                </c:pt>
                <c:pt idx="253">
                  <c:v>0.15365008368617716</c:v>
                </c:pt>
                <c:pt idx="254">
                  <c:v>0.17911746310298082</c:v>
                </c:pt>
                <c:pt idx="255">
                  <c:v>0.17533736006029099</c:v>
                </c:pt>
                <c:pt idx="256">
                  <c:v>0.21019642962549678</c:v>
                </c:pt>
                <c:pt idx="257">
                  <c:v>0.20527690630266515</c:v>
                </c:pt>
                <c:pt idx="258">
                  <c:v>0.19992397943707219</c:v>
                </c:pt>
                <c:pt idx="259">
                  <c:v>0.2003151503878664</c:v>
                </c:pt>
                <c:pt idx="260">
                  <c:v>0.22521543628440455</c:v>
                </c:pt>
                <c:pt idx="261">
                  <c:v>0.23246048720716583</c:v>
                </c:pt>
                <c:pt idx="262">
                  <c:v>0.25552411526075658</c:v>
                </c:pt>
                <c:pt idx="263">
                  <c:v>0.26502785699504483</c:v>
                </c:pt>
                <c:pt idx="264">
                  <c:v>0.25549285751164463</c:v>
                </c:pt>
                <c:pt idx="265">
                  <c:v>0.24883915419779279</c:v>
                </c:pt>
                <c:pt idx="266">
                  <c:v>0.29031493806628905</c:v>
                </c:pt>
                <c:pt idx="267">
                  <c:v>0.32693224356862149</c:v>
                </c:pt>
                <c:pt idx="268">
                  <c:v>0.31860770766975</c:v>
                </c:pt>
                <c:pt idx="269">
                  <c:v>0.29561124742250167</c:v>
                </c:pt>
                <c:pt idx="270">
                  <c:v>0.31054670330582668</c:v>
                </c:pt>
                <c:pt idx="271">
                  <c:v>0.28490768485708573</c:v>
                </c:pt>
                <c:pt idx="272">
                  <c:v>0.2913735592608806</c:v>
                </c:pt>
                <c:pt idx="273">
                  <c:v>0.27638986705514368</c:v>
                </c:pt>
                <c:pt idx="274">
                  <c:v>0.27683819285298683</c:v>
                </c:pt>
                <c:pt idx="275">
                  <c:v>0.25081431910158369</c:v>
                </c:pt>
                <c:pt idx="276">
                  <c:v>0.22099573596543598</c:v>
                </c:pt>
                <c:pt idx="277">
                  <c:v>0.26740174238770398</c:v>
                </c:pt>
                <c:pt idx="278">
                  <c:v>0.29019712401616427</c:v>
                </c:pt>
                <c:pt idx="279">
                  <c:v>0.30105388332893446</c:v>
                </c:pt>
                <c:pt idx="280">
                  <c:v>0.30926873790340381</c:v>
                </c:pt>
                <c:pt idx="281">
                  <c:v>0.33365529653307968</c:v>
                </c:pt>
                <c:pt idx="282">
                  <c:v>0.30639362309246931</c:v>
                </c:pt>
                <c:pt idx="283">
                  <c:v>0.35945751165012818</c:v>
                </c:pt>
                <c:pt idx="284">
                  <c:v>0.38097038016912976</c:v>
                </c:pt>
                <c:pt idx="285">
                  <c:v>0.3925890991605161</c:v>
                </c:pt>
                <c:pt idx="286">
                  <c:v>0.41398172472212114</c:v>
                </c:pt>
                <c:pt idx="287">
                  <c:v>0.42438358880149507</c:v>
                </c:pt>
                <c:pt idx="288">
                  <c:v>0.42040037171215272</c:v>
                </c:pt>
                <c:pt idx="289">
                  <c:v>0.42423022374531949</c:v>
                </c:pt>
                <c:pt idx="290">
                  <c:v>0.41391593108822256</c:v>
                </c:pt>
                <c:pt idx="291">
                  <c:v>0.41163659910585948</c:v>
                </c:pt>
                <c:pt idx="292">
                  <c:v>0.45318693435707091</c:v>
                </c:pt>
                <c:pt idx="293">
                  <c:v>0.45856784696612296</c:v>
                </c:pt>
                <c:pt idx="294">
                  <c:v>0.43710104630520585</c:v>
                </c:pt>
                <c:pt idx="295">
                  <c:v>0.44856658415053907</c:v>
                </c:pt>
                <c:pt idx="296">
                  <c:v>0.4249934753573279</c:v>
                </c:pt>
                <c:pt idx="297">
                  <c:v>0.45574046347716934</c:v>
                </c:pt>
                <c:pt idx="298">
                  <c:v>0.42641800632029336</c:v>
                </c:pt>
                <c:pt idx="299">
                  <c:v>0.45763850628654512</c:v>
                </c:pt>
                <c:pt idx="300">
                  <c:v>0.51302076165871591</c:v>
                </c:pt>
                <c:pt idx="301">
                  <c:v>0.52901095096042394</c:v>
                </c:pt>
                <c:pt idx="302">
                  <c:v>0.56550728497792657</c:v>
                </c:pt>
                <c:pt idx="303">
                  <c:v>0.53792725695261367</c:v>
                </c:pt>
                <c:pt idx="304">
                  <c:v>0.48856401889701595</c:v>
                </c:pt>
                <c:pt idx="305">
                  <c:v>0.4925487256251373</c:v>
                </c:pt>
                <c:pt idx="306">
                  <c:v>0.46625184160584188</c:v>
                </c:pt>
                <c:pt idx="307">
                  <c:v>0.42474596440112378</c:v>
                </c:pt>
                <c:pt idx="308">
                  <c:v>0.42888404117974432</c:v>
                </c:pt>
                <c:pt idx="309">
                  <c:v>0.44227462748175128</c:v>
                </c:pt>
                <c:pt idx="310">
                  <c:v>0.51263775165847014</c:v>
                </c:pt>
                <c:pt idx="311">
                  <c:v>0.52924752556299848</c:v>
                </c:pt>
                <c:pt idx="312">
                  <c:v>0.53780328256372845</c:v>
                </c:pt>
                <c:pt idx="313">
                  <c:v>0.55363044645200565</c:v>
                </c:pt>
                <c:pt idx="314">
                  <c:v>0.54341973606632354</c:v>
                </c:pt>
                <c:pt idx="315">
                  <c:v>0.52115516162230269</c:v>
                </c:pt>
                <c:pt idx="316">
                  <c:v>0.50962639663448361</c:v>
                </c:pt>
                <c:pt idx="317">
                  <c:v>0.47102871324871831</c:v>
                </c:pt>
                <c:pt idx="318">
                  <c:v>0.5024608162266595</c:v>
                </c:pt>
                <c:pt idx="319">
                  <c:v>0.53919283469464574</c:v>
                </c:pt>
                <c:pt idx="320">
                  <c:v>0.5952662021117423</c:v>
                </c:pt>
                <c:pt idx="321">
                  <c:v>0.58250786118739839</c:v>
                </c:pt>
                <c:pt idx="322">
                  <c:v>0.57619641576343672</c:v>
                </c:pt>
                <c:pt idx="323">
                  <c:v>0.59084455874464048</c:v>
                </c:pt>
                <c:pt idx="324">
                  <c:v>0.65053021167039882</c:v>
                </c:pt>
                <c:pt idx="325">
                  <c:v>0.65767973748982089</c:v>
                </c:pt>
                <c:pt idx="326">
                  <c:v>0.64274832782136371</c:v>
                </c:pt>
                <c:pt idx="327">
                  <c:v>0.63793673644928139</c:v>
                </c:pt>
                <c:pt idx="328">
                  <c:v>0.67720518068980362</c:v>
                </c:pt>
                <c:pt idx="329">
                  <c:v>0.67878974363885192</c:v>
                </c:pt>
                <c:pt idx="330">
                  <c:v>0.67897688123074529</c:v>
                </c:pt>
                <c:pt idx="331">
                  <c:v>0.67197507600825612</c:v>
                </c:pt>
                <c:pt idx="332">
                  <c:v>0.61812284757066305</c:v>
                </c:pt>
                <c:pt idx="333">
                  <c:v>0.64438225981521691</c:v>
                </c:pt>
                <c:pt idx="334">
                  <c:v>0.69991235352240433</c:v>
                </c:pt>
                <c:pt idx="335">
                  <c:v>0.68476817777502141</c:v>
                </c:pt>
                <c:pt idx="336">
                  <c:v>0.69468893181423286</c:v>
                </c:pt>
                <c:pt idx="337">
                  <c:v>0.69005864664783467</c:v>
                </c:pt>
                <c:pt idx="338">
                  <c:v>0.60899051683814265</c:v>
                </c:pt>
                <c:pt idx="339">
                  <c:v>0.59614687915446107</c:v>
                </c:pt>
                <c:pt idx="340">
                  <c:v>0.61125591032561344</c:v>
                </c:pt>
                <c:pt idx="341">
                  <c:v>0.64927755567970191</c:v>
                </c:pt>
                <c:pt idx="342">
                  <c:v>0.67732823339725501</c:v>
                </c:pt>
                <c:pt idx="343">
                  <c:v>0.69371575822434006</c:v>
                </c:pt>
                <c:pt idx="344">
                  <c:v>0.71938793619599539</c:v>
                </c:pt>
                <c:pt idx="345">
                  <c:v>0.67861838842821109</c:v>
                </c:pt>
                <c:pt idx="346">
                  <c:v>0.67848485505478817</c:v>
                </c:pt>
                <c:pt idx="347">
                  <c:v>0.69276839101483079</c:v>
                </c:pt>
                <c:pt idx="348">
                  <c:v>0.71481351677695004</c:v>
                </c:pt>
                <c:pt idx="349">
                  <c:v>0.68221419850867493</c:v>
                </c:pt>
                <c:pt idx="350">
                  <c:v>0.71328505783203111</c:v>
                </c:pt>
                <c:pt idx="351">
                  <c:v>0.70450881928143017</c:v>
                </c:pt>
                <c:pt idx="352">
                  <c:v>0.72666682491252743</c:v>
                </c:pt>
                <c:pt idx="353">
                  <c:v>0.72241764965444499</c:v>
                </c:pt>
                <c:pt idx="354">
                  <c:v>0.7293212693328277</c:v>
                </c:pt>
                <c:pt idx="355">
                  <c:v>0.74580239213680732</c:v>
                </c:pt>
                <c:pt idx="356">
                  <c:v>0.77112142683048313</c:v>
                </c:pt>
                <c:pt idx="357">
                  <c:v>0.80203249056589976</c:v>
                </c:pt>
                <c:pt idx="358">
                  <c:v>0.80348854346441279</c:v>
                </c:pt>
                <c:pt idx="359">
                  <c:v>0.82578757036244599</c:v>
                </c:pt>
                <c:pt idx="360">
                  <c:v>0.81987999383549703</c:v>
                </c:pt>
                <c:pt idx="361">
                  <c:v>0.84336566913814104</c:v>
                </c:pt>
                <c:pt idx="362">
                  <c:v>0.8110960787185868</c:v>
                </c:pt>
                <c:pt idx="363">
                  <c:v>0.81977088968645817</c:v>
                </c:pt>
                <c:pt idx="364">
                  <c:v>0.82695589267240144</c:v>
                </c:pt>
                <c:pt idx="365">
                  <c:v>0.7812905256654612</c:v>
                </c:pt>
                <c:pt idx="366">
                  <c:v>0.74119174936551557</c:v>
                </c:pt>
                <c:pt idx="367">
                  <c:v>0.76533357623605602</c:v>
                </c:pt>
                <c:pt idx="368">
                  <c:v>0.81512513387970187</c:v>
                </c:pt>
                <c:pt idx="369">
                  <c:v>0.82898699754445571</c:v>
                </c:pt>
                <c:pt idx="370">
                  <c:v>0.85137050911881462</c:v>
                </c:pt>
                <c:pt idx="371">
                  <c:v>0.81914389873185578</c:v>
                </c:pt>
                <c:pt idx="372">
                  <c:v>0.79996379219807712</c:v>
                </c:pt>
                <c:pt idx="373">
                  <c:v>0.76655636887843737</c:v>
                </c:pt>
                <c:pt idx="374">
                  <c:v>0.68824395801966998</c:v>
                </c:pt>
                <c:pt idx="375">
                  <c:v>0.63486442372978957</c:v>
                </c:pt>
                <c:pt idx="376">
                  <c:v>0.60151230636363207</c:v>
                </c:pt>
                <c:pt idx="377">
                  <c:v>0.65331015578647866</c:v>
                </c:pt>
                <c:pt idx="378">
                  <c:v>0.76118551914135013</c:v>
                </c:pt>
                <c:pt idx="379">
                  <c:v>0.75683965088681582</c:v>
                </c:pt>
                <c:pt idx="380">
                  <c:v>0.76168853310191587</c:v>
                </c:pt>
                <c:pt idx="381">
                  <c:v>0.78291703704692517</c:v>
                </c:pt>
                <c:pt idx="382">
                  <c:v>0.78719977167625821</c:v>
                </c:pt>
                <c:pt idx="383">
                  <c:v>0.78796926677645041</c:v>
                </c:pt>
                <c:pt idx="384">
                  <c:v>0.66624453239359527</c:v>
                </c:pt>
                <c:pt idx="385">
                  <c:v>0.71612157870747772</c:v>
                </c:pt>
                <c:pt idx="386">
                  <c:v>0.76502082474885569</c:v>
                </c:pt>
                <c:pt idx="387">
                  <c:v>0.742650501902405</c:v>
                </c:pt>
                <c:pt idx="388">
                  <c:v>0.69846797491689006</c:v>
                </c:pt>
                <c:pt idx="389">
                  <c:v>0.69614444258953223</c:v>
                </c:pt>
                <c:pt idx="390">
                  <c:v>0.73446671100708727</c:v>
                </c:pt>
                <c:pt idx="391">
                  <c:v>0.69723288342590273</c:v>
                </c:pt>
                <c:pt idx="392">
                  <c:v>0.74544550017716715</c:v>
                </c:pt>
                <c:pt idx="393">
                  <c:v>0.78037117853151394</c:v>
                </c:pt>
                <c:pt idx="394">
                  <c:v>0.82850264014499042</c:v>
                </c:pt>
                <c:pt idx="395">
                  <c:v>0.8254001789911678</c:v>
                </c:pt>
                <c:pt idx="396">
                  <c:v>0.75876676936286591</c:v>
                </c:pt>
                <c:pt idx="397">
                  <c:v>0.74255747958866913</c:v>
                </c:pt>
                <c:pt idx="398">
                  <c:v>0.82138611315923638</c:v>
                </c:pt>
                <c:pt idx="399">
                  <c:v>0.79124010276897261</c:v>
                </c:pt>
                <c:pt idx="400">
                  <c:v>0.79578208288362928</c:v>
                </c:pt>
                <c:pt idx="401">
                  <c:v>0.83029784987493405</c:v>
                </c:pt>
                <c:pt idx="402">
                  <c:v>0.82788914499371336</c:v>
                </c:pt>
                <c:pt idx="403">
                  <c:v>0.86089670663518802</c:v>
                </c:pt>
                <c:pt idx="404">
                  <c:v>0.85612687340055338</c:v>
                </c:pt>
                <c:pt idx="405">
                  <c:v>0.86245815571736317</c:v>
                </c:pt>
                <c:pt idx="406">
                  <c:v>0.88479038658131692</c:v>
                </c:pt>
                <c:pt idx="407">
                  <c:v>0.88291615086977582</c:v>
                </c:pt>
                <c:pt idx="408">
                  <c:v>0.8251651671494884</c:v>
                </c:pt>
                <c:pt idx="409">
                  <c:v>0.80712778065821755</c:v>
                </c:pt>
                <c:pt idx="410">
                  <c:v>0.80092292569855772</c:v>
                </c:pt>
                <c:pt idx="411">
                  <c:v>0.80793975891079794</c:v>
                </c:pt>
                <c:pt idx="412">
                  <c:v>0.80026665974339051</c:v>
                </c:pt>
                <c:pt idx="413">
                  <c:v>0.7737236875997362</c:v>
                </c:pt>
                <c:pt idx="414">
                  <c:v>0.73662215959829003</c:v>
                </c:pt>
                <c:pt idx="415">
                  <c:v>0.76252999954619227</c:v>
                </c:pt>
                <c:pt idx="416">
                  <c:v>0.70177208081222231</c:v>
                </c:pt>
                <c:pt idx="417">
                  <c:v>0.72098784045171516</c:v>
                </c:pt>
                <c:pt idx="418">
                  <c:v>0.69902889408614421</c:v>
                </c:pt>
                <c:pt idx="419">
                  <c:v>0.69891466650485801</c:v>
                </c:pt>
                <c:pt idx="420">
                  <c:v>0.54455268710212512</c:v>
                </c:pt>
                <c:pt idx="421">
                  <c:v>0.55924040492590366</c:v>
                </c:pt>
                <c:pt idx="422">
                  <c:v>0.47918323775555338</c:v>
                </c:pt>
                <c:pt idx="423">
                  <c:v>0.5170754186430393</c:v>
                </c:pt>
                <c:pt idx="424">
                  <c:v>0.52891719944276705</c:v>
                </c:pt>
                <c:pt idx="425">
                  <c:v>0.49624696060912998</c:v>
                </c:pt>
                <c:pt idx="426">
                  <c:v>0.50639621340350072</c:v>
                </c:pt>
                <c:pt idx="427">
                  <c:v>0.56990852369479206</c:v>
                </c:pt>
                <c:pt idx="428">
                  <c:v>0.61425869373403508</c:v>
                </c:pt>
                <c:pt idx="429">
                  <c:v>0.63463300942237244</c:v>
                </c:pt>
                <c:pt idx="430">
                  <c:v>0.61713730318273896</c:v>
                </c:pt>
                <c:pt idx="431">
                  <c:v>0.63132722394260732</c:v>
                </c:pt>
                <c:pt idx="432">
                  <c:v>0.54946277782070307</c:v>
                </c:pt>
                <c:pt idx="433">
                  <c:v>0.59844131542304591</c:v>
                </c:pt>
                <c:pt idx="434">
                  <c:v>0.61424770798739248</c:v>
                </c:pt>
                <c:pt idx="435">
                  <c:v>0.61162271069493146</c:v>
                </c:pt>
                <c:pt idx="436">
                  <c:v>0.50280076864651968</c:v>
                </c:pt>
                <c:pt idx="437">
                  <c:v>0.50940545642558877</c:v>
                </c:pt>
                <c:pt idx="438">
                  <c:v>0.56852068408903778</c:v>
                </c:pt>
                <c:pt idx="439">
                  <c:v>0.55008918943699636</c:v>
                </c:pt>
                <c:pt idx="440">
                  <c:v>0.40481346551389841</c:v>
                </c:pt>
                <c:pt idx="441">
                  <c:v>0.36304216086141206</c:v>
                </c:pt>
                <c:pt idx="442">
                  <c:v>0.37711036712094792</c:v>
                </c:pt>
                <c:pt idx="443">
                  <c:v>0.40828167565793017</c:v>
                </c:pt>
                <c:pt idx="444">
                  <c:v>0.3678046008010174</c:v>
                </c:pt>
                <c:pt idx="445">
                  <c:v>0.34440419597556549</c:v>
                </c:pt>
                <c:pt idx="446">
                  <c:v>0.39163722496486653</c:v>
                </c:pt>
                <c:pt idx="447">
                  <c:v>0.40729628405717477</c:v>
                </c:pt>
                <c:pt idx="448">
                  <c:v>0.50496143903197788</c:v>
                </c:pt>
                <c:pt idx="449">
                  <c:v>0.52337253233270609</c:v>
                </c:pt>
                <c:pt idx="450">
                  <c:v>0.55761543449396234</c:v>
                </c:pt>
                <c:pt idx="451">
                  <c:v>0.53600174894241204</c:v>
                </c:pt>
                <c:pt idx="452">
                  <c:v>0.56143626648975431</c:v>
                </c:pt>
                <c:pt idx="453">
                  <c:v>0.54267059136428397</c:v>
                </c:pt>
                <c:pt idx="454">
                  <c:v>0.5886068288555879</c:v>
                </c:pt>
                <c:pt idx="455">
                  <c:v>0.60478539316561641</c:v>
                </c:pt>
                <c:pt idx="456">
                  <c:v>0.5856628013712788</c:v>
                </c:pt>
                <c:pt idx="457">
                  <c:v>0.56175105582138229</c:v>
                </c:pt>
                <c:pt idx="458">
                  <c:v>0.52893180131385487</c:v>
                </c:pt>
                <c:pt idx="459">
                  <c:v>0.53624335822756741</c:v>
                </c:pt>
                <c:pt idx="460">
                  <c:v>0.59117998607416911</c:v>
                </c:pt>
                <c:pt idx="461">
                  <c:v>0.6023834587153829</c:v>
                </c:pt>
                <c:pt idx="462">
                  <c:v>0.58665951278121042</c:v>
                </c:pt>
                <c:pt idx="463">
                  <c:v>0.56882590902200669</c:v>
                </c:pt>
                <c:pt idx="464">
                  <c:v>0.51102945772162767</c:v>
                </c:pt>
                <c:pt idx="465">
                  <c:v>0.56769021013531806</c:v>
                </c:pt>
                <c:pt idx="466">
                  <c:v>0.60465528379679889</c:v>
                </c:pt>
                <c:pt idx="467">
                  <c:v>0.64189386243567115</c:v>
                </c:pt>
                <c:pt idx="468">
                  <c:v>0.67356717459182724</c:v>
                </c:pt>
                <c:pt idx="469">
                  <c:v>0.68292531665992007</c:v>
                </c:pt>
                <c:pt idx="470">
                  <c:v>0.69214946796564947</c:v>
                </c:pt>
                <c:pt idx="471">
                  <c:v>0.7064931307214295</c:v>
                </c:pt>
                <c:pt idx="472">
                  <c:v>0.71699470593167169</c:v>
                </c:pt>
                <c:pt idx="473">
                  <c:v>0.70247258903095755</c:v>
                </c:pt>
                <c:pt idx="474">
                  <c:v>0.72113548609849465</c:v>
                </c:pt>
                <c:pt idx="475">
                  <c:v>0.68609419900078628</c:v>
                </c:pt>
                <c:pt idx="476">
                  <c:v>0.64769574465459967</c:v>
                </c:pt>
                <c:pt idx="477">
                  <c:v>0.67990526553158115</c:v>
                </c:pt>
                <c:pt idx="478">
                  <c:v>0.69855532756794925</c:v>
                </c:pt>
                <c:pt idx="479">
                  <c:v>0.68790079852626307</c:v>
                </c:pt>
                <c:pt idx="480">
                  <c:v>0.64577261055529989</c:v>
                </c:pt>
                <c:pt idx="481">
                  <c:v>0.6590351037818476</c:v>
                </c:pt>
                <c:pt idx="482">
                  <c:v>0.6379453896095435</c:v>
                </c:pt>
                <c:pt idx="483">
                  <c:v>0.6071151679349065</c:v>
                </c:pt>
                <c:pt idx="484">
                  <c:v>0.64863210718072661</c:v>
                </c:pt>
                <c:pt idx="485">
                  <c:v>0.66046954445550732</c:v>
                </c:pt>
                <c:pt idx="486">
                  <c:v>0.70518328019796206</c:v>
                </c:pt>
                <c:pt idx="487">
                  <c:v>0.69584120463139465</c:v>
                </c:pt>
                <c:pt idx="488">
                  <c:v>0.7796658357284838</c:v>
                </c:pt>
                <c:pt idx="489">
                  <c:v>0.76116743541754683</c:v>
                </c:pt>
                <c:pt idx="490">
                  <c:v>0.73789310953406884</c:v>
                </c:pt>
                <c:pt idx="491">
                  <c:v>0.73428204173585909</c:v>
                </c:pt>
                <c:pt idx="492">
                  <c:v>0.78225320932639386</c:v>
                </c:pt>
                <c:pt idx="493">
                  <c:v>0.78923269119093753</c:v>
                </c:pt>
                <c:pt idx="494">
                  <c:v>0.7777789466728946</c:v>
                </c:pt>
                <c:pt idx="495">
                  <c:v>0.80104195411025136</c:v>
                </c:pt>
                <c:pt idx="496">
                  <c:v>0.82589912995522807</c:v>
                </c:pt>
                <c:pt idx="497">
                  <c:v>0.83987517199188511</c:v>
                </c:pt>
                <c:pt idx="498">
                  <c:v>0.87965865621637462</c:v>
                </c:pt>
                <c:pt idx="499">
                  <c:v>0.88391902868041794</c:v>
                </c:pt>
                <c:pt idx="500">
                  <c:v>0.89482831095458937</c:v>
                </c:pt>
                <c:pt idx="501">
                  <c:v>0.8839300527940972</c:v>
                </c:pt>
                <c:pt idx="502">
                  <c:v>0.91404439151572658</c:v>
                </c:pt>
                <c:pt idx="503">
                  <c:v>0.88838011992143806</c:v>
                </c:pt>
                <c:pt idx="504">
                  <c:v>0.88840605367753667</c:v>
                </c:pt>
                <c:pt idx="505">
                  <c:v>0.88148904316183452</c:v>
                </c:pt>
                <c:pt idx="506">
                  <c:v>0.8436290199420704</c:v>
                </c:pt>
                <c:pt idx="507">
                  <c:v>0.85888272318985659</c:v>
                </c:pt>
                <c:pt idx="508">
                  <c:v>0.92019884314665146</c:v>
                </c:pt>
                <c:pt idx="509">
                  <c:v>0.93515651444250225</c:v>
                </c:pt>
                <c:pt idx="510">
                  <c:v>0.93393992509122592</c:v>
                </c:pt>
                <c:pt idx="511">
                  <c:v>0.9333315895471932</c:v>
                </c:pt>
                <c:pt idx="512">
                  <c:v>0.96102131542658187</c:v>
                </c:pt>
                <c:pt idx="513">
                  <c:v>0.98128774950797326</c:v>
                </c:pt>
                <c:pt idx="514">
                  <c:v>0.98168208490123821</c:v>
                </c:pt>
                <c:pt idx="515">
                  <c:v>0.98231305709568195</c:v>
                </c:pt>
                <c:pt idx="516">
                  <c:v>0.95356602991143702</c:v>
                </c:pt>
                <c:pt idx="517">
                  <c:v>0.96451966876672968</c:v>
                </c:pt>
                <c:pt idx="518">
                  <c:v>0.95255942385015446</c:v>
                </c:pt>
                <c:pt idx="519">
                  <c:v>0.99219043695794573</c:v>
                </c:pt>
                <c:pt idx="520">
                  <c:v>1.0392632936413571</c:v>
                </c:pt>
                <c:pt idx="521">
                  <c:v>1.041677279323439</c:v>
                </c:pt>
                <c:pt idx="522">
                  <c:v>1.0507123042447142</c:v>
                </c:pt>
                <c:pt idx="523">
                  <c:v>1.0135204537540932</c:v>
                </c:pt>
                <c:pt idx="524">
                  <c:v>0.97143413939365209</c:v>
                </c:pt>
                <c:pt idx="525">
                  <c:v>0.9967398903202962</c:v>
                </c:pt>
                <c:pt idx="526">
                  <c:v>1.0537893899279998</c:v>
                </c:pt>
                <c:pt idx="527">
                  <c:v>1.0474131826878006</c:v>
                </c:pt>
                <c:pt idx="528">
                  <c:v>1.0947422474584543</c:v>
                </c:pt>
                <c:pt idx="529">
                  <c:v>1.0885475315333508</c:v>
                </c:pt>
                <c:pt idx="530">
                  <c:v>1.1039430815114173</c:v>
                </c:pt>
                <c:pt idx="531">
                  <c:v>1.1242628162780859</c:v>
                </c:pt>
                <c:pt idx="532">
                  <c:v>1.1694349128067301</c:v>
                </c:pt>
                <c:pt idx="533">
                  <c:v>1.1761145183381188</c:v>
                </c:pt>
                <c:pt idx="534">
                  <c:v>1.1710331834222605</c:v>
                </c:pt>
                <c:pt idx="535">
                  <c:v>1.1748394846794938</c:v>
                </c:pt>
                <c:pt idx="536">
                  <c:v>1.1550345781877756</c:v>
                </c:pt>
                <c:pt idx="537">
                  <c:v>1.1581412462191043</c:v>
                </c:pt>
                <c:pt idx="538">
                  <c:v>1.2100709695103213</c:v>
                </c:pt>
                <c:pt idx="539">
                  <c:v>1.2205742961257058</c:v>
                </c:pt>
                <c:pt idx="540">
                  <c:v>1.2366166678039026</c:v>
                </c:pt>
                <c:pt idx="541">
                  <c:v>1.2471063415954893</c:v>
                </c:pt>
                <c:pt idx="542">
                  <c:v>1.2801429700763647</c:v>
                </c:pt>
                <c:pt idx="543">
                  <c:v>1.2851436174470945</c:v>
                </c:pt>
                <c:pt idx="544">
                  <c:v>1.4095828222599209</c:v>
                </c:pt>
                <c:pt idx="545">
                  <c:v>1.4476652610557061</c:v>
                </c:pt>
                <c:pt idx="546">
                  <c:v>1.5347388499093202</c:v>
                </c:pt>
                <c:pt idx="547">
                  <c:v>1.5846040562853272</c:v>
                </c:pt>
                <c:pt idx="548">
                  <c:v>1.407255722392974</c:v>
                </c:pt>
                <c:pt idx="549">
                  <c:v>1.2849714398376579</c:v>
                </c:pt>
                <c:pt idx="550">
                  <c:v>1.3526022124394608</c:v>
                </c:pt>
                <c:pt idx="551">
                  <c:v>1.3603068253290953</c:v>
                </c:pt>
                <c:pt idx="552">
                  <c:v>1.2519258854987694</c:v>
                </c:pt>
                <c:pt idx="553">
                  <c:v>1.3200082444251344</c:v>
                </c:pt>
                <c:pt idx="554">
                  <c:v>1.3410062773856124</c:v>
                </c:pt>
                <c:pt idx="555">
                  <c:v>1.2309438593513176</c:v>
                </c:pt>
                <c:pt idx="556">
                  <c:v>1.2036690946675064</c:v>
                </c:pt>
                <c:pt idx="557">
                  <c:v>1.1788969785326961</c:v>
                </c:pt>
                <c:pt idx="558">
                  <c:v>1.2225291147327253</c:v>
                </c:pt>
                <c:pt idx="559">
                  <c:v>1.2311912133771639</c:v>
                </c:pt>
                <c:pt idx="560">
                  <c:v>1.2298161351110761</c:v>
                </c:pt>
                <c:pt idx="561">
                  <c:v>1.2163079402494494</c:v>
                </c:pt>
                <c:pt idx="562">
                  <c:v>1.2834714991601817</c:v>
                </c:pt>
                <c:pt idx="563">
                  <c:v>1.2708274391889516</c:v>
                </c:pt>
                <c:pt idx="564">
                  <c:v>1.2445432680450872</c:v>
                </c:pt>
                <c:pt idx="565">
                  <c:v>1.2473546792420693</c:v>
                </c:pt>
                <c:pt idx="566">
                  <c:v>1.3013775656519311</c:v>
                </c:pt>
                <c:pt idx="567">
                  <c:v>1.2883927126021777</c:v>
                </c:pt>
                <c:pt idx="568">
                  <c:v>1.2032089545609961</c:v>
                </c:pt>
                <c:pt idx="569">
                  <c:v>1.1744153749783504</c:v>
                </c:pt>
                <c:pt idx="570">
                  <c:v>1.1870480523372651</c:v>
                </c:pt>
                <c:pt idx="571">
                  <c:v>1.2067344982624348</c:v>
                </c:pt>
                <c:pt idx="572">
                  <c:v>1.2297281102407633</c:v>
                </c:pt>
                <c:pt idx="573">
                  <c:v>1.2474943192798595</c:v>
                </c:pt>
                <c:pt idx="574">
                  <c:v>1.2617726816907004</c:v>
                </c:pt>
                <c:pt idx="575">
                  <c:v>1.2410512260716207</c:v>
                </c:pt>
                <c:pt idx="576">
                  <c:v>1.2113383580433896</c:v>
                </c:pt>
                <c:pt idx="577">
                  <c:v>1.2383764834295912</c:v>
                </c:pt>
                <c:pt idx="578">
                  <c:v>1.2767132294476697</c:v>
                </c:pt>
                <c:pt idx="579">
                  <c:v>1.235687935446526</c:v>
                </c:pt>
                <c:pt idx="580">
                  <c:v>1.2431950122313657</c:v>
                </c:pt>
                <c:pt idx="581">
                  <c:v>1.2759844123627153</c:v>
                </c:pt>
                <c:pt idx="582">
                  <c:v>1.243861064434995</c:v>
                </c:pt>
                <c:pt idx="583">
                  <c:v>1.2009447371588728</c:v>
                </c:pt>
                <c:pt idx="584">
                  <c:v>1.0045676182425956</c:v>
                </c:pt>
                <c:pt idx="585">
                  <c:v>1.0016425735429526</c:v>
                </c:pt>
                <c:pt idx="586">
                  <c:v>0.86790619487836174</c:v>
                </c:pt>
                <c:pt idx="587">
                  <c:v>0.93182354612994711</c:v>
                </c:pt>
                <c:pt idx="588">
                  <c:v>1.0091764869180131</c:v>
                </c:pt>
                <c:pt idx="589">
                  <c:v>0.99914815058675832</c:v>
                </c:pt>
                <c:pt idx="590">
                  <c:v>0.89257942571293847</c:v>
                </c:pt>
                <c:pt idx="591">
                  <c:v>0.95366413566228347</c:v>
                </c:pt>
                <c:pt idx="592">
                  <c:v>0.86149417414218821</c:v>
                </c:pt>
                <c:pt idx="593">
                  <c:v>0.84007450750744472</c:v>
                </c:pt>
                <c:pt idx="594">
                  <c:v>0.66522535749044986</c:v>
                </c:pt>
                <c:pt idx="595">
                  <c:v>0.70147134349486184</c:v>
                </c:pt>
                <c:pt idx="596">
                  <c:v>0.77528170057666368</c:v>
                </c:pt>
                <c:pt idx="597">
                  <c:v>0.82366669581046681</c:v>
                </c:pt>
                <c:pt idx="598">
                  <c:v>0.93836839817677431</c:v>
                </c:pt>
                <c:pt idx="599">
                  <c:v>0.94210031338427802</c:v>
                </c:pt>
                <c:pt idx="600">
                  <c:v>0.98844662024291918</c:v>
                </c:pt>
                <c:pt idx="601">
                  <c:v>0.98106477292854133</c:v>
                </c:pt>
                <c:pt idx="602">
                  <c:v>1.0518357041372153</c:v>
                </c:pt>
                <c:pt idx="603">
                  <c:v>1.0746854761825753</c:v>
                </c:pt>
                <c:pt idx="604">
                  <c:v>1.0986960838423774</c:v>
                </c:pt>
                <c:pt idx="605">
                  <c:v>1.0524475196664547</c:v>
                </c:pt>
                <c:pt idx="606">
                  <c:v>1.1117387070846152</c:v>
                </c:pt>
                <c:pt idx="607">
                  <c:v>1.0822844460949663</c:v>
                </c:pt>
                <c:pt idx="608">
                  <c:v>1.09139696733373</c:v>
                </c:pt>
                <c:pt idx="609">
                  <c:v>1.1410329916375948</c:v>
                </c:pt>
                <c:pt idx="610">
                  <c:v>1.2027706701464553</c:v>
                </c:pt>
                <c:pt idx="611">
                  <c:v>1.2012797303019638</c:v>
                </c:pt>
                <c:pt idx="612">
                  <c:v>1.2065559872668294</c:v>
                </c:pt>
                <c:pt idx="613">
                  <c:v>1.2173260838155895</c:v>
                </c:pt>
                <c:pt idx="614">
                  <c:v>1.1128311158431625</c:v>
                </c:pt>
                <c:pt idx="615">
                  <c:v>1.0826949228491367</c:v>
                </c:pt>
                <c:pt idx="616">
                  <c:v>1.0225141077024302</c:v>
                </c:pt>
                <c:pt idx="617">
                  <c:v>0.98364224924988886</c:v>
                </c:pt>
                <c:pt idx="618">
                  <c:v>1.0771903592414174</c:v>
                </c:pt>
                <c:pt idx="619">
                  <c:v>1.0797170659615651</c:v>
                </c:pt>
                <c:pt idx="620">
                  <c:v>1.1723032383423959</c:v>
                </c:pt>
                <c:pt idx="621">
                  <c:v>1.1731279196599562</c:v>
                </c:pt>
                <c:pt idx="622">
                  <c:v>1.2187510004329631</c:v>
                </c:pt>
                <c:pt idx="623">
                  <c:v>1.2210337461316159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75-42B8-A291-0B927A25A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361840"/>
        <c:axId val="268362400"/>
      </c:scatterChart>
      <c:valAx>
        <c:axId val="2683618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yyyy;@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62400"/>
        <c:crosses val="autoZero"/>
        <c:crossBetween val="midCat"/>
      </c:valAx>
      <c:valAx>
        <c:axId val="26836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6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-1</xdr:rowOff>
    </xdr:from>
    <xdr:to>
      <xdr:col>16</xdr:col>
      <xdr:colOff>869156</xdr:colOff>
      <xdr:row>31</xdr:row>
      <xdr:rowOff>202405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4AFB1E-3063-4FBB-915D-467B73284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13</xdr:row>
      <xdr:rowOff>0</xdr:rowOff>
    </xdr:from>
    <xdr:to>
      <xdr:col>24</xdr:col>
      <xdr:colOff>0</xdr:colOff>
      <xdr:row>31</xdr:row>
      <xdr:rowOff>202406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0A8594-AD9A-4109-97AD-8AD73242B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K1050"/>
  <sheetViews>
    <sheetView tabSelected="1" zoomScale="80" zoomScaleNormal="80" workbookViewId="0">
      <selection activeCell="C6" sqref="C6"/>
    </sheetView>
  </sheetViews>
  <sheetFormatPr defaultColWidth="9.140625" defaultRowHeight="12.75" customHeight="1" x14ac:dyDescent="0.2"/>
  <cols>
    <col min="1" max="1" width="3.28515625" style="6" customWidth="1"/>
    <col min="2" max="2" width="16" style="82" customWidth="1"/>
    <col min="3" max="8" width="16" style="16" customWidth="1"/>
    <col min="9" max="9" width="4.42578125" style="16" customWidth="1"/>
    <col min="10" max="10" width="18.5703125" style="17" customWidth="1"/>
    <col min="11" max="62" width="13.28515625" style="16" customWidth="1"/>
    <col min="63" max="63" width="13.28515625" style="18" customWidth="1"/>
    <col min="64" max="65" width="13.28515625" style="16" customWidth="1"/>
    <col min="66" max="66" width="13.28515625" style="18" customWidth="1"/>
    <col min="67" max="77" width="13.28515625" style="16" customWidth="1"/>
    <col min="78" max="83" width="13.28515625" style="19" customWidth="1"/>
    <col min="84" max="89" width="13.28515625" style="16" customWidth="1"/>
    <col min="90" max="16384" width="9.140625" style="16"/>
  </cols>
  <sheetData>
    <row r="1" spans="1:19" ht="28.15" customHeight="1" x14ac:dyDescent="0.2">
      <c r="A1" s="83"/>
      <c r="B1" s="83" t="s">
        <v>55</v>
      </c>
      <c r="C1" s="6"/>
      <c r="D1" s="6"/>
      <c r="E1" s="6"/>
      <c r="F1" s="6"/>
      <c r="G1" s="6"/>
      <c r="H1" s="6"/>
    </row>
    <row r="2" spans="1:19" ht="17.25" customHeight="1" x14ac:dyDescent="0.2">
      <c r="B2" s="20" t="s">
        <v>49</v>
      </c>
      <c r="C2" s="88"/>
      <c r="D2" s="87"/>
      <c r="E2" s="87"/>
      <c r="F2" s="87"/>
      <c r="G2" s="88"/>
      <c r="H2" s="88"/>
      <c r="K2" s="16" t="s">
        <v>63</v>
      </c>
      <c r="L2" s="49">
        <f>BP40</f>
        <v>251539.97983706402</v>
      </c>
      <c r="N2" s="22" t="s">
        <v>44</v>
      </c>
      <c r="O2" s="89">
        <f>_xlfn.COVARIANCE.P(BQ42:BQ665,Sheet2!C6:C629)/VAR(Sheet2!C6:C629)</f>
        <v>1.0140292402447613</v>
      </c>
      <c r="R2" s="21"/>
    </row>
    <row r="3" spans="1:19" ht="17.25" customHeight="1" x14ac:dyDescent="0.2">
      <c r="B3" s="90"/>
      <c r="C3" s="91"/>
      <c r="D3" s="90"/>
      <c r="E3" s="90"/>
      <c r="F3" s="90"/>
      <c r="G3" s="91"/>
      <c r="H3" s="91"/>
      <c r="L3" s="85">
        <f>B42</f>
        <v>39293</v>
      </c>
      <c r="R3" s="21"/>
    </row>
    <row r="4" spans="1:19" ht="17.25" customHeight="1" x14ac:dyDescent="0.2">
      <c r="B4" s="22" t="s">
        <v>46</v>
      </c>
      <c r="C4" s="92">
        <v>20000</v>
      </c>
      <c r="D4" s="22"/>
      <c r="E4" s="93"/>
      <c r="F4" s="23"/>
      <c r="G4" s="24"/>
      <c r="H4" s="6"/>
      <c r="J4" s="25"/>
      <c r="O4" s="16" t="s">
        <v>67</v>
      </c>
      <c r="P4" s="16" t="s">
        <v>68</v>
      </c>
      <c r="R4" s="16" t="s">
        <v>67</v>
      </c>
      <c r="S4" s="16" t="s">
        <v>68</v>
      </c>
    </row>
    <row r="5" spans="1:19" ht="17.25" customHeight="1" x14ac:dyDescent="0.2">
      <c r="B5" s="22" t="s">
        <v>9</v>
      </c>
      <c r="C5" s="92">
        <v>600</v>
      </c>
      <c r="D5" s="22"/>
      <c r="E5" s="94"/>
      <c r="F5" s="22"/>
      <c r="G5" s="95"/>
      <c r="H5" s="6"/>
      <c r="J5" s="26"/>
      <c r="K5" s="16" t="s">
        <v>56</v>
      </c>
      <c r="L5" s="49">
        <f>L6-ABS(L7)</f>
        <v>113253.56054367567</v>
      </c>
      <c r="N5" s="16" t="s">
        <v>64</v>
      </c>
      <c r="O5" s="46">
        <f>L9/L5</f>
        <v>1.2210337461316172</v>
      </c>
      <c r="P5" s="96">
        <f>((BP40/ABS(BI40))^(1/(COUNT(B42:B1000)/52)))-1</f>
        <v>6.875853611244942E-2</v>
      </c>
      <c r="R5" s="96">
        <f>(BP40-BP42-BV40)/(BP42+BY40)</f>
        <v>1.6789869228434169</v>
      </c>
    </row>
    <row r="6" spans="1:19" ht="17.25" customHeight="1" x14ac:dyDescent="0.2">
      <c r="B6" s="22" t="s">
        <v>45</v>
      </c>
      <c r="C6" s="97" t="s">
        <v>20</v>
      </c>
      <c r="D6" s="22"/>
      <c r="E6" s="94"/>
      <c r="F6" s="22"/>
      <c r="G6" s="6"/>
      <c r="H6" s="6"/>
      <c r="J6" s="26"/>
      <c r="K6" s="16" t="s">
        <v>57</v>
      </c>
      <c r="L6" s="49">
        <f>ABS(SUMIF(K42:P665,"&lt;0"))</f>
        <v>461376.06367779861</v>
      </c>
      <c r="N6" s="16" t="s">
        <v>65</v>
      </c>
      <c r="O6" s="86"/>
      <c r="R6" s="21"/>
    </row>
    <row r="7" spans="1:19" ht="17.25" customHeight="1" x14ac:dyDescent="0.2">
      <c r="B7" s="27"/>
      <c r="C7" s="6"/>
      <c r="D7" s="22"/>
      <c r="E7" s="94"/>
      <c r="F7" s="22"/>
      <c r="G7" s="6"/>
      <c r="H7" s="6"/>
      <c r="J7" s="26"/>
      <c r="K7" s="16" t="s">
        <v>58</v>
      </c>
      <c r="L7" s="49">
        <f>-SUMIF(K42:P665,"&gt;0")</f>
        <v>-348122.50313412293</v>
      </c>
      <c r="R7" s="21"/>
    </row>
    <row r="8" spans="1:19" ht="17.25" customHeight="1" x14ac:dyDescent="0.2">
      <c r="B8" s="27"/>
      <c r="C8" s="6"/>
      <c r="D8" s="22"/>
      <c r="E8" s="98"/>
      <c r="F8" s="22"/>
      <c r="G8" s="98"/>
      <c r="H8" s="6"/>
      <c r="J8" s="26"/>
      <c r="R8" s="21"/>
    </row>
    <row r="9" spans="1:19" ht="17.25" customHeight="1" x14ac:dyDescent="0.2">
      <c r="B9" s="8"/>
      <c r="C9" s="6"/>
      <c r="D9" s="22"/>
      <c r="E9" s="98"/>
      <c r="F9" s="22"/>
      <c r="G9" s="98"/>
      <c r="H9" s="6"/>
      <c r="K9" s="16" t="s">
        <v>59</v>
      </c>
      <c r="L9" s="49">
        <f>L10+L11</f>
        <v>138286.41929338823</v>
      </c>
      <c r="M9" s="21"/>
      <c r="N9" s="21"/>
      <c r="O9" s="21"/>
      <c r="P9" s="21"/>
      <c r="Q9" s="21"/>
      <c r="R9" s="21"/>
    </row>
    <row r="10" spans="1:19" ht="17.25" customHeight="1" x14ac:dyDescent="0.2">
      <c r="B10" s="8"/>
      <c r="C10" s="6"/>
      <c r="D10" s="22"/>
      <c r="E10" s="98"/>
      <c r="F10" s="22"/>
      <c r="G10" s="99"/>
      <c r="H10" s="6"/>
      <c r="K10" s="16" t="s">
        <v>60</v>
      </c>
      <c r="L10" s="79">
        <f>BJ40+BI40</f>
        <v>93558.894869552605</v>
      </c>
      <c r="M10" s="21"/>
      <c r="N10" s="21"/>
      <c r="O10" s="21"/>
      <c r="P10" s="21"/>
      <c r="Q10" s="21"/>
      <c r="R10" s="21"/>
    </row>
    <row r="11" spans="1:19" ht="17.25" customHeight="1" x14ac:dyDescent="0.2">
      <c r="B11" s="8"/>
      <c r="C11" s="6"/>
      <c r="D11" s="22"/>
      <c r="E11" s="93"/>
      <c r="F11" s="6"/>
      <c r="G11" s="6"/>
      <c r="H11" s="6"/>
      <c r="K11" s="16" t="s">
        <v>61</v>
      </c>
      <c r="L11" s="79">
        <f>BO40</f>
        <v>44727.524423835624</v>
      </c>
      <c r="M11" s="21"/>
      <c r="N11" s="21"/>
      <c r="O11" s="21"/>
      <c r="P11" s="21"/>
      <c r="Q11" s="21"/>
      <c r="R11" s="21"/>
    </row>
    <row r="12" spans="1:19" ht="17.25" customHeight="1" x14ac:dyDescent="0.2">
      <c r="B12" s="8"/>
      <c r="C12" s="6"/>
      <c r="D12" s="6"/>
      <c r="E12" s="28"/>
      <c r="F12" s="29"/>
      <c r="G12" s="7"/>
      <c r="H12" s="30"/>
      <c r="K12" s="16" t="s">
        <v>62</v>
      </c>
      <c r="L12" s="21"/>
      <c r="M12" s="21"/>
      <c r="N12" s="21"/>
      <c r="O12" s="21"/>
      <c r="P12" s="21"/>
      <c r="Q12" s="21"/>
      <c r="R12" s="21"/>
    </row>
    <row r="13" spans="1:19" ht="17.25" customHeight="1" x14ac:dyDescent="0.2">
      <c r="B13" s="8"/>
      <c r="C13" s="6"/>
      <c r="D13" s="6"/>
      <c r="E13" s="28"/>
      <c r="F13" s="29"/>
      <c r="G13" s="7"/>
      <c r="H13" s="30"/>
      <c r="L13" s="21"/>
      <c r="M13" s="21"/>
      <c r="N13" s="21"/>
      <c r="O13" s="21"/>
      <c r="P13" s="21"/>
      <c r="Q13" s="21"/>
      <c r="R13" s="21"/>
    </row>
    <row r="14" spans="1:19" ht="17.25" customHeight="1" x14ac:dyDescent="0.2">
      <c r="B14" s="8"/>
      <c r="C14" s="6"/>
      <c r="D14" s="6"/>
      <c r="E14" s="28"/>
      <c r="F14" s="29"/>
      <c r="G14" s="7"/>
      <c r="H14" s="30"/>
      <c r="L14" s="21"/>
      <c r="M14" s="21"/>
      <c r="N14" s="21"/>
      <c r="O14" s="21"/>
      <c r="P14" s="21"/>
      <c r="Q14" s="21"/>
      <c r="R14" s="21"/>
    </row>
    <row r="15" spans="1:19" ht="17.25" customHeight="1" x14ac:dyDescent="0.2">
      <c r="B15" s="8"/>
      <c r="C15" s="6"/>
      <c r="D15" s="6"/>
      <c r="E15" s="28"/>
      <c r="F15" s="29"/>
      <c r="G15" s="7"/>
      <c r="H15" s="30"/>
      <c r="L15" s="21"/>
      <c r="M15" s="21"/>
      <c r="N15" s="21"/>
      <c r="O15" s="21"/>
      <c r="P15" s="21"/>
      <c r="Q15" s="21"/>
      <c r="R15" s="21"/>
    </row>
    <row r="16" spans="1:19" ht="17.25" customHeight="1" x14ac:dyDescent="0.2">
      <c r="B16" s="8"/>
      <c r="C16" s="6"/>
      <c r="D16" s="6"/>
      <c r="E16" s="28"/>
      <c r="F16" s="29"/>
      <c r="G16" s="7"/>
      <c r="H16" s="30"/>
      <c r="L16" s="21"/>
      <c r="M16" s="21"/>
      <c r="N16" s="21"/>
      <c r="O16" s="21"/>
      <c r="P16" s="21"/>
      <c r="Q16" s="21"/>
      <c r="R16" s="21"/>
    </row>
    <row r="17" spans="2:18" ht="17.25" customHeight="1" x14ac:dyDescent="0.2">
      <c r="B17" s="8"/>
      <c r="C17" s="6"/>
      <c r="D17" s="6"/>
      <c r="E17" s="28"/>
      <c r="F17" s="29"/>
      <c r="G17" s="7"/>
      <c r="H17" s="30"/>
      <c r="L17" s="21"/>
      <c r="M17" s="21"/>
      <c r="N17" s="21"/>
      <c r="O17" s="21"/>
      <c r="P17" s="21"/>
      <c r="Q17" s="21"/>
      <c r="R17" s="21"/>
    </row>
    <row r="18" spans="2:18" ht="17.25" customHeight="1" x14ac:dyDescent="0.2">
      <c r="B18" s="8"/>
      <c r="C18" s="6"/>
      <c r="D18" s="6"/>
      <c r="E18" s="28"/>
      <c r="F18" s="29"/>
      <c r="G18" s="7"/>
      <c r="H18" s="30"/>
      <c r="L18" s="21"/>
      <c r="M18" s="21"/>
      <c r="N18" s="21"/>
      <c r="O18" s="21"/>
      <c r="P18" s="21"/>
      <c r="Q18" s="21"/>
      <c r="R18" s="21"/>
    </row>
    <row r="19" spans="2:18" ht="17.25" customHeight="1" x14ac:dyDescent="0.2">
      <c r="B19" s="8"/>
      <c r="C19" s="6"/>
      <c r="D19" s="6"/>
      <c r="E19" s="28"/>
      <c r="F19" s="29"/>
      <c r="G19" s="7"/>
      <c r="H19" s="30"/>
      <c r="L19" s="21"/>
      <c r="M19" s="21"/>
      <c r="N19" s="21"/>
      <c r="O19" s="21"/>
      <c r="P19" s="21"/>
      <c r="Q19" s="21"/>
      <c r="R19" s="21"/>
    </row>
    <row r="20" spans="2:18" ht="17.25" customHeight="1" x14ac:dyDescent="0.2">
      <c r="B20" s="8"/>
      <c r="C20" s="6"/>
      <c r="D20" s="6"/>
      <c r="E20" s="28"/>
      <c r="F20" s="29"/>
      <c r="G20" s="7"/>
      <c r="H20" s="30"/>
      <c r="L20" s="21"/>
      <c r="M20" s="21"/>
      <c r="N20" s="21"/>
      <c r="O20" s="21"/>
      <c r="P20" s="21"/>
      <c r="Q20" s="21"/>
      <c r="R20" s="21"/>
    </row>
    <row r="21" spans="2:18" ht="17.25" customHeight="1" x14ac:dyDescent="0.2">
      <c r="B21" s="8"/>
      <c r="C21" s="6"/>
      <c r="D21" s="6"/>
      <c r="E21" s="28"/>
      <c r="F21" s="29"/>
      <c r="G21" s="7"/>
      <c r="H21" s="30"/>
      <c r="L21" s="21"/>
      <c r="M21" s="21"/>
      <c r="N21" s="21"/>
      <c r="O21" s="21"/>
      <c r="P21" s="21"/>
      <c r="Q21" s="21"/>
      <c r="R21" s="21"/>
    </row>
    <row r="22" spans="2:18" ht="17.25" customHeight="1" x14ac:dyDescent="0.2">
      <c r="B22" s="8"/>
      <c r="C22" s="6"/>
      <c r="D22" s="6"/>
      <c r="E22" s="28"/>
      <c r="F22" s="29"/>
      <c r="G22" s="7"/>
      <c r="H22" s="30"/>
      <c r="L22" s="21"/>
      <c r="M22" s="21"/>
      <c r="N22" s="21"/>
      <c r="O22" s="21"/>
      <c r="P22" s="21"/>
      <c r="Q22" s="21"/>
      <c r="R22" s="21"/>
    </row>
    <row r="23" spans="2:18" ht="17.25" customHeight="1" x14ac:dyDescent="0.2">
      <c r="B23" s="8"/>
      <c r="C23" s="6"/>
      <c r="D23" s="6"/>
      <c r="E23" s="28"/>
      <c r="F23" s="29"/>
      <c r="G23" s="7"/>
      <c r="H23" s="30"/>
      <c r="L23" s="21"/>
      <c r="M23" s="21"/>
      <c r="N23" s="21"/>
      <c r="O23" s="21"/>
      <c r="P23" s="21"/>
      <c r="Q23" s="21"/>
      <c r="R23" s="21"/>
    </row>
    <row r="24" spans="2:18" ht="17.25" customHeight="1" x14ac:dyDescent="0.2">
      <c r="B24" s="8"/>
      <c r="C24" s="6"/>
      <c r="D24" s="6"/>
      <c r="E24" s="28"/>
      <c r="F24" s="29"/>
      <c r="G24" s="7"/>
      <c r="H24" s="30"/>
      <c r="L24" s="21"/>
      <c r="M24" s="21"/>
      <c r="N24" s="21"/>
      <c r="O24" s="21"/>
      <c r="P24" s="21"/>
      <c r="Q24" s="21"/>
      <c r="R24" s="21"/>
    </row>
    <row r="25" spans="2:18" ht="17.25" customHeight="1" x14ac:dyDescent="0.2">
      <c r="B25" s="8"/>
      <c r="C25" s="6"/>
      <c r="D25" s="6"/>
      <c r="E25" s="28"/>
      <c r="F25" s="29"/>
      <c r="G25" s="7"/>
      <c r="H25" s="30"/>
      <c r="L25" s="21"/>
      <c r="M25" s="21"/>
      <c r="N25" s="21"/>
      <c r="O25" s="21"/>
      <c r="P25" s="21"/>
      <c r="Q25" s="21"/>
      <c r="R25" s="21"/>
    </row>
    <row r="26" spans="2:18" ht="17.25" customHeight="1" x14ac:dyDescent="0.2">
      <c r="B26" s="31" t="s">
        <v>36</v>
      </c>
      <c r="C26" s="100"/>
      <c r="D26" s="100"/>
      <c r="E26" s="100"/>
      <c r="F26" s="100"/>
      <c r="G26" s="100"/>
      <c r="H26" s="100"/>
      <c r="L26" s="21"/>
      <c r="M26" s="21"/>
      <c r="N26" s="21"/>
      <c r="O26" s="21"/>
      <c r="P26" s="21"/>
      <c r="Q26" s="21"/>
      <c r="R26" s="21"/>
    </row>
    <row r="27" spans="2:18" ht="17.25" customHeight="1" x14ac:dyDescent="0.2">
      <c r="B27" s="22" t="s">
        <v>29</v>
      </c>
      <c r="C27" s="32" t="s">
        <v>0</v>
      </c>
      <c r="D27" s="32" t="s">
        <v>1</v>
      </c>
      <c r="E27" s="32" t="s">
        <v>2</v>
      </c>
      <c r="F27" s="32" t="s">
        <v>3</v>
      </c>
      <c r="G27" s="32" t="s">
        <v>4</v>
      </c>
      <c r="H27" s="32" t="s">
        <v>5</v>
      </c>
      <c r="L27" s="21"/>
      <c r="M27" s="33"/>
      <c r="N27" s="21"/>
      <c r="O27" s="21"/>
      <c r="P27" s="21"/>
      <c r="Q27" s="21"/>
      <c r="R27" s="21"/>
    </row>
    <row r="28" spans="2:18" ht="17.25" customHeight="1" x14ac:dyDescent="0.2">
      <c r="B28" s="34" t="s">
        <v>50</v>
      </c>
      <c r="C28" s="101">
        <f t="shared" ref="C28:H28" si="0">ABS((AVERAGEIF(CF42:CF533,"&lt;&gt;0")))</f>
        <v>795.01169335742861</v>
      </c>
      <c r="D28" s="101">
        <f t="shared" si="0"/>
        <v>214.28616418579639</v>
      </c>
      <c r="E28" s="101">
        <f t="shared" si="0"/>
        <v>195.40595532651025</v>
      </c>
      <c r="F28" s="101">
        <f t="shared" si="0"/>
        <v>188.06279244823801</v>
      </c>
      <c r="G28" s="101">
        <f t="shared" si="0"/>
        <v>684.76339714566632</v>
      </c>
      <c r="H28" s="101">
        <f t="shared" si="0"/>
        <v>515.27151357430967</v>
      </c>
      <c r="L28" s="21"/>
      <c r="M28" s="21"/>
      <c r="N28" s="21"/>
      <c r="O28" s="21"/>
      <c r="P28" s="21"/>
      <c r="Q28" s="21"/>
      <c r="R28" s="21"/>
    </row>
    <row r="29" spans="2:18" ht="17.25" customHeight="1" x14ac:dyDescent="0.2">
      <c r="B29" s="34" t="s">
        <v>47</v>
      </c>
      <c r="C29" s="102">
        <f t="shared" ref="C29:H29" si="1">AVERAGEIF(BZ42:BZ533,"&lt;&gt;0")</f>
        <v>10.706786597433332</v>
      </c>
      <c r="D29" s="102">
        <f t="shared" si="1"/>
        <v>3.6830937335065346</v>
      </c>
      <c r="E29" s="102">
        <f t="shared" si="1"/>
        <v>3.5791541640207907</v>
      </c>
      <c r="F29" s="102">
        <f t="shared" si="1"/>
        <v>2.7978189777701439</v>
      </c>
      <c r="G29" s="102">
        <f t="shared" si="1"/>
        <v>19.7526962623994</v>
      </c>
      <c r="H29" s="102">
        <f t="shared" si="1"/>
        <v>13.559351576489941</v>
      </c>
    </row>
    <row r="30" spans="2:18" ht="17.25" customHeight="1" x14ac:dyDescent="0.2">
      <c r="B30" s="34" t="s">
        <v>48</v>
      </c>
      <c r="C30" s="101">
        <f>C28/C29</f>
        <v>74.253062403243518</v>
      </c>
      <c r="D30" s="101">
        <f t="shared" ref="D30:H30" si="2">D28/D29</f>
        <v>58.181023805164642</v>
      </c>
      <c r="E30" s="101">
        <f t="shared" si="2"/>
        <v>54.595568218551641</v>
      </c>
      <c r="F30" s="101">
        <f t="shared" si="2"/>
        <v>67.21764129219099</v>
      </c>
      <c r="G30" s="101">
        <f t="shared" si="2"/>
        <v>34.666831709914966</v>
      </c>
      <c r="H30" s="101">
        <f t="shared" si="2"/>
        <v>38.001191330396644</v>
      </c>
    </row>
    <row r="31" spans="2:18" ht="17.25" customHeight="1" x14ac:dyDescent="0.2">
      <c r="B31" s="34" t="s">
        <v>12</v>
      </c>
      <c r="C31" s="101">
        <f>C37</f>
        <v>77.831077252032472</v>
      </c>
      <c r="D31" s="101">
        <f t="shared" ref="D31:H31" si="3">D37</f>
        <v>63.830792623983747</v>
      </c>
      <c r="E31" s="101">
        <f t="shared" si="3"/>
        <v>63.394837406504067</v>
      </c>
      <c r="F31" s="101">
        <f t="shared" si="3"/>
        <v>76.877316902438963</v>
      </c>
      <c r="G31" s="101">
        <f t="shared" si="3"/>
        <v>36.556666648373955</v>
      </c>
      <c r="H31" s="101">
        <f t="shared" si="3"/>
        <v>40.316646361788585</v>
      </c>
    </row>
    <row r="32" spans="2:18" ht="17.25" customHeight="1" x14ac:dyDescent="0.2">
      <c r="B32" s="34" t="s">
        <v>35</v>
      </c>
      <c r="C32" s="35">
        <f>C30-C31</f>
        <v>-3.5780148487889534</v>
      </c>
      <c r="D32" s="35">
        <f t="shared" ref="D32:H32" si="4">D30-D31</f>
        <v>-5.6497688188191049</v>
      </c>
      <c r="E32" s="35">
        <f t="shared" si="4"/>
        <v>-8.7992691879524259</v>
      </c>
      <c r="F32" s="35">
        <f t="shared" si="4"/>
        <v>-9.6596756102479731</v>
      </c>
      <c r="G32" s="35">
        <f t="shared" si="4"/>
        <v>-1.8898349384589892</v>
      </c>
      <c r="H32" s="35">
        <f t="shared" si="4"/>
        <v>-2.3154550313919415</v>
      </c>
    </row>
    <row r="33" spans="1:89" ht="17.25" customHeight="1" x14ac:dyDescent="0.2">
      <c r="B33" s="8"/>
      <c r="C33" s="6"/>
      <c r="D33" s="6"/>
      <c r="E33" s="6"/>
      <c r="F33" s="6"/>
      <c r="G33" s="6"/>
      <c r="H33" s="6"/>
    </row>
    <row r="34" spans="1:89" ht="17.25" customHeight="1" x14ac:dyDescent="0.2">
      <c r="A34" s="8"/>
      <c r="B34" s="36"/>
      <c r="C34" s="37"/>
      <c r="D34" s="38"/>
      <c r="E34" s="38"/>
      <c r="F34" s="38"/>
      <c r="G34" s="38"/>
      <c r="H34" s="38"/>
    </row>
    <row r="35" spans="1:89" ht="17.45" customHeight="1" x14ac:dyDescent="0.2">
      <c r="B35" s="29" t="s">
        <v>29</v>
      </c>
      <c r="C35" s="39" t="s">
        <v>0</v>
      </c>
      <c r="D35" s="39" t="s">
        <v>1</v>
      </c>
      <c r="E35" s="39" t="s">
        <v>2</v>
      </c>
      <c r="F35" s="39" t="s">
        <v>3</v>
      </c>
      <c r="G35" s="39" t="s">
        <v>4</v>
      </c>
      <c r="H35" s="40" t="s">
        <v>5</v>
      </c>
      <c r="I35" s="41"/>
      <c r="X35" s="41"/>
      <c r="Y35" s="41"/>
      <c r="Z35" s="41"/>
      <c r="AA35" s="41"/>
      <c r="AB35" s="41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</row>
    <row r="36" spans="1:89" ht="17.45" customHeight="1" x14ac:dyDescent="0.2">
      <c r="B36" s="8" t="s">
        <v>13</v>
      </c>
      <c r="C36" s="42">
        <v>0.35</v>
      </c>
      <c r="D36" s="42">
        <v>0.1</v>
      </c>
      <c r="E36" s="42">
        <v>0.08</v>
      </c>
      <c r="F36" s="42">
        <v>7.0000000000000007E-2</v>
      </c>
      <c r="G36" s="42">
        <v>0.25</v>
      </c>
      <c r="H36" s="43">
        <v>0.15</v>
      </c>
      <c r="I36" s="44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4"/>
      <c r="BS36" s="44"/>
      <c r="BV36" s="46"/>
    </row>
    <row r="37" spans="1:89" ht="17.45" customHeight="1" x14ac:dyDescent="0.2">
      <c r="B37" s="29" t="s">
        <v>10</v>
      </c>
      <c r="C37" s="47">
        <f>AVERAGE(BT42:BT87,C88:C533)</f>
        <v>77.831077252032472</v>
      </c>
      <c r="D37" s="47">
        <f>AVERAGE(D42:D533)</f>
        <v>63.830792623983747</v>
      </c>
      <c r="E37" s="47">
        <f>AVERAGE(E42:E533)</f>
        <v>63.394837406504067</v>
      </c>
      <c r="F37" s="47">
        <f>AVERAGE(F42:F533)</f>
        <v>76.877316902438963</v>
      </c>
      <c r="G37" s="47">
        <f>AVERAGE(G42:G533)</f>
        <v>36.556666648373955</v>
      </c>
      <c r="H37" s="47">
        <f>AVERAGE(BU42:BU87,H88:H533)</f>
        <v>40.316646361788585</v>
      </c>
      <c r="I37" s="44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4"/>
      <c r="BS37" s="44"/>
      <c r="BV37" s="46"/>
    </row>
    <row r="38" spans="1:89" ht="17.45" customHeight="1" x14ac:dyDescent="0.2">
      <c r="B38" s="29"/>
      <c r="C38" s="48"/>
      <c r="D38" s="48"/>
      <c r="E38" s="48"/>
      <c r="F38" s="48"/>
      <c r="G38" s="48"/>
      <c r="H38" s="48"/>
      <c r="I38" s="44"/>
      <c r="L38" s="49"/>
      <c r="P38" s="49"/>
      <c r="Q38" s="49"/>
      <c r="R38" s="45"/>
      <c r="S38" s="45"/>
      <c r="T38" s="45"/>
      <c r="U38" s="45"/>
      <c r="V38" s="45"/>
      <c r="W38" s="45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4"/>
      <c r="BS38" s="44"/>
    </row>
    <row r="39" spans="1:89" ht="17.45" customHeight="1" x14ac:dyDescent="0.2">
      <c r="B39" s="6"/>
      <c r="C39" s="48"/>
      <c r="D39" s="48"/>
      <c r="E39" s="48"/>
      <c r="F39" s="48"/>
      <c r="G39" s="48"/>
      <c r="H39" s="48"/>
      <c r="I39" s="50"/>
      <c r="X39" s="51"/>
      <c r="Y39" s="51"/>
      <c r="Z39" s="51"/>
      <c r="AA39" s="51"/>
      <c r="AB39" s="51"/>
    </row>
    <row r="40" spans="1:89" s="61" customFormat="1" ht="18.75" customHeight="1" thickBot="1" x14ac:dyDescent="0.25">
      <c r="A40" s="84"/>
      <c r="B40" s="53" t="s">
        <v>6</v>
      </c>
      <c r="C40" s="52"/>
      <c r="D40" s="52"/>
      <c r="E40" s="52"/>
      <c r="F40" s="52"/>
      <c r="G40" s="52"/>
      <c r="H40" s="52"/>
      <c r="I40" s="50"/>
      <c r="J40" s="54" t="s">
        <v>8</v>
      </c>
      <c r="K40" s="55">
        <f>ABS(SUM(K42:K1000))</f>
        <v>23808.703127048771</v>
      </c>
      <c r="L40" s="55">
        <f t="shared" ref="L40:P40" si="5">ABS(SUM(L42:L1000))</f>
        <v>9103.0048044158884</v>
      </c>
      <c r="M40" s="55">
        <f t="shared" si="5"/>
        <v>6454.2596311970665</v>
      </c>
      <c r="N40" s="55">
        <f t="shared" si="5"/>
        <v>5994.0625324528964</v>
      </c>
      <c r="O40" s="55">
        <f t="shared" si="5"/>
        <v>42316.581067083833</v>
      </c>
      <c r="P40" s="55">
        <f t="shared" si="5"/>
        <v>25576.949381477374</v>
      </c>
      <c r="Q40" s="55"/>
      <c r="R40" s="56">
        <f>SUM(R42:R1000)</f>
        <v>389.18480581057668</v>
      </c>
      <c r="S40" s="56">
        <f t="shared" ref="S40:W40" si="6">SUM(S42:S1000)</f>
        <v>183.49765284652821</v>
      </c>
      <c r="T40" s="56">
        <f t="shared" si="6"/>
        <v>146.22666678073668</v>
      </c>
      <c r="U40" s="56">
        <f t="shared" si="6"/>
        <v>109.62704835698983</v>
      </c>
      <c r="V40" s="56">
        <f t="shared" si="6"/>
        <v>1230.9342524054873</v>
      </c>
      <c r="W40" s="56">
        <f t="shared" si="6"/>
        <v>673.44753200566061</v>
      </c>
      <c r="X40" s="57">
        <f>X665</f>
        <v>474.00851247443109</v>
      </c>
      <c r="Y40" s="57">
        <f t="shared" ref="Y40:AC40" si="7">Y665</f>
        <v>183.49765284652821</v>
      </c>
      <c r="Z40" s="57">
        <f t="shared" si="7"/>
        <v>146.22666678073668</v>
      </c>
      <c r="AA40" s="57">
        <f t="shared" si="7"/>
        <v>109.62704835698983</v>
      </c>
      <c r="AB40" s="57">
        <f t="shared" si="7"/>
        <v>1230.9342524054873</v>
      </c>
      <c r="AC40" s="57">
        <f t="shared" si="7"/>
        <v>723.5582197731394</v>
      </c>
      <c r="AD40" s="57"/>
      <c r="AE40" s="57"/>
      <c r="AF40" s="57"/>
      <c r="AG40" s="57"/>
      <c r="AH40" s="57"/>
      <c r="AI40" s="57"/>
      <c r="AJ40" s="58">
        <f>SUM(AJ42:AJ1000)</f>
        <v>9281.1035487909721</v>
      </c>
      <c r="AK40" s="58">
        <f t="shared" ref="AK40:AO40" si="8">SUM(AK42:AK1000)</f>
        <v>3461.9335648662559</v>
      </c>
      <c r="AL40" s="58">
        <f t="shared" si="8"/>
        <v>2218.3018564695722</v>
      </c>
      <c r="AM40" s="58">
        <f t="shared" si="8"/>
        <v>2043.589155521378</v>
      </c>
      <c r="AN40" s="58">
        <f t="shared" si="8"/>
        <v>10494.441848640743</v>
      </c>
      <c r="AO40" s="58">
        <f t="shared" si="8"/>
        <v>5251.1905015141701</v>
      </c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>
        <f>BB665</f>
        <v>574.2627454376327</v>
      </c>
      <c r="BC40" s="57">
        <f t="shared" ref="BC40:BG40" si="9">BC665</f>
        <v>231.01006656592475</v>
      </c>
      <c r="BD40" s="57">
        <f t="shared" si="9"/>
        <v>176.23211441657421</v>
      </c>
      <c r="BE40" s="57">
        <f t="shared" si="9"/>
        <v>132.52070525518167</v>
      </c>
      <c r="BF40" s="57">
        <f t="shared" si="9"/>
        <v>1511.507685162695</v>
      </c>
      <c r="BG40" s="57">
        <f t="shared" si="9"/>
        <v>860.23196782818457</v>
      </c>
      <c r="BH40" s="59">
        <f>SUM(BH42:BH1000)</f>
        <v>32750.560475803086</v>
      </c>
      <c r="BI40" s="58">
        <f t="shared" ref="BI40:BQ40" si="10">BI665</f>
        <v>-113253.56054367579</v>
      </c>
      <c r="BJ40" s="58">
        <f t="shared" si="10"/>
        <v>206812.4554132284</v>
      </c>
      <c r="BK40" s="60">
        <f t="shared" si="10"/>
        <v>0.82610113466120993</v>
      </c>
      <c r="BL40" s="58">
        <f t="shared" si="10"/>
        <v>32750.560475803086</v>
      </c>
      <c r="BM40" s="58">
        <f t="shared" si="10"/>
        <v>239563.01588903149</v>
      </c>
      <c r="BN40" s="60">
        <f t="shared" si="10"/>
        <v>1.1152802149354497</v>
      </c>
      <c r="BO40" s="58">
        <f t="shared" si="10"/>
        <v>44727.524423835624</v>
      </c>
      <c r="BP40" s="58">
        <f t="shared" si="10"/>
        <v>251539.97983706402</v>
      </c>
      <c r="BQ40" s="60">
        <f t="shared" si="10"/>
        <v>1.2210337461316159</v>
      </c>
      <c r="BS40" s="62" t="s">
        <v>43</v>
      </c>
      <c r="BV40" s="58">
        <f>SUM(BV42:BV1000)</f>
        <v>80503.000067872606</v>
      </c>
      <c r="BW40" s="63">
        <f>MAX(BW42:BW1000)</f>
        <v>4360</v>
      </c>
      <c r="BY40" s="57">
        <f>SUM(BY42:BY1000)</f>
        <v>69957.210335745534</v>
      </c>
      <c r="BZ40" s="64"/>
      <c r="CA40" s="64"/>
      <c r="CB40" s="64"/>
      <c r="CC40" s="64"/>
      <c r="CD40" s="64"/>
      <c r="CE40" s="64"/>
    </row>
    <row r="41" spans="1:89" s="65" customFormat="1" ht="12.75" customHeight="1" x14ac:dyDescent="0.2">
      <c r="A41" s="6"/>
      <c r="B41" s="66"/>
      <c r="I41" s="16"/>
      <c r="J41" s="67" t="s">
        <v>32</v>
      </c>
      <c r="K41" s="68" t="s">
        <v>39</v>
      </c>
      <c r="L41" s="69"/>
      <c r="M41" s="69"/>
      <c r="N41" s="69"/>
      <c r="O41" s="69"/>
      <c r="P41" s="69"/>
      <c r="Q41" s="69" t="s">
        <v>66</v>
      </c>
      <c r="R41" s="68" t="s">
        <v>42</v>
      </c>
      <c r="S41" s="69"/>
      <c r="T41" s="69"/>
      <c r="U41" s="69"/>
      <c r="V41" s="69"/>
      <c r="W41" s="69"/>
      <c r="X41" s="68" t="s">
        <v>21</v>
      </c>
      <c r="Y41" s="69"/>
      <c r="Z41" s="69"/>
      <c r="AA41" s="69"/>
      <c r="AB41" s="69"/>
      <c r="AC41" s="69"/>
      <c r="AD41" s="68" t="s">
        <v>25</v>
      </c>
      <c r="AE41" s="68"/>
      <c r="AF41" s="68"/>
      <c r="AG41" s="68"/>
      <c r="AH41" s="68"/>
      <c r="AI41" s="70"/>
      <c r="AJ41" s="70" t="s">
        <v>27</v>
      </c>
      <c r="AK41" s="68"/>
      <c r="AL41" s="68"/>
      <c r="AM41" s="68"/>
      <c r="AN41" s="68"/>
      <c r="AO41" s="68"/>
      <c r="AP41" s="68" t="s">
        <v>38</v>
      </c>
      <c r="AQ41" s="68"/>
      <c r="AR41" s="68"/>
      <c r="AS41" s="68"/>
      <c r="AT41" s="68"/>
      <c r="AU41" s="68"/>
      <c r="AV41" s="71" t="s">
        <v>37</v>
      </c>
      <c r="AW41" s="68"/>
      <c r="AX41" s="68"/>
      <c r="AY41" s="68"/>
      <c r="AZ41" s="68"/>
      <c r="BA41" s="68"/>
      <c r="BB41" s="71" t="s">
        <v>23</v>
      </c>
      <c r="BC41" s="68"/>
      <c r="BD41" s="68"/>
      <c r="BE41" s="68"/>
      <c r="BF41" s="68"/>
      <c r="BG41" s="68"/>
      <c r="BH41" s="69" t="s">
        <v>27</v>
      </c>
      <c r="BI41" s="72" t="s">
        <v>28</v>
      </c>
      <c r="BJ41" s="72" t="s">
        <v>7</v>
      </c>
      <c r="BK41" s="72" t="s">
        <v>24</v>
      </c>
      <c r="BL41" s="73" t="s">
        <v>26</v>
      </c>
      <c r="BM41" s="73" t="s">
        <v>22</v>
      </c>
      <c r="BN41" s="73" t="s">
        <v>24</v>
      </c>
      <c r="BO41" s="74" t="s">
        <v>26</v>
      </c>
      <c r="BP41" s="74" t="s">
        <v>22</v>
      </c>
      <c r="BQ41" s="74" t="s">
        <v>24</v>
      </c>
      <c r="BR41" s="71"/>
      <c r="BS41" s="68" t="s">
        <v>11</v>
      </c>
      <c r="BT41" s="69" t="s">
        <v>0</v>
      </c>
      <c r="BU41" s="69" t="s">
        <v>5</v>
      </c>
      <c r="BV41" s="69" t="s">
        <v>31</v>
      </c>
      <c r="BW41" s="69" t="s">
        <v>51</v>
      </c>
      <c r="BX41" s="69" t="s">
        <v>52</v>
      </c>
      <c r="BY41" s="69" t="s">
        <v>53</v>
      </c>
      <c r="BZ41" s="75" t="s">
        <v>40</v>
      </c>
      <c r="CA41" s="76"/>
      <c r="CB41" s="76"/>
      <c r="CC41" s="76"/>
      <c r="CD41" s="76"/>
      <c r="CE41" s="76"/>
      <c r="CF41" s="71" t="s">
        <v>41</v>
      </c>
      <c r="CG41" s="71"/>
      <c r="CH41" s="71"/>
      <c r="CI41" s="71"/>
      <c r="CJ41" s="71"/>
      <c r="CK41" s="71"/>
    </row>
    <row r="42" spans="1:89" ht="12.75" customHeight="1" x14ac:dyDescent="0.2">
      <c r="B42" s="77">
        <v>39293</v>
      </c>
      <c r="C42" s="49">
        <v>142.38000500000001</v>
      </c>
      <c r="D42" s="49">
        <v>67.199996999999996</v>
      </c>
      <c r="E42" s="49">
        <v>55.889999000000003</v>
      </c>
      <c r="F42" s="49">
        <v>67.279999000000004</v>
      </c>
      <c r="G42" s="49">
        <v>47.169998</v>
      </c>
      <c r="H42" s="49">
        <v>90.199996999999996</v>
      </c>
      <c r="J42" s="78">
        <f>C4</f>
        <v>20000</v>
      </c>
      <c r="K42" s="79">
        <f t="shared" ref="K42:P42" si="11">-$J$42*C36</f>
        <v>-7000</v>
      </c>
      <c r="L42" s="79">
        <f t="shared" si="11"/>
        <v>-2000</v>
      </c>
      <c r="M42" s="79">
        <f t="shared" si="11"/>
        <v>-1600</v>
      </c>
      <c r="N42" s="79">
        <f t="shared" si="11"/>
        <v>-1400.0000000000002</v>
      </c>
      <c r="O42" s="79">
        <f t="shared" si="11"/>
        <v>-5000</v>
      </c>
      <c r="P42" s="79">
        <f t="shared" si="11"/>
        <v>-3000</v>
      </c>
      <c r="Q42" s="79"/>
      <c r="R42" s="80">
        <f t="shared" ref="R42:R105" si="12">-((K42)/C42)</f>
        <v>49.164206729730061</v>
      </c>
      <c r="S42" s="80">
        <f t="shared" ref="S42:S105" si="13">-((L42)/D42)</f>
        <v>29.761906090561286</v>
      </c>
      <c r="T42" s="80">
        <f t="shared" ref="T42:T105" si="14">-(M42)/E42</f>
        <v>28.627661990117407</v>
      </c>
      <c r="U42" s="80">
        <f t="shared" ref="U42:U105" si="15">-(N42)/F42</f>
        <v>20.808561545906091</v>
      </c>
      <c r="V42" s="80">
        <f t="shared" ref="V42:V105" si="16">-(O42)/G42</f>
        <v>105.99958049606023</v>
      </c>
      <c r="W42" s="80">
        <f t="shared" ref="W42:W105" si="17">-(P42)/H42</f>
        <v>33.259424609515236</v>
      </c>
      <c r="X42" s="80">
        <f t="shared" ref="X42:AC42" si="18">R42</f>
        <v>49.164206729730061</v>
      </c>
      <c r="Y42" s="80">
        <f t="shared" si="18"/>
        <v>29.761906090561286</v>
      </c>
      <c r="Z42" s="80">
        <f t="shared" si="18"/>
        <v>28.627661990117407</v>
      </c>
      <c r="AA42" s="80">
        <f t="shared" si="18"/>
        <v>20.808561545906091</v>
      </c>
      <c r="AB42" s="80">
        <f t="shared" si="18"/>
        <v>105.99958049606023</v>
      </c>
      <c r="AC42" s="80">
        <f t="shared" si="18"/>
        <v>33.259424609515236</v>
      </c>
      <c r="AD42" s="80"/>
      <c r="AE42" s="80"/>
      <c r="AF42" s="80"/>
      <c r="AG42" s="80"/>
      <c r="AH42" s="80"/>
      <c r="AI42" s="80"/>
      <c r="AJ42" s="45">
        <f t="shared" ref="AJ42:AJ105" si="19">(X42*AD42)</f>
        <v>0</v>
      </c>
      <c r="AK42" s="45">
        <f t="shared" ref="AK42:AK105" si="20">(Y42*AE42)</f>
        <v>0</v>
      </c>
      <c r="AL42" s="45">
        <f t="shared" ref="AL42:AL105" si="21">(Z42*AF42)</f>
        <v>0</v>
      </c>
      <c r="AM42" s="45">
        <f t="shared" ref="AM42:AM105" si="22">(AA42*AG42)</f>
        <v>0</v>
      </c>
      <c r="AN42" s="45">
        <f t="shared" ref="AN42:AN105" si="23">(AB42*AH42)</f>
        <v>0</v>
      </c>
      <c r="AO42" s="45">
        <f t="shared" ref="AO42:AO105" si="24">(AC42*AI42)</f>
        <v>0</v>
      </c>
      <c r="AP42" s="80">
        <f t="shared" ref="AP42:AP105" si="25">IF(AJ42&gt;0,AJ42/C42,0)</f>
        <v>0</v>
      </c>
      <c r="AQ42" s="80">
        <f t="shared" ref="AQ42:AQ105" si="26">IF(AK42&gt;0,AK42/D42,0)</f>
        <v>0</v>
      </c>
      <c r="AR42" s="80">
        <f t="shared" ref="AR42:AR105" si="27">IF(AL42&gt;0,AL42/E42,0)</f>
        <v>0</v>
      </c>
      <c r="AS42" s="80">
        <f t="shared" ref="AS42:AS105" si="28">IF(AM42&gt;0,AM42/F42,0)</f>
        <v>0</v>
      </c>
      <c r="AT42" s="80">
        <f t="shared" ref="AT42:AT105" si="29">IF(AN42&gt;0,AN42/G42,0)</f>
        <v>0</v>
      </c>
      <c r="AU42" s="80">
        <f t="shared" ref="AU42:AU105" si="30">IF(AO42&gt;0,AO42/H42,0)</f>
        <v>0</v>
      </c>
      <c r="AV42" s="80">
        <f>AP42</f>
        <v>0</v>
      </c>
      <c r="AW42" s="80">
        <f t="shared" ref="AW42:BA42" si="31">AQ42</f>
        <v>0</v>
      </c>
      <c r="AX42" s="80">
        <f t="shared" si="31"/>
        <v>0</v>
      </c>
      <c r="AY42" s="80">
        <f t="shared" si="31"/>
        <v>0</v>
      </c>
      <c r="AZ42" s="80">
        <f t="shared" si="31"/>
        <v>0</v>
      </c>
      <c r="BA42" s="80">
        <f t="shared" si="31"/>
        <v>0</v>
      </c>
      <c r="BB42" s="80">
        <f t="shared" ref="BB42:BG42" si="32">X42+AP42</f>
        <v>49.164206729730061</v>
      </c>
      <c r="BC42" s="80">
        <f t="shared" si="32"/>
        <v>29.761906090561286</v>
      </c>
      <c r="BD42" s="80">
        <f t="shared" si="32"/>
        <v>28.627661990117407</v>
      </c>
      <c r="BE42" s="80">
        <f t="shared" si="32"/>
        <v>20.808561545906091</v>
      </c>
      <c r="BF42" s="80">
        <f t="shared" si="32"/>
        <v>105.99958049606023</v>
      </c>
      <c r="BG42" s="80">
        <f t="shared" si="32"/>
        <v>33.259424609515236</v>
      </c>
      <c r="BH42" s="49">
        <f>(AJ42+AK42+AL42+AM42+AN42+AO42)</f>
        <v>0</v>
      </c>
      <c r="BI42" s="79">
        <f>K42+L42+M42+N42+O42+P42</f>
        <v>-20000</v>
      </c>
      <c r="BJ42" s="79">
        <f t="shared" ref="BJ42:BJ105" si="33">(X42*C42)+(Y42*D42)+(Z42*E42)+(AA42*F42)+(AB42*G42)+(AC42*H42)</f>
        <v>20000</v>
      </c>
      <c r="BK42" s="44">
        <f>BJ42/ABS(BI42)-1</f>
        <v>0</v>
      </c>
      <c r="BL42" s="79">
        <f>BH42</f>
        <v>0</v>
      </c>
      <c r="BM42" s="49">
        <f>BJ42+BL42</f>
        <v>20000</v>
      </c>
      <c r="BN42" s="44">
        <f>BM42/ABS(BI42)-1</f>
        <v>0</v>
      </c>
      <c r="BO42" s="49">
        <f t="shared" ref="BO42:BO105" si="34">(C42*AV42)+(D42*AW42)+(E42*AX42)+(F42*AY42)+(G42*AZ42)+(H42*BA42)</f>
        <v>0</v>
      </c>
      <c r="BP42" s="49">
        <f t="shared" ref="BP42:BP105" si="35">(C42*BB42)+(D42*BC42)+(E42*BD42)+(F42*BE42)+(G42*BF42)+(H42*BG42)</f>
        <v>20000</v>
      </c>
      <c r="BQ42" s="44">
        <f t="shared" ref="BQ42:BQ105" si="36">(BP42/ABS(BI42))-1</f>
        <v>0</v>
      </c>
      <c r="BS42" s="49">
        <f t="shared" ref="BS42:BS105" si="37">ABS(BI42)</f>
        <v>20000</v>
      </c>
      <c r="BT42" s="49">
        <f t="shared" ref="BT42:BT87" si="38">C42/2</f>
        <v>71.190002500000006</v>
      </c>
      <c r="BU42" s="49">
        <f t="shared" ref="BU42:BU87" si="39">H42/2</f>
        <v>45.099998499999998</v>
      </c>
      <c r="BV42" s="49">
        <f t="shared" ref="BV42:BV105" si="40">-(K42+L42+M42+N42+O42+P42+BH42)</f>
        <v>20000</v>
      </c>
      <c r="BW42" s="18">
        <f t="shared" ref="BW42:BW105" si="41">DATEDIF($B$42,B42,"d")</f>
        <v>0</v>
      </c>
      <c r="BX42" s="19">
        <f>($BW$40-BW42)/$BW$40</f>
        <v>1</v>
      </c>
      <c r="BY42" s="49">
        <f>BX42*BV42</f>
        <v>20000</v>
      </c>
      <c r="BZ42" s="19">
        <f t="shared" ref="BZ42:BZ105" si="42">IF(R42&gt;0,R42,0)</f>
        <v>49.164206729730061</v>
      </c>
      <c r="CA42" s="19">
        <f t="shared" ref="CA42:CA105" si="43">IF(S42&gt;0,S42,0)</f>
        <v>29.761906090561286</v>
      </c>
      <c r="CB42" s="19">
        <f t="shared" ref="CB42:CB105" si="44">IF(T42&gt;0,T42,0)</f>
        <v>28.627661990117407</v>
      </c>
      <c r="CC42" s="19">
        <f t="shared" ref="CC42:CC105" si="45">IF(U42&gt;0,U42,0)</f>
        <v>20.808561545906091</v>
      </c>
      <c r="CD42" s="19">
        <f t="shared" ref="CD42:CD105" si="46">IF(V42&gt;0,V42,0)</f>
        <v>105.99958049606023</v>
      </c>
      <c r="CE42" s="19">
        <f t="shared" ref="CE42:CE105" si="47">IF(W42&gt;0,W42,0)</f>
        <v>33.259424609515236</v>
      </c>
      <c r="CF42" s="49">
        <f t="shared" ref="CF42:CF105" si="48">IF(K42&lt;0,K42,0)</f>
        <v>-7000</v>
      </c>
      <c r="CG42" s="49">
        <f t="shared" ref="CG42:CG105" si="49">IF(L42&lt;0,L42,0)</f>
        <v>-2000</v>
      </c>
      <c r="CH42" s="49">
        <f t="shared" ref="CH42:CH105" si="50">IF(M42&lt;0,M42,0)</f>
        <v>-1600</v>
      </c>
      <c r="CI42" s="49">
        <f t="shared" ref="CI42:CI105" si="51">IF(N42&lt;0,N42,0)</f>
        <v>-1400.0000000000002</v>
      </c>
      <c r="CJ42" s="49">
        <f t="shared" ref="CJ42:CJ105" si="52">IF(O42&lt;0,O42,0)</f>
        <v>-5000</v>
      </c>
      <c r="CK42" s="49">
        <f t="shared" ref="CK42:CK105" si="53">IF(P42&lt;0,P42,0)</f>
        <v>-3000</v>
      </c>
    </row>
    <row r="43" spans="1:89" ht="12.75" customHeight="1" x14ac:dyDescent="0.2">
      <c r="B43" s="77">
        <v>39300</v>
      </c>
      <c r="C43" s="49">
        <v>143.720001</v>
      </c>
      <c r="D43" s="49">
        <v>68.300003000000004</v>
      </c>
      <c r="E43" s="49">
        <v>56.41</v>
      </c>
      <c r="F43" s="49">
        <v>69.680000000000007</v>
      </c>
      <c r="G43" s="49">
        <v>46.59</v>
      </c>
      <c r="H43" s="49">
        <v>90.449996999999996</v>
      </c>
      <c r="J43" s="78">
        <f>IF(inter=Weekly_2,J42+$C$5,IF(inter=Bi_weekly_2,0,IF(inter=Monthly_2,0,IF(inter=Quarterly_2,0,IF(inter=Yearly_2,0,IF(inter=None_2,0,0))))))</f>
        <v>0</v>
      </c>
      <c r="K43" s="79">
        <f t="shared" ref="K43:K106" si="54">IF(J43=0,0,-((J43*$C$36)-(X42*C43)))</f>
        <v>0</v>
      </c>
      <c r="L43" s="79">
        <f t="shared" ref="L43:L106" si="55">IF(J43=0,0,-((J43*$D$36)-(Y42*D43)))</f>
        <v>0</v>
      </c>
      <c r="M43" s="79">
        <f t="shared" ref="M43:M106" si="56">IF(J43=0,0,-((J43*$E$36)-(Z42*E43)))</f>
        <v>0</v>
      </c>
      <c r="N43" s="79">
        <f t="shared" ref="N43:N106" si="57">IF(J43=0,0,-((J43*$F$36)-(AA42*F43)))</f>
        <v>0</v>
      </c>
      <c r="O43" s="79">
        <f t="shared" ref="O43:O106" si="58">IF(J43=0,0,-((J43*$G$36)-(AB42*G43)))</f>
        <v>0</v>
      </c>
      <c r="P43" s="79">
        <f t="shared" ref="P43:P106" si="59">IF(J43=0,0,-((J43*$H$36)-(AC42*H43)))</f>
        <v>0</v>
      </c>
      <c r="Q43" s="79"/>
      <c r="R43" s="80">
        <f t="shared" si="12"/>
        <v>0</v>
      </c>
      <c r="S43" s="80">
        <f t="shared" si="13"/>
        <v>0</v>
      </c>
      <c r="T43" s="80">
        <f t="shared" si="14"/>
        <v>0</v>
      </c>
      <c r="U43" s="80">
        <f t="shared" si="15"/>
        <v>0</v>
      </c>
      <c r="V43" s="80">
        <f t="shared" si="16"/>
        <v>0</v>
      </c>
      <c r="W43" s="80">
        <f t="shared" si="17"/>
        <v>0</v>
      </c>
      <c r="X43" s="80">
        <f t="shared" ref="X43:AC43" si="60">X42+R43</f>
        <v>49.164206729730061</v>
      </c>
      <c r="Y43" s="80">
        <f t="shared" si="60"/>
        <v>29.761906090561286</v>
      </c>
      <c r="Z43" s="80">
        <f t="shared" si="60"/>
        <v>28.627661990117407</v>
      </c>
      <c r="AA43" s="80">
        <f t="shared" si="60"/>
        <v>20.808561545906091</v>
      </c>
      <c r="AB43" s="80">
        <f t="shared" si="60"/>
        <v>105.99958049606023</v>
      </c>
      <c r="AC43" s="80">
        <f t="shared" si="60"/>
        <v>33.259424609515236</v>
      </c>
      <c r="AD43" s="80"/>
      <c r="AE43" s="80"/>
      <c r="AF43" s="80"/>
      <c r="AG43" s="80"/>
      <c r="AH43" s="80"/>
      <c r="AI43" s="80"/>
      <c r="AJ43" s="45">
        <f t="shared" si="19"/>
        <v>0</v>
      </c>
      <c r="AK43" s="45">
        <f t="shared" si="20"/>
        <v>0</v>
      </c>
      <c r="AL43" s="45">
        <f t="shared" si="21"/>
        <v>0</v>
      </c>
      <c r="AM43" s="45">
        <f t="shared" si="22"/>
        <v>0</v>
      </c>
      <c r="AN43" s="45">
        <f t="shared" si="23"/>
        <v>0</v>
      </c>
      <c r="AO43" s="45">
        <f t="shared" si="24"/>
        <v>0</v>
      </c>
      <c r="AP43" s="80">
        <f t="shared" si="25"/>
        <v>0</v>
      </c>
      <c r="AQ43" s="80">
        <f t="shared" si="26"/>
        <v>0</v>
      </c>
      <c r="AR43" s="80">
        <f t="shared" si="27"/>
        <v>0</v>
      </c>
      <c r="AS43" s="80">
        <f t="shared" si="28"/>
        <v>0</v>
      </c>
      <c r="AT43" s="80">
        <f t="shared" si="29"/>
        <v>0</v>
      </c>
      <c r="AU43" s="80">
        <f t="shared" si="30"/>
        <v>0</v>
      </c>
      <c r="AV43" s="80">
        <f>AP43+AV42+IF(AP43&lt;0,AP43,0)</f>
        <v>0</v>
      </c>
      <c r="AW43" s="80">
        <f t="shared" ref="AW43:AZ43" si="61">AQ43+AW42+IF(AQ43&lt;0,AQ43,0)</f>
        <v>0</v>
      </c>
      <c r="AX43" s="80">
        <f t="shared" si="61"/>
        <v>0</v>
      </c>
      <c r="AY43" s="80">
        <f t="shared" si="61"/>
        <v>0</v>
      </c>
      <c r="AZ43" s="80">
        <f t="shared" si="61"/>
        <v>0</v>
      </c>
      <c r="BA43" s="80">
        <f>AU43+BA42+IF(AU43&lt;0,AU43,0)</f>
        <v>0</v>
      </c>
      <c r="BB43" s="80">
        <f t="shared" ref="BB43:BB106" si="62">X43+AV43</f>
        <v>49.164206729730061</v>
      </c>
      <c r="BC43" s="80">
        <f t="shared" ref="BC43:BC106" si="63">Y43+AW43</f>
        <v>29.761906090561286</v>
      </c>
      <c r="BD43" s="80">
        <f t="shared" ref="BD43:BD106" si="64">Z43+AX43</f>
        <v>28.627661990117407</v>
      </c>
      <c r="BE43" s="80">
        <f t="shared" ref="BE43:BE106" si="65">AA43+AY43</f>
        <v>20.808561545906091</v>
      </c>
      <c r="BF43" s="80">
        <f t="shared" ref="BF43:BF106" si="66">AB43+AZ43</f>
        <v>105.99958049606023</v>
      </c>
      <c r="BG43" s="80">
        <f t="shared" ref="BG43:BG106" si="67">AC43+BA43</f>
        <v>33.259424609515236</v>
      </c>
      <c r="BH43" s="49">
        <f t="shared" ref="BH43:BH106" si="68">(AJ43+AK43+AL43+AM43+AN43+AO43)</f>
        <v>0</v>
      </c>
      <c r="BI43" s="79">
        <f t="shared" ref="BI43:BI106" si="69">BI42+K43+L43+M43+N43+O43+P43</f>
        <v>-20000</v>
      </c>
      <c r="BJ43" s="79">
        <f t="shared" si="33"/>
        <v>20110.280408477149</v>
      </c>
      <c r="BK43" s="44">
        <f t="shared" ref="BK43:BK106" si="70">BJ43/ABS(BI43)-1</f>
        <v>5.514020423857513E-3</v>
      </c>
      <c r="BL43" s="79">
        <f>BL42+BH43</f>
        <v>0</v>
      </c>
      <c r="BM43" s="49">
        <f t="shared" ref="BM43:BM106" si="71">BJ43+BL43</f>
        <v>20110.280408477149</v>
      </c>
      <c r="BN43" s="44">
        <f t="shared" ref="BN43:BN106" si="72">BM43/ABS(BI43)-1</f>
        <v>5.514020423857513E-3</v>
      </c>
      <c r="BO43" s="49">
        <f t="shared" si="34"/>
        <v>0</v>
      </c>
      <c r="BP43" s="49">
        <f t="shared" si="35"/>
        <v>20110.280408477149</v>
      </c>
      <c r="BQ43" s="44">
        <f t="shared" si="36"/>
        <v>5.514020423857513E-3</v>
      </c>
      <c r="BS43" s="49">
        <f t="shared" si="37"/>
        <v>20000</v>
      </c>
      <c r="BT43" s="49">
        <f t="shared" si="38"/>
        <v>71.860000499999998</v>
      </c>
      <c r="BU43" s="49">
        <f t="shared" si="39"/>
        <v>45.224998499999998</v>
      </c>
      <c r="BV43" s="49">
        <f t="shared" si="40"/>
        <v>0</v>
      </c>
      <c r="BW43" s="18">
        <f t="shared" si="41"/>
        <v>7</v>
      </c>
      <c r="BX43" s="19">
        <f t="shared" ref="BX43:BX106" si="73">($BW$40-BW43)/$BW$40</f>
        <v>0.99839449541284409</v>
      </c>
      <c r="BY43" s="49">
        <f t="shared" ref="BY43:BY106" si="74">BX43*BV43</f>
        <v>0</v>
      </c>
      <c r="BZ43" s="19">
        <f t="shared" si="42"/>
        <v>0</v>
      </c>
      <c r="CA43" s="19">
        <f t="shared" si="43"/>
        <v>0</v>
      </c>
      <c r="CB43" s="19">
        <f t="shared" si="44"/>
        <v>0</v>
      </c>
      <c r="CC43" s="19">
        <f t="shared" si="45"/>
        <v>0</v>
      </c>
      <c r="CD43" s="19">
        <f t="shared" si="46"/>
        <v>0</v>
      </c>
      <c r="CE43" s="19">
        <f t="shared" si="47"/>
        <v>0</v>
      </c>
      <c r="CF43" s="49">
        <f t="shared" si="48"/>
        <v>0</v>
      </c>
      <c r="CG43" s="49">
        <f t="shared" si="49"/>
        <v>0</v>
      </c>
      <c r="CH43" s="49">
        <f t="shared" si="50"/>
        <v>0</v>
      </c>
      <c r="CI43" s="49">
        <f t="shared" si="51"/>
        <v>0</v>
      </c>
      <c r="CJ43" s="49">
        <f t="shared" si="52"/>
        <v>0</v>
      </c>
      <c r="CK43" s="49">
        <f t="shared" si="53"/>
        <v>0</v>
      </c>
    </row>
    <row r="44" spans="1:89" ht="12.75" customHeight="1" x14ac:dyDescent="0.2">
      <c r="B44" s="77">
        <v>39307</v>
      </c>
      <c r="C44" s="49">
        <v>143.05999800000001</v>
      </c>
      <c r="D44" s="49">
        <v>68.809997999999993</v>
      </c>
      <c r="E44" s="49">
        <v>55.959999000000003</v>
      </c>
      <c r="F44" s="49">
        <v>69.309997999999993</v>
      </c>
      <c r="G44" s="49">
        <v>45.400002000000001</v>
      </c>
      <c r="H44" s="49">
        <v>85.559997999999993</v>
      </c>
      <c r="J44" s="78">
        <f>IF(inter=Weekly_2,J43+$C$5,IF(inter=Bi_weekly_2,J42+$C$5,IF(inter=Monthly_2,0,IF(inter=Quarterly_2,0,IF(inter=Yearly_2,0,IF(inter=None_2,0,0))))))</f>
        <v>20600</v>
      </c>
      <c r="K44" s="79">
        <f t="shared" si="54"/>
        <v>-176.56868357322946</v>
      </c>
      <c r="L44" s="79">
        <f t="shared" si="55"/>
        <v>-12.083301432290227</v>
      </c>
      <c r="M44" s="79">
        <f t="shared" si="56"/>
        <v>-45.996063660691789</v>
      </c>
      <c r="N44" s="79">
        <f t="shared" si="57"/>
        <v>0.2413591296276536</v>
      </c>
      <c r="O44" s="79">
        <f t="shared" si="58"/>
        <v>-337.61883347970434</v>
      </c>
      <c r="P44" s="79">
        <f t="shared" si="59"/>
        <v>-244.32369692872589</v>
      </c>
      <c r="Q44" s="79"/>
      <c r="R44" s="80">
        <f t="shared" si="12"/>
        <v>1.2342281982502856</v>
      </c>
      <c r="S44" s="80">
        <f t="shared" si="13"/>
        <v>0.17560386257081753</v>
      </c>
      <c r="T44" s="80">
        <f t="shared" si="14"/>
        <v>0.82194539818865586</v>
      </c>
      <c r="U44" s="80">
        <f t="shared" si="15"/>
        <v>-3.4823133255270562E-3</v>
      </c>
      <c r="V44" s="80">
        <f t="shared" si="16"/>
        <v>7.4365378547715553</v>
      </c>
      <c r="W44" s="80">
        <f t="shared" si="17"/>
        <v>2.8555832473105704</v>
      </c>
      <c r="X44" s="80">
        <f t="shared" ref="X44:X107" si="75">X43+R44</f>
        <v>50.398434927980347</v>
      </c>
      <c r="Y44" s="80">
        <f t="shared" ref="Y44:Y107" si="76">Y43+S44</f>
        <v>29.937509953132103</v>
      </c>
      <c r="Z44" s="80">
        <f t="shared" ref="Z44:Z107" si="77">Z43+T44</f>
        <v>29.449607388306063</v>
      </c>
      <c r="AA44" s="80">
        <f t="shared" ref="AA44:AA107" si="78">AA43+U44</f>
        <v>20.805079232580564</v>
      </c>
      <c r="AB44" s="80">
        <f t="shared" ref="AB44:AB107" si="79">AB43+V44</f>
        <v>113.43611835083179</v>
      </c>
      <c r="AC44" s="80">
        <f t="shared" ref="AC44:AC107" si="80">AC43+W44</f>
        <v>36.115007856825805</v>
      </c>
      <c r="AD44" s="80"/>
      <c r="AE44" s="80"/>
      <c r="AF44" s="80"/>
      <c r="AG44" s="80"/>
      <c r="AH44" s="80"/>
      <c r="AI44" s="80"/>
      <c r="AJ44" s="45">
        <f t="shared" si="19"/>
        <v>0</v>
      </c>
      <c r="AK44" s="45">
        <f t="shared" si="20"/>
        <v>0</v>
      </c>
      <c r="AL44" s="45">
        <f t="shared" si="21"/>
        <v>0</v>
      </c>
      <c r="AM44" s="45">
        <f t="shared" si="22"/>
        <v>0</v>
      </c>
      <c r="AN44" s="45">
        <f t="shared" si="23"/>
        <v>0</v>
      </c>
      <c r="AO44" s="45">
        <f t="shared" si="24"/>
        <v>0</v>
      </c>
      <c r="AP44" s="80">
        <f t="shared" si="25"/>
        <v>0</v>
      </c>
      <c r="AQ44" s="80">
        <f t="shared" si="26"/>
        <v>0</v>
      </c>
      <c r="AR44" s="80">
        <f t="shared" si="27"/>
        <v>0</v>
      </c>
      <c r="AS44" s="80">
        <f t="shared" si="28"/>
        <v>0</v>
      </c>
      <c r="AT44" s="80">
        <f t="shared" si="29"/>
        <v>0</v>
      </c>
      <c r="AU44" s="80">
        <f t="shared" si="30"/>
        <v>0</v>
      </c>
      <c r="AV44" s="80">
        <f t="shared" ref="AV44:AV107" si="81">AP44+AV43+IF(AP44&lt;0,AP44,0)</f>
        <v>0</v>
      </c>
      <c r="AW44" s="80">
        <f t="shared" ref="AW44:AW107" si="82">AQ44+AW43+IF(AQ44&lt;0,AQ44,0)</f>
        <v>0</v>
      </c>
      <c r="AX44" s="80">
        <f t="shared" ref="AX44:AX107" si="83">AR44+AX43+IF(AR44&lt;0,AR44,0)</f>
        <v>0</v>
      </c>
      <c r="AY44" s="80">
        <f t="shared" ref="AY44:AY107" si="84">AS44+AY43+IF(AS44&lt;0,AS44,0)</f>
        <v>0</v>
      </c>
      <c r="AZ44" s="80">
        <f t="shared" ref="AZ44:AZ107" si="85">AT44+AZ43+IF(AT44&lt;0,AT44,0)</f>
        <v>0</v>
      </c>
      <c r="BA44" s="80">
        <f t="shared" ref="BA44:BA107" si="86">AU44+BA43+IF(AU44&lt;0,AU44,0)</f>
        <v>0</v>
      </c>
      <c r="BB44" s="80">
        <f t="shared" si="62"/>
        <v>50.398434927980347</v>
      </c>
      <c r="BC44" s="80">
        <f t="shared" si="63"/>
        <v>29.937509953132103</v>
      </c>
      <c r="BD44" s="80">
        <f t="shared" si="64"/>
        <v>29.449607388306063</v>
      </c>
      <c r="BE44" s="80">
        <f t="shared" si="65"/>
        <v>20.805079232580564</v>
      </c>
      <c r="BF44" s="80">
        <f t="shared" si="66"/>
        <v>113.43611835083179</v>
      </c>
      <c r="BG44" s="80">
        <f t="shared" si="67"/>
        <v>36.115007856825805</v>
      </c>
      <c r="BH44" s="49">
        <f t="shared" si="68"/>
        <v>0</v>
      </c>
      <c r="BI44" s="79">
        <f t="shared" si="69"/>
        <v>-20816.349219945012</v>
      </c>
      <c r="BJ44" s="79">
        <f t="shared" si="33"/>
        <v>20600</v>
      </c>
      <c r="BK44" s="44">
        <f t="shared" si="70"/>
        <v>-1.0393235512100252E-2</v>
      </c>
      <c r="BL44" s="79">
        <f t="shared" ref="BL44:BL107" si="87">BL43+BH44</f>
        <v>0</v>
      </c>
      <c r="BM44" s="49">
        <f t="shared" si="71"/>
        <v>20600</v>
      </c>
      <c r="BN44" s="44">
        <f t="shared" si="72"/>
        <v>-1.0393235512100252E-2</v>
      </c>
      <c r="BO44" s="49">
        <f t="shared" si="34"/>
        <v>0</v>
      </c>
      <c r="BP44" s="49">
        <f t="shared" si="35"/>
        <v>20600</v>
      </c>
      <c r="BQ44" s="44">
        <f t="shared" si="36"/>
        <v>-1.0393235512100252E-2</v>
      </c>
      <c r="BS44" s="49">
        <f t="shared" si="37"/>
        <v>20816.349219945012</v>
      </c>
      <c r="BT44" s="49">
        <f t="shared" si="38"/>
        <v>71.529999000000004</v>
      </c>
      <c r="BU44" s="49">
        <f t="shared" si="39"/>
        <v>42.779998999999997</v>
      </c>
      <c r="BV44" s="49">
        <f t="shared" si="40"/>
        <v>816.34921994501406</v>
      </c>
      <c r="BW44" s="18">
        <f t="shared" si="41"/>
        <v>14</v>
      </c>
      <c r="BX44" s="19">
        <f t="shared" si="73"/>
        <v>0.99678899082568806</v>
      </c>
      <c r="BY44" s="49">
        <f t="shared" si="74"/>
        <v>813.72791511032824</v>
      </c>
      <c r="BZ44" s="19">
        <f t="shared" si="42"/>
        <v>1.2342281982502856</v>
      </c>
      <c r="CA44" s="19">
        <f t="shared" si="43"/>
        <v>0.17560386257081753</v>
      </c>
      <c r="CB44" s="19">
        <f t="shared" si="44"/>
        <v>0.82194539818865586</v>
      </c>
      <c r="CC44" s="19">
        <f t="shared" si="45"/>
        <v>0</v>
      </c>
      <c r="CD44" s="19">
        <f t="shared" si="46"/>
        <v>7.4365378547715553</v>
      </c>
      <c r="CE44" s="19">
        <f t="shared" si="47"/>
        <v>2.8555832473105704</v>
      </c>
      <c r="CF44" s="49">
        <f t="shared" si="48"/>
        <v>-176.56868357322946</v>
      </c>
      <c r="CG44" s="49">
        <f t="shared" si="49"/>
        <v>-12.083301432290227</v>
      </c>
      <c r="CH44" s="49">
        <f t="shared" si="50"/>
        <v>-45.996063660691789</v>
      </c>
      <c r="CI44" s="49">
        <f t="shared" si="51"/>
        <v>0</v>
      </c>
      <c r="CJ44" s="49">
        <f t="shared" si="52"/>
        <v>-337.61883347970434</v>
      </c>
      <c r="CK44" s="49">
        <f t="shared" si="53"/>
        <v>-244.32369692872589</v>
      </c>
    </row>
    <row r="45" spans="1:89" ht="12.75" customHeight="1" x14ac:dyDescent="0.2">
      <c r="B45" s="77">
        <v>39314</v>
      </c>
      <c r="C45" s="49">
        <v>146.85000600000001</v>
      </c>
      <c r="D45" s="49">
        <v>70.290001000000004</v>
      </c>
      <c r="E45" s="49">
        <v>57.66</v>
      </c>
      <c r="F45" s="49">
        <v>70.949996999999996</v>
      </c>
      <c r="G45" s="49">
        <v>47.540000999999997</v>
      </c>
      <c r="H45" s="49">
        <v>91.620002999999997</v>
      </c>
      <c r="J45" s="78">
        <f>IF(inter=Weekly_2,J44+$C$5,IF(inter=Bi_weekly_2,0,IF(inter=Monthly_2,0,IF(inter=Quarterly_2,0,IF(inter=Yearly_2,0,IF(inter=None_2,0,0))))))</f>
        <v>0</v>
      </c>
      <c r="K45" s="79">
        <f t="shared" si="54"/>
        <v>0</v>
      </c>
      <c r="L45" s="79">
        <f t="shared" si="55"/>
        <v>0</v>
      </c>
      <c r="M45" s="79">
        <f t="shared" si="56"/>
        <v>0</v>
      </c>
      <c r="N45" s="79">
        <f t="shared" si="57"/>
        <v>0</v>
      </c>
      <c r="O45" s="79">
        <f t="shared" si="58"/>
        <v>0</v>
      </c>
      <c r="P45" s="79">
        <f t="shared" si="59"/>
        <v>0</v>
      </c>
      <c r="Q45" s="79"/>
      <c r="R45" s="80">
        <f t="shared" si="12"/>
        <v>0</v>
      </c>
      <c r="S45" s="80">
        <f t="shared" si="13"/>
        <v>0</v>
      </c>
      <c r="T45" s="80">
        <f t="shared" si="14"/>
        <v>0</v>
      </c>
      <c r="U45" s="80">
        <f t="shared" si="15"/>
        <v>0</v>
      </c>
      <c r="V45" s="80">
        <f t="shared" si="16"/>
        <v>0</v>
      </c>
      <c r="W45" s="80">
        <f t="shared" si="17"/>
        <v>0</v>
      </c>
      <c r="X45" s="80">
        <f t="shared" si="75"/>
        <v>50.398434927980347</v>
      </c>
      <c r="Y45" s="80">
        <f t="shared" si="76"/>
        <v>29.937509953132103</v>
      </c>
      <c r="Z45" s="80">
        <f t="shared" si="77"/>
        <v>29.449607388306063</v>
      </c>
      <c r="AA45" s="80">
        <f t="shared" si="78"/>
        <v>20.805079232580564</v>
      </c>
      <c r="AB45" s="80">
        <f t="shared" si="79"/>
        <v>113.43611835083179</v>
      </c>
      <c r="AC45" s="80">
        <f t="shared" si="80"/>
        <v>36.115007856825805</v>
      </c>
      <c r="AD45" s="80"/>
      <c r="AE45" s="80"/>
      <c r="AF45" s="80"/>
      <c r="AG45" s="80"/>
      <c r="AH45" s="80"/>
      <c r="AI45" s="80"/>
      <c r="AJ45" s="45">
        <f t="shared" si="19"/>
        <v>0</v>
      </c>
      <c r="AK45" s="45">
        <f t="shared" si="20"/>
        <v>0</v>
      </c>
      <c r="AL45" s="45">
        <f t="shared" si="21"/>
        <v>0</v>
      </c>
      <c r="AM45" s="45">
        <f t="shared" si="22"/>
        <v>0</v>
      </c>
      <c r="AN45" s="45">
        <f t="shared" si="23"/>
        <v>0</v>
      </c>
      <c r="AO45" s="45">
        <f t="shared" si="24"/>
        <v>0</v>
      </c>
      <c r="AP45" s="80">
        <f t="shared" si="25"/>
        <v>0</v>
      </c>
      <c r="AQ45" s="80">
        <f t="shared" si="26"/>
        <v>0</v>
      </c>
      <c r="AR45" s="80">
        <f t="shared" si="27"/>
        <v>0</v>
      </c>
      <c r="AS45" s="80">
        <f t="shared" si="28"/>
        <v>0</v>
      </c>
      <c r="AT45" s="80">
        <f t="shared" si="29"/>
        <v>0</v>
      </c>
      <c r="AU45" s="80">
        <f t="shared" si="30"/>
        <v>0</v>
      </c>
      <c r="AV45" s="80">
        <f t="shared" si="81"/>
        <v>0</v>
      </c>
      <c r="AW45" s="80">
        <f t="shared" si="82"/>
        <v>0</v>
      </c>
      <c r="AX45" s="80">
        <f t="shared" si="83"/>
        <v>0</v>
      </c>
      <c r="AY45" s="80">
        <f t="shared" si="84"/>
        <v>0</v>
      </c>
      <c r="AZ45" s="80">
        <f t="shared" si="85"/>
        <v>0</v>
      </c>
      <c r="BA45" s="80">
        <f t="shared" si="86"/>
        <v>0</v>
      </c>
      <c r="BB45" s="80">
        <f t="shared" si="62"/>
        <v>50.398434927980347</v>
      </c>
      <c r="BC45" s="80">
        <f t="shared" si="63"/>
        <v>29.937509953132103</v>
      </c>
      <c r="BD45" s="80">
        <f t="shared" si="64"/>
        <v>29.449607388306063</v>
      </c>
      <c r="BE45" s="80">
        <f t="shared" si="65"/>
        <v>20.805079232580564</v>
      </c>
      <c r="BF45" s="80">
        <f t="shared" si="66"/>
        <v>113.43611835083179</v>
      </c>
      <c r="BG45" s="80">
        <f t="shared" si="67"/>
        <v>36.115007856825805</v>
      </c>
      <c r="BH45" s="49">
        <f t="shared" si="68"/>
        <v>0</v>
      </c>
      <c r="BI45" s="79">
        <f t="shared" si="69"/>
        <v>-20816.349219945012</v>
      </c>
      <c r="BJ45" s="79">
        <f t="shared" si="33"/>
        <v>21381.113055275833</v>
      </c>
      <c r="BK45" s="44">
        <f t="shared" si="70"/>
        <v>2.7130782125316166E-2</v>
      </c>
      <c r="BL45" s="79">
        <f t="shared" si="87"/>
        <v>0</v>
      </c>
      <c r="BM45" s="49">
        <f t="shared" si="71"/>
        <v>21381.113055275833</v>
      </c>
      <c r="BN45" s="44">
        <f t="shared" si="72"/>
        <v>2.7130782125316166E-2</v>
      </c>
      <c r="BO45" s="49">
        <f t="shared" si="34"/>
        <v>0</v>
      </c>
      <c r="BP45" s="49">
        <f t="shared" si="35"/>
        <v>21381.113055275833</v>
      </c>
      <c r="BQ45" s="44">
        <f t="shared" si="36"/>
        <v>2.7130782125316166E-2</v>
      </c>
      <c r="BS45" s="49">
        <f t="shared" si="37"/>
        <v>20816.349219945012</v>
      </c>
      <c r="BT45" s="49">
        <f t="shared" si="38"/>
        <v>73.425003000000004</v>
      </c>
      <c r="BU45" s="49">
        <f t="shared" si="39"/>
        <v>45.810001499999998</v>
      </c>
      <c r="BV45" s="49">
        <f t="shared" si="40"/>
        <v>0</v>
      </c>
      <c r="BW45" s="18">
        <f t="shared" si="41"/>
        <v>21</v>
      </c>
      <c r="BX45" s="19">
        <f t="shared" si="73"/>
        <v>0.99518348623853214</v>
      </c>
      <c r="BY45" s="49">
        <f t="shared" si="74"/>
        <v>0</v>
      </c>
      <c r="BZ45" s="19">
        <f t="shared" si="42"/>
        <v>0</v>
      </c>
      <c r="CA45" s="19">
        <f t="shared" si="43"/>
        <v>0</v>
      </c>
      <c r="CB45" s="19">
        <f t="shared" si="44"/>
        <v>0</v>
      </c>
      <c r="CC45" s="19">
        <f t="shared" si="45"/>
        <v>0</v>
      </c>
      <c r="CD45" s="19">
        <f t="shared" si="46"/>
        <v>0</v>
      </c>
      <c r="CE45" s="19">
        <f t="shared" si="47"/>
        <v>0</v>
      </c>
      <c r="CF45" s="49">
        <f t="shared" si="48"/>
        <v>0</v>
      </c>
      <c r="CG45" s="49">
        <f t="shared" si="49"/>
        <v>0</v>
      </c>
      <c r="CH45" s="49">
        <f t="shared" si="50"/>
        <v>0</v>
      </c>
      <c r="CI45" s="49">
        <f t="shared" si="51"/>
        <v>0</v>
      </c>
      <c r="CJ45" s="49">
        <f t="shared" si="52"/>
        <v>0</v>
      </c>
      <c r="CK45" s="49">
        <f t="shared" si="53"/>
        <v>0</v>
      </c>
    </row>
    <row r="46" spans="1:89" ht="12.75" customHeight="1" x14ac:dyDescent="0.2">
      <c r="B46" s="77">
        <v>39321</v>
      </c>
      <c r="C46" s="49">
        <v>146.220001</v>
      </c>
      <c r="D46" s="49">
        <v>69.5</v>
      </c>
      <c r="E46" s="49">
        <v>57.259998000000003</v>
      </c>
      <c r="F46" s="49">
        <v>70.220000999999996</v>
      </c>
      <c r="G46" s="49">
        <v>47.860000999999997</v>
      </c>
      <c r="H46" s="49">
        <v>94.489998</v>
      </c>
      <c r="J46" s="78">
        <f>IF(inter=Weekly_2,J45+$C$5,IF(inter=Bi_weekly_2,J44+$C$5,IF(inter=Monthly_2,J42+$C$5,IF(inter=Quarterly_2,0,IF(inter=Yearly_2,0,IF(inter=None_2,0,0))))))</f>
        <v>21200</v>
      </c>
      <c r="K46" s="79">
        <f t="shared" si="54"/>
        <v>-50.740794432277653</v>
      </c>
      <c r="L46" s="79">
        <f t="shared" si="55"/>
        <v>-39.343058257318717</v>
      </c>
      <c r="M46" s="79">
        <f t="shared" si="56"/>
        <v>-9.7155398448094274</v>
      </c>
      <c r="N46" s="79">
        <f t="shared" si="57"/>
        <v>-23.067315483113816</v>
      </c>
      <c r="O46" s="79">
        <f t="shared" si="58"/>
        <v>129.05273770692747</v>
      </c>
      <c r="P46" s="79">
        <f t="shared" si="59"/>
        <v>232.50702016145442</v>
      </c>
      <c r="Q46" s="79"/>
      <c r="R46" s="80">
        <f t="shared" si="12"/>
        <v>0.34701678351293169</v>
      </c>
      <c r="S46" s="80">
        <f t="shared" si="13"/>
        <v>0.56608716917005353</v>
      </c>
      <c r="T46" s="80">
        <f t="shared" si="14"/>
        <v>0.16967412127414722</v>
      </c>
      <c r="U46" s="80">
        <f t="shared" si="15"/>
        <v>0.32850064304490423</v>
      </c>
      <c r="V46" s="80">
        <f t="shared" si="16"/>
        <v>-2.696463330766071</v>
      </c>
      <c r="W46" s="80">
        <f t="shared" si="17"/>
        <v>-2.4606521862922932</v>
      </c>
      <c r="X46" s="80">
        <f t="shared" si="75"/>
        <v>50.745451711493281</v>
      </c>
      <c r="Y46" s="80">
        <f t="shared" si="76"/>
        <v>30.503597122302157</v>
      </c>
      <c r="Z46" s="80">
        <f t="shared" si="77"/>
        <v>29.619281509580212</v>
      </c>
      <c r="AA46" s="80">
        <f t="shared" si="78"/>
        <v>21.133579875625468</v>
      </c>
      <c r="AB46" s="80">
        <f t="shared" si="79"/>
        <v>110.73965502006573</v>
      </c>
      <c r="AC46" s="80">
        <f t="shared" si="80"/>
        <v>33.654355670533512</v>
      </c>
      <c r="AD46" s="80"/>
      <c r="AE46" s="80"/>
      <c r="AF46" s="80"/>
      <c r="AG46" s="80"/>
      <c r="AH46" s="80"/>
      <c r="AI46" s="80"/>
      <c r="AJ46" s="45">
        <f t="shared" si="19"/>
        <v>0</v>
      </c>
      <c r="AK46" s="45">
        <f t="shared" si="20"/>
        <v>0</v>
      </c>
      <c r="AL46" s="45">
        <f t="shared" si="21"/>
        <v>0</v>
      </c>
      <c r="AM46" s="45">
        <f t="shared" si="22"/>
        <v>0</v>
      </c>
      <c r="AN46" s="45">
        <f t="shared" si="23"/>
        <v>0</v>
      </c>
      <c r="AO46" s="45">
        <f t="shared" si="24"/>
        <v>0</v>
      </c>
      <c r="AP46" s="80">
        <f t="shared" si="25"/>
        <v>0</v>
      </c>
      <c r="AQ46" s="80">
        <f t="shared" si="26"/>
        <v>0</v>
      </c>
      <c r="AR46" s="80">
        <f t="shared" si="27"/>
        <v>0</v>
      </c>
      <c r="AS46" s="80">
        <f t="shared" si="28"/>
        <v>0</v>
      </c>
      <c r="AT46" s="80">
        <f t="shared" si="29"/>
        <v>0</v>
      </c>
      <c r="AU46" s="80">
        <f t="shared" si="30"/>
        <v>0</v>
      </c>
      <c r="AV46" s="80">
        <f t="shared" si="81"/>
        <v>0</v>
      </c>
      <c r="AW46" s="80">
        <f t="shared" si="82"/>
        <v>0</v>
      </c>
      <c r="AX46" s="80">
        <f t="shared" si="83"/>
        <v>0</v>
      </c>
      <c r="AY46" s="80">
        <f t="shared" si="84"/>
        <v>0</v>
      </c>
      <c r="AZ46" s="80">
        <f t="shared" si="85"/>
        <v>0</v>
      </c>
      <c r="BA46" s="80">
        <f t="shared" si="86"/>
        <v>0</v>
      </c>
      <c r="BB46" s="80">
        <f t="shared" si="62"/>
        <v>50.745451711493281</v>
      </c>
      <c r="BC46" s="80">
        <f t="shared" si="63"/>
        <v>30.503597122302157</v>
      </c>
      <c r="BD46" s="80">
        <f t="shared" si="64"/>
        <v>29.619281509580212</v>
      </c>
      <c r="BE46" s="80">
        <f t="shared" si="65"/>
        <v>21.133579875625468</v>
      </c>
      <c r="BF46" s="80">
        <f t="shared" si="66"/>
        <v>110.73965502006573</v>
      </c>
      <c r="BG46" s="80">
        <f t="shared" si="67"/>
        <v>33.654355670533512</v>
      </c>
      <c r="BH46" s="49">
        <f t="shared" si="68"/>
        <v>0</v>
      </c>
      <c r="BI46" s="79">
        <f t="shared" si="69"/>
        <v>-20577.656170094149</v>
      </c>
      <c r="BJ46" s="79">
        <f t="shared" si="33"/>
        <v>21200</v>
      </c>
      <c r="BK46" s="44">
        <f t="shared" si="70"/>
        <v>3.024366938399492E-2</v>
      </c>
      <c r="BL46" s="79">
        <f t="shared" si="87"/>
        <v>0</v>
      </c>
      <c r="BM46" s="49">
        <f t="shared" si="71"/>
        <v>21200</v>
      </c>
      <c r="BN46" s="44">
        <f t="shared" si="72"/>
        <v>3.024366938399492E-2</v>
      </c>
      <c r="BO46" s="49">
        <f t="shared" si="34"/>
        <v>0</v>
      </c>
      <c r="BP46" s="49">
        <f t="shared" si="35"/>
        <v>21200</v>
      </c>
      <c r="BQ46" s="44">
        <f t="shared" si="36"/>
        <v>3.024366938399492E-2</v>
      </c>
      <c r="BS46" s="49">
        <f t="shared" si="37"/>
        <v>20577.656170094149</v>
      </c>
      <c r="BT46" s="49">
        <f t="shared" si="38"/>
        <v>73.110000499999998</v>
      </c>
      <c r="BU46" s="49">
        <f t="shared" si="39"/>
        <v>47.244999</v>
      </c>
      <c r="BV46" s="49">
        <f t="shared" si="40"/>
        <v>-238.69304985086228</v>
      </c>
      <c r="BW46" s="18">
        <f t="shared" si="41"/>
        <v>28</v>
      </c>
      <c r="BX46" s="19">
        <f t="shared" si="73"/>
        <v>0.99357798165137612</v>
      </c>
      <c r="BY46" s="49">
        <f t="shared" si="74"/>
        <v>-237.16015870503105</v>
      </c>
      <c r="BZ46" s="19">
        <f t="shared" si="42"/>
        <v>0.34701678351293169</v>
      </c>
      <c r="CA46" s="19">
        <f t="shared" si="43"/>
        <v>0.56608716917005353</v>
      </c>
      <c r="CB46" s="19">
        <f t="shared" si="44"/>
        <v>0.16967412127414722</v>
      </c>
      <c r="CC46" s="19">
        <f t="shared" si="45"/>
        <v>0.32850064304490423</v>
      </c>
      <c r="CD46" s="19">
        <f t="shared" si="46"/>
        <v>0</v>
      </c>
      <c r="CE46" s="19">
        <f t="shared" si="47"/>
        <v>0</v>
      </c>
      <c r="CF46" s="49">
        <f t="shared" si="48"/>
        <v>-50.740794432277653</v>
      </c>
      <c r="CG46" s="49">
        <f t="shared" si="49"/>
        <v>-39.343058257318717</v>
      </c>
      <c r="CH46" s="49">
        <f t="shared" si="50"/>
        <v>-9.7155398448094274</v>
      </c>
      <c r="CI46" s="49">
        <f t="shared" si="51"/>
        <v>-23.067315483113816</v>
      </c>
      <c r="CJ46" s="49">
        <f t="shared" si="52"/>
        <v>0</v>
      </c>
      <c r="CK46" s="49">
        <f t="shared" si="53"/>
        <v>0</v>
      </c>
    </row>
    <row r="47" spans="1:89" ht="12.75" customHeight="1" x14ac:dyDescent="0.2">
      <c r="B47" s="77">
        <v>39329</v>
      </c>
      <c r="C47" s="49">
        <v>144.929993</v>
      </c>
      <c r="D47" s="49">
        <v>68.589995999999999</v>
      </c>
      <c r="E47" s="49">
        <v>56.330002</v>
      </c>
      <c r="F47" s="49">
        <v>68.779999000000004</v>
      </c>
      <c r="G47" s="49">
        <v>46.880001</v>
      </c>
      <c r="H47" s="49">
        <v>93.110000999999997</v>
      </c>
      <c r="J47" s="78">
        <f>IF(inter=Weekly_2,J46+$C$5,IF(inter=Bi_weekly_2,0,IF(inter=Monthly_2,0,IF(inter=Quarterly_2,0,IF(inter=Yearly_2,0,IF(inter=None_2,0,0))))))</f>
        <v>0</v>
      </c>
      <c r="K47" s="79">
        <f t="shared" si="54"/>
        <v>0</v>
      </c>
      <c r="L47" s="79">
        <f t="shared" si="55"/>
        <v>0</v>
      </c>
      <c r="M47" s="79">
        <f t="shared" si="56"/>
        <v>0</v>
      </c>
      <c r="N47" s="79">
        <f t="shared" si="57"/>
        <v>0</v>
      </c>
      <c r="O47" s="79">
        <f t="shared" si="58"/>
        <v>0</v>
      </c>
      <c r="P47" s="79">
        <f t="shared" si="59"/>
        <v>0</v>
      </c>
      <c r="Q47" s="79"/>
      <c r="R47" s="80">
        <f t="shared" si="12"/>
        <v>0</v>
      </c>
      <c r="S47" s="80">
        <f t="shared" si="13"/>
        <v>0</v>
      </c>
      <c r="T47" s="80">
        <f t="shared" si="14"/>
        <v>0</v>
      </c>
      <c r="U47" s="80">
        <f t="shared" si="15"/>
        <v>0</v>
      </c>
      <c r="V47" s="80">
        <f t="shared" si="16"/>
        <v>0</v>
      </c>
      <c r="W47" s="80">
        <f t="shared" si="17"/>
        <v>0</v>
      </c>
      <c r="X47" s="80">
        <f t="shared" si="75"/>
        <v>50.745451711493281</v>
      </c>
      <c r="Y47" s="80">
        <f t="shared" si="76"/>
        <v>30.503597122302157</v>
      </c>
      <c r="Z47" s="80">
        <f t="shared" si="77"/>
        <v>29.619281509580212</v>
      </c>
      <c r="AA47" s="80">
        <f t="shared" si="78"/>
        <v>21.133579875625468</v>
      </c>
      <c r="AB47" s="80">
        <f t="shared" si="79"/>
        <v>110.73965502006573</v>
      </c>
      <c r="AC47" s="80">
        <f t="shared" si="80"/>
        <v>33.654355670533512</v>
      </c>
      <c r="AD47" s="80"/>
      <c r="AE47" s="80"/>
      <c r="AF47" s="80"/>
      <c r="AG47" s="80"/>
      <c r="AH47" s="80"/>
      <c r="AI47" s="80"/>
      <c r="AJ47" s="45">
        <f t="shared" si="19"/>
        <v>0</v>
      </c>
      <c r="AK47" s="45">
        <f t="shared" si="20"/>
        <v>0</v>
      </c>
      <c r="AL47" s="45">
        <f t="shared" si="21"/>
        <v>0</v>
      </c>
      <c r="AM47" s="45">
        <f t="shared" si="22"/>
        <v>0</v>
      </c>
      <c r="AN47" s="45">
        <f t="shared" si="23"/>
        <v>0</v>
      </c>
      <c r="AO47" s="45">
        <f t="shared" si="24"/>
        <v>0</v>
      </c>
      <c r="AP47" s="80">
        <f t="shared" si="25"/>
        <v>0</v>
      </c>
      <c r="AQ47" s="80">
        <f t="shared" si="26"/>
        <v>0</v>
      </c>
      <c r="AR47" s="80">
        <f t="shared" si="27"/>
        <v>0</v>
      </c>
      <c r="AS47" s="80">
        <f t="shared" si="28"/>
        <v>0</v>
      </c>
      <c r="AT47" s="80">
        <f t="shared" si="29"/>
        <v>0</v>
      </c>
      <c r="AU47" s="80">
        <f t="shared" si="30"/>
        <v>0</v>
      </c>
      <c r="AV47" s="80">
        <f t="shared" si="81"/>
        <v>0</v>
      </c>
      <c r="AW47" s="80">
        <f t="shared" si="82"/>
        <v>0</v>
      </c>
      <c r="AX47" s="80">
        <f t="shared" si="83"/>
        <v>0</v>
      </c>
      <c r="AY47" s="80">
        <f t="shared" si="84"/>
        <v>0</v>
      </c>
      <c r="AZ47" s="80">
        <f t="shared" si="85"/>
        <v>0</v>
      </c>
      <c r="BA47" s="80">
        <f t="shared" si="86"/>
        <v>0</v>
      </c>
      <c r="BB47" s="80">
        <f t="shared" si="62"/>
        <v>50.745451711493281</v>
      </c>
      <c r="BC47" s="80">
        <f t="shared" si="63"/>
        <v>30.503597122302157</v>
      </c>
      <c r="BD47" s="80">
        <f t="shared" si="64"/>
        <v>29.619281509580212</v>
      </c>
      <c r="BE47" s="80">
        <f t="shared" si="65"/>
        <v>21.133579875625468</v>
      </c>
      <c r="BF47" s="80">
        <f t="shared" si="66"/>
        <v>110.73965502006573</v>
      </c>
      <c r="BG47" s="80">
        <f t="shared" si="67"/>
        <v>33.654355670533512</v>
      </c>
      <c r="BH47" s="49">
        <f t="shared" si="68"/>
        <v>0</v>
      </c>
      <c r="BI47" s="79">
        <f t="shared" si="69"/>
        <v>-20577.656170094149</v>
      </c>
      <c r="BJ47" s="79">
        <f t="shared" si="33"/>
        <v>20893.833583536099</v>
      </c>
      <c r="BK47" s="44">
        <f t="shared" si="70"/>
        <v>1.5365083896262899E-2</v>
      </c>
      <c r="BL47" s="79">
        <f t="shared" si="87"/>
        <v>0</v>
      </c>
      <c r="BM47" s="49">
        <f t="shared" si="71"/>
        <v>20893.833583536099</v>
      </c>
      <c r="BN47" s="44">
        <f t="shared" si="72"/>
        <v>1.5365083896262899E-2</v>
      </c>
      <c r="BO47" s="49">
        <f t="shared" si="34"/>
        <v>0</v>
      </c>
      <c r="BP47" s="49">
        <f t="shared" si="35"/>
        <v>20893.833583536099</v>
      </c>
      <c r="BQ47" s="44">
        <f t="shared" si="36"/>
        <v>1.5365083896262899E-2</v>
      </c>
      <c r="BS47" s="49">
        <f t="shared" si="37"/>
        <v>20577.656170094149</v>
      </c>
      <c r="BT47" s="49">
        <f t="shared" si="38"/>
        <v>72.464996499999998</v>
      </c>
      <c r="BU47" s="49">
        <f t="shared" si="39"/>
        <v>46.555000499999998</v>
      </c>
      <c r="BV47" s="49">
        <f t="shared" si="40"/>
        <v>0</v>
      </c>
      <c r="BW47" s="18">
        <f t="shared" si="41"/>
        <v>36</v>
      </c>
      <c r="BX47" s="19">
        <f t="shared" si="73"/>
        <v>0.99174311926605507</v>
      </c>
      <c r="BY47" s="49">
        <f t="shared" si="74"/>
        <v>0</v>
      </c>
      <c r="BZ47" s="19">
        <f t="shared" si="42"/>
        <v>0</v>
      </c>
      <c r="CA47" s="19">
        <f t="shared" si="43"/>
        <v>0</v>
      </c>
      <c r="CB47" s="19">
        <f t="shared" si="44"/>
        <v>0</v>
      </c>
      <c r="CC47" s="19">
        <f t="shared" si="45"/>
        <v>0</v>
      </c>
      <c r="CD47" s="19">
        <f t="shared" si="46"/>
        <v>0</v>
      </c>
      <c r="CE47" s="19">
        <f t="shared" si="47"/>
        <v>0</v>
      </c>
      <c r="CF47" s="49">
        <f t="shared" si="48"/>
        <v>0</v>
      </c>
      <c r="CG47" s="49">
        <f t="shared" si="49"/>
        <v>0</v>
      </c>
      <c r="CH47" s="49">
        <f t="shared" si="50"/>
        <v>0</v>
      </c>
      <c r="CI47" s="49">
        <f t="shared" si="51"/>
        <v>0</v>
      </c>
      <c r="CJ47" s="49">
        <f t="shared" si="52"/>
        <v>0</v>
      </c>
      <c r="CK47" s="49">
        <f t="shared" si="53"/>
        <v>0</v>
      </c>
    </row>
    <row r="48" spans="1:89" ht="12.75" customHeight="1" x14ac:dyDescent="0.2">
      <c r="B48" s="77">
        <v>39335</v>
      </c>
      <c r="C48" s="49">
        <v>147.38000500000001</v>
      </c>
      <c r="D48" s="49">
        <v>70.199996999999996</v>
      </c>
      <c r="E48" s="49">
        <v>56.91</v>
      </c>
      <c r="F48" s="49">
        <v>69.300003000000004</v>
      </c>
      <c r="G48" s="49">
        <v>47.529998999999997</v>
      </c>
      <c r="H48" s="49">
        <v>95.919998000000007</v>
      </c>
      <c r="J48" s="78">
        <f>IF(inter=Weekly_2,J47+$C$5,IF(inter=Bi_weekly_2,J46+$C$5,IF(inter=Monthly_2,0,IF(inter=Quarterly_2,0,IF(inter=Yearly_2,0,IF(inter=None_2,0,0))))))</f>
        <v>21800</v>
      </c>
      <c r="K48" s="79">
        <f t="shared" si="54"/>
        <v>-151.13507303286042</v>
      </c>
      <c r="L48" s="79">
        <f t="shared" si="55"/>
        <v>-38.647573525180178</v>
      </c>
      <c r="M48" s="79">
        <f t="shared" si="56"/>
        <v>-58.366689289790202</v>
      </c>
      <c r="N48" s="79">
        <f t="shared" si="57"/>
        <v>-61.442851218415626</v>
      </c>
      <c r="O48" s="79">
        <f t="shared" si="58"/>
        <v>-186.54430763593155</v>
      </c>
      <c r="P48" s="79">
        <f t="shared" si="59"/>
        <v>-41.874271391136517</v>
      </c>
      <c r="Q48" s="79"/>
      <c r="R48" s="80">
        <f t="shared" si="12"/>
        <v>1.0254788160229769</v>
      </c>
      <c r="S48" s="80">
        <f t="shared" si="13"/>
        <v>0.55053525892857491</v>
      </c>
      <c r="T48" s="80">
        <f t="shared" si="14"/>
        <v>1.0255963677699913</v>
      </c>
      <c r="U48" s="80">
        <f t="shared" si="15"/>
        <v>0.8866211913210974</v>
      </c>
      <c r="V48" s="80">
        <f t="shared" si="16"/>
        <v>3.9247698624174503</v>
      </c>
      <c r="W48" s="80">
        <f t="shared" si="17"/>
        <v>0.43655413119521241</v>
      </c>
      <c r="X48" s="80">
        <f t="shared" si="75"/>
        <v>51.770930527516256</v>
      </c>
      <c r="Y48" s="80">
        <f t="shared" si="76"/>
        <v>31.054132381230733</v>
      </c>
      <c r="Z48" s="80">
        <f t="shared" si="77"/>
        <v>30.644877877350204</v>
      </c>
      <c r="AA48" s="80">
        <f t="shared" si="78"/>
        <v>22.020201066946566</v>
      </c>
      <c r="AB48" s="80">
        <f t="shared" si="79"/>
        <v>114.66442488248317</v>
      </c>
      <c r="AC48" s="80">
        <f t="shared" si="80"/>
        <v>34.090909801728728</v>
      </c>
      <c r="AD48" s="80"/>
      <c r="AE48" s="80"/>
      <c r="AF48" s="80"/>
      <c r="AG48" s="80"/>
      <c r="AH48" s="80"/>
      <c r="AI48" s="80"/>
      <c r="AJ48" s="45">
        <f t="shared" si="19"/>
        <v>0</v>
      </c>
      <c r="AK48" s="45">
        <f t="shared" si="20"/>
        <v>0</v>
      </c>
      <c r="AL48" s="45">
        <f t="shared" si="21"/>
        <v>0</v>
      </c>
      <c r="AM48" s="45">
        <f t="shared" si="22"/>
        <v>0</v>
      </c>
      <c r="AN48" s="45">
        <f t="shared" si="23"/>
        <v>0</v>
      </c>
      <c r="AO48" s="45">
        <f t="shared" si="24"/>
        <v>0</v>
      </c>
      <c r="AP48" s="80">
        <f t="shared" si="25"/>
        <v>0</v>
      </c>
      <c r="AQ48" s="80">
        <f t="shared" si="26"/>
        <v>0</v>
      </c>
      <c r="AR48" s="80">
        <f t="shared" si="27"/>
        <v>0</v>
      </c>
      <c r="AS48" s="80">
        <f t="shared" si="28"/>
        <v>0</v>
      </c>
      <c r="AT48" s="80">
        <f t="shared" si="29"/>
        <v>0</v>
      </c>
      <c r="AU48" s="80">
        <f t="shared" si="30"/>
        <v>0</v>
      </c>
      <c r="AV48" s="80">
        <f t="shared" si="81"/>
        <v>0</v>
      </c>
      <c r="AW48" s="80">
        <f t="shared" si="82"/>
        <v>0</v>
      </c>
      <c r="AX48" s="80">
        <f t="shared" si="83"/>
        <v>0</v>
      </c>
      <c r="AY48" s="80">
        <f t="shared" si="84"/>
        <v>0</v>
      </c>
      <c r="AZ48" s="80">
        <f t="shared" si="85"/>
        <v>0</v>
      </c>
      <c r="BA48" s="80">
        <f t="shared" si="86"/>
        <v>0</v>
      </c>
      <c r="BB48" s="80">
        <f t="shared" si="62"/>
        <v>51.770930527516256</v>
      </c>
      <c r="BC48" s="80">
        <f t="shared" si="63"/>
        <v>31.054132381230733</v>
      </c>
      <c r="BD48" s="80">
        <f t="shared" si="64"/>
        <v>30.644877877350204</v>
      </c>
      <c r="BE48" s="80">
        <f t="shared" si="65"/>
        <v>22.020201066946566</v>
      </c>
      <c r="BF48" s="80">
        <f t="shared" si="66"/>
        <v>114.66442488248317</v>
      </c>
      <c r="BG48" s="80">
        <f t="shared" si="67"/>
        <v>34.090909801728728</v>
      </c>
      <c r="BH48" s="49">
        <f t="shared" si="68"/>
        <v>0</v>
      </c>
      <c r="BI48" s="79">
        <f t="shared" si="69"/>
        <v>-21115.666936187463</v>
      </c>
      <c r="BJ48" s="79">
        <f t="shared" si="33"/>
        <v>21800</v>
      </c>
      <c r="BK48" s="44">
        <f t="shared" si="70"/>
        <v>3.2408782818966753E-2</v>
      </c>
      <c r="BL48" s="79">
        <f t="shared" si="87"/>
        <v>0</v>
      </c>
      <c r="BM48" s="49">
        <f t="shared" si="71"/>
        <v>21800</v>
      </c>
      <c r="BN48" s="44">
        <f t="shared" si="72"/>
        <v>3.2408782818966753E-2</v>
      </c>
      <c r="BO48" s="49">
        <f t="shared" si="34"/>
        <v>0</v>
      </c>
      <c r="BP48" s="49">
        <f t="shared" si="35"/>
        <v>21800</v>
      </c>
      <c r="BQ48" s="44">
        <f t="shared" si="36"/>
        <v>3.2408782818966753E-2</v>
      </c>
      <c r="BS48" s="49">
        <f t="shared" si="37"/>
        <v>21115.666936187463</v>
      </c>
      <c r="BT48" s="49">
        <f t="shared" si="38"/>
        <v>73.690002500000006</v>
      </c>
      <c r="BU48" s="49">
        <f t="shared" si="39"/>
        <v>47.959999000000003</v>
      </c>
      <c r="BV48" s="49">
        <f t="shared" si="40"/>
        <v>538.01076609331449</v>
      </c>
      <c r="BW48" s="18">
        <f t="shared" si="41"/>
        <v>42</v>
      </c>
      <c r="BX48" s="19">
        <f t="shared" si="73"/>
        <v>0.99036697247706418</v>
      </c>
      <c r="BY48" s="49">
        <f t="shared" si="74"/>
        <v>532.82809357590179</v>
      </c>
      <c r="BZ48" s="19">
        <f t="shared" si="42"/>
        <v>1.0254788160229769</v>
      </c>
      <c r="CA48" s="19">
        <f t="shared" si="43"/>
        <v>0.55053525892857491</v>
      </c>
      <c r="CB48" s="19">
        <f t="shared" si="44"/>
        <v>1.0255963677699913</v>
      </c>
      <c r="CC48" s="19">
        <f t="shared" si="45"/>
        <v>0.8866211913210974</v>
      </c>
      <c r="CD48" s="19">
        <f t="shared" si="46"/>
        <v>3.9247698624174503</v>
      </c>
      <c r="CE48" s="19">
        <f t="shared" si="47"/>
        <v>0.43655413119521241</v>
      </c>
      <c r="CF48" s="49">
        <f t="shared" si="48"/>
        <v>-151.13507303286042</v>
      </c>
      <c r="CG48" s="49">
        <f t="shared" si="49"/>
        <v>-38.647573525180178</v>
      </c>
      <c r="CH48" s="49">
        <f t="shared" si="50"/>
        <v>-58.366689289790202</v>
      </c>
      <c r="CI48" s="49">
        <f t="shared" si="51"/>
        <v>-61.442851218415626</v>
      </c>
      <c r="CJ48" s="49">
        <f t="shared" si="52"/>
        <v>-186.54430763593155</v>
      </c>
      <c r="CK48" s="49">
        <f t="shared" si="53"/>
        <v>-41.874271391136517</v>
      </c>
    </row>
    <row r="49" spans="2:89" ht="12.75" customHeight="1" x14ac:dyDescent="0.2">
      <c r="B49" s="77">
        <v>39342</v>
      </c>
      <c r="C49" s="49">
        <v>151.220001</v>
      </c>
      <c r="D49" s="49">
        <v>72.180000000000007</v>
      </c>
      <c r="E49" s="49">
        <v>58.23</v>
      </c>
      <c r="F49" s="49">
        <v>71.680000000000007</v>
      </c>
      <c r="G49" s="49">
        <v>49.110000999999997</v>
      </c>
      <c r="H49" s="49">
        <v>100.75</v>
      </c>
      <c r="J49" s="78">
        <f>IF(inter=Weekly_2,J48+$C$5,IF(inter=Bi_weekly_2,0,IF(inter=Monthly_2,0,IF(inter=Quarterly_2,0,IF(inter=Yearly_2,0,IF(inter=None_2,0,0))))))</f>
        <v>0</v>
      </c>
      <c r="K49" s="79">
        <f t="shared" si="54"/>
        <v>0</v>
      </c>
      <c r="L49" s="79">
        <f t="shared" si="55"/>
        <v>0</v>
      </c>
      <c r="M49" s="79">
        <f t="shared" si="56"/>
        <v>0</v>
      </c>
      <c r="N49" s="79">
        <f t="shared" si="57"/>
        <v>0</v>
      </c>
      <c r="O49" s="79">
        <f t="shared" si="58"/>
        <v>0</v>
      </c>
      <c r="P49" s="79">
        <f t="shared" si="59"/>
        <v>0</v>
      </c>
      <c r="Q49" s="79"/>
      <c r="R49" s="80">
        <f t="shared" si="12"/>
        <v>0</v>
      </c>
      <c r="S49" s="80">
        <f t="shared" si="13"/>
        <v>0</v>
      </c>
      <c r="T49" s="80">
        <f t="shared" si="14"/>
        <v>0</v>
      </c>
      <c r="U49" s="80">
        <f t="shared" si="15"/>
        <v>0</v>
      </c>
      <c r="V49" s="80">
        <f t="shared" si="16"/>
        <v>0</v>
      </c>
      <c r="W49" s="80">
        <f t="shared" si="17"/>
        <v>0</v>
      </c>
      <c r="X49" s="80">
        <f t="shared" si="75"/>
        <v>51.770930527516256</v>
      </c>
      <c r="Y49" s="80">
        <f t="shared" si="76"/>
        <v>31.054132381230733</v>
      </c>
      <c r="Z49" s="80">
        <f t="shared" si="77"/>
        <v>30.644877877350204</v>
      </c>
      <c r="AA49" s="80">
        <f t="shared" si="78"/>
        <v>22.020201066946566</v>
      </c>
      <c r="AB49" s="80">
        <f t="shared" si="79"/>
        <v>114.66442488248317</v>
      </c>
      <c r="AC49" s="80">
        <f t="shared" si="80"/>
        <v>34.090909801728728</v>
      </c>
      <c r="AD49" s="80"/>
      <c r="AE49" s="80"/>
      <c r="AF49" s="80"/>
      <c r="AG49" s="80"/>
      <c r="AH49" s="80"/>
      <c r="AI49" s="80"/>
      <c r="AJ49" s="45">
        <f t="shared" si="19"/>
        <v>0</v>
      </c>
      <c r="AK49" s="45">
        <f t="shared" si="20"/>
        <v>0</v>
      </c>
      <c r="AL49" s="45">
        <f t="shared" si="21"/>
        <v>0</v>
      </c>
      <c r="AM49" s="45">
        <f t="shared" si="22"/>
        <v>0</v>
      </c>
      <c r="AN49" s="45">
        <f t="shared" si="23"/>
        <v>0</v>
      </c>
      <c r="AO49" s="45">
        <f t="shared" si="24"/>
        <v>0</v>
      </c>
      <c r="AP49" s="80">
        <f t="shared" si="25"/>
        <v>0</v>
      </c>
      <c r="AQ49" s="80">
        <f t="shared" si="26"/>
        <v>0</v>
      </c>
      <c r="AR49" s="80">
        <f t="shared" si="27"/>
        <v>0</v>
      </c>
      <c r="AS49" s="80">
        <f t="shared" si="28"/>
        <v>0</v>
      </c>
      <c r="AT49" s="80">
        <f t="shared" si="29"/>
        <v>0</v>
      </c>
      <c r="AU49" s="80">
        <f t="shared" si="30"/>
        <v>0</v>
      </c>
      <c r="AV49" s="80">
        <f t="shared" si="81"/>
        <v>0</v>
      </c>
      <c r="AW49" s="80">
        <f t="shared" si="82"/>
        <v>0</v>
      </c>
      <c r="AX49" s="80">
        <f t="shared" si="83"/>
        <v>0</v>
      </c>
      <c r="AY49" s="80">
        <f t="shared" si="84"/>
        <v>0</v>
      </c>
      <c r="AZ49" s="80">
        <f t="shared" si="85"/>
        <v>0</v>
      </c>
      <c r="BA49" s="80">
        <f t="shared" si="86"/>
        <v>0</v>
      </c>
      <c r="BB49" s="80">
        <f t="shared" si="62"/>
        <v>51.770930527516256</v>
      </c>
      <c r="BC49" s="80">
        <f t="shared" si="63"/>
        <v>31.054132381230733</v>
      </c>
      <c r="BD49" s="80">
        <f t="shared" si="64"/>
        <v>30.644877877350204</v>
      </c>
      <c r="BE49" s="80">
        <f t="shared" si="65"/>
        <v>22.020201066946566</v>
      </c>
      <c r="BF49" s="80">
        <f t="shared" si="66"/>
        <v>114.66442488248317</v>
      </c>
      <c r="BG49" s="80">
        <f t="shared" si="67"/>
        <v>34.090909801728728</v>
      </c>
      <c r="BH49" s="49">
        <f t="shared" si="68"/>
        <v>0</v>
      </c>
      <c r="BI49" s="79">
        <f t="shared" si="69"/>
        <v>-21115.666936187463</v>
      </c>
      <c r="BJ49" s="79">
        <f t="shared" si="33"/>
        <v>22498.975875863351</v>
      </c>
      <c r="BK49" s="44">
        <f t="shared" si="70"/>
        <v>6.5511022874925606E-2</v>
      </c>
      <c r="BL49" s="79">
        <f t="shared" si="87"/>
        <v>0</v>
      </c>
      <c r="BM49" s="49">
        <f t="shared" si="71"/>
        <v>22498.975875863351</v>
      </c>
      <c r="BN49" s="44">
        <f t="shared" si="72"/>
        <v>6.5511022874925606E-2</v>
      </c>
      <c r="BO49" s="49">
        <f t="shared" si="34"/>
        <v>0</v>
      </c>
      <c r="BP49" s="49">
        <f t="shared" si="35"/>
        <v>22498.975875863351</v>
      </c>
      <c r="BQ49" s="44">
        <f t="shared" si="36"/>
        <v>6.5511022874925606E-2</v>
      </c>
      <c r="BS49" s="49">
        <f t="shared" si="37"/>
        <v>21115.666936187463</v>
      </c>
      <c r="BT49" s="49">
        <f t="shared" si="38"/>
        <v>75.610000499999998</v>
      </c>
      <c r="BU49" s="49">
        <f t="shared" si="39"/>
        <v>50.375</v>
      </c>
      <c r="BV49" s="49">
        <f t="shared" si="40"/>
        <v>0</v>
      </c>
      <c r="BW49" s="18">
        <f t="shared" si="41"/>
        <v>49</v>
      </c>
      <c r="BX49" s="19">
        <f t="shared" si="73"/>
        <v>0.98876146788990826</v>
      </c>
      <c r="BY49" s="49">
        <f t="shared" si="74"/>
        <v>0</v>
      </c>
      <c r="BZ49" s="19">
        <f t="shared" si="42"/>
        <v>0</v>
      </c>
      <c r="CA49" s="19">
        <f t="shared" si="43"/>
        <v>0</v>
      </c>
      <c r="CB49" s="19">
        <f t="shared" si="44"/>
        <v>0</v>
      </c>
      <c r="CC49" s="19">
        <f t="shared" si="45"/>
        <v>0</v>
      </c>
      <c r="CD49" s="19">
        <f t="shared" si="46"/>
        <v>0</v>
      </c>
      <c r="CE49" s="19">
        <f t="shared" si="47"/>
        <v>0</v>
      </c>
      <c r="CF49" s="49">
        <f t="shared" si="48"/>
        <v>0</v>
      </c>
      <c r="CG49" s="49">
        <f t="shared" si="49"/>
        <v>0</v>
      </c>
      <c r="CH49" s="49">
        <f t="shared" si="50"/>
        <v>0</v>
      </c>
      <c r="CI49" s="49">
        <f t="shared" si="51"/>
        <v>0</v>
      </c>
      <c r="CJ49" s="49">
        <f t="shared" si="52"/>
        <v>0</v>
      </c>
      <c r="CK49" s="49">
        <f t="shared" si="53"/>
        <v>0</v>
      </c>
    </row>
    <row r="50" spans="2:89" ht="12.75" customHeight="1" x14ac:dyDescent="0.2">
      <c r="B50" s="77">
        <v>39349</v>
      </c>
      <c r="C50" s="49">
        <v>151.199997</v>
      </c>
      <c r="D50" s="49">
        <v>71.510002</v>
      </c>
      <c r="E50" s="49">
        <v>58.369999</v>
      </c>
      <c r="F50" s="49">
        <v>70.830001999999993</v>
      </c>
      <c r="G50" s="49">
        <v>50.139999000000003</v>
      </c>
      <c r="H50" s="49">
        <v>103.779999</v>
      </c>
      <c r="J50" s="78">
        <f>IF(inter=Weekly_2,J49+$C$5,IF(inter=Bi_weekly_2,J48+$C$5,IF(inter=Monthly_2,J46+$C$5,IF(inter=Quarterly_2,0,IF(inter=Yearly_2,0,IF(inter=None_2,0,0))))))</f>
        <v>22400</v>
      </c>
      <c r="K50" s="79">
        <f t="shared" si="54"/>
        <v>-12.235459552332941</v>
      </c>
      <c r="L50" s="79">
        <f t="shared" si="55"/>
        <v>-19.318931309925574</v>
      </c>
      <c r="M50" s="79">
        <f t="shared" si="56"/>
        <v>-3.2585089439464809</v>
      </c>
      <c r="N50" s="79">
        <f t="shared" si="57"/>
        <v>-8.3091143877729792</v>
      </c>
      <c r="O50" s="79">
        <f t="shared" si="58"/>
        <v>149.27414894328194</v>
      </c>
      <c r="P50" s="79">
        <f t="shared" si="59"/>
        <v>177.95458513249787</v>
      </c>
      <c r="Q50" s="79"/>
      <c r="R50" s="80">
        <f t="shared" si="12"/>
        <v>8.0922353142195771E-2</v>
      </c>
      <c r="S50" s="80">
        <f t="shared" si="13"/>
        <v>0.27015705173558202</v>
      </c>
      <c r="T50" s="80">
        <f t="shared" si="14"/>
        <v>5.5825064241417595E-2</v>
      </c>
      <c r="U50" s="80">
        <f t="shared" si="15"/>
        <v>0.1173106614873875</v>
      </c>
      <c r="V50" s="80">
        <f t="shared" si="16"/>
        <v>-2.977147026733725</v>
      </c>
      <c r="W50" s="80">
        <f t="shared" si="17"/>
        <v>-1.7147291081829541</v>
      </c>
      <c r="X50" s="80">
        <f t="shared" si="75"/>
        <v>51.851852880658456</v>
      </c>
      <c r="Y50" s="80">
        <f t="shared" si="76"/>
        <v>31.324289432966314</v>
      </c>
      <c r="Z50" s="80">
        <f t="shared" si="77"/>
        <v>30.700702941591622</v>
      </c>
      <c r="AA50" s="80">
        <f t="shared" si="78"/>
        <v>22.137511728433953</v>
      </c>
      <c r="AB50" s="80">
        <f t="shared" si="79"/>
        <v>111.68727785574944</v>
      </c>
      <c r="AC50" s="80">
        <f t="shared" si="80"/>
        <v>32.376180693545777</v>
      </c>
      <c r="AD50" s="80">
        <v>0.32100000000000001</v>
      </c>
      <c r="AE50" s="80">
        <v>0.46</v>
      </c>
      <c r="AF50" s="80"/>
      <c r="AG50" s="80"/>
      <c r="AH50" s="80"/>
      <c r="AI50" s="80"/>
      <c r="AJ50" s="45">
        <f t="shared" si="19"/>
        <v>16.644444774691365</v>
      </c>
      <c r="AK50" s="45">
        <f t="shared" si="20"/>
        <v>14.409173139164505</v>
      </c>
      <c r="AL50" s="45">
        <f t="shared" si="21"/>
        <v>0</v>
      </c>
      <c r="AM50" s="45">
        <f t="shared" si="22"/>
        <v>0</v>
      </c>
      <c r="AN50" s="45">
        <f t="shared" si="23"/>
        <v>0</v>
      </c>
      <c r="AO50" s="45">
        <f t="shared" si="24"/>
        <v>0</v>
      </c>
      <c r="AP50" s="80">
        <f t="shared" si="25"/>
        <v>0.11008230889509453</v>
      </c>
      <c r="AQ50" s="80">
        <f t="shared" si="26"/>
        <v>0.2014987097771932</v>
      </c>
      <c r="AR50" s="80">
        <f t="shared" si="27"/>
        <v>0</v>
      </c>
      <c r="AS50" s="80">
        <f t="shared" si="28"/>
        <v>0</v>
      </c>
      <c r="AT50" s="80">
        <f t="shared" si="29"/>
        <v>0</v>
      </c>
      <c r="AU50" s="80">
        <f t="shared" si="30"/>
        <v>0</v>
      </c>
      <c r="AV50" s="80">
        <f t="shared" si="81"/>
        <v>0.11008230889509453</v>
      </c>
      <c r="AW50" s="80">
        <f t="shared" si="82"/>
        <v>0.2014987097771932</v>
      </c>
      <c r="AX50" s="80">
        <f t="shared" si="83"/>
        <v>0</v>
      </c>
      <c r="AY50" s="80">
        <f t="shared" si="84"/>
        <v>0</v>
      </c>
      <c r="AZ50" s="80">
        <f t="shared" si="85"/>
        <v>0</v>
      </c>
      <c r="BA50" s="80">
        <f t="shared" si="86"/>
        <v>0</v>
      </c>
      <c r="BB50" s="80">
        <f t="shared" si="62"/>
        <v>51.96193518955355</v>
      </c>
      <c r="BC50" s="80">
        <f t="shared" si="63"/>
        <v>31.525788142743508</v>
      </c>
      <c r="BD50" s="80">
        <f t="shared" si="64"/>
        <v>30.700702941591622</v>
      </c>
      <c r="BE50" s="80">
        <f t="shared" si="65"/>
        <v>22.137511728433953</v>
      </c>
      <c r="BF50" s="80">
        <f t="shared" si="66"/>
        <v>111.68727785574944</v>
      </c>
      <c r="BG50" s="80">
        <f t="shared" si="67"/>
        <v>32.376180693545777</v>
      </c>
      <c r="BH50" s="49">
        <f t="shared" si="68"/>
        <v>31.05361791385587</v>
      </c>
      <c r="BI50" s="79">
        <f t="shared" si="69"/>
        <v>-20831.560216305657</v>
      </c>
      <c r="BJ50" s="79">
        <f t="shared" si="33"/>
        <v>22400</v>
      </c>
      <c r="BK50" s="44">
        <f t="shared" si="70"/>
        <v>7.5291517649583639E-2</v>
      </c>
      <c r="BL50" s="79">
        <f t="shared" si="87"/>
        <v>31.05361791385587</v>
      </c>
      <c r="BM50" s="49">
        <f t="shared" si="71"/>
        <v>22431.053617913854</v>
      </c>
      <c r="BN50" s="44">
        <f t="shared" si="72"/>
        <v>7.6782218182400497E-2</v>
      </c>
      <c r="BO50" s="49">
        <f t="shared" si="34"/>
        <v>31.05361791385587</v>
      </c>
      <c r="BP50" s="49">
        <f t="shared" si="35"/>
        <v>22431.053617913854</v>
      </c>
      <c r="BQ50" s="44">
        <f t="shared" si="36"/>
        <v>7.6782218182400497E-2</v>
      </c>
      <c r="BS50" s="49">
        <f t="shared" si="37"/>
        <v>20831.560216305657</v>
      </c>
      <c r="BT50" s="49">
        <f t="shared" si="38"/>
        <v>75.599998499999998</v>
      </c>
      <c r="BU50" s="49">
        <f t="shared" si="39"/>
        <v>51.889999500000002</v>
      </c>
      <c r="BV50" s="49">
        <f t="shared" si="40"/>
        <v>-315.16033779565771</v>
      </c>
      <c r="BW50" s="18">
        <f t="shared" si="41"/>
        <v>56</v>
      </c>
      <c r="BX50" s="19">
        <f t="shared" si="73"/>
        <v>0.98715596330275235</v>
      </c>
      <c r="BY50" s="49">
        <f t="shared" si="74"/>
        <v>-311.11240685149329</v>
      </c>
      <c r="BZ50" s="19">
        <f t="shared" si="42"/>
        <v>8.0922353142195771E-2</v>
      </c>
      <c r="CA50" s="19">
        <f t="shared" si="43"/>
        <v>0.27015705173558202</v>
      </c>
      <c r="CB50" s="19">
        <f t="shared" si="44"/>
        <v>5.5825064241417595E-2</v>
      </c>
      <c r="CC50" s="19">
        <f t="shared" si="45"/>
        <v>0.1173106614873875</v>
      </c>
      <c r="CD50" s="19">
        <f t="shared" si="46"/>
        <v>0</v>
      </c>
      <c r="CE50" s="19">
        <f t="shared" si="47"/>
        <v>0</v>
      </c>
      <c r="CF50" s="49">
        <f t="shared" si="48"/>
        <v>-12.235459552332941</v>
      </c>
      <c r="CG50" s="49">
        <f t="shared" si="49"/>
        <v>-19.318931309925574</v>
      </c>
      <c r="CH50" s="49">
        <f t="shared" si="50"/>
        <v>-3.2585089439464809</v>
      </c>
      <c r="CI50" s="49">
        <f t="shared" si="51"/>
        <v>-8.3091143877729792</v>
      </c>
      <c r="CJ50" s="49">
        <f t="shared" si="52"/>
        <v>0</v>
      </c>
      <c r="CK50" s="49">
        <f t="shared" si="53"/>
        <v>0</v>
      </c>
    </row>
    <row r="51" spans="2:89" ht="12.75" customHeight="1" x14ac:dyDescent="0.2">
      <c r="B51" s="77">
        <v>39356</v>
      </c>
      <c r="C51" s="49">
        <v>154.61000100000001</v>
      </c>
      <c r="D51" s="49">
        <v>73.120002999999997</v>
      </c>
      <c r="E51" s="49">
        <v>60.119999</v>
      </c>
      <c r="F51" s="49">
        <v>73.699996999999996</v>
      </c>
      <c r="G51" s="49">
        <v>51.130001</v>
      </c>
      <c r="H51" s="49">
        <v>109.599998</v>
      </c>
      <c r="J51" s="78">
        <f>IF(inter=Weekly_2,J50+$C$5,IF(inter=Bi_weekly_2,0,IF(inter=Monthly_2,0,IF(inter=Quarterly_2,0,IF(inter=Yearly_2,0,IF(inter=None_2,0,0))))))</f>
        <v>0</v>
      </c>
      <c r="K51" s="79">
        <f t="shared" si="54"/>
        <v>0</v>
      </c>
      <c r="L51" s="79">
        <f t="shared" si="55"/>
        <v>0</v>
      </c>
      <c r="M51" s="79">
        <f t="shared" si="56"/>
        <v>0</v>
      </c>
      <c r="N51" s="79">
        <f t="shared" si="57"/>
        <v>0</v>
      </c>
      <c r="O51" s="79">
        <f t="shared" si="58"/>
        <v>0</v>
      </c>
      <c r="P51" s="79">
        <f t="shared" si="59"/>
        <v>0</v>
      </c>
      <c r="Q51" s="79"/>
      <c r="R51" s="80">
        <f t="shared" si="12"/>
        <v>0</v>
      </c>
      <c r="S51" s="80">
        <f t="shared" si="13"/>
        <v>0</v>
      </c>
      <c r="T51" s="80">
        <f t="shared" si="14"/>
        <v>0</v>
      </c>
      <c r="U51" s="80">
        <f t="shared" si="15"/>
        <v>0</v>
      </c>
      <c r="V51" s="80">
        <f t="shared" si="16"/>
        <v>0</v>
      </c>
      <c r="W51" s="80">
        <f t="shared" si="17"/>
        <v>0</v>
      </c>
      <c r="X51" s="80">
        <f t="shared" si="75"/>
        <v>51.851852880658456</v>
      </c>
      <c r="Y51" s="80">
        <f t="shared" si="76"/>
        <v>31.324289432966314</v>
      </c>
      <c r="Z51" s="80">
        <f t="shared" si="77"/>
        <v>30.700702941591622</v>
      </c>
      <c r="AA51" s="80">
        <f t="shared" si="78"/>
        <v>22.137511728433953</v>
      </c>
      <c r="AB51" s="80">
        <f t="shared" si="79"/>
        <v>111.68727785574944</v>
      </c>
      <c r="AC51" s="80">
        <f t="shared" si="80"/>
        <v>32.376180693545777</v>
      </c>
      <c r="AD51" s="80"/>
      <c r="AE51" s="80"/>
      <c r="AF51" s="80"/>
      <c r="AG51" s="80"/>
      <c r="AH51" s="80"/>
      <c r="AI51" s="80"/>
      <c r="AJ51" s="45">
        <f t="shared" si="19"/>
        <v>0</v>
      </c>
      <c r="AK51" s="45">
        <f t="shared" si="20"/>
        <v>0</v>
      </c>
      <c r="AL51" s="45">
        <f t="shared" si="21"/>
        <v>0</v>
      </c>
      <c r="AM51" s="45">
        <f t="shared" si="22"/>
        <v>0</v>
      </c>
      <c r="AN51" s="45">
        <f t="shared" si="23"/>
        <v>0</v>
      </c>
      <c r="AO51" s="45">
        <f t="shared" si="24"/>
        <v>0</v>
      </c>
      <c r="AP51" s="80">
        <f t="shared" si="25"/>
        <v>0</v>
      </c>
      <c r="AQ51" s="80">
        <f t="shared" si="26"/>
        <v>0</v>
      </c>
      <c r="AR51" s="80">
        <f t="shared" si="27"/>
        <v>0</v>
      </c>
      <c r="AS51" s="80">
        <f t="shared" si="28"/>
        <v>0</v>
      </c>
      <c r="AT51" s="80">
        <f t="shared" si="29"/>
        <v>0</v>
      </c>
      <c r="AU51" s="80">
        <f t="shared" si="30"/>
        <v>0</v>
      </c>
      <c r="AV51" s="80">
        <f t="shared" si="81"/>
        <v>0.11008230889509453</v>
      </c>
      <c r="AW51" s="80">
        <f t="shared" si="82"/>
        <v>0.2014987097771932</v>
      </c>
      <c r="AX51" s="80">
        <f t="shared" si="83"/>
        <v>0</v>
      </c>
      <c r="AY51" s="80">
        <f t="shared" si="84"/>
        <v>0</v>
      </c>
      <c r="AZ51" s="80">
        <f t="shared" si="85"/>
        <v>0</v>
      </c>
      <c r="BA51" s="80">
        <f t="shared" si="86"/>
        <v>0</v>
      </c>
      <c r="BB51" s="80">
        <f t="shared" si="62"/>
        <v>51.96193518955355</v>
      </c>
      <c r="BC51" s="80">
        <f t="shared" si="63"/>
        <v>31.525788142743508</v>
      </c>
      <c r="BD51" s="80">
        <f t="shared" si="64"/>
        <v>30.700702941591622</v>
      </c>
      <c r="BE51" s="80">
        <f t="shared" si="65"/>
        <v>22.137511728433953</v>
      </c>
      <c r="BF51" s="80">
        <f t="shared" si="66"/>
        <v>111.68727785574944</v>
      </c>
      <c r="BG51" s="80">
        <f t="shared" si="67"/>
        <v>32.376180693545777</v>
      </c>
      <c r="BH51" s="49">
        <f t="shared" si="68"/>
        <v>0</v>
      </c>
      <c r="BI51" s="79">
        <f t="shared" si="69"/>
        <v>-20831.560216305657</v>
      </c>
      <c r="BJ51" s="79">
        <f t="shared" si="33"/>
        <v>23043.507908874657</v>
      </c>
      <c r="BK51" s="44">
        <f t="shared" si="70"/>
        <v>0.1061825263975007</v>
      </c>
      <c r="BL51" s="79">
        <f t="shared" si="87"/>
        <v>31.05361791385587</v>
      </c>
      <c r="BM51" s="49">
        <f t="shared" si="71"/>
        <v>23074.561526788511</v>
      </c>
      <c r="BN51" s="44">
        <f t="shared" si="72"/>
        <v>0.10767322693031756</v>
      </c>
      <c r="BO51" s="49">
        <f t="shared" si="34"/>
        <v>31.753412151757374</v>
      </c>
      <c r="BP51" s="49">
        <f t="shared" si="35"/>
        <v>23075.261321026413</v>
      </c>
      <c r="BQ51" s="44">
        <f t="shared" si="36"/>
        <v>0.10770681991282283</v>
      </c>
      <c r="BS51" s="49">
        <f t="shared" si="37"/>
        <v>20831.560216305657</v>
      </c>
      <c r="BT51" s="49">
        <f t="shared" si="38"/>
        <v>77.305000500000006</v>
      </c>
      <c r="BU51" s="49">
        <f t="shared" si="39"/>
        <v>54.799999</v>
      </c>
      <c r="BV51" s="49">
        <f t="shared" si="40"/>
        <v>0</v>
      </c>
      <c r="BW51" s="18">
        <f t="shared" si="41"/>
        <v>63</v>
      </c>
      <c r="BX51" s="19">
        <f t="shared" si="73"/>
        <v>0.98555045871559632</v>
      </c>
      <c r="BY51" s="49">
        <f t="shared" si="74"/>
        <v>0</v>
      </c>
      <c r="BZ51" s="19">
        <f t="shared" si="42"/>
        <v>0</v>
      </c>
      <c r="CA51" s="19">
        <f t="shared" si="43"/>
        <v>0</v>
      </c>
      <c r="CB51" s="19">
        <f t="shared" si="44"/>
        <v>0</v>
      </c>
      <c r="CC51" s="19">
        <f t="shared" si="45"/>
        <v>0</v>
      </c>
      <c r="CD51" s="19">
        <f t="shared" si="46"/>
        <v>0</v>
      </c>
      <c r="CE51" s="19">
        <f t="shared" si="47"/>
        <v>0</v>
      </c>
      <c r="CF51" s="49">
        <f t="shared" si="48"/>
        <v>0</v>
      </c>
      <c r="CG51" s="49">
        <f t="shared" si="49"/>
        <v>0</v>
      </c>
      <c r="CH51" s="49">
        <f t="shared" si="50"/>
        <v>0</v>
      </c>
      <c r="CI51" s="49">
        <f t="shared" si="51"/>
        <v>0</v>
      </c>
      <c r="CJ51" s="49">
        <f t="shared" si="52"/>
        <v>0</v>
      </c>
      <c r="CK51" s="49">
        <f t="shared" si="53"/>
        <v>0</v>
      </c>
    </row>
    <row r="52" spans="2:89" ht="12.75" customHeight="1" x14ac:dyDescent="0.2">
      <c r="B52" s="77">
        <v>39363</v>
      </c>
      <c r="C52" s="49">
        <v>155.08000200000001</v>
      </c>
      <c r="D52" s="49">
        <v>72.930000000000007</v>
      </c>
      <c r="E52" s="49">
        <v>59.84</v>
      </c>
      <c r="F52" s="49">
        <v>73.029999000000004</v>
      </c>
      <c r="G52" s="49">
        <v>51.52</v>
      </c>
      <c r="H52" s="49">
        <v>111.650002</v>
      </c>
      <c r="J52" s="78">
        <f>IF(inter=Weekly_2,J51+$C$5,IF(inter=Bi_weekly_2,J50+$C$5,IF(inter=Monthly_2,0,IF(inter=Quarterly_2,0,IF(inter=Yearly_2,0,IF(inter=None_2,0,0))))))</f>
        <v>23000</v>
      </c>
      <c r="K52" s="79">
        <f t="shared" si="54"/>
        <v>-8.8145515637797871</v>
      </c>
      <c r="L52" s="79">
        <f t="shared" si="55"/>
        <v>-15.519571653766434</v>
      </c>
      <c r="M52" s="79">
        <f t="shared" si="56"/>
        <v>-2.8699359751572047</v>
      </c>
      <c r="N52" s="79">
        <f t="shared" si="57"/>
        <v>6.7024593900196123</v>
      </c>
      <c r="O52" s="79">
        <f t="shared" si="58"/>
        <v>4.1285551282117012</v>
      </c>
      <c r="P52" s="79">
        <f t="shared" si="59"/>
        <v>164.8006391867475</v>
      </c>
      <c r="Q52" s="79"/>
      <c r="R52" s="80">
        <f t="shared" si="12"/>
        <v>5.6838737748918698E-2</v>
      </c>
      <c r="S52" s="80">
        <f t="shared" si="13"/>
        <v>0.21280092765345443</v>
      </c>
      <c r="T52" s="80">
        <f t="shared" si="14"/>
        <v>4.7960160012653817E-2</v>
      </c>
      <c r="U52" s="80">
        <f t="shared" si="15"/>
        <v>-9.1776796957365583E-2</v>
      </c>
      <c r="V52" s="80">
        <f t="shared" si="16"/>
        <v>-8.013499860659358E-2</v>
      </c>
      <c r="W52" s="80">
        <f t="shared" si="17"/>
        <v>-1.4760468986534143</v>
      </c>
      <c r="X52" s="80">
        <f t="shared" si="75"/>
        <v>51.908691618407374</v>
      </c>
      <c r="Y52" s="80">
        <f t="shared" si="76"/>
        <v>31.537090360619768</v>
      </c>
      <c r="Z52" s="80">
        <f t="shared" si="77"/>
        <v>30.748663101604276</v>
      </c>
      <c r="AA52" s="80">
        <f t="shared" si="78"/>
        <v>22.045734931476588</v>
      </c>
      <c r="AB52" s="80">
        <f t="shared" si="79"/>
        <v>111.60714285714285</v>
      </c>
      <c r="AC52" s="80">
        <f t="shared" si="80"/>
        <v>30.900133794892362</v>
      </c>
      <c r="AD52" s="80"/>
      <c r="AE52" s="80"/>
      <c r="AF52" s="80"/>
      <c r="AG52" s="80"/>
      <c r="AH52" s="80"/>
      <c r="AI52" s="80"/>
      <c r="AJ52" s="45">
        <f t="shared" si="19"/>
        <v>0</v>
      </c>
      <c r="AK52" s="45">
        <f t="shared" si="20"/>
        <v>0</v>
      </c>
      <c r="AL52" s="45">
        <f t="shared" si="21"/>
        <v>0</v>
      </c>
      <c r="AM52" s="45">
        <f t="shared" si="22"/>
        <v>0</v>
      </c>
      <c r="AN52" s="45">
        <f t="shared" si="23"/>
        <v>0</v>
      </c>
      <c r="AO52" s="45">
        <f t="shared" si="24"/>
        <v>0</v>
      </c>
      <c r="AP52" s="80">
        <f t="shared" si="25"/>
        <v>0</v>
      </c>
      <c r="AQ52" s="80">
        <f t="shared" si="26"/>
        <v>0</v>
      </c>
      <c r="AR52" s="80">
        <f t="shared" si="27"/>
        <v>0</v>
      </c>
      <c r="AS52" s="80">
        <f t="shared" si="28"/>
        <v>0</v>
      </c>
      <c r="AT52" s="80">
        <f t="shared" si="29"/>
        <v>0</v>
      </c>
      <c r="AU52" s="80">
        <f t="shared" si="30"/>
        <v>0</v>
      </c>
      <c r="AV52" s="80">
        <f t="shared" si="81"/>
        <v>0.11008230889509453</v>
      </c>
      <c r="AW52" s="80">
        <f t="shared" si="82"/>
        <v>0.2014987097771932</v>
      </c>
      <c r="AX52" s="80">
        <f t="shared" si="83"/>
        <v>0</v>
      </c>
      <c r="AY52" s="80">
        <f t="shared" si="84"/>
        <v>0</v>
      </c>
      <c r="AZ52" s="80">
        <f t="shared" si="85"/>
        <v>0</v>
      </c>
      <c r="BA52" s="80">
        <f t="shared" si="86"/>
        <v>0</v>
      </c>
      <c r="BB52" s="80">
        <f t="shared" si="62"/>
        <v>52.018773927302469</v>
      </c>
      <c r="BC52" s="80">
        <f t="shared" si="63"/>
        <v>31.738589070396962</v>
      </c>
      <c r="BD52" s="80">
        <f t="shared" si="64"/>
        <v>30.748663101604276</v>
      </c>
      <c r="BE52" s="80">
        <f t="shared" si="65"/>
        <v>22.045734931476588</v>
      </c>
      <c r="BF52" s="80">
        <f t="shared" si="66"/>
        <v>111.60714285714285</v>
      </c>
      <c r="BG52" s="80">
        <f t="shared" si="67"/>
        <v>30.900133794892362</v>
      </c>
      <c r="BH52" s="49">
        <f t="shared" si="68"/>
        <v>0</v>
      </c>
      <c r="BI52" s="79">
        <f t="shared" si="69"/>
        <v>-20683.132621793382</v>
      </c>
      <c r="BJ52" s="79">
        <f t="shared" si="33"/>
        <v>23000</v>
      </c>
      <c r="BK52" s="44">
        <f t="shared" si="70"/>
        <v>0.1120172374549</v>
      </c>
      <c r="BL52" s="79">
        <f t="shared" si="87"/>
        <v>31.05361791385587</v>
      </c>
      <c r="BM52" s="49">
        <f t="shared" si="71"/>
        <v>23031.053617913854</v>
      </c>
      <c r="BN52" s="44">
        <f t="shared" si="72"/>
        <v>0.11351863564644549</v>
      </c>
      <c r="BO52" s="49">
        <f t="shared" si="34"/>
        <v>31.76686558766658</v>
      </c>
      <c r="BP52" s="49">
        <f t="shared" si="35"/>
        <v>23031.766865587666</v>
      </c>
      <c r="BQ52" s="44">
        <f t="shared" si="36"/>
        <v>0.11355312015548247</v>
      </c>
      <c r="BS52" s="49">
        <f t="shared" si="37"/>
        <v>20683.132621793382</v>
      </c>
      <c r="BT52" s="49">
        <f t="shared" si="38"/>
        <v>77.540001000000004</v>
      </c>
      <c r="BU52" s="49">
        <f t="shared" si="39"/>
        <v>55.825001</v>
      </c>
      <c r="BV52" s="49">
        <f t="shared" si="40"/>
        <v>-148.42759451227539</v>
      </c>
      <c r="BW52" s="18">
        <f t="shared" si="41"/>
        <v>70</v>
      </c>
      <c r="BX52" s="19">
        <f t="shared" si="73"/>
        <v>0.98394495412844041</v>
      </c>
      <c r="BY52" s="49">
        <f t="shared" si="74"/>
        <v>-146.04458267377555</v>
      </c>
      <c r="BZ52" s="19">
        <f t="shared" si="42"/>
        <v>5.6838737748918698E-2</v>
      </c>
      <c r="CA52" s="19">
        <f t="shared" si="43"/>
        <v>0.21280092765345443</v>
      </c>
      <c r="CB52" s="19">
        <f t="shared" si="44"/>
        <v>4.7960160012653817E-2</v>
      </c>
      <c r="CC52" s="19">
        <f t="shared" si="45"/>
        <v>0</v>
      </c>
      <c r="CD52" s="19">
        <f t="shared" si="46"/>
        <v>0</v>
      </c>
      <c r="CE52" s="19">
        <f t="shared" si="47"/>
        <v>0</v>
      </c>
      <c r="CF52" s="49">
        <f t="shared" si="48"/>
        <v>-8.8145515637797871</v>
      </c>
      <c r="CG52" s="49">
        <f t="shared" si="49"/>
        <v>-15.519571653766434</v>
      </c>
      <c r="CH52" s="49">
        <f t="shared" si="50"/>
        <v>-2.8699359751572047</v>
      </c>
      <c r="CI52" s="49">
        <f t="shared" si="51"/>
        <v>0</v>
      </c>
      <c r="CJ52" s="49">
        <f t="shared" si="52"/>
        <v>0</v>
      </c>
      <c r="CK52" s="49">
        <f t="shared" si="53"/>
        <v>0</v>
      </c>
    </row>
    <row r="53" spans="2:89" ht="12.75" customHeight="1" x14ac:dyDescent="0.2">
      <c r="B53" s="77">
        <v>39370</v>
      </c>
      <c r="C53" s="49">
        <v>149</v>
      </c>
      <c r="D53" s="49">
        <v>69.580001999999993</v>
      </c>
      <c r="E53" s="49">
        <v>57.220001000000003</v>
      </c>
      <c r="F53" s="49">
        <v>69.029999000000004</v>
      </c>
      <c r="G53" s="49">
        <v>49.950001</v>
      </c>
      <c r="H53" s="49">
        <v>106.589996</v>
      </c>
      <c r="J53" s="78">
        <f>IF(inter=Weekly_2,J52+$C$5,IF(inter=Bi_weekly_2,0,IF(inter=Monthly_2,0,IF(inter=Quarterly_2,0,IF(inter=Yearly_2,0,IF(inter=None_2,0,0))))))</f>
        <v>0</v>
      </c>
      <c r="K53" s="79">
        <f t="shared" si="54"/>
        <v>0</v>
      </c>
      <c r="L53" s="79">
        <f t="shared" si="55"/>
        <v>0</v>
      </c>
      <c r="M53" s="79">
        <f t="shared" si="56"/>
        <v>0</v>
      </c>
      <c r="N53" s="79">
        <f t="shared" si="57"/>
        <v>0</v>
      </c>
      <c r="O53" s="79">
        <f t="shared" si="58"/>
        <v>0</v>
      </c>
      <c r="P53" s="79">
        <f t="shared" si="59"/>
        <v>0</v>
      </c>
      <c r="Q53" s="79"/>
      <c r="R53" s="80">
        <f t="shared" si="12"/>
        <v>0</v>
      </c>
      <c r="S53" s="80">
        <f t="shared" si="13"/>
        <v>0</v>
      </c>
      <c r="T53" s="80">
        <f t="shared" si="14"/>
        <v>0</v>
      </c>
      <c r="U53" s="80">
        <f t="shared" si="15"/>
        <v>0</v>
      </c>
      <c r="V53" s="80">
        <f t="shared" si="16"/>
        <v>0</v>
      </c>
      <c r="W53" s="80">
        <f t="shared" si="17"/>
        <v>0</v>
      </c>
      <c r="X53" s="80">
        <f t="shared" si="75"/>
        <v>51.908691618407374</v>
      </c>
      <c r="Y53" s="80">
        <f t="shared" si="76"/>
        <v>31.537090360619768</v>
      </c>
      <c r="Z53" s="80">
        <f t="shared" si="77"/>
        <v>30.748663101604276</v>
      </c>
      <c r="AA53" s="80">
        <f t="shared" si="78"/>
        <v>22.045734931476588</v>
      </c>
      <c r="AB53" s="80">
        <f t="shared" si="79"/>
        <v>111.60714285714285</v>
      </c>
      <c r="AC53" s="80">
        <f t="shared" si="80"/>
        <v>30.900133794892362</v>
      </c>
      <c r="AD53" s="80"/>
      <c r="AE53" s="80"/>
      <c r="AF53" s="80"/>
      <c r="AG53" s="80"/>
      <c r="AH53" s="80"/>
      <c r="AI53" s="80"/>
      <c r="AJ53" s="45">
        <f t="shared" si="19"/>
        <v>0</v>
      </c>
      <c r="AK53" s="45">
        <f t="shared" si="20"/>
        <v>0</v>
      </c>
      <c r="AL53" s="45">
        <f t="shared" si="21"/>
        <v>0</v>
      </c>
      <c r="AM53" s="45">
        <f t="shared" si="22"/>
        <v>0</v>
      </c>
      <c r="AN53" s="45">
        <f t="shared" si="23"/>
        <v>0</v>
      </c>
      <c r="AO53" s="45">
        <f t="shared" si="24"/>
        <v>0</v>
      </c>
      <c r="AP53" s="80">
        <f t="shared" si="25"/>
        <v>0</v>
      </c>
      <c r="AQ53" s="80">
        <f t="shared" si="26"/>
        <v>0</v>
      </c>
      <c r="AR53" s="80">
        <f t="shared" si="27"/>
        <v>0</v>
      </c>
      <c r="AS53" s="80">
        <f t="shared" si="28"/>
        <v>0</v>
      </c>
      <c r="AT53" s="80">
        <f t="shared" si="29"/>
        <v>0</v>
      </c>
      <c r="AU53" s="80">
        <f t="shared" si="30"/>
        <v>0</v>
      </c>
      <c r="AV53" s="80">
        <f t="shared" si="81"/>
        <v>0.11008230889509453</v>
      </c>
      <c r="AW53" s="80">
        <f t="shared" si="82"/>
        <v>0.2014987097771932</v>
      </c>
      <c r="AX53" s="80">
        <f t="shared" si="83"/>
        <v>0</v>
      </c>
      <c r="AY53" s="80">
        <f t="shared" si="84"/>
        <v>0</v>
      </c>
      <c r="AZ53" s="80">
        <f t="shared" si="85"/>
        <v>0</v>
      </c>
      <c r="BA53" s="80">
        <f t="shared" si="86"/>
        <v>0</v>
      </c>
      <c r="BB53" s="80">
        <f t="shared" si="62"/>
        <v>52.018773927302469</v>
      </c>
      <c r="BC53" s="80">
        <f t="shared" si="63"/>
        <v>31.738589070396962</v>
      </c>
      <c r="BD53" s="80">
        <f t="shared" si="64"/>
        <v>30.748663101604276</v>
      </c>
      <c r="BE53" s="80">
        <f t="shared" si="65"/>
        <v>22.045734931476588</v>
      </c>
      <c r="BF53" s="80">
        <f t="shared" si="66"/>
        <v>111.60714285714285</v>
      </c>
      <c r="BG53" s="80">
        <f t="shared" si="67"/>
        <v>30.900133794892362</v>
      </c>
      <c r="BH53" s="49">
        <f t="shared" si="68"/>
        <v>0</v>
      </c>
      <c r="BI53" s="79">
        <f t="shared" si="69"/>
        <v>-20683.132621793382</v>
      </c>
      <c r="BJ53" s="79">
        <f t="shared" si="33"/>
        <v>22078.423490123831</v>
      </c>
      <c r="BK53" s="44">
        <f t="shared" si="70"/>
        <v>6.7460325949864064E-2</v>
      </c>
      <c r="BL53" s="79">
        <f t="shared" si="87"/>
        <v>31.05361791385587</v>
      </c>
      <c r="BM53" s="49">
        <f t="shared" si="71"/>
        <v>22109.477108037685</v>
      </c>
      <c r="BN53" s="44">
        <f t="shared" si="72"/>
        <v>6.8961724141409553E-2</v>
      </c>
      <c r="BO53" s="49">
        <f t="shared" si="34"/>
        <v>30.422544654663604</v>
      </c>
      <c r="BP53" s="49">
        <f t="shared" si="35"/>
        <v>22108.846034778493</v>
      </c>
      <c r="BQ53" s="44">
        <f t="shared" si="36"/>
        <v>6.8931212648265294E-2</v>
      </c>
      <c r="BS53" s="49">
        <f t="shared" si="37"/>
        <v>20683.132621793382</v>
      </c>
      <c r="BT53" s="49">
        <f t="shared" si="38"/>
        <v>74.5</v>
      </c>
      <c r="BU53" s="49">
        <f t="shared" si="39"/>
        <v>53.294998</v>
      </c>
      <c r="BV53" s="49">
        <f t="shared" si="40"/>
        <v>0</v>
      </c>
      <c r="BW53" s="18">
        <f t="shared" si="41"/>
        <v>77</v>
      </c>
      <c r="BX53" s="19">
        <f t="shared" si="73"/>
        <v>0.98233944954128438</v>
      </c>
      <c r="BY53" s="49">
        <f t="shared" si="74"/>
        <v>0</v>
      </c>
      <c r="BZ53" s="19">
        <f t="shared" si="42"/>
        <v>0</v>
      </c>
      <c r="CA53" s="19">
        <f t="shared" si="43"/>
        <v>0</v>
      </c>
      <c r="CB53" s="19">
        <f t="shared" si="44"/>
        <v>0</v>
      </c>
      <c r="CC53" s="19">
        <f t="shared" si="45"/>
        <v>0</v>
      </c>
      <c r="CD53" s="19">
        <f t="shared" si="46"/>
        <v>0</v>
      </c>
      <c r="CE53" s="19">
        <f t="shared" si="47"/>
        <v>0</v>
      </c>
      <c r="CF53" s="49">
        <f t="shared" si="48"/>
        <v>0</v>
      </c>
      <c r="CG53" s="49">
        <f t="shared" si="49"/>
        <v>0</v>
      </c>
      <c r="CH53" s="49">
        <f t="shared" si="50"/>
        <v>0</v>
      </c>
      <c r="CI53" s="49">
        <f t="shared" si="51"/>
        <v>0</v>
      </c>
      <c r="CJ53" s="49">
        <f t="shared" si="52"/>
        <v>0</v>
      </c>
      <c r="CK53" s="49">
        <f t="shared" si="53"/>
        <v>0</v>
      </c>
    </row>
    <row r="54" spans="2:89" ht="12.75" customHeight="1" x14ac:dyDescent="0.2">
      <c r="B54" s="77">
        <v>39377</v>
      </c>
      <c r="C54" s="49">
        <v>152.41000399999999</v>
      </c>
      <c r="D54" s="49">
        <v>71.180000000000007</v>
      </c>
      <c r="E54" s="49">
        <v>58.040000999999997</v>
      </c>
      <c r="F54" s="49">
        <v>71.360000999999997</v>
      </c>
      <c r="G54" s="49">
        <v>51.57</v>
      </c>
      <c r="H54" s="49">
        <v>115.139999</v>
      </c>
      <c r="J54" s="78">
        <f>IF(inter=Weekly_2,J53+$C$5,IF(inter=Bi_weekly_2,J52+$C$5,IF(inter=Monthly_2,J50+$C$5,IF(inter=Quarterly_2,0,IF(inter=Yearly_2,0,IF(inter=None_2,0,0))))))</f>
        <v>23600</v>
      </c>
      <c r="K54" s="79">
        <f t="shared" si="54"/>
        <v>-348.59610280376637</v>
      </c>
      <c r="L54" s="79">
        <f t="shared" si="55"/>
        <v>-115.18990813108485</v>
      </c>
      <c r="M54" s="79">
        <f t="shared" si="56"/>
        <v>-103.34756283422485</v>
      </c>
      <c r="N54" s="79">
        <f t="shared" si="57"/>
        <v>-78.816333244096086</v>
      </c>
      <c r="O54" s="79">
        <f t="shared" si="58"/>
        <v>-144.41964285714312</v>
      </c>
      <c r="P54" s="79">
        <f t="shared" si="59"/>
        <v>17.841374243772862</v>
      </c>
      <c r="Q54" s="79"/>
      <c r="R54" s="80">
        <f t="shared" si="12"/>
        <v>2.2872258621800601</v>
      </c>
      <c r="S54" s="80">
        <f t="shared" si="13"/>
        <v>1.618290364302962</v>
      </c>
      <c r="T54" s="80">
        <f t="shared" si="14"/>
        <v>1.7806264826602063</v>
      </c>
      <c r="U54" s="80">
        <f t="shared" si="15"/>
        <v>1.104488959355481</v>
      </c>
      <c r="V54" s="80">
        <f t="shared" si="16"/>
        <v>2.8004584614532311</v>
      </c>
      <c r="W54" s="80">
        <f t="shared" si="17"/>
        <v>-0.15495374673203585</v>
      </c>
      <c r="X54" s="80">
        <f t="shared" si="75"/>
        <v>54.195917480587433</v>
      </c>
      <c r="Y54" s="80">
        <f t="shared" si="76"/>
        <v>33.155380724922729</v>
      </c>
      <c r="Z54" s="80">
        <f t="shared" si="77"/>
        <v>32.529289584264482</v>
      </c>
      <c r="AA54" s="80">
        <f t="shared" si="78"/>
        <v>23.15022389083207</v>
      </c>
      <c r="AB54" s="80">
        <f t="shared" si="79"/>
        <v>114.40760131859608</v>
      </c>
      <c r="AC54" s="80">
        <f t="shared" si="80"/>
        <v>30.745180048160325</v>
      </c>
      <c r="AD54" s="80"/>
      <c r="AE54" s="80"/>
      <c r="AF54" s="80"/>
      <c r="AG54" s="80"/>
      <c r="AH54" s="80"/>
      <c r="AI54" s="80"/>
      <c r="AJ54" s="45">
        <f t="shared" si="19"/>
        <v>0</v>
      </c>
      <c r="AK54" s="45">
        <f t="shared" si="20"/>
        <v>0</v>
      </c>
      <c r="AL54" s="45">
        <f t="shared" si="21"/>
        <v>0</v>
      </c>
      <c r="AM54" s="45">
        <f t="shared" si="22"/>
        <v>0</v>
      </c>
      <c r="AN54" s="45">
        <f t="shared" si="23"/>
        <v>0</v>
      </c>
      <c r="AO54" s="45">
        <f t="shared" si="24"/>
        <v>0</v>
      </c>
      <c r="AP54" s="80">
        <f t="shared" si="25"/>
        <v>0</v>
      </c>
      <c r="AQ54" s="80">
        <f t="shared" si="26"/>
        <v>0</v>
      </c>
      <c r="AR54" s="80">
        <f t="shared" si="27"/>
        <v>0</v>
      </c>
      <c r="AS54" s="80">
        <f t="shared" si="28"/>
        <v>0</v>
      </c>
      <c r="AT54" s="80">
        <f t="shared" si="29"/>
        <v>0</v>
      </c>
      <c r="AU54" s="80">
        <f t="shared" si="30"/>
        <v>0</v>
      </c>
      <c r="AV54" s="80">
        <f t="shared" si="81"/>
        <v>0.11008230889509453</v>
      </c>
      <c r="AW54" s="80">
        <f t="shared" si="82"/>
        <v>0.2014987097771932</v>
      </c>
      <c r="AX54" s="80">
        <f t="shared" si="83"/>
        <v>0</v>
      </c>
      <c r="AY54" s="80">
        <f t="shared" si="84"/>
        <v>0</v>
      </c>
      <c r="AZ54" s="80">
        <f t="shared" si="85"/>
        <v>0</v>
      </c>
      <c r="BA54" s="80">
        <f t="shared" si="86"/>
        <v>0</v>
      </c>
      <c r="BB54" s="80">
        <f t="shared" si="62"/>
        <v>54.305999789482527</v>
      </c>
      <c r="BC54" s="80">
        <f t="shared" si="63"/>
        <v>33.35687943469992</v>
      </c>
      <c r="BD54" s="80">
        <f t="shared" si="64"/>
        <v>32.529289584264482</v>
      </c>
      <c r="BE54" s="80">
        <f t="shared" si="65"/>
        <v>23.15022389083207</v>
      </c>
      <c r="BF54" s="80">
        <f t="shared" si="66"/>
        <v>114.40760131859608</v>
      </c>
      <c r="BG54" s="80">
        <f t="shared" si="67"/>
        <v>30.745180048160325</v>
      </c>
      <c r="BH54" s="49">
        <f t="shared" si="68"/>
        <v>0</v>
      </c>
      <c r="BI54" s="79">
        <f t="shared" si="69"/>
        <v>-21455.660797419925</v>
      </c>
      <c r="BJ54" s="79">
        <f t="shared" si="33"/>
        <v>23600</v>
      </c>
      <c r="BK54" s="44">
        <f t="shared" si="70"/>
        <v>9.9942818020218427E-2</v>
      </c>
      <c r="BL54" s="79">
        <f t="shared" si="87"/>
        <v>31.05361791385587</v>
      </c>
      <c r="BM54" s="49">
        <f t="shared" si="71"/>
        <v>23631.053617913854</v>
      </c>
      <c r="BN54" s="44">
        <f t="shared" si="72"/>
        <v>0.10139015717267141</v>
      </c>
      <c r="BO54" s="49">
        <f t="shared" si="34"/>
        <v>31.120323300971208</v>
      </c>
      <c r="BP54" s="49">
        <f t="shared" si="35"/>
        <v>23631.120323300973</v>
      </c>
      <c r="BQ54" s="44">
        <f t="shared" si="36"/>
        <v>0.10139326616044619</v>
      </c>
      <c r="BS54" s="49">
        <f t="shared" si="37"/>
        <v>21455.660797419925</v>
      </c>
      <c r="BT54" s="49">
        <f t="shared" si="38"/>
        <v>76.205001999999993</v>
      </c>
      <c r="BU54" s="49">
        <f t="shared" si="39"/>
        <v>57.569999500000002</v>
      </c>
      <c r="BV54" s="49">
        <f t="shared" si="40"/>
        <v>772.52817562654241</v>
      </c>
      <c r="BW54" s="18">
        <f t="shared" si="41"/>
        <v>84</v>
      </c>
      <c r="BX54" s="19">
        <f t="shared" si="73"/>
        <v>0.98073394495412847</v>
      </c>
      <c r="BY54" s="49">
        <f t="shared" si="74"/>
        <v>757.64460527043468</v>
      </c>
      <c r="BZ54" s="19">
        <f t="shared" si="42"/>
        <v>2.2872258621800601</v>
      </c>
      <c r="CA54" s="19">
        <f t="shared" si="43"/>
        <v>1.618290364302962</v>
      </c>
      <c r="CB54" s="19">
        <f t="shared" si="44"/>
        <v>1.7806264826602063</v>
      </c>
      <c r="CC54" s="19">
        <f t="shared" si="45"/>
        <v>1.104488959355481</v>
      </c>
      <c r="CD54" s="19">
        <f t="shared" si="46"/>
        <v>2.8004584614532311</v>
      </c>
      <c r="CE54" s="19">
        <f t="shared" si="47"/>
        <v>0</v>
      </c>
      <c r="CF54" s="49">
        <f t="shared" si="48"/>
        <v>-348.59610280376637</v>
      </c>
      <c r="CG54" s="49">
        <f t="shared" si="49"/>
        <v>-115.18990813108485</v>
      </c>
      <c r="CH54" s="49">
        <f t="shared" si="50"/>
        <v>-103.34756283422485</v>
      </c>
      <c r="CI54" s="49">
        <f t="shared" si="51"/>
        <v>-78.816333244096086</v>
      </c>
      <c r="CJ54" s="49">
        <f t="shared" si="52"/>
        <v>-144.41964285714312</v>
      </c>
      <c r="CK54" s="49">
        <f t="shared" si="53"/>
        <v>0</v>
      </c>
    </row>
    <row r="55" spans="2:89" ht="12.75" customHeight="1" x14ac:dyDescent="0.2">
      <c r="B55" s="77">
        <v>39384</v>
      </c>
      <c r="C55" s="49">
        <v>149.979996</v>
      </c>
      <c r="D55" s="49">
        <v>69.260002</v>
      </c>
      <c r="E55" s="49">
        <v>56.75</v>
      </c>
      <c r="F55" s="49">
        <v>69.069999999999993</v>
      </c>
      <c r="G55" s="49">
        <v>51.349997999999999</v>
      </c>
      <c r="H55" s="49">
        <v>113.75</v>
      </c>
      <c r="J55" s="78">
        <f>IF(inter=Weekly_2,J54+$C$5,IF(inter=Bi_weekly_2,0,IF(inter=Monthly_2,0,IF(inter=Quarterly_2,J42+$C$5,IF(inter=Yearly_2,0,IF(inter=None_2,0,0))))))</f>
        <v>0</v>
      </c>
      <c r="K55" s="79">
        <f t="shared" si="54"/>
        <v>0</v>
      </c>
      <c r="L55" s="79">
        <f t="shared" si="55"/>
        <v>0</v>
      </c>
      <c r="M55" s="79">
        <f t="shared" si="56"/>
        <v>0</v>
      </c>
      <c r="N55" s="79">
        <f t="shared" si="57"/>
        <v>0</v>
      </c>
      <c r="O55" s="79">
        <f t="shared" si="58"/>
        <v>0</v>
      </c>
      <c r="P55" s="79">
        <f t="shared" si="59"/>
        <v>0</v>
      </c>
      <c r="Q55" s="79"/>
      <c r="R55" s="80">
        <f t="shared" si="12"/>
        <v>0</v>
      </c>
      <c r="S55" s="80">
        <f t="shared" si="13"/>
        <v>0</v>
      </c>
      <c r="T55" s="80">
        <f t="shared" si="14"/>
        <v>0</v>
      </c>
      <c r="U55" s="80">
        <f t="shared" si="15"/>
        <v>0</v>
      </c>
      <c r="V55" s="80">
        <f t="shared" si="16"/>
        <v>0</v>
      </c>
      <c r="W55" s="80">
        <f t="shared" si="17"/>
        <v>0</v>
      </c>
      <c r="X55" s="80">
        <f t="shared" si="75"/>
        <v>54.195917480587433</v>
      </c>
      <c r="Y55" s="80">
        <f t="shared" si="76"/>
        <v>33.155380724922729</v>
      </c>
      <c r="Z55" s="80">
        <f t="shared" si="77"/>
        <v>32.529289584264482</v>
      </c>
      <c r="AA55" s="80">
        <f t="shared" si="78"/>
        <v>23.15022389083207</v>
      </c>
      <c r="AB55" s="80">
        <f t="shared" si="79"/>
        <v>114.40760131859608</v>
      </c>
      <c r="AC55" s="80">
        <f t="shared" si="80"/>
        <v>30.745180048160325</v>
      </c>
      <c r="AD55" s="80"/>
      <c r="AE55" s="80"/>
      <c r="AF55" s="80"/>
      <c r="AG55" s="80"/>
      <c r="AH55" s="80"/>
      <c r="AI55" s="80"/>
      <c r="AJ55" s="45">
        <f t="shared" si="19"/>
        <v>0</v>
      </c>
      <c r="AK55" s="45">
        <f t="shared" si="20"/>
        <v>0</v>
      </c>
      <c r="AL55" s="45">
        <f t="shared" si="21"/>
        <v>0</v>
      </c>
      <c r="AM55" s="45">
        <f t="shared" si="22"/>
        <v>0</v>
      </c>
      <c r="AN55" s="45">
        <f t="shared" si="23"/>
        <v>0</v>
      </c>
      <c r="AO55" s="45">
        <f t="shared" si="24"/>
        <v>0</v>
      </c>
      <c r="AP55" s="80">
        <f t="shared" si="25"/>
        <v>0</v>
      </c>
      <c r="AQ55" s="80">
        <f t="shared" si="26"/>
        <v>0</v>
      </c>
      <c r="AR55" s="80">
        <f t="shared" si="27"/>
        <v>0</v>
      </c>
      <c r="AS55" s="80">
        <f t="shared" si="28"/>
        <v>0</v>
      </c>
      <c r="AT55" s="80">
        <f t="shared" si="29"/>
        <v>0</v>
      </c>
      <c r="AU55" s="80">
        <f t="shared" si="30"/>
        <v>0</v>
      </c>
      <c r="AV55" s="80">
        <f t="shared" si="81"/>
        <v>0.11008230889509453</v>
      </c>
      <c r="AW55" s="80">
        <f t="shared" si="82"/>
        <v>0.2014987097771932</v>
      </c>
      <c r="AX55" s="80">
        <f t="shared" si="83"/>
        <v>0</v>
      </c>
      <c r="AY55" s="80">
        <f t="shared" si="84"/>
        <v>0</v>
      </c>
      <c r="AZ55" s="80">
        <f t="shared" si="85"/>
        <v>0</v>
      </c>
      <c r="BA55" s="80">
        <f t="shared" si="86"/>
        <v>0</v>
      </c>
      <c r="BB55" s="80">
        <f t="shared" si="62"/>
        <v>54.305999789482527</v>
      </c>
      <c r="BC55" s="80">
        <f t="shared" si="63"/>
        <v>33.35687943469992</v>
      </c>
      <c r="BD55" s="80">
        <f t="shared" si="64"/>
        <v>32.529289584264482</v>
      </c>
      <c r="BE55" s="80">
        <f t="shared" si="65"/>
        <v>23.15022389083207</v>
      </c>
      <c r="BF55" s="80">
        <f t="shared" si="66"/>
        <v>114.40760131859608</v>
      </c>
      <c r="BG55" s="80">
        <f t="shared" si="67"/>
        <v>30.745180048160325</v>
      </c>
      <c r="BH55" s="49">
        <f t="shared" si="68"/>
        <v>0</v>
      </c>
      <c r="BI55" s="79">
        <f t="shared" si="69"/>
        <v>-21455.660797419925</v>
      </c>
      <c r="BJ55" s="79">
        <f t="shared" si="33"/>
        <v>23241.762699693467</v>
      </c>
      <c r="BK55" s="44">
        <f t="shared" si="70"/>
        <v>8.3246184731272654E-2</v>
      </c>
      <c r="BL55" s="79">
        <f t="shared" si="87"/>
        <v>31.05361791385587</v>
      </c>
      <c r="BM55" s="49">
        <f t="shared" si="71"/>
        <v>23272.816317607321</v>
      </c>
      <c r="BN55" s="44">
        <f t="shared" si="72"/>
        <v>8.4693523883725419E-2</v>
      </c>
      <c r="BO55" s="49">
        <f t="shared" si="34"/>
        <v>30.465945289922864</v>
      </c>
      <c r="BP55" s="49">
        <f t="shared" si="35"/>
        <v>23272.228644983388</v>
      </c>
      <c r="BQ55" s="44">
        <f t="shared" si="36"/>
        <v>8.4666133787028697E-2</v>
      </c>
      <c r="BS55" s="49">
        <f t="shared" si="37"/>
        <v>21455.660797419925</v>
      </c>
      <c r="BT55" s="49">
        <f t="shared" si="38"/>
        <v>74.989998</v>
      </c>
      <c r="BU55" s="49">
        <f t="shared" si="39"/>
        <v>56.875</v>
      </c>
      <c r="BV55" s="49">
        <f t="shared" si="40"/>
        <v>0</v>
      </c>
      <c r="BW55" s="18">
        <f t="shared" si="41"/>
        <v>91</v>
      </c>
      <c r="BX55" s="19">
        <f t="shared" si="73"/>
        <v>0.97912844036697244</v>
      </c>
      <c r="BY55" s="49">
        <f t="shared" si="74"/>
        <v>0</v>
      </c>
      <c r="BZ55" s="19">
        <f t="shared" si="42"/>
        <v>0</v>
      </c>
      <c r="CA55" s="19">
        <f t="shared" si="43"/>
        <v>0</v>
      </c>
      <c r="CB55" s="19">
        <f t="shared" si="44"/>
        <v>0</v>
      </c>
      <c r="CC55" s="19">
        <f t="shared" si="45"/>
        <v>0</v>
      </c>
      <c r="CD55" s="19">
        <f t="shared" si="46"/>
        <v>0</v>
      </c>
      <c r="CE55" s="19">
        <f t="shared" si="47"/>
        <v>0</v>
      </c>
      <c r="CF55" s="49">
        <f t="shared" si="48"/>
        <v>0</v>
      </c>
      <c r="CG55" s="49">
        <f t="shared" si="49"/>
        <v>0</v>
      </c>
      <c r="CH55" s="49">
        <f t="shared" si="50"/>
        <v>0</v>
      </c>
      <c r="CI55" s="49">
        <f t="shared" si="51"/>
        <v>0</v>
      </c>
      <c r="CJ55" s="49">
        <f t="shared" si="52"/>
        <v>0</v>
      </c>
      <c r="CK55" s="49">
        <f t="shared" si="53"/>
        <v>0</v>
      </c>
    </row>
    <row r="56" spans="2:89" ht="12.75" customHeight="1" x14ac:dyDescent="0.2">
      <c r="B56" s="77">
        <v>39391</v>
      </c>
      <c r="C56" s="49">
        <v>144.58000200000001</v>
      </c>
      <c r="D56" s="49">
        <v>67.029999000000004</v>
      </c>
      <c r="E56" s="49">
        <v>55.459999000000003</v>
      </c>
      <c r="F56" s="49">
        <v>67.510002</v>
      </c>
      <c r="G56" s="49">
        <v>49.639999000000003</v>
      </c>
      <c r="H56" s="49">
        <v>108.639999</v>
      </c>
      <c r="J56" s="78">
        <f>IF(inter=Weekly_2,J55+$C$5,IF(inter=Bi_weekly_2,J54+$C$5,IF(inter=Monthly_2,0,IF(inter=Quarterly_2,0,IF(inter=Yearly_2,0,IF(inter=None_2,0,0))))))</f>
        <v>24200</v>
      </c>
      <c r="K56" s="79">
        <f t="shared" si="54"/>
        <v>-634.35414226483317</v>
      </c>
      <c r="L56" s="79">
        <f t="shared" si="55"/>
        <v>-197.59486316381026</v>
      </c>
      <c r="M56" s="79">
        <f t="shared" si="56"/>
        <v>-131.92563218598139</v>
      </c>
      <c r="N56" s="79">
        <f t="shared" si="57"/>
        <v>-131.12833882947939</v>
      </c>
      <c r="O56" s="79">
        <f t="shared" si="58"/>
        <v>-370.8067849524914</v>
      </c>
      <c r="P56" s="79">
        <f t="shared" si="59"/>
        <v>-289.84367031304237</v>
      </c>
      <c r="Q56" s="79"/>
      <c r="R56" s="80">
        <f t="shared" si="12"/>
        <v>4.3875649017132616</v>
      </c>
      <c r="S56" s="80">
        <f t="shared" si="13"/>
        <v>2.9478571700979774</v>
      </c>
      <c r="T56" s="80">
        <f t="shared" si="14"/>
        <v>2.3787528771138522</v>
      </c>
      <c r="U56" s="80">
        <f t="shared" si="15"/>
        <v>1.9423542429976433</v>
      </c>
      <c r="V56" s="80">
        <f t="shared" si="16"/>
        <v>7.46991926717185</v>
      </c>
      <c r="W56" s="80">
        <f t="shared" si="17"/>
        <v>2.6679277704433924</v>
      </c>
      <c r="X56" s="80">
        <f t="shared" si="75"/>
        <v>58.583482382300694</v>
      </c>
      <c r="Y56" s="80">
        <f t="shared" si="76"/>
        <v>36.103237895020705</v>
      </c>
      <c r="Z56" s="80">
        <f t="shared" si="77"/>
        <v>34.908042461378336</v>
      </c>
      <c r="AA56" s="80">
        <f t="shared" si="78"/>
        <v>25.092578133829711</v>
      </c>
      <c r="AB56" s="80">
        <f t="shared" si="79"/>
        <v>121.87752058576793</v>
      </c>
      <c r="AC56" s="80">
        <f t="shared" si="80"/>
        <v>33.41310781860372</v>
      </c>
      <c r="AD56" s="80"/>
      <c r="AE56" s="80"/>
      <c r="AF56" s="80"/>
      <c r="AG56" s="80"/>
      <c r="AH56" s="80"/>
      <c r="AI56" s="80"/>
      <c r="AJ56" s="45">
        <f t="shared" si="19"/>
        <v>0</v>
      </c>
      <c r="AK56" s="45">
        <f t="shared" si="20"/>
        <v>0</v>
      </c>
      <c r="AL56" s="45">
        <f t="shared" si="21"/>
        <v>0</v>
      </c>
      <c r="AM56" s="45">
        <f t="shared" si="22"/>
        <v>0</v>
      </c>
      <c r="AN56" s="45">
        <f t="shared" si="23"/>
        <v>0</v>
      </c>
      <c r="AO56" s="45">
        <f t="shared" si="24"/>
        <v>0</v>
      </c>
      <c r="AP56" s="80">
        <f t="shared" si="25"/>
        <v>0</v>
      </c>
      <c r="AQ56" s="80">
        <f t="shared" si="26"/>
        <v>0</v>
      </c>
      <c r="AR56" s="80">
        <f t="shared" si="27"/>
        <v>0</v>
      </c>
      <c r="AS56" s="80">
        <f t="shared" si="28"/>
        <v>0</v>
      </c>
      <c r="AT56" s="80">
        <f t="shared" si="29"/>
        <v>0</v>
      </c>
      <c r="AU56" s="80">
        <f t="shared" si="30"/>
        <v>0</v>
      </c>
      <c r="AV56" s="80">
        <f t="shared" si="81"/>
        <v>0.11008230889509453</v>
      </c>
      <c r="AW56" s="80">
        <f t="shared" si="82"/>
        <v>0.2014987097771932</v>
      </c>
      <c r="AX56" s="80">
        <f t="shared" si="83"/>
        <v>0</v>
      </c>
      <c r="AY56" s="80">
        <f t="shared" si="84"/>
        <v>0</v>
      </c>
      <c r="AZ56" s="80">
        <f t="shared" si="85"/>
        <v>0</v>
      </c>
      <c r="BA56" s="80">
        <f t="shared" si="86"/>
        <v>0</v>
      </c>
      <c r="BB56" s="80">
        <f t="shared" si="62"/>
        <v>58.693564691195789</v>
      </c>
      <c r="BC56" s="80">
        <f t="shared" si="63"/>
        <v>36.304736604797895</v>
      </c>
      <c r="BD56" s="80">
        <f t="shared" si="64"/>
        <v>34.908042461378336</v>
      </c>
      <c r="BE56" s="80">
        <f t="shared" si="65"/>
        <v>25.092578133829711</v>
      </c>
      <c r="BF56" s="80">
        <f t="shared" si="66"/>
        <v>121.87752058576793</v>
      </c>
      <c r="BG56" s="80">
        <f t="shared" si="67"/>
        <v>33.41310781860372</v>
      </c>
      <c r="BH56" s="49">
        <f t="shared" si="68"/>
        <v>0</v>
      </c>
      <c r="BI56" s="79">
        <f t="shared" si="69"/>
        <v>-23211.314229129566</v>
      </c>
      <c r="BJ56" s="79">
        <f t="shared" si="33"/>
        <v>24200</v>
      </c>
      <c r="BK56" s="44">
        <f t="shared" si="70"/>
        <v>4.2594993161984007E-2</v>
      </c>
      <c r="BL56" s="79">
        <f t="shared" si="87"/>
        <v>31.05361791385587</v>
      </c>
      <c r="BM56" s="49">
        <f>BJ56+BL56</f>
        <v>24231.053617913854</v>
      </c>
      <c r="BN56" s="44">
        <f t="shared" si="72"/>
        <v>4.3932858722171897E-2</v>
      </c>
      <c r="BO56" s="49">
        <f t="shared" si="34"/>
        <v>29.422158755083935</v>
      </c>
      <c r="BP56" s="49">
        <f t="shared" si="35"/>
        <v>24229.422158755086</v>
      </c>
      <c r="BQ56" s="44">
        <f t="shared" si="36"/>
        <v>4.3862571484548862E-2</v>
      </c>
      <c r="BS56" s="49">
        <f t="shared" si="37"/>
        <v>23211.314229129566</v>
      </c>
      <c r="BT56" s="49">
        <f t="shared" si="38"/>
        <v>72.290001000000004</v>
      </c>
      <c r="BU56" s="49">
        <f t="shared" si="39"/>
        <v>54.319999500000002</v>
      </c>
      <c r="BV56" s="49">
        <f t="shared" si="40"/>
        <v>1755.653431709638</v>
      </c>
      <c r="BW56" s="18">
        <f t="shared" si="41"/>
        <v>98</v>
      </c>
      <c r="BX56" s="19">
        <f t="shared" si="73"/>
        <v>0.97752293577981653</v>
      </c>
      <c r="BY56" s="49">
        <f t="shared" si="74"/>
        <v>1716.191496776715</v>
      </c>
      <c r="BZ56" s="19">
        <f t="shared" si="42"/>
        <v>4.3875649017132616</v>
      </c>
      <c r="CA56" s="19">
        <f t="shared" si="43"/>
        <v>2.9478571700979774</v>
      </c>
      <c r="CB56" s="19">
        <f t="shared" si="44"/>
        <v>2.3787528771138522</v>
      </c>
      <c r="CC56" s="19">
        <f t="shared" si="45"/>
        <v>1.9423542429976433</v>
      </c>
      <c r="CD56" s="19">
        <f t="shared" si="46"/>
        <v>7.46991926717185</v>
      </c>
      <c r="CE56" s="19">
        <f t="shared" si="47"/>
        <v>2.6679277704433924</v>
      </c>
      <c r="CF56" s="49">
        <f t="shared" si="48"/>
        <v>-634.35414226483317</v>
      </c>
      <c r="CG56" s="49">
        <f t="shared" si="49"/>
        <v>-197.59486316381026</v>
      </c>
      <c r="CH56" s="49">
        <f t="shared" si="50"/>
        <v>-131.92563218598139</v>
      </c>
      <c r="CI56" s="49">
        <f t="shared" si="51"/>
        <v>-131.12833882947939</v>
      </c>
      <c r="CJ56" s="49">
        <f t="shared" si="52"/>
        <v>-370.8067849524914</v>
      </c>
      <c r="CK56" s="49">
        <f t="shared" si="53"/>
        <v>-289.84367031304237</v>
      </c>
    </row>
    <row r="57" spans="2:89" ht="12.75" customHeight="1" x14ac:dyDescent="0.2">
      <c r="B57" s="77">
        <v>39398</v>
      </c>
      <c r="C57" s="49">
        <v>144.820007</v>
      </c>
      <c r="D57" s="49">
        <v>66.970000999999996</v>
      </c>
      <c r="E57" s="49">
        <v>55.07</v>
      </c>
      <c r="F57" s="49">
        <v>67.089995999999999</v>
      </c>
      <c r="G57" s="49">
        <v>49.389999000000003</v>
      </c>
      <c r="H57" s="49">
        <v>107.980003</v>
      </c>
      <c r="J57" s="78">
        <f>IF(inter=Weekly_2,J56+$C$5,IF(inter=Bi_weekly_2,0,IF(inter=Monthly_2,0,IF(inter=Quarterly_2,0,IF(inter=Yearly_2,0,IF(inter=None_2,0,0))))))</f>
        <v>0</v>
      </c>
      <c r="K57" s="79">
        <f t="shared" si="54"/>
        <v>0</v>
      </c>
      <c r="L57" s="79">
        <f t="shared" si="55"/>
        <v>0</v>
      </c>
      <c r="M57" s="79">
        <f t="shared" si="56"/>
        <v>0</v>
      </c>
      <c r="N57" s="79">
        <f t="shared" si="57"/>
        <v>0</v>
      </c>
      <c r="O57" s="79">
        <f t="shared" si="58"/>
        <v>0</v>
      </c>
      <c r="P57" s="79">
        <f t="shared" si="59"/>
        <v>0</v>
      </c>
      <c r="Q57" s="79"/>
      <c r="R57" s="80">
        <f t="shared" si="12"/>
        <v>0</v>
      </c>
      <c r="S57" s="80">
        <f t="shared" si="13"/>
        <v>0</v>
      </c>
      <c r="T57" s="80">
        <f t="shared" si="14"/>
        <v>0</v>
      </c>
      <c r="U57" s="80">
        <f t="shared" si="15"/>
        <v>0</v>
      </c>
      <c r="V57" s="80">
        <f t="shared" si="16"/>
        <v>0</v>
      </c>
      <c r="W57" s="80">
        <f t="shared" si="17"/>
        <v>0</v>
      </c>
      <c r="X57" s="80">
        <f t="shared" si="75"/>
        <v>58.583482382300694</v>
      </c>
      <c r="Y57" s="80">
        <f t="shared" si="76"/>
        <v>36.103237895020705</v>
      </c>
      <c r="Z57" s="80">
        <f t="shared" si="77"/>
        <v>34.908042461378336</v>
      </c>
      <c r="AA57" s="80">
        <f t="shared" si="78"/>
        <v>25.092578133829711</v>
      </c>
      <c r="AB57" s="80">
        <f t="shared" si="79"/>
        <v>121.87752058576793</v>
      </c>
      <c r="AC57" s="80">
        <f t="shared" si="80"/>
        <v>33.41310781860372</v>
      </c>
      <c r="AD57" s="80"/>
      <c r="AE57" s="80"/>
      <c r="AF57" s="80"/>
      <c r="AG57" s="80"/>
      <c r="AH57" s="80"/>
      <c r="AI57" s="80"/>
      <c r="AJ57" s="45">
        <f t="shared" si="19"/>
        <v>0</v>
      </c>
      <c r="AK57" s="45">
        <f t="shared" si="20"/>
        <v>0</v>
      </c>
      <c r="AL57" s="45">
        <f t="shared" si="21"/>
        <v>0</v>
      </c>
      <c r="AM57" s="45">
        <f t="shared" si="22"/>
        <v>0</v>
      </c>
      <c r="AN57" s="45">
        <f t="shared" si="23"/>
        <v>0</v>
      </c>
      <c r="AO57" s="45">
        <f t="shared" si="24"/>
        <v>0</v>
      </c>
      <c r="AP57" s="80">
        <f t="shared" si="25"/>
        <v>0</v>
      </c>
      <c r="AQ57" s="80">
        <f t="shared" si="26"/>
        <v>0</v>
      </c>
      <c r="AR57" s="80">
        <f t="shared" si="27"/>
        <v>0</v>
      </c>
      <c r="AS57" s="80">
        <f t="shared" si="28"/>
        <v>0</v>
      </c>
      <c r="AT57" s="80">
        <f t="shared" si="29"/>
        <v>0</v>
      </c>
      <c r="AU57" s="80">
        <f t="shared" si="30"/>
        <v>0</v>
      </c>
      <c r="AV57" s="80">
        <f t="shared" si="81"/>
        <v>0.11008230889509453</v>
      </c>
      <c r="AW57" s="80">
        <f t="shared" si="82"/>
        <v>0.2014987097771932</v>
      </c>
      <c r="AX57" s="80">
        <f t="shared" si="83"/>
        <v>0</v>
      </c>
      <c r="AY57" s="80">
        <f t="shared" si="84"/>
        <v>0</v>
      </c>
      <c r="AZ57" s="80">
        <f t="shared" si="85"/>
        <v>0</v>
      </c>
      <c r="BA57" s="80">
        <f t="shared" si="86"/>
        <v>0</v>
      </c>
      <c r="BB57" s="80">
        <f t="shared" si="62"/>
        <v>58.693564691195789</v>
      </c>
      <c r="BC57" s="80">
        <f t="shared" si="63"/>
        <v>36.304736604797895</v>
      </c>
      <c r="BD57" s="80">
        <f t="shared" si="64"/>
        <v>34.908042461378336</v>
      </c>
      <c r="BE57" s="80">
        <f t="shared" si="65"/>
        <v>25.092578133829711</v>
      </c>
      <c r="BF57" s="80">
        <f t="shared" si="66"/>
        <v>121.87752058576793</v>
      </c>
      <c r="BG57" s="80">
        <f t="shared" si="67"/>
        <v>33.41310781860372</v>
      </c>
      <c r="BH57" s="49">
        <f t="shared" si="68"/>
        <v>0</v>
      </c>
      <c r="BI57" s="79">
        <f t="shared" si="69"/>
        <v>-23211.314229129566</v>
      </c>
      <c r="BJ57" s="79">
        <f t="shared" si="33"/>
        <v>24135.219173944075</v>
      </c>
      <c r="BK57" s="44">
        <f t="shared" si="70"/>
        <v>3.9804077257074688E-2</v>
      </c>
      <c r="BL57" s="79">
        <f t="shared" si="87"/>
        <v>31.05361791385587</v>
      </c>
      <c r="BM57" s="49">
        <f t="shared" si="71"/>
        <v>24166.272791857929</v>
      </c>
      <c r="BN57" s="44">
        <f t="shared" si="72"/>
        <v>4.1141942817262578E-2</v>
      </c>
      <c r="BO57" s="49">
        <f t="shared" si="34"/>
        <v>29.436489540041087</v>
      </c>
      <c r="BP57" s="49">
        <f t="shared" si="35"/>
        <v>24164.655663484114</v>
      </c>
      <c r="BQ57" s="44">
        <f t="shared" si="36"/>
        <v>4.1072272984789882E-2</v>
      </c>
      <c r="BS57" s="49">
        <f t="shared" si="37"/>
        <v>23211.314229129566</v>
      </c>
      <c r="BT57" s="49">
        <f t="shared" si="38"/>
        <v>72.410003500000002</v>
      </c>
      <c r="BU57" s="49">
        <f t="shared" si="39"/>
        <v>53.990001499999998</v>
      </c>
      <c r="BV57" s="49">
        <f t="shared" si="40"/>
        <v>0</v>
      </c>
      <c r="BW57" s="18">
        <f t="shared" si="41"/>
        <v>105</v>
      </c>
      <c r="BX57" s="19">
        <f t="shared" si="73"/>
        <v>0.9759174311926605</v>
      </c>
      <c r="BY57" s="49">
        <f t="shared" si="74"/>
        <v>0</v>
      </c>
      <c r="BZ57" s="19">
        <f t="shared" si="42"/>
        <v>0</v>
      </c>
      <c r="CA57" s="19">
        <f t="shared" si="43"/>
        <v>0</v>
      </c>
      <c r="CB57" s="19">
        <f t="shared" si="44"/>
        <v>0</v>
      </c>
      <c r="CC57" s="19">
        <f t="shared" si="45"/>
        <v>0</v>
      </c>
      <c r="CD57" s="19">
        <f t="shared" si="46"/>
        <v>0</v>
      </c>
      <c r="CE57" s="19">
        <f t="shared" si="47"/>
        <v>0</v>
      </c>
      <c r="CF57" s="49">
        <f t="shared" si="48"/>
        <v>0</v>
      </c>
      <c r="CG57" s="49">
        <f t="shared" si="49"/>
        <v>0</v>
      </c>
      <c r="CH57" s="49">
        <f t="shared" si="50"/>
        <v>0</v>
      </c>
      <c r="CI57" s="49">
        <f t="shared" si="51"/>
        <v>0</v>
      </c>
      <c r="CJ57" s="49">
        <f t="shared" si="52"/>
        <v>0</v>
      </c>
      <c r="CK57" s="49">
        <f t="shared" si="53"/>
        <v>0</v>
      </c>
    </row>
    <row r="58" spans="2:89" ht="12.75" customHeight="1" x14ac:dyDescent="0.2">
      <c r="B58" s="77">
        <v>39405</v>
      </c>
      <c r="C58" s="49">
        <v>142.60000600000001</v>
      </c>
      <c r="D58" s="49">
        <v>65.839995999999999</v>
      </c>
      <c r="E58" s="49">
        <v>53.970001000000003</v>
      </c>
      <c r="F58" s="49">
        <v>65.930000000000007</v>
      </c>
      <c r="G58" s="49">
        <v>49.18</v>
      </c>
      <c r="H58" s="49">
        <v>103.260002</v>
      </c>
      <c r="J58" s="78">
        <f>IF(inter=Weekly_2,J57+$C$5,IF(inter=Bi_weekly_2,J56+$C$5,IF(inter=Monthly_2,J54+$C$5,IF(inter=Quarterly_2,0,IF(inter=Yearly_2,0,IF(inter=None_2,0,0))))))</f>
        <v>24800</v>
      </c>
      <c r="K58" s="79">
        <f t="shared" si="54"/>
        <v>-325.99506078302693</v>
      </c>
      <c r="L58" s="79">
        <f t="shared" si="55"/>
        <v>-102.96296140478853</v>
      </c>
      <c r="M58" s="79">
        <f t="shared" si="56"/>
        <v>-100.0129134513686</v>
      </c>
      <c r="N58" s="79">
        <f t="shared" si="57"/>
        <v>-81.646323636607121</v>
      </c>
      <c r="O58" s="79">
        <f t="shared" si="58"/>
        <v>-206.06353759193371</v>
      </c>
      <c r="P58" s="79">
        <f t="shared" si="59"/>
        <v>-269.76241982476404</v>
      </c>
      <c r="Q58" s="79"/>
      <c r="R58" s="80">
        <f t="shared" si="12"/>
        <v>2.2860802739589428</v>
      </c>
      <c r="S58" s="80">
        <f t="shared" si="13"/>
        <v>1.5638360823227955</v>
      </c>
      <c r="T58" s="80">
        <f t="shared" si="14"/>
        <v>1.8531204668936099</v>
      </c>
      <c r="U58" s="80">
        <f t="shared" si="15"/>
        <v>1.2383789418566225</v>
      </c>
      <c r="V58" s="80">
        <f t="shared" si="16"/>
        <v>4.1899865309461921</v>
      </c>
      <c r="W58" s="80">
        <f t="shared" si="17"/>
        <v>2.6124580147186522</v>
      </c>
      <c r="X58" s="80">
        <f t="shared" si="75"/>
        <v>60.869562656259639</v>
      </c>
      <c r="Y58" s="80">
        <f t="shared" si="76"/>
        <v>37.667073977343499</v>
      </c>
      <c r="Z58" s="80">
        <f t="shared" si="77"/>
        <v>36.761162928271943</v>
      </c>
      <c r="AA58" s="80">
        <f t="shared" si="78"/>
        <v>26.330957075686335</v>
      </c>
      <c r="AB58" s="80">
        <f t="shared" si="79"/>
        <v>126.06750711671411</v>
      </c>
      <c r="AC58" s="80">
        <f t="shared" si="80"/>
        <v>36.025565833322375</v>
      </c>
      <c r="AD58" s="80"/>
      <c r="AE58" s="80"/>
      <c r="AF58" s="80"/>
      <c r="AG58" s="80"/>
      <c r="AH58" s="80"/>
      <c r="AI58" s="80"/>
      <c r="AJ58" s="45">
        <f t="shared" si="19"/>
        <v>0</v>
      </c>
      <c r="AK58" s="45">
        <f t="shared" si="20"/>
        <v>0</v>
      </c>
      <c r="AL58" s="45">
        <f t="shared" si="21"/>
        <v>0</v>
      </c>
      <c r="AM58" s="45">
        <f t="shared" si="22"/>
        <v>0</v>
      </c>
      <c r="AN58" s="45">
        <f t="shared" si="23"/>
        <v>0</v>
      </c>
      <c r="AO58" s="45">
        <f t="shared" si="24"/>
        <v>0</v>
      </c>
      <c r="AP58" s="80">
        <f t="shared" si="25"/>
        <v>0</v>
      </c>
      <c r="AQ58" s="80">
        <f t="shared" si="26"/>
        <v>0</v>
      </c>
      <c r="AR58" s="80">
        <f t="shared" si="27"/>
        <v>0</v>
      </c>
      <c r="AS58" s="80">
        <f t="shared" si="28"/>
        <v>0</v>
      </c>
      <c r="AT58" s="80">
        <f t="shared" si="29"/>
        <v>0</v>
      </c>
      <c r="AU58" s="80">
        <f t="shared" si="30"/>
        <v>0</v>
      </c>
      <c r="AV58" s="80">
        <f t="shared" si="81"/>
        <v>0.11008230889509453</v>
      </c>
      <c r="AW58" s="80">
        <f t="shared" si="82"/>
        <v>0.2014987097771932</v>
      </c>
      <c r="AX58" s="80">
        <f t="shared" si="83"/>
        <v>0</v>
      </c>
      <c r="AY58" s="80">
        <f t="shared" si="84"/>
        <v>0</v>
      </c>
      <c r="AZ58" s="80">
        <f t="shared" si="85"/>
        <v>0</v>
      </c>
      <c r="BA58" s="80">
        <f t="shared" si="86"/>
        <v>0</v>
      </c>
      <c r="BB58" s="80">
        <f t="shared" si="62"/>
        <v>60.979644965154733</v>
      </c>
      <c r="BC58" s="80">
        <f t="shared" si="63"/>
        <v>37.86857268712069</v>
      </c>
      <c r="BD58" s="80">
        <f t="shared" si="64"/>
        <v>36.761162928271943</v>
      </c>
      <c r="BE58" s="80">
        <f t="shared" si="65"/>
        <v>26.330957075686335</v>
      </c>
      <c r="BF58" s="80">
        <f t="shared" si="66"/>
        <v>126.06750711671411</v>
      </c>
      <c r="BG58" s="80">
        <f t="shared" si="67"/>
        <v>36.025565833322375</v>
      </c>
      <c r="BH58" s="49">
        <f t="shared" si="68"/>
        <v>0</v>
      </c>
      <c r="BI58" s="79">
        <f t="shared" si="69"/>
        <v>-24297.757445822055</v>
      </c>
      <c r="BJ58" s="79">
        <f t="shared" si="33"/>
        <v>24800</v>
      </c>
      <c r="BK58" s="44">
        <f t="shared" si="70"/>
        <v>2.06703254527838E-2</v>
      </c>
      <c r="BL58" s="79">
        <f t="shared" si="87"/>
        <v>31.05361791385587</v>
      </c>
      <c r="BM58" s="49">
        <f t="shared" si="71"/>
        <v>24831.053617913854</v>
      </c>
      <c r="BN58" s="44">
        <f t="shared" si="72"/>
        <v>2.1948370061760425E-2</v>
      </c>
      <c r="BO58" s="49">
        <f t="shared" si="34"/>
        <v>28.964412154669894</v>
      </c>
      <c r="BP58" s="49">
        <f t="shared" si="35"/>
        <v>24828.96441215467</v>
      </c>
      <c r="BQ58" s="44">
        <f t="shared" si="36"/>
        <v>2.1862386581028126E-2</v>
      </c>
      <c r="BS58" s="49">
        <f t="shared" si="37"/>
        <v>24297.757445822055</v>
      </c>
      <c r="BT58" s="49">
        <f t="shared" si="38"/>
        <v>71.300003000000004</v>
      </c>
      <c r="BU58" s="49">
        <f t="shared" si="39"/>
        <v>51.630001</v>
      </c>
      <c r="BV58" s="49">
        <f t="shared" si="40"/>
        <v>1086.4432166924889</v>
      </c>
      <c r="BW58" s="18">
        <f t="shared" si="41"/>
        <v>112</v>
      </c>
      <c r="BX58" s="19">
        <f t="shared" si="73"/>
        <v>0.97431192660550459</v>
      </c>
      <c r="BY58" s="49">
        <f t="shared" si="74"/>
        <v>1058.5345836031406</v>
      </c>
      <c r="BZ58" s="19">
        <f t="shared" si="42"/>
        <v>2.2860802739589428</v>
      </c>
      <c r="CA58" s="19">
        <f t="shared" si="43"/>
        <v>1.5638360823227955</v>
      </c>
      <c r="CB58" s="19">
        <f t="shared" si="44"/>
        <v>1.8531204668936099</v>
      </c>
      <c r="CC58" s="19">
        <f t="shared" si="45"/>
        <v>1.2383789418566225</v>
      </c>
      <c r="CD58" s="19">
        <f t="shared" si="46"/>
        <v>4.1899865309461921</v>
      </c>
      <c r="CE58" s="19">
        <f t="shared" si="47"/>
        <v>2.6124580147186522</v>
      </c>
      <c r="CF58" s="49">
        <f t="shared" si="48"/>
        <v>-325.99506078302693</v>
      </c>
      <c r="CG58" s="49">
        <f t="shared" si="49"/>
        <v>-102.96296140478853</v>
      </c>
      <c r="CH58" s="49">
        <f t="shared" si="50"/>
        <v>-100.0129134513686</v>
      </c>
      <c r="CI58" s="49">
        <f t="shared" si="51"/>
        <v>-81.646323636607121</v>
      </c>
      <c r="CJ58" s="49">
        <f t="shared" si="52"/>
        <v>-206.06353759193371</v>
      </c>
      <c r="CK58" s="49">
        <f t="shared" si="53"/>
        <v>-269.76241982476404</v>
      </c>
    </row>
    <row r="59" spans="2:89" ht="12.75" customHeight="1" x14ac:dyDescent="0.2">
      <c r="B59" s="77">
        <v>39412</v>
      </c>
      <c r="C59" s="49">
        <v>146.949997</v>
      </c>
      <c r="D59" s="49">
        <v>68.010002</v>
      </c>
      <c r="E59" s="49">
        <v>55.169998</v>
      </c>
      <c r="F59" s="49">
        <v>67.019997000000004</v>
      </c>
      <c r="G59" s="49">
        <v>50.389999000000003</v>
      </c>
      <c r="H59" s="49">
        <v>107.279999</v>
      </c>
      <c r="J59" s="78">
        <f>IF(inter=Weekly_2,J58+$C$5,IF(inter=Bi_weekly_2,0,IF(inter=Monthly_2,0,IF(inter=Quarterly_2,0,IF(inter=Yearly_2,0,IF(inter=None_2,0,0))))))</f>
        <v>0</v>
      </c>
      <c r="K59" s="79">
        <f t="shared" si="54"/>
        <v>0</v>
      </c>
      <c r="L59" s="79">
        <f t="shared" si="55"/>
        <v>0</v>
      </c>
      <c r="M59" s="79">
        <f t="shared" si="56"/>
        <v>0</v>
      </c>
      <c r="N59" s="79">
        <f t="shared" si="57"/>
        <v>0</v>
      </c>
      <c r="O59" s="79">
        <f t="shared" si="58"/>
        <v>0</v>
      </c>
      <c r="P59" s="79">
        <f t="shared" si="59"/>
        <v>0</v>
      </c>
      <c r="Q59" s="79"/>
      <c r="R59" s="80">
        <f t="shared" si="12"/>
        <v>0</v>
      </c>
      <c r="S59" s="80">
        <f t="shared" si="13"/>
        <v>0</v>
      </c>
      <c r="T59" s="80">
        <f t="shared" si="14"/>
        <v>0</v>
      </c>
      <c r="U59" s="80">
        <f t="shared" si="15"/>
        <v>0</v>
      </c>
      <c r="V59" s="80">
        <f t="shared" si="16"/>
        <v>0</v>
      </c>
      <c r="W59" s="80">
        <f t="shared" si="17"/>
        <v>0</v>
      </c>
      <c r="X59" s="80">
        <f t="shared" si="75"/>
        <v>60.869562656259639</v>
      </c>
      <c r="Y59" s="80">
        <f t="shared" si="76"/>
        <v>37.667073977343499</v>
      </c>
      <c r="Z59" s="80">
        <f t="shared" si="77"/>
        <v>36.761162928271943</v>
      </c>
      <c r="AA59" s="80">
        <f t="shared" si="78"/>
        <v>26.330957075686335</v>
      </c>
      <c r="AB59" s="80">
        <f t="shared" si="79"/>
        <v>126.06750711671411</v>
      </c>
      <c r="AC59" s="80">
        <f t="shared" si="80"/>
        <v>36.025565833322375</v>
      </c>
      <c r="AD59" s="80"/>
      <c r="AE59" s="80"/>
      <c r="AF59" s="80"/>
      <c r="AG59" s="80"/>
      <c r="AH59" s="80"/>
      <c r="AI59" s="80"/>
      <c r="AJ59" s="45">
        <f t="shared" si="19"/>
        <v>0</v>
      </c>
      <c r="AK59" s="45">
        <f t="shared" si="20"/>
        <v>0</v>
      </c>
      <c r="AL59" s="45">
        <f t="shared" si="21"/>
        <v>0</v>
      </c>
      <c r="AM59" s="45">
        <f t="shared" si="22"/>
        <v>0</v>
      </c>
      <c r="AN59" s="45">
        <f t="shared" si="23"/>
        <v>0</v>
      </c>
      <c r="AO59" s="45">
        <f t="shared" si="24"/>
        <v>0</v>
      </c>
      <c r="AP59" s="80">
        <f t="shared" si="25"/>
        <v>0</v>
      </c>
      <c r="AQ59" s="80">
        <f t="shared" si="26"/>
        <v>0</v>
      </c>
      <c r="AR59" s="80">
        <f t="shared" si="27"/>
        <v>0</v>
      </c>
      <c r="AS59" s="80">
        <f t="shared" si="28"/>
        <v>0</v>
      </c>
      <c r="AT59" s="80">
        <f t="shared" si="29"/>
        <v>0</v>
      </c>
      <c r="AU59" s="80">
        <f t="shared" si="30"/>
        <v>0</v>
      </c>
      <c r="AV59" s="80">
        <f t="shared" si="81"/>
        <v>0.11008230889509453</v>
      </c>
      <c r="AW59" s="80">
        <f t="shared" si="82"/>
        <v>0.2014987097771932</v>
      </c>
      <c r="AX59" s="80">
        <f t="shared" si="83"/>
        <v>0</v>
      </c>
      <c r="AY59" s="80">
        <f t="shared" si="84"/>
        <v>0</v>
      </c>
      <c r="AZ59" s="80">
        <f t="shared" si="85"/>
        <v>0</v>
      </c>
      <c r="BA59" s="80">
        <f t="shared" si="86"/>
        <v>0</v>
      </c>
      <c r="BB59" s="80">
        <f t="shared" si="62"/>
        <v>60.979644965154733</v>
      </c>
      <c r="BC59" s="80">
        <f t="shared" si="63"/>
        <v>37.86857268712069</v>
      </c>
      <c r="BD59" s="80">
        <f t="shared" si="64"/>
        <v>36.761162928271943</v>
      </c>
      <c r="BE59" s="80">
        <f t="shared" si="65"/>
        <v>26.330957075686335</v>
      </c>
      <c r="BF59" s="80">
        <f t="shared" si="66"/>
        <v>126.06750711671411</v>
      </c>
      <c r="BG59" s="80">
        <f t="shared" si="67"/>
        <v>36.025565833322375</v>
      </c>
      <c r="BH59" s="49">
        <f t="shared" si="68"/>
        <v>0</v>
      </c>
      <c r="BI59" s="79">
        <f t="shared" si="69"/>
        <v>-24297.757445822055</v>
      </c>
      <c r="BJ59" s="79">
        <f t="shared" si="33"/>
        <v>25516.697999828983</v>
      </c>
      <c r="BK59" s="44">
        <f t="shared" si="70"/>
        <v>5.0166792417977613E-2</v>
      </c>
      <c r="BL59" s="79">
        <f t="shared" si="87"/>
        <v>31.05361791385587</v>
      </c>
      <c r="BM59" s="49">
        <f t="shared" si="71"/>
        <v>25547.751617742837</v>
      </c>
      <c r="BN59" s="44">
        <f t="shared" si="72"/>
        <v>5.1444837026954238E-2</v>
      </c>
      <c r="BO59" s="49">
        <f t="shared" si="34"/>
        <v>29.880522616831541</v>
      </c>
      <c r="BP59" s="49">
        <f t="shared" si="35"/>
        <v>25546.578522445812</v>
      </c>
      <c r="BQ59" s="44">
        <f t="shared" si="36"/>
        <v>5.1396557044752766E-2</v>
      </c>
      <c r="BS59" s="49">
        <f t="shared" si="37"/>
        <v>24297.757445822055</v>
      </c>
      <c r="BT59" s="49">
        <f t="shared" si="38"/>
        <v>73.474998499999998</v>
      </c>
      <c r="BU59" s="49">
        <f t="shared" si="39"/>
        <v>53.639999500000002</v>
      </c>
      <c r="BV59" s="49">
        <f t="shared" si="40"/>
        <v>0</v>
      </c>
      <c r="BW59" s="18">
        <f t="shared" si="41"/>
        <v>119</v>
      </c>
      <c r="BX59" s="19">
        <f t="shared" si="73"/>
        <v>0.97270642201834867</v>
      </c>
      <c r="BY59" s="49">
        <f t="shared" si="74"/>
        <v>0</v>
      </c>
      <c r="BZ59" s="19">
        <f t="shared" si="42"/>
        <v>0</v>
      </c>
      <c r="CA59" s="19">
        <f t="shared" si="43"/>
        <v>0</v>
      </c>
      <c r="CB59" s="19">
        <f t="shared" si="44"/>
        <v>0</v>
      </c>
      <c r="CC59" s="19">
        <f t="shared" si="45"/>
        <v>0</v>
      </c>
      <c r="CD59" s="19">
        <f t="shared" si="46"/>
        <v>0</v>
      </c>
      <c r="CE59" s="19">
        <f t="shared" si="47"/>
        <v>0</v>
      </c>
      <c r="CF59" s="49">
        <f t="shared" si="48"/>
        <v>0</v>
      </c>
      <c r="CG59" s="49">
        <f t="shared" si="49"/>
        <v>0</v>
      </c>
      <c r="CH59" s="49">
        <f t="shared" si="50"/>
        <v>0</v>
      </c>
      <c r="CI59" s="49">
        <f t="shared" si="51"/>
        <v>0</v>
      </c>
      <c r="CJ59" s="49">
        <f t="shared" si="52"/>
        <v>0</v>
      </c>
      <c r="CK59" s="49">
        <f t="shared" si="53"/>
        <v>0</v>
      </c>
    </row>
    <row r="60" spans="2:89" ht="12.75" customHeight="1" x14ac:dyDescent="0.2">
      <c r="B60" s="77">
        <v>39419</v>
      </c>
      <c r="C60" s="49">
        <v>149.60000600000001</v>
      </c>
      <c r="D60" s="49">
        <v>69.099997999999999</v>
      </c>
      <c r="E60" s="49">
        <v>56.48</v>
      </c>
      <c r="F60" s="49">
        <v>68.809997999999993</v>
      </c>
      <c r="G60" s="49">
        <v>50.82</v>
      </c>
      <c r="H60" s="49">
        <v>111.66999800000001</v>
      </c>
      <c r="J60" s="78">
        <f>IF(inter=Weekly_2,J59+$C$5,IF(inter=Bi_weekly_2,J58+$C$5,IF(inter=Monthly_2,0,IF(inter=Quarterly_2,0,IF(inter=Yearly_2,0,IF(inter=None_2,0,0))))))</f>
        <v>25400</v>
      </c>
      <c r="K60" s="79">
        <f t="shared" si="54"/>
        <v>216.08693859381856</v>
      </c>
      <c r="L60" s="79">
        <f t="shared" si="55"/>
        <v>62.794736500287854</v>
      </c>
      <c r="M60" s="79">
        <f t="shared" si="56"/>
        <v>44.270482188799178</v>
      </c>
      <c r="N60" s="79">
        <f t="shared" si="57"/>
        <v>33.833103716062169</v>
      </c>
      <c r="O60" s="79">
        <f t="shared" si="58"/>
        <v>56.750711671411409</v>
      </c>
      <c r="P60" s="79">
        <f t="shared" si="59"/>
        <v>212.974864555978</v>
      </c>
      <c r="Q60" s="79"/>
      <c r="R60" s="80">
        <f t="shared" si="12"/>
        <v>-1.4444313497809522</v>
      </c>
      <c r="S60" s="80">
        <f t="shared" si="13"/>
        <v>-0.90875163991014662</v>
      </c>
      <c r="T60" s="80">
        <f t="shared" si="14"/>
        <v>-0.78382581779035376</v>
      </c>
      <c r="U60" s="80">
        <f t="shared" si="15"/>
        <v>-0.49168877633250579</v>
      </c>
      <c r="V60" s="80">
        <f t="shared" si="16"/>
        <v>-1.1167003477255295</v>
      </c>
      <c r="W60" s="80">
        <f t="shared" si="17"/>
        <v>-1.9071806964300115</v>
      </c>
      <c r="X60" s="80">
        <f t="shared" si="75"/>
        <v>59.42513130647869</v>
      </c>
      <c r="Y60" s="80">
        <f t="shared" si="76"/>
        <v>36.758322337433356</v>
      </c>
      <c r="Z60" s="80">
        <f t="shared" si="77"/>
        <v>35.977337110481592</v>
      </c>
      <c r="AA60" s="80">
        <f t="shared" si="78"/>
        <v>25.839268299353829</v>
      </c>
      <c r="AB60" s="80">
        <f t="shared" si="79"/>
        <v>124.95080676898858</v>
      </c>
      <c r="AC60" s="80">
        <f t="shared" si="80"/>
        <v>34.118385136892364</v>
      </c>
      <c r="AD60" s="80"/>
      <c r="AE60" s="80"/>
      <c r="AF60" s="80"/>
      <c r="AG60" s="80"/>
      <c r="AH60" s="80"/>
      <c r="AI60" s="80"/>
      <c r="AJ60" s="45">
        <f t="shared" si="19"/>
        <v>0</v>
      </c>
      <c r="AK60" s="45">
        <f t="shared" si="20"/>
        <v>0</v>
      </c>
      <c r="AL60" s="45">
        <f t="shared" si="21"/>
        <v>0</v>
      </c>
      <c r="AM60" s="45">
        <f t="shared" si="22"/>
        <v>0</v>
      </c>
      <c r="AN60" s="45">
        <f t="shared" si="23"/>
        <v>0</v>
      </c>
      <c r="AO60" s="45">
        <f t="shared" si="24"/>
        <v>0</v>
      </c>
      <c r="AP60" s="80">
        <f t="shared" si="25"/>
        <v>0</v>
      </c>
      <c r="AQ60" s="80">
        <f t="shared" si="26"/>
        <v>0</v>
      </c>
      <c r="AR60" s="80">
        <f t="shared" si="27"/>
        <v>0</v>
      </c>
      <c r="AS60" s="80">
        <f t="shared" si="28"/>
        <v>0</v>
      </c>
      <c r="AT60" s="80">
        <f t="shared" si="29"/>
        <v>0</v>
      </c>
      <c r="AU60" s="80">
        <f t="shared" si="30"/>
        <v>0</v>
      </c>
      <c r="AV60" s="80">
        <f t="shared" si="81"/>
        <v>0.11008230889509453</v>
      </c>
      <c r="AW60" s="80">
        <f t="shared" si="82"/>
        <v>0.2014987097771932</v>
      </c>
      <c r="AX60" s="80">
        <f t="shared" si="83"/>
        <v>0</v>
      </c>
      <c r="AY60" s="80">
        <f t="shared" si="84"/>
        <v>0</v>
      </c>
      <c r="AZ60" s="80">
        <f t="shared" si="85"/>
        <v>0</v>
      </c>
      <c r="BA60" s="80">
        <f t="shared" si="86"/>
        <v>0</v>
      </c>
      <c r="BB60" s="80">
        <f t="shared" si="62"/>
        <v>59.535213615373785</v>
      </c>
      <c r="BC60" s="80">
        <f t="shared" si="63"/>
        <v>36.959821047210546</v>
      </c>
      <c r="BD60" s="80">
        <f t="shared" si="64"/>
        <v>35.977337110481592</v>
      </c>
      <c r="BE60" s="80">
        <f t="shared" si="65"/>
        <v>25.839268299353829</v>
      </c>
      <c r="BF60" s="80">
        <f t="shared" si="66"/>
        <v>124.95080676898858</v>
      </c>
      <c r="BG60" s="80">
        <f t="shared" si="67"/>
        <v>34.118385136892364</v>
      </c>
      <c r="BH60" s="49">
        <f t="shared" si="68"/>
        <v>0</v>
      </c>
      <c r="BI60" s="79">
        <f t="shared" si="69"/>
        <v>-23671.046608595698</v>
      </c>
      <c r="BJ60" s="79">
        <f t="shared" si="33"/>
        <v>25400</v>
      </c>
      <c r="BK60" s="44">
        <f t="shared" si="70"/>
        <v>7.3040851128925777E-2</v>
      </c>
      <c r="BL60" s="79">
        <f t="shared" si="87"/>
        <v>31.05361791385587</v>
      </c>
      <c r="BM60" s="49">
        <f t="shared" si="71"/>
        <v>25431.053617913854</v>
      </c>
      <c r="BN60" s="44">
        <f t="shared" si="72"/>
        <v>7.4352733042190255E-2</v>
      </c>
      <c r="BO60" s="49">
        <f t="shared" si="34"/>
        <v>30.391874513806627</v>
      </c>
      <c r="BP60" s="49">
        <f t="shared" si="35"/>
        <v>25430.391874513807</v>
      </c>
      <c r="BQ60" s="44">
        <f t="shared" si="36"/>
        <v>7.432477722718156E-2</v>
      </c>
      <c r="BS60" s="49">
        <f t="shared" si="37"/>
        <v>23671.046608595698</v>
      </c>
      <c r="BT60" s="49">
        <f t="shared" si="38"/>
        <v>74.800003000000004</v>
      </c>
      <c r="BU60" s="49">
        <f t="shared" si="39"/>
        <v>55.834999000000003</v>
      </c>
      <c r="BV60" s="49">
        <f t="shared" si="40"/>
        <v>-626.71083722635717</v>
      </c>
      <c r="BW60" s="18">
        <f t="shared" si="41"/>
        <v>126</v>
      </c>
      <c r="BX60" s="19">
        <f t="shared" si="73"/>
        <v>0.97110091743119265</v>
      </c>
      <c r="BY60" s="49">
        <f t="shared" si="74"/>
        <v>-608.59946899458635</v>
      </c>
      <c r="BZ60" s="19">
        <f t="shared" si="42"/>
        <v>0</v>
      </c>
      <c r="CA60" s="19">
        <f t="shared" si="43"/>
        <v>0</v>
      </c>
      <c r="CB60" s="19">
        <f t="shared" si="44"/>
        <v>0</v>
      </c>
      <c r="CC60" s="19">
        <f t="shared" si="45"/>
        <v>0</v>
      </c>
      <c r="CD60" s="19">
        <f t="shared" si="46"/>
        <v>0</v>
      </c>
      <c r="CE60" s="19">
        <f t="shared" si="47"/>
        <v>0</v>
      </c>
      <c r="CF60" s="49">
        <f t="shared" si="48"/>
        <v>0</v>
      </c>
      <c r="CG60" s="49">
        <f t="shared" si="49"/>
        <v>0</v>
      </c>
      <c r="CH60" s="49">
        <f t="shared" si="50"/>
        <v>0</v>
      </c>
      <c r="CI60" s="49">
        <f t="shared" si="51"/>
        <v>0</v>
      </c>
      <c r="CJ60" s="49">
        <f t="shared" si="52"/>
        <v>0</v>
      </c>
      <c r="CK60" s="49">
        <f t="shared" si="53"/>
        <v>0</v>
      </c>
    </row>
    <row r="61" spans="2:89" ht="12.75" customHeight="1" x14ac:dyDescent="0.2">
      <c r="B61" s="77">
        <v>39426</v>
      </c>
      <c r="C61" s="49">
        <v>145.699997</v>
      </c>
      <c r="D61" s="49">
        <v>67.160004000000001</v>
      </c>
      <c r="E61" s="49">
        <v>54.299999</v>
      </c>
      <c r="F61" s="49">
        <v>65.680000000000007</v>
      </c>
      <c r="G61" s="49">
        <v>48.639999000000003</v>
      </c>
      <c r="H61" s="49">
        <v>105.040001</v>
      </c>
      <c r="J61" s="78">
        <f>IF(inter=Weekly_2,J60+$C$5,IF(inter=Bi_weekly_2,0,IF(inter=Monthly_2,0,IF(inter=Quarterly_2,0,IF(inter=Yearly_2,0,IF(inter=None_2,0,0))))))</f>
        <v>0</v>
      </c>
      <c r="K61" s="79">
        <f t="shared" si="54"/>
        <v>0</v>
      </c>
      <c r="L61" s="79">
        <f t="shared" si="55"/>
        <v>0</v>
      </c>
      <c r="M61" s="79">
        <f t="shared" si="56"/>
        <v>0</v>
      </c>
      <c r="N61" s="79">
        <f t="shared" si="57"/>
        <v>0</v>
      </c>
      <c r="O61" s="79">
        <f t="shared" si="58"/>
        <v>0</v>
      </c>
      <c r="P61" s="79">
        <f t="shared" si="59"/>
        <v>0</v>
      </c>
      <c r="Q61" s="79"/>
      <c r="R61" s="80">
        <f t="shared" si="12"/>
        <v>0</v>
      </c>
      <c r="S61" s="80">
        <f t="shared" si="13"/>
        <v>0</v>
      </c>
      <c r="T61" s="80">
        <f t="shared" si="14"/>
        <v>0</v>
      </c>
      <c r="U61" s="80">
        <f t="shared" si="15"/>
        <v>0</v>
      </c>
      <c r="V61" s="80">
        <f t="shared" si="16"/>
        <v>0</v>
      </c>
      <c r="W61" s="80">
        <f t="shared" si="17"/>
        <v>0</v>
      </c>
      <c r="X61" s="80">
        <f t="shared" si="75"/>
        <v>59.42513130647869</v>
      </c>
      <c r="Y61" s="80">
        <f t="shared" si="76"/>
        <v>36.758322337433356</v>
      </c>
      <c r="Z61" s="80">
        <f t="shared" si="77"/>
        <v>35.977337110481592</v>
      </c>
      <c r="AA61" s="80">
        <f t="shared" si="78"/>
        <v>25.839268299353829</v>
      </c>
      <c r="AB61" s="80">
        <f t="shared" si="79"/>
        <v>124.95080676898858</v>
      </c>
      <c r="AC61" s="80">
        <f t="shared" si="80"/>
        <v>34.118385136892364</v>
      </c>
      <c r="AD61" s="80"/>
      <c r="AE61" s="80"/>
      <c r="AF61" s="80"/>
      <c r="AG61" s="80"/>
      <c r="AH61" s="80"/>
      <c r="AI61" s="80"/>
      <c r="AJ61" s="45">
        <f t="shared" si="19"/>
        <v>0</v>
      </c>
      <c r="AK61" s="45">
        <f t="shared" si="20"/>
        <v>0</v>
      </c>
      <c r="AL61" s="45">
        <f t="shared" si="21"/>
        <v>0</v>
      </c>
      <c r="AM61" s="45">
        <f t="shared" si="22"/>
        <v>0</v>
      </c>
      <c r="AN61" s="45">
        <f t="shared" si="23"/>
        <v>0</v>
      </c>
      <c r="AO61" s="45">
        <f t="shared" si="24"/>
        <v>0</v>
      </c>
      <c r="AP61" s="80">
        <f t="shared" si="25"/>
        <v>0</v>
      </c>
      <c r="AQ61" s="80">
        <f t="shared" si="26"/>
        <v>0</v>
      </c>
      <c r="AR61" s="80">
        <f t="shared" si="27"/>
        <v>0</v>
      </c>
      <c r="AS61" s="80">
        <f t="shared" si="28"/>
        <v>0</v>
      </c>
      <c r="AT61" s="80">
        <f t="shared" si="29"/>
        <v>0</v>
      </c>
      <c r="AU61" s="80">
        <f t="shared" si="30"/>
        <v>0</v>
      </c>
      <c r="AV61" s="80">
        <f t="shared" si="81"/>
        <v>0.11008230889509453</v>
      </c>
      <c r="AW61" s="80">
        <f t="shared" si="82"/>
        <v>0.2014987097771932</v>
      </c>
      <c r="AX61" s="80">
        <f t="shared" si="83"/>
        <v>0</v>
      </c>
      <c r="AY61" s="80">
        <f t="shared" si="84"/>
        <v>0</v>
      </c>
      <c r="AZ61" s="80">
        <f t="shared" si="85"/>
        <v>0</v>
      </c>
      <c r="BA61" s="80">
        <f t="shared" si="86"/>
        <v>0</v>
      </c>
      <c r="BB61" s="80">
        <f t="shared" si="62"/>
        <v>59.535213615373785</v>
      </c>
      <c r="BC61" s="80">
        <f t="shared" si="63"/>
        <v>36.959821047210546</v>
      </c>
      <c r="BD61" s="80">
        <f t="shared" si="64"/>
        <v>35.977337110481592</v>
      </c>
      <c r="BE61" s="80">
        <f t="shared" si="65"/>
        <v>25.839268299353829</v>
      </c>
      <c r="BF61" s="80">
        <f t="shared" si="66"/>
        <v>124.95080676898858</v>
      </c>
      <c r="BG61" s="80">
        <f t="shared" si="67"/>
        <v>34.118385136892364</v>
      </c>
      <c r="BH61" s="49">
        <f t="shared" si="68"/>
        <v>0</v>
      </c>
      <c r="BI61" s="79">
        <f t="shared" si="69"/>
        <v>-23671.046608595698</v>
      </c>
      <c r="BJ61" s="79">
        <f t="shared" si="33"/>
        <v>24439.025364507594</v>
      </c>
      <c r="BK61" s="44">
        <f t="shared" si="70"/>
        <v>3.2443802279237488E-2</v>
      </c>
      <c r="BL61" s="79">
        <f t="shared" si="87"/>
        <v>31.05361791385587</v>
      </c>
      <c r="BM61" s="49">
        <f t="shared" si="71"/>
        <v>24470.078982421448</v>
      </c>
      <c r="BN61" s="44">
        <f t="shared" si="72"/>
        <v>3.3755684192501967E-2</v>
      </c>
      <c r="BO61" s="49">
        <f t="shared" si="34"/>
        <v>29.57164623039948</v>
      </c>
      <c r="BP61" s="49">
        <f t="shared" si="35"/>
        <v>24468.597010737994</v>
      </c>
      <c r="BQ61" s="44">
        <f t="shared" si="36"/>
        <v>3.3693077257204163E-2</v>
      </c>
      <c r="BS61" s="49">
        <f t="shared" si="37"/>
        <v>23671.046608595698</v>
      </c>
      <c r="BT61" s="49">
        <f t="shared" si="38"/>
        <v>72.849998499999998</v>
      </c>
      <c r="BU61" s="49">
        <f t="shared" si="39"/>
        <v>52.520000500000002</v>
      </c>
      <c r="BV61" s="49">
        <f t="shared" si="40"/>
        <v>0</v>
      </c>
      <c r="BW61" s="18">
        <f t="shared" si="41"/>
        <v>133</v>
      </c>
      <c r="BX61" s="19">
        <f t="shared" si="73"/>
        <v>0.96949541284403673</v>
      </c>
      <c r="BY61" s="49">
        <f t="shared" si="74"/>
        <v>0</v>
      </c>
      <c r="BZ61" s="19">
        <f t="shared" si="42"/>
        <v>0</v>
      </c>
      <c r="CA61" s="19">
        <f t="shared" si="43"/>
        <v>0</v>
      </c>
      <c r="CB61" s="19">
        <f t="shared" si="44"/>
        <v>0</v>
      </c>
      <c r="CC61" s="19">
        <f t="shared" si="45"/>
        <v>0</v>
      </c>
      <c r="CD61" s="19">
        <f t="shared" si="46"/>
        <v>0</v>
      </c>
      <c r="CE61" s="19">
        <f t="shared" si="47"/>
        <v>0</v>
      </c>
      <c r="CF61" s="49">
        <f t="shared" si="48"/>
        <v>0</v>
      </c>
      <c r="CG61" s="49">
        <f t="shared" si="49"/>
        <v>0</v>
      </c>
      <c r="CH61" s="49">
        <f t="shared" si="50"/>
        <v>0</v>
      </c>
      <c r="CI61" s="49">
        <f t="shared" si="51"/>
        <v>0</v>
      </c>
      <c r="CJ61" s="49">
        <f t="shared" si="52"/>
        <v>0</v>
      </c>
      <c r="CK61" s="49">
        <f t="shared" si="53"/>
        <v>0</v>
      </c>
    </row>
    <row r="62" spans="2:89" ht="12.75" customHeight="1" x14ac:dyDescent="0.2">
      <c r="B62" s="77">
        <v>39433</v>
      </c>
      <c r="C62" s="49">
        <v>146.80999800000001</v>
      </c>
      <c r="D62" s="49">
        <v>67</v>
      </c>
      <c r="E62" s="49">
        <v>53.790000999999997</v>
      </c>
      <c r="F62" s="49">
        <v>66.099997999999999</v>
      </c>
      <c r="G62" s="49">
        <v>48.73</v>
      </c>
      <c r="H62" s="49">
        <v>106.449997</v>
      </c>
      <c r="J62" s="78">
        <f>IF(inter=Weekly_2,J61+$C$5,IF(inter=Bi_weekly_2,J60+$C$5,IF(inter=Monthly_2,J58+$C$5,IF(inter=Quarterly_2,0,IF(inter=Yearly_2,0,IF(inter=None_2,0,0))))))</f>
        <v>26000</v>
      </c>
      <c r="K62" s="79">
        <f t="shared" si="54"/>
        <v>-375.79659174612607</v>
      </c>
      <c r="L62" s="79">
        <f t="shared" si="55"/>
        <v>-137.19240339196494</v>
      </c>
      <c r="M62" s="79">
        <f t="shared" si="56"/>
        <v>-144.77900084985822</v>
      </c>
      <c r="N62" s="79">
        <f t="shared" si="57"/>
        <v>-112.02441709124878</v>
      </c>
      <c r="O62" s="79">
        <f t="shared" si="58"/>
        <v>-411.1471861471864</v>
      </c>
      <c r="P62" s="79">
        <f t="shared" si="59"/>
        <v>-268.09800453296339</v>
      </c>
      <c r="Q62" s="79"/>
      <c r="R62" s="80">
        <f t="shared" si="12"/>
        <v>2.5597479522213877</v>
      </c>
      <c r="S62" s="80">
        <f t="shared" si="13"/>
        <v>2.0476478118203723</v>
      </c>
      <c r="T62" s="80">
        <f t="shared" si="14"/>
        <v>2.6915597352351459</v>
      </c>
      <c r="U62" s="80">
        <f t="shared" si="15"/>
        <v>1.6947718680906583</v>
      </c>
      <c r="V62" s="80">
        <f t="shared" si="16"/>
        <v>8.4372498696323905</v>
      </c>
      <c r="W62" s="80">
        <f t="shared" si="17"/>
        <v>2.5185346368113417</v>
      </c>
      <c r="X62" s="80">
        <f t="shared" si="75"/>
        <v>61.984879258700076</v>
      </c>
      <c r="Y62" s="80">
        <f t="shared" si="76"/>
        <v>38.805970149253724</v>
      </c>
      <c r="Z62" s="80">
        <f t="shared" si="77"/>
        <v>38.668896845716738</v>
      </c>
      <c r="AA62" s="80">
        <f t="shared" si="78"/>
        <v>27.534040167444488</v>
      </c>
      <c r="AB62" s="80">
        <f t="shared" si="79"/>
        <v>133.38805663862098</v>
      </c>
      <c r="AC62" s="80">
        <f t="shared" si="80"/>
        <v>36.636919773703703</v>
      </c>
      <c r="AD62" s="80"/>
      <c r="AE62" s="80"/>
      <c r="AF62" s="80"/>
      <c r="AG62" s="80"/>
      <c r="AH62" s="80"/>
      <c r="AI62" s="80"/>
      <c r="AJ62" s="45">
        <f t="shared" si="19"/>
        <v>0</v>
      </c>
      <c r="AK62" s="45">
        <f t="shared" si="20"/>
        <v>0</v>
      </c>
      <c r="AL62" s="45">
        <f t="shared" si="21"/>
        <v>0</v>
      </c>
      <c r="AM62" s="45">
        <f t="shared" si="22"/>
        <v>0</v>
      </c>
      <c r="AN62" s="45">
        <f t="shared" si="23"/>
        <v>0</v>
      </c>
      <c r="AO62" s="45">
        <f t="shared" si="24"/>
        <v>0</v>
      </c>
      <c r="AP62" s="80">
        <f t="shared" si="25"/>
        <v>0</v>
      </c>
      <c r="AQ62" s="80">
        <f t="shared" si="26"/>
        <v>0</v>
      </c>
      <c r="AR62" s="80">
        <f t="shared" si="27"/>
        <v>0</v>
      </c>
      <c r="AS62" s="80">
        <f t="shared" si="28"/>
        <v>0</v>
      </c>
      <c r="AT62" s="80">
        <f t="shared" si="29"/>
        <v>0</v>
      </c>
      <c r="AU62" s="80">
        <f t="shared" si="30"/>
        <v>0</v>
      </c>
      <c r="AV62" s="80">
        <f t="shared" si="81"/>
        <v>0.11008230889509453</v>
      </c>
      <c r="AW62" s="80">
        <f t="shared" si="82"/>
        <v>0.2014987097771932</v>
      </c>
      <c r="AX62" s="80">
        <f t="shared" si="83"/>
        <v>0</v>
      </c>
      <c r="AY62" s="80">
        <f t="shared" si="84"/>
        <v>0</v>
      </c>
      <c r="AZ62" s="80">
        <f t="shared" si="85"/>
        <v>0</v>
      </c>
      <c r="BA62" s="80">
        <f t="shared" si="86"/>
        <v>0</v>
      </c>
      <c r="BB62" s="80">
        <f t="shared" si="62"/>
        <v>62.09496156759517</v>
      </c>
      <c r="BC62" s="80">
        <f t="shared" si="63"/>
        <v>39.007468859030915</v>
      </c>
      <c r="BD62" s="80">
        <f t="shared" si="64"/>
        <v>38.668896845716738</v>
      </c>
      <c r="BE62" s="80">
        <f t="shared" si="65"/>
        <v>27.534040167444488</v>
      </c>
      <c r="BF62" s="80">
        <f t="shared" si="66"/>
        <v>133.38805663862098</v>
      </c>
      <c r="BG62" s="80">
        <f t="shared" si="67"/>
        <v>36.636919773703703</v>
      </c>
      <c r="BH62" s="49">
        <f t="shared" si="68"/>
        <v>0</v>
      </c>
      <c r="BI62" s="79">
        <f t="shared" si="69"/>
        <v>-25120.084212355046</v>
      </c>
      <c r="BJ62" s="79">
        <f t="shared" si="33"/>
        <v>26000</v>
      </c>
      <c r="BK62" s="44">
        <f t="shared" si="70"/>
        <v>3.5028377301863367E-2</v>
      </c>
      <c r="BL62" s="79">
        <f t="shared" si="87"/>
        <v>31.05361791385587</v>
      </c>
      <c r="BM62" s="49">
        <f t="shared" si="71"/>
        <v>26031.053617913854</v>
      </c>
      <c r="BN62" s="44">
        <f t="shared" si="72"/>
        <v>3.6264584061814542E-2</v>
      </c>
      <c r="BO62" s="49">
        <f t="shared" si="34"/>
        <v>29.661597103796154</v>
      </c>
      <c r="BP62" s="49">
        <f t="shared" si="35"/>
        <v>26029.661597103797</v>
      </c>
      <c r="BQ62" s="44">
        <f t="shared" si="36"/>
        <v>3.6209169406421937E-2</v>
      </c>
      <c r="BS62" s="49">
        <f t="shared" si="37"/>
        <v>25120.084212355046</v>
      </c>
      <c r="BT62" s="49">
        <f t="shared" si="38"/>
        <v>73.404999000000004</v>
      </c>
      <c r="BU62" s="49">
        <f t="shared" si="39"/>
        <v>53.224998499999998</v>
      </c>
      <c r="BV62" s="49">
        <f t="shared" si="40"/>
        <v>1449.0376037593478</v>
      </c>
      <c r="BW62" s="18">
        <f t="shared" si="41"/>
        <v>140</v>
      </c>
      <c r="BX62" s="19">
        <f t="shared" si="73"/>
        <v>0.9678899082568807</v>
      </c>
      <c r="BY62" s="49">
        <f t="shared" si="74"/>
        <v>1402.5088733634054</v>
      </c>
      <c r="BZ62" s="19">
        <f t="shared" si="42"/>
        <v>2.5597479522213877</v>
      </c>
      <c r="CA62" s="19">
        <f t="shared" si="43"/>
        <v>2.0476478118203723</v>
      </c>
      <c r="CB62" s="19">
        <f t="shared" si="44"/>
        <v>2.6915597352351459</v>
      </c>
      <c r="CC62" s="19">
        <f t="shared" si="45"/>
        <v>1.6947718680906583</v>
      </c>
      <c r="CD62" s="19">
        <f t="shared" si="46"/>
        <v>8.4372498696323905</v>
      </c>
      <c r="CE62" s="19">
        <f t="shared" si="47"/>
        <v>2.5185346368113417</v>
      </c>
      <c r="CF62" s="49">
        <f t="shared" si="48"/>
        <v>-375.79659174612607</v>
      </c>
      <c r="CG62" s="49">
        <f t="shared" si="49"/>
        <v>-137.19240339196494</v>
      </c>
      <c r="CH62" s="49">
        <f t="shared" si="50"/>
        <v>-144.77900084985822</v>
      </c>
      <c r="CI62" s="49">
        <f t="shared" si="51"/>
        <v>-112.02441709124878</v>
      </c>
      <c r="CJ62" s="49">
        <f t="shared" si="52"/>
        <v>-411.1471861471864</v>
      </c>
      <c r="CK62" s="49">
        <f t="shared" si="53"/>
        <v>-268.09800453296339</v>
      </c>
    </row>
    <row r="63" spans="2:89" ht="12.75" customHeight="1" x14ac:dyDescent="0.2">
      <c r="B63" s="77">
        <v>39440</v>
      </c>
      <c r="C63" s="49">
        <v>145.88000500000001</v>
      </c>
      <c r="D63" s="49">
        <v>66.800003000000004</v>
      </c>
      <c r="E63" s="49">
        <v>53.41</v>
      </c>
      <c r="F63" s="49">
        <v>64.839995999999999</v>
      </c>
      <c r="G63" s="49">
        <v>48.290000999999997</v>
      </c>
      <c r="H63" s="49">
        <v>105.41999800000001</v>
      </c>
      <c r="J63" s="78">
        <f>IF(inter=Weekly_2,J62+$C$5,IF(inter=Bi_weekly_2,0,IF(inter=Monthly_2,0,IF(inter=Quarterly_2,0,IF(inter=Yearly_2,0,IF(inter=None_2,0,0))))))</f>
        <v>0</v>
      </c>
      <c r="K63" s="79">
        <f t="shared" si="54"/>
        <v>0</v>
      </c>
      <c r="L63" s="79">
        <f t="shared" si="55"/>
        <v>0</v>
      </c>
      <c r="M63" s="79">
        <f t="shared" si="56"/>
        <v>0</v>
      </c>
      <c r="N63" s="79">
        <f t="shared" si="57"/>
        <v>0</v>
      </c>
      <c r="O63" s="79">
        <f t="shared" si="58"/>
        <v>0</v>
      </c>
      <c r="P63" s="79">
        <f t="shared" si="59"/>
        <v>0</v>
      </c>
      <c r="Q63" s="79"/>
      <c r="R63" s="80">
        <f t="shared" si="12"/>
        <v>0</v>
      </c>
      <c r="S63" s="80">
        <f t="shared" si="13"/>
        <v>0</v>
      </c>
      <c r="T63" s="80">
        <f t="shared" si="14"/>
        <v>0</v>
      </c>
      <c r="U63" s="80">
        <f t="shared" si="15"/>
        <v>0</v>
      </c>
      <c r="V63" s="80">
        <f t="shared" si="16"/>
        <v>0</v>
      </c>
      <c r="W63" s="80">
        <f t="shared" si="17"/>
        <v>0</v>
      </c>
      <c r="X63" s="80">
        <f t="shared" si="75"/>
        <v>61.984879258700076</v>
      </c>
      <c r="Y63" s="80">
        <f t="shared" si="76"/>
        <v>38.805970149253724</v>
      </c>
      <c r="Z63" s="80">
        <f t="shared" si="77"/>
        <v>38.668896845716738</v>
      </c>
      <c r="AA63" s="80">
        <f t="shared" si="78"/>
        <v>27.534040167444488</v>
      </c>
      <c r="AB63" s="80">
        <f t="shared" si="79"/>
        <v>133.38805663862098</v>
      </c>
      <c r="AC63" s="80">
        <f t="shared" si="80"/>
        <v>36.636919773703703</v>
      </c>
      <c r="AD63" s="80">
        <v>0.38550000000000001</v>
      </c>
      <c r="AE63" s="80">
        <v>0.55500000000000005</v>
      </c>
      <c r="AF63" s="80">
        <v>1.08</v>
      </c>
      <c r="AG63" s="80">
        <v>1.5089999999999999</v>
      </c>
      <c r="AH63" s="80">
        <v>1.0549999999999999</v>
      </c>
      <c r="AI63" s="80">
        <v>0.98450000000000004</v>
      </c>
      <c r="AJ63" s="45">
        <f t="shared" si="19"/>
        <v>23.895170954228881</v>
      </c>
      <c r="AK63" s="45">
        <f t="shared" si="20"/>
        <v>21.53731343283582</v>
      </c>
      <c r="AL63" s="45">
        <f t="shared" si="21"/>
        <v>41.762408593374083</v>
      </c>
      <c r="AM63" s="45">
        <f t="shared" si="22"/>
        <v>41.548866612673727</v>
      </c>
      <c r="AN63" s="45">
        <f t="shared" si="23"/>
        <v>140.72439975374513</v>
      </c>
      <c r="AO63" s="45">
        <f t="shared" si="24"/>
        <v>36.069047517211295</v>
      </c>
      <c r="AP63" s="80">
        <f t="shared" si="25"/>
        <v>0.16380017915566208</v>
      </c>
      <c r="AQ63" s="80">
        <f t="shared" si="26"/>
        <v>0.32241485726933006</v>
      </c>
      <c r="AR63" s="80">
        <f t="shared" si="27"/>
        <v>0.78192114947339608</v>
      </c>
      <c r="AS63" s="80">
        <f t="shared" si="28"/>
        <v>0.64079070289692375</v>
      </c>
      <c r="AT63" s="80">
        <f t="shared" si="29"/>
        <v>2.9141519328969396</v>
      </c>
      <c r="AU63" s="80">
        <f t="shared" si="30"/>
        <v>0.34214616013568216</v>
      </c>
      <c r="AV63" s="80">
        <f t="shared" si="81"/>
        <v>0.2738824880507566</v>
      </c>
      <c r="AW63" s="80">
        <f t="shared" si="82"/>
        <v>0.52391356704652325</v>
      </c>
      <c r="AX63" s="80">
        <f t="shared" si="83"/>
        <v>0.78192114947339608</v>
      </c>
      <c r="AY63" s="80">
        <f t="shared" si="84"/>
        <v>0.64079070289692375</v>
      </c>
      <c r="AZ63" s="80">
        <f t="shared" si="85"/>
        <v>2.9141519328969396</v>
      </c>
      <c r="BA63" s="80">
        <f t="shared" si="86"/>
        <v>0.34214616013568216</v>
      </c>
      <c r="BB63" s="80">
        <f t="shared" si="62"/>
        <v>62.258761746750835</v>
      </c>
      <c r="BC63" s="80">
        <f t="shared" si="63"/>
        <v>39.329883716300245</v>
      </c>
      <c r="BD63" s="80">
        <f t="shared" si="64"/>
        <v>39.450817995190135</v>
      </c>
      <c r="BE63" s="80">
        <f t="shared" si="65"/>
        <v>28.17483087034141</v>
      </c>
      <c r="BF63" s="80">
        <f t="shared" si="66"/>
        <v>136.30220857151792</v>
      </c>
      <c r="BG63" s="80">
        <f t="shared" si="67"/>
        <v>36.979065933839387</v>
      </c>
      <c r="BH63" s="49">
        <f t="shared" si="68"/>
        <v>305.53720686406893</v>
      </c>
      <c r="BI63" s="79">
        <f t="shared" si="69"/>
        <v>-25120.084212355046</v>
      </c>
      <c r="BJ63" s="79">
        <f t="shared" si="33"/>
        <v>25788.779651159362</v>
      </c>
      <c r="BK63" s="44">
        <f t="shared" si="70"/>
        <v>2.6619952112876488E-2</v>
      </c>
      <c r="BL63" s="79">
        <f t="shared" si="87"/>
        <v>336.59082477792481</v>
      </c>
      <c r="BM63" s="49">
        <f t="shared" si="71"/>
        <v>26125.370475937289</v>
      </c>
      <c r="BN63" s="44">
        <f t="shared" si="72"/>
        <v>4.0019223466130072E-2</v>
      </c>
      <c r="BO63" s="49">
        <f t="shared" si="34"/>
        <v>335.05612905370947</v>
      </c>
      <c r="BP63" s="49">
        <f t="shared" si="35"/>
        <v>26123.835780213074</v>
      </c>
      <c r="BQ63" s="44">
        <f t="shared" si="36"/>
        <v>3.9958129095934547E-2</v>
      </c>
      <c r="BS63" s="49">
        <f t="shared" si="37"/>
        <v>25120.084212355046</v>
      </c>
      <c r="BT63" s="49">
        <f t="shared" si="38"/>
        <v>72.940002500000006</v>
      </c>
      <c r="BU63" s="49">
        <f t="shared" si="39"/>
        <v>52.709999000000003</v>
      </c>
      <c r="BV63" s="49">
        <f t="shared" si="40"/>
        <v>-305.53720686406893</v>
      </c>
      <c r="BW63" s="18">
        <f t="shared" si="41"/>
        <v>147</v>
      </c>
      <c r="BX63" s="19">
        <f t="shared" si="73"/>
        <v>0.96628440366972479</v>
      </c>
      <c r="BY63" s="49">
        <f t="shared" si="74"/>
        <v>-295.23583773356017</v>
      </c>
      <c r="BZ63" s="19">
        <f t="shared" si="42"/>
        <v>0</v>
      </c>
      <c r="CA63" s="19">
        <f t="shared" si="43"/>
        <v>0</v>
      </c>
      <c r="CB63" s="19">
        <f t="shared" si="44"/>
        <v>0</v>
      </c>
      <c r="CC63" s="19">
        <f t="shared" si="45"/>
        <v>0</v>
      </c>
      <c r="CD63" s="19">
        <f t="shared" si="46"/>
        <v>0</v>
      </c>
      <c r="CE63" s="19">
        <f t="shared" si="47"/>
        <v>0</v>
      </c>
      <c r="CF63" s="49">
        <f t="shared" si="48"/>
        <v>0</v>
      </c>
      <c r="CG63" s="49">
        <f t="shared" si="49"/>
        <v>0</v>
      </c>
      <c r="CH63" s="49">
        <f t="shared" si="50"/>
        <v>0</v>
      </c>
      <c r="CI63" s="49">
        <f t="shared" si="51"/>
        <v>0</v>
      </c>
      <c r="CJ63" s="49">
        <f t="shared" si="52"/>
        <v>0</v>
      </c>
      <c r="CK63" s="49">
        <f t="shared" si="53"/>
        <v>0</v>
      </c>
    </row>
    <row r="64" spans="2:89" ht="12.75" customHeight="1" x14ac:dyDescent="0.2">
      <c r="B64" s="77">
        <v>39447</v>
      </c>
      <c r="C64" s="49">
        <v>139.429993</v>
      </c>
      <c r="D64" s="49">
        <v>64.269997000000004</v>
      </c>
      <c r="E64" s="49">
        <v>50.360000999999997</v>
      </c>
      <c r="F64" s="49">
        <v>60.849997999999999</v>
      </c>
      <c r="G64" s="49">
        <v>46.84</v>
      </c>
      <c r="H64" s="49">
        <v>101.529999</v>
      </c>
      <c r="J64" s="78">
        <f>IF(inter=Weekly_2,J63+$C$5,IF(inter=Bi_weekly_2,J62+$C$5,IF(inter=Monthly_2,0,IF(inter=Quarterly_2,0,IF(inter=Yearly_2,0,IF(inter=None_2,0,0))))))</f>
        <v>26600</v>
      </c>
      <c r="K64" s="79">
        <f t="shared" si="54"/>
        <v>-667.44871885360408</v>
      </c>
      <c r="L64" s="79">
        <f t="shared" si="55"/>
        <v>-165.94041492537326</v>
      </c>
      <c r="M64" s="79">
        <f t="shared" si="56"/>
        <v>-180.63431618080836</v>
      </c>
      <c r="N64" s="79">
        <f t="shared" si="57"/>
        <v>-186.55371087908361</v>
      </c>
      <c r="O64" s="79">
        <f t="shared" si="58"/>
        <v>-402.10342704699269</v>
      </c>
      <c r="P64" s="79">
        <f t="shared" si="59"/>
        <v>-270.25357201278257</v>
      </c>
      <c r="Q64" s="79"/>
      <c r="R64" s="80">
        <f t="shared" si="12"/>
        <v>4.786980939270391</v>
      </c>
      <c r="S64" s="80">
        <f t="shared" si="13"/>
        <v>2.5819266013871642</v>
      </c>
      <c r="T64" s="80">
        <f t="shared" si="14"/>
        <v>3.5868608537320794</v>
      </c>
      <c r="U64" s="80">
        <f t="shared" si="15"/>
        <v>3.0657964997646117</v>
      </c>
      <c r="V64" s="80">
        <f t="shared" si="16"/>
        <v>8.584616290499417</v>
      </c>
      <c r="W64" s="80">
        <f t="shared" si="17"/>
        <v>2.6618100529360054</v>
      </c>
      <c r="X64" s="80">
        <f t="shared" si="75"/>
        <v>66.771860197970469</v>
      </c>
      <c r="Y64" s="80">
        <f t="shared" si="76"/>
        <v>41.387896750640891</v>
      </c>
      <c r="Z64" s="80">
        <f t="shared" si="77"/>
        <v>42.255757699448814</v>
      </c>
      <c r="AA64" s="80">
        <f t="shared" si="78"/>
        <v>30.5998366672091</v>
      </c>
      <c r="AB64" s="80">
        <f t="shared" si="79"/>
        <v>141.97267292912039</v>
      </c>
      <c r="AC64" s="80">
        <f t="shared" si="80"/>
        <v>39.298729826639708</v>
      </c>
      <c r="AD64" s="80"/>
      <c r="AE64" s="80"/>
      <c r="AF64" s="80"/>
      <c r="AG64" s="80"/>
      <c r="AH64" s="80"/>
      <c r="AI64" s="80"/>
      <c r="AJ64" s="45">
        <f t="shared" si="19"/>
        <v>0</v>
      </c>
      <c r="AK64" s="45">
        <f t="shared" si="20"/>
        <v>0</v>
      </c>
      <c r="AL64" s="45">
        <f t="shared" si="21"/>
        <v>0</v>
      </c>
      <c r="AM64" s="45">
        <f t="shared" si="22"/>
        <v>0</v>
      </c>
      <c r="AN64" s="45">
        <f t="shared" si="23"/>
        <v>0</v>
      </c>
      <c r="AO64" s="45">
        <f t="shared" si="24"/>
        <v>0</v>
      </c>
      <c r="AP64" s="80">
        <f t="shared" si="25"/>
        <v>0</v>
      </c>
      <c r="AQ64" s="80">
        <f t="shared" si="26"/>
        <v>0</v>
      </c>
      <c r="AR64" s="80">
        <f t="shared" si="27"/>
        <v>0</v>
      </c>
      <c r="AS64" s="80">
        <f t="shared" si="28"/>
        <v>0</v>
      </c>
      <c r="AT64" s="80">
        <f t="shared" si="29"/>
        <v>0</v>
      </c>
      <c r="AU64" s="80">
        <f t="shared" si="30"/>
        <v>0</v>
      </c>
      <c r="AV64" s="80">
        <f t="shared" si="81"/>
        <v>0.2738824880507566</v>
      </c>
      <c r="AW64" s="80">
        <f t="shared" si="82"/>
        <v>0.52391356704652325</v>
      </c>
      <c r="AX64" s="80">
        <f t="shared" si="83"/>
        <v>0.78192114947339608</v>
      </c>
      <c r="AY64" s="80">
        <f t="shared" si="84"/>
        <v>0.64079070289692375</v>
      </c>
      <c r="AZ64" s="80">
        <f t="shared" si="85"/>
        <v>2.9141519328969396</v>
      </c>
      <c r="BA64" s="80">
        <f t="shared" si="86"/>
        <v>0.34214616013568216</v>
      </c>
      <c r="BB64" s="80">
        <f t="shared" si="62"/>
        <v>67.045742686021228</v>
      </c>
      <c r="BC64" s="80">
        <f t="shared" si="63"/>
        <v>41.911810317687411</v>
      </c>
      <c r="BD64" s="80">
        <f t="shared" si="64"/>
        <v>43.037678848922212</v>
      </c>
      <c r="BE64" s="80">
        <f t="shared" si="65"/>
        <v>31.240627370106026</v>
      </c>
      <c r="BF64" s="80">
        <f t="shared" si="66"/>
        <v>144.88682486201733</v>
      </c>
      <c r="BG64" s="80">
        <f t="shared" si="67"/>
        <v>39.640875986775391</v>
      </c>
      <c r="BH64" s="49">
        <f t="shared" si="68"/>
        <v>0</v>
      </c>
      <c r="BI64" s="79">
        <f t="shared" si="69"/>
        <v>-26993.018372253689</v>
      </c>
      <c r="BJ64" s="79">
        <f t="shared" si="33"/>
        <v>26600</v>
      </c>
      <c r="BK64" s="44">
        <f t="shared" si="70"/>
        <v>-1.4560000917039906E-2</v>
      </c>
      <c r="BL64" s="79">
        <f t="shared" si="87"/>
        <v>336.59082477792481</v>
      </c>
      <c r="BM64" s="49">
        <f t="shared" si="71"/>
        <v>26936.590824777926</v>
      </c>
      <c r="BN64" s="44">
        <f t="shared" si="72"/>
        <v>-2.0904497117583132E-3</v>
      </c>
      <c r="BO64" s="49">
        <f t="shared" si="34"/>
        <v>321.46599546649901</v>
      </c>
      <c r="BP64" s="49">
        <f t="shared" si="35"/>
        <v>26921.4659954665</v>
      </c>
      <c r="BQ64" s="44">
        <f t="shared" si="36"/>
        <v>-2.6507734629906965E-3</v>
      </c>
      <c r="BS64" s="49">
        <f t="shared" si="37"/>
        <v>26993.018372253689</v>
      </c>
      <c r="BT64" s="49">
        <f t="shared" si="38"/>
        <v>69.714996499999998</v>
      </c>
      <c r="BU64" s="49">
        <f t="shared" si="39"/>
        <v>50.764999500000002</v>
      </c>
      <c r="BV64" s="49">
        <f t="shared" si="40"/>
        <v>1872.9341598986446</v>
      </c>
      <c r="BW64" s="18">
        <f t="shared" si="41"/>
        <v>154</v>
      </c>
      <c r="BX64" s="19">
        <f t="shared" si="73"/>
        <v>0.96467889908256876</v>
      </c>
      <c r="BY64" s="49">
        <f t="shared" si="74"/>
        <v>1806.7800634251603</v>
      </c>
      <c r="BZ64" s="19">
        <f t="shared" si="42"/>
        <v>4.786980939270391</v>
      </c>
      <c r="CA64" s="19">
        <f t="shared" si="43"/>
        <v>2.5819266013871642</v>
      </c>
      <c r="CB64" s="19">
        <f t="shared" si="44"/>
        <v>3.5868608537320794</v>
      </c>
      <c r="CC64" s="19">
        <f t="shared" si="45"/>
        <v>3.0657964997646117</v>
      </c>
      <c r="CD64" s="19">
        <f t="shared" si="46"/>
        <v>8.584616290499417</v>
      </c>
      <c r="CE64" s="19">
        <f t="shared" si="47"/>
        <v>2.6618100529360054</v>
      </c>
      <c r="CF64" s="49">
        <f t="shared" si="48"/>
        <v>-667.44871885360408</v>
      </c>
      <c r="CG64" s="49">
        <f t="shared" si="49"/>
        <v>-165.94041492537326</v>
      </c>
      <c r="CH64" s="49">
        <f t="shared" si="50"/>
        <v>-180.63431618080836</v>
      </c>
      <c r="CI64" s="49">
        <f t="shared" si="51"/>
        <v>-186.55371087908361</v>
      </c>
      <c r="CJ64" s="49">
        <f t="shared" si="52"/>
        <v>-402.10342704699269</v>
      </c>
      <c r="CK64" s="49">
        <f t="shared" si="53"/>
        <v>-270.25357201278257</v>
      </c>
    </row>
    <row r="65" spans="2:89" ht="12.75" customHeight="1" x14ac:dyDescent="0.2">
      <c r="B65" s="77">
        <v>39454</v>
      </c>
      <c r="C65" s="49">
        <v>138.050003</v>
      </c>
      <c r="D65" s="49">
        <v>64.129997000000003</v>
      </c>
      <c r="E65" s="49">
        <v>49.810001</v>
      </c>
      <c r="F65" s="49">
        <v>59.57</v>
      </c>
      <c r="G65" s="49">
        <v>45.959999000000003</v>
      </c>
      <c r="H65" s="49">
        <v>103.199997</v>
      </c>
      <c r="J65" s="78">
        <f>IF(inter=Weekly_2,J64+$C$5,IF(inter=Bi_weekly_2,0,IF(inter=Monthly_2,0,IF(inter=Quarterly_2,0,IF(inter=Yearly_2,0,IF(inter=None_2,0,0))))))</f>
        <v>0</v>
      </c>
      <c r="K65" s="79">
        <f t="shared" si="54"/>
        <v>0</v>
      </c>
      <c r="L65" s="79">
        <f t="shared" si="55"/>
        <v>0</v>
      </c>
      <c r="M65" s="79">
        <f t="shared" si="56"/>
        <v>0</v>
      </c>
      <c r="N65" s="79">
        <f t="shared" si="57"/>
        <v>0</v>
      </c>
      <c r="O65" s="79">
        <f t="shared" si="58"/>
        <v>0</v>
      </c>
      <c r="P65" s="79">
        <f t="shared" si="59"/>
        <v>0</v>
      </c>
      <c r="Q65" s="79"/>
      <c r="R65" s="80">
        <f t="shared" si="12"/>
        <v>0</v>
      </c>
      <c r="S65" s="80">
        <f t="shared" si="13"/>
        <v>0</v>
      </c>
      <c r="T65" s="80">
        <f t="shared" si="14"/>
        <v>0</v>
      </c>
      <c r="U65" s="80">
        <f t="shared" si="15"/>
        <v>0</v>
      </c>
      <c r="V65" s="80">
        <f t="shared" si="16"/>
        <v>0</v>
      </c>
      <c r="W65" s="80">
        <f t="shared" si="17"/>
        <v>0</v>
      </c>
      <c r="X65" s="80">
        <f t="shared" si="75"/>
        <v>66.771860197970469</v>
      </c>
      <c r="Y65" s="80">
        <f t="shared" si="76"/>
        <v>41.387896750640891</v>
      </c>
      <c r="Z65" s="80">
        <f t="shared" si="77"/>
        <v>42.255757699448814</v>
      </c>
      <c r="AA65" s="80">
        <f t="shared" si="78"/>
        <v>30.5998366672091</v>
      </c>
      <c r="AB65" s="80">
        <f t="shared" si="79"/>
        <v>141.97267292912039</v>
      </c>
      <c r="AC65" s="80">
        <f t="shared" si="80"/>
        <v>39.298729826639708</v>
      </c>
      <c r="AD65" s="80"/>
      <c r="AE65" s="80"/>
      <c r="AF65" s="80"/>
      <c r="AG65" s="80"/>
      <c r="AH65" s="80"/>
      <c r="AI65" s="80"/>
      <c r="AJ65" s="45">
        <f t="shared" si="19"/>
        <v>0</v>
      </c>
      <c r="AK65" s="45">
        <f t="shared" si="20"/>
        <v>0</v>
      </c>
      <c r="AL65" s="45">
        <f t="shared" si="21"/>
        <v>0</v>
      </c>
      <c r="AM65" s="45">
        <f t="shared" si="22"/>
        <v>0</v>
      </c>
      <c r="AN65" s="45">
        <f t="shared" si="23"/>
        <v>0</v>
      </c>
      <c r="AO65" s="45">
        <f t="shared" si="24"/>
        <v>0</v>
      </c>
      <c r="AP65" s="80">
        <f t="shared" si="25"/>
        <v>0</v>
      </c>
      <c r="AQ65" s="80">
        <f t="shared" si="26"/>
        <v>0</v>
      </c>
      <c r="AR65" s="80">
        <f t="shared" si="27"/>
        <v>0</v>
      </c>
      <c r="AS65" s="80">
        <f t="shared" si="28"/>
        <v>0</v>
      </c>
      <c r="AT65" s="80">
        <f t="shared" si="29"/>
        <v>0</v>
      </c>
      <c r="AU65" s="80">
        <f t="shared" si="30"/>
        <v>0</v>
      </c>
      <c r="AV65" s="80">
        <f t="shared" si="81"/>
        <v>0.2738824880507566</v>
      </c>
      <c r="AW65" s="80">
        <f t="shared" si="82"/>
        <v>0.52391356704652325</v>
      </c>
      <c r="AX65" s="80">
        <f t="shared" si="83"/>
        <v>0.78192114947339608</v>
      </c>
      <c r="AY65" s="80">
        <f t="shared" si="84"/>
        <v>0.64079070289692375</v>
      </c>
      <c r="AZ65" s="80">
        <f t="shared" si="85"/>
        <v>2.9141519328969396</v>
      </c>
      <c r="BA65" s="80">
        <f t="shared" si="86"/>
        <v>0.34214616013568216</v>
      </c>
      <c r="BB65" s="80">
        <f t="shared" si="62"/>
        <v>67.045742686021228</v>
      </c>
      <c r="BC65" s="80">
        <f t="shared" si="63"/>
        <v>41.911810317687411</v>
      </c>
      <c r="BD65" s="80">
        <f t="shared" si="64"/>
        <v>43.037678848922212</v>
      </c>
      <c r="BE65" s="80">
        <f t="shared" si="65"/>
        <v>31.240627370106026</v>
      </c>
      <c r="BF65" s="80">
        <f t="shared" si="66"/>
        <v>144.88682486201733</v>
      </c>
      <c r="BG65" s="80">
        <f t="shared" si="67"/>
        <v>39.640875986775391</v>
      </c>
      <c r="BH65" s="49">
        <f t="shared" si="68"/>
        <v>0</v>
      </c>
      <c r="BI65" s="79">
        <f t="shared" si="69"/>
        <v>-26993.018372253689</v>
      </c>
      <c r="BJ65" s="79">
        <f t="shared" si="33"/>
        <v>26380.345504693993</v>
      </c>
      <c r="BK65" s="44">
        <f t="shared" si="70"/>
        <v>-2.2697456768653423E-2</v>
      </c>
      <c r="BL65" s="79">
        <f t="shared" si="87"/>
        <v>336.59082477792481</v>
      </c>
      <c r="BM65" s="49">
        <f t="shared" si="71"/>
        <v>26716.936329471919</v>
      </c>
      <c r="BN65" s="44">
        <f t="shared" si="72"/>
        <v>-1.0227905563371831E-2</v>
      </c>
      <c r="BO65" s="49">
        <f t="shared" si="34"/>
        <v>317.77135181012329</v>
      </c>
      <c r="BP65" s="49">
        <f t="shared" si="35"/>
        <v>26698.116856504119</v>
      </c>
      <c r="BQ65" s="44">
        <f t="shared" si="36"/>
        <v>-1.0925103361271393E-2</v>
      </c>
      <c r="BS65" s="49">
        <f t="shared" si="37"/>
        <v>26993.018372253689</v>
      </c>
      <c r="BT65" s="49">
        <f t="shared" si="38"/>
        <v>69.025001500000002</v>
      </c>
      <c r="BU65" s="49">
        <f t="shared" si="39"/>
        <v>51.599998499999998</v>
      </c>
      <c r="BV65" s="49">
        <f t="shared" si="40"/>
        <v>0</v>
      </c>
      <c r="BW65" s="18">
        <f t="shared" si="41"/>
        <v>161</v>
      </c>
      <c r="BX65" s="19">
        <f t="shared" si="73"/>
        <v>0.96307339449541285</v>
      </c>
      <c r="BY65" s="49">
        <f t="shared" si="74"/>
        <v>0</v>
      </c>
      <c r="BZ65" s="19">
        <f t="shared" si="42"/>
        <v>0</v>
      </c>
      <c r="CA65" s="19">
        <f t="shared" si="43"/>
        <v>0</v>
      </c>
      <c r="CB65" s="19">
        <f t="shared" si="44"/>
        <v>0</v>
      </c>
      <c r="CC65" s="19">
        <f t="shared" si="45"/>
        <v>0</v>
      </c>
      <c r="CD65" s="19">
        <f t="shared" si="46"/>
        <v>0</v>
      </c>
      <c r="CE65" s="19">
        <f t="shared" si="47"/>
        <v>0</v>
      </c>
      <c r="CF65" s="49">
        <f t="shared" si="48"/>
        <v>0</v>
      </c>
      <c r="CG65" s="49">
        <f t="shared" si="49"/>
        <v>0</v>
      </c>
      <c r="CH65" s="49">
        <f t="shared" si="50"/>
        <v>0</v>
      </c>
      <c r="CI65" s="49">
        <f t="shared" si="51"/>
        <v>0</v>
      </c>
      <c r="CJ65" s="49">
        <f t="shared" si="52"/>
        <v>0</v>
      </c>
      <c r="CK65" s="49">
        <f t="shared" si="53"/>
        <v>0</v>
      </c>
    </row>
    <row r="66" spans="2:89" ht="12.75" customHeight="1" x14ac:dyDescent="0.2">
      <c r="B66" s="77">
        <v>39461</v>
      </c>
      <c r="C66" s="49">
        <v>130.570007</v>
      </c>
      <c r="D66" s="49">
        <v>60.299999</v>
      </c>
      <c r="E66" s="49">
        <v>47.349997999999999</v>
      </c>
      <c r="F66" s="49">
        <v>56.900002000000001</v>
      </c>
      <c r="G66" s="49">
        <v>43.709999000000003</v>
      </c>
      <c r="H66" s="49">
        <v>95.360000999999997</v>
      </c>
      <c r="J66" s="78">
        <f>IF(inter=Weekly_2,J65+$C$5,IF(inter=Bi_weekly_2,J64+$C$5,IF(inter=Monthly_2,J62+$C$5,IF(inter=Quarterly_2,0,IF(inter=Yearly_2,0,IF(inter=None_2,0,0))))))</f>
        <v>27200</v>
      </c>
      <c r="K66" s="79">
        <f t="shared" si="54"/>
        <v>-801.59774654797366</v>
      </c>
      <c r="L66" s="79">
        <f t="shared" si="55"/>
        <v>-224.30986732425117</v>
      </c>
      <c r="M66" s="79">
        <f t="shared" si="56"/>
        <v>-175.18995744261406</v>
      </c>
      <c r="N66" s="79">
        <f t="shared" si="57"/>
        <v>-162.8692324361291</v>
      </c>
      <c r="O66" s="79">
        <f t="shared" si="58"/>
        <v>-594.37460824081973</v>
      </c>
      <c r="P66" s="79">
        <f t="shared" si="59"/>
        <v>-332.47308443290785</v>
      </c>
      <c r="Q66" s="79"/>
      <c r="R66" s="80">
        <f t="shared" si="12"/>
        <v>6.1392180713291502</v>
      </c>
      <c r="S66" s="80">
        <f t="shared" si="13"/>
        <v>3.7198983589411201</v>
      </c>
      <c r="T66" s="80">
        <f t="shared" si="14"/>
        <v>3.6998936608743693</v>
      </c>
      <c r="U66" s="80">
        <f t="shared" si="15"/>
        <v>2.8623765678624951</v>
      </c>
      <c r="V66" s="80">
        <f t="shared" si="16"/>
        <v>13.59813822555383</v>
      </c>
      <c r="W66" s="80">
        <f t="shared" si="17"/>
        <v>3.4865046240184903</v>
      </c>
      <c r="X66" s="80">
        <f t="shared" si="75"/>
        <v>72.911078269299622</v>
      </c>
      <c r="Y66" s="80">
        <f t="shared" si="76"/>
        <v>45.107795109582014</v>
      </c>
      <c r="Z66" s="80">
        <f t="shared" si="77"/>
        <v>45.955651360323181</v>
      </c>
      <c r="AA66" s="80">
        <f t="shared" si="78"/>
        <v>33.462213235071594</v>
      </c>
      <c r="AB66" s="80">
        <f t="shared" si="79"/>
        <v>155.57081115467423</v>
      </c>
      <c r="AC66" s="80">
        <f t="shared" si="80"/>
        <v>42.785234450658194</v>
      </c>
      <c r="AD66" s="80"/>
      <c r="AE66" s="80"/>
      <c r="AF66" s="80"/>
      <c r="AG66" s="80"/>
      <c r="AH66" s="80"/>
      <c r="AI66" s="80"/>
      <c r="AJ66" s="45">
        <f t="shared" si="19"/>
        <v>0</v>
      </c>
      <c r="AK66" s="45">
        <f t="shared" si="20"/>
        <v>0</v>
      </c>
      <c r="AL66" s="45">
        <f t="shared" si="21"/>
        <v>0</v>
      </c>
      <c r="AM66" s="45">
        <f t="shared" si="22"/>
        <v>0</v>
      </c>
      <c r="AN66" s="45">
        <f t="shared" si="23"/>
        <v>0</v>
      </c>
      <c r="AO66" s="45">
        <f t="shared" si="24"/>
        <v>0</v>
      </c>
      <c r="AP66" s="80">
        <f t="shared" si="25"/>
        <v>0</v>
      </c>
      <c r="AQ66" s="80">
        <f t="shared" si="26"/>
        <v>0</v>
      </c>
      <c r="AR66" s="80">
        <f t="shared" si="27"/>
        <v>0</v>
      </c>
      <c r="AS66" s="80">
        <f t="shared" si="28"/>
        <v>0</v>
      </c>
      <c r="AT66" s="80">
        <f t="shared" si="29"/>
        <v>0</v>
      </c>
      <c r="AU66" s="80">
        <f t="shared" si="30"/>
        <v>0</v>
      </c>
      <c r="AV66" s="80">
        <f t="shared" si="81"/>
        <v>0.2738824880507566</v>
      </c>
      <c r="AW66" s="80">
        <f t="shared" si="82"/>
        <v>0.52391356704652325</v>
      </c>
      <c r="AX66" s="80">
        <f t="shared" si="83"/>
        <v>0.78192114947339608</v>
      </c>
      <c r="AY66" s="80">
        <f t="shared" si="84"/>
        <v>0.64079070289692375</v>
      </c>
      <c r="AZ66" s="80">
        <f t="shared" si="85"/>
        <v>2.9141519328969396</v>
      </c>
      <c r="BA66" s="80">
        <f t="shared" si="86"/>
        <v>0.34214616013568216</v>
      </c>
      <c r="BB66" s="80">
        <f t="shared" si="62"/>
        <v>73.184960757350382</v>
      </c>
      <c r="BC66" s="80">
        <f t="shared" si="63"/>
        <v>45.631708676628534</v>
      </c>
      <c r="BD66" s="80">
        <f t="shared" si="64"/>
        <v>46.737572509796578</v>
      </c>
      <c r="BE66" s="80">
        <f t="shared" si="65"/>
        <v>34.103003937968516</v>
      </c>
      <c r="BF66" s="80">
        <f t="shared" si="66"/>
        <v>158.48496308757117</v>
      </c>
      <c r="BG66" s="80">
        <f t="shared" si="67"/>
        <v>43.127380610793878</v>
      </c>
      <c r="BH66" s="49">
        <f t="shared" si="68"/>
        <v>0</v>
      </c>
      <c r="BI66" s="79">
        <f t="shared" si="69"/>
        <v>-29283.832868678386</v>
      </c>
      <c r="BJ66" s="79">
        <f t="shared" si="33"/>
        <v>27200</v>
      </c>
      <c r="BK66" s="44">
        <f t="shared" si="70"/>
        <v>-7.115984024438371E-2</v>
      </c>
      <c r="BL66" s="79">
        <f t="shared" si="87"/>
        <v>336.59082477792481</v>
      </c>
      <c r="BM66" s="49">
        <f t="shared" si="71"/>
        <v>27536.590824777926</v>
      </c>
      <c r="BN66" s="44">
        <f t="shared" si="72"/>
        <v>-5.966575658780271E-2</v>
      </c>
      <c r="BO66" s="49">
        <f t="shared" si="34"/>
        <v>300.84241933655397</v>
      </c>
      <c r="BP66" s="49">
        <f t="shared" si="35"/>
        <v>27500.842419336557</v>
      </c>
      <c r="BQ66" s="44">
        <f t="shared" si="36"/>
        <v>-6.0886512272404492E-2</v>
      </c>
      <c r="BS66" s="49">
        <f t="shared" si="37"/>
        <v>29283.832868678386</v>
      </c>
      <c r="BT66" s="49">
        <f t="shared" si="38"/>
        <v>65.285003500000002</v>
      </c>
      <c r="BU66" s="49">
        <f t="shared" si="39"/>
        <v>47.680000499999998</v>
      </c>
      <c r="BV66" s="49">
        <f t="shared" si="40"/>
        <v>2290.8144964246958</v>
      </c>
      <c r="BW66" s="18">
        <f t="shared" si="41"/>
        <v>168</v>
      </c>
      <c r="BX66" s="19">
        <f t="shared" si="73"/>
        <v>0.96146788990825693</v>
      </c>
      <c r="BY66" s="49">
        <f t="shared" si="74"/>
        <v>2202.5445800486987</v>
      </c>
      <c r="BZ66" s="19">
        <f t="shared" si="42"/>
        <v>6.1392180713291502</v>
      </c>
      <c r="CA66" s="19">
        <f t="shared" si="43"/>
        <v>3.7198983589411201</v>
      </c>
      <c r="CB66" s="19">
        <f t="shared" si="44"/>
        <v>3.6998936608743693</v>
      </c>
      <c r="CC66" s="19">
        <f t="shared" si="45"/>
        <v>2.8623765678624951</v>
      </c>
      <c r="CD66" s="19">
        <f t="shared" si="46"/>
        <v>13.59813822555383</v>
      </c>
      <c r="CE66" s="19">
        <f t="shared" si="47"/>
        <v>3.4865046240184903</v>
      </c>
      <c r="CF66" s="49">
        <f t="shared" si="48"/>
        <v>-801.59774654797366</v>
      </c>
      <c r="CG66" s="49">
        <f t="shared" si="49"/>
        <v>-224.30986732425117</v>
      </c>
      <c r="CH66" s="49">
        <f t="shared" si="50"/>
        <v>-175.18995744261406</v>
      </c>
      <c r="CI66" s="49">
        <f t="shared" si="51"/>
        <v>-162.8692324361291</v>
      </c>
      <c r="CJ66" s="49">
        <f t="shared" si="52"/>
        <v>-594.37460824081973</v>
      </c>
      <c r="CK66" s="49">
        <f t="shared" si="53"/>
        <v>-332.47308443290785</v>
      </c>
    </row>
    <row r="67" spans="2:89" ht="12.75" customHeight="1" x14ac:dyDescent="0.2">
      <c r="B67" s="77">
        <v>39469</v>
      </c>
      <c r="C67" s="49">
        <v>131.41000399999999</v>
      </c>
      <c r="D67" s="49">
        <v>61.049999</v>
      </c>
      <c r="E67" s="49">
        <v>48.950001</v>
      </c>
      <c r="F67" s="49">
        <v>59.119999</v>
      </c>
      <c r="G67" s="49">
        <v>43.369999</v>
      </c>
      <c r="H67" s="49">
        <v>91.900002000000001</v>
      </c>
      <c r="J67" s="78">
        <f>IF(inter=Weekly_2,J66+$C$5,IF(inter=Bi_weekly_2,0,IF(inter=Monthly_2,0,IF(inter=Quarterly_2,0,IF(inter=Yearly_2,0,IF(inter=None_2,0,0))))))</f>
        <v>0</v>
      </c>
      <c r="K67" s="79">
        <f t="shared" si="54"/>
        <v>0</v>
      </c>
      <c r="L67" s="79">
        <f t="shared" si="55"/>
        <v>0</v>
      </c>
      <c r="M67" s="79">
        <f t="shared" si="56"/>
        <v>0</v>
      </c>
      <c r="N67" s="79">
        <f t="shared" si="57"/>
        <v>0</v>
      </c>
      <c r="O67" s="79">
        <f t="shared" si="58"/>
        <v>0</v>
      </c>
      <c r="P67" s="79">
        <f t="shared" si="59"/>
        <v>0</v>
      </c>
      <c r="Q67" s="79"/>
      <c r="R67" s="80">
        <f t="shared" si="12"/>
        <v>0</v>
      </c>
      <c r="S67" s="80">
        <f t="shared" si="13"/>
        <v>0</v>
      </c>
      <c r="T67" s="80">
        <f t="shared" si="14"/>
        <v>0</v>
      </c>
      <c r="U67" s="80">
        <f t="shared" si="15"/>
        <v>0</v>
      </c>
      <c r="V67" s="80">
        <f t="shared" si="16"/>
        <v>0</v>
      </c>
      <c r="W67" s="80">
        <f t="shared" si="17"/>
        <v>0</v>
      </c>
      <c r="X67" s="80">
        <f>X66+R67</f>
        <v>72.911078269299622</v>
      </c>
      <c r="Y67" s="80">
        <f t="shared" si="76"/>
        <v>45.107795109582014</v>
      </c>
      <c r="Z67" s="80">
        <f t="shared" si="77"/>
        <v>45.955651360323181</v>
      </c>
      <c r="AA67" s="80">
        <f t="shared" si="78"/>
        <v>33.462213235071594</v>
      </c>
      <c r="AB67" s="80">
        <f t="shared" si="79"/>
        <v>155.57081115467423</v>
      </c>
      <c r="AC67" s="80">
        <f t="shared" si="80"/>
        <v>42.785234450658194</v>
      </c>
      <c r="AD67" s="80"/>
      <c r="AE67" s="80"/>
      <c r="AF67" s="80"/>
      <c r="AG67" s="80"/>
      <c r="AH67" s="80"/>
      <c r="AI67" s="80"/>
      <c r="AJ67" s="45">
        <f t="shared" si="19"/>
        <v>0</v>
      </c>
      <c r="AK67" s="45">
        <f t="shared" si="20"/>
        <v>0</v>
      </c>
      <c r="AL67" s="45">
        <f t="shared" si="21"/>
        <v>0</v>
      </c>
      <c r="AM67" s="45">
        <f t="shared" si="22"/>
        <v>0</v>
      </c>
      <c r="AN67" s="45">
        <f t="shared" si="23"/>
        <v>0</v>
      </c>
      <c r="AO67" s="45">
        <f t="shared" si="24"/>
        <v>0</v>
      </c>
      <c r="AP67" s="80">
        <f t="shared" si="25"/>
        <v>0</v>
      </c>
      <c r="AQ67" s="80">
        <f t="shared" si="26"/>
        <v>0</v>
      </c>
      <c r="AR67" s="80">
        <f t="shared" si="27"/>
        <v>0</v>
      </c>
      <c r="AS67" s="80">
        <f t="shared" si="28"/>
        <v>0</v>
      </c>
      <c r="AT67" s="80">
        <f t="shared" si="29"/>
        <v>0</v>
      </c>
      <c r="AU67" s="80">
        <f t="shared" si="30"/>
        <v>0</v>
      </c>
      <c r="AV67" s="80">
        <f t="shared" si="81"/>
        <v>0.2738824880507566</v>
      </c>
      <c r="AW67" s="80">
        <f t="shared" si="82"/>
        <v>0.52391356704652325</v>
      </c>
      <c r="AX67" s="80">
        <f t="shared" si="83"/>
        <v>0.78192114947339608</v>
      </c>
      <c r="AY67" s="80">
        <f t="shared" si="84"/>
        <v>0.64079070289692375</v>
      </c>
      <c r="AZ67" s="80">
        <f t="shared" si="85"/>
        <v>2.9141519328969396</v>
      </c>
      <c r="BA67" s="80">
        <f t="shared" si="86"/>
        <v>0.34214616013568216</v>
      </c>
      <c r="BB67" s="80">
        <f t="shared" si="62"/>
        <v>73.184960757350382</v>
      </c>
      <c r="BC67" s="80">
        <f t="shared" si="63"/>
        <v>45.631708676628534</v>
      </c>
      <c r="BD67" s="80">
        <f t="shared" si="64"/>
        <v>46.737572509796578</v>
      </c>
      <c r="BE67" s="80">
        <f t="shared" si="65"/>
        <v>34.103003937968516</v>
      </c>
      <c r="BF67" s="80">
        <f t="shared" si="66"/>
        <v>158.48496308757117</v>
      </c>
      <c r="BG67" s="80">
        <f t="shared" si="67"/>
        <v>43.127380610793878</v>
      </c>
      <c r="BH67" s="49">
        <f t="shared" si="68"/>
        <v>0</v>
      </c>
      <c r="BI67" s="79">
        <f t="shared" si="69"/>
        <v>-29283.832868678386</v>
      </c>
      <c r="BJ67" s="79">
        <f t="shared" si="33"/>
        <v>27241.960182177223</v>
      </c>
      <c r="BK67" s="44">
        <f t="shared" si="70"/>
        <v>-6.9726961482734162E-2</v>
      </c>
      <c r="BL67" s="79">
        <f t="shared" si="87"/>
        <v>336.59082477792481</v>
      </c>
      <c r="BM67" s="49">
        <f t="shared" si="71"/>
        <v>27578.551006955149</v>
      </c>
      <c r="BN67" s="44">
        <f t="shared" si="72"/>
        <v>-5.8232877826153162E-2</v>
      </c>
      <c r="BO67" s="49">
        <f t="shared" si="34"/>
        <v>301.9644075740257</v>
      </c>
      <c r="BP67" s="49">
        <f t="shared" si="35"/>
        <v>27543.924589751248</v>
      </c>
      <c r="BQ67" s="44">
        <f t="shared" si="36"/>
        <v>-5.9415319255838317E-2</v>
      </c>
      <c r="BS67" s="49">
        <f t="shared" si="37"/>
        <v>29283.832868678386</v>
      </c>
      <c r="BT67" s="49">
        <f t="shared" si="38"/>
        <v>65.705001999999993</v>
      </c>
      <c r="BU67" s="49">
        <f t="shared" si="39"/>
        <v>45.950001</v>
      </c>
      <c r="BV67" s="49">
        <f t="shared" si="40"/>
        <v>0</v>
      </c>
      <c r="BW67" s="18">
        <f t="shared" si="41"/>
        <v>176</v>
      </c>
      <c r="BX67" s="19">
        <f t="shared" si="73"/>
        <v>0.95963302752293578</v>
      </c>
      <c r="BY67" s="49">
        <f t="shared" si="74"/>
        <v>0</v>
      </c>
      <c r="BZ67" s="19">
        <f t="shared" si="42"/>
        <v>0</v>
      </c>
      <c r="CA67" s="19">
        <f t="shared" si="43"/>
        <v>0</v>
      </c>
      <c r="CB67" s="19">
        <f t="shared" si="44"/>
        <v>0</v>
      </c>
      <c r="CC67" s="19">
        <f t="shared" si="45"/>
        <v>0</v>
      </c>
      <c r="CD67" s="19">
        <f t="shared" si="46"/>
        <v>0</v>
      </c>
      <c r="CE67" s="19">
        <f t="shared" si="47"/>
        <v>0</v>
      </c>
      <c r="CF67" s="49">
        <f t="shared" si="48"/>
        <v>0</v>
      </c>
      <c r="CG67" s="49">
        <f t="shared" si="49"/>
        <v>0</v>
      </c>
      <c r="CH67" s="49">
        <f t="shared" si="50"/>
        <v>0</v>
      </c>
      <c r="CI67" s="49">
        <f t="shared" si="51"/>
        <v>0</v>
      </c>
      <c r="CJ67" s="49">
        <f t="shared" si="52"/>
        <v>0</v>
      </c>
      <c r="CK67" s="49">
        <f t="shared" si="53"/>
        <v>0</v>
      </c>
    </row>
    <row r="68" spans="2:89" ht="12.75" customHeight="1" x14ac:dyDescent="0.2">
      <c r="B68" s="77">
        <v>39475</v>
      </c>
      <c r="C68" s="49">
        <v>138.39999399999999</v>
      </c>
      <c r="D68" s="49">
        <v>64.599997999999999</v>
      </c>
      <c r="E68" s="49">
        <v>52.310001</v>
      </c>
      <c r="F68" s="49">
        <v>63.599997999999999</v>
      </c>
      <c r="G68" s="49">
        <v>45</v>
      </c>
      <c r="H68" s="49">
        <v>97.190002000000007</v>
      </c>
      <c r="J68" s="78">
        <f>IF(inter=Weekly_2,J67+$C$5,IF(inter=Bi_weekly_2,J66+$C$5,IF(inter=Monthly_2,0,IF(inter=Quarterly_2,J55+$C$5,IF(inter=Yearly_2,0,IF(inter=None_2,0,0))))))</f>
        <v>27800</v>
      </c>
      <c r="K68" s="79">
        <f t="shared" si="54"/>
        <v>360.89279500459816</v>
      </c>
      <c r="L68" s="79">
        <f t="shared" si="55"/>
        <v>133.96347386340767</v>
      </c>
      <c r="M68" s="79">
        <f t="shared" si="56"/>
        <v>179.94016861415685</v>
      </c>
      <c r="N68" s="79">
        <f t="shared" si="57"/>
        <v>182.19669482612676</v>
      </c>
      <c r="O68" s="79">
        <f t="shared" si="58"/>
        <v>50.686501960340138</v>
      </c>
      <c r="P68" s="79">
        <f t="shared" si="59"/>
        <v>-11.702978170061215</v>
      </c>
      <c r="Q68" s="79"/>
      <c r="R68" s="80">
        <f t="shared" si="12"/>
        <v>-2.6076070133687881</v>
      </c>
      <c r="S68" s="80">
        <f t="shared" si="13"/>
        <v>-2.0737380497040832</v>
      </c>
      <c r="T68" s="80">
        <f t="shared" si="14"/>
        <v>-3.4398808100607159</v>
      </c>
      <c r="U68" s="80">
        <f t="shared" si="15"/>
        <v>-2.8647279961569616</v>
      </c>
      <c r="V68" s="80">
        <f t="shared" si="16"/>
        <v>-1.1263667102297807</v>
      </c>
      <c r="W68" s="80">
        <f t="shared" si="17"/>
        <v>0.12041339571184713</v>
      </c>
      <c r="X68" s="80">
        <f>X67+R68</f>
        <v>70.30347125593083</v>
      </c>
      <c r="Y68" s="80">
        <f t="shared" si="76"/>
        <v>43.034057059877931</v>
      </c>
      <c r="Z68" s="80">
        <f t="shared" si="77"/>
        <v>42.515770550262467</v>
      </c>
      <c r="AA68" s="80">
        <f t="shared" si="78"/>
        <v>30.597485238914633</v>
      </c>
      <c r="AB68" s="80">
        <f t="shared" si="79"/>
        <v>154.44444444444446</v>
      </c>
      <c r="AC68" s="80">
        <f t="shared" si="80"/>
        <v>42.905647846370044</v>
      </c>
      <c r="AD68" s="80"/>
      <c r="AE68" s="80"/>
      <c r="AF68" s="80"/>
      <c r="AG68" s="80"/>
      <c r="AH68" s="80"/>
      <c r="AI68" s="80"/>
      <c r="AJ68" s="45">
        <f t="shared" si="19"/>
        <v>0</v>
      </c>
      <c r="AK68" s="45">
        <f t="shared" si="20"/>
        <v>0</v>
      </c>
      <c r="AL68" s="45">
        <f t="shared" si="21"/>
        <v>0</v>
      </c>
      <c r="AM68" s="45">
        <f t="shared" si="22"/>
        <v>0</v>
      </c>
      <c r="AN68" s="45">
        <f t="shared" si="23"/>
        <v>0</v>
      </c>
      <c r="AO68" s="45">
        <f t="shared" si="24"/>
        <v>0</v>
      </c>
      <c r="AP68" s="80">
        <f t="shared" si="25"/>
        <v>0</v>
      </c>
      <c r="AQ68" s="80">
        <f t="shared" si="26"/>
        <v>0</v>
      </c>
      <c r="AR68" s="80">
        <f t="shared" si="27"/>
        <v>0</v>
      </c>
      <c r="AS68" s="80">
        <f t="shared" si="28"/>
        <v>0</v>
      </c>
      <c r="AT68" s="80">
        <f t="shared" si="29"/>
        <v>0</v>
      </c>
      <c r="AU68" s="80">
        <f t="shared" si="30"/>
        <v>0</v>
      </c>
      <c r="AV68" s="80">
        <f t="shared" si="81"/>
        <v>0.2738824880507566</v>
      </c>
      <c r="AW68" s="80">
        <f t="shared" si="82"/>
        <v>0.52391356704652325</v>
      </c>
      <c r="AX68" s="80">
        <f t="shared" si="83"/>
        <v>0.78192114947339608</v>
      </c>
      <c r="AY68" s="80">
        <f t="shared" si="84"/>
        <v>0.64079070289692375</v>
      </c>
      <c r="AZ68" s="80">
        <f t="shared" si="85"/>
        <v>2.9141519328969396</v>
      </c>
      <c r="BA68" s="80">
        <f t="shared" si="86"/>
        <v>0.34214616013568216</v>
      </c>
      <c r="BB68" s="80">
        <f t="shared" si="62"/>
        <v>70.57735374398159</v>
      </c>
      <c r="BC68" s="80">
        <f t="shared" si="63"/>
        <v>43.557970626924451</v>
      </c>
      <c r="BD68" s="80">
        <f t="shared" si="64"/>
        <v>43.297691699735864</v>
      </c>
      <c r="BE68" s="80">
        <f t="shared" si="65"/>
        <v>31.238275941811558</v>
      </c>
      <c r="BF68" s="80">
        <f t="shared" si="66"/>
        <v>157.3585963773414</v>
      </c>
      <c r="BG68" s="80">
        <f t="shared" si="67"/>
        <v>43.247794006505728</v>
      </c>
      <c r="BH68" s="49">
        <f t="shared" si="68"/>
        <v>0</v>
      </c>
      <c r="BI68" s="79">
        <f t="shared" si="69"/>
        <v>-28387.85621257982</v>
      </c>
      <c r="BJ68" s="79">
        <f t="shared" si="33"/>
        <v>27800</v>
      </c>
      <c r="BK68" s="44">
        <f t="shared" si="70"/>
        <v>-2.0708017124565936E-2</v>
      </c>
      <c r="BL68" s="79">
        <f t="shared" si="87"/>
        <v>336.59082477792481</v>
      </c>
      <c r="BM68" s="49">
        <f t="shared" si="71"/>
        <v>28136.590824777926</v>
      </c>
      <c r="BN68" s="44">
        <f t="shared" si="72"/>
        <v>-8.8511575485065164E-3</v>
      </c>
      <c r="BO68" s="49">
        <f t="shared" si="34"/>
        <v>317.79675658808702</v>
      </c>
      <c r="BP68" s="49">
        <f t="shared" si="35"/>
        <v>28117.79675658809</v>
      </c>
      <c r="BQ68" s="44">
        <f t="shared" si="36"/>
        <v>-9.5132036026044364E-3</v>
      </c>
      <c r="BS68" s="49">
        <f t="shared" si="37"/>
        <v>28387.85621257982</v>
      </c>
      <c r="BT68" s="49">
        <f t="shared" si="38"/>
        <v>69.199996999999996</v>
      </c>
      <c r="BU68" s="49">
        <f t="shared" si="39"/>
        <v>48.595001000000003</v>
      </c>
      <c r="BV68" s="49">
        <f t="shared" si="40"/>
        <v>-895.97665609856836</v>
      </c>
      <c r="BW68" s="18">
        <f t="shared" si="41"/>
        <v>182</v>
      </c>
      <c r="BX68" s="19">
        <f t="shared" si="73"/>
        <v>0.95825688073394499</v>
      </c>
      <c r="BY68" s="49">
        <f t="shared" si="74"/>
        <v>-858.57579568344465</v>
      </c>
      <c r="BZ68" s="19">
        <f t="shared" si="42"/>
        <v>0</v>
      </c>
      <c r="CA68" s="19">
        <f t="shared" si="43"/>
        <v>0</v>
      </c>
      <c r="CB68" s="19">
        <f t="shared" si="44"/>
        <v>0</v>
      </c>
      <c r="CC68" s="19">
        <f t="shared" si="45"/>
        <v>0</v>
      </c>
      <c r="CD68" s="19">
        <f t="shared" si="46"/>
        <v>0</v>
      </c>
      <c r="CE68" s="19">
        <f t="shared" si="47"/>
        <v>0.12041339571184713</v>
      </c>
      <c r="CF68" s="49">
        <f t="shared" si="48"/>
        <v>0</v>
      </c>
      <c r="CG68" s="49">
        <f t="shared" si="49"/>
        <v>0</v>
      </c>
      <c r="CH68" s="49">
        <f t="shared" si="50"/>
        <v>0</v>
      </c>
      <c r="CI68" s="49">
        <f t="shared" si="51"/>
        <v>0</v>
      </c>
      <c r="CJ68" s="49">
        <f t="shared" si="52"/>
        <v>0</v>
      </c>
      <c r="CK68" s="49">
        <f t="shared" si="53"/>
        <v>-11.702978170061215</v>
      </c>
    </row>
    <row r="69" spans="2:89" ht="12.75" customHeight="1" x14ac:dyDescent="0.2">
      <c r="B69" s="77">
        <v>39482</v>
      </c>
      <c r="C69" s="49">
        <v>132.300003</v>
      </c>
      <c r="D69" s="49">
        <v>61.279998999999997</v>
      </c>
      <c r="E69" s="49">
        <v>49.919998</v>
      </c>
      <c r="F69" s="49">
        <v>61.389999000000003</v>
      </c>
      <c r="G69" s="49">
        <v>41.939999</v>
      </c>
      <c r="H69" s="49">
        <v>92.489998</v>
      </c>
      <c r="J69" s="78">
        <f>IF(inter=Weekly_2,J68+$C$5,IF(inter=Bi_weekly_2,0,IF(inter=Monthly_2,0,IF(inter=Quarterly_2,0,IF(inter=Yearly_2,0,IF(inter=None_2,0,0))))))</f>
        <v>0</v>
      </c>
      <c r="K69" s="79">
        <f t="shared" si="54"/>
        <v>0</v>
      </c>
      <c r="L69" s="79">
        <f t="shared" si="55"/>
        <v>0</v>
      </c>
      <c r="M69" s="79">
        <f t="shared" si="56"/>
        <v>0</v>
      </c>
      <c r="N69" s="79">
        <f t="shared" si="57"/>
        <v>0</v>
      </c>
      <c r="O69" s="79">
        <f t="shared" si="58"/>
        <v>0</v>
      </c>
      <c r="P69" s="79">
        <f t="shared" si="59"/>
        <v>0</v>
      </c>
      <c r="Q69" s="79"/>
      <c r="R69" s="80">
        <f t="shared" si="12"/>
        <v>0</v>
      </c>
      <c r="S69" s="80">
        <f t="shared" si="13"/>
        <v>0</v>
      </c>
      <c r="T69" s="80">
        <f t="shared" si="14"/>
        <v>0</v>
      </c>
      <c r="U69" s="80">
        <f t="shared" si="15"/>
        <v>0</v>
      </c>
      <c r="V69" s="80">
        <f t="shared" si="16"/>
        <v>0</v>
      </c>
      <c r="W69" s="80">
        <f t="shared" si="17"/>
        <v>0</v>
      </c>
      <c r="X69" s="80">
        <f t="shared" si="75"/>
        <v>70.30347125593083</v>
      </c>
      <c r="Y69" s="80">
        <f t="shared" si="76"/>
        <v>43.034057059877931</v>
      </c>
      <c r="Z69" s="80">
        <f t="shared" si="77"/>
        <v>42.515770550262467</v>
      </c>
      <c r="AA69" s="80">
        <f t="shared" si="78"/>
        <v>30.597485238914633</v>
      </c>
      <c r="AB69" s="80">
        <f t="shared" si="79"/>
        <v>154.44444444444446</v>
      </c>
      <c r="AC69" s="80">
        <f t="shared" si="80"/>
        <v>42.905647846370044</v>
      </c>
      <c r="AD69" s="80"/>
      <c r="AE69" s="80"/>
      <c r="AF69" s="80"/>
      <c r="AG69" s="80"/>
      <c r="AH69" s="80"/>
      <c r="AI69" s="80"/>
      <c r="AJ69" s="45">
        <f t="shared" si="19"/>
        <v>0</v>
      </c>
      <c r="AK69" s="45">
        <f t="shared" si="20"/>
        <v>0</v>
      </c>
      <c r="AL69" s="45">
        <f t="shared" si="21"/>
        <v>0</v>
      </c>
      <c r="AM69" s="45">
        <f t="shared" si="22"/>
        <v>0</v>
      </c>
      <c r="AN69" s="45">
        <f t="shared" si="23"/>
        <v>0</v>
      </c>
      <c r="AO69" s="45">
        <f t="shared" si="24"/>
        <v>0</v>
      </c>
      <c r="AP69" s="80">
        <f t="shared" si="25"/>
        <v>0</v>
      </c>
      <c r="AQ69" s="80">
        <f t="shared" si="26"/>
        <v>0</v>
      </c>
      <c r="AR69" s="80">
        <f t="shared" si="27"/>
        <v>0</v>
      </c>
      <c r="AS69" s="80">
        <f t="shared" si="28"/>
        <v>0</v>
      </c>
      <c r="AT69" s="80">
        <f t="shared" si="29"/>
        <v>0</v>
      </c>
      <c r="AU69" s="80">
        <f t="shared" si="30"/>
        <v>0</v>
      </c>
      <c r="AV69" s="80">
        <f t="shared" si="81"/>
        <v>0.2738824880507566</v>
      </c>
      <c r="AW69" s="80">
        <f t="shared" si="82"/>
        <v>0.52391356704652325</v>
      </c>
      <c r="AX69" s="80">
        <f t="shared" si="83"/>
        <v>0.78192114947339608</v>
      </c>
      <c r="AY69" s="80">
        <f t="shared" si="84"/>
        <v>0.64079070289692375</v>
      </c>
      <c r="AZ69" s="80">
        <f t="shared" si="85"/>
        <v>2.9141519328969396</v>
      </c>
      <c r="BA69" s="80">
        <f t="shared" si="86"/>
        <v>0.34214616013568216</v>
      </c>
      <c r="BB69" s="80">
        <f t="shared" si="62"/>
        <v>70.57735374398159</v>
      </c>
      <c r="BC69" s="80">
        <f t="shared" si="63"/>
        <v>43.557970626924451</v>
      </c>
      <c r="BD69" s="80">
        <f t="shared" si="64"/>
        <v>43.297691699735864</v>
      </c>
      <c r="BE69" s="80">
        <f t="shared" si="65"/>
        <v>31.238275941811558</v>
      </c>
      <c r="BF69" s="80">
        <f t="shared" si="66"/>
        <v>157.3585963773414</v>
      </c>
      <c r="BG69" s="80">
        <f t="shared" si="67"/>
        <v>43.247794006505728</v>
      </c>
      <c r="BH69" s="49">
        <f t="shared" si="68"/>
        <v>0</v>
      </c>
      <c r="BI69" s="79">
        <f t="shared" si="69"/>
        <v>-28387.85621257982</v>
      </c>
      <c r="BJ69" s="79">
        <f t="shared" si="33"/>
        <v>26384.786329777398</v>
      </c>
      <c r="BK69" s="44">
        <f t="shared" si="70"/>
        <v>-7.0560801344159985E-2</v>
      </c>
      <c r="BL69" s="79">
        <f>BL68+BH69</f>
        <v>336.59082477792481</v>
      </c>
      <c r="BM69" s="49">
        <f t="shared" si="71"/>
        <v>26721.377154555325</v>
      </c>
      <c r="BN69" s="44">
        <f t="shared" si="72"/>
        <v>-5.8703941768100454E-2</v>
      </c>
      <c r="BO69" s="49">
        <f t="shared" si="34"/>
        <v>300.57634650158366</v>
      </c>
      <c r="BP69" s="49">
        <f t="shared" si="35"/>
        <v>26685.362676278979</v>
      </c>
      <c r="BQ69" s="44">
        <f t="shared" si="36"/>
        <v>-5.9972599676138882E-2</v>
      </c>
      <c r="BS69" s="49">
        <f t="shared" si="37"/>
        <v>28387.85621257982</v>
      </c>
      <c r="BT69" s="49">
        <f t="shared" si="38"/>
        <v>66.150001500000002</v>
      </c>
      <c r="BU69" s="49">
        <f t="shared" si="39"/>
        <v>46.244999</v>
      </c>
      <c r="BV69" s="49">
        <f t="shared" si="40"/>
        <v>0</v>
      </c>
      <c r="BW69" s="18">
        <f t="shared" si="41"/>
        <v>189</v>
      </c>
      <c r="BX69" s="19">
        <f t="shared" si="73"/>
        <v>0.95665137614678897</v>
      </c>
      <c r="BY69" s="49">
        <f t="shared" si="74"/>
        <v>0</v>
      </c>
      <c r="BZ69" s="19">
        <f t="shared" si="42"/>
        <v>0</v>
      </c>
      <c r="CA69" s="19">
        <f t="shared" si="43"/>
        <v>0</v>
      </c>
      <c r="CB69" s="19">
        <f t="shared" si="44"/>
        <v>0</v>
      </c>
      <c r="CC69" s="19">
        <f t="shared" si="45"/>
        <v>0</v>
      </c>
      <c r="CD69" s="19">
        <f t="shared" si="46"/>
        <v>0</v>
      </c>
      <c r="CE69" s="19">
        <f t="shared" si="47"/>
        <v>0</v>
      </c>
      <c r="CF69" s="49">
        <f t="shared" si="48"/>
        <v>0</v>
      </c>
      <c r="CG69" s="49">
        <f t="shared" si="49"/>
        <v>0</v>
      </c>
      <c r="CH69" s="49">
        <f t="shared" si="50"/>
        <v>0</v>
      </c>
      <c r="CI69" s="49">
        <f t="shared" si="51"/>
        <v>0</v>
      </c>
      <c r="CJ69" s="49">
        <f t="shared" si="52"/>
        <v>0</v>
      </c>
      <c r="CK69" s="49">
        <f t="shared" si="53"/>
        <v>0</v>
      </c>
    </row>
    <row r="70" spans="2:89" ht="12.75" customHeight="1" x14ac:dyDescent="0.2">
      <c r="B70" s="77">
        <v>39489</v>
      </c>
      <c r="C70" s="49">
        <v>134.10000600000001</v>
      </c>
      <c r="D70" s="49">
        <v>62.029998999999997</v>
      </c>
      <c r="E70" s="49">
        <v>50.110000999999997</v>
      </c>
      <c r="F70" s="49">
        <v>61.509998000000003</v>
      </c>
      <c r="G70" s="49">
        <v>43.18</v>
      </c>
      <c r="H70" s="49">
        <v>96.449996999999996</v>
      </c>
      <c r="J70" s="78">
        <f>IF(inter=Weekly_2,J69+$C$5,IF(inter=Bi_weekly_2,J68+$C$5,IF(inter=Monthly_2,J66+$C$5,IF(inter=Quarterly_2,0,IF(inter=Yearly_2,0,IF(inter=None_2,0,0))))))</f>
        <v>28400</v>
      </c>
      <c r="K70" s="79">
        <f t="shared" si="54"/>
        <v>-512.30408275884838</v>
      </c>
      <c r="L70" s="79">
        <f t="shared" si="55"/>
        <v>-170.59748360982894</v>
      </c>
      <c r="M70" s="79">
        <f t="shared" si="56"/>
        <v>-141.53469521057741</v>
      </c>
      <c r="N70" s="79">
        <f t="shared" si="57"/>
        <v>-105.94874414933156</v>
      </c>
      <c r="O70" s="79">
        <f t="shared" si="58"/>
        <v>-431.0888888888885</v>
      </c>
      <c r="P70" s="79">
        <f t="shared" si="59"/>
        <v>-121.75039393455336</v>
      </c>
      <c r="Q70" s="79"/>
      <c r="R70" s="80">
        <f t="shared" si="12"/>
        <v>3.8203136453166775</v>
      </c>
      <c r="S70" s="80">
        <f t="shared" si="13"/>
        <v>2.7502415985824689</v>
      </c>
      <c r="T70" s="80">
        <f t="shared" si="14"/>
        <v>2.8244799917401204</v>
      </c>
      <c r="U70" s="80">
        <f t="shared" si="15"/>
        <v>1.7224637879086186</v>
      </c>
      <c r="V70" s="80">
        <f t="shared" si="16"/>
        <v>9.9835314703309059</v>
      </c>
      <c r="W70" s="80">
        <f t="shared" si="17"/>
        <v>1.2623162024002277</v>
      </c>
      <c r="X70" s="80">
        <f t="shared" si="75"/>
        <v>74.123784901247504</v>
      </c>
      <c r="Y70" s="80">
        <f t="shared" si="76"/>
        <v>45.784298658460401</v>
      </c>
      <c r="Z70" s="80">
        <f t="shared" si="77"/>
        <v>45.340250542002586</v>
      </c>
      <c r="AA70" s="80">
        <f t="shared" si="78"/>
        <v>32.319949026823252</v>
      </c>
      <c r="AB70" s="80">
        <f t="shared" si="79"/>
        <v>164.42797591477537</v>
      </c>
      <c r="AC70" s="80">
        <f t="shared" si="80"/>
        <v>44.167964048770273</v>
      </c>
      <c r="AD70" s="80"/>
      <c r="AE70" s="80"/>
      <c r="AF70" s="80"/>
      <c r="AG70" s="80"/>
      <c r="AH70" s="80"/>
      <c r="AI70" s="80"/>
      <c r="AJ70" s="45">
        <f t="shared" si="19"/>
        <v>0</v>
      </c>
      <c r="AK70" s="45">
        <f t="shared" si="20"/>
        <v>0</v>
      </c>
      <c r="AL70" s="45">
        <f t="shared" si="21"/>
        <v>0</v>
      </c>
      <c r="AM70" s="45">
        <f t="shared" si="22"/>
        <v>0</v>
      </c>
      <c r="AN70" s="45">
        <f t="shared" si="23"/>
        <v>0</v>
      </c>
      <c r="AO70" s="45">
        <f t="shared" si="24"/>
        <v>0</v>
      </c>
      <c r="AP70" s="80">
        <f t="shared" si="25"/>
        <v>0</v>
      </c>
      <c r="AQ70" s="80">
        <f t="shared" si="26"/>
        <v>0</v>
      </c>
      <c r="AR70" s="80">
        <f t="shared" si="27"/>
        <v>0</v>
      </c>
      <c r="AS70" s="80">
        <f t="shared" si="28"/>
        <v>0</v>
      </c>
      <c r="AT70" s="80">
        <f t="shared" si="29"/>
        <v>0</v>
      </c>
      <c r="AU70" s="80">
        <f t="shared" si="30"/>
        <v>0</v>
      </c>
      <c r="AV70" s="80">
        <f t="shared" si="81"/>
        <v>0.2738824880507566</v>
      </c>
      <c r="AW70" s="80">
        <f t="shared" si="82"/>
        <v>0.52391356704652325</v>
      </c>
      <c r="AX70" s="80">
        <f t="shared" si="83"/>
        <v>0.78192114947339608</v>
      </c>
      <c r="AY70" s="80">
        <f t="shared" si="84"/>
        <v>0.64079070289692375</v>
      </c>
      <c r="AZ70" s="80">
        <f t="shared" si="85"/>
        <v>2.9141519328969396</v>
      </c>
      <c r="BA70" s="80">
        <f t="shared" si="86"/>
        <v>0.34214616013568216</v>
      </c>
      <c r="BB70" s="80">
        <f t="shared" si="62"/>
        <v>74.397667389298263</v>
      </c>
      <c r="BC70" s="80">
        <f t="shared" si="63"/>
        <v>46.308212225506921</v>
      </c>
      <c r="BD70" s="80">
        <f t="shared" si="64"/>
        <v>46.122171691475984</v>
      </c>
      <c r="BE70" s="80">
        <f t="shared" si="65"/>
        <v>32.960739729720174</v>
      </c>
      <c r="BF70" s="80">
        <f t="shared" si="66"/>
        <v>167.34212784767232</v>
      </c>
      <c r="BG70" s="80">
        <f t="shared" si="67"/>
        <v>44.510110208905957</v>
      </c>
      <c r="BH70" s="49">
        <f t="shared" si="68"/>
        <v>0</v>
      </c>
      <c r="BI70" s="79">
        <f t="shared" si="69"/>
        <v>-29871.080501131852</v>
      </c>
      <c r="BJ70" s="79">
        <f t="shared" si="33"/>
        <v>28400</v>
      </c>
      <c r="BK70" s="44">
        <f t="shared" si="70"/>
        <v>-4.924764944730109E-2</v>
      </c>
      <c r="BL70" s="79">
        <f t="shared" si="87"/>
        <v>336.59082477792481</v>
      </c>
      <c r="BM70" s="49">
        <f t="shared" si="71"/>
        <v>28736.590824777926</v>
      </c>
      <c r="BN70" s="44">
        <f t="shared" si="72"/>
        <v>-3.7979532622227641E-2</v>
      </c>
      <c r="BO70" s="49">
        <f t="shared" si="34"/>
        <v>306.65618234766299</v>
      </c>
      <c r="BP70" s="49">
        <f t="shared" si="35"/>
        <v>28706.656182347662</v>
      </c>
      <c r="BQ70" s="44">
        <f t="shared" si="36"/>
        <v>-3.8981660497351855E-2</v>
      </c>
      <c r="BS70" s="49">
        <f t="shared" si="37"/>
        <v>29871.080501131852</v>
      </c>
      <c r="BT70" s="49">
        <f t="shared" si="38"/>
        <v>67.050003000000004</v>
      </c>
      <c r="BU70" s="49">
        <f t="shared" si="39"/>
        <v>48.224998499999998</v>
      </c>
      <c r="BV70" s="49">
        <f t="shared" si="40"/>
        <v>1483.2242885520282</v>
      </c>
      <c r="BW70" s="18">
        <f t="shared" si="41"/>
        <v>196</v>
      </c>
      <c r="BX70" s="19">
        <f t="shared" si="73"/>
        <v>0.95504587155963305</v>
      </c>
      <c r="BY70" s="49">
        <f t="shared" si="74"/>
        <v>1416.5472333785883</v>
      </c>
      <c r="BZ70" s="19">
        <f t="shared" si="42"/>
        <v>3.8203136453166775</v>
      </c>
      <c r="CA70" s="19">
        <f t="shared" si="43"/>
        <v>2.7502415985824689</v>
      </c>
      <c r="CB70" s="19">
        <f t="shared" si="44"/>
        <v>2.8244799917401204</v>
      </c>
      <c r="CC70" s="19">
        <f t="shared" si="45"/>
        <v>1.7224637879086186</v>
      </c>
      <c r="CD70" s="19">
        <f t="shared" si="46"/>
        <v>9.9835314703309059</v>
      </c>
      <c r="CE70" s="19">
        <f t="shared" si="47"/>
        <v>1.2623162024002277</v>
      </c>
      <c r="CF70" s="49">
        <f t="shared" si="48"/>
        <v>-512.30408275884838</v>
      </c>
      <c r="CG70" s="49">
        <f t="shared" si="49"/>
        <v>-170.59748360982894</v>
      </c>
      <c r="CH70" s="49">
        <f t="shared" si="50"/>
        <v>-141.53469521057741</v>
      </c>
      <c r="CI70" s="49">
        <f t="shared" si="51"/>
        <v>-105.94874414933156</v>
      </c>
      <c r="CJ70" s="49">
        <f t="shared" si="52"/>
        <v>-431.0888888888885</v>
      </c>
      <c r="CK70" s="49">
        <f t="shared" si="53"/>
        <v>-121.75039393455336</v>
      </c>
    </row>
    <row r="71" spans="2:89" ht="12.75" customHeight="1" x14ac:dyDescent="0.2">
      <c r="B71" s="77">
        <v>39497</v>
      </c>
      <c r="C71" s="49">
        <v>134.270004</v>
      </c>
      <c r="D71" s="49">
        <v>62.23</v>
      </c>
      <c r="E71" s="49">
        <v>50.310001</v>
      </c>
      <c r="F71" s="49">
        <v>62.200001</v>
      </c>
      <c r="G71" s="49">
        <v>43.919998</v>
      </c>
      <c r="H71" s="49">
        <v>98.300003000000004</v>
      </c>
      <c r="J71" s="78">
        <f>IF(inter=Weekly_2,J70+$C$5,IF(inter=Bi_weekly_2,0,IF(inter=Monthly_2,0,IF(inter=Quarterly_2,0,IF(inter=Yearly_2,0,IF(inter=None_2,0,0))))))</f>
        <v>0</v>
      </c>
      <c r="K71" s="79">
        <f t="shared" si="54"/>
        <v>0</v>
      </c>
      <c r="L71" s="79">
        <f t="shared" si="55"/>
        <v>0</v>
      </c>
      <c r="M71" s="79">
        <f t="shared" si="56"/>
        <v>0</v>
      </c>
      <c r="N71" s="79">
        <f t="shared" si="57"/>
        <v>0</v>
      </c>
      <c r="O71" s="79">
        <f t="shared" si="58"/>
        <v>0</v>
      </c>
      <c r="P71" s="79">
        <f t="shared" si="59"/>
        <v>0</v>
      </c>
      <c r="Q71" s="79"/>
      <c r="R71" s="80">
        <f t="shared" si="12"/>
        <v>0</v>
      </c>
      <c r="S71" s="80">
        <f t="shared" si="13"/>
        <v>0</v>
      </c>
      <c r="T71" s="80">
        <f t="shared" si="14"/>
        <v>0</v>
      </c>
      <c r="U71" s="80">
        <f t="shared" si="15"/>
        <v>0</v>
      </c>
      <c r="V71" s="80">
        <f t="shared" si="16"/>
        <v>0</v>
      </c>
      <c r="W71" s="80">
        <f t="shared" si="17"/>
        <v>0</v>
      </c>
      <c r="X71" s="80">
        <f t="shared" si="75"/>
        <v>74.123784901247504</v>
      </c>
      <c r="Y71" s="80">
        <f t="shared" si="76"/>
        <v>45.784298658460401</v>
      </c>
      <c r="Z71" s="80">
        <f t="shared" si="77"/>
        <v>45.340250542002586</v>
      </c>
      <c r="AA71" s="80">
        <f t="shared" si="78"/>
        <v>32.319949026823252</v>
      </c>
      <c r="AB71" s="80">
        <f t="shared" si="79"/>
        <v>164.42797591477537</v>
      </c>
      <c r="AC71" s="80">
        <f t="shared" si="80"/>
        <v>44.167964048770273</v>
      </c>
      <c r="AD71" s="80"/>
      <c r="AE71" s="80"/>
      <c r="AF71" s="80"/>
      <c r="AG71" s="80"/>
      <c r="AH71" s="80"/>
      <c r="AI71" s="80"/>
      <c r="AJ71" s="45">
        <f t="shared" si="19"/>
        <v>0</v>
      </c>
      <c r="AK71" s="45">
        <f t="shared" si="20"/>
        <v>0</v>
      </c>
      <c r="AL71" s="45">
        <f t="shared" si="21"/>
        <v>0</v>
      </c>
      <c r="AM71" s="45">
        <f t="shared" si="22"/>
        <v>0</v>
      </c>
      <c r="AN71" s="45">
        <f t="shared" si="23"/>
        <v>0</v>
      </c>
      <c r="AO71" s="45">
        <f t="shared" si="24"/>
        <v>0</v>
      </c>
      <c r="AP71" s="80">
        <f t="shared" si="25"/>
        <v>0</v>
      </c>
      <c r="AQ71" s="80">
        <f t="shared" si="26"/>
        <v>0</v>
      </c>
      <c r="AR71" s="80">
        <f t="shared" si="27"/>
        <v>0</v>
      </c>
      <c r="AS71" s="80">
        <f t="shared" si="28"/>
        <v>0</v>
      </c>
      <c r="AT71" s="80">
        <f t="shared" si="29"/>
        <v>0</v>
      </c>
      <c r="AU71" s="80">
        <f t="shared" si="30"/>
        <v>0</v>
      </c>
      <c r="AV71" s="80">
        <f t="shared" si="81"/>
        <v>0.2738824880507566</v>
      </c>
      <c r="AW71" s="80">
        <f t="shared" si="82"/>
        <v>0.52391356704652325</v>
      </c>
      <c r="AX71" s="80">
        <f t="shared" si="83"/>
        <v>0.78192114947339608</v>
      </c>
      <c r="AY71" s="80">
        <f t="shared" si="84"/>
        <v>0.64079070289692375</v>
      </c>
      <c r="AZ71" s="80">
        <f t="shared" si="85"/>
        <v>2.9141519328969396</v>
      </c>
      <c r="BA71" s="80">
        <f t="shared" si="86"/>
        <v>0.34214616013568216</v>
      </c>
      <c r="BB71" s="80">
        <f t="shared" si="62"/>
        <v>74.397667389298263</v>
      </c>
      <c r="BC71" s="80">
        <f t="shared" si="63"/>
        <v>46.308212225506921</v>
      </c>
      <c r="BD71" s="80">
        <f t="shared" si="64"/>
        <v>46.122171691475984</v>
      </c>
      <c r="BE71" s="80">
        <f t="shared" si="65"/>
        <v>32.960739729720174</v>
      </c>
      <c r="BF71" s="80">
        <f t="shared" si="66"/>
        <v>167.34212784767232</v>
      </c>
      <c r="BG71" s="80">
        <f t="shared" si="67"/>
        <v>44.510110208905957</v>
      </c>
      <c r="BH71" s="49">
        <f t="shared" si="68"/>
        <v>0</v>
      </c>
      <c r="BI71" s="79">
        <f t="shared" si="69"/>
        <v>-29871.080501131852</v>
      </c>
      <c r="BJ71" s="79">
        <f t="shared" si="33"/>
        <v>28656.514084417384</v>
      </c>
      <c r="BK71" s="44">
        <f t="shared" si="70"/>
        <v>-4.0660277309635506E-2</v>
      </c>
      <c r="BL71" s="79">
        <f t="shared" si="87"/>
        <v>336.59082477792481</v>
      </c>
      <c r="BM71" s="49">
        <f t="shared" si="71"/>
        <v>28993.10490919531</v>
      </c>
      <c r="BN71" s="44">
        <f t="shared" si="72"/>
        <v>-2.9392160484562169E-2</v>
      </c>
      <c r="BO71" s="49">
        <f t="shared" si="34"/>
        <v>310.19549584862301</v>
      </c>
      <c r="BP71" s="49">
        <f t="shared" si="35"/>
        <v>28966.709580266004</v>
      </c>
      <c r="BQ71" s="44">
        <f t="shared" si="36"/>
        <v>-3.0275802069884228E-2</v>
      </c>
      <c r="BS71" s="49">
        <f t="shared" si="37"/>
        <v>29871.080501131852</v>
      </c>
      <c r="BT71" s="49">
        <f t="shared" si="38"/>
        <v>67.135002</v>
      </c>
      <c r="BU71" s="49">
        <f t="shared" si="39"/>
        <v>49.150001500000002</v>
      </c>
      <c r="BV71" s="49">
        <f t="shared" si="40"/>
        <v>0</v>
      </c>
      <c r="BW71" s="18">
        <f t="shared" si="41"/>
        <v>204</v>
      </c>
      <c r="BX71" s="19">
        <f t="shared" si="73"/>
        <v>0.9532110091743119</v>
      </c>
      <c r="BY71" s="49">
        <f t="shared" si="74"/>
        <v>0</v>
      </c>
      <c r="BZ71" s="19">
        <f t="shared" si="42"/>
        <v>0</v>
      </c>
      <c r="CA71" s="19">
        <f t="shared" si="43"/>
        <v>0</v>
      </c>
      <c r="CB71" s="19">
        <f t="shared" si="44"/>
        <v>0</v>
      </c>
      <c r="CC71" s="19">
        <f t="shared" si="45"/>
        <v>0</v>
      </c>
      <c r="CD71" s="19">
        <f t="shared" si="46"/>
        <v>0</v>
      </c>
      <c r="CE71" s="19">
        <f t="shared" si="47"/>
        <v>0</v>
      </c>
      <c r="CF71" s="49">
        <f t="shared" si="48"/>
        <v>0</v>
      </c>
      <c r="CG71" s="49">
        <f t="shared" si="49"/>
        <v>0</v>
      </c>
      <c r="CH71" s="49">
        <f t="shared" si="50"/>
        <v>0</v>
      </c>
      <c r="CI71" s="49">
        <f t="shared" si="51"/>
        <v>0</v>
      </c>
      <c r="CJ71" s="49">
        <f t="shared" si="52"/>
        <v>0</v>
      </c>
      <c r="CK71" s="49">
        <f t="shared" si="53"/>
        <v>0</v>
      </c>
    </row>
    <row r="72" spans="2:89" ht="12.75" customHeight="1" x14ac:dyDescent="0.2">
      <c r="B72" s="77">
        <v>39503</v>
      </c>
      <c r="C72" s="49">
        <v>132.800003</v>
      </c>
      <c r="D72" s="49">
        <v>60.779998999999997</v>
      </c>
      <c r="E72" s="49">
        <v>49.23</v>
      </c>
      <c r="F72" s="49">
        <v>60.5</v>
      </c>
      <c r="G72" s="49">
        <v>43.93</v>
      </c>
      <c r="H72" s="49">
        <v>97.620002999999997</v>
      </c>
      <c r="J72" s="78">
        <f>IF(inter=Weekly_2,J71+$C$5,IF(inter=Bi_weekly_2,J70+$C$5,IF(inter=Monthly_2,0,IF(inter=Quarterly_2,0,IF(inter=Yearly_2,0,IF(inter=None_2,0,0))))))</f>
        <v>29000</v>
      </c>
      <c r="K72" s="79">
        <f t="shared" si="54"/>
        <v>-306.36114274297688</v>
      </c>
      <c r="L72" s="79">
        <f t="shared" si="55"/>
        <v>-117.23037332307558</v>
      </c>
      <c r="M72" s="79">
        <f t="shared" si="56"/>
        <v>-87.899465817212786</v>
      </c>
      <c r="N72" s="79">
        <f t="shared" si="57"/>
        <v>-74.643083877193476</v>
      </c>
      <c r="O72" s="79">
        <f t="shared" si="58"/>
        <v>-26.679018063918193</v>
      </c>
      <c r="P72" s="79">
        <f t="shared" si="59"/>
        <v>-38.323217055153691</v>
      </c>
      <c r="Q72" s="79"/>
      <c r="R72" s="80">
        <f t="shared" si="12"/>
        <v>2.3069362637211452</v>
      </c>
      <c r="S72" s="80">
        <f t="shared" si="13"/>
        <v>1.9287656342849824</v>
      </c>
      <c r="T72" s="80">
        <f t="shared" si="14"/>
        <v>1.7854857976277227</v>
      </c>
      <c r="U72" s="80">
        <f t="shared" si="15"/>
        <v>1.2337699814412144</v>
      </c>
      <c r="V72" s="80">
        <f t="shared" si="16"/>
        <v>0.60730749064234446</v>
      </c>
      <c r="W72" s="80">
        <f t="shared" si="17"/>
        <v>0.39257545459360099</v>
      </c>
      <c r="X72" s="80">
        <f t="shared" si="75"/>
        <v>76.430721164968645</v>
      </c>
      <c r="Y72" s="80">
        <f t="shared" si="76"/>
        <v>47.713064292745386</v>
      </c>
      <c r="Z72" s="80">
        <f t="shared" si="77"/>
        <v>47.125736339630308</v>
      </c>
      <c r="AA72" s="80">
        <f t="shared" si="78"/>
        <v>33.553719008264466</v>
      </c>
      <c r="AB72" s="80">
        <f t="shared" si="79"/>
        <v>165.03528340541772</v>
      </c>
      <c r="AC72" s="80">
        <f t="shared" si="80"/>
        <v>44.560539503363877</v>
      </c>
      <c r="AD72" s="80"/>
      <c r="AE72" s="80"/>
      <c r="AF72" s="80"/>
      <c r="AG72" s="80"/>
      <c r="AH72" s="80"/>
      <c r="AI72" s="80"/>
      <c r="AJ72" s="45">
        <f t="shared" si="19"/>
        <v>0</v>
      </c>
      <c r="AK72" s="45">
        <f t="shared" si="20"/>
        <v>0</v>
      </c>
      <c r="AL72" s="45">
        <f t="shared" si="21"/>
        <v>0</v>
      </c>
      <c r="AM72" s="45">
        <f t="shared" si="22"/>
        <v>0</v>
      </c>
      <c r="AN72" s="45">
        <f t="shared" si="23"/>
        <v>0</v>
      </c>
      <c r="AO72" s="45">
        <f t="shared" si="24"/>
        <v>0</v>
      </c>
      <c r="AP72" s="80">
        <f t="shared" si="25"/>
        <v>0</v>
      </c>
      <c r="AQ72" s="80">
        <f t="shared" si="26"/>
        <v>0</v>
      </c>
      <c r="AR72" s="80">
        <f t="shared" si="27"/>
        <v>0</v>
      </c>
      <c r="AS72" s="80">
        <f t="shared" si="28"/>
        <v>0</v>
      </c>
      <c r="AT72" s="80">
        <f t="shared" si="29"/>
        <v>0</v>
      </c>
      <c r="AU72" s="80">
        <f t="shared" si="30"/>
        <v>0</v>
      </c>
      <c r="AV72" s="80">
        <f t="shared" si="81"/>
        <v>0.2738824880507566</v>
      </c>
      <c r="AW72" s="80">
        <f t="shared" si="82"/>
        <v>0.52391356704652325</v>
      </c>
      <c r="AX72" s="80">
        <f t="shared" si="83"/>
        <v>0.78192114947339608</v>
      </c>
      <c r="AY72" s="80">
        <f t="shared" si="84"/>
        <v>0.64079070289692375</v>
      </c>
      <c r="AZ72" s="80">
        <f t="shared" si="85"/>
        <v>2.9141519328969396</v>
      </c>
      <c r="BA72" s="80">
        <f t="shared" si="86"/>
        <v>0.34214616013568216</v>
      </c>
      <c r="BB72" s="80">
        <f t="shared" si="62"/>
        <v>76.704603653019404</v>
      </c>
      <c r="BC72" s="80">
        <f t="shared" si="63"/>
        <v>48.236977859791907</v>
      </c>
      <c r="BD72" s="80">
        <f t="shared" si="64"/>
        <v>47.907657489103705</v>
      </c>
      <c r="BE72" s="80">
        <f t="shared" si="65"/>
        <v>34.194509711161388</v>
      </c>
      <c r="BF72" s="80">
        <f t="shared" si="66"/>
        <v>167.94943533831466</v>
      </c>
      <c r="BG72" s="80">
        <f t="shared" si="67"/>
        <v>44.902685663499561</v>
      </c>
      <c r="BH72" s="49">
        <f t="shared" si="68"/>
        <v>0</v>
      </c>
      <c r="BI72" s="79">
        <f t="shared" si="69"/>
        <v>-30522.216802011382</v>
      </c>
      <c r="BJ72" s="79">
        <f t="shared" si="33"/>
        <v>29000</v>
      </c>
      <c r="BK72" s="44">
        <f t="shared" si="70"/>
        <v>-4.9872419552143055E-2</v>
      </c>
      <c r="BL72" s="79">
        <f t="shared" si="87"/>
        <v>336.59082477792481</v>
      </c>
      <c r="BM72" s="49">
        <f t="shared" si="71"/>
        <v>29336.590824777926</v>
      </c>
      <c r="BN72" s="44">
        <f t="shared" si="72"/>
        <v>-3.8844687622929253E-2</v>
      </c>
      <c r="BO72" s="49">
        <f t="shared" si="34"/>
        <v>306.89588062084755</v>
      </c>
      <c r="BP72" s="49">
        <f t="shared" si="35"/>
        <v>29306.89588062085</v>
      </c>
      <c r="BQ72" s="44">
        <f t="shared" si="36"/>
        <v>-3.9817583672705048E-2</v>
      </c>
      <c r="BS72" s="49">
        <f t="shared" si="37"/>
        <v>30522.216802011382</v>
      </c>
      <c r="BT72" s="49">
        <f t="shared" si="38"/>
        <v>66.400001500000002</v>
      </c>
      <c r="BU72" s="49">
        <f t="shared" si="39"/>
        <v>48.810001499999998</v>
      </c>
      <c r="BV72" s="49">
        <f t="shared" si="40"/>
        <v>651.13630087953061</v>
      </c>
      <c r="BW72" s="18">
        <f t="shared" si="41"/>
        <v>210</v>
      </c>
      <c r="BX72" s="19">
        <f t="shared" si="73"/>
        <v>0.95183486238532111</v>
      </c>
      <c r="BY72" s="49">
        <f t="shared" si="74"/>
        <v>619.77423134175501</v>
      </c>
      <c r="BZ72" s="19">
        <f t="shared" si="42"/>
        <v>2.3069362637211452</v>
      </c>
      <c r="CA72" s="19">
        <f t="shared" si="43"/>
        <v>1.9287656342849824</v>
      </c>
      <c r="CB72" s="19">
        <f t="shared" si="44"/>
        <v>1.7854857976277227</v>
      </c>
      <c r="CC72" s="19">
        <f t="shared" si="45"/>
        <v>1.2337699814412144</v>
      </c>
      <c r="CD72" s="19">
        <f t="shared" si="46"/>
        <v>0.60730749064234446</v>
      </c>
      <c r="CE72" s="19">
        <f t="shared" si="47"/>
        <v>0.39257545459360099</v>
      </c>
      <c r="CF72" s="49">
        <f t="shared" si="48"/>
        <v>-306.36114274297688</v>
      </c>
      <c r="CG72" s="49">
        <f t="shared" si="49"/>
        <v>-117.23037332307558</v>
      </c>
      <c r="CH72" s="49">
        <f t="shared" si="50"/>
        <v>-87.899465817212786</v>
      </c>
      <c r="CI72" s="49">
        <f t="shared" si="51"/>
        <v>-74.643083877193476</v>
      </c>
      <c r="CJ72" s="49">
        <f t="shared" si="52"/>
        <v>-26.679018063918193</v>
      </c>
      <c r="CK72" s="49">
        <f t="shared" si="53"/>
        <v>-38.323217055153691</v>
      </c>
    </row>
    <row r="73" spans="2:89" ht="12.75" customHeight="1" x14ac:dyDescent="0.2">
      <c r="B73" s="77">
        <v>39510</v>
      </c>
      <c r="C73" s="49">
        <v>128.5</v>
      </c>
      <c r="D73" s="49">
        <v>58.700001</v>
      </c>
      <c r="E73" s="49">
        <v>47.77</v>
      </c>
      <c r="F73" s="49">
        <v>58.360000999999997</v>
      </c>
      <c r="G73" s="49">
        <v>42.779998999999997</v>
      </c>
      <c r="H73" s="49">
        <v>94.199996999999996</v>
      </c>
      <c r="J73" s="78">
        <f>IF(inter=Weekly_2,J72+$C$5,IF(inter=Bi_weekly_2,0,IF(inter=Monthly_2,0,IF(inter=Quarterly_2,0,IF(inter=Yearly_2,0,IF(inter=None_2,0,0))))))</f>
        <v>0</v>
      </c>
      <c r="K73" s="79">
        <f t="shared" si="54"/>
        <v>0</v>
      </c>
      <c r="L73" s="79">
        <f t="shared" si="55"/>
        <v>0</v>
      </c>
      <c r="M73" s="79">
        <f t="shared" si="56"/>
        <v>0</v>
      </c>
      <c r="N73" s="79">
        <f t="shared" si="57"/>
        <v>0</v>
      </c>
      <c r="O73" s="79">
        <f t="shared" si="58"/>
        <v>0</v>
      </c>
      <c r="P73" s="79">
        <f t="shared" si="59"/>
        <v>0</v>
      </c>
      <c r="Q73" s="79"/>
      <c r="R73" s="80">
        <f t="shared" si="12"/>
        <v>0</v>
      </c>
      <c r="S73" s="80">
        <f t="shared" si="13"/>
        <v>0</v>
      </c>
      <c r="T73" s="80">
        <f t="shared" si="14"/>
        <v>0</v>
      </c>
      <c r="U73" s="80">
        <f t="shared" si="15"/>
        <v>0</v>
      </c>
      <c r="V73" s="80">
        <f t="shared" si="16"/>
        <v>0</v>
      </c>
      <c r="W73" s="80">
        <f t="shared" si="17"/>
        <v>0</v>
      </c>
      <c r="X73" s="80">
        <f t="shared" si="75"/>
        <v>76.430721164968645</v>
      </c>
      <c r="Y73" s="80">
        <f t="shared" si="76"/>
        <v>47.713064292745386</v>
      </c>
      <c r="Z73" s="80">
        <f t="shared" si="77"/>
        <v>47.125736339630308</v>
      </c>
      <c r="AA73" s="80">
        <f t="shared" si="78"/>
        <v>33.553719008264466</v>
      </c>
      <c r="AB73" s="80">
        <f t="shared" si="79"/>
        <v>165.03528340541772</v>
      </c>
      <c r="AC73" s="80">
        <f t="shared" si="80"/>
        <v>44.560539503363877</v>
      </c>
      <c r="AD73" s="80"/>
      <c r="AE73" s="80"/>
      <c r="AF73" s="80"/>
      <c r="AG73" s="80"/>
      <c r="AH73" s="80"/>
      <c r="AI73" s="80"/>
      <c r="AJ73" s="45">
        <f t="shared" si="19"/>
        <v>0</v>
      </c>
      <c r="AK73" s="45">
        <f t="shared" si="20"/>
        <v>0</v>
      </c>
      <c r="AL73" s="45">
        <f t="shared" si="21"/>
        <v>0</v>
      </c>
      <c r="AM73" s="45">
        <f t="shared" si="22"/>
        <v>0</v>
      </c>
      <c r="AN73" s="45">
        <f t="shared" si="23"/>
        <v>0</v>
      </c>
      <c r="AO73" s="45">
        <f t="shared" si="24"/>
        <v>0</v>
      </c>
      <c r="AP73" s="80">
        <f t="shared" si="25"/>
        <v>0</v>
      </c>
      <c r="AQ73" s="80">
        <f t="shared" si="26"/>
        <v>0</v>
      </c>
      <c r="AR73" s="80">
        <f t="shared" si="27"/>
        <v>0</v>
      </c>
      <c r="AS73" s="80">
        <f t="shared" si="28"/>
        <v>0</v>
      </c>
      <c r="AT73" s="80">
        <f t="shared" si="29"/>
        <v>0</v>
      </c>
      <c r="AU73" s="80">
        <f t="shared" si="30"/>
        <v>0</v>
      </c>
      <c r="AV73" s="80">
        <f t="shared" si="81"/>
        <v>0.2738824880507566</v>
      </c>
      <c r="AW73" s="80">
        <f t="shared" si="82"/>
        <v>0.52391356704652325</v>
      </c>
      <c r="AX73" s="80">
        <f t="shared" si="83"/>
        <v>0.78192114947339608</v>
      </c>
      <c r="AY73" s="80">
        <f t="shared" si="84"/>
        <v>0.64079070289692375</v>
      </c>
      <c r="AZ73" s="80">
        <f t="shared" si="85"/>
        <v>2.9141519328969396</v>
      </c>
      <c r="BA73" s="80">
        <f t="shared" si="86"/>
        <v>0.34214616013568216</v>
      </c>
      <c r="BB73" s="80">
        <f t="shared" si="62"/>
        <v>76.704603653019404</v>
      </c>
      <c r="BC73" s="80">
        <f t="shared" si="63"/>
        <v>48.236977859791907</v>
      </c>
      <c r="BD73" s="80">
        <f t="shared" si="64"/>
        <v>47.907657489103705</v>
      </c>
      <c r="BE73" s="80">
        <f t="shared" si="65"/>
        <v>34.194509711161388</v>
      </c>
      <c r="BF73" s="80">
        <f t="shared" si="66"/>
        <v>167.94943533831466</v>
      </c>
      <c r="BG73" s="80">
        <f t="shared" si="67"/>
        <v>44.902685663499561</v>
      </c>
      <c r="BH73" s="49">
        <f t="shared" si="68"/>
        <v>0</v>
      </c>
      <c r="BI73" s="79">
        <f t="shared" si="69"/>
        <v>-30522.216802011382</v>
      </c>
      <c r="BJ73" s="79">
        <f t="shared" si="33"/>
        <v>28089.308037799605</v>
      </c>
      <c r="BK73" s="44">
        <f t="shared" si="70"/>
        <v>-7.9709438537618027E-2</v>
      </c>
      <c r="BL73" s="79">
        <f t="shared" si="87"/>
        <v>336.59082477792481</v>
      </c>
      <c r="BM73" s="49">
        <f t="shared" si="71"/>
        <v>28425.898862577531</v>
      </c>
      <c r="BN73" s="44">
        <f t="shared" si="72"/>
        <v>-6.8681706608404225E-2</v>
      </c>
      <c r="BO73" s="49">
        <f t="shared" si="34"/>
        <v>297.59413002978789</v>
      </c>
      <c r="BP73" s="49">
        <f t="shared" si="35"/>
        <v>28386.902167829394</v>
      </c>
      <c r="BQ73" s="44">
        <f t="shared" si="36"/>
        <v>-6.9959356098973524E-2</v>
      </c>
      <c r="BS73" s="49">
        <f t="shared" si="37"/>
        <v>30522.216802011382</v>
      </c>
      <c r="BT73" s="49">
        <f t="shared" si="38"/>
        <v>64.25</v>
      </c>
      <c r="BU73" s="49">
        <f t="shared" si="39"/>
        <v>47.099998499999998</v>
      </c>
      <c r="BV73" s="49">
        <f t="shared" si="40"/>
        <v>0</v>
      </c>
      <c r="BW73" s="18">
        <f t="shared" si="41"/>
        <v>217</v>
      </c>
      <c r="BX73" s="19">
        <f t="shared" si="73"/>
        <v>0.95022935779816509</v>
      </c>
      <c r="BY73" s="49">
        <f t="shared" si="74"/>
        <v>0</v>
      </c>
      <c r="BZ73" s="19">
        <f t="shared" si="42"/>
        <v>0</v>
      </c>
      <c r="CA73" s="19">
        <f t="shared" si="43"/>
        <v>0</v>
      </c>
      <c r="CB73" s="19">
        <f t="shared" si="44"/>
        <v>0</v>
      </c>
      <c r="CC73" s="19">
        <f t="shared" si="45"/>
        <v>0</v>
      </c>
      <c r="CD73" s="19">
        <f t="shared" si="46"/>
        <v>0</v>
      </c>
      <c r="CE73" s="19">
        <f t="shared" si="47"/>
        <v>0</v>
      </c>
      <c r="CF73" s="49">
        <f t="shared" si="48"/>
        <v>0</v>
      </c>
      <c r="CG73" s="49">
        <f t="shared" si="49"/>
        <v>0</v>
      </c>
      <c r="CH73" s="49">
        <f t="shared" si="50"/>
        <v>0</v>
      </c>
      <c r="CI73" s="49">
        <f t="shared" si="51"/>
        <v>0</v>
      </c>
      <c r="CJ73" s="49">
        <f t="shared" si="52"/>
        <v>0</v>
      </c>
      <c r="CK73" s="49">
        <f t="shared" si="53"/>
        <v>0</v>
      </c>
    </row>
    <row r="74" spans="2:89" ht="12.75" customHeight="1" x14ac:dyDescent="0.2">
      <c r="B74" s="77">
        <v>39517</v>
      </c>
      <c r="C74" s="49">
        <v>128.21000699999999</v>
      </c>
      <c r="D74" s="49">
        <v>58.689999</v>
      </c>
      <c r="E74" s="49">
        <v>47.75</v>
      </c>
      <c r="F74" s="49">
        <v>58.639999000000003</v>
      </c>
      <c r="G74" s="49">
        <v>42.830002</v>
      </c>
      <c r="H74" s="49">
        <v>91.779999000000004</v>
      </c>
      <c r="J74" s="78">
        <f>IF(inter=Weekly_2,J73+$C$5,IF(inter=Bi_weekly_2,J72+$C$5,IF(inter=Monthly_2,J70+$C$5,IF(inter=Quarterly_2,0,IF(inter=Yearly_2,0,IF(inter=None_2,0,0))))))</f>
        <v>29600</v>
      </c>
      <c r="K74" s="79">
        <f t="shared" si="54"/>
        <v>-560.81670442432187</v>
      </c>
      <c r="L74" s="79">
        <f t="shared" si="55"/>
        <v>-159.72030437183776</v>
      </c>
      <c r="M74" s="79">
        <f t="shared" si="56"/>
        <v>-117.74608978265269</v>
      </c>
      <c r="N74" s="79">
        <f t="shared" si="57"/>
        <v>-104.40995090909064</v>
      </c>
      <c r="O74" s="79">
        <f t="shared" si="58"/>
        <v>-331.53848167539218</v>
      </c>
      <c r="P74" s="79">
        <f t="shared" si="59"/>
        <v>-350.23372894180284</v>
      </c>
      <c r="Q74" s="79"/>
      <c r="R74" s="80">
        <f t="shared" si="12"/>
        <v>4.3742038359324162</v>
      </c>
      <c r="S74" s="80">
        <f t="shared" si="13"/>
        <v>2.7214228504559652</v>
      </c>
      <c r="T74" s="80">
        <f t="shared" si="14"/>
        <v>2.4658866970189046</v>
      </c>
      <c r="U74" s="80">
        <f t="shared" si="15"/>
        <v>1.7805244319511437</v>
      </c>
      <c r="V74" s="80">
        <f t="shared" si="16"/>
        <v>7.7408000512209219</v>
      </c>
      <c r="W74" s="80">
        <f t="shared" si="17"/>
        <v>3.8160136495730712</v>
      </c>
      <c r="X74" s="80">
        <f t="shared" si="75"/>
        <v>80.804925000901065</v>
      </c>
      <c r="Y74" s="80">
        <f t="shared" si="76"/>
        <v>50.434487143201352</v>
      </c>
      <c r="Z74" s="80">
        <f t="shared" si="77"/>
        <v>49.59162303664921</v>
      </c>
      <c r="AA74" s="80">
        <f t="shared" si="78"/>
        <v>35.334243440215609</v>
      </c>
      <c r="AB74" s="80">
        <f t="shared" si="79"/>
        <v>172.77608345663864</v>
      </c>
      <c r="AC74" s="80">
        <f t="shared" si="80"/>
        <v>48.37655315293695</v>
      </c>
      <c r="AD74" s="80"/>
      <c r="AE74" s="80"/>
      <c r="AF74" s="80"/>
      <c r="AG74" s="80"/>
      <c r="AH74" s="80"/>
      <c r="AI74" s="80"/>
      <c r="AJ74" s="45">
        <f t="shared" si="19"/>
        <v>0</v>
      </c>
      <c r="AK74" s="45">
        <f t="shared" si="20"/>
        <v>0</v>
      </c>
      <c r="AL74" s="45">
        <f t="shared" si="21"/>
        <v>0</v>
      </c>
      <c r="AM74" s="45">
        <f t="shared" si="22"/>
        <v>0</v>
      </c>
      <c r="AN74" s="45">
        <f t="shared" si="23"/>
        <v>0</v>
      </c>
      <c r="AO74" s="45">
        <f t="shared" si="24"/>
        <v>0</v>
      </c>
      <c r="AP74" s="80">
        <f t="shared" si="25"/>
        <v>0</v>
      </c>
      <c r="AQ74" s="80">
        <f t="shared" si="26"/>
        <v>0</v>
      </c>
      <c r="AR74" s="80">
        <f t="shared" si="27"/>
        <v>0</v>
      </c>
      <c r="AS74" s="80">
        <f t="shared" si="28"/>
        <v>0</v>
      </c>
      <c r="AT74" s="80">
        <f t="shared" si="29"/>
        <v>0</v>
      </c>
      <c r="AU74" s="80">
        <f t="shared" si="30"/>
        <v>0</v>
      </c>
      <c r="AV74" s="80">
        <f t="shared" si="81"/>
        <v>0.2738824880507566</v>
      </c>
      <c r="AW74" s="80">
        <f t="shared" si="82"/>
        <v>0.52391356704652325</v>
      </c>
      <c r="AX74" s="80">
        <f t="shared" si="83"/>
        <v>0.78192114947339608</v>
      </c>
      <c r="AY74" s="80">
        <f t="shared" si="84"/>
        <v>0.64079070289692375</v>
      </c>
      <c r="AZ74" s="80">
        <f t="shared" si="85"/>
        <v>2.9141519328969396</v>
      </c>
      <c r="BA74" s="80">
        <f t="shared" si="86"/>
        <v>0.34214616013568216</v>
      </c>
      <c r="BB74" s="80">
        <f t="shared" si="62"/>
        <v>81.078807488951824</v>
      </c>
      <c r="BC74" s="80">
        <f t="shared" si="63"/>
        <v>50.958400710247872</v>
      </c>
      <c r="BD74" s="80">
        <f t="shared" si="64"/>
        <v>50.373544186122608</v>
      </c>
      <c r="BE74" s="80">
        <f t="shared" si="65"/>
        <v>35.975034143112531</v>
      </c>
      <c r="BF74" s="80">
        <f t="shared" si="66"/>
        <v>175.69023538953559</v>
      </c>
      <c r="BG74" s="80">
        <f t="shared" si="67"/>
        <v>48.718699313072634</v>
      </c>
      <c r="BH74" s="49">
        <f t="shared" si="68"/>
        <v>0</v>
      </c>
      <c r="BI74" s="79">
        <f t="shared" si="69"/>
        <v>-32146.682062116484</v>
      </c>
      <c r="BJ74" s="79">
        <f t="shared" si="33"/>
        <v>29600</v>
      </c>
      <c r="BK74" s="44">
        <f t="shared" si="70"/>
        <v>-7.9220681537073512E-2</v>
      </c>
      <c r="BL74" s="79">
        <f t="shared" si="87"/>
        <v>336.59082477792481</v>
      </c>
      <c r="BM74" s="49">
        <f t="shared" si="71"/>
        <v>29936.590824777926</v>
      </c>
      <c r="BN74" s="44">
        <f t="shared" si="72"/>
        <v>-6.8750212947887968E-2</v>
      </c>
      <c r="BO74" s="49">
        <f t="shared" si="34"/>
        <v>296.99097085003797</v>
      </c>
      <c r="BP74" s="49">
        <f t="shared" si="35"/>
        <v>29896.990970850038</v>
      </c>
      <c r="BQ74" s="44">
        <f t="shared" si="36"/>
        <v>-6.998206181650124E-2</v>
      </c>
      <c r="BS74" s="49">
        <f t="shared" si="37"/>
        <v>32146.682062116484</v>
      </c>
      <c r="BT74" s="49">
        <f t="shared" si="38"/>
        <v>64.105003499999995</v>
      </c>
      <c r="BU74" s="49">
        <f t="shared" si="39"/>
        <v>45.889999500000002</v>
      </c>
      <c r="BV74" s="49">
        <f t="shared" si="40"/>
        <v>1624.465260105098</v>
      </c>
      <c r="BW74" s="18">
        <f t="shared" si="41"/>
        <v>224</v>
      </c>
      <c r="BX74" s="19">
        <f t="shared" si="73"/>
        <v>0.94862385321100917</v>
      </c>
      <c r="BY74" s="49">
        <f t="shared" si="74"/>
        <v>1541.0064944483222</v>
      </c>
      <c r="BZ74" s="19">
        <f t="shared" si="42"/>
        <v>4.3742038359324162</v>
      </c>
      <c r="CA74" s="19">
        <f t="shared" si="43"/>
        <v>2.7214228504559652</v>
      </c>
      <c r="CB74" s="19">
        <f t="shared" si="44"/>
        <v>2.4658866970189046</v>
      </c>
      <c r="CC74" s="19">
        <f t="shared" si="45"/>
        <v>1.7805244319511437</v>
      </c>
      <c r="CD74" s="19">
        <f t="shared" si="46"/>
        <v>7.7408000512209219</v>
      </c>
      <c r="CE74" s="19">
        <f t="shared" si="47"/>
        <v>3.8160136495730712</v>
      </c>
      <c r="CF74" s="49">
        <f t="shared" si="48"/>
        <v>-560.81670442432187</v>
      </c>
      <c r="CG74" s="49">
        <f t="shared" si="49"/>
        <v>-159.72030437183776</v>
      </c>
      <c r="CH74" s="49">
        <f t="shared" si="50"/>
        <v>-117.74608978265269</v>
      </c>
      <c r="CI74" s="49">
        <f t="shared" si="51"/>
        <v>-104.40995090909064</v>
      </c>
      <c r="CJ74" s="49">
        <f t="shared" si="52"/>
        <v>-331.53848167539218</v>
      </c>
      <c r="CK74" s="49">
        <f t="shared" si="53"/>
        <v>-350.23372894180284</v>
      </c>
    </row>
    <row r="75" spans="2:89" ht="12.75" customHeight="1" x14ac:dyDescent="0.2">
      <c r="B75" s="77">
        <v>39524</v>
      </c>
      <c r="C75" s="49">
        <v>131.16000399999999</v>
      </c>
      <c r="D75" s="49">
        <v>61.150002000000001</v>
      </c>
      <c r="E75" s="49">
        <v>48.919998</v>
      </c>
      <c r="F75" s="49">
        <v>60.18</v>
      </c>
      <c r="G75" s="49">
        <v>42.279998999999997</v>
      </c>
      <c r="H75" s="49">
        <v>89.959998999999996</v>
      </c>
      <c r="J75" s="78">
        <f>IF(inter=Weekly_2,J74+$C$5,IF(inter=Bi_weekly_2,0,IF(inter=Monthly_2,0,IF(inter=Quarterly_2,0,IF(inter=Yearly_2,0,IF(inter=None_2,0,0))))))</f>
        <v>0</v>
      </c>
      <c r="K75" s="79">
        <f t="shared" si="54"/>
        <v>0</v>
      </c>
      <c r="L75" s="79">
        <f t="shared" si="55"/>
        <v>0</v>
      </c>
      <c r="M75" s="79">
        <f t="shared" si="56"/>
        <v>0</v>
      </c>
      <c r="N75" s="79">
        <f t="shared" si="57"/>
        <v>0</v>
      </c>
      <c r="O75" s="79">
        <f t="shared" si="58"/>
        <v>0</v>
      </c>
      <c r="P75" s="79">
        <f t="shared" si="59"/>
        <v>0</v>
      </c>
      <c r="Q75" s="79"/>
      <c r="R75" s="80">
        <f t="shared" si="12"/>
        <v>0</v>
      </c>
      <c r="S75" s="80">
        <f t="shared" si="13"/>
        <v>0</v>
      </c>
      <c r="T75" s="80">
        <f t="shared" si="14"/>
        <v>0</v>
      </c>
      <c r="U75" s="80">
        <f t="shared" si="15"/>
        <v>0</v>
      </c>
      <c r="V75" s="80">
        <f t="shared" si="16"/>
        <v>0</v>
      </c>
      <c r="W75" s="80">
        <f t="shared" si="17"/>
        <v>0</v>
      </c>
      <c r="X75" s="80">
        <f t="shared" si="75"/>
        <v>80.804925000901065</v>
      </c>
      <c r="Y75" s="80">
        <f t="shared" si="76"/>
        <v>50.434487143201352</v>
      </c>
      <c r="Z75" s="80">
        <f t="shared" si="77"/>
        <v>49.59162303664921</v>
      </c>
      <c r="AA75" s="80">
        <f t="shared" si="78"/>
        <v>35.334243440215609</v>
      </c>
      <c r="AB75" s="80">
        <f t="shared" si="79"/>
        <v>172.77608345663864</v>
      </c>
      <c r="AC75" s="80">
        <f t="shared" si="80"/>
        <v>48.37655315293695</v>
      </c>
      <c r="AD75" s="80"/>
      <c r="AE75" s="80"/>
      <c r="AF75" s="80"/>
      <c r="AG75" s="80"/>
      <c r="AH75" s="80"/>
      <c r="AI75" s="80"/>
      <c r="AJ75" s="45">
        <f t="shared" si="19"/>
        <v>0</v>
      </c>
      <c r="AK75" s="45">
        <f t="shared" si="20"/>
        <v>0</v>
      </c>
      <c r="AL75" s="45">
        <f t="shared" si="21"/>
        <v>0</v>
      </c>
      <c r="AM75" s="45">
        <f t="shared" si="22"/>
        <v>0</v>
      </c>
      <c r="AN75" s="45">
        <f t="shared" si="23"/>
        <v>0</v>
      </c>
      <c r="AO75" s="45">
        <f t="shared" si="24"/>
        <v>0</v>
      </c>
      <c r="AP75" s="80">
        <f t="shared" si="25"/>
        <v>0</v>
      </c>
      <c r="AQ75" s="80">
        <f t="shared" si="26"/>
        <v>0</v>
      </c>
      <c r="AR75" s="80">
        <f t="shared" si="27"/>
        <v>0</v>
      </c>
      <c r="AS75" s="80">
        <f t="shared" si="28"/>
        <v>0</v>
      </c>
      <c r="AT75" s="80">
        <f t="shared" si="29"/>
        <v>0</v>
      </c>
      <c r="AU75" s="80">
        <f t="shared" si="30"/>
        <v>0</v>
      </c>
      <c r="AV75" s="80">
        <f t="shared" si="81"/>
        <v>0.2738824880507566</v>
      </c>
      <c r="AW75" s="80">
        <f t="shared" si="82"/>
        <v>0.52391356704652325</v>
      </c>
      <c r="AX75" s="80">
        <f t="shared" si="83"/>
        <v>0.78192114947339608</v>
      </c>
      <c r="AY75" s="80">
        <f t="shared" si="84"/>
        <v>0.64079070289692375</v>
      </c>
      <c r="AZ75" s="80">
        <f t="shared" si="85"/>
        <v>2.9141519328969396</v>
      </c>
      <c r="BA75" s="80">
        <f t="shared" si="86"/>
        <v>0.34214616013568216</v>
      </c>
      <c r="BB75" s="80">
        <f t="shared" si="62"/>
        <v>81.078807488951824</v>
      </c>
      <c r="BC75" s="80">
        <f t="shared" si="63"/>
        <v>50.958400710247872</v>
      </c>
      <c r="BD75" s="80">
        <f t="shared" si="64"/>
        <v>50.373544186122608</v>
      </c>
      <c r="BE75" s="80">
        <f t="shared" si="65"/>
        <v>35.975034143112531</v>
      </c>
      <c r="BF75" s="80">
        <f t="shared" si="66"/>
        <v>175.69023538953559</v>
      </c>
      <c r="BG75" s="80">
        <f t="shared" si="67"/>
        <v>48.718699313072634</v>
      </c>
      <c r="BH75" s="49">
        <f t="shared" si="68"/>
        <v>0</v>
      </c>
      <c r="BI75" s="79">
        <f t="shared" si="69"/>
        <v>-32146.682062116484</v>
      </c>
      <c r="BJ75" s="79">
        <f t="shared" si="33"/>
        <v>29891.807455047681</v>
      </c>
      <c r="BK75" s="44">
        <f t="shared" si="70"/>
        <v>-7.0143307564735524E-2</v>
      </c>
      <c r="BL75" s="79">
        <f t="shared" si="87"/>
        <v>336.59082477792481</v>
      </c>
      <c r="BM75" s="49">
        <f t="shared" si="71"/>
        <v>30228.398279825607</v>
      </c>
      <c r="BN75" s="44">
        <f t="shared" si="72"/>
        <v>-5.967283897554998E-2</v>
      </c>
      <c r="BO75" s="49">
        <f t="shared" si="34"/>
        <v>298.7639185021128</v>
      </c>
      <c r="BP75" s="49">
        <f t="shared" si="35"/>
        <v>30190.571373549796</v>
      </c>
      <c r="BQ75" s="44">
        <f t="shared" si="36"/>
        <v>-6.0849536035691987E-2</v>
      </c>
      <c r="BS75" s="49">
        <f t="shared" si="37"/>
        <v>32146.682062116484</v>
      </c>
      <c r="BT75" s="49">
        <f t="shared" si="38"/>
        <v>65.580001999999993</v>
      </c>
      <c r="BU75" s="49">
        <f t="shared" si="39"/>
        <v>44.979999499999998</v>
      </c>
      <c r="BV75" s="49">
        <f t="shared" si="40"/>
        <v>0</v>
      </c>
      <c r="BW75" s="18">
        <f t="shared" si="41"/>
        <v>231</v>
      </c>
      <c r="BX75" s="19">
        <f t="shared" si="73"/>
        <v>0.94701834862385326</v>
      </c>
      <c r="BY75" s="49">
        <f t="shared" si="74"/>
        <v>0</v>
      </c>
      <c r="BZ75" s="19">
        <f t="shared" si="42"/>
        <v>0</v>
      </c>
      <c r="CA75" s="19">
        <f t="shared" si="43"/>
        <v>0</v>
      </c>
      <c r="CB75" s="19">
        <f t="shared" si="44"/>
        <v>0</v>
      </c>
      <c r="CC75" s="19">
        <f t="shared" si="45"/>
        <v>0</v>
      </c>
      <c r="CD75" s="19">
        <f t="shared" si="46"/>
        <v>0</v>
      </c>
      <c r="CE75" s="19">
        <f t="shared" si="47"/>
        <v>0</v>
      </c>
      <c r="CF75" s="49">
        <f t="shared" si="48"/>
        <v>0</v>
      </c>
      <c r="CG75" s="49">
        <f t="shared" si="49"/>
        <v>0</v>
      </c>
      <c r="CH75" s="49">
        <f t="shared" si="50"/>
        <v>0</v>
      </c>
      <c r="CI75" s="49">
        <f t="shared" si="51"/>
        <v>0</v>
      </c>
      <c r="CJ75" s="49">
        <f t="shared" si="52"/>
        <v>0</v>
      </c>
      <c r="CK75" s="49">
        <f t="shared" si="53"/>
        <v>0</v>
      </c>
    </row>
    <row r="76" spans="2:89" ht="12.75" customHeight="1" x14ac:dyDescent="0.2">
      <c r="B76" s="77">
        <v>39531</v>
      </c>
      <c r="C76" s="49">
        <v>130.33999600000001</v>
      </c>
      <c r="D76" s="49">
        <v>59.77</v>
      </c>
      <c r="E76" s="49">
        <v>48.439999</v>
      </c>
      <c r="F76" s="49">
        <v>59.950001</v>
      </c>
      <c r="G76" s="49">
        <v>43.810001</v>
      </c>
      <c r="H76" s="49">
        <v>93.480002999999996</v>
      </c>
      <c r="J76" s="78">
        <f>IF(inter=Weekly_2,J75+$C$5,IF(inter=Bi_weekly_2,J74+$C$5,IF(inter=Monthly_2,0,IF(inter=Quarterly_2,0,IF(inter=Yearly_2,0,IF(inter=None_2,0,0))))))</f>
        <v>30200</v>
      </c>
      <c r="K76" s="79">
        <f t="shared" si="54"/>
        <v>-37.886398602253394</v>
      </c>
      <c r="L76" s="79">
        <f t="shared" si="55"/>
        <v>-5.5307034508550714</v>
      </c>
      <c r="M76" s="79">
        <f t="shared" si="56"/>
        <v>-13.78182969633508</v>
      </c>
      <c r="N76" s="79">
        <f t="shared" si="57"/>
        <v>4.2879295751690734</v>
      </c>
      <c r="O76" s="79">
        <f t="shared" si="58"/>
        <v>19.320389011422776</v>
      </c>
      <c r="P76" s="79">
        <f t="shared" si="59"/>
        <v>-7.7596661337947808</v>
      </c>
      <c r="Q76" s="79"/>
      <c r="R76" s="80">
        <f t="shared" si="12"/>
        <v>0.2906736210292149</v>
      </c>
      <c r="S76" s="80">
        <f t="shared" si="13"/>
        <v>9.2533101068346515E-2</v>
      </c>
      <c r="T76" s="80">
        <f t="shared" si="14"/>
        <v>0.28451341826689719</v>
      </c>
      <c r="U76" s="80">
        <f t="shared" si="15"/>
        <v>-7.1525095974044661E-2</v>
      </c>
      <c r="V76" s="80">
        <f t="shared" si="16"/>
        <v>-0.44100407601960057</v>
      </c>
      <c r="W76" s="80">
        <f t="shared" si="17"/>
        <v>8.3008834881988403E-2</v>
      </c>
      <c r="X76" s="80">
        <f t="shared" si="75"/>
        <v>81.095598621930279</v>
      </c>
      <c r="Y76" s="80">
        <f t="shared" si="76"/>
        <v>50.5270202442697</v>
      </c>
      <c r="Z76" s="80">
        <f t="shared" si="77"/>
        <v>49.876136454916107</v>
      </c>
      <c r="AA76" s="80">
        <f t="shared" si="78"/>
        <v>35.262718344241563</v>
      </c>
      <c r="AB76" s="80">
        <f t="shared" si="79"/>
        <v>172.33507938061905</v>
      </c>
      <c r="AC76" s="80">
        <f t="shared" si="80"/>
        <v>48.459561987818937</v>
      </c>
      <c r="AD76" s="80"/>
      <c r="AE76" s="80"/>
      <c r="AF76" s="80"/>
      <c r="AG76" s="80"/>
      <c r="AH76" s="80"/>
      <c r="AI76" s="80"/>
      <c r="AJ76" s="45">
        <f t="shared" si="19"/>
        <v>0</v>
      </c>
      <c r="AK76" s="45">
        <f t="shared" si="20"/>
        <v>0</v>
      </c>
      <c r="AL76" s="45">
        <f t="shared" si="21"/>
        <v>0</v>
      </c>
      <c r="AM76" s="45">
        <f t="shared" si="22"/>
        <v>0</v>
      </c>
      <c r="AN76" s="45">
        <f t="shared" si="23"/>
        <v>0</v>
      </c>
      <c r="AO76" s="45">
        <f t="shared" si="24"/>
        <v>0</v>
      </c>
      <c r="AP76" s="80">
        <f t="shared" si="25"/>
        <v>0</v>
      </c>
      <c r="AQ76" s="80">
        <f t="shared" si="26"/>
        <v>0</v>
      </c>
      <c r="AR76" s="80">
        <f t="shared" si="27"/>
        <v>0</v>
      </c>
      <c r="AS76" s="80">
        <f t="shared" si="28"/>
        <v>0</v>
      </c>
      <c r="AT76" s="80">
        <f t="shared" si="29"/>
        <v>0</v>
      </c>
      <c r="AU76" s="80">
        <f t="shared" si="30"/>
        <v>0</v>
      </c>
      <c r="AV76" s="80">
        <f t="shared" si="81"/>
        <v>0.2738824880507566</v>
      </c>
      <c r="AW76" s="80">
        <f t="shared" si="82"/>
        <v>0.52391356704652325</v>
      </c>
      <c r="AX76" s="80">
        <f t="shared" si="83"/>
        <v>0.78192114947339608</v>
      </c>
      <c r="AY76" s="80">
        <f t="shared" si="84"/>
        <v>0.64079070289692375</v>
      </c>
      <c r="AZ76" s="80">
        <f t="shared" si="85"/>
        <v>2.9141519328969396</v>
      </c>
      <c r="BA76" s="80">
        <f t="shared" si="86"/>
        <v>0.34214616013568216</v>
      </c>
      <c r="BB76" s="80">
        <f t="shared" si="62"/>
        <v>81.369481109981038</v>
      </c>
      <c r="BC76" s="80">
        <f t="shared" si="63"/>
        <v>51.05093381131622</v>
      </c>
      <c r="BD76" s="80">
        <f t="shared" si="64"/>
        <v>50.658057604389505</v>
      </c>
      <c r="BE76" s="80">
        <f t="shared" si="65"/>
        <v>35.903509047138485</v>
      </c>
      <c r="BF76" s="80">
        <f t="shared" si="66"/>
        <v>175.24923131351599</v>
      </c>
      <c r="BG76" s="80">
        <f t="shared" si="67"/>
        <v>48.801708147954621</v>
      </c>
      <c r="BH76" s="49">
        <f t="shared" si="68"/>
        <v>0</v>
      </c>
      <c r="BI76" s="79">
        <f t="shared" si="69"/>
        <v>-32188.032341413127</v>
      </c>
      <c r="BJ76" s="79">
        <f t="shared" si="33"/>
        <v>30200</v>
      </c>
      <c r="BK76" s="44">
        <f t="shared" si="70"/>
        <v>-6.1763090092814554E-2</v>
      </c>
      <c r="BL76" s="79">
        <f t="shared" si="87"/>
        <v>336.59082477792481</v>
      </c>
      <c r="BM76" s="49">
        <f t="shared" si="71"/>
        <v>30536.590824777926</v>
      </c>
      <c r="BN76" s="44">
        <f t="shared" si="72"/>
        <v>-5.1306072366233302E-2</v>
      </c>
      <c r="BO76" s="49">
        <f t="shared" si="34"/>
        <v>302.95664244769671</v>
      </c>
      <c r="BP76" s="49">
        <f t="shared" si="35"/>
        <v>30502.956642447694</v>
      </c>
      <c r="BQ76" s="44">
        <f t="shared" si="36"/>
        <v>-5.2351000554868188E-2</v>
      </c>
      <c r="BS76" s="49">
        <f t="shared" si="37"/>
        <v>32188.032341413127</v>
      </c>
      <c r="BT76" s="49">
        <f t="shared" si="38"/>
        <v>65.169998000000007</v>
      </c>
      <c r="BU76" s="49">
        <f t="shared" si="39"/>
        <v>46.740001499999998</v>
      </c>
      <c r="BV76" s="49">
        <f t="shared" si="40"/>
        <v>41.350279296646477</v>
      </c>
      <c r="BW76" s="18">
        <f t="shared" si="41"/>
        <v>238</v>
      </c>
      <c r="BX76" s="19">
        <f t="shared" si="73"/>
        <v>0.94541284403669723</v>
      </c>
      <c r="BY76" s="49">
        <f t="shared" si="74"/>
        <v>39.093085151554305</v>
      </c>
      <c r="BZ76" s="19">
        <f t="shared" si="42"/>
        <v>0.2906736210292149</v>
      </c>
      <c r="CA76" s="19">
        <f t="shared" si="43"/>
        <v>9.2533101068346515E-2</v>
      </c>
      <c r="CB76" s="19">
        <f t="shared" si="44"/>
        <v>0.28451341826689719</v>
      </c>
      <c r="CC76" s="19">
        <f t="shared" si="45"/>
        <v>0</v>
      </c>
      <c r="CD76" s="19">
        <f t="shared" si="46"/>
        <v>0</v>
      </c>
      <c r="CE76" s="19">
        <f t="shared" si="47"/>
        <v>8.3008834881988403E-2</v>
      </c>
      <c r="CF76" s="49">
        <f t="shared" si="48"/>
        <v>-37.886398602253394</v>
      </c>
      <c r="CG76" s="49">
        <f t="shared" si="49"/>
        <v>-5.5307034508550714</v>
      </c>
      <c r="CH76" s="49">
        <f t="shared" si="50"/>
        <v>-13.78182969633508</v>
      </c>
      <c r="CI76" s="49">
        <f t="shared" si="51"/>
        <v>0</v>
      </c>
      <c r="CJ76" s="49">
        <f t="shared" si="52"/>
        <v>0</v>
      </c>
      <c r="CK76" s="49">
        <f t="shared" si="53"/>
        <v>-7.7596661337947808</v>
      </c>
    </row>
    <row r="77" spans="2:89" ht="12.75" customHeight="1" x14ac:dyDescent="0.2">
      <c r="B77" s="77">
        <v>39538</v>
      </c>
      <c r="C77" s="49">
        <v>135.770004</v>
      </c>
      <c r="D77" s="49">
        <v>62.349997999999999</v>
      </c>
      <c r="E77" s="49">
        <v>50.970001000000003</v>
      </c>
      <c r="F77" s="49">
        <v>62.599997999999999</v>
      </c>
      <c r="G77" s="49">
        <v>45.84</v>
      </c>
      <c r="H77" s="49">
        <v>97.629997000000003</v>
      </c>
      <c r="J77" s="78">
        <f>IF(inter=Weekly_2,J76+$C$5,IF(inter=Bi_weekly_2,0,IF(inter=Monthly_2,0,IF(inter=Quarterly_2,0,IF(inter=Yearly_2,0,IF(inter=None_2,0,0))))))</f>
        <v>0</v>
      </c>
      <c r="K77" s="79">
        <f t="shared" si="54"/>
        <v>0</v>
      </c>
      <c r="L77" s="79">
        <f t="shared" si="55"/>
        <v>0</v>
      </c>
      <c r="M77" s="79">
        <f t="shared" si="56"/>
        <v>0</v>
      </c>
      <c r="N77" s="79">
        <f t="shared" si="57"/>
        <v>0</v>
      </c>
      <c r="O77" s="79">
        <f t="shared" si="58"/>
        <v>0</v>
      </c>
      <c r="P77" s="79">
        <f t="shared" si="59"/>
        <v>0</v>
      </c>
      <c r="Q77" s="79"/>
      <c r="R77" s="80">
        <f t="shared" si="12"/>
        <v>0</v>
      </c>
      <c r="S77" s="80">
        <f t="shared" si="13"/>
        <v>0</v>
      </c>
      <c r="T77" s="80">
        <f t="shared" si="14"/>
        <v>0</v>
      </c>
      <c r="U77" s="80">
        <f t="shared" si="15"/>
        <v>0</v>
      </c>
      <c r="V77" s="80">
        <f t="shared" si="16"/>
        <v>0</v>
      </c>
      <c r="W77" s="80">
        <f t="shared" si="17"/>
        <v>0</v>
      </c>
      <c r="X77" s="80">
        <f t="shared" si="75"/>
        <v>81.095598621930279</v>
      </c>
      <c r="Y77" s="80">
        <f t="shared" si="76"/>
        <v>50.5270202442697</v>
      </c>
      <c r="Z77" s="80">
        <f t="shared" si="77"/>
        <v>49.876136454916107</v>
      </c>
      <c r="AA77" s="80">
        <f t="shared" si="78"/>
        <v>35.262718344241563</v>
      </c>
      <c r="AB77" s="80">
        <f t="shared" si="79"/>
        <v>172.33507938061905</v>
      </c>
      <c r="AC77" s="80">
        <f t="shared" si="80"/>
        <v>48.459561987818937</v>
      </c>
      <c r="AD77" s="80"/>
      <c r="AE77" s="80"/>
      <c r="AF77" s="80"/>
      <c r="AG77" s="80"/>
      <c r="AH77" s="80"/>
      <c r="AI77" s="80"/>
      <c r="AJ77" s="45">
        <f t="shared" si="19"/>
        <v>0</v>
      </c>
      <c r="AK77" s="45">
        <f t="shared" si="20"/>
        <v>0</v>
      </c>
      <c r="AL77" s="45">
        <f t="shared" si="21"/>
        <v>0</v>
      </c>
      <c r="AM77" s="45">
        <f t="shared" si="22"/>
        <v>0</v>
      </c>
      <c r="AN77" s="45">
        <f t="shared" si="23"/>
        <v>0</v>
      </c>
      <c r="AO77" s="45">
        <f t="shared" si="24"/>
        <v>0</v>
      </c>
      <c r="AP77" s="80">
        <f t="shared" si="25"/>
        <v>0</v>
      </c>
      <c r="AQ77" s="80">
        <f t="shared" si="26"/>
        <v>0</v>
      </c>
      <c r="AR77" s="80">
        <f t="shared" si="27"/>
        <v>0</v>
      </c>
      <c r="AS77" s="80">
        <f t="shared" si="28"/>
        <v>0</v>
      </c>
      <c r="AT77" s="80">
        <f t="shared" si="29"/>
        <v>0</v>
      </c>
      <c r="AU77" s="80">
        <f t="shared" si="30"/>
        <v>0</v>
      </c>
      <c r="AV77" s="80">
        <f t="shared" si="81"/>
        <v>0.2738824880507566</v>
      </c>
      <c r="AW77" s="80">
        <f t="shared" si="82"/>
        <v>0.52391356704652325</v>
      </c>
      <c r="AX77" s="80">
        <f t="shared" si="83"/>
        <v>0.78192114947339608</v>
      </c>
      <c r="AY77" s="80">
        <f t="shared" si="84"/>
        <v>0.64079070289692375</v>
      </c>
      <c r="AZ77" s="80">
        <f t="shared" si="85"/>
        <v>2.9141519328969396</v>
      </c>
      <c r="BA77" s="80">
        <f t="shared" si="86"/>
        <v>0.34214616013568216</v>
      </c>
      <c r="BB77" s="80">
        <f t="shared" si="62"/>
        <v>81.369481109981038</v>
      </c>
      <c r="BC77" s="80">
        <f t="shared" si="63"/>
        <v>51.05093381131622</v>
      </c>
      <c r="BD77" s="80">
        <f t="shared" si="64"/>
        <v>50.658057604389505</v>
      </c>
      <c r="BE77" s="80">
        <f t="shared" si="65"/>
        <v>35.903509047138485</v>
      </c>
      <c r="BF77" s="80">
        <f t="shared" si="66"/>
        <v>175.24923131351599</v>
      </c>
      <c r="BG77" s="80">
        <f t="shared" si="67"/>
        <v>48.801708147954621</v>
      </c>
      <c r="BH77" s="49">
        <f t="shared" si="68"/>
        <v>0</v>
      </c>
      <c r="BI77" s="79">
        <f t="shared" si="69"/>
        <v>-32188.032341413127</v>
      </c>
      <c r="BJ77" s="79">
        <f t="shared" si="33"/>
        <v>31541.289113564995</v>
      </c>
      <c r="BK77" s="44">
        <f t="shared" si="70"/>
        <v>-2.0092661178795712E-2</v>
      </c>
      <c r="BL77" s="79">
        <f t="shared" si="87"/>
        <v>336.59082477792481</v>
      </c>
      <c r="BM77" s="49">
        <f t="shared" si="71"/>
        <v>31877.879938342921</v>
      </c>
      <c r="BN77" s="44">
        <f t="shared" si="72"/>
        <v>-9.6356434522144596E-3</v>
      </c>
      <c r="BO77" s="49">
        <f t="shared" si="34"/>
        <v>316.80750803765477</v>
      </c>
      <c r="BP77" s="49">
        <f t="shared" si="35"/>
        <v>31858.09662160265</v>
      </c>
      <c r="BQ77" s="44">
        <f t="shared" si="36"/>
        <v>-1.0250260603410055E-2</v>
      </c>
      <c r="BS77" s="49">
        <f t="shared" si="37"/>
        <v>32188.032341413127</v>
      </c>
      <c r="BT77" s="49">
        <f t="shared" si="38"/>
        <v>67.885002</v>
      </c>
      <c r="BU77" s="49">
        <f t="shared" si="39"/>
        <v>48.814998500000002</v>
      </c>
      <c r="BV77" s="49">
        <f t="shared" si="40"/>
        <v>0</v>
      </c>
      <c r="BW77" s="18">
        <f t="shared" si="41"/>
        <v>245</v>
      </c>
      <c r="BX77" s="19">
        <f t="shared" si="73"/>
        <v>0.94380733944954132</v>
      </c>
      <c r="BY77" s="49">
        <f t="shared" si="74"/>
        <v>0</v>
      </c>
      <c r="BZ77" s="19">
        <f t="shared" si="42"/>
        <v>0</v>
      </c>
      <c r="CA77" s="19">
        <f t="shared" si="43"/>
        <v>0</v>
      </c>
      <c r="CB77" s="19">
        <f t="shared" si="44"/>
        <v>0</v>
      </c>
      <c r="CC77" s="19">
        <f t="shared" si="45"/>
        <v>0</v>
      </c>
      <c r="CD77" s="19">
        <f t="shared" si="46"/>
        <v>0</v>
      </c>
      <c r="CE77" s="19">
        <f t="shared" si="47"/>
        <v>0</v>
      </c>
      <c r="CF77" s="49">
        <f t="shared" si="48"/>
        <v>0</v>
      </c>
      <c r="CG77" s="49">
        <f t="shared" si="49"/>
        <v>0</v>
      </c>
      <c r="CH77" s="49">
        <f t="shared" si="50"/>
        <v>0</v>
      </c>
      <c r="CI77" s="49">
        <f t="shared" si="51"/>
        <v>0</v>
      </c>
      <c r="CJ77" s="49">
        <f t="shared" si="52"/>
        <v>0</v>
      </c>
      <c r="CK77" s="49">
        <f t="shared" si="53"/>
        <v>0</v>
      </c>
    </row>
    <row r="78" spans="2:89" ht="12.75" customHeight="1" x14ac:dyDescent="0.2">
      <c r="B78" s="77">
        <v>39545</v>
      </c>
      <c r="C78" s="49">
        <v>132.28999300000001</v>
      </c>
      <c r="D78" s="49">
        <v>60.43</v>
      </c>
      <c r="E78" s="49">
        <v>49.68</v>
      </c>
      <c r="F78" s="49">
        <v>60.48</v>
      </c>
      <c r="G78" s="49">
        <v>44.549999</v>
      </c>
      <c r="H78" s="49">
        <v>97.010002</v>
      </c>
      <c r="J78" s="78">
        <f>IF(inter=Weekly_2,J77+$C$5,IF(inter=Bi_weekly_2,J76+$C$5,IF(inter=Monthly_2,J74+$C$5,IF(inter=Quarterly_2,0,IF(inter=Yearly_2,0,IF(inter=None_2,0,0))))))</f>
        <v>30800</v>
      </c>
      <c r="K78" s="79">
        <f t="shared" si="54"/>
        <v>-51.863825974032807</v>
      </c>
      <c r="L78" s="79">
        <f t="shared" si="55"/>
        <v>-26.652166638782091</v>
      </c>
      <c r="M78" s="79">
        <f t="shared" si="56"/>
        <v>13.846459080232307</v>
      </c>
      <c r="N78" s="79">
        <f t="shared" si="57"/>
        <v>-23.310794540270308</v>
      </c>
      <c r="O78" s="79">
        <f t="shared" si="58"/>
        <v>-22.472385928500444</v>
      </c>
      <c r="P78" s="79">
        <f t="shared" si="59"/>
        <v>81.06220535743887</v>
      </c>
      <c r="Q78" s="79"/>
      <c r="R78" s="80">
        <f t="shared" si="12"/>
        <v>0.39204647908653834</v>
      </c>
      <c r="S78" s="80">
        <f t="shared" si="13"/>
        <v>0.4410419764815835</v>
      </c>
      <c r="T78" s="80">
        <f t="shared" si="14"/>
        <v>-0.27871294444912054</v>
      </c>
      <c r="U78" s="80">
        <f t="shared" si="15"/>
        <v>0.38542980390658582</v>
      </c>
      <c r="V78" s="80">
        <f t="shared" si="16"/>
        <v>0.50443067189519897</v>
      </c>
      <c r="W78" s="80">
        <f t="shared" si="17"/>
        <v>-0.83560667648928477</v>
      </c>
      <c r="X78" s="80">
        <f t="shared" si="75"/>
        <v>81.487645101016824</v>
      </c>
      <c r="Y78" s="80">
        <f t="shared" si="76"/>
        <v>50.968062220751285</v>
      </c>
      <c r="Z78" s="80">
        <f t="shared" si="77"/>
        <v>49.597423510466989</v>
      </c>
      <c r="AA78" s="80">
        <f t="shared" si="78"/>
        <v>35.648148148148145</v>
      </c>
      <c r="AB78" s="80">
        <f t="shared" si="79"/>
        <v>172.83951005251424</v>
      </c>
      <c r="AC78" s="80">
        <f t="shared" si="80"/>
        <v>47.623955311329652</v>
      </c>
      <c r="AD78" s="80">
        <v>0.3115</v>
      </c>
      <c r="AE78" s="80">
        <v>0.439</v>
      </c>
      <c r="AF78" s="80">
        <v>4.8000000000000001E-2</v>
      </c>
      <c r="AG78" s="80">
        <v>4.5999999999999999E-2</v>
      </c>
      <c r="AH78" s="80">
        <v>1.6E-2</v>
      </c>
      <c r="AI78" s="80"/>
      <c r="AJ78" s="45">
        <f t="shared" si="19"/>
        <v>25.38340144896674</v>
      </c>
      <c r="AK78" s="45">
        <f t="shared" si="20"/>
        <v>22.374979314909815</v>
      </c>
      <c r="AL78" s="45">
        <f t="shared" si="21"/>
        <v>2.3806763285024157</v>
      </c>
      <c r="AM78" s="45">
        <f t="shared" si="22"/>
        <v>1.6398148148148146</v>
      </c>
      <c r="AN78" s="45">
        <f t="shared" si="23"/>
        <v>2.7654321608402279</v>
      </c>
      <c r="AO78" s="45">
        <f t="shared" si="24"/>
        <v>0</v>
      </c>
      <c r="AP78" s="80">
        <f t="shared" si="25"/>
        <v>0.19187695813822242</v>
      </c>
      <c r="AQ78" s="80">
        <f t="shared" si="26"/>
        <v>0.37026277204881375</v>
      </c>
      <c r="AR78" s="80">
        <f t="shared" si="27"/>
        <v>4.7920215952142027E-2</v>
      </c>
      <c r="AS78" s="80">
        <f t="shared" si="28"/>
        <v>2.7113340192043894E-2</v>
      </c>
      <c r="AT78" s="80">
        <f t="shared" si="29"/>
        <v>6.2074797371829971E-2</v>
      </c>
      <c r="AU78" s="80">
        <f t="shared" si="30"/>
        <v>0</v>
      </c>
      <c r="AV78" s="80">
        <f t="shared" si="81"/>
        <v>0.46575944618897902</v>
      </c>
      <c r="AW78" s="80">
        <f t="shared" si="82"/>
        <v>0.894176339095337</v>
      </c>
      <c r="AX78" s="80">
        <f t="shared" si="83"/>
        <v>0.8298413654255381</v>
      </c>
      <c r="AY78" s="80">
        <f t="shared" si="84"/>
        <v>0.66790404308896767</v>
      </c>
      <c r="AZ78" s="80">
        <f t="shared" si="85"/>
        <v>2.9762267302687695</v>
      </c>
      <c r="BA78" s="80">
        <f t="shared" si="86"/>
        <v>0.34214616013568216</v>
      </c>
      <c r="BB78" s="80">
        <f t="shared" si="62"/>
        <v>81.953404547205807</v>
      </c>
      <c r="BC78" s="80">
        <f t="shared" si="63"/>
        <v>51.862238559846624</v>
      </c>
      <c r="BD78" s="80">
        <f t="shared" si="64"/>
        <v>50.427264875892526</v>
      </c>
      <c r="BE78" s="80">
        <f t="shared" si="65"/>
        <v>36.316052191237112</v>
      </c>
      <c r="BF78" s="80">
        <f t="shared" si="66"/>
        <v>175.81573678278301</v>
      </c>
      <c r="BG78" s="80">
        <f t="shared" si="67"/>
        <v>47.966101471465336</v>
      </c>
      <c r="BH78" s="49">
        <f t="shared" si="68"/>
        <v>54.544304068034016</v>
      </c>
      <c r="BI78" s="79">
        <f t="shared" si="69"/>
        <v>-32217.422850057039</v>
      </c>
      <c r="BJ78" s="79">
        <f t="shared" si="33"/>
        <v>30800</v>
      </c>
      <c r="BK78" s="44">
        <f t="shared" si="70"/>
        <v>-4.3995537962606801E-2</v>
      </c>
      <c r="BL78" s="79">
        <f t="shared" si="87"/>
        <v>391.13512884595883</v>
      </c>
      <c r="BM78" s="49">
        <f t="shared" si="71"/>
        <v>31191.135128845959</v>
      </c>
      <c r="BN78" s="44">
        <f t="shared" si="72"/>
        <v>-3.1855053273116218E-2</v>
      </c>
      <c r="BO78" s="49">
        <f t="shared" si="34"/>
        <v>363.05424314421839</v>
      </c>
      <c r="BP78" s="49">
        <f t="shared" si="35"/>
        <v>31163.054243144223</v>
      </c>
      <c r="BQ78" s="44">
        <f t="shared" si="36"/>
        <v>-3.2726658858467594E-2</v>
      </c>
      <c r="BS78" s="49">
        <f t="shared" si="37"/>
        <v>32217.422850057039</v>
      </c>
      <c r="BT78" s="49">
        <f t="shared" si="38"/>
        <v>66.144996500000005</v>
      </c>
      <c r="BU78" s="49">
        <f t="shared" si="39"/>
        <v>48.505001</v>
      </c>
      <c r="BV78" s="49">
        <f t="shared" si="40"/>
        <v>-25.153795424119544</v>
      </c>
      <c r="BW78" s="18">
        <f t="shared" si="41"/>
        <v>252</v>
      </c>
      <c r="BX78" s="19">
        <f t="shared" si="73"/>
        <v>0.94220183486238529</v>
      </c>
      <c r="BY78" s="49">
        <f t="shared" si="74"/>
        <v>-23.699952202358507</v>
      </c>
      <c r="BZ78" s="19">
        <f t="shared" si="42"/>
        <v>0.39204647908653834</v>
      </c>
      <c r="CA78" s="19">
        <f t="shared" si="43"/>
        <v>0.4410419764815835</v>
      </c>
      <c r="CB78" s="19">
        <f t="shared" si="44"/>
        <v>0</v>
      </c>
      <c r="CC78" s="19">
        <f t="shared" si="45"/>
        <v>0.38542980390658582</v>
      </c>
      <c r="CD78" s="19">
        <f t="shared" si="46"/>
        <v>0.50443067189519897</v>
      </c>
      <c r="CE78" s="19">
        <f t="shared" si="47"/>
        <v>0</v>
      </c>
      <c r="CF78" s="49">
        <f t="shared" si="48"/>
        <v>-51.863825974032807</v>
      </c>
      <c r="CG78" s="49">
        <f t="shared" si="49"/>
        <v>-26.652166638782091</v>
      </c>
      <c r="CH78" s="49">
        <f t="shared" si="50"/>
        <v>0</v>
      </c>
      <c r="CI78" s="49">
        <f t="shared" si="51"/>
        <v>-23.310794540270308</v>
      </c>
      <c r="CJ78" s="49">
        <f t="shared" si="52"/>
        <v>-22.472385928500444</v>
      </c>
      <c r="CK78" s="49">
        <f t="shared" si="53"/>
        <v>0</v>
      </c>
    </row>
    <row r="79" spans="2:89" ht="12.75" customHeight="1" x14ac:dyDescent="0.2">
      <c r="B79" s="77">
        <v>39552</v>
      </c>
      <c r="C79" s="49">
        <v>137.78999300000001</v>
      </c>
      <c r="D79" s="49">
        <v>62.740001999999997</v>
      </c>
      <c r="E79" s="49">
        <v>51.73</v>
      </c>
      <c r="F79" s="49">
        <v>63.080002</v>
      </c>
      <c r="G79" s="49">
        <v>46.169998</v>
      </c>
      <c r="H79" s="49">
        <v>101.25</v>
      </c>
      <c r="J79" s="78">
        <f>IF(inter=Weekly_2,J78+$C$5,IF(inter=Bi_weekly_2,0,IF(inter=Monthly_2,0,IF(inter=Quarterly_2,0,IF(inter=Yearly_2,0,IF(inter=None_2,0,0))))))</f>
        <v>0</v>
      </c>
      <c r="K79" s="79">
        <f t="shared" si="54"/>
        <v>0</v>
      </c>
      <c r="L79" s="79">
        <f t="shared" si="55"/>
        <v>0</v>
      </c>
      <c r="M79" s="79">
        <f t="shared" si="56"/>
        <v>0</v>
      </c>
      <c r="N79" s="79">
        <f t="shared" si="57"/>
        <v>0</v>
      </c>
      <c r="O79" s="79">
        <f t="shared" si="58"/>
        <v>0</v>
      </c>
      <c r="P79" s="79">
        <f t="shared" si="59"/>
        <v>0</v>
      </c>
      <c r="Q79" s="79"/>
      <c r="R79" s="80">
        <f t="shared" si="12"/>
        <v>0</v>
      </c>
      <c r="S79" s="80">
        <f t="shared" si="13"/>
        <v>0</v>
      </c>
      <c r="T79" s="80">
        <f t="shared" si="14"/>
        <v>0</v>
      </c>
      <c r="U79" s="80">
        <f t="shared" si="15"/>
        <v>0</v>
      </c>
      <c r="V79" s="80">
        <f t="shared" si="16"/>
        <v>0</v>
      </c>
      <c r="W79" s="80">
        <f t="shared" si="17"/>
        <v>0</v>
      </c>
      <c r="X79" s="80">
        <f t="shared" si="75"/>
        <v>81.487645101016824</v>
      </c>
      <c r="Y79" s="80">
        <f t="shared" si="76"/>
        <v>50.968062220751285</v>
      </c>
      <c r="Z79" s="80">
        <f t="shared" si="77"/>
        <v>49.597423510466989</v>
      </c>
      <c r="AA79" s="80">
        <f t="shared" si="78"/>
        <v>35.648148148148145</v>
      </c>
      <c r="AB79" s="80">
        <f t="shared" si="79"/>
        <v>172.83951005251424</v>
      </c>
      <c r="AC79" s="80">
        <f t="shared" si="80"/>
        <v>47.623955311329652</v>
      </c>
      <c r="AD79" s="80"/>
      <c r="AE79" s="80"/>
      <c r="AF79" s="80"/>
      <c r="AG79" s="80"/>
      <c r="AH79" s="80"/>
      <c r="AI79" s="80"/>
      <c r="AJ79" s="45">
        <f t="shared" si="19"/>
        <v>0</v>
      </c>
      <c r="AK79" s="45">
        <f t="shared" si="20"/>
        <v>0</v>
      </c>
      <c r="AL79" s="45">
        <f t="shared" si="21"/>
        <v>0</v>
      </c>
      <c r="AM79" s="45">
        <f t="shared" si="22"/>
        <v>0</v>
      </c>
      <c r="AN79" s="45">
        <f t="shared" si="23"/>
        <v>0</v>
      </c>
      <c r="AO79" s="45">
        <f t="shared" si="24"/>
        <v>0</v>
      </c>
      <c r="AP79" s="80">
        <f t="shared" si="25"/>
        <v>0</v>
      </c>
      <c r="AQ79" s="80">
        <f t="shared" si="26"/>
        <v>0</v>
      </c>
      <c r="AR79" s="80">
        <f t="shared" si="27"/>
        <v>0</v>
      </c>
      <c r="AS79" s="80">
        <f t="shared" si="28"/>
        <v>0</v>
      </c>
      <c r="AT79" s="80">
        <f t="shared" si="29"/>
        <v>0</v>
      </c>
      <c r="AU79" s="80">
        <f t="shared" si="30"/>
        <v>0</v>
      </c>
      <c r="AV79" s="80">
        <f t="shared" si="81"/>
        <v>0.46575944618897902</v>
      </c>
      <c r="AW79" s="80">
        <f t="shared" si="82"/>
        <v>0.894176339095337</v>
      </c>
      <c r="AX79" s="80">
        <f t="shared" si="83"/>
        <v>0.8298413654255381</v>
      </c>
      <c r="AY79" s="80">
        <f t="shared" si="84"/>
        <v>0.66790404308896767</v>
      </c>
      <c r="AZ79" s="80">
        <f t="shared" si="85"/>
        <v>2.9762267302687695</v>
      </c>
      <c r="BA79" s="80">
        <f t="shared" si="86"/>
        <v>0.34214616013568216</v>
      </c>
      <c r="BB79" s="80">
        <f t="shared" si="62"/>
        <v>81.953404547205807</v>
      </c>
      <c r="BC79" s="80">
        <f t="shared" si="63"/>
        <v>51.862238559846624</v>
      </c>
      <c r="BD79" s="80">
        <f t="shared" si="64"/>
        <v>50.427264875892526</v>
      </c>
      <c r="BE79" s="80">
        <f t="shared" si="65"/>
        <v>36.316052191237112</v>
      </c>
      <c r="BF79" s="80">
        <f t="shared" si="66"/>
        <v>175.81573678278301</v>
      </c>
      <c r="BG79" s="80">
        <f t="shared" si="67"/>
        <v>47.966101471465336</v>
      </c>
      <c r="BH79" s="49">
        <f t="shared" si="68"/>
        <v>0</v>
      </c>
      <c r="BI79" s="79">
        <f t="shared" si="69"/>
        <v>-32217.422850057039</v>
      </c>
      <c r="BJ79" s="79">
        <f t="shared" si="33"/>
        <v>32042.203657117279</v>
      </c>
      <c r="BK79" s="44">
        <f t="shared" si="70"/>
        <v>-5.4386470871753412E-3</v>
      </c>
      <c r="BL79" s="79">
        <f t="shared" si="87"/>
        <v>391.13512884595883</v>
      </c>
      <c r="BM79" s="49">
        <f t="shared" si="71"/>
        <v>32433.338785963238</v>
      </c>
      <c r="BN79" s="44">
        <f t="shared" si="72"/>
        <v>6.7018376023151305E-3</v>
      </c>
      <c r="BO79" s="49">
        <f t="shared" si="34"/>
        <v>377.3913792383741</v>
      </c>
      <c r="BP79" s="49">
        <f t="shared" si="35"/>
        <v>32419.595036355659</v>
      </c>
      <c r="BQ79" s="44">
        <f t="shared" si="36"/>
        <v>6.2752439026407814E-3</v>
      </c>
      <c r="BS79" s="49">
        <f t="shared" si="37"/>
        <v>32217.422850057039</v>
      </c>
      <c r="BT79" s="49">
        <f t="shared" si="38"/>
        <v>68.894996500000005</v>
      </c>
      <c r="BU79" s="49">
        <f t="shared" si="39"/>
        <v>50.625</v>
      </c>
      <c r="BV79" s="49">
        <f t="shared" si="40"/>
        <v>0</v>
      </c>
      <c r="BW79" s="18">
        <f t="shared" si="41"/>
        <v>259</v>
      </c>
      <c r="BX79" s="19">
        <f t="shared" si="73"/>
        <v>0.94059633027522938</v>
      </c>
      <c r="BY79" s="49">
        <f t="shared" si="74"/>
        <v>0</v>
      </c>
      <c r="BZ79" s="19">
        <f t="shared" si="42"/>
        <v>0</v>
      </c>
      <c r="CA79" s="19">
        <f t="shared" si="43"/>
        <v>0</v>
      </c>
      <c r="CB79" s="19">
        <f t="shared" si="44"/>
        <v>0</v>
      </c>
      <c r="CC79" s="19">
        <f t="shared" si="45"/>
        <v>0</v>
      </c>
      <c r="CD79" s="19">
        <f t="shared" si="46"/>
        <v>0</v>
      </c>
      <c r="CE79" s="19">
        <f t="shared" si="47"/>
        <v>0</v>
      </c>
      <c r="CF79" s="49">
        <f t="shared" si="48"/>
        <v>0</v>
      </c>
      <c r="CG79" s="49">
        <f t="shared" si="49"/>
        <v>0</v>
      </c>
      <c r="CH79" s="49">
        <f t="shared" si="50"/>
        <v>0</v>
      </c>
      <c r="CI79" s="49">
        <f t="shared" si="51"/>
        <v>0</v>
      </c>
      <c r="CJ79" s="49">
        <f t="shared" si="52"/>
        <v>0</v>
      </c>
      <c r="CK79" s="49">
        <f t="shared" si="53"/>
        <v>0</v>
      </c>
    </row>
    <row r="80" spans="2:89" ht="12.75" customHeight="1" x14ac:dyDescent="0.2">
      <c r="B80" s="77">
        <v>39559</v>
      </c>
      <c r="C80" s="49">
        <v>138.58999600000001</v>
      </c>
      <c r="D80" s="49">
        <v>63.23</v>
      </c>
      <c r="E80" s="49">
        <v>51.919998</v>
      </c>
      <c r="F80" s="49">
        <v>63.41</v>
      </c>
      <c r="G80" s="49">
        <v>46.470001000000003</v>
      </c>
      <c r="H80" s="49">
        <v>102.970001</v>
      </c>
      <c r="J80" s="78">
        <f>IF(inter=Weekly_2,J79+$C$5,IF(inter=Bi_weekly_2,J78+$C$5,IF(inter=Monthly_2,0,IF(inter=Quarterly_2,0,IF(inter=Yearly_2,0,IF(inter=None_2,0,0))))))</f>
        <v>31400</v>
      </c>
      <c r="K80" s="79">
        <f t="shared" si="54"/>
        <v>303.37240859934172</v>
      </c>
      <c r="L80" s="79">
        <f t="shared" si="55"/>
        <v>82.710574218103829</v>
      </c>
      <c r="M80" s="79">
        <f t="shared" si="56"/>
        <v>63.098129468598927</v>
      </c>
      <c r="N80" s="79">
        <f t="shared" si="57"/>
        <v>62.449074074073906</v>
      </c>
      <c r="O80" s="79">
        <f t="shared" si="58"/>
        <v>181.85220497984756</v>
      </c>
      <c r="P80" s="79">
        <f t="shared" si="59"/>
        <v>193.83872603156942</v>
      </c>
      <c r="Q80" s="79"/>
      <c r="R80" s="80">
        <f t="shared" si="12"/>
        <v>-2.1889921159918475</v>
      </c>
      <c r="S80" s="80">
        <f t="shared" si="13"/>
        <v>-1.3080906882508909</v>
      </c>
      <c r="T80" s="80">
        <f t="shared" si="14"/>
        <v>-1.2152952985205994</v>
      </c>
      <c r="U80" s="80">
        <f t="shared" si="15"/>
        <v>-0.98484582990181213</v>
      </c>
      <c r="V80" s="80">
        <f t="shared" si="16"/>
        <v>-3.9133247485802194</v>
      </c>
      <c r="W80" s="80">
        <f t="shared" si="17"/>
        <v>-1.8824776551334541</v>
      </c>
      <c r="X80" s="80">
        <f t="shared" si="75"/>
        <v>79.298652985024972</v>
      </c>
      <c r="Y80" s="80">
        <f t="shared" si="76"/>
        <v>49.659971532500393</v>
      </c>
      <c r="Z80" s="80">
        <f t="shared" si="77"/>
        <v>48.382128211946387</v>
      </c>
      <c r="AA80" s="80">
        <f t="shared" si="78"/>
        <v>34.66330231824633</v>
      </c>
      <c r="AB80" s="80">
        <f t="shared" si="79"/>
        <v>168.92618530393403</v>
      </c>
      <c r="AC80" s="80">
        <f t="shared" si="80"/>
        <v>45.741477656196196</v>
      </c>
      <c r="AD80" s="80"/>
      <c r="AE80" s="80"/>
      <c r="AF80" s="80"/>
      <c r="AG80" s="80"/>
      <c r="AH80" s="80"/>
      <c r="AI80" s="80"/>
      <c r="AJ80" s="45">
        <f t="shared" si="19"/>
        <v>0</v>
      </c>
      <c r="AK80" s="45">
        <f t="shared" si="20"/>
        <v>0</v>
      </c>
      <c r="AL80" s="45">
        <f t="shared" si="21"/>
        <v>0</v>
      </c>
      <c r="AM80" s="45">
        <f t="shared" si="22"/>
        <v>0</v>
      </c>
      <c r="AN80" s="45">
        <f t="shared" si="23"/>
        <v>0</v>
      </c>
      <c r="AO80" s="45">
        <f t="shared" si="24"/>
        <v>0</v>
      </c>
      <c r="AP80" s="80">
        <f t="shared" si="25"/>
        <v>0</v>
      </c>
      <c r="AQ80" s="80">
        <f t="shared" si="26"/>
        <v>0</v>
      </c>
      <c r="AR80" s="80">
        <f t="shared" si="27"/>
        <v>0</v>
      </c>
      <c r="AS80" s="80">
        <f t="shared" si="28"/>
        <v>0</v>
      </c>
      <c r="AT80" s="80">
        <f t="shared" si="29"/>
        <v>0</v>
      </c>
      <c r="AU80" s="80">
        <f t="shared" si="30"/>
        <v>0</v>
      </c>
      <c r="AV80" s="80">
        <f t="shared" si="81"/>
        <v>0.46575944618897902</v>
      </c>
      <c r="AW80" s="80">
        <f t="shared" si="82"/>
        <v>0.894176339095337</v>
      </c>
      <c r="AX80" s="80">
        <f t="shared" si="83"/>
        <v>0.8298413654255381</v>
      </c>
      <c r="AY80" s="80">
        <f t="shared" si="84"/>
        <v>0.66790404308896767</v>
      </c>
      <c r="AZ80" s="80">
        <f t="shared" si="85"/>
        <v>2.9762267302687695</v>
      </c>
      <c r="BA80" s="80">
        <f t="shared" si="86"/>
        <v>0.34214616013568216</v>
      </c>
      <c r="BB80" s="80">
        <f t="shared" si="62"/>
        <v>79.764412431213955</v>
      </c>
      <c r="BC80" s="80">
        <f t="shared" si="63"/>
        <v>50.554147871595731</v>
      </c>
      <c r="BD80" s="80">
        <f t="shared" si="64"/>
        <v>49.211969577371924</v>
      </c>
      <c r="BE80" s="80">
        <f t="shared" si="65"/>
        <v>35.331206361335298</v>
      </c>
      <c r="BF80" s="80">
        <f t="shared" si="66"/>
        <v>171.9024120342028</v>
      </c>
      <c r="BG80" s="80">
        <f t="shared" si="67"/>
        <v>46.08362381633188</v>
      </c>
      <c r="BH80" s="49">
        <f t="shared" si="68"/>
        <v>0</v>
      </c>
      <c r="BI80" s="79">
        <f t="shared" si="69"/>
        <v>-31330.101732685504</v>
      </c>
      <c r="BJ80" s="79">
        <f t="shared" si="33"/>
        <v>31400</v>
      </c>
      <c r="BK80" s="44">
        <f t="shared" si="70"/>
        <v>2.2310258648656767E-3</v>
      </c>
      <c r="BL80" s="79">
        <f t="shared" si="87"/>
        <v>391.13512884595883</v>
      </c>
      <c r="BM80" s="49">
        <f t="shared" si="71"/>
        <v>31791.135128845959</v>
      </c>
      <c r="BN80" s="44">
        <f t="shared" si="72"/>
        <v>1.4715349477447681E-2</v>
      </c>
      <c r="BO80" s="49">
        <f t="shared" si="34"/>
        <v>380.06157669390745</v>
      </c>
      <c r="BP80" s="49">
        <f t="shared" si="35"/>
        <v>31780.061576693908</v>
      </c>
      <c r="BQ80" s="44">
        <f t="shared" si="36"/>
        <v>1.4361901785303832E-2</v>
      </c>
      <c r="BS80" s="49">
        <f t="shared" si="37"/>
        <v>31330.101732685504</v>
      </c>
      <c r="BT80" s="49">
        <f t="shared" si="38"/>
        <v>69.294998000000007</v>
      </c>
      <c r="BU80" s="49">
        <f t="shared" si="39"/>
        <v>51.485000499999998</v>
      </c>
      <c r="BV80" s="49">
        <f t="shared" si="40"/>
        <v>-887.32111737153537</v>
      </c>
      <c r="BW80" s="18">
        <f t="shared" si="41"/>
        <v>266</v>
      </c>
      <c r="BX80" s="19">
        <f t="shared" si="73"/>
        <v>0.93899082568807335</v>
      </c>
      <c r="BY80" s="49">
        <f t="shared" si="74"/>
        <v>-833.18638865116179</v>
      </c>
      <c r="BZ80" s="19">
        <f t="shared" si="42"/>
        <v>0</v>
      </c>
      <c r="CA80" s="19">
        <f t="shared" si="43"/>
        <v>0</v>
      </c>
      <c r="CB80" s="19">
        <f t="shared" si="44"/>
        <v>0</v>
      </c>
      <c r="CC80" s="19">
        <f t="shared" si="45"/>
        <v>0</v>
      </c>
      <c r="CD80" s="19">
        <f t="shared" si="46"/>
        <v>0</v>
      </c>
      <c r="CE80" s="19">
        <f t="shared" si="47"/>
        <v>0</v>
      </c>
      <c r="CF80" s="49">
        <f t="shared" si="48"/>
        <v>0</v>
      </c>
      <c r="CG80" s="49">
        <f t="shared" si="49"/>
        <v>0</v>
      </c>
      <c r="CH80" s="49">
        <f t="shared" si="50"/>
        <v>0</v>
      </c>
      <c r="CI80" s="49">
        <f t="shared" si="51"/>
        <v>0</v>
      </c>
      <c r="CJ80" s="49">
        <f t="shared" si="52"/>
        <v>0</v>
      </c>
      <c r="CK80" s="49">
        <f t="shared" si="53"/>
        <v>0</v>
      </c>
    </row>
    <row r="81" spans="2:89" ht="12.75" customHeight="1" x14ac:dyDescent="0.2">
      <c r="B81" s="77">
        <v>39566</v>
      </c>
      <c r="C81" s="49">
        <v>140.220001</v>
      </c>
      <c r="D81" s="49">
        <v>63.91</v>
      </c>
      <c r="E81" s="49">
        <v>52.400002000000001</v>
      </c>
      <c r="F81" s="49">
        <v>64.319999999999993</v>
      </c>
      <c r="G81" s="49">
        <v>46.939999</v>
      </c>
      <c r="H81" s="49">
        <v>104.129997</v>
      </c>
      <c r="J81" s="78">
        <f>IF(inter=Weekly_2,J80+$C$5,IF(inter=Bi_weekly_2,0,IF(inter=Monthly_2,0,IF(inter=Quarterly_2,J68+$C$5,IF(inter=Yearly_2,0,IF(inter=None_2,0,0))))))</f>
        <v>0</v>
      </c>
      <c r="K81" s="79">
        <f t="shared" si="54"/>
        <v>0</v>
      </c>
      <c r="L81" s="79">
        <f t="shared" si="55"/>
        <v>0</v>
      </c>
      <c r="M81" s="79">
        <f t="shared" si="56"/>
        <v>0</v>
      </c>
      <c r="N81" s="79">
        <f t="shared" si="57"/>
        <v>0</v>
      </c>
      <c r="O81" s="79">
        <f t="shared" si="58"/>
        <v>0</v>
      </c>
      <c r="P81" s="79">
        <f t="shared" si="59"/>
        <v>0</v>
      </c>
      <c r="Q81" s="79"/>
      <c r="R81" s="80">
        <f t="shared" si="12"/>
        <v>0</v>
      </c>
      <c r="S81" s="80">
        <f t="shared" si="13"/>
        <v>0</v>
      </c>
      <c r="T81" s="80">
        <f t="shared" si="14"/>
        <v>0</v>
      </c>
      <c r="U81" s="80">
        <f t="shared" si="15"/>
        <v>0</v>
      </c>
      <c r="V81" s="80">
        <f t="shared" si="16"/>
        <v>0</v>
      </c>
      <c r="W81" s="80">
        <f t="shared" si="17"/>
        <v>0</v>
      </c>
      <c r="X81" s="80">
        <f t="shared" si="75"/>
        <v>79.298652985024972</v>
      </c>
      <c r="Y81" s="80">
        <f t="shared" si="76"/>
        <v>49.659971532500393</v>
      </c>
      <c r="Z81" s="80">
        <f t="shared" si="77"/>
        <v>48.382128211946387</v>
      </c>
      <c r="AA81" s="80">
        <f t="shared" si="78"/>
        <v>34.66330231824633</v>
      </c>
      <c r="AB81" s="80">
        <f t="shared" si="79"/>
        <v>168.92618530393403</v>
      </c>
      <c r="AC81" s="80">
        <f t="shared" si="80"/>
        <v>45.741477656196196</v>
      </c>
      <c r="AD81" s="80"/>
      <c r="AE81" s="80"/>
      <c r="AF81" s="80"/>
      <c r="AG81" s="80"/>
      <c r="AH81" s="80"/>
      <c r="AI81" s="80"/>
      <c r="AJ81" s="45">
        <f t="shared" si="19"/>
        <v>0</v>
      </c>
      <c r="AK81" s="45">
        <f t="shared" si="20"/>
        <v>0</v>
      </c>
      <c r="AL81" s="45">
        <f t="shared" si="21"/>
        <v>0</v>
      </c>
      <c r="AM81" s="45">
        <f t="shared" si="22"/>
        <v>0</v>
      </c>
      <c r="AN81" s="45">
        <f t="shared" si="23"/>
        <v>0</v>
      </c>
      <c r="AO81" s="45">
        <f t="shared" si="24"/>
        <v>0</v>
      </c>
      <c r="AP81" s="80">
        <f t="shared" si="25"/>
        <v>0</v>
      </c>
      <c r="AQ81" s="80">
        <f t="shared" si="26"/>
        <v>0</v>
      </c>
      <c r="AR81" s="80">
        <f t="shared" si="27"/>
        <v>0</v>
      </c>
      <c r="AS81" s="80">
        <f t="shared" si="28"/>
        <v>0</v>
      </c>
      <c r="AT81" s="80">
        <f t="shared" si="29"/>
        <v>0</v>
      </c>
      <c r="AU81" s="80">
        <f t="shared" si="30"/>
        <v>0</v>
      </c>
      <c r="AV81" s="80">
        <f t="shared" si="81"/>
        <v>0.46575944618897902</v>
      </c>
      <c r="AW81" s="80">
        <f t="shared" si="82"/>
        <v>0.894176339095337</v>
      </c>
      <c r="AX81" s="80">
        <f t="shared" si="83"/>
        <v>0.8298413654255381</v>
      </c>
      <c r="AY81" s="80">
        <f t="shared" si="84"/>
        <v>0.66790404308896767</v>
      </c>
      <c r="AZ81" s="80">
        <f t="shared" si="85"/>
        <v>2.9762267302687695</v>
      </c>
      <c r="BA81" s="80">
        <f t="shared" si="86"/>
        <v>0.34214616013568216</v>
      </c>
      <c r="BB81" s="80">
        <f t="shared" si="62"/>
        <v>79.764412431213955</v>
      </c>
      <c r="BC81" s="80">
        <f t="shared" si="63"/>
        <v>50.554147871595731</v>
      </c>
      <c r="BD81" s="80">
        <f t="shared" si="64"/>
        <v>49.211969577371924</v>
      </c>
      <c r="BE81" s="80">
        <f t="shared" si="65"/>
        <v>35.331206361335298</v>
      </c>
      <c r="BF81" s="80">
        <f t="shared" si="66"/>
        <v>171.9024120342028</v>
      </c>
      <c r="BG81" s="80">
        <f t="shared" si="67"/>
        <v>46.08362381633188</v>
      </c>
      <c r="BH81" s="49">
        <f t="shared" si="68"/>
        <v>0</v>
      </c>
      <c r="BI81" s="79">
        <f t="shared" si="69"/>
        <v>-31330.101732685504</v>
      </c>
      <c r="BJ81" s="79">
        <f t="shared" si="33"/>
        <v>31750.248102036559</v>
      </c>
      <c r="BK81" s="44">
        <f t="shared" si="70"/>
        <v>1.3410309769684936E-2</v>
      </c>
      <c r="BL81" s="79">
        <f t="shared" si="87"/>
        <v>391.13512884595883</v>
      </c>
      <c r="BM81" s="49">
        <f t="shared" si="71"/>
        <v>32141.383230882519</v>
      </c>
      <c r="BN81" s="44">
        <f t="shared" si="72"/>
        <v>2.5894633382266941E-2</v>
      </c>
      <c r="BO81" s="49">
        <f t="shared" si="34"/>
        <v>384.23063547250382</v>
      </c>
      <c r="BP81" s="49">
        <f t="shared" si="35"/>
        <v>32134.478737509064</v>
      </c>
      <c r="BQ81" s="44">
        <f t="shared" si="36"/>
        <v>2.5674254481733216E-2</v>
      </c>
      <c r="BS81" s="49">
        <f t="shared" si="37"/>
        <v>31330.101732685504</v>
      </c>
      <c r="BT81" s="49">
        <f t="shared" si="38"/>
        <v>70.110000499999998</v>
      </c>
      <c r="BU81" s="49">
        <f t="shared" si="39"/>
        <v>52.064998500000002</v>
      </c>
      <c r="BV81" s="49">
        <f t="shared" si="40"/>
        <v>0</v>
      </c>
      <c r="BW81" s="18">
        <f t="shared" si="41"/>
        <v>273</v>
      </c>
      <c r="BX81" s="19">
        <f t="shared" si="73"/>
        <v>0.93738532110091743</v>
      </c>
      <c r="BY81" s="49">
        <f t="shared" si="74"/>
        <v>0</v>
      </c>
      <c r="BZ81" s="19">
        <f t="shared" si="42"/>
        <v>0</v>
      </c>
      <c r="CA81" s="19">
        <f t="shared" si="43"/>
        <v>0</v>
      </c>
      <c r="CB81" s="19">
        <f t="shared" si="44"/>
        <v>0</v>
      </c>
      <c r="CC81" s="19">
        <f t="shared" si="45"/>
        <v>0</v>
      </c>
      <c r="CD81" s="19">
        <f t="shared" si="46"/>
        <v>0</v>
      </c>
      <c r="CE81" s="19">
        <f t="shared" si="47"/>
        <v>0</v>
      </c>
      <c r="CF81" s="49">
        <f t="shared" si="48"/>
        <v>0</v>
      </c>
      <c r="CG81" s="49">
        <f t="shared" si="49"/>
        <v>0</v>
      </c>
      <c r="CH81" s="49">
        <f t="shared" si="50"/>
        <v>0</v>
      </c>
      <c r="CI81" s="49">
        <f t="shared" si="51"/>
        <v>0</v>
      </c>
      <c r="CJ81" s="49">
        <f t="shared" si="52"/>
        <v>0</v>
      </c>
      <c r="CK81" s="49">
        <f t="shared" si="53"/>
        <v>0</v>
      </c>
    </row>
    <row r="82" spans="2:89" ht="12.75" customHeight="1" x14ac:dyDescent="0.2">
      <c r="B82" s="77">
        <v>39573</v>
      </c>
      <c r="C82" s="49">
        <v>138.35000600000001</v>
      </c>
      <c r="D82" s="49">
        <v>62.330002</v>
      </c>
      <c r="E82" s="49">
        <v>51.970001000000003</v>
      </c>
      <c r="F82" s="49">
        <v>63.549999</v>
      </c>
      <c r="G82" s="49">
        <v>46.560001</v>
      </c>
      <c r="H82" s="49">
        <v>102.110001</v>
      </c>
      <c r="J82" s="78">
        <f>IF(inter=Weekly_2,J81+$C$5,IF(inter=Bi_weekly_2,J80+$C$5,IF(inter=Monthly_2,J78+$C$5,IF(inter=Quarterly_2,0,IF(inter=Yearly_2,0,IF(inter=None_2,0,0))))))</f>
        <v>32000</v>
      </c>
      <c r="K82" s="79">
        <f t="shared" si="54"/>
        <v>-229.03088372987622</v>
      </c>
      <c r="L82" s="79">
        <f t="shared" si="55"/>
        <v>-104.69387505930763</v>
      </c>
      <c r="M82" s="79">
        <f t="shared" si="56"/>
        <v>-45.58074844301791</v>
      </c>
      <c r="N82" s="79">
        <f t="shared" si="57"/>
        <v>-37.147172338748078</v>
      </c>
      <c r="O82" s="79">
        <f t="shared" si="58"/>
        <v>-134.79664332264656</v>
      </c>
      <c r="P82" s="79">
        <f t="shared" si="59"/>
        <v>-129.33767078432902</v>
      </c>
      <c r="Q82" s="79"/>
      <c r="R82" s="80">
        <f t="shared" si="12"/>
        <v>1.6554454195677897</v>
      </c>
      <c r="S82" s="80">
        <f t="shared" si="13"/>
        <v>1.6796706513711908</v>
      </c>
      <c r="T82" s="80">
        <f t="shared" si="14"/>
        <v>0.87705883328764811</v>
      </c>
      <c r="U82" s="80">
        <f t="shared" si="15"/>
        <v>0.58453458573222128</v>
      </c>
      <c r="V82" s="80">
        <f t="shared" si="16"/>
        <v>2.8951168476703115</v>
      </c>
      <c r="W82" s="80">
        <f t="shared" si="17"/>
        <v>1.2666503723208173</v>
      </c>
      <c r="X82" s="80">
        <f t="shared" si="75"/>
        <v>80.954098404592756</v>
      </c>
      <c r="Y82" s="80">
        <f t="shared" si="76"/>
        <v>51.339642183871582</v>
      </c>
      <c r="Z82" s="80">
        <f t="shared" si="77"/>
        <v>49.259187045234036</v>
      </c>
      <c r="AA82" s="80">
        <f t="shared" si="78"/>
        <v>35.247836903978552</v>
      </c>
      <c r="AB82" s="80">
        <f t="shared" si="79"/>
        <v>171.82130215160436</v>
      </c>
      <c r="AC82" s="80">
        <f t="shared" si="80"/>
        <v>47.008128028517014</v>
      </c>
      <c r="AD82" s="80"/>
      <c r="AE82" s="80"/>
      <c r="AF82" s="80"/>
      <c r="AG82" s="80"/>
      <c r="AH82" s="80"/>
      <c r="AI82" s="80"/>
      <c r="AJ82" s="45">
        <f t="shared" si="19"/>
        <v>0</v>
      </c>
      <c r="AK82" s="45">
        <f t="shared" si="20"/>
        <v>0</v>
      </c>
      <c r="AL82" s="45">
        <f t="shared" si="21"/>
        <v>0</v>
      </c>
      <c r="AM82" s="45">
        <f t="shared" si="22"/>
        <v>0</v>
      </c>
      <c r="AN82" s="45">
        <f t="shared" si="23"/>
        <v>0</v>
      </c>
      <c r="AO82" s="45">
        <f t="shared" si="24"/>
        <v>0</v>
      </c>
      <c r="AP82" s="80">
        <f t="shared" si="25"/>
        <v>0</v>
      </c>
      <c r="AQ82" s="80">
        <f t="shared" si="26"/>
        <v>0</v>
      </c>
      <c r="AR82" s="80">
        <f t="shared" si="27"/>
        <v>0</v>
      </c>
      <c r="AS82" s="80">
        <f t="shared" si="28"/>
        <v>0</v>
      </c>
      <c r="AT82" s="80">
        <f t="shared" si="29"/>
        <v>0</v>
      </c>
      <c r="AU82" s="80">
        <f t="shared" si="30"/>
        <v>0</v>
      </c>
      <c r="AV82" s="80">
        <f t="shared" si="81"/>
        <v>0.46575944618897902</v>
      </c>
      <c r="AW82" s="80">
        <f t="shared" si="82"/>
        <v>0.894176339095337</v>
      </c>
      <c r="AX82" s="80">
        <f t="shared" si="83"/>
        <v>0.8298413654255381</v>
      </c>
      <c r="AY82" s="80">
        <f t="shared" si="84"/>
        <v>0.66790404308896767</v>
      </c>
      <c r="AZ82" s="80">
        <f t="shared" si="85"/>
        <v>2.9762267302687695</v>
      </c>
      <c r="BA82" s="80">
        <f t="shared" si="86"/>
        <v>0.34214616013568216</v>
      </c>
      <c r="BB82" s="80">
        <f t="shared" si="62"/>
        <v>81.419857850781739</v>
      </c>
      <c r="BC82" s="80">
        <f t="shared" si="63"/>
        <v>52.233818522966921</v>
      </c>
      <c r="BD82" s="80">
        <f t="shared" si="64"/>
        <v>50.089028410659573</v>
      </c>
      <c r="BE82" s="80">
        <f t="shared" si="65"/>
        <v>35.915740947067519</v>
      </c>
      <c r="BF82" s="80">
        <f t="shared" si="66"/>
        <v>174.79752888187312</v>
      </c>
      <c r="BG82" s="80">
        <f t="shared" si="67"/>
        <v>47.350274188652698</v>
      </c>
      <c r="BH82" s="49">
        <f t="shared" si="68"/>
        <v>0</v>
      </c>
      <c r="BI82" s="79">
        <f t="shared" si="69"/>
        <v>-32010.688726363427</v>
      </c>
      <c r="BJ82" s="79">
        <f t="shared" si="33"/>
        <v>32000</v>
      </c>
      <c r="BK82" s="44">
        <f t="shared" si="70"/>
        <v>-3.3391116494863038E-4</v>
      </c>
      <c r="BL82" s="79">
        <f t="shared" si="87"/>
        <v>391.13512884595883</v>
      </c>
      <c r="BM82" s="49">
        <f t="shared" si="71"/>
        <v>32391.135128845959</v>
      </c>
      <c r="BN82" s="44">
        <f t="shared" si="72"/>
        <v>1.1884980224408759E-2</v>
      </c>
      <c r="BO82" s="49">
        <f t="shared" si="34"/>
        <v>379.25365733151472</v>
      </c>
      <c r="BP82" s="49">
        <f t="shared" si="35"/>
        <v>32379.253657331516</v>
      </c>
      <c r="BQ82" s="44">
        <f t="shared" si="36"/>
        <v>1.1513808219457244E-2</v>
      </c>
      <c r="BS82" s="49">
        <f t="shared" si="37"/>
        <v>32010.688726363427</v>
      </c>
      <c r="BT82" s="49">
        <f t="shared" si="38"/>
        <v>69.175003000000004</v>
      </c>
      <c r="BU82" s="49">
        <f t="shared" si="39"/>
        <v>51.055000499999998</v>
      </c>
      <c r="BV82" s="49">
        <f t="shared" si="40"/>
        <v>680.58699367792542</v>
      </c>
      <c r="BW82" s="18">
        <f t="shared" si="41"/>
        <v>280</v>
      </c>
      <c r="BX82" s="19">
        <f t="shared" si="73"/>
        <v>0.93577981651376152</v>
      </c>
      <c r="BY82" s="49">
        <f t="shared" si="74"/>
        <v>636.87957206558167</v>
      </c>
      <c r="BZ82" s="19">
        <f t="shared" si="42"/>
        <v>1.6554454195677897</v>
      </c>
      <c r="CA82" s="19">
        <f t="shared" si="43"/>
        <v>1.6796706513711908</v>
      </c>
      <c r="CB82" s="19">
        <f t="shared" si="44"/>
        <v>0.87705883328764811</v>
      </c>
      <c r="CC82" s="19">
        <f t="shared" si="45"/>
        <v>0.58453458573222128</v>
      </c>
      <c r="CD82" s="19">
        <f t="shared" si="46"/>
        <v>2.8951168476703115</v>
      </c>
      <c r="CE82" s="19">
        <f t="shared" si="47"/>
        <v>1.2666503723208173</v>
      </c>
      <c r="CF82" s="49">
        <f t="shared" si="48"/>
        <v>-229.03088372987622</v>
      </c>
      <c r="CG82" s="49">
        <f t="shared" si="49"/>
        <v>-104.69387505930763</v>
      </c>
      <c r="CH82" s="49">
        <f t="shared" si="50"/>
        <v>-45.58074844301791</v>
      </c>
      <c r="CI82" s="49">
        <f t="shared" si="51"/>
        <v>-37.147172338748078</v>
      </c>
      <c r="CJ82" s="49">
        <f t="shared" si="52"/>
        <v>-134.79664332264656</v>
      </c>
      <c r="CK82" s="49">
        <f t="shared" si="53"/>
        <v>-129.33767078432902</v>
      </c>
    </row>
    <row r="83" spans="2:89" ht="12.75" customHeight="1" x14ac:dyDescent="0.2">
      <c r="B83" s="77">
        <v>39580</v>
      </c>
      <c r="C83" s="49">
        <v>142.11999499999999</v>
      </c>
      <c r="D83" s="49">
        <v>63.900002000000001</v>
      </c>
      <c r="E83" s="49">
        <v>53.889999000000003</v>
      </c>
      <c r="F83" s="49">
        <v>65.589995999999999</v>
      </c>
      <c r="G83" s="49">
        <v>48.130001</v>
      </c>
      <c r="H83" s="49">
        <v>106.760002</v>
      </c>
      <c r="J83" s="78">
        <f>IF(inter=Weekly_2,J82+$C$5,IF(inter=Bi_weekly_2,0,IF(inter=Monthly_2,0,IF(inter=Quarterly_2,0,IF(inter=Yearly_2,0,IF(inter=None_2,0,0))))))</f>
        <v>0</v>
      </c>
      <c r="K83" s="79">
        <f t="shared" si="54"/>
        <v>0</v>
      </c>
      <c r="L83" s="79">
        <f t="shared" si="55"/>
        <v>0</v>
      </c>
      <c r="M83" s="79">
        <f t="shared" si="56"/>
        <v>0</v>
      </c>
      <c r="N83" s="79">
        <f t="shared" si="57"/>
        <v>0</v>
      </c>
      <c r="O83" s="79">
        <f t="shared" si="58"/>
        <v>0</v>
      </c>
      <c r="P83" s="79">
        <f t="shared" si="59"/>
        <v>0</v>
      </c>
      <c r="Q83" s="79"/>
      <c r="R83" s="80">
        <f t="shared" si="12"/>
        <v>0</v>
      </c>
      <c r="S83" s="80">
        <f t="shared" si="13"/>
        <v>0</v>
      </c>
      <c r="T83" s="80">
        <f t="shared" si="14"/>
        <v>0</v>
      </c>
      <c r="U83" s="80">
        <f t="shared" si="15"/>
        <v>0</v>
      </c>
      <c r="V83" s="80">
        <f t="shared" si="16"/>
        <v>0</v>
      </c>
      <c r="W83" s="80">
        <f t="shared" si="17"/>
        <v>0</v>
      </c>
      <c r="X83" s="80">
        <f t="shared" si="75"/>
        <v>80.954098404592756</v>
      </c>
      <c r="Y83" s="80">
        <f t="shared" si="76"/>
        <v>51.339642183871582</v>
      </c>
      <c r="Z83" s="80">
        <f t="shared" si="77"/>
        <v>49.259187045234036</v>
      </c>
      <c r="AA83" s="80">
        <f t="shared" si="78"/>
        <v>35.247836903978552</v>
      </c>
      <c r="AB83" s="80">
        <f t="shared" si="79"/>
        <v>171.82130215160436</v>
      </c>
      <c r="AC83" s="80">
        <f t="shared" si="80"/>
        <v>47.008128028517014</v>
      </c>
      <c r="AD83" s="80"/>
      <c r="AE83" s="80"/>
      <c r="AF83" s="80"/>
      <c r="AG83" s="80"/>
      <c r="AH83" s="80"/>
      <c r="AI83" s="80"/>
      <c r="AJ83" s="45">
        <f t="shared" si="19"/>
        <v>0</v>
      </c>
      <c r="AK83" s="45">
        <f t="shared" si="20"/>
        <v>0</v>
      </c>
      <c r="AL83" s="45">
        <f t="shared" si="21"/>
        <v>0</v>
      </c>
      <c r="AM83" s="45">
        <f t="shared" si="22"/>
        <v>0</v>
      </c>
      <c r="AN83" s="45">
        <f t="shared" si="23"/>
        <v>0</v>
      </c>
      <c r="AO83" s="45">
        <f t="shared" si="24"/>
        <v>0</v>
      </c>
      <c r="AP83" s="80">
        <f t="shared" si="25"/>
        <v>0</v>
      </c>
      <c r="AQ83" s="80">
        <f t="shared" si="26"/>
        <v>0</v>
      </c>
      <c r="AR83" s="80">
        <f t="shared" si="27"/>
        <v>0</v>
      </c>
      <c r="AS83" s="80">
        <f t="shared" si="28"/>
        <v>0</v>
      </c>
      <c r="AT83" s="80">
        <f t="shared" si="29"/>
        <v>0</v>
      </c>
      <c r="AU83" s="80">
        <f t="shared" si="30"/>
        <v>0</v>
      </c>
      <c r="AV83" s="80">
        <f t="shared" si="81"/>
        <v>0.46575944618897902</v>
      </c>
      <c r="AW83" s="80">
        <f t="shared" si="82"/>
        <v>0.894176339095337</v>
      </c>
      <c r="AX83" s="80">
        <f t="shared" si="83"/>
        <v>0.8298413654255381</v>
      </c>
      <c r="AY83" s="80">
        <f t="shared" si="84"/>
        <v>0.66790404308896767</v>
      </c>
      <c r="AZ83" s="80">
        <f t="shared" si="85"/>
        <v>2.9762267302687695</v>
      </c>
      <c r="BA83" s="80">
        <f t="shared" si="86"/>
        <v>0.34214616013568216</v>
      </c>
      <c r="BB83" s="80">
        <f t="shared" si="62"/>
        <v>81.419857850781739</v>
      </c>
      <c r="BC83" s="80">
        <f t="shared" si="63"/>
        <v>52.233818522966921</v>
      </c>
      <c r="BD83" s="80">
        <f t="shared" si="64"/>
        <v>50.089028410659573</v>
      </c>
      <c r="BE83" s="80">
        <f t="shared" si="65"/>
        <v>35.915740947067519</v>
      </c>
      <c r="BF83" s="80">
        <f t="shared" si="66"/>
        <v>174.79752888187312</v>
      </c>
      <c r="BG83" s="80">
        <f t="shared" si="67"/>
        <v>47.350274188652698</v>
      </c>
      <c r="BH83" s="49">
        <f t="shared" si="68"/>
        <v>0</v>
      </c>
      <c r="BI83" s="79">
        <f t="shared" si="69"/>
        <v>-32010.688726363427</v>
      </c>
      <c r="BJ83" s="79">
        <f t="shared" si="33"/>
        <v>33040.629607586743</v>
      </c>
      <c r="BK83" s="44">
        <f t="shared" si="70"/>
        <v>3.2174905389494857E-2</v>
      </c>
      <c r="BL83" s="79">
        <f t="shared" si="87"/>
        <v>391.13512884595883</v>
      </c>
      <c r="BM83" s="49">
        <f t="shared" si="71"/>
        <v>33431.764736432699</v>
      </c>
      <c r="BN83" s="44">
        <f t="shared" si="72"/>
        <v>4.4393796778852135E-2</v>
      </c>
      <c r="BO83" s="49">
        <f t="shared" si="34"/>
        <v>391.63289413209566</v>
      </c>
      <c r="BP83" s="49">
        <f t="shared" si="35"/>
        <v>33432.26250171884</v>
      </c>
      <c r="BQ83" s="44">
        <f t="shared" si="36"/>
        <v>4.4409346750000633E-2</v>
      </c>
      <c r="BS83" s="49">
        <f t="shared" si="37"/>
        <v>32010.688726363427</v>
      </c>
      <c r="BT83" s="49">
        <f t="shared" si="38"/>
        <v>71.059997499999994</v>
      </c>
      <c r="BU83" s="49">
        <f t="shared" si="39"/>
        <v>53.380001</v>
      </c>
      <c r="BV83" s="49">
        <f t="shared" si="40"/>
        <v>0</v>
      </c>
      <c r="BW83" s="18">
        <f t="shared" si="41"/>
        <v>287</v>
      </c>
      <c r="BX83" s="19">
        <f t="shared" si="73"/>
        <v>0.93417431192660549</v>
      </c>
      <c r="BY83" s="49">
        <f t="shared" si="74"/>
        <v>0</v>
      </c>
      <c r="BZ83" s="19">
        <f t="shared" si="42"/>
        <v>0</v>
      </c>
      <c r="CA83" s="19">
        <f t="shared" si="43"/>
        <v>0</v>
      </c>
      <c r="CB83" s="19">
        <f t="shared" si="44"/>
        <v>0</v>
      </c>
      <c r="CC83" s="19">
        <f t="shared" si="45"/>
        <v>0</v>
      </c>
      <c r="CD83" s="19">
        <f t="shared" si="46"/>
        <v>0</v>
      </c>
      <c r="CE83" s="19">
        <f t="shared" si="47"/>
        <v>0</v>
      </c>
      <c r="CF83" s="49">
        <f t="shared" si="48"/>
        <v>0</v>
      </c>
      <c r="CG83" s="49">
        <f t="shared" si="49"/>
        <v>0</v>
      </c>
      <c r="CH83" s="49">
        <f t="shared" si="50"/>
        <v>0</v>
      </c>
      <c r="CI83" s="49">
        <f t="shared" si="51"/>
        <v>0</v>
      </c>
      <c r="CJ83" s="49">
        <f t="shared" si="52"/>
        <v>0</v>
      </c>
      <c r="CK83" s="49">
        <f t="shared" si="53"/>
        <v>0</v>
      </c>
    </row>
    <row r="84" spans="2:89" ht="12.75" customHeight="1" x14ac:dyDescent="0.2">
      <c r="B84" s="77">
        <v>39587</v>
      </c>
      <c r="C84" s="49">
        <v>137.259995</v>
      </c>
      <c r="D84" s="49">
        <v>61.610000999999997</v>
      </c>
      <c r="E84" s="49">
        <v>52.27</v>
      </c>
      <c r="F84" s="49">
        <v>64.089995999999999</v>
      </c>
      <c r="G84" s="49">
        <v>46.900002000000001</v>
      </c>
      <c r="H84" s="49">
        <v>102.360001</v>
      </c>
      <c r="J84" s="78">
        <f>IF(inter=Weekly_2,J83+$C$5,IF(inter=Bi_weekly_2,J82+$C$5,IF(inter=Monthly_2,0,IF(inter=Quarterly_2,0,IF(inter=Yearly_2,0,IF(inter=None_2,0,0))))))</f>
        <v>32600</v>
      </c>
      <c r="K84" s="79">
        <f t="shared" si="54"/>
        <v>-298.24085775609092</v>
      </c>
      <c r="L84" s="79">
        <f t="shared" si="55"/>
        <v>-96.96459371202991</v>
      </c>
      <c r="M84" s="79">
        <f t="shared" si="56"/>
        <v>-33.222293145616732</v>
      </c>
      <c r="N84" s="79">
        <f t="shared" si="57"/>
        <v>-22.966273815362456</v>
      </c>
      <c r="O84" s="79">
        <f t="shared" si="58"/>
        <v>-91.580585447150952</v>
      </c>
      <c r="P84" s="79">
        <f t="shared" si="59"/>
        <v>-78.247967992870144</v>
      </c>
      <c r="Q84" s="79"/>
      <c r="R84" s="80">
        <f t="shared" si="12"/>
        <v>2.172817052456478</v>
      </c>
      <c r="S84" s="80">
        <f t="shared" si="13"/>
        <v>1.5738450274011506</v>
      </c>
      <c r="T84" s="80">
        <f t="shared" si="14"/>
        <v>0.63559007357215858</v>
      </c>
      <c r="U84" s="80">
        <f t="shared" si="15"/>
        <v>0.35834412932967663</v>
      </c>
      <c r="V84" s="80">
        <f t="shared" si="16"/>
        <v>1.9526776448144063</v>
      </c>
      <c r="W84" s="80">
        <f t="shared" si="17"/>
        <v>0.76443891391589713</v>
      </c>
      <c r="X84" s="80">
        <f t="shared" si="75"/>
        <v>83.126915457049236</v>
      </c>
      <c r="Y84" s="80">
        <f t="shared" si="76"/>
        <v>52.913487211272731</v>
      </c>
      <c r="Z84" s="80">
        <f t="shared" si="77"/>
        <v>49.894777118806196</v>
      </c>
      <c r="AA84" s="80">
        <f t="shared" si="78"/>
        <v>35.606181033308232</v>
      </c>
      <c r="AB84" s="80">
        <f t="shared" si="79"/>
        <v>173.77397979641876</v>
      </c>
      <c r="AC84" s="80">
        <f t="shared" si="80"/>
        <v>47.77256694243291</v>
      </c>
      <c r="AD84" s="80"/>
      <c r="AE84" s="80"/>
      <c r="AF84" s="80"/>
      <c r="AG84" s="80"/>
      <c r="AH84" s="80"/>
      <c r="AI84" s="80"/>
      <c r="AJ84" s="45">
        <f t="shared" si="19"/>
        <v>0</v>
      </c>
      <c r="AK84" s="45">
        <f t="shared" si="20"/>
        <v>0</v>
      </c>
      <c r="AL84" s="45">
        <f t="shared" si="21"/>
        <v>0</v>
      </c>
      <c r="AM84" s="45">
        <f t="shared" si="22"/>
        <v>0</v>
      </c>
      <c r="AN84" s="45">
        <f t="shared" si="23"/>
        <v>0</v>
      </c>
      <c r="AO84" s="45">
        <f t="shared" si="24"/>
        <v>0</v>
      </c>
      <c r="AP84" s="80">
        <f t="shared" si="25"/>
        <v>0</v>
      </c>
      <c r="AQ84" s="80">
        <f t="shared" si="26"/>
        <v>0</v>
      </c>
      <c r="AR84" s="80">
        <f t="shared" si="27"/>
        <v>0</v>
      </c>
      <c r="AS84" s="80">
        <f t="shared" si="28"/>
        <v>0</v>
      </c>
      <c r="AT84" s="80">
        <f t="shared" si="29"/>
        <v>0</v>
      </c>
      <c r="AU84" s="80">
        <f t="shared" si="30"/>
        <v>0</v>
      </c>
      <c r="AV84" s="80">
        <f t="shared" si="81"/>
        <v>0.46575944618897902</v>
      </c>
      <c r="AW84" s="80">
        <f t="shared" si="82"/>
        <v>0.894176339095337</v>
      </c>
      <c r="AX84" s="80">
        <f t="shared" si="83"/>
        <v>0.8298413654255381</v>
      </c>
      <c r="AY84" s="80">
        <f t="shared" si="84"/>
        <v>0.66790404308896767</v>
      </c>
      <c r="AZ84" s="80">
        <f t="shared" si="85"/>
        <v>2.9762267302687695</v>
      </c>
      <c r="BA84" s="80">
        <f t="shared" si="86"/>
        <v>0.34214616013568216</v>
      </c>
      <c r="BB84" s="80">
        <f t="shared" si="62"/>
        <v>83.592674903238219</v>
      </c>
      <c r="BC84" s="80">
        <f t="shared" si="63"/>
        <v>53.807663550368069</v>
      </c>
      <c r="BD84" s="80">
        <f t="shared" si="64"/>
        <v>50.724618484231733</v>
      </c>
      <c r="BE84" s="80">
        <f t="shared" si="65"/>
        <v>36.274085076397199</v>
      </c>
      <c r="BF84" s="80">
        <f t="shared" si="66"/>
        <v>176.75020652668752</v>
      </c>
      <c r="BG84" s="80">
        <f t="shared" si="67"/>
        <v>48.114713102568594</v>
      </c>
      <c r="BH84" s="49">
        <f t="shared" si="68"/>
        <v>0</v>
      </c>
      <c r="BI84" s="79">
        <f t="shared" si="69"/>
        <v>-32631.91129823255</v>
      </c>
      <c r="BJ84" s="79">
        <f t="shared" si="33"/>
        <v>32600</v>
      </c>
      <c r="BK84" s="44">
        <f t="shared" si="70"/>
        <v>-9.7791692128923469E-4</v>
      </c>
      <c r="BL84" s="79">
        <f t="shared" si="87"/>
        <v>391.13512884595883</v>
      </c>
      <c r="BM84" s="49">
        <f t="shared" si="71"/>
        <v>32991.135128845955</v>
      </c>
      <c r="BN84" s="44">
        <f t="shared" si="72"/>
        <v>1.100836010892392E-2</v>
      </c>
      <c r="BO84" s="49">
        <f t="shared" si="34"/>
        <v>379.8092409173841</v>
      </c>
      <c r="BP84" s="49">
        <f t="shared" si="35"/>
        <v>32979.809240917384</v>
      </c>
      <c r="BQ84" s="44">
        <f t="shared" si="36"/>
        <v>1.0661279981589056E-2</v>
      </c>
      <c r="BS84" s="49">
        <f t="shared" si="37"/>
        <v>32631.91129823255</v>
      </c>
      <c r="BT84" s="49">
        <f t="shared" si="38"/>
        <v>68.629997500000002</v>
      </c>
      <c r="BU84" s="49">
        <f t="shared" si="39"/>
        <v>51.180000499999998</v>
      </c>
      <c r="BV84" s="49">
        <f t="shared" si="40"/>
        <v>621.22257186912111</v>
      </c>
      <c r="BW84" s="18">
        <f t="shared" si="41"/>
        <v>294</v>
      </c>
      <c r="BX84" s="19">
        <f t="shared" si="73"/>
        <v>0.93256880733944958</v>
      </c>
      <c r="BY84" s="49">
        <f t="shared" si="74"/>
        <v>579.33279294033173</v>
      </c>
      <c r="BZ84" s="19">
        <f t="shared" si="42"/>
        <v>2.172817052456478</v>
      </c>
      <c r="CA84" s="19">
        <f t="shared" si="43"/>
        <v>1.5738450274011506</v>
      </c>
      <c r="CB84" s="19">
        <f t="shared" si="44"/>
        <v>0.63559007357215858</v>
      </c>
      <c r="CC84" s="19">
        <f t="shared" si="45"/>
        <v>0.35834412932967663</v>
      </c>
      <c r="CD84" s="19">
        <f t="shared" si="46"/>
        <v>1.9526776448144063</v>
      </c>
      <c r="CE84" s="19">
        <f t="shared" si="47"/>
        <v>0.76443891391589713</v>
      </c>
      <c r="CF84" s="49">
        <f t="shared" si="48"/>
        <v>-298.24085775609092</v>
      </c>
      <c r="CG84" s="49">
        <f t="shared" si="49"/>
        <v>-96.96459371202991</v>
      </c>
      <c r="CH84" s="49">
        <f t="shared" si="50"/>
        <v>-33.222293145616732</v>
      </c>
      <c r="CI84" s="49">
        <f t="shared" si="51"/>
        <v>-22.966273815362456</v>
      </c>
      <c r="CJ84" s="49">
        <f t="shared" si="52"/>
        <v>-91.580585447150952</v>
      </c>
      <c r="CK84" s="49">
        <f t="shared" si="53"/>
        <v>-78.247967992870144</v>
      </c>
    </row>
    <row r="85" spans="2:89" ht="12.75" customHeight="1" x14ac:dyDescent="0.2">
      <c r="B85" s="77">
        <v>39595</v>
      </c>
      <c r="C85" s="49">
        <v>140.16999799999999</v>
      </c>
      <c r="D85" s="49">
        <v>62.290000999999997</v>
      </c>
      <c r="E85" s="49">
        <v>53.240001999999997</v>
      </c>
      <c r="F85" s="49">
        <v>65.650002000000001</v>
      </c>
      <c r="G85" s="49">
        <v>47.009998000000003</v>
      </c>
      <c r="H85" s="49">
        <v>103.779999</v>
      </c>
      <c r="J85" s="78">
        <f>IF(inter=Weekly_2,J84+$C$5,IF(inter=Bi_weekly_2,0,IF(inter=Monthly_2,0,IF(inter=Quarterly_2,0,IF(inter=Yearly_2,0,IF(inter=None_2,0,0))))))</f>
        <v>0</v>
      </c>
      <c r="K85" s="79">
        <f t="shared" si="54"/>
        <v>0</v>
      </c>
      <c r="L85" s="79">
        <f t="shared" si="55"/>
        <v>0</v>
      </c>
      <c r="M85" s="79">
        <f t="shared" si="56"/>
        <v>0</v>
      </c>
      <c r="N85" s="79">
        <f t="shared" si="57"/>
        <v>0</v>
      </c>
      <c r="O85" s="79">
        <f t="shared" si="58"/>
        <v>0</v>
      </c>
      <c r="P85" s="79">
        <f t="shared" si="59"/>
        <v>0</v>
      </c>
      <c r="Q85" s="79"/>
      <c r="R85" s="80">
        <f t="shared" si="12"/>
        <v>0</v>
      </c>
      <c r="S85" s="80">
        <f t="shared" si="13"/>
        <v>0</v>
      </c>
      <c r="T85" s="80">
        <f t="shared" si="14"/>
        <v>0</v>
      </c>
      <c r="U85" s="80">
        <f t="shared" si="15"/>
        <v>0</v>
      </c>
      <c r="V85" s="80">
        <f t="shared" si="16"/>
        <v>0</v>
      </c>
      <c r="W85" s="80">
        <f t="shared" si="17"/>
        <v>0</v>
      </c>
      <c r="X85" s="80">
        <f t="shared" si="75"/>
        <v>83.126915457049236</v>
      </c>
      <c r="Y85" s="80">
        <f t="shared" si="76"/>
        <v>52.913487211272731</v>
      </c>
      <c r="Z85" s="80">
        <f t="shared" si="77"/>
        <v>49.894777118806196</v>
      </c>
      <c r="AA85" s="80">
        <f t="shared" si="78"/>
        <v>35.606181033308232</v>
      </c>
      <c r="AB85" s="80">
        <f t="shared" si="79"/>
        <v>173.77397979641876</v>
      </c>
      <c r="AC85" s="80">
        <f t="shared" si="80"/>
        <v>47.77256694243291</v>
      </c>
      <c r="AD85" s="80"/>
      <c r="AE85" s="80"/>
      <c r="AF85" s="80"/>
      <c r="AG85" s="80"/>
      <c r="AH85" s="80"/>
      <c r="AI85" s="80"/>
      <c r="AJ85" s="45">
        <f t="shared" si="19"/>
        <v>0</v>
      </c>
      <c r="AK85" s="45">
        <f t="shared" si="20"/>
        <v>0</v>
      </c>
      <c r="AL85" s="45">
        <f t="shared" si="21"/>
        <v>0</v>
      </c>
      <c r="AM85" s="45">
        <f t="shared" si="22"/>
        <v>0</v>
      </c>
      <c r="AN85" s="45">
        <f t="shared" si="23"/>
        <v>0</v>
      </c>
      <c r="AO85" s="45">
        <f t="shared" si="24"/>
        <v>0</v>
      </c>
      <c r="AP85" s="80">
        <f t="shared" si="25"/>
        <v>0</v>
      </c>
      <c r="AQ85" s="80">
        <f t="shared" si="26"/>
        <v>0</v>
      </c>
      <c r="AR85" s="80">
        <f t="shared" si="27"/>
        <v>0</v>
      </c>
      <c r="AS85" s="80">
        <f t="shared" si="28"/>
        <v>0</v>
      </c>
      <c r="AT85" s="80">
        <f t="shared" si="29"/>
        <v>0</v>
      </c>
      <c r="AU85" s="80">
        <f t="shared" si="30"/>
        <v>0</v>
      </c>
      <c r="AV85" s="80">
        <f t="shared" si="81"/>
        <v>0.46575944618897902</v>
      </c>
      <c r="AW85" s="80">
        <f t="shared" si="82"/>
        <v>0.894176339095337</v>
      </c>
      <c r="AX85" s="80">
        <f t="shared" si="83"/>
        <v>0.8298413654255381</v>
      </c>
      <c r="AY85" s="80">
        <f t="shared" si="84"/>
        <v>0.66790404308896767</v>
      </c>
      <c r="AZ85" s="80">
        <f t="shared" si="85"/>
        <v>2.9762267302687695</v>
      </c>
      <c r="BA85" s="80">
        <f t="shared" si="86"/>
        <v>0.34214616013568216</v>
      </c>
      <c r="BB85" s="80">
        <f t="shared" si="62"/>
        <v>83.592674903238219</v>
      </c>
      <c r="BC85" s="80">
        <f t="shared" si="63"/>
        <v>53.807663550368069</v>
      </c>
      <c r="BD85" s="80">
        <f t="shared" si="64"/>
        <v>50.724618484231733</v>
      </c>
      <c r="BE85" s="80">
        <f t="shared" si="65"/>
        <v>36.274085076397199</v>
      </c>
      <c r="BF85" s="80">
        <f t="shared" si="66"/>
        <v>176.75020652668752</v>
      </c>
      <c r="BG85" s="80">
        <f t="shared" si="67"/>
        <v>48.114713102568594</v>
      </c>
      <c r="BH85" s="49">
        <f t="shared" si="68"/>
        <v>0</v>
      </c>
      <c r="BI85" s="79">
        <f t="shared" si="69"/>
        <v>-32631.91129823255</v>
      </c>
      <c r="BJ85" s="79">
        <f t="shared" si="33"/>
        <v>33068.776026503074</v>
      </c>
      <c r="BK85" s="44">
        <f t="shared" si="70"/>
        <v>1.338765370737538E-2</v>
      </c>
      <c r="BL85" s="79">
        <f t="shared" si="87"/>
        <v>391.13512884595883</v>
      </c>
      <c r="BM85" s="49">
        <f t="shared" si="71"/>
        <v>33459.911155349029</v>
      </c>
      <c r="BN85" s="44">
        <f t="shared" si="72"/>
        <v>2.5373930737588424E-2</v>
      </c>
      <c r="BO85" s="49">
        <f t="shared" si="34"/>
        <v>384.43274421096868</v>
      </c>
      <c r="BP85" s="49">
        <f t="shared" si="35"/>
        <v>33453.208770714045</v>
      </c>
      <c r="BQ85" s="44">
        <f t="shared" si="36"/>
        <v>2.5168537171341931E-2</v>
      </c>
      <c r="BS85" s="49">
        <f t="shared" si="37"/>
        <v>32631.91129823255</v>
      </c>
      <c r="BT85" s="49">
        <f t="shared" si="38"/>
        <v>70.084998999999996</v>
      </c>
      <c r="BU85" s="49">
        <f t="shared" si="39"/>
        <v>51.889999500000002</v>
      </c>
      <c r="BV85" s="49">
        <f t="shared" si="40"/>
        <v>0</v>
      </c>
      <c r="BW85" s="18">
        <f t="shared" si="41"/>
        <v>302</v>
      </c>
      <c r="BX85" s="19">
        <f t="shared" si="73"/>
        <v>0.93073394495412842</v>
      </c>
      <c r="BY85" s="49">
        <f t="shared" si="74"/>
        <v>0</v>
      </c>
      <c r="BZ85" s="19">
        <f t="shared" si="42"/>
        <v>0</v>
      </c>
      <c r="CA85" s="19">
        <f t="shared" si="43"/>
        <v>0</v>
      </c>
      <c r="CB85" s="19">
        <f t="shared" si="44"/>
        <v>0</v>
      </c>
      <c r="CC85" s="19">
        <f t="shared" si="45"/>
        <v>0</v>
      </c>
      <c r="CD85" s="19">
        <f t="shared" si="46"/>
        <v>0</v>
      </c>
      <c r="CE85" s="19">
        <f t="shared" si="47"/>
        <v>0</v>
      </c>
      <c r="CF85" s="49">
        <f t="shared" si="48"/>
        <v>0</v>
      </c>
      <c r="CG85" s="49">
        <f t="shared" si="49"/>
        <v>0</v>
      </c>
      <c r="CH85" s="49">
        <f t="shared" si="50"/>
        <v>0</v>
      </c>
      <c r="CI85" s="49">
        <f t="shared" si="51"/>
        <v>0</v>
      </c>
      <c r="CJ85" s="49">
        <f t="shared" si="52"/>
        <v>0</v>
      </c>
      <c r="CK85" s="49">
        <f t="shared" si="53"/>
        <v>0</v>
      </c>
    </row>
    <row r="86" spans="2:89" ht="12.75" customHeight="1" x14ac:dyDescent="0.2">
      <c r="B86" s="77">
        <v>39601</v>
      </c>
      <c r="C86" s="49">
        <v>136.990005</v>
      </c>
      <c r="D86" s="49">
        <v>60.299999</v>
      </c>
      <c r="E86" s="49">
        <v>52</v>
      </c>
      <c r="F86" s="49">
        <v>64.389999000000003</v>
      </c>
      <c r="G86" s="49">
        <v>45.580002</v>
      </c>
      <c r="H86" s="49">
        <v>99.379997000000003</v>
      </c>
      <c r="J86" s="78">
        <f>IF(inter=Weekly_2,J85+$C$5,IF(inter=Bi_weekly_2,J84+$C$5,IF(inter=Monthly_2,J82+$C$5,IF(inter=Quarterly_2,0,IF(inter=Yearly_2,0,IF(inter=None_2,0,0))))))</f>
        <v>33200</v>
      </c>
      <c r="K86" s="79">
        <f t="shared" si="54"/>
        <v>-232.44343590424796</v>
      </c>
      <c r="L86" s="79">
        <f t="shared" si="55"/>
        <v>-129.31677407374173</v>
      </c>
      <c r="M86" s="79">
        <f t="shared" si="56"/>
        <v>-61.471589822077931</v>
      </c>
      <c r="N86" s="79">
        <f t="shared" si="57"/>
        <v>-31.318038871464069</v>
      </c>
      <c r="O86" s="79">
        <f t="shared" si="58"/>
        <v>-379.38165333127381</v>
      </c>
      <c r="P86" s="79">
        <f t="shared" si="59"/>
        <v>-232.36244057871772</v>
      </c>
      <c r="Q86" s="79"/>
      <c r="R86" s="80">
        <f t="shared" si="12"/>
        <v>1.6967912068055473</v>
      </c>
      <c r="S86" s="80">
        <f t="shared" si="13"/>
        <v>2.1445568195406062</v>
      </c>
      <c r="T86" s="80">
        <f t="shared" si="14"/>
        <v>1.1821459581168834</v>
      </c>
      <c r="U86" s="80">
        <f t="shared" si="15"/>
        <v>0.48638048389260058</v>
      </c>
      <c r="V86" s="80">
        <f t="shared" si="16"/>
        <v>8.3234233585876947</v>
      </c>
      <c r="W86" s="80">
        <f t="shared" si="17"/>
        <v>2.3381208250460879</v>
      </c>
      <c r="X86" s="80">
        <f t="shared" si="75"/>
        <v>84.823706663854779</v>
      </c>
      <c r="Y86" s="80">
        <f t="shared" si="76"/>
        <v>55.058044030813335</v>
      </c>
      <c r="Z86" s="80">
        <f t="shared" si="77"/>
        <v>51.07692307692308</v>
      </c>
      <c r="AA86" s="80">
        <f t="shared" si="78"/>
        <v>36.092561517200835</v>
      </c>
      <c r="AB86" s="80">
        <f t="shared" si="79"/>
        <v>182.09740315500645</v>
      </c>
      <c r="AC86" s="80">
        <f t="shared" si="80"/>
        <v>50.110687767479</v>
      </c>
      <c r="AD86" s="80"/>
      <c r="AE86" s="80"/>
      <c r="AF86" s="80"/>
      <c r="AG86" s="80"/>
      <c r="AH86" s="80"/>
      <c r="AI86" s="80"/>
      <c r="AJ86" s="45">
        <f t="shared" si="19"/>
        <v>0</v>
      </c>
      <c r="AK86" s="45">
        <f t="shared" si="20"/>
        <v>0</v>
      </c>
      <c r="AL86" s="45">
        <f t="shared" si="21"/>
        <v>0</v>
      </c>
      <c r="AM86" s="45">
        <f t="shared" si="22"/>
        <v>0</v>
      </c>
      <c r="AN86" s="45">
        <f t="shared" si="23"/>
        <v>0</v>
      </c>
      <c r="AO86" s="45">
        <f t="shared" si="24"/>
        <v>0</v>
      </c>
      <c r="AP86" s="80">
        <f t="shared" si="25"/>
        <v>0</v>
      </c>
      <c r="AQ86" s="80">
        <f t="shared" si="26"/>
        <v>0</v>
      </c>
      <c r="AR86" s="80">
        <f t="shared" si="27"/>
        <v>0</v>
      </c>
      <c r="AS86" s="80">
        <f t="shared" si="28"/>
        <v>0</v>
      </c>
      <c r="AT86" s="80">
        <f t="shared" si="29"/>
        <v>0</v>
      </c>
      <c r="AU86" s="80">
        <f t="shared" si="30"/>
        <v>0</v>
      </c>
      <c r="AV86" s="80">
        <f t="shared" si="81"/>
        <v>0.46575944618897902</v>
      </c>
      <c r="AW86" s="80">
        <f t="shared" si="82"/>
        <v>0.894176339095337</v>
      </c>
      <c r="AX86" s="80">
        <f t="shared" si="83"/>
        <v>0.8298413654255381</v>
      </c>
      <c r="AY86" s="80">
        <f t="shared" si="84"/>
        <v>0.66790404308896767</v>
      </c>
      <c r="AZ86" s="80">
        <f t="shared" si="85"/>
        <v>2.9762267302687695</v>
      </c>
      <c r="BA86" s="80">
        <f t="shared" si="86"/>
        <v>0.34214616013568216</v>
      </c>
      <c r="BB86" s="80">
        <f t="shared" si="62"/>
        <v>85.289466110043762</v>
      </c>
      <c r="BC86" s="80">
        <f t="shared" si="63"/>
        <v>55.952220369908673</v>
      </c>
      <c r="BD86" s="80">
        <f t="shared" si="64"/>
        <v>51.906764442348617</v>
      </c>
      <c r="BE86" s="80">
        <f t="shared" si="65"/>
        <v>36.760465560289802</v>
      </c>
      <c r="BF86" s="80">
        <f t="shared" si="66"/>
        <v>185.07362988527521</v>
      </c>
      <c r="BG86" s="80">
        <f t="shared" si="67"/>
        <v>50.452833927614684</v>
      </c>
      <c r="BH86" s="49">
        <f t="shared" si="68"/>
        <v>0</v>
      </c>
      <c r="BI86" s="79">
        <f t="shared" si="69"/>
        <v>-33698.205230814063</v>
      </c>
      <c r="BJ86" s="79">
        <f t="shared" si="33"/>
        <v>33200</v>
      </c>
      <c r="BK86" s="44">
        <f t="shared" si="70"/>
        <v>-1.4784325378803809E-2</v>
      </c>
      <c r="BL86" s="79">
        <f t="shared" si="87"/>
        <v>391.13512884595883</v>
      </c>
      <c r="BM86" s="49">
        <f t="shared" si="71"/>
        <v>33591.135128845955</v>
      </c>
      <c r="BN86" s="44">
        <f t="shared" si="72"/>
        <v>-3.177323576574409E-3</v>
      </c>
      <c r="BO86" s="49">
        <f t="shared" si="34"/>
        <v>373.54021757017011</v>
      </c>
      <c r="BP86" s="49">
        <f t="shared" si="35"/>
        <v>33573.540217570167</v>
      </c>
      <c r="BQ86" s="44">
        <f t="shared" si="36"/>
        <v>-3.6994555760465619E-3</v>
      </c>
      <c r="BS86" s="49">
        <f t="shared" si="37"/>
        <v>33698.205230814063</v>
      </c>
      <c r="BT86" s="49">
        <f t="shared" si="38"/>
        <v>68.495002499999998</v>
      </c>
      <c r="BU86" s="49">
        <f t="shared" si="39"/>
        <v>49.689998500000002</v>
      </c>
      <c r="BV86" s="49">
        <f t="shared" si="40"/>
        <v>1066.2939325815232</v>
      </c>
      <c r="BW86" s="18">
        <f t="shared" si="41"/>
        <v>308</v>
      </c>
      <c r="BX86" s="19">
        <f t="shared" si="73"/>
        <v>0.92935779816513764</v>
      </c>
      <c r="BY86" s="49">
        <f t="shared" si="74"/>
        <v>990.96858138081018</v>
      </c>
      <c r="BZ86" s="19">
        <f t="shared" si="42"/>
        <v>1.6967912068055473</v>
      </c>
      <c r="CA86" s="19">
        <f t="shared" si="43"/>
        <v>2.1445568195406062</v>
      </c>
      <c r="CB86" s="19">
        <f t="shared" si="44"/>
        <v>1.1821459581168834</v>
      </c>
      <c r="CC86" s="19">
        <f t="shared" si="45"/>
        <v>0.48638048389260058</v>
      </c>
      <c r="CD86" s="19">
        <f t="shared" si="46"/>
        <v>8.3234233585876947</v>
      </c>
      <c r="CE86" s="19">
        <f t="shared" si="47"/>
        <v>2.3381208250460879</v>
      </c>
      <c r="CF86" s="49">
        <f t="shared" si="48"/>
        <v>-232.44343590424796</v>
      </c>
      <c r="CG86" s="49">
        <f t="shared" si="49"/>
        <v>-129.31677407374173</v>
      </c>
      <c r="CH86" s="49">
        <f t="shared" si="50"/>
        <v>-61.471589822077931</v>
      </c>
      <c r="CI86" s="49">
        <f t="shared" si="51"/>
        <v>-31.318038871464069</v>
      </c>
      <c r="CJ86" s="49">
        <f t="shared" si="52"/>
        <v>-379.38165333127381</v>
      </c>
      <c r="CK86" s="49">
        <f t="shared" si="53"/>
        <v>-232.36244057871772</v>
      </c>
    </row>
    <row r="87" spans="2:89" ht="12.75" customHeight="1" x14ac:dyDescent="0.2">
      <c r="B87" s="77">
        <v>39608</v>
      </c>
      <c r="C87" s="49">
        <v>136.75</v>
      </c>
      <c r="D87" s="49">
        <v>60.009998000000003</v>
      </c>
      <c r="E87" s="49">
        <v>51.529998999999997</v>
      </c>
      <c r="F87" s="49">
        <v>63.310001</v>
      </c>
      <c r="G87" s="49">
        <v>44.299999</v>
      </c>
      <c r="H87" s="49">
        <v>97.150002000000001</v>
      </c>
      <c r="J87" s="78">
        <f>IF(inter=Weekly_2,J86+$C$5,IF(inter=Bi_weekly_2,0,IF(inter=Monthly_2,0,IF(inter=Quarterly_2,0,IF(inter=Yearly_2,0,IF(inter=None_2,0,0))))))</f>
        <v>0</v>
      </c>
      <c r="K87" s="79">
        <f t="shared" si="54"/>
        <v>0</v>
      </c>
      <c r="L87" s="79">
        <f t="shared" si="55"/>
        <v>0</v>
      </c>
      <c r="M87" s="79">
        <f t="shared" si="56"/>
        <v>0</v>
      </c>
      <c r="N87" s="79">
        <f t="shared" si="57"/>
        <v>0</v>
      </c>
      <c r="O87" s="79">
        <f t="shared" si="58"/>
        <v>0</v>
      </c>
      <c r="P87" s="79">
        <f t="shared" si="59"/>
        <v>0</v>
      </c>
      <c r="Q87" s="79"/>
      <c r="R87" s="80">
        <f t="shared" si="12"/>
        <v>0</v>
      </c>
      <c r="S87" s="80">
        <f t="shared" si="13"/>
        <v>0</v>
      </c>
      <c r="T87" s="80">
        <f t="shared" si="14"/>
        <v>0</v>
      </c>
      <c r="U87" s="80">
        <f t="shared" si="15"/>
        <v>0</v>
      </c>
      <c r="V87" s="80">
        <f t="shared" si="16"/>
        <v>0</v>
      </c>
      <c r="W87" s="80">
        <f t="shared" si="17"/>
        <v>0</v>
      </c>
      <c r="X87" s="80">
        <f t="shared" si="75"/>
        <v>84.823706663854779</v>
      </c>
      <c r="Y87" s="80">
        <f t="shared" si="76"/>
        <v>55.058044030813335</v>
      </c>
      <c r="Z87" s="80">
        <f t="shared" si="77"/>
        <v>51.07692307692308</v>
      </c>
      <c r="AA87" s="80">
        <f t="shared" si="78"/>
        <v>36.092561517200835</v>
      </c>
      <c r="AB87" s="80">
        <f t="shared" si="79"/>
        <v>182.09740315500645</v>
      </c>
      <c r="AC87" s="80">
        <f t="shared" si="80"/>
        <v>50.110687767479</v>
      </c>
      <c r="AD87" s="80"/>
      <c r="AE87" s="80"/>
      <c r="AF87" s="80"/>
      <c r="AG87" s="80"/>
      <c r="AH87" s="80"/>
      <c r="AI87" s="80"/>
      <c r="AJ87" s="45">
        <f t="shared" si="19"/>
        <v>0</v>
      </c>
      <c r="AK87" s="45">
        <f t="shared" si="20"/>
        <v>0</v>
      </c>
      <c r="AL87" s="45">
        <f t="shared" si="21"/>
        <v>0</v>
      </c>
      <c r="AM87" s="45">
        <f t="shared" si="22"/>
        <v>0</v>
      </c>
      <c r="AN87" s="45">
        <f t="shared" si="23"/>
        <v>0</v>
      </c>
      <c r="AO87" s="45">
        <f t="shared" si="24"/>
        <v>0</v>
      </c>
      <c r="AP87" s="80">
        <f t="shared" si="25"/>
        <v>0</v>
      </c>
      <c r="AQ87" s="80">
        <f t="shared" si="26"/>
        <v>0</v>
      </c>
      <c r="AR87" s="80">
        <f t="shared" si="27"/>
        <v>0</v>
      </c>
      <c r="AS87" s="80">
        <f t="shared" si="28"/>
        <v>0</v>
      </c>
      <c r="AT87" s="80">
        <f t="shared" si="29"/>
        <v>0</v>
      </c>
      <c r="AU87" s="80">
        <f t="shared" si="30"/>
        <v>0</v>
      </c>
      <c r="AV87" s="80">
        <f t="shared" si="81"/>
        <v>0.46575944618897902</v>
      </c>
      <c r="AW87" s="80">
        <f t="shared" si="82"/>
        <v>0.894176339095337</v>
      </c>
      <c r="AX87" s="80">
        <f t="shared" si="83"/>
        <v>0.8298413654255381</v>
      </c>
      <c r="AY87" s="80">
        <f t="shared" si="84"/>
        <v>0.66790404308896767</v>
      </c>
      <c r="AZ87" s="80">
        <f t="shared" si="85"/>
        <v>2.9762267302687695</v>
      </c>
      <c r="BA87" s="80">
        <f t="shared" si="86"/>
        <v>0.34214616013568216</v>
      </c>
      <c r="BB87" s="80">
        <f t="shared" si="62"/>
        <v>85.289466110043762</v>
      </c>
      <c r="BC87" s="80">
        <f t="shared" si="63"/>
        <v>55.952220369908673</v>
      </c>
      <c r="BD87" s="80">
        <f t="shared" si="64"/>
        <v>51.906764442348617</v>
      </c>
      <c r="BE87" s="80">
        <f t="shared" si="65"/>
        <v>36.760465560289802</v>
      </c>
      <c r="BF87" s="80">
        <f t="shared" si="66"/>
        <v>185.07362988527521</v>
      </c>
      <c r="BG87" s="80">
        <f t="shared" si="67"/>
        <v>50.452833927614684</v>
      </c>
      <c r="BH87" s="49">
        <f t="shared" si="68"/>
        <v>0</v>
      </c>
      <c r="BI87" s="79">
        <f t="shared" si="69"/>
        <v>-33698.205230814063</v>
      </c>
      <c r="BJ87" s="79">
        <f t="shared" si="33"/>
        <v>32755.857093779974</v>
      </c>
      <c r="BK87" s="44">
        <f t="shared" si="70"/>
        <v>-2.7964342034821343E-2</v>
      </c>
      <c r="BL87" s="79">
        <f t="shared" si="87"/>
        <v>391.13512884595883</v>
      </c>
      <c r="BM87" s="49">
        <f t="shared" si="71"/>
        <v>33146.99222262593</v>
      </c>
      <c r="BN87" s="44">
        <f t="shared" si="72"/>
        <v>-1.6357340232591833E-2</v>
      </c>
      <c r="BO87" s="49">
        <f t="shared" si="34"/>
        <v>367.48519626965816</v>
      </c>
      <c r="BP87" s="49">
        <f t="shared" si="35"/>
        <v>33123.342290049637</v>
      </c>
      <c r="BQ87" s="44">
        <f t="shared" si="36"/>
        <v>-1.7059156024094801E-2</v>
      </c>
      <c r="BS87" s="49">
        <f t="shared" si="37"/>
        <v>33698.205230814063</v>
      </c>
      <c r="BT87" s="49">
        <f t="shared" si="38"/>
        <v>68.375</v>
      </c>
      <c r="BU87" s="49">
        <f t="shared" si="39"/>
        <v>48.575001</v>
      </c>
      <c r="BV87" s="49">
        <f t="shared" si="40"/>
        <v>0</v>
      </c>
      <c r="BW87" s="18">
        <f t="shared" si="41"/>
        <v>315</v>
      </c>
      <c r="BX87" s="19">
        <f t="shared" si="73"/>
        <v>0.92775229357798161</v>
      </c>
      <c r="BY87" s="49">
        <f t="shared" si="74"/>
        <v>0</v>
      </c>
      <c r="BZ87" s="19">
        <f t="shared" si="42"/>
        <v>0</v>
      </c>
      <c r="CA87" s="19">
        <f t="shared" si="43"/>
        <v>0</v>
      </c>
      <c r="CB87" s="19">
        <f t="shared" si="44"/>
        <v>0</v>
      </c>
      <c r="CC87" s="19">
        <f t="shared" si="45"/>
        <v>0</v>
      </c>
      <c r="CD87" s="19">
        <f t="shared" si="46"/>
        <v>0</v>
      </c>
      <c r="CE87" s="19">
        <f t="shared" si="47"/>
        <v>0</v>
      </c>
      <c r="CF87" s="49">
        <f t="shared" si="48"/>
        <v>0</v>
      </c>
      <c r="CG87" s="49">
        <f t="shared" si="49"/>
        <v>0</v>
      </c>
      <c r="CH87" s="49">
        <f t="shared" si="50"/>
        <v>0</v>
      </c>
      <c r="CI87" s="49">
        <f t="shared" si="51"/>
        <v>0</v>
      </c>
      <c r="CJ87" s="49">
        <f t="shared" si="52"/>
        <v>0</v>
      </c>
      <c r="CK87" s="49">
        <f t="shared" si="53"/>
        <v>0</v>
      </c>
    </row>
    <row r="88" spans="2:89" ht="12.75" customHeight="1" x14ac:dyDescent="0.2">
      <c r="B88" s="77">
        <v>39615</v>
      </c>
      <c r="C88" s="49">
        <v>66.599997999999999</v>
      </c>
      <c r="D88" s="49">
        <v>58</v>
      </c>
      <c r="E88" s="49">
        <v>50</v>
      </c>
      <c r="F88" s="49">
        <v>61.900002000000001</v>
      </c>
      <c r="G88" s="49">
        <v>43.220001000000003</v>
      </c>
      <c r="H88" s="49">
        <v>46.900002000000001</v>
      </c>
      <c r="J88" s="78">
        <f>IF(inter=Weekly_2,J87+$C$5,IF(inter=Bi_weekly_2,J86+$C$5,IF(inter=Monthly_2,0,IF(inter=Quarterly_2,0,IF(inter=Yearly_2,0,IF(inter=None_2,0,0))))))</f>
        <v>33800</v>
      </c>
      <c r="K88" s="79">
        <f t="shared" si="54"/>
        <v>-6180.7413058346847</v>
      </c>
      <c r="L88" s="79">
        <f t="shared" si="55"/>
        <v>-186.63344621282658</v>
      </c>
      <c r="M88" s="79">
        <f t="shared" si="56"/>
        <v>-150.15384615384619</v>
      </c>
      <c r="N88" s="79">
        <f t="shared" si="57"/>
        <v>-131.87036990014531</v>
      </c>
      <c r="O88" s="79">
        <f t="shared" si="58"/>
        <v>-579.75005354321729</v>
      </c>
      <c r="P88" s="79">
        <f t="shared" si="59"/>
        <v>-2719.8086434838592</v>
      </c>
      <c r="Q88" s="79"/>
      <c r="R88" s="80">
        <f t="shared" si="12"/>
        <v>92.803926297936002</v>
      </c>
      <c r="S88" s="80">
        <f t="shared" si="13"/>
        <v>3.2178180381521826</v>
      </c>
      <c r="T88" s="80">
        <f t="shared" si="14"/>
        <v>3.0030769230769239</v>
      </c>
      <c r="U88" s="80">
        <f t="shared" si="15"/>
        <v>2.1303774739804582</v>
      </c>
      <c r="V88" s="80">
        <f t="shared" si="16"/>
        <v>13.413929665184812</v>
      </c>
      <c r="W88" s="80">
        <f t="shared" si="17"/>
        <v>57.991653038391327</v>
      </c>
      <c r="X88" s="80">
        <f>(2*X87)+R88</f>
        <v>262.45133962564557</v>
      </c>
      <c r="Y88" s="80">
        <f t="shared" si="76"/>
        <v>58.275862068965516</v>
      </c>
      <c r="Z88" s="80">
        <f t="shared" si="77"/>
        <v>54.080000000000005</v>
      </c>
      <c r="AA88" s="80">
        <f t="shared" si="78"/>
        <v>38.222938991181294</v>
      </c>
      <c r="AB88" s="80">
        <f t="shared" si="79"/>
        <v>195.51133282019126</v>
      </c>
      <c r="AC88" s="80">
        <f>(2*AC87)+W88</f>
        <v>158.21302857334933</v>
      </c>
      <c r="AD88" s="80"/>
      <c r="AE88" s="80"/>
      <c r="AF88" s="80"/>
      <c r="AG88" s="80"/>
      <c r="AH88" s="80"/>
      <c r="AI88" s="80"/>
      <c r="AJ88" s="45">
        <f t="shared" si="19"/>
        <v>0</v>
      </c>
      <c r="AK88" s="45">
        <f t="shared" si="20"/>
        <v>0</v>
      </c>
      <c r="AL88" s="45">
        <f t="shared" si="21"/>
        <v>0</v>
      </c>
      <c r="AM88" s="45">
        <f t="shared" si="22"/>
        <v>0</v>
      </c>
      <c r="AN88" s="45">
        <f t="shared" si="23"/>
        <v>0</v>
      </c>
      <c r="AO88" s="45">
        <f t="shared" si="24"/>
        <v>0</v>
      </c>
      <c r="AP88" s="80">
        <f t="shared" si="25"/>
        <v>0</v>
      </c>
      <c r="AQ88" s="80">
        <f t="shared" si="26"/>
        <v>0</v>
      </c>
      <c r="AR88" s="80">
        <f t="shared" si="27"/>
        <v>0</v>
      </c>
      <c r="AS88" s="80">
        <f t="shared" si="28"/>
        <v>0</v>
      </c>
      <c r="AT88" s="80">
        <f t="shared" si="29"/>
        <v>0</v>
      </c>
      <c r="AU88" s="80">
        <f t="shared" si="30"/>
        <v>0</v>
      </c>
      <c r="AV88" s="80">
        <f t="shared" si="81"/>
        <v>0.46575944618897902</v>
      </c>
      <c r="AW88" s="80">
        <f t="shared" si="82"/>
        <v>0.894176339095337</v>
      </c>
      <c r="AX88" s="80">
        <f t="shared" si="83"/>
        <v>0.8298413654255381</v>
      </c>
      <c r="AY88" s="80">
        <f t="shared" si="84"/>
        <v>0.66790404308896767</v>
      </c>
      <c r="AZ88" s="80">
        <f t="shared" si="85"/>
        <v>2.9762267302687695</v>
      </c>
      <c r="BA88" s="80">
        <f t="shared" si="86"/>
        <v>0.34214616013568216</v>
      </c>
      <c r="BB88" s="80">
        <f t="shared" si="62"/>
        <v>262.91709907183457</v>
      </c>
      <c r="BC88" s="80">
        <f t="shared" si="63"/>
        <v>59.170038408060854</v>
      </c>
      <c r="BD88" s="80">
        <f t="shared" si="64"/>
        <v>54.909841365425542</v>
      </c>
      <c r="BE88" s="80">
        <f t="shared" si="65"/>
        <v>38.890843034270262</v>
      </c>
      <c r="BF88" s="80">
        <f t="shared" si="66"/>
        <v>198.48755955046002</v>
      </c>
      <c r="BG88" s="80">
        <f t="shared" si="67"/>
        <v>158.55517473348502</v>
      </c>
      <c r="BH88" s="49">
        <f t="shared" si="68"/>
        <v>0</v>
      </c>
      <c r="BI88" s="79">
        <f t="shared" si="69"/>
        <v>-43647.162895942645</v>
      </c>
      <c r="BJ88" s="79">
        <f t="shared" si="33"/>
        <v>41799.450050681451</v>
      </c>
      <c r="BK88" s="44">
        <f t="shared" si="70"/>
        <v>-4.2332942685558872E-2</v>
      </c>
      <c r="BL88" s="79">
        <f t="shared" si="87"/>
        <v>391.13512884595883</v>
      </c>
      <c r="BM88" s="49">
        <f t="shared" si="71"/>
        <v>42190.585179527407</v>
      </c>
      <c r="BN88" s="44">
        <f t="shared" si="72"/>
        <v>-3.3371647084778577E-2</v>
      </c>
      <c r="BO88" s="49">
        <f t="shared" si="34"/>
        <v>310.39631357958751</v>
      </c>
      <c r="BP88" s="49">
        <f t="shared" si="35"/>
        <v>42109.846364261044</v>
      </c>
      <c r="BQ88" s="44">
        <f t="shared" si="36"/>
        <v>-3.5221453805523439E-2</v>
      </c>
      <c r="BS88" s="49">
        <f t="shared" si="37"/>
        <v>43647.162895942645</v>
      </c>
      <c r="BT88" s="49">
        <f t="shared" ref="BT88:BT151" si="88">C88</f>
        <v>66.599997999999999</v>
      </c>
      <c r="BU88" s="49">
        <f t="shared" ref="BU88:BU151" si="89">H88</f>
        <v>46.900002000000001</v>
      </c>
      <c r="BV88" s="49">
        <f t="shared" si="40"/>
        <v>9948.9576651285788</v>
      </c>
      <c r="BW88" s="18">
        <f t="shared" si="41"/>
        <v>322</v>
      </c>
      <c r="BX88" s="19">
        <f t="shared" si="73"/>
        <v>0.9261467889908257</v>
      </c>
      <c r="BY88" s="49">
        <f t="shared" si="74"/>
        <v>9214.1951953644966</v>
      </c>
      <c r="BZ88" s="19">
        <f t="shared" si="42"/>
        <v>92.803926297936002</v>
      </c>
      <c r="CA88" s="19">
        <f t="shared" si="43"/>
        <v>3.2178180381521826</v>
      </c>
      <c r="CB88" s="19">
        <f t="shared" si="44"/>
        <v>3.0030769230769239</v>
      </c>
      <c r="CC88" s="19">
        <f t="shared" si="45"/>
        <v>2.1303774739804582</v>
      </c>
      <c r="CD88" s="19">
        <f t="shared" si="46"/>
        <v>13.413929665184812</v>
      </c>
      <c r="CE88" s="19">
        <f t="shared" si="47"/>
        <v>57.991653038391327</v>
      </c>
      <c r="CF88" s="49">
        <f t="shared" si="48"/>
        <v>-6180.7413058346847</v>
      </c>
      <c r="CG88" s="49">
        <f t="shared" si="49"/>
        <v>-186.63344621282658</v>
      </c>
      <c r="CH88" s="49">
        <f t="shared" si="50"/>
        <v>-150.15384615384619</v>
      </c>
      <c r="CI88" s="49">
        <f t="shared" si="51"/>
        <v>-131.87036990014531</v>
      </c>
      <c r="CJ88" s="49">
        <f t="shared" si="52"/>
        <v>-579.75005354321729</v>
      </c>
      <c r="CK88" s="49">
        <f t="shared" si="53"/>
        <v>-2719.8086434838592</v>
      </c>
    </row>
    <row r="89" spans="2:89" ht="12.75" customHeight="1" x14ac:dyDescent="0.2">
      <c r="B89" s="77">
        <v>39622</v>
      </c>
      <c r="C89" s="49">
        <v>64.220000999999996</v>
      </c>
      <c r="D89" s="49">
        <v>55.849997999999999</v>
      </c>
      <c r="E89" s="49">
        <v>48.060001</v>
      </c>
      <c r="F89" s="49">
        <v>58.82</v>
      </c>
      <c r="G89" s="49">
        <v>42.66</v>
      </c>
      <c r="H89" s="49">
        <v>46.59</v>
      </c>
      <c r="J89" s="78">
        <f>IF(inter=Weekly_2,J88+$C$5,IF(inter=Bi_weekly_2,0,IF(inter=Monthly_2,0,IF(inter=Quarterly_2,0,IF(inter=Yearly_2,0,IF(inter=None_2,0,0))))))</f>
        <v>0</v>
      </c>
      <c r="K89" s="79">
        <f t="shared" si="54"/>
        <v>0</v>
      </c>
      <c r="L89" s="79">
        <f t="shared" si="55"/>
        <v>0</v>
      </c>
      <c r="M89" s="79">
        <f t="shared" si="56"/>
        <v>0</v>
      </c>
      <c r="N89" s="79">
        <f t="shared" si="57"/>
        <v>0</v>
      </c>
      <c r="O89" s="79">
        <f t="shared" si="58"/>
        <v>0</v>
      </c>
      <c r="P89" s="79">
        <f t="shared" si="59"/>
        <v>0</v>
      </c>
      <c r="Q89" s="79"/>
      <c r="R89" s="80">
        <f t="shared" si="12"/>
        <v>0</v>
      </c>
      <c r="S89" s="80">
        <f t="shared" si="13"/>
        <v>0</v>
      </c>
      <c r="T89" s="80">
        <f t="shared" si="14"/>
        <v>0</v>
      </c>
      <c r="U89" s="80">
        <f t="shared" si="15"/>
        <v>0</v>
      </c>
      <c r="V89" s="80">
        <f t="shared" si="16"/>
        <v>0</v>
      </c>
      <c r="W89" s="80">
        <f t="shared" si="17"/>
        <v>0</v>
      </c>
      <c r="X89" s="80">
        <f t="shared" si="75"/>
        <v>262.45133962564557</v>
      </c>
      <c r="Y89" s="80">
        <f t="shared" si="76"/>
        <v>58.275862068965516</v>
      </c>
      <c r="Z89" s="80">
        <f t="shared" si="77"/>
        <v>54.080000000000005</v>
      </c>
      <c r="AA89" s="80">
        <f t="shared" si="78"/>
        <v>38.222938991181294</v>
      </c>
      <c r="AB89" s="80">
        <f t="shared" si="79"/>
        <v>195.51133282019126</v>
      </c>
      <c r="AC89" s="80">
        <f t="shared" si="80"/>
        <v>158.21302857334933</v>
      </c>
      <c r="AD89" s="80">
        <v>0.313</v>
      </c>
      <c r="AE89" s="80">
        <v>0.41599999999999998</v>
      </c>
      <c r="AF89" s="80"/>
      <c r="AG89" s="80"/>
      <c r="AH89" s="80"/>
      <c r="AI89" s="80"/>
      <c r="AJ89" s="45">
        <f t="shared" si="19"/>
        <v>82.14726930282707</v>
      </c>
      <c r="AK89" s="45">
        <f t="shared" si="20"/>
        <v>24.242758620689653</v>
      </c>
      <c r="AL89" s="45">
        <f t="shared" si="21"/>
        <v>0</v>
      </c>
      <c r="AM89" s="45">
        <f t="shared" si="22"/>
        <v>0</v>
      </c>
      <c r="AN89" s="45">
        <f t="shared" si="23"/>
        <v>0</v>
      </c>
      <c r="AO89" s="45">
        <f t="shared" si="24"/>
        <v>0</v>
      </c>
      <c r="AP89" s="80">
        <f t="shared" si="25"/>
        <v>1.2791539710942557</v>
      </c>
      <c r="AQ89" s="80">
        <f t="shared" si="26"/>
        <v>0.43406910454481401</v>
      </c>
      <c r="AR89" s="80">
        <f t="shared" si="27"/>
        <v>0</v>
      </c>
      <c r="AS89" s="80">
        <f t="shared" si="28"/>
        <v>0</v>
      </c>
      <c r="AT89" s="80">
        <f t="shared" si="29"/>
        <v>0</v>
      </c>
      <c r="AU89" s="80">
        <f t="shared" si="30"/>
        <v>0</v>
      </c>
      <c r="AV89" s="80">
        <f t="shared" si="81"/>
        <v>1.7449134172832346</v>
      </c>
      <c r="AW89" s="80">
        <f t="shared" si="82"/>
        <v>1.328245443640151</v>
      </c>
      <c r="AX89" s="80">
        <f t="shared" si="83"/>
        <v>0.8298413654255381</v>
      </c>
      <c r="AY89" s="80">
        <f t="shared" si="84"/>
        <v>0.66790404308896767</v>
      </c>
      <c r="AZ89" s="80">
        <f t="shared" si="85"/>
        <v>2.9762267302687695</v>
      </c>
      <c r="BA89" s="80">
        <f t="shared" si="86"/>
        <v>0.34214616013568216</v>
      </c>
      <c r="BB89" s="80">
        <f t="shared" si="62"/>
        <v>264.19625304292879</v>
      </c>
      <c r="BC89" s="80">
        <f t="shared" si="63"/>
        <v>59.604107512605665</v>
      </c>
      <c r="BD89" s="80">
        <f t="shared" si="64"/>
        <v>54.909841365425542</v>
      </c>
      <c r="BE89" s="80">
        <f t="shared" si="65"/>
        <v>38.890843034270262</v>
      </c>
      <c r="BF89" s="80">
        <f t="shared" si="66"/>
        <v>198.48755955046002</v>
      </c>
      <c r="BG89" s="80">
        <f t="shared" si="67"/>
        <v>158.55517473348502</v>
      </c>
      <c r="BH89" s="49">
        <f t="shared" si="68"/>
        <v>106.39002792351673</v>
      </c>
      <c r="BI89" s="79">
        <f t="shared" si="69"/>
        <v>-43647.162895942645</v>
      </c>
      <c r="BJ89" s="79">
        <f t="shared" si="33"/>
        <v>40668.348658093288</v>
      </c>
      <c r="BK89" s="44">
        <f t="shared" si="70"/>
        <v>-6.8247602827038789E-2</v>
      </c>
      <c r="BL89" s="79">
        <f t="shared" si="87"/>
        <v>497.52515676947553</v>
      </c>
      <c r="BM89" s="49">
        <f t="shared" si="71"/>
        <v>41165.87381486276</v>
      </c>
      <c r="BN89" s="44">
        <f t="shared" si="72"/>
        <v>-5.6848805659955981E-2</v>
      </c>
      <c r="BO89" s="49">
        <f t="shared" si="34"/>
        <v>408.3155613543272</v>
      </c>
      <c r="BP89" s="49">
        <f t="shared" si="35"/>
        <v>41076.664219447615</v>
      </c>
      <c r="BQ89" s="44">
        <f t="shared" si="36"/>
        <v>-5.8892686395751515E-2</v>
      </c>
      <c r="BS89" s="49">
        <f t="shared" si="37"/>
        <v>43647.162895942645</v>
      </c>
      <c r="BT89" s="49">
        <f t="shared" si="88"/>
        <v>64.220000999999996</v>
      </c>
      <c r="BU89" s="49">
        <f t="shared" si="89"/>
        <v>46.59</v>
      </c>
      <c r="BV89" s="49">
        <f t="shared" si="40"/>
        <v>-106.39002792351673</v>
      </c>
      <c r="BW89" s="18">
        <f t="shared" si="41"/>
        <v>329</v>
      </c>
      <c r="BX89" s="19">
        <f t="shared" si="73"/>
        <v>0.92454128440366967</v>
      </c>
      <c r="BY89" s="49">
        <f t="shared" si="74"/>
        <v>-98.361973064150433</v>
      </c>
      <c r="BZ89" s="19">
        <f t="shared" si="42"/>
        <v>0</v>
      </c>
      <c r="CA89" s="19">
        <f t="shared" si="43"/>
        <v>0</v>
      </c>
      <c r="CB89" s="19">
        <f t="shared" si="44"/>
        <v>0</v>
      </c>
      <c r="CC89" s="19">
        <f t="shared" si="45"/>
        <v>0</v>
      </c>
      <c r="CD89" s="19">
        <f t="shared" si="46"/>
        <v>0</v>
      </c>
      <c r="CE89" s="19">
        <f t="shared" si="47"/>
        <v>0</v>
      </c>
      <c r="CF89" s="49">
        <f t="shared" si="48"/>
        <v>0</v>
      </c>
      <c r="CG89" s="49">
        <f t="shared" si="49"/>
        <v>0</v>
      </c>
      <c r="CH89" s="49">
        <f t="shared" si="50"/>
        <v>0</v>
      </c>
      <c r="CI89" s="49">
        <f t="shared" si="51"/>
        <v>0</v>
      </c>
      <c r="CJ89" s="49">
        <f t="shared" si="52"/>
        <v>0</v>
      </c>
      <c r="CK89" s="49">
        <f t="shared" si="53"/>
        <v>0</v>
      </c>
    </row>
    <row r="90" spans="2:89" ht="12.75" customHeight="1" x14ac:dyDescent="0.2">
      <c r="B90" s="77">
        <v>39629</v>
      </c>
      <c r="C90" s="49">
        <v>63.009998000000003</v>
      </c>
      <c r="D90" s="49">
        <v>55.310001</v>
      </c>
      <c r="E90" s="49">
        <v>46.650002000000001</v>
      </c>
      <c r="F90" s="49">
        <v>56.099997999999999</v>
      </c>
      <c r="G90" s="49">
        <v>42.029998999999997</v>
      </c>
      <c r="H90" s="49">
        <v>44.48</v>
      </c>
      <c r="J90" s="78">
        <f>IF(inter=Weekly_2,J89+$C$5,IF(inter=Bi_weekly_2,J88+$C$5,IF(inter=Monthly_2,J86+$C$5,IF(inter=Quarterly_2,0,IF(inter=Yearly_2,0,IF(inter=None_2,0,0))))))</f>
        <v>34400</v>
      </c>
      <c r="K90" s="79">
        <f t="shared" si="54"/>
        <v>4497.0583849092509</v>
      </c>
      <c r="L90" s="79">
        <f t="shared" si="55"/>
        <v>-216.7620106896552</v>
      </c>
      <c r="M90" s="79">
        <f t="shared" si="56"/>
        <v>-229.16789183999981</v>
      </c>
      <c r="N90" s="79">
        <f t="shared" si="57"/>
        <v>-263.69319904060785</v>
      </c>
      <c r="O90" s="79">
        <f t="shared" si="58"/>
        <v>-382.65887707869479</v>
      </c>
      <c r="P90" s="79">
        <f t="shared" si="59"/>
        <v>1877.3155109425779</v>
      </c>
      <c r="Q90" s="79"/>
      <c r="R90" s="80">
        <f t="shared" si="12"/>
        <v>-71.370552732111662</v>
      </c>
      <c r="S90" s="80">
        <f t="shared" si="13"/>
        <v>3.919038271029053</v>
      </c>
      <c r="T90" s="80">
        <f t="shared" si="14"/>
        <v>4.9124947913185473</v>
      </c>
      <c r="U90" s="80">
        <f t="shared" si="15"/>
        <v>4.7004136977082931</v>
      </c>
      <c r="V90" s="80">
        <f t="shared" si="16"/>
        <v>9.104422702429634</v>
      </c>
      <c r="W90" s="80">
        <f t="shared" si="17"/>
        <v>-42.205834328745013</v>
      </c>
      <c r="X90" s="80">
        <f t="shared" si="75"/>
        <v>191.08078689353391</v>
      </c>
      <c r="Y90" s="80">
        <f t="shared" si="76"/>
        <v>62.194900339994568</v>
      </c>
      <c r="Z90" s="80">
        <f t="shared" si="77"/>
        <v>58.992494791318549</v>
      </c>
      <c r="AA90" s="80">
        <f t="shared" si="78"/>
        <v>42.923352688889587</v>
      </c>
      <c r="AB90" s="80">
        <f t="shared" si="79"/>
        <v>204.6157555226209</v>
      </c>
      <c r="AC90" s="80">
        <f t="shared" si="80"/>
        <v>116.00719424460432</v>
      </c>
      <c r="AD90" s="80"/>
      <c r="AE90" s="80"/>
      <c r="AF90" s="80"/>
      <c r="AG90" s="80"/>
      <c r="AH90" s="80"/>
      <c r="AI90" s="80"/>
      <c r="AJ90" s="45">
        <f t="shared" si="19"/>
        <v>0</v>
      </c>
      <c r="AK90" s="45">
        <f t="shared" si="20"/>
        <v>0</v>
      </c>
      <c r="AL90" s="45">
        <f t="shared" si="21"/>
        <v>0</v>
      </c>
      <c r="AM90" s="45">
        <f t="shared" si="22"/>
        <v>0</v>
      </c>
      <c r="AN90" s="45">
        <f t="shared" si="23"/>
        <v>0</v>
      </c>
      <c r="AO90" s="45">
        <f t="shared" si="24"/>
        <v>0</v>
      </c>
      <c r="AP90" s="80">
        <f t="shared" si="25"/>
        <v>0</v>
      </c>
      <c r="AQ90" s="80">
        <f t="shared" si="26"/>
        <v>0</v>
      </c>
      <c r="AR90" s="80">
        <f t="shared" si="27"/>
        <v>0</v>
      </c>
      <c r="AS90" s="80">
        <f t="shared" si="28"/>
        <v>0</v>
      </c>
      <c r="AT90" s="80">
        <f t="shared" si="29"/>
        <v>0</v>
      </c>
      <c r="AU90" s="80">
        <f t="shared" si="30"/>
        <v>0</v>
      </c>
      <c r="AV90" s="80">
        <f t="shared" si="81"/>
        <v>1.7449134172832346</v>
      </c>
      <c r="AW90" s="80">
        <f t="shared" si="82"/>
        <v>1.328245443640151</v>
      </c>
      <c r="AX90" s="80">
        <f t="shared" si="83"/>
        <v>0.8298413654255381</v>
      </c>
      <c r="AY90" s="80">
        <f t="shared" si="84"/>
        <v>0.66790404308896767</v>
      </c>
      <c r="AZ90" s="80">
        <f t="shared" si="85"/>
        <v>2.9762267302687695</v>
      </c>
      <c r="BA90" s="80">
        <f t="shared" si="86"/>
        <v>0.34214616013568216</v>
      </c>
      <c r="BB90" s="80">
        <f t="shared" si="62"/>
        <v>192.82570031081715</v>
      </c>
      <c r="BC90" s="80">
        <f t="shared" si="63"/>
        <v>63.523145783634718</v>
      </c>
      <c r="BD90" s="80">
        <f t="shared" si="64"/>
        <v>59.822336156744086</v>
      </c>
      <c r="BE90" s="80">
        <f t="shared" si="65"/>
        <v>43.591256731978554</v>
      </c>
      <c r="BF90" s="80">
        <f t="shared" si="66"/>
        <v>207.59198225288966</v>
      </c>
      <c r="BG90" s="80">
        <f t="shared" si="67"/>
        <v>116.34934040474</v>
      </c>
      <c r="BH90" s="49">
        <f t="shared" si="68"/>
        <v>0</v>
      </c>
      <c r="BI90" s="79">
        <f t="shared" si="69"/>
        <v>-38365.070978739772</v>
      </c>
      <c r="BJ90" s="79">
        <f t="shared" si="33"/>
        <v>34400</v>
      </c>
      <c r="BK90" s="44">
        <f t="shared" si="70"/>
        <v>-0.10335106589368859</v>
      </c>
      <c r="BL90" s="79">
        <f t="shared" si="87"/>
        <v>497.52515676947553</v>
      </c>
      <c r="BM90" s="49">
        <f t="shared" si="71"/>
        <v>34897.525156769472</v>
      </c>
      <c r="BN90" s="44">
        <f t="shared" si="72"/>
        <v>-9.0382885617280917E-2</v>
      </c>
      <c r="BO90" s="49">
        <f t="shared" si="34"/>
        <v>399.9032322872439</v>
      </c>
      <c r="BP90" s="49">
        <f t="shared" si="35"/>
        <v>34799.903232287244</v>
      </c>
      <c r="BQ90" s="44">
        <f t="shared" si="36"/>
        <v>-9.2927437783920319E-2</v>
      </c>
      <c r="BS90" s="49">
        <f t="shared" si="37"/>
        <v>38365.070978739772</v>
      </c>
      <c r="BT90" s="49">
        <f t="shared" si="88"/>
        <v>63.009998000000003</v>
      </c>
      <c r="BU90" s="49">
        <f t="shared" si="89"/>
        <v>44.48</v>
      </c>
      <c r="BV90" s="49">
        <f t="shared" si="40"/>
        <v>-5282.0919172028707</v>
      </c>
      <c r="BW90" s="18">
        <f t="shared" si="41"/>
        <v>336</v>
      </c>
      <c r="BX90" s="19">
        <f t="shared" si="73"/>
        <v>0.92293577981651376</v>
      </c>
      <c r="BY90" s="49">
        <f t="shared" si="74"/>
        <v>-4875.0316226661353</v>
      </c>
      <c r="BZ90" s="19">
        <f t="shared" si="42"/>
        <v>0</v>
      </c>
      <c r="CA90" s="19">
        <f t="shared" si="43"/>
        <v>3.919038271029053</v>
      </c>
      <c r="CB90" s="19">
        <f t="shared" si="44"/>
        <v>4.9124947913185473</v>
      </c>
      <c r="CC90" s="19">
        <f t="shared" si="45"/>
        <v>4.7004136977082931</v>
      </c>
      <c r="CD90" s="19">
        <f t="shared" si="46"/>
        <v>9.104422702429634</v>
      </c>
      <c r="CE90" s="19">
        <f t="shared" si="47"/>
        <v>0</v>
      </c>
      <c r="CF90" s="49">
        <f t="shared" si="48"/>
        <v>0</v>
      </c>
      <c r="CG90" s="49">
        <f t="shared" si="49"/>
        <v>-216.7620106896552</v>
      </c>
      <c r="CH90" s="49">
        <f t="shared" si="50"/>
        <v>-229.16789183999981</v>
      </c>
      <c r="CI90" s="49">
        <f t="shared" si="51"/>
        <v>-263.69319904060785</v>
      </c>
      <c r="CJ90" s="49">
        <f t="shared" si="52"/>
        <v>-382.65887707869479</v>
      </c>
      <c r="CK90" s="49">
        <f t="shared" si="53"/>
        <v>0</v>
      </c>
    </row>
    <row r="91" spans="2:89" ht="12.75" customHeight="1" x14ac:dyDescent="0.2">
      <c r="B91" s="77">
        <v>39636</v>
      </c>
      <c r="C91" s="49">
        <v>62.099997999999999</v>
      </c>
      <c r="D91" s="49">
        <v>54.18</v>
      </c>
      <c r="E91" s="49">
        <v>45.880001</v>
      </c>
      <c r="F91" s="49">
        <v>56.509998000000003</v>
      </c>
      <c r="G91" s="49">
        <v>40.98</v>
      </c>
      <c r="H91" s="49">
        <v>44.27</v>
      </c>
      <c r="J91" s="78">
        <f>IF(inter=Weekly_2,J90+$C$5,IF(inter=Bi_weekly_2,0,IF(inter=Monthly_2,0,IF(inter=Quarterly_2,0,IF(inter=Yearly_2,0,IF(inter=None_2,0,0))))))</f>
        <v>0</v>
      </c>
      <c r="K91" s="79">
        <f t="shared" si="54"/>
        <v>0</v>
      </c>
      <c r="L91" s="79">
        <f t="shared" si="55"/>
        <v>0</v>
      </c>
      <c r="M91" s="79">
        <f t="shared" si="56"/>
        <v>0</v>
      </c>
      <c r="N91" s="79">
        <f t="shared" si="57"/>
        <v>0</v>
      </c>
      <c r="O91" s="79">
        <f t="shared" si="58"/>
        <v>0</v>
      </c>
      <c r="P91" s="79">
        <f t="shared" si="59"/>
        <v>0</v>
      </c>
      <c r="Q91" s="79"/>
      <c r="R91" s="80">
        <f t="shared" si="12"/>
        <v>0</v>
      </c>
      <c r="S91" s="80">
        <f t="shared" si="13"/>
        <v>0</v>
      </c>
      <c r="T91" s="80">
        <f t="shared" si="14"/>
        <v>0</v>
      </c>
      <c r="U91" s="80">
        <f t="shared" si="15"/>
        <v>0</v>
      </c>
      <c r="V91" s="80">
        <f t="shared" si="16"/>
        <v>0</v>
      </c>
      <c r="W91" s="80">
        <f t="shared" si="17"/>
        <v>0</v>
      </c>
      <c r="X91" s="80">
        <f t="shared" si="75"/>
        <v>191.08078689353391</v>
      </c>
      <c r="Y91" s="80">
        <f t="shared" si="76"/>
        <v>62.194900339994568</v>
      </c>
      <c r="Z91" s="80">
        <f t="shared" si="77"/>
        <v>58.992494791318549</v>
      </c>
      <c r="AA91" s="80">
        <f t="shared" si="78"/>
        <v>42.923352688889587</v>
      </c>
      <c r="AB91" s="80">
        <f t="shared" si="79"/>
        <v>204.6157555226209</v>
      </c>
      <c r="AC91" s="80">
        <f t="shared" si="80"/>
        <v>116.00719424460432</v>
      </c>
      <c r="AD91" s="80"/>
      <c r="AE91" s="80"/>
      <c r="AF91" s="80"/>
      <c r="AG91" s="80"/>
      <c r="AH91" s="80"/>
      <c r="AI91" s="80"/>
      <c r="AJ91" s="45">
        <f t="shared" si="19"/>
        <v>0</v>
      </c>
      <c r="AK91" s="45">
        <f t="shared" si="20"/>
        <v>0</v>
      </c>
      <c r="AL91" s="45">
        <f t="shared" si="21"/>
        <v>0</v>
      </c>
      <c r="AM91" s="45">
        <f t="shared" si="22"/>
        <v>0</v>
      </c>
      <c r="AN91" s="45">
        <f t="shared" si="23"/>
        <v>0</v>
      </c>
      <c r="AO91" s="45">
        <f t="shared" si="24"/>
        <v>0</v>
      </c>
      <c r="AP91" s="80">
        <f t="shared" si="25"/>
        <v>0</v>
      </c>
      <c r="AQ91" s="80">
        <f t="shared" si="26"/>
        <v>0</v>
      </c>
      <c r="AR91" s="80">
        <f t="shared" si="27"/>
        <v>0</v>
      </c>
      <c r="AS91" s="80">
        <f t="shared" si="28"/>
        <v>0</v>
      </c>
      <c r="AT91" s="80">
        <f t="shared" si="29"/>
        <v>0</v>
      </c>
      <c r="AU91" s="80">
        <f t="shared" si="30"/>
        <v>0</v>
      </c>
      <c r="AV91" s="80">
        <f t="shared" si="81"/>
        <v>1.7449134172832346</v>
      </c>
      <c r="AW91" s="80">
        <f t="shared" si="82"/>
        <v>1.328245443640151</v>
      </c>
      <c r="AX91" s="80">
        <f t="shared" si="83"/>
        <v>0.8298413654255381</v>
      </c>
      <c r="AY91" s="80">
        <f t="shared" si="84"/>
        <v>0.66790404308896767</v>
      </c>
      <c r="AZ91" s="80">
        <f t="shared" si="85"/>
        <v>2.9762267302687695</v>
      </c>
      <c r="BA91" s="80">
        <f t="shared" si="86"/>
        <v>0.34214616013568216</v>
      </c>
      <c r="BB91" s="80">
        <f t="shared" si="62"/>
        <v>192.82570031081715</v>
      </c>
      <c r="BC91" s="80">
        <f t="shared" si="63"/>
        <v>63.523145783634718</v>
      </c>
      <c r="BD91" s="80">
        <f t="shared" si="64"/>
        <v>59.822336156744086</v>
      </c>
      <c r="BE91" s="80">
        <f t="shared" si="65"/>
        <v>43.591256731978554</v>
      </c>
      <c r="BF91" s="80">
        <f t="shared" si="66"/>
        <v>207.59198225288966</v>
      </c>
      <c r="BG91" s="80">
        <f t="shared" si="67"/>
        <v>116.34934040474</v>
      </c>
      <c r="BH91" s="49">
        <f t="shared" si="68"/>
        <v>0</v>
      </c>
      <c r="BI91" s="79">
        <f t="shared" si="69"/>
        <v>-38365.070978739772</v>
      </c>
      <c r="BJ91" s="79">
        <f t="shared" si="33"/>
        <v>33888.802629494065</v>
      </c>
      <c r="BK91" s="44">
        <f t="shared" si="70"/>
        <v>-0.11667561756177269</v>
      </c>
      <c r="BL91" s="79">
        <f t="shared" si="87"/>
        <v>497.52515676947553</v>
      </c>
      <c r="BM91" s="49">
        <f t="shared" si="71"/>
        <v>34386.327786263537</v>
      </c>
      <c r="BN91" s="44">
        <f t="shared" si="72"/>
        <v>-0.10370743728536513</v>
      </c>
      <c r="BO91" s="49">
        <f t="shared" si="34"/>
        <v>393.25241859022077</v>
      </c>
      <c r="BP91" s="49">
        <f t="shared" si="35"/>
        <v>34282.055048084279</v>
      </c>
      <c r="BQ91" s="44">
        <f t="shared" si="36"/>
        <v>-0.10642534541166682</v>
      </c>
      <c r="BS91" s="49">
        <f t="shared" si="37"/>
        <v>38365.070978739772</v>
      </c>
      <c r="BT91" s="49">
        <f t="shared" si="88"/>
        <v>62.099997999999999</v>
      </c>
      <c r="BU91" s="49">
        <f t="shared" si="89"/>
        <v>44.27</v>
      </c>
      <c r="BV91" s="49">
        <f t="shared" si="40"/>
        <v>0</v>
      </c>
      <c r="BW91" s="18">
        <f t="shared" si="41"/>
        <v>343</v>
      </c>
      <c r="BX91" s="19">
        <f t="shared" si="73"/>
        <v>0.92133027522935784</v>
      </c>
      <c r="BY91" s="49">
        <f t="shared" si="74"/>
        <v>0</v>
      </c>
      <c r="BZ91" s="19">
        <f t="shared" si="42"/>
        <v>0</v>
      </c>
      <c r="CA91" s="19">
        <f t="shared" si="43"/>
        <v>0</v>
      </c>
      <c r="CB91" s="19">
        <f t="shared" si="44"/>
        <v>0</v>
      </c>
      <c r="CC91" s="19">
        <f t="shared" si="45"/>
        <v>0</v>
      </c>
      <c r="CD91" s="19">
        <f t="shared" si="46"/>
        <v>0</v>
      </c>
      <c r="CE91" s="19">
        <f t="shared" si="47"/>
        <v>0</v>
      </c>
      <c r="CF91" s="49">
        <f t="shared" si="48"/>
        <v>0</v>
      </c>
      <c r="CG91" s="49">
        <f t="shared" si="49"/>
        <v>0</v>
      </c>
      <c r="CH91" s="49">
        <f t="shared" si="50"/>
        <v>0</v>
      </c>
      <c r="CI91" s="49">
        <f t="shared" si="51"/>
        <v>0</v>
      </c>
      <c r="CJ91" s="49">
        <f t="shared" si="52"/>
        <v>0</v>
      </c>
      <c r="CK91" s="49">
        <f t="shared" si="53"/>
        <v>0</v>
      </c>
    </row>
    <row r="92" spans="2:89" ht="12.75" customHeight="1" x14ac:dyDescent="0.2">
      <c r="B92" s="77">
        <v>39643</v>
      </c>
      <c r="C92" s="49">
        <v>63.099997999999999</v>
      </c>
      <c r="D92" s="49">
        <v>55.549999</v>
      </c>
      <c r="E92" s="49">
        <v>47.240001999999997</v>
      </c>
      <c r="F92" s="49">
        <v>58.400002000000001</v>
      </c>
      <c r="G92" s="49">
        <v>41.919998</v>
      </c>
      <c r="H92" s="49">
        <v>45</v>
      </c>
      <c r="J92" s="78">
        <f>IF(inter=Weekly_2,J91+$C$5,IF(inter=Bi_weekly_2,J90+$C$5,IF(inter=Monthly_2,0,IF(inter=Quarterly_2,0,IF(inter=Yearly_2,0,IF(inter=None_2,0,0))))))</f>
        <v>35000</v>
      </c>
      <c r="K92" s="79">
        <f t="shared" si="54"/>
        <v>-192.80272917958428</v>
      </c>
      <c r="L92" s="79">
        <f t="shared" si="55"/>
        <v>-45.073348308202185</v>
      </c>
      <c r="M92" s="79">
        <f t="shared" si="56"/>
        <v>-13.194428073122253</v>
      </c>
      <c r="N92" s="79">
        <f t="shared" si="57"/>
        <v>56.723882877856795</v>
      </c>
      <c r="O92" s="79">
        <f t="shared" si="58"/>
        <v>-172.50793772324323</v>
      </c>
      <c r="P92" s="79">
        <f t="shared" si="59"/>
        <v>-29.676258992805742</v>
      </c>
      <c r="Q92" s="79"/>
      <c r="R92" s="80">
        <f t="shared" si="12"/>
        <v>3.0555108603899526</v>
      </c>
      <c r="S92" s="80">
        <f t="shared" si="13"/>
        <v>0.81140142429529449</v>
      </c>
      <c r="T92" s="80">
        <f t="shared" si="14"/>
        <v>0.27930625559927486</v>
      </c>
      <c r="U92" s="80">
        <f t="shared" si="15"/>
        <v>-0.97129933108318722</v>
      </c>
      <c r="V92" s="80">
        <f t="shared" si="16"/>
        <v>4.1151704664500039</v>
      </c>
      <c r="W92" s="80">
        <f t="shared" si="17"/>
        <v>0.65947242206234979</v>
      </c>
      <c r="X92" s="80">
        <f t="shared" si="75"/>
        <v>194.13629775392386</v>
      </c>
      <c r="Y92" s="80">
        <f t="shared" si="76"/>
        <v>63.006301764289866</v>
      </c>
      <c r="Z92" s="80">
        <f t="shared" si="77"/>
        <v>59.271801046917822</v>
      </c>
      <c r="AA92" s="80">
        <f t="shared" si="78"/>
        <v>41.952053357806399</v>
      </c>
      <c r="AB92" s="80">
        <f t="shared" si="79"/>
        <v>208.7309259890709</v>
      </c>
      <c r="AC92" s="80">
        <f t="shared" si="80"/>
        <v>116.66666666666667</v>
      </c>
      <c r="AD92" s="80"/>
      <c r="AE92" s="80"/>
      <c r="AF92" s="80"/>
      <c r="AG92" s="80"/>
      <c r="AH92" s="80"/>
      <c r="AI92" s="80"/>
      <c r="AJ92" s="45">
        <f t="shared" si="19"/>
        <v>0</v>
      </c>
      <c r="AK92" s="45">
        <f t="shared" si="20"/>
        <v>0</v>
      </c>
      <c r="AL92" s="45">
        <f t="shared" si="21"/>
        <v>0</v>
      </c>
      <c r="AM92" s="45">
        <f t="shared" si="22"/>
        <v>0</v>
      </c>
      <c r="AN92" s="45">
        <f t="shared" si="23"/>
        <v>0</v>
      </c>
      <c r="AO92" s="45">
        <f t="shared" si="24"/>
        <v>0</v>
      </c>
      <c r="AP92" s="80">
        <f t="shared" si="25"/>
        <v>0</v>
      </c>
      <c r="AQ92" s="80">
        <f t="shared" si="26"/>
        <v>0</v>
      </c>
      <c r="AR92" s="80">
        <f t="shared" si="27"/>
        <v>0</v>
      </c>
      <c r="AS92" s="80">
        <f t="shared" si="28"/>
        <v>0</v>
      </c>
      <c r="AT92" s="80">
        <f t="shared" si="29"/>
        <v>0</v>
      </c>
      <c r="AU92" s="80">
        <f t="shared" si="30"/>
        <v>0</v>
      </c>
      <c r="AV92" s="80">
        <f t="shared" si="81"/>
        <v>1.7449134172832346</v>
      </c>
      <c r="AW92" s="80">
        <f t="shared" si="82"/>
        <v>1.328245443640151</v>
      </c>
      <c r="AX92" s="80">
        <f t="shared" si="83"/>
        <v>0.8298413654255381</v>
      </c>
      <c r="AY92" s="80">
        <f t="shared" si="84"/>
        <v>0.66790404308896767</v>
      </c>
      <c r="AZ92" s="80">
        <f t="shared" si="85"/>
        <v>2.9762267302687695</v>
      </c>
      <c r="BA92" s="80">
        <f t="shared" si="86"/>
        <v>0.34214616013568216</v>
      </c>
      <c r="BB92" s="80">
        <f t="shared" si="62"/>
        <v>195.8812111712071</v>
      </c>
      <c r="BC92" s="80">
        <f t="shared" si="63"/>
        <v>64.334547207930015</v>
      </c>
      <c r="BD92" s="80">
        <f t="shared" si="64"/>
        <v>60.101642412343359</v>
      </c>
      <c r="BE92" s="80">
        <f t="shared" si="65"/>
        <v>42.619957400895366</v>
      </c>
      <c r="BF92" s="80">
        <f t="shared" si="66"/>
        <v>211.70715271933966</v>
      </c>
      <c r="BG92" s="80">
        <f t="shared" si="67"/>
        <v>117.00881282680236</v>
      </c>
      <c r="BH92" s="49">
        <f t="shared" si="68"/>
        <v>0</v>
      </c>
      <c r="BI92" s="79">
        <f t="shared" si="69"/>
        <v>-38761.601798138865</v>
      </c>
      <c r="BJ92" s="79">
        <f t="shared" si="33"/>
        <v>35000</v>
      </c>
      <c r="BK92" s="44">
        <f t="shared" si="70"/>
        <v>-9.7044539534985819E-2</v>
      </c>
      <c r="BL92" s="79">
        <f t="shared" si="87"/>
        <v>497.52515676947553</v>
      </c>
      <c r="BM92" s="49">
        <f t="shared" si="71"/>
        <v>35497.525156769472</v>
      </c>
      <c r="BN92" s="44">
        <f t="shared" si="72"/>
        <v>-8.4209023620022805E-2</v>
      </c>
      <c r="BO92" s="49">
        <f t="shared" si="34"/>
        <v>402.25536720781827</v>
      </c>
      <c r="BP92" s="49">
        <f t="shared" si="35"/>
        <v>35402.255367207821</v>
      </c>
      <c r="BQ92" s="44">
        <f t="shared" si="36"/>
        <v>-8.6666862954366986E-2</v>
      </c>
      <c r="BS92" s="49">
        <f t="shared" si="37"/>
        <v>38761.601798138865</v>
      </c>
      <c r="BT92" s="49">
        <f t="shared" si="88"/>
        <v>63.099997999999999</v>
      </c>
      <c r="BU92" s="49">
        <f t="shared" si="89"/>
        <v>45</v>
      </c>
      <c r="BV92" s="49">
        <f t="shared" si="40"/>
        <v>396.53081939910089</v>
      </c>
      <c r="BW92" s="18">
        <f t="shared" si="41"/>
        <v>350</v>
      </c>
      <c r="BX92" s="19">
        <f t="shared" si="73"/>
        <v>0.91972477064220182</v>
      </c>
      <c r="BY92" s="49">
        <f t="shared" si="74"/>
        <v>364.69921692440244</v>
      </c>
      <c r="BZ92" s="19">
        <f t="shared" si="42"/>
        <v>3.0555108603899526</v>
      </c>
      <c r="CA92" s="19">
        <f t="shared" si="43"/>
        <v>0.81140142429529449</v>
      </c>
      <c r="CB92" s="19">
        <f t="shared" si="44"/>
        <v>0.27930625559927486</v>
      </c>
      <c r="CC92" s="19">
        <f t="shared" si="45"/>
        <v>0</v>
      </c>
      <c r="CD92" s="19">
        <f t="shared" si="46"/>
        <v>4.1151704664500039</v>
      </c>
      <c r="CE92" s="19">
        <f t="shared" si="47"/>
        <v>0.65947242206234979</v>
      </c>
      <c r="CF92" s="49">
        <f t="shared" si="48"/>
        <v>-192.80272917958428</v>
      </c>
      <c r="CG92" s="49">
        <f t="shared" si="49"/>
        <v>-45.073348308202185</v>
      </c>
      <c r="CH92" s="49">
        <f t="shared" si="50"/>
        <v>-13.194428073122253</v>
      </c>
      <c r="CI92" s="49">
        <f t="shared" si="51"/>
        <v>0</v>
      </c>
      <c r="CJ92" s="49">
        <f t="shared" si="52"/>
        <v>-172.50793772324323</v>
      </c>
      <c r="CK92" s="49">
        <f t="shared" si="53"/>
        <v>-29.676258992805742</v>
      </c>
    </row>
    <row r="93" spans="2:89" ht="12.75" customHeight="1" x14ac:dyDescent="0.2">
      <c r="B93" s="77">
        <v>39650</v>
      </c>
      <c r="C93" s="49">
        <v>63.099997999999999</v>
      </c>
      <c r="D93" s="49">
        <v>55.279998999999997</v>
      </c>
      <c r="E93" s="49">
        <v>46.740001999999997</v>
      </c>
      <c r="F93" s="49">
        <v>59.790000999999997</v>
      </c>
      <c r="G93" s="49">
        <v>41.740001999999997</v>
      </c>
      <c r="H93" s="49">
        <v>44.220001000000003</v>
      </c>
      <c r="J93" s="78">
        <f>IF(inter=Weekly_2,J92+$C$5,IF(inter=Bi_weekly_2,0,IF(inter=Monthly_2,0,IF(inter=Quarterly_2,0,IF(inter=Yearly_2,0,IF(inter=None_2,0,0))))))</f>
        <v>0</v>
      </c>
      <c r="K93" s="79">
        <f t="shared" si="54"/>
        <v>0</v>
      </c>
      <c r="L93" s="79">
        <f t="shared" si="55"/>
        <v>0</v>
      </c>
      <c r="M93" s="79">
        <f t="shared" si="56"/>
        <v>0</v>
      </c>
      <c r="N93" s="79">
        <f t="shared" si="57"/>
        <v>0</v>
      </c>
      <c r="O93" s="79">
        <f t="shared" si="58"/>
        <v>0</v>
      </c>
      <c r="P93" s="79">
        <f t="shared" si="59"/>
        <v>0</v>
      </c>
      <c r="Q93" s="79"/>
      <c r="R93" s="80">
        <f t="shared" si="12"/>
        <v>0</v>
      </c>
      <c r="S93" s="80">
        <f t="shared" si="13"/>
        <v>0</v>
      </c>
      <c r="T93" s="80">
        <f t="shared" si="14"/>
        <v>0</v>
      </c>
      <c r="U93" s="80">
        <f t="shared" si="15"/>
        <v>0</v>
      </c>
      <c r="V93" s="80">
        <f t="shared" si="16"/>
        <v>0</v>
      </c>
      <c r="W93" s="80">
        <f t="shared" si="17"/>
        <v>0</v>
      </c>
      <c r="X93" s="80">
        <f t="shared" si="75"/>
        <v>194.13629775392386</v>
      </c>
      <c r="Y93" s="80">
        <f t="shared" si="76"/>
        <v>63.006301764289866</v>
      </c>
      <c r="Z93" s="80">
        <f t="shared" si="77"/>
        <v>59.271801046917822</v>
      </c>
      <c r="AA93" s="80">
        <f t="shared" si="78"/>
        <v>41.952053357806399</v>
      </c>
      <c r="AB93" s="80">
        <f t="shared" si="79"/>
        <v>208.7309259890709</v>
      </c>
      <c r="AC93" s="80">
        <f t="shared" si="80"/>
        <v>116.66666666666667</v>
      </c>
      <c r="AD93" s="80"/>
      <c r="AE93" s="80"/>
      <c r="AF93" s="80"/>
      <c r="AG93" s="80"/>
      <c r="AH93" s="80"/>
      <c r="AI93" s="80"/>
      <c r="AJ93" s="45">
        <f t="shared" si="19"/>
        <v>0</v>
      </c>
      <c r="AK93" s="45">
        <f t="shared" si="20"/>
        <v>0</v>
      </c>
      <c r="AL93" s="45">
        <f t="shared" si="21"/>
        <v>0</v>
      </c>
      <c r="AM93" s="45">
        <f t="shared" si="22"/>
        <v>0</v>
      </c>
      <c r="AN93" s="45">
        <f t="shared" si="23"/>
        <v>0</v>
      </c>
      <c r="AO93" s="45">
        <f t="shared" si="24"/>
        <v>0</v>
      </c>
      <c r="AP93" s="80">
        <f t="shared" si="25"/>
        <v>0</v>
      </c>
      <c r="AQ93" s="80">
        <f t="shared" si="26"/>
        <v>0</v>
      </c>
      <c r="AR93" s="80">
        <f t="shared" si="27"/>
        <v>0</v>
      </c>
      <c r="AS93" s="80">
        <f t="shared" si="28"/>
        <v>0</v>
      </c>
      <c r="AT93" s="80">
        <f t="shared" si="29"/>
        <v>0</v>
      </c>
      <c r="AU93" s="80">
        <f t="shared" si="30"/>
        <v>0</v>
      </c>
      <c r="AV93" s="80">
        <f t="shared" si="81"/>
        <v>1.7449134172832346</v>
      </c>
      <c r="AW93" s="80">
        <f t="shared" si="82"/>
        <v>1.328245443640151</v>
      </c>
      <c r="AX93" s="80">
        <f t="shared" si="83"/>
        <v>0.8298413654255381</v>
      </c>
      <c r="AY93" s="80">
        <f t="shared" si="84"/>
        <v>0.66790404308896767</v>
      </c>
      <c r="AZ93" s="80">
        <f t="shared" si="85"/>
        <v>2.9762267302687695</v>
      </c>
      <c r="BA93" s="80">
        <f t="shared" si="86"/>
        <v>0.34214616013568216</v>
      </c>
      <c r="BB93" s="80">
        <f t="shared" si="62"/>
        <v>195.8812111712071</v>
      </c>
      <c r="BC93" s="80">
        <f t="shared" si="63"/>
        <v>64.334547207930015</v>
      </c>
      <c r="BD93" s="80">
        <f t="shared" si="64"/>
        <v>60.101642412343359</v>
      </c>
      <c r="BE93" s="80">
        <f t="shared" si="65"/>
        <v>42.619957400895366</v>
      </c>
      <c r="BF93" s="80">
        <f t="shared" si="66"/>
        <v>211.70715271933966</v>
      </c>
      <c r="BG93" s="80">
        <f t="shared" si="67"/>
        <v>117.00881282680236</v>
      </c>
      <c r="BH93" s="49">
        <f t="shared" si="68"/>
        <v>0</v>
      </c>
      <c r="BI93" s="79">
        <f t="shared" si="69"/>
        <v>-38761.601798138865</v>
      </c>
      <c r="BJ93" s="79">
        <f t="shared" si="33"/>
        <v>34883.095095127821</v>
      </c>
      <c r="BK93" s="44">
        <f t="shared" si="70"/>
        <v>-0.1000605373123995</v>
      </c>
      <c r="BL93" s="79">
        <f t="shared" si="87"/>
        <v>497.52515676947553</v>
      </c>
      <c r="BM93" s="49">
        <f t="shared" si="71"/>
        <v>35380.620251897293</v>
      </c>
      <c r="BN93" s="44">
        <f t="shared" si="72"/>
        <v>-8.7225021397436375E-2</v>
      </c>
      <c r="BO93" s="49">
        <f t="shared" si="34"/>
        <v>401.60762363801103</v>
      </c>
      <c r="BP93" s="49">
        <f t="shared" si="35"/>
        <v>35284.702718765831</v>
      </c>
      <c r="BQ93" s="44">
        <f t="shared" si="36"/>
        <v>-8.9699571691590374E-2</v>
      </c>
      <c r="BS93" s="49">
        <f t="shared" si="37"/>
        <v>38761.601798138865</v>
      </c>
      <c r="BT93" s="49">
        <f t="shared" si="88"/>
        <v>63.099997999999999</v>
      </c>
      <c r="BU93" s="49">
        <f t="shared" si="89"/>
        <v>44.220001000000003</v>
      </c>
      <c r="BV93" s="49">
        <f t="shared" si="40"/>
        <v>0</v>
      </c>
      <c r="BW93" s="18">
        <f t="shared" si="41"/>
        <v>357</v>
      </c>
      <c r="BX93" s="19">
        <f t="shared" si="73"/>
        <v>0.9181192660550459</v>
      </c>
      <c r="BY93" s="49">
        <f t="shared" si="74"/>
        <v>0</v>
      </c>
      <c r="BZ93" s="19">
        <f t="shared" si="42"/>
        <v>0</v>
      </c>
      <c r="CA93" s="19">
        <f t="shared" si="43"/>
        <v>0</v>
      </c>
      <c r="CB93" s="19">
        <f t="shared" si="44"/>
        <v>0</v>
      </c>
      <c r="CC93" s="19">
        <f t="shared" si="45"/>
        <v>0</v>
      </c>
      <c r="CD93" s="19">
        <f t="shared" si="46"/>
        <v>0</v>
      </c>
      <c r="CE93" s="19">
        <f t="shared" si="47"/>
        <v>0</v>
      </c>
      <c r="CF93" s="49">
        <f t="shared" si="48"/>
        <v>0</v>
      </c>
      <c r="CG93" s="49">
        <f t="shared" si="49"/>
        <v>0</v>
      </c>
      <c r="CH93" s="49">
        <f t="shared" si="50"/>
        <v>0</v>
      </c>
      <c r="CI93" s="49">
        <f t="shared" si="51"/>
        <v>0</v>
      </c>
      <c r="CJ93" s="49">
        <f t="shared" si="52"/>
        <v>0</v>
      </c>
      <c r="CK93" s="49">
        <f t="shared" si="53"/>
        <v>0</v>
      </c>
    </row>
    <row r="94" spans="2:89" ht="12.75" customHeight="1" x14ac:dyDescent="0.2">
      <c r="B94" s="77">
        <v>39657</v>
      </c>
      <c r="C94" s="49">
        <v>63.41</v>
      </c>
      <c r="D94" s="49">
        <v>55.740001999999997</v>
      </c>
      <c r="E94" s="49">
        <v>47.209999000000003</v>
      </c>
      <c r="F94" s="49">
        <v>60.790000999999997</v>
      </c>
      <c r="G94" s="49">
        <v>40.900002000000001</v>
      </c>
      <c r="H94" s="49">
        <v>44.490001999999997</v>
      </c>
      <c r="J94" s="78">
        <f>IF(inter=Weekly_2,J93+$C$5,IF(inter=Bi_weekly_2,J92+$C$5,IF(inter=Monthly_2,J90+$C$5,IF(inter=Quarterly_2,J81+$C$5,IF(inter=Yearly_2,J42+$C$5,IF(inter=None_2,0,0))))))</f>
        <v>35600</v>
      </c>
      <c r="K94" s="79">
        <f t="shared" si="54"/>
        <v>-149.81735942368869</v>
      </c>
      <c r="L94" s="79">
        <f t="shared" si="55"/>
        <v>-48.028613645879432</v>
      </c>
      <c r="M94" s="79">
        <f t="shared" si="56"/>
        <v>-49.778331846810488</v>
      </c>
      <c r="N94" s="79">
        <f t="shared" si="57"/>
        <v>58.265365573103736</v>
      </c>
      <c r="O94" s="79">
        <f t="shared" si="58"/>
        <v>-362.90470958514743</v>
      </c>
      <c r="P94" s="79">
        <f t="shared" si="59"/>
        <v>-149.4997666666668</v>
      </c>
      <c r="Q94" s="79"/>
      <c r="R94" s="80">
        <f t="shared" si="12"/>
        <v>2.3626771711668302</v>
      </c>
      <c r="S94" s="80">
        <f t="shared" si="13"/>
        <v>0.86165432225638305</v>
      </c>
      <c r="T94" s="80">
        <f t="shared" si="14"/>
        <v>1.0544023067403683</v>
      </c>
      <c r="U94" s="80">
        <f t="shared" si="15"/>
        <v>-0.9584695610237568</v>
      </c>
      <c r="V94" s="80">
        <f t="shared" si="16"/>
        <v>8.8729753505916076</v>
      </c>
      <c r="W94" s="80">
        <f t="shared" si="17"/>
        <v>3.3603002909882274</v>
      </c>
      <c r="X94" s="80">
        <f t="shared" si="75"/>
        <v>196.49897492509069</v>
      </c>
      <c r="Y94" s="80">
        <f t="shared" si="76"/>
        <v>63.867956086546251</v>
      </c>
      <c r="Z94" s="80">
        <f t="shared" si="77"/>
        <v>60.326203353658194</v>
      </c>
      <c r="AA94" s="80">
        <f t="shared" si="78"/>
        <v>40.993583796782644</v>
      </c>
      <c r="AB94" s="80">
        <f t="shared" si="79"/>
        <v>217.60390133966251</v>
      </c>
      <c r="AC94" s="80">
        <f t="shared" si="80"/>
        <v>120.02696695765489</v>
      </c>
      <c r="AD94" s="80"/>
      <c r="AE94" s="80"/>
      <c r="AF94" s="80"/>
      <c r="AG94" s="80"/>
      <c r="AH94" s="80"/>
      <c r="AI94" s="80"/>
      <c r="AJ94" s="45">
        <f t="shared" si="19"/>
        <v>0</v>
      </c>
      <c r="AK94" s="45">
        <f t="shared" si="20"/>
        <v>0</v>
      </c>
      <c r="AL94" s="45">
        <f t="shared" si="21"/>
        <v>0</v>
      </c>
      <c r="AM94" s="45">
        <f t="shared" si="22"/>
        <v>0</v>
      </c>
      <c r="AN94" s="45">
        <f t="shared" si="23"/>
        <v>0</v>
      </c>
      <c r="AO94" s="45">
        <f t="shared" si="24"/>
        <v>0</v>
      </c>
      <c r="AP94" s="80">
        <f t="shared" si="25"/>
        <v>0</v>
      </c>
      <c r="AQ94" s="80">
        <f t="shared" si="26"/>
        <v>0</v>
      </c>
      <c r="AR94" s="80">
        <f t="shared" si="27"/>
        <v>0</v>
      </c>
      <c r="AS94" s="80">
        <f t="shared" si="28"/>
        <v>0</v>
      </c>
      <c r="AT94" s="80">
        <f t="shared" si="29"/>
        <v>0</v>
      </c>
      <c r="AU94" s="80">
        <f t="shared" si="30"/>
        <v>0</v>
      </c>
      <c r="AV94" s="80">
        <f t="shared" si="81"/>
        <v>1.7449134172832346</v>
      </c>
      <c r="AW94" s="80">
        <f t="shared" si="82"/>
        <v>1.328245443640151</v>
      </c>
      <c r="AX94" s="80">
        <f t="shared" si="83"/>
        <v>0.8298413654255381</v>
      </c>
      <c r="AY94" s="80">
        <f t="shared" si="84"/>
        <v>0.66790404308896767</v>
      </c>
      <c r="AZ94" s="80">
        <f t="shared" si="85"/>
        <v>2.9762267302687695</v>
      </c>
      <c r="BA94" s="80">
        <f t="shared" si="86"/>
        <v>0.34214616013568216</v>
      </c>
      <c r="BB94" s="80">
        <f t="shared" si="62"/>
        <v>198.24388834237394</v>
      </c>
      <c r="BC94" s="80">
        <f t="shared" si="63"/>
        <v>65.1962015301864</v>
      </c>
      <c r="BD94" s="80">
        <f t="shared" si="64"/>
        <v>61.156044719083731</v>
      </c>
      <c r="BE94" s="80">
        <f t="shared" si="65"/>
        <v>41.661487839871612</v>
      </c>
      <c r="BF94" s="80">
        <f t="shared" si="66"/>
        <v>220.58012806993128</v>
      </c>
      <c r="BG94" s="80">
        <f t="shared" si="67"/>
        <v>120.36911311779058</v>
      </c>
      <c r="BH94" s="49">
        <f t="shared" si="68"/>
        <v>0</v>
      </c>
      <c r="BI94" s="79">
        <f t="shared" si="69"/>
        <v>-39463.36521373396</v>
      </c>
      <c r="BJ94" s="79">
        <f t="shared" si="33"/>
        <v>35600</v>
      </c>
      <c r="BK94" s="44">
        <f t="shared" si="70"/>
        <v>-9.7897510585068903E-2</v>
      </c>
      <c r="BL94" s="79">
        <f t="shared" si="87"/>
        <v>497.52515676947553</v>
      </c>
      <c r="BM94" s="49">
        <f t="shared" si="71"/>
        <v>36097.525156769472</v>
      </c>
      <c r="BN94" s="44">
        <f t="shared" si="72"/>
        <v>-8.5290244223599876E-2</v>
      </c>
      <c r="BO94" s="49">
        <f t="shared" si="34"/>
        <v>401.40982352327842</v>
      </c>
      <c r="BP94" s="49">
        <f t="shared" si="35"/>
        <v>36001.409823523281</v>
      </c>
      <c r="BQ94" s="44">
        <f t="shared" si="36"/>
        <v>-8.772580268967678E-2</v>
      </c>
      <c r="BS94" s="49">
        <f t="shared" si="37"/>
        <v>39463.36521373396</v>
      </c>
      <c r="BT94" s="49">
        <f t="shared" si="88"/>
        <v>63.41</v>
      </c>
      <c r="BU94" s="49">
        <f t="shared" si="89"/>
        <v>44.490001999999997</v>
      </c>
      <c r="BV94" s="49">
        <f t="shared" si="40"/>
        <v>701.7634155950891</v>
      </c>
      <c r="BW94" s="18">
        <f t="shared" si="41"/>
        <v>364</v>
      </c>
      <c r="BX94" s="19">
        <f t="shared" si="73"/>
        <v>0.91651376146788988</v>
      </c>
      <c r="BY94" s="49">
        <f t="shared" si="74"/>
        <v>643.17582768760917</v>
      </c>
      <c r="BZ94" s="19">
        <f t="shared" si="42"/>
        <v>2.3626771711668302</v>
      </c>
      <c r="CA94" s="19">
        <f t="shared" si="43"/>
        <v>0.86165432225638305</v>
      </c>
      <c r="CB94" s="19">
        <f t="shared" si="44"/>
        <v>1.0544023067403683</v>
      </c>
      <c r="CC94" s="19">
        <f t="shared" si="45"/>
        <v>0</v>
      </c>
      <c r="CD94" s="19">
        <f t="shared" si="46"/>
        <v>8.8729753505916076</v>
      </c>
      <c r="CE94" s="19">
        <f t="shared" si="47"/>
        <v>3.3603002909882274</v>
      </c>
      <c r="CF94" s="49">
        <f t="shared" si="48"/>
        <v>-149.81735942368869</v>
      </c>
      <c r="CG94" s="49">
        <f t="shared" si="49"/>
        <v>-48.028613645879432</v>
      </c>
      <c r="CH94" s="49">
        <f t="shared" si="50"/>
        <v>-49.778331846810488</v>
      </c>
      <c r="CI94" s="49">
        <f t="shared" si="51"/>
        <v>0</v>
      </c>
      <c r="CJ94" s="49">
        <f t="shared" si="52"/>
        <v>-362.90470958514743</v>
      </c>
      <c r="CK94" s="49">
        <f t="shared" si="53"/>
        <v>-149.4997666666668</v>
      </c>
    </row>
    <row r="95" spans="2:89" ht="12.75" customHeight="1" x14ac:dyDescent="0.2">
      <c r="B95" s="77">
        <v>39664</v>
      </c>
      <c r="C95" s="49">
        <v>65</v>
      </c>
      <c r="D95" s="49">
        <v>57.110000999999997</v>
      </c>
      <c r="E95" s="49">
        <v>48.560001</v>
      </c>
      <c r="F95" s="49">
        <v>62.209999000000003</v>
      </c>
      <c r="G95" s="49">
        <v>40.849997999999999</v>
      </c>
      <c r="H95" s="49">
        <v>43.060001</v>
      </c>
      <c r="J95" s="78">
        <f>IF(inter=Weekly_2,J94+$C$5,IF(inter=Bi_weekly_2,0,IF(inter=Monthly_2,0,IF(inter=Quarterly_2,0,IF(inter=Yearly_2,0,IF(inter=None_2,0,0))))))</f>
        <v>0</v>
      </c>
      <c r="K95" s="79">
        <f t="shared" si="54"/>
        <v>0</v>
      </c>
      <c r="L95" s="79">
        <f t="shared" si="55"/>
        <v>0</v>
      </c>
      <c r="M95" s="79">
        <f t="shared" si="56"/>
        <v>0</v>
      </c>
      <c r="N95" s="79">
        <f t="shared" si="57"/>
        <v>0</v>
      </c>
      <c r="O95" s="79">
        <f t="shared" si="58"/>
        <v>0</v>
      </c>
      <c r="P95" s="79">
        <f t="shared" si="59"/>
        <v>0</v>
      </c>
      <c r="Q95" s="79"/>
      <c r="R95" s="80">
        <f t="shared" si="12"/>
        <v>0</v>
      </c>
      <c r="S95" s="80">
        <f t="shared" si="13"/>
        <v>0</v>
      </c>
      <c r="T95" s="80">
        <f t="shared" si="14"/>
        <v>0</v>
      </c>
      <c r="U95" s="80">
        <f t="shared" si="15"/>
        <v>0</v>
      </c>
      <c r="V95" s="80">
        <f t="shared" si="16"/>
        <v>0</v>
      </c>
      <c r="W95" s="80">
        <f t="shared" si="17"/>
        <v>0</v>
      </c>
      <c r="X95" s="80">
        <f t="shared" si="75"/>
        <v>196.49897492509069</v>
      </c>
      <c r="Y95" s="80">
        <f t="shared" si="76"/>
        <v>63.867956086546251</v>
      </c>
      <c r="Z95" s="80">
        <f t="shared" si="77"/>
        <v>60.326203353658194</v>
      </c>
      <c r="AA95" s="80">
        <f t="shared" si="78"/>
        <v>40.993583796782644</v>
      </c>
      <c r="AB95" s="80">
        <f t="shared" si="79"/>
        <v>217.60390133966251</v>
      </c>
      <c r="AC95" s="80">
        <f t="shared" si="80"/>
        <v>120.02696695765489</v>
      </c>
      <c r="AD95" s="80"/>
      <c r="AE95" s="80"/>
      <c r="AF95" s="80"/>
      <c r="AG95" s="80"/>
      <c r="AH95" s="80"/>
      <c r="AI95" s="80"/>
      <c r="AJ95" s="45">
        <f t="shared" si="19"/>
        <v>0</v>
      </c>
      <c r="AK95" s="45">
        <f t="shared" si="20"/>
        <v>0</v>
      </c>
      <c r="AL95" s="45">
        <f t="shared" si="21"/>
        <v>0</v>
      </c>
      <c r="AM95" s="45">
        <f t="shared" si="22"/>
        <v>0</v>
      </c>
      <c r="AN95" s="45">
        <f t="shared" si="23"/>
        <v>0</v>
      </c>
      <c r="AO95" s="45">
        <f t="shared" si="24"/>
        <v>0</v>
      </c>
      <c r="AP95" s="80">
        <f t="shared" si="25"/>
        <v>0</v>
      </c>
      <c r="AQ95" s="80">
        <f t="shared" si="26"/>
        <v>0</v>
      </c>
      <c r="AR95" s="80">
        <f t="shared" si="27"/>
        <v>0</v>
      </c>
      <c r="AS95" s="80">
        <f t="shared" si="28"/>
        <v>0</v>
      </c>
      <c r="AT95" s="80">
        <f t="shared" si="29"/>
        <v>0</v>
      </c>
      <c r="AU95" s="80">
        <f t="shared" si="30"/>
        <v>0</v>
      </c>
      <c r="AV95" s="80">
        <f t="shared" si="81"/>
        <v>1.7449134172832346</v>
      </c>
      <c r="AW95" s="80">
        <f t="shared" si="82"/>
        <v>1.328245443640151</v>
      </c>
      <c r="AX95" s="80">
        <f t="shared" si="83"/>
        <v>0.8298413654255381</v>
      </c>
      <c r="AY95" s="80">
        <f t="shared" si="84"/>
        <v>0.66790404308896767</v>
      </c>
      <c r="AZ95" s="80">
        <f t="shared" si="85"/>
        <v>2.9762267302687695</v>
      </c>
      <c r="BA95" s="80">
        <f t="shared" si="86"/>
        <v>0.34214616013568216</v>
      </c>
      <c r="BB95" s="80">
        <f t="shared" si="62"/>
        <v>198.24388834237394</v>
      </c>
      <c r="BC95" s="80">
        <f t="shared" si="63"/>
        <v>65.1962015301864</v>
      </c>
      <c r="BD95" s="80">
        <f t="shared" si="64"/>
        <v>61.156044719083731</v>
      </c>
      <c r="BE95" s="80">
        <f t="shared" si="65"/>
        <v>41.661487839871612</v>
      </c>
      <c r="BF95" s="80">
        <f t="shared" si="66"/>
        <v>220.58012806993128</v>
      </c>
      <c r="BG95" s="80">
        <f t="shared" si="67"/>
        <v>120.36911311779058</v>
      </c>
      <c r="BH95" s="49">
        <f t="shared" si="68"/>
        <v>0</v>
      </c>
      <c r="BI95" s="79">
        <f t="shared" si="69"/>
        <v>-39463.36521373396</v>
      </c>
      <c r="BJ95" s="79">
        <f t="shared" si="33"/>
        <v>35957.063960026615</v>
      </c>
      <c r="BK95" s="44">
        <f t="shared" si="70"/>
        <v>-8.8849524988991235E-2</v>
      </c>
      <c r="BL95" s="79">
        <f t="shared" si="87"/>
        <v>497.52515676947553</v>
      </c>
      <c r="BM95" s="49">
        <f t="shared" si="71"/>
        <v>36454.589116796087</v>
      </c>
      <c r="BN95" s="44">
        <f t="shared" si="72"/>
        <v>-7.6242258627522319E-2</v>
      </c>
      <c r="BO95" s="49">
        <f t="shared" si="34"/>
        <v>407.43454810212523</v>
      </c>
      <c r="BP95" s="49">
        <f t="shared" si="35"/>
        <v>36364.498508128738</v>
      </c>
      <c r="BQ95" s="44">
        <f t="shared" si="36"/>
        <v>-7.8525150828413381E-2</v>
      </c>
      <c r="BS95" s="49">
        <f t="shared" si="37"/>
        <v>39463.36521373396</v>
      </c>
      <c r="BT95" s="49">
        <f t="shared" si="88"/>
        <v>65</v>
      </c>
      <c r="BU95" s="49">
        <f t="shared" si="89"/>
        <v>43.060001</v>
      </c>
      <c r="BV95" s="49">
        <f t="shared" si="40"/>
        <v>0</v>
      </c>
      <c r="BW95" s="18">
        <f t="shared" si="41"/>
        <v>371</v>
      </c>
      <c r="BX95" s="19">
        <f t="shared" si="73"/>
        <v>0.91490825688073396</v>
      </c>
      <c r="BY95" s="49">
        <f t="shared" si="74"/>
        <v>0</v>
      </c>
      <c r="BZ95" s="19">
        <f t="shared" si="42"/>
        <v>0</v>
      </c>
      <c r="CA95" s="19">
        <f t="shared" si="43"/>
        <v>0</v>
      </c>
      <c r="CB95" s="19">
        <f t="shared" si="44"/>
        <v>0</v>
      </c>
      <c r="CC95" s="19">
        <f t="shared" si="45"/>
        <v>0</v>
      </c>
      <c r="CD95" s="19">
        <f t="shared" si="46"/>
        <v>0</v>
      </c>
      <c r="CE95" s="19">
        <f t="shared" si="47"/>
        <v>0</v>
      </c>
      <c r="CF95" s="49">
        <f t="shared" si="48"/>
        <v>0</v>
      </c>
      <c r="CG95" s="49">
        <f t="shared" si="49"/>
        <v>0</v>
      </c>
      <c r="CH95" s="49">
        <f t="shared" si="50"/>
        <v>0</v>
      </c>
      <c r="CI95" s="49">
        <f t="shared" si="51"/>
        <v>0</v>
      </c>
      <c r="CJ95" s="49">
        <f t="shared" si="52"/>
        <v>0</v>
      </c>
      <c r="CK95" s="49">
        <f t="shared" si="53"/>
        <v>0</v>
      </c>
    </row>
    <row r="96" spans="2:89" ht="12.75" customHeight="1" x14ac:dyDescent="0.2">
      <c r="B96" s="77">
        <v>39671</v>
      </c>
      <c r="C96" s="49">
        <v>65.5</v>
      </c>
      <c r="D96" s="49">
        <v>56.98</v>
      </c>
      <c r="E96" s="49">
        <v>49.130001</v>
      </c>
      <c r="F96" s="49">
        <v>63.869999</v>
      </c>
      <c r="G96" s="49">
        <v>39.5</v>
      </c>
      <c r="H96" s="49">
        <v>41.970001000000003</v>
      </c>
      <c r="J96" s="78">
        <f>IF(inter=Weekly_2,J95+$C$5,IF(inter=Bi_weekly_2,J94+$C$5,IF(inter=Monthly_2,0,IF(inter=Quarterly_2,0,IF(inter=Yearly_2,0,IF(inter=None_2,0,0))))))</f>
        <v>36200</v>
      </c>
      <c r="K96" s="79">
        <f t="shared" si="54"/>
        <v>200.68285759343962</v>
      </c>
      <c r="L96" s="79">
        <f t="shared" si="55"/>
        <v>19.196137811405151</v>
      </c>
      <c r="M96" s="79">
        <f t="shared" si="56"/>
        <v>67.82643109143055</v>
      </c>
      <c r="N96" s="79">
        <f t="shared" si="57"/>
        <v>84.260156106923205</v>
      </c>
      <c r="O96" s="79">
        <f t="shared" si="58"/>
        <v>-454.64589708333006</v>
      </c>
      <c r="P96" s="79">
        <f t="shared" si="59"/>
        <v>-392.46807676025674</v>
      </c>
      <c r="Q96" s="79"/>
      <c r="R96" s="80">
        <f t="shared" si="12"/>
        <v>-3.0638604212738874</v>
      </c>
      <c r="S96" s="80">
        <f t="shared" si="13"/>
        <v>-0.33689255548271591</v>
      </c>
      <c r="T96" s="80">
        <f t="shared" si="14"/>
        <v>-1.3805501671255929</v>
      </c>
      <c r="U96" s="80">
        <f t="shared" si="15"/>
        <v>-1.3192446755310456</v>
      </c>
      <c r="V96" s="80">
        <f t="shared" si="16"/>
        <v>11.510022710970381</v>
      </c>
      <c r="W96" s="80">
        <f t="shared" si="17"/>
        <v>9.3511571934500726</v>
      </c>
      <c r="X96" s="80">
        <f t="shared" si="75"/>
        <v>193.43511450381681</v>
      </c>
      <c r="Y96" s="80">
        <f t="shared" si="76"/>
        <v>63.531063531063538</v>
      </c>
      <c r="Z96" s="80">
        <f t="shared" si="77"/>
        <v>58.945653186532603</v>
      </c>
      <c r="AA96" s="80">
        <f t="shared" si="78"/>
        <v>39.674339121251599</v>
      </c>
      <c r="AB96" s="80">
        <f t="shared" si="79"/>
        <v>229.1139240506329</v>
      </c>
      <c r="AC96" s="80">
        <f t="shared" si="80"/>
        <v>129.37812415110497</v>
      </c>
      <c r="AD96" s="80"/>
      <c r="AE96" s="80"/>
      <c r="AF96" s="80"/>
      <c r="AG96" s="80"/>
      <c r="AH96" s="80"/>
      <c r="AI96" s="80"/>
      <c r="AJ96" s="45">
        <f t="shared" si="19"/>
        <v>0</v>
      </c>
      <c r="AK96" s="45">
        <f t="shared" si="20"/>
        <v>0</v>
      </c>
      <c r="AL96" s="45">
        <f t="shared" si="21"/>
        <v>0</v>
      </c>
      <c r="AM96" s="45">
        <f t="shared" si="22"/>
        <v>0</v>
      </c>
      <c r="AN96" s="45">
        <f t="shared" si="23"/>
        <v>0</v>
      </c>
      <c r="AO96" s="45">
        <f t="shared" si="24"/>
        <v>0</v>
      </c>
      <c r="AP96" s="80">
        <f t="shared" si="25"/>
        <v>0</v>
      </c>
      <c r="AQ96" s="80">
        <f t="shared" si="26"/>
        <v>0</v>
      </c>
      <c r="AR96" s="80">
        <f t="shared" si="27"/>
        <v>0</v>
      </c>
      <c r="AS96" s="80">
        <f t="shared" si="28"/>
        <v>0</v>
      </c>
      <c r="AT96" s="80">
        <f t="shared" si="29"/>
        <v>0</v>
      </c>
      <c r="AU96" s="80">
        <f t="shared" si="30"/>
        <v>0</v>
      </c>
      <c r="AV96" s="80">
        <f t="shared" si="81"/>
        <v>1.7449134172832346</v>
      </c>
      <c r="AW96" s="80">
        <f t="shared" si="82"/>
        <v>1.328245443640151</v>
      </c>
      <c r="AX96" s="80">
        <f t="shared" si="83"/>
        <v>0.8298413654255381</v>
      </c>
      <c r="AY96" s="80">
        <f t="shared" si="84"/>
        <v>0.66790404308896767</v>
      </c>
      <c r="AZ96" s="80">
        <f t="shared" si="85"/>
        <v>2.9762267302687695</v>
      </c>
      <c r="BA96" s="80">
        <f t="shared" si="86"/>
        <v>0.34214616013568216</v>
      </c>
      <c r="BB96" s="80">
        <f t="shared" si="62"/>
        <v>195.18002792110005</v>
      </c>
      <c r="BC96" s="80">
        <f t="shared" si="63"/>
        <v>64.859308974703694</v>
      </c>
      <c r="BD96" s="80">
        <f t="shared" si="64"/>
        <v>59.77549455195814</v>
      </c>
      <c r="BE96" s="80">
        <f t="shared" si="65"/>
        <v>40.342243164340566</v>
      </c>
      <c r="BF96" s="80">
        <f t="shared" si="66"/>
        <v>232.09015078090167</v>
      </c>
      <c r="BG96" s="80">
        <f t="shared" si="67"/>
        <v>129.72027031124065</v>
      </c>
      <c r="BH96" s="49">
        <f t="shared" si="68"/>
        <v>0</v>
      </c>
      <c r="BI96" s="79">
        <f t="shared" si="69"/>
        <v>-39938.513604974345</v>
      </c>
      <c r="BJ96" s="79">
        <f t="shared" si="33"/>
        <v>36200</v>
      </c>
      <c r="BK96" s="44">
        <f t="shared" si="70"/>
        <v>-9.3606728631701275E-2</v>
      </c>
      <c r="BL96" s="79">
        <f t="shared" si="87"/>
        <v>497.52515676947553</v>
      </c>
      <c r="BM96" s="49">
        <f t="shared" si="71"/>
        <v>36697.525156769472</v>
      </c>
      <c r="BN96" s="44">
        <f t="shared" si="72"/>
        <v>-8.1149450884952512E-2</v>
      </c>
      <c r="BO96" s="49">
        <f t="shared" si="34"/>
        <v>405.32522241671114</v>
      </c>
      <c r="BP96" s="49">
        <f t="shared" si="35"/>
        <v>36605.325222416715</v>
      </c>
      <c r="BQ96" s="44">
        <f t="shared" si="36"/>
        <v>-8.3457997849536447E-2</v>
      </c>
      <c r="BS96" s="49">
        <f t="shared" si="37"/>
        <v>39938.513604974345</v>
      </c>
      <c r="BT96" s="49">
        <f t="shared" si="88"/>
        <v>65.5</v>
      </c>
      <c r="BU96" s="49">
        <f t="shared" si="89"/>
        <v>41.970001000000003</v>
      </c>
      <c r="BV96" s="49">
        <f t="shared" si="40"/>
        <v>475.14839124038826</v>
      </c>
      <c r="BW96" s="18">
        <f t="shared" si="41"/>
        <v>378</v>
      </c>
      <c r="BX96" s="19">
        <f t="shared" si="73"/>
        <v>0.91330275229357794</v>
      </c>
      <c r="BY96" s="49">
        <f t="shared" si="74"/>
        <v>433.95433346771239</v>
      </c>
      <c r="BZ96" s="19">
        <f t="shared" si="42"/>
        <v>0</v>
      </c>
      <c r="CA96" s="19">
        <f t="shared" si="43"/>
        <v>0</v>
      </c>
      <c r="CB96" s="19">
        <f t="shared" si="44"/>
        <v>0</v>
      </c>
      <c r="CC96" s="19">
        <f t="shared" si="45"/>
        <v>0</v>
      </c>
      <c r="CD96" s="19">
        <f t="shared" si="46"/>
        <v>11.510022710970381</v>
      </c>
      <c r="CE96" s="19">
        <f t="shared" si="47"/>
        <v>9.3511571934500726</v>
      </c>
      <c r="CF96" s="49">
        <f t="shared" si="48"/>
        <v>0</v>
      </c>
      <c r="CG96" s="49">
        <f t="shared" si="49"/>
        <v>0</v>
      </c>
      <c r="CH96" s="49">
        <f t="shared" si="50"/>
        <v>0</v>
      </c>
      <c r="CI96" s="49">
        <f t="shared" si="51"/>
        <v>0</v>
      </c>
      <c r="CJ96" s="49">
        <f t="shared" si="52"/>
        <v>-454.64589708333006</v>
      </c>
      <c r="CK96" s="49">
        <f t="shared" si="53"/>
        <v>-392.46807676025674</v>
      </c>
    </row>
    <row r="97" spans="2:89" ht="12.75" customHeight="1" x14ac:dyDescent="0.2">
      <c r="B97" s="77">
        <v>39678</v>
      </c>
      <c r="C97" s="49">
        <v>65.160004000000001</v>
      </c>
      <c r="D97" s="49">
        <v>56.580002</v>
      </c>
      <c r="E97" s="49">
        <v>48.580002</v>
      </c>
      <c r="F97" s="49">
        <v>62.400002000000001</v>
      </c>
      <c r="G97" s="49">
        <v>39.459999000000003</v>
      </c>
      <c r="H97" s="49">
        <v>41.84</v>
      </c>
      <c r="J97" s="78">
        <f>IF(inter=Weekly_2,J96+$C$5,IF(inter=Bi_weekly_2,0,IF(inter=Monthly_2,0,IF(inter=Quarterly_2,0,IF(inter=Yearly_2,0,IF(inter=None_2,0,0))))))</f>
        <v>0</v>
      </c>
      <c r="K97" s="79">
        <f t="shared" si="54"/>
        <v>0</v>
      </c>
      <c r="L97" s="79">
        <f t="shared" si="55"/>
        <v>0</v>
      </c>
      <c r="M97" s="79">
        <f t="shared" si="56"/>
        <v>0</v>
      </c>
      <c r="N97" s="79">
        <f t="shared" si="57"/>
        <v>0</v>
      </c>
      <c r="O97" s="79">
        <f t="shared" si="58"/>
        <v>0</v>
      </c>
      <c r="P97" s="79">
        <f t="shared" si="59"/>
        <v>0</v>
      </c>
      <c r="Q97" s="79"/>
      <c r="R97" s="80">
        <f t="shared" si="12"/>
        <v>0</v>
      </c>
      <c r="S97" s="80">
        <f t="shared" si="13"/>
        <v>0</v>
      </c>
      <c r="T97" s="80">
        <f t="shared" si="14"/>
        <v>0</v>
      </c>
      <c r="U97" s="80">
        <f t="shared" si="15"/>
        <v>0</v>
      </c>
      <c r="V97" s="80">
        <f t="shared" si="16"/>
        <v>0</v>
      </c>
      <c r="W97" s="80">
        <f t="shared" si="17"/>
        <v>0</v>
      </c>
      <c r="X97" s="80">
        <f t="shared" si="75"/>
        <v>193.43511450381681</v>
      </c>
      <c r="Y97" s="80">
        <f t="shared" si="76"/>
        <v>63.531063531063538</v>
      </c>
      <c r="Z97" s="80">
        <f t="shared" si="77"/>
        <v>58.945653186532603</v>
      </c>
      <c r="AA97" s="80">
        <f t="shared" si="78"/>
        <v>39.674339121251599</v>
      </c>
      <c r="AB97" s="80">
        <f t="shared" si="79"/>
        <v>229.1139240506329</v>
      </c>
      <c r="AC97" s="80">
        <f t="shared" si="80"/>
        <v>129.37812415110497</v>
      </c>
      <c r="AD97" s="80"/>
      <c r="AE97" s="80"/>
      <c r="AF97" s="80"/>
      <c r="AG97" s="80"/>
      <c r="AH97" s="80"/>
      <c r="AI97" s="80"/>
      <c r="AJ97" s="45">
        <f t="shared" si="19"/>
        <v>0</v>
      </c>
      <c r="AK97" s="45">
        <f t="shared" si="20"/>
        <v>0</v>
      </c>
      <c r="AL97" s="45">
        <f t="shared" si="21"/>
        <v>0</v>
      </c>
      <c r="AM97" s="45">
        <f t="shared" si="22"/>
        <v>0</v>
      </c>
      <c r="AN97" s="45">
        <f t="shared" si="23"/>
        <v>0</v>
      </c>
      <c r="AO97" s="45">
        <f t="shared" si="24"/>
        <v>0</v>
      </c>
      <c r="AP97" s="80">
        <f t="shared" si="25"/>
        <v>0</v>
      </c>
      <c r="AQ97" s="80">
        <f t="shared" si="26"/>
        <v>0</v>
      </c>
      <c r="AR97" s="80">
        <f t="shared" si="27"/>
        <v>0</v>
      </c>
      <c r="AS97" s="80">
        <f t="shared" si="28"/>
        <v>0</v>
      </c>
      <c r="AT97" s="80">
        <f t="shared" si="29"/>
        <v>0</v>
      </c>
      <c r="AU97" s="80">
        <f t="shared" si="30"/>
        <v>0</v>
      </c>
      <c r="AV97" s="80">
        <f t="shared" si="81"/>
        <v>1.7449134172832346</v>
      </c>
      <c r="AW97" s="80">
        <f t="shared" si="82"/>
        <v>1.328245443640151</v>
      </c>
      <c r="AX97" s="80">
        <f t="shared" si="83"/>
        <v>0.8298413654255381</v>
      </c>
      <c r="AY97" s="80">
        <f t="shared" si="84"/>
        <v>0.66790404308896767</v>
      </c>
      <c r="AZ97" s="80">
        <f t="shared" si="85"/>
        <v>2.9762267302687695</v>
      </c>
      <c r="BA97" s="80">
        <f t="shared" si="86"/>
        <v>0.34214616013568216</v>
      </c>
      <c r="BB97" s="80">
        <f t="shared" si="62"/>
        <v>195.18002792110005</v>
      </c>
      <c r="BC97" s="80">
        <f t="shared" si="63"/>
        <v>64.859308974703694</v>
      </c>
      <c r="BD97" s="80">
        <f t="shared" si="64"/>
        <v>59.77549455195814</v>
      </c>
      <c r="BE97" s="80">
        <f t="shared" si="65"/>
        <v>40.342243164340566</v>
      </c>
      <c r="BF97" s="80">
        <f t="shared" si="66"/>
        <v>232.09015078090167</v>
      </c>
      <c r="BG97" s="80">
        <f t="shared" si="67"/>
        <v>129.72027031124065</v>
      </c>
      <c r="BH97" s="49">
        <f t="shared" si="68"/>
        <v>0</v>
      </c>
      <c r="BI97" s="79">
        <f t="shared" si="69"/>
        <v>-39938.513604974345</v>
      </c>
      <c r="BJ97" s="79">
        <f t="shared" si="33"/>
        <v>35992.095255072985</v>
      </c>
      <c r="BK97" s="44">
        <f t="shared" si="70"/>
        <v>-9.8812349125828036E-2</v>
      </c>
      <c r="BL97" s="79">
        <f t="shared" si="87"/>
        <v>497.52515676947553</v>
      </c>
      <c r="BM97" s="49">
        <f t="shared" si="71"/>
        <v>36489.620411842458</v>
      </c>
      <c r="BN97" s="44">
        <f t="shared" si="72"/>
        <v>-8.6355071379079273E-2</v>
      </c>
      <c r="BO97" s="49">
        <f t="shared" si="34"/>
        <v>402.59890306435074</v>
      </c>
      <c r="BP97" s="49">
        <f t="shared" si="35"/>
        <v>36394.694158137332</v>
      </c>
      <c r="BQ97" s="44">
        <f t="shared" si="36"/>
        <v>-8.8731881258486078E-2</v>
      </c>
      <c r="BS97" s="49">
        <f t="shared" si="37"/>
        <v>39938.513604974345</v>
      </c>
      <c r="BT97" s="49">
        <f t="shared" si="88"/>
        <v>65.160004000000001</v>
      </c>
      <c r="BU97" s="49">
        <f t="shared" si="89"/>
        <v>41.84</v>
      </c>
      <c r="BV97" s="49">
        <f t="shared" si="40"/>
        <v>0</v>
      </c>
      <c r="BW97" s="18">
        <f t="shared" si="41"/>
        <v>385</v>
      </c>
      <c r="BX97" s="19">
        <f t="shared" si="73"/>
        <v>0.91169724770642202</v>
      </c>
      <c r="BY97" s="49">
        <f t="shared" si="74"/>
        <v>0</v>
      </c>
      <c r="BZ97" s="19">
        <f t="shared" si="42"/>
        <v>0</v>
      </c>
      <c r="CA97" s="19">
        <f t="shared" si="43"/>
        <v>0</v>
      </c>
      <c r="CB97" s="19">
        <f t="shared" si="44"/>
        <v>0</v>
      </c>
      <c r="CC97" s="19">
        <f t="shared" si="45"/>
        <v>0</v>
      </c>
      <c r="CD97" s="19">
        <f t="shared" si="46"/>
        <v>0</v>
      </c>
      <c r="CE97" s="19">
        <f t="shared" si="47"/>
        <v>0</v>
      </c>
      <c r="CF97" s="49">
        <f t="shared" si="48"/>
        <v>0</v>
      </c>
      <c r="CG97" s="49">
        <f t="shared" si="49"/>
        <v>0</v>
      </c>
      <c r="CH97" s="49">
        <f t="shared" si="50"/>
        <v>0</v>
      </c>
      <c r="CI97" s="49">
        <f t="shared" si="51"/>
        <v>0</v>
      </c>
      <c r="CJ97" s="49">
        <f t="shared" si="52"/>
        <v>0</v>
      </c>
      <c r="CK97" s="49">
        <f t="shared" si="53"/>
        <v>0</v>
      </c>
    </row>
    <row r="98" spans="2:89" ht="12.75" customHeight="1" x14ac:dyDescent="0.2">
      <c r="B98" s="77">
        <v>39685</v>
      </c>
      <c r="C98" s="49">
        <v>64.620002999999997</v>
      </c>
      <c r="D98" s="49">
        <v>56.759998000000003</v>
      </c>
      <c r="E98" s="49">
        <v>48.779998999999997</v>
      </c>
      <c r="F98" s="49">
        <v>62.73</v>
      </c>
      <c r="G98" s="49">
        <v>39.779998999999997</v>
      </c>
      <c r="H98" s="49">
        <v>41.060001</v>
      </c>
      <c r="J98" s="78">
        <f>IF(inter=Weekly_2,J97+$C$5,IF(inter=Bi_weekly_2,J96+$C$5,IF(inter=Monthly_2,J94+$C$5,IF(inter=Quarterly_2,0,IF(inter=Yearly_2,0,IF(inter=None_2,0,0))))))</f>
        <v>36800</v>
      </c>
      <c r="K98" s="79">
        <f t="shared" si="54"/>
        <v>-380.22232045801502</v>
      </c>
      <c r="L98" s="79">
        <f t="shared" si="55"/>
        <v>-73.976961038960326</v>
      </c>
      <c r="M98" s="79">
        <f t="shared" si="56"/>
        <v>-68.631096506593167</v>
      </c>
      <c r="N98" s="79">
        <f t="shared" si="57"/>
        <v>-87.228706923887785</v>
      </c>
      <c r="O98" s="79">
        <f t="shared" si="58"/>
        <v>-85.848330379747495</v>
      </c>
      <c r="P98" s="79">
        <f t="shared" si="59"/>
        <v>-207.7340929775055</v>
      </c>
      <c r="Q98" s="79"/>
      <c r="R98" s="80">
        <f t="shared" si="12"/>
        <v>5.8839724977730974</v>
      </c>
      <c r="S98" s="80">
        <f t="shared" si="13"/>
        <v>1.3033291692321822</v>
      </c>
      <c r="T98" s="80">
        <f t="shared" si="14"/>
        <v>1.4069515767434349</v>
      </c>
      <c r="U98" s="80">
        <f t="shared" si="15"/>
        <v>1.3905421157960751</v>
      </c>
      <c r="V98" s="80">
        <f t="shared" si="16"/>
        <v>2.1580777410212479</v>
      </c>
      <c r="W98" s="80">
        <f t="shared" si="17"/>
        <v>5.0592812449640592</v>
      </c>
      <c r="X98" s="80">
        <f t="shared" si="75"/>
        <v>199.31908700158991</v>
      </c>
      <c r="Y98" s="80">
        <f t="shared" si="76"/>
        <v>64.834392700295723</v>
      </c>
      <c r="Z98" s="80">
        <f t="shared" si="77"/>
        <v>60.352604763276041</v>
      </c>
      <c r="AA98" s="80">
        <f t="shared" si="78"/>
        <v>41.064881237047672</v>
      </c>
      <c r="AB98" s="80">
        <f t="shared" si="79"/>
        <v>231.27200179165416</v>
      </c>
      <c r="AC98" s="80">
        <f t="shared" si="80"/>
        <v>134.43740539606904</v>
      </c>
      <c r="AD98" s="80"/>
      <c r="AE98" s="80"/>
      <c r="AF98" s="80"/>
      <c r="AG98" s="80"/>
      <c r="AH98" s="80"/>
      <c r="AI98" s="80"/>
      <c r="AJ98" s="45">
        <f t="shared" si="19"/>
        <v>0</v>
      </c>
      <c r="AK98" s="45">
        <f t="shared" si="20"/>
        <v>0</v>
      </c>
      <c r="AL98" s="45">
        <f t="shared" si="21"/>
        <v>0</v>
      </c>
      <c r="AM98" s="45">
        <f t="shared" si="22"/>
        <v>0</v>
      </c>
      <c r="AN98" s="45">
        <f t="shared" si="23"/>
        <v>0</v>
      </c>
      <c r="AO98" s="45">
        <f t="shared" si="24"/>
        <v>0</v>
      </c>
      <c r="AP98" s="80">
        <f t="shared" si="25"/>
        <v>0</v>
      </c>
      <c r="AQ98" s="80">
        <f t="shared" si="26"/>
        <v>0</v>
      </c>
      <c r="AR98" s="80">
        <f t="shared" si="27"/>
        <v>0</v>
      </c>
      <c r="AS98" s="80">
        <f t="shared" si="28"/>
        <v>0</v>
      </c>
      <c r="AT98" s="80">
        <f t="shared" si="29"/>
        <v>0</v>
      </c>
      <c r="AU98" s="80">
        <f t="shared" si="30"/>
        <v>0</v>
      </c>
      <c r="AV98" s="80">
        <f t="shared" si="81"/>
        <v>1.7449134172832346</v>
      </c>
      <c r="AW98" s="80">
        <f t="shared" si="82"/>
        <v>1.328245443640151</v>
      </c>
      <c r="AX98" s="80">
        <f t="shared" si="83"/>
        <v>0.8298413654255381</v>
      </c>
      <c r="AY98" s="80">
        <f t="shared" si="84"/>
        <v>0.66790404308896767</v>
      </c>
      <c r="AZ98" s="80">
        <f t="shared" si="85"/>
        <v>2.9762267302687695</v>
      </c>
      <c r="BA98" s="80">
        <f t="shared" si="86"/>
        <v>0.34214616013568216</v>
      </c>
      <c r="BB98" s="80">
        <f t="shared" si="62"/>
        <v>201.06400041887315</v>
      </c>
      <c r="BC98" s="80">
        <f t="shared" si="63"/>
        <v>66.162638143935879</v>
      </c>
      <c r="BD98" s="80">
        <f t="shared" si="64"/>
        <v>61.182446128701578</v>
      </c>
      <c r="BE98" s="80">
        <f t="shared" si="65"/>
        <v>41.732785280136639</v>
      </c>
      <c r="BF98" s="80">
        <f t="shared" si="66"/>
        <v>234.24822852192293</v>
      </c>
      <c r="BG98" s="80">
        <f t="shared" si="67"/>
        <v>134.77955155620472</v>
      </c>
      <c r="BH98" s="49">
        <f t="shared" si="68"/>
        <v>0</v>
      </c>
      <c r="BI98" s="79">
        <f t="shared" si="69"/>
        <v>-40842.155113259054</v>
      </c>
      <c r="BJ98" s="79">
        <f t="shared" si="33"/>
        <v>36800</v>
      </c>
      <c r="BK98" s="44">
        <f t="shared" si="70"/>
        <v>-9.8970171922852401E-2</v>
      </c>
      <c r="BL98" s="79">
        <f t="shared" si="87"/>
        <v>497.52515676947553</v>
      </c>
      <c r="BM98" s="49">
        <f t="shared" si="71"/>
        <v>37297.525156769472</v>
      </c>
      <c r="BN98" s="44">
        <f t="shared" si="72"/>
        <v>-8.678851413839439E-2</v>
      </c>
      <c r="BO98" s="49">
        <f t="shared" si="34"/>
        <v>402.96761861387648</v>
      </c>
      <c r="BP98" s="49">
        <f t="shared" si="35"/>
        <v>37202.967618613875</v>
      </c>
      <c r="BQ98" s="44">
        <f t="shared" si="36"/>
        <v>-8.9103708767409029E-2</v>
      </c>
      <c r="BS98" s="49">
        <f t="shared" si="37"/>
        <v>40842.155113259054</v>
      </c>
      <c r="BT98" s="49">
        <f t="shared" si="88"/>
        <v>64.620002999999997</v>
      </c>
      <c r="BU98" s="49">
        <f t="shared" si="89"/>
        <v>41.060001</v>
      </c>
      <c r="BV98" s="49">
        <f t="shared" si="40"/>
        <v>903.64150828470929</v>
      </c>
      <c r="BW98" s="18">
        <f t="shared" si="41"/>
        <v>392</v>
      </c>
      <c r="BX98" s="19">
        <f t="shared" si="73"/>
        <v>0.91009174311926611</v>
      </c>
      <c r="BY98" s="49">
        <f t="shared" si="74"/>
        <v>822.39667542975383</v>
      </c>
      <c r="BZ98" s="19">
        <f t="shared" si="42"/>
        <v>5.8839724977730974</v>
      </c>
      <c r="CA98" s="19">
        <f t="shared" si="43"/>
        <v>1.3033291692321822</v>
      </c>
      <c r="CB98" s="19">
        <f t="shared" si="44"/>
        <v>1.4069515767434349</v>
      </c>
      <c r="CC98" s="19">
        <f t="shared" si="45"/>
        <v>1.3905421157960751</v>
      </c>
      <c r="CD98" s="19">
        <f t="shared" si="46"/>
        <v>2.1580777410212479</v>
      </c>
      <c r="CE98" s="19">
        <f t="shared" si="47"/>
        <v>5.0592812449640592</v>
      </c>
      <c r="CF98" s="49">
        <f t="shared" si="48"/>
        <v>-380.22232045801502</v>
      </c>
      <c r="CG98" s="49">
        <f t="shared" si="49"/>
        <v>-73.976961038960326</v>
      </c>
      <c r="CH98" s="49">
        <f t="shared" si="50"/>
        <v>-68.631096506593167</v>
      </c>
      <c r="CI98" s="49">
        <f t="shared" si="51"/>
        <v>-87.228706923887785</v>
      </c>
      <c r="CJ98" s="49">
        <f t="shared" si="52"/>
        <v>-85.848330379747495</v>
      </c>
      <c r="CK98" s="49">
        <f t="shared" si="53"/>
        <v>-207.7340929775055</v>
      </c>
    </row>
    <row r="99" spans="2:89" ht="12.75" customHeight="1" x14ac:dyDescent="0.2">
      <c r="B99" s="77">
        <v>39693</v>
      </c>
      <c r="C99" s="49">
        <v>62.630001</v>
      </c>
      <c r="D99" s="49">
        <v>55.73</v>
      </c>
      <c r="E99" s="49">
        <v>47.73</v>
      </c>
      <c r="F99" s="49">
        <v>61.860000999999997</v>
      </c>
      <c r="G99" s="49">
        <v>37.229999999999997</v>
      </c>
      <c r="H99" s="49">
        <v>37.900002000000001</v>
      </c>
      <c r="J99" s="78">
        <f>IF(inter=Weekly_2,J98+$C$5,IF(inter=Bi_weekly_2,0,IF(inter=Monthly_2,0,IF(inter=Quarterly_2,0,IF(inter=Yearly_2,0,IF(inter=None_2,0,0))))))</f>
        <v>0</v>
      </c>
      <c r="K99" s="79">
        <f t="shared" si="54"/>
        <v>0</v>
      </c>
      <c r="L99" s="79">
        <f t="shared" si="55"/>
        <v>0</v>
      </c>
      <c r="M99" s="79">
        <f t="shared" si="56"/>
        <v>0</v>
      </c>
      <c r="N99" s="79">
        <f t="shared" si="57"/>
        <v>0</v>
      </c>
      <c r="O99" s="79">
        <f t="shared" si="58"/>
        <v>0</v>
      </c>
      <c r="P99" s="79">
        <f t="shared" si="59"/>
        <v>0</v>
      </c>
      <c r="Q99" s="79"/>
      <c r="R99" s="80">
        <f t="shared" si="12"/>
        <v>0</v>
      </c>
      <c r="S99" s="80">
        <f t="shared" si="13"/>
        <v>0</v>
      </c>
      <c r="T99" s="80">
        <f t="shared" si="14"/>
        <v>0</v>
      </c>
      <c r="U99" s="80">
        <f t="shared" si="15"/>
        <v>0</v>
      </c>
      <c r="V99" s="80">
        <f t="shared" si="16"/>
        <v>0</v>
      </c>
      <c r="W99" s="80">
        <f t="shared" si="17"/>
        <v>0</v>
      </c>
      <c r="X99" s="80">
        <f t="shared" si="75"/>
        <v>199.31908700158991</v>
      </c>
      <c r="Y99" s="80">
        <f t="shared" si="76"/>
        <v>64.834392700295723</v>
      </c>
      <c r="Z99" s="80">
        <f t="shared" si="77"/>
        <v>60.352604763276041</v>
      </c>
      <c r="AA99" s="80">
        <f t="shared" si="78"/>
        <v>41.064881237047672</v>
      </c>
      <c r="AB99" s="80">
        <f t="shared" si="79"/>
        <v>231.27200179165416</v>
      </c>
      <c r="AC99" s="80">
        <f t="shared" si="80"/>
        <v>134.43740539606904</v>
      </c>
      <c r="AD99" s="80"/>
      <c r="AE99" s="80"/>
      <c r="AF99" s="80"/>
      <c r="AG99" s="80"/>
      <c r="AH99" s="80"/>
      <c r="AI99" s="80"/>
      <c r="AJ99" s="45">
        <f t="shared" si="19"/>
        <v>0</v>
      </c>
      <c r="AK99" s="45">
        <f t="shared" si="20"/>
        <v>0</v>
      </c>
      <c r="AL99" s="45">
        <f t="shared" si="21"/>
        <v>0</v>
      </c>
      <c r="AM99" s="45">
        <f t="shared" si="22"/>
        <v>0</v>
      </c>
      <c r="AN99" s="45">
        <f t="shared" si="23"/>
        <v>0</v>
      </c>
      <c r="AO99" s="45">
        <f t="shared" si="24"/>
        <v>0</v>
      </c>
      <c r="AP99" s="80">
        <f t="shared" si="25"/>
        <v>0</v>
      </c>
      <c r="AQ99" s="80">
        <f t="shared" si="26"/>
        <v>0</v>
      </c>
      <c r="AR99" s="80">
        <f t="shared" si="27"/>
        <v>0</v>
      </c>
      <c r="AS99" s="80">
        <f t="shared" si="28"/>
        <v>0</v>
      </c>
      <c r="AT99" s="80">
        <f t="shared" si="29"/>
        <v>0</v>
      </c>
      <c r="AU99" s="80">
        <f t="shared" si="30"/>
        <v>0</v>
      </c>
      <c r="AV99" s="80">
        <f t="shared" si="81"/>
        <v>1.7449134172832346</v>
      </c>
      <c r="AW99" s="80">
        <f t="shared" si="82"/>
        <v>1.328245443640151</v>
      </c>
      <c r="AX99" s="80">
        <f t="shared" si="83"/>
        <v>0.8298413654255381</v>
      </c>
      <c r="AY99" s="80">
        <f t="shared" si="84"/>
        <v>0.66790404308896767</v>
      </c>
      <c r="AZ99" s="80">
        <f t="shared" si="85"/>
        <v>2.9762267302687695</v>
      </c>
      <c r="BA99" s="80">
        <f t="shared" si="86"/>
        <v>0.34214616013568216</v>
      </c>
      <c r="BB99" s="80">
        <f t="shared" si="62"/>
        <v>201.06400041887315</v>
      </c>
      <c r="BC99" s="80">
        <f t="shared" si="63"/>
        <v>66.162638143935879</v>
      </c>
      <c r="BD99" s="80">
        <f t="shared" si="64"/>
        <v>61.182446128701578</v>
      </c>
      <c r="BE99" s="80">
        <f t="shared" si="65"/>
        <v>41.732785280136639</v>
      </c>
      <c r="BF99" s="80">
        <f t="shared" si="66"/>
        <v>234.24822852192293</v>
      </c>
      <c r="BG99" s="80">
        <f t="shared" si="67"/>
        <v>134.77955155620472</v>
      </c>
      <c r="BH99" s="49">
        <f t="shared" si="68"/>
        <v>0</v>
      </c>
      <c r="BI99" s="79">
        <f t="shared" si="69"/>
        <v>-40842.155113259054</v>
      </c>
      <c r="BJ99" s="79">
        <f t="shared" si="33"/>
        <v>35222.91330324507</v>
      </c>
      <c r="BK99" s="44">
        <f t="shared" si="70"/>
        <v>-0.13758436092393533</v>
      </c>
      <c r="BL99" s="79">
        <f t="shared" si="87"/>
        <v>497.52515676947553</v>
      </c>
      <c r="BM99" s="49">
        <f t="shared" si="71"/>
        <v>35720.438460014542</v>
      </c>
      <c r="BN99" s="44">
        <f t="shared" si="72"/>
        <v>-0.12540270313947732</v>
      </c>
      <c r="BO99" s="49">
        <f t="shared" si="34"/>
        <v>388.00418210991751</v>
      </c>
      <c r="BP99" s="49">
        <f t="shared" si="35"/>
        <v>35610.917485354985</v>
      </c>
      <c r="BQ99" s="44">
        <f t="shared" si="36"/>
        <v>-0.12808427012231272</v>
      </c>
      <c r="BS99" s="49">
        <f t="shared" si="37"/>
        <v>40842.155113259054</v>
      </c>
      <c r="BT99" s="49">
        <f t="shared" si="88"/>
        <v>62.630001</v>
      </c>
      <c r="BU99" s="49">
        <f t="shared" si="89"/>
        <v>37.900002000000001</v>
      </c>
      <c r="BV99" s="49">
        <f t="shared" si="40"/>
        <v>0</v>
      </c>
      <c r="BW99" s="18">
        <f t="shared" si="41"/>
        <v>400</v>
      </c>
      <c r="BX99" s="19">
        <f t="shared" si="73"/>
        <v>0.90825688073394495</v>
      </c>
      <c r="BY99" s="49">
        <f t="shared" si="74"/>
        <v>0</v>
      </c>
      <c r="BZ99" s="19">
        <f t="shared" si="42"/>
        <v>0</v>
      </c>
      <c r="CA99" s="19">
        <f t="shared" si="43"/>
        <v>0</v>
      </c>
      <c r="CB99" s="19">
        <f t="shared" si="44"/>
        <v>0</v>
      </c>
      <c r="CC99" s="19">
        <f t="shared" si="45"/>
        <v>0</v>
      </c>
      <c r="CD99" s="19">
        <f t="shared" si="46"/>
        <v>0</v>
      </c>
      <c r="CE99" s="19">
        <f t="shared" si="47"/>
        <v>0</v>
      </c>
      <c r="CF99" s="49">
        <f t="shared" si="48"/>
        <v>0</v>
      </c>
      <c r="CG99" s="49">
        <f t="shared" si="49"/>
        <v>0</v>
      </c>
      <c r="CH99" s="49">
        <f t="shared" si="50"/>
        <v>0</v>
      </c>
      <c r="CI99" s="49">
        <f t="shared" si="51"/>
        <v>0</v>
      </c>
      <c r="CJ99" s="49">
        <f t="shared" si="52"/>
        <v>0</v>
      </c>
      <c r="CK99" s="49">
        <f t="shared" si="53"/>
        <v>0</v>
      </c>
    </row>
    <row r="100" spans="2:89" ht="12.75" customHeight="1" x14ac:dyDescent="0.2">
      <c r="B100" s="77">
        <v>39699</v>
      </c>
      <c r="C100" s="49">
        <v>63.41</v>
      </c>
      <c r="D100" s="49">
        <v>55.900002000000001</v>
      </c>
      <c r="E100" s="49">
        <v>48.330002</v>
      </c>
      <c r="F100" s="49">
        <v>62.650002000000001</v>
      </c>
      <c r="G100" s="49">
        <v>37.729999999999997</v>
      </c>
      <c r="H100" s="49">
        <v>37.470001000000003</v>
      </c>
      <c r="J100" s="78">
        <f>IF(inter=Weekly_2,J99+$C$5,IF(inter=Bi_weekly_2,J98+$C$5,IF(inter=Monthly_2,0,IF(inter=Quarterly_2,0,IF(inter=Yearly_2,0,IF(inter=None_2,0,0))))))</f>
        <v>37400</v>
      </c>
      <c r="K100" s="79">
        <f t="shared" si="54"/>
        <v>-451.17669322918482</v>
      </c>
      <c r="L100" s="79">
        <f t="shared" si="55"/>
        <v>-115.75731838468346</v>
      </c>
      <c r="M100" s="79">
        <f t="shared" si="56"/>
        <v>-75.158491085659534</v>
      </c>
      <c r="N100" s="79">
        <f t="shared" si="57"/>
        <v>-45.285108369201225</v>
      </c>
      <c r="O100" s="79">
        <f t="shared" si="58"/>
        <v>-624.10737240088929</v>
      </c>
      <c r="P100" s="79">
        <f t="shared" si="59"/>
        <v>-572.63028537188711</v>
      </c>
      <c r="Q100" s="79"/>
      <c r="R100" s="80">
        <f t="shared" si="12"/>
        <v>7.1152293522975061</v>
      </c>
      <c r="S100" s="80">
        <f t="shared" si="13"/>
        <v>2.0707927413792122</v>
      </c>
      <c r="T100" s="80">
        <f t="shared" si="14"/>
        <v>1.5551104484882814</v>
      </c>
      <c r="U100" s="80">
        <f t="shared" si="15"/>
        <v>0.72282692615398836</v>
      </c>
      <c r="V100" s="80">
        <f t="shared" si="16"/>
        <v>16.541409287063061</v>
      </c>
      <c r="W100" s="80">
        <f t="shared" si="17"/>
        <v>15.282366428863641</v>
      </c>
      <c r="X100" s="80">
        <f t="shared" si="75"/>
        <v>206.43431635388743</v>
      </c>
      <c r="Y100" s="80">
        <f t="shared" si="76"/>
        <v>66.905185441674931</v>
      </c>
      <c r="Z100" s="80">
        <f t="shared" si="77"/>
        <v>61.907715211764319</v>
      </c>
      <c r="AA100" s="80">
        <f t="shared" si="78"/>
        <v>41.787708163201657</v>
      </c>
      <c r="AB100" s="80">
        <f t="shared" si="79"/>
        <v>247.81341107871722</v>
      </c>
      <c r="AC100" s="80">
        <f t="shared" si="80"/>
        <v>149.71977182493268</v>
      </c>
      <c r="AD100" s="80"/>
      <c r="AE100" s="80"/>
      <c r="AF100" s="80"/>
      <c r="AG100" s="80"/>
      <c r="AH100" s="80"/>
      <c r="AI100" s="80"/>
      <c r="AJ100" s="45">
        <f t="shared" si="19"/>
        <v>0</v>
      </c>
      <c r="AK100" s="45">
        <f t="shared" si="20"/>
        <v>0</v>
      </c>
      <c r="AL100" s="45">
        <f t="shared" si="21"/>
        <v>0</v>
      </c>
      <c r="AM100" s="45">
        <f t="shared" si="22"/>
        <v>0</v>
      </c>
      <c r="AN100" s="45">
        <f t="shared" si="23"/>
        <v>0</v>
      </c>
      <c r="AO100" s="45">
        <f t="shared" si="24"/>
        <v>0</v>
      </c>
      <c r="AP100" s="80">
        <f t="shared" si="25"/>
        <v>0</v>
      </c>
      <c r="AQ100" s="80">
        <f t="shared" si="26"/>
        <v>0</v>
      </c>
      <c r="AR100" s="80">
        <f t="shared" si="27"/>
        <v>0</v>
      </c>
      <c r="AS100" s="80">
        <f t="shared" si="28"/>
        <v>0</v>
      </c>
      <c r="AT100" s="80">
        <f t="shared" si="29"/>
        <v>0</v>
      </c>
      <c r="AU100" s="80">
        <f t="shared" si="30"/>
        <v>0</v>
      </c>
      <c r="AV100" s="80">
        <f t="shared" si="81"/>
        <v>1.7449134172832346</v>
      </c>
      <c r="AW100" s="80">
        <f t="shared" si="82"/>
        <v>1.328245443640151</v>
      </c>
      <c r="AX100" s="80">
        <f t="shared" si="83"/>
        <v>0.8298413654255381</v>
      </c>
      <c r="AY100" s="80">
        <f t="shared" si="84"/>
        <v>0.66790404308896767</v>
      </c>
      <c r="AZ100" s="80">
        <f t="shared" si="85"/>
        <v>2.9762267302687695</v>
      </c>
      <c r="BA100" s="80">
        <f t="shared" si="86"/>
        <v>0.34214616013568216</v>
      </c>
      <c r="BB100" s="80">
        <f t="shared" si="62"/>
        <v>208.17922977117067</v>
      </c>
      <c r="BC100" s="80">
        <f t="shared" si="63"/>
        <v>68.233430885315087</v>
      </c>
      <c r="BD100" s="80">
        <f t="shared" si="64"/>
        <v>62.737556577189856</v>
      </c>
      <c r="BE100" s="80">
        <f t="shared" si="65"/>
        <v>42.455612206290624</v>
      </c>
      <c r="BF100" s="80">
        <f t="shared" si="66"/>
        <v>250.78963780898599</v>
      </c>
      <c r="BG100" s="80">
        <f t="shared" si="67"/>
        <v>150.06191798506836</v>
      </c>
      <c r="BH100" s="49">
        <f t="shared" si="68"/>
        <v>0</v>
      </c>
      <c r="BI100" s="79">
        <f t="shared" si="69"/>
        <v>-42726.270382100563</v>
      </c>
      <c r="BJ100" s="79">
        <f t="shared" si="33"/>
        <v>37400</v>
      </c>
      <c r="BK100" s="44">
        <f t="shared" si="70"/>
        <v>-0.12466031634560626</v>
      </c>
      <c r="BL100" s="79">
        <f t="shared" si="87"/>
        <v>497.52515676947553</v>
      </c>
      <c r="BM100" s="49">
        <f t="shared" si="71"/>
        <v>37897.525156769472</v>
      </c>
      <c r="BN100" s="44">
        <f t="shared" si="72"/>
        <v>-0.11301583737938459</v>
      </c>
      <c r="BO100" s="49">
        <f t="shared" si="34"/>
        <v>391.95755872740693</v>
      </c>
      <c r="BP100" s="49">
        <f t="shared" si="35"/>
        <v>37791.957558727408</v>
      </c>
      <c r="BQ100" s="44">
        <f t="shared" si="36"/>
        <v>-0.11548662635998064</v>
      </c>
      <c r="BS100" s="49">
        <f t="shared" si="37"/>
        <v>42726.270382100563</v>
      </c>
      <c r="BT100" s="49">
        <f t="shared" si="88"/>
        <v>63.41</v>
      </c>
      <c r="BU100" s="49">
        <f t="shared" si="89"/>
        <v>37.470001000000003</v>
      </c>
      <c r="BV100" s="49">
        <f t="shared" si="40"/>
        <v>1884.1152688415054</v>
      </c>
      <c r="BW100" s="18">
        <f t="shared" si="41"/>
        <v>406</v>
      </c>
      <c r="BX100" s="19">
        <f t="shared" si="73"/>
        <v>0.90688073394495416</v>
      </c>
      <c r="BY100" s="49">
        <f t="shared" si="74"/>
        <v>1708.6678378438792</v>
      </c>
      <c r="BZ100" s="19">
        <f t="shared" si="42"/>
        <v>7.1152293522975061</v>
      </c>
      <c r="CA100" s="19">
        <f t="shared" si="43"/>
        <v>2.0707927413792122</v>
      </c>
      <c r="CB100" s="19">
        <f t="shared" si="44"/>
        <v>1.5551104484882814</v>
      </c>
      <c r="CC100" s="19">
        <f t="shared" si="45"/>
        <v>0.72282692615398836</v>
      </c>
      <c r="CD100" s="19">
        <f t="shared" si="46"/>
        <v>16.541409287063061</v>
      </c>
      <c r="CE100" s="19">
        <f t="shared" si="47"/>
        <v>15.282366428863641</v>
      </c>
      <c r="CF100" s="49">
        <f t="shared" si="48"/>
        <v>-451.17669322918482</v>
      </c>
      <c r="CG100" s="49">
        <f t="shared" si="49"/>
        <v>-115.75731838468346</v>
      </c>
      <c r="CH100" s="49">
        <f t="shared" si="50"/>
        <v>-75.158491085659534</v>
      </c>
      <c r="CI100" s="49">
        <f t="shared" si="51"/>
        <v>-45.285108369201225</v>
      </c>
      <c r="CJ100" s="49">
        <f t="shared" si="52"/>
        <v>-624.10737240088929</v>
      </c>
      <c r="CK100" s="49">
        <f t="shared" si="53"/>
        <v>-572.63028537188711</v>
      </c>
    </row>
    <row r="101" spans="2:89" ht="12.75" customHeight="1" x14ac:dyDescent="0.2">
      <c r="B101" s="77">
        <v>39706</v>
      </c>
      <c r="C101" s="49">
        <v>63.419998</v>
      </c>
      <c r="D101" s="49">
        <v>56.57</v>
      </c>
      <c r="E101" s="49">
        <v>48.779998999999997</v>
      </c>
      <c r="F101" s="49">
        <v>65.019997000000004</v>
      </c>
      <c r="G101" s="49">
        <v>38.389999000000003</v>
      </c>
      <c r="H101" s="49">
        <v>38.970001000000003</v>
      </c>
      <c r="J101" s="78">
        <f>IF(inter=Weekly_2,J100+$C$5,IF(inter=Bi_weekly_2,0,IF(inter=Monthly_2,0,IF(inter=Quarterly_2,0,IF(inter=Yearly_2,0,IF(inter=None_2,0,0))))))</f>
        <v>0</v>
      </c>
      <c r="K101" s="79">
        <f t="shared" si="54"/>
        <v>0</v>
      </c>
      <c r="L101" s="79">
        <f t="shared" si="55"/>
        <v>0</v>
      </c>
      <c r="M101" s="79">
        <f t="shared" si="56"/>
        <v>0</v>
      </c>
      <c r="N101" s="79">
        <f t="shared" si="57"/>
        <v>0</v>
      </c>
      <c r="O101" s="79">
        <f t="shared" si="58"/>
        <v>0</v>
      </c>
      <c r="P101" s="79">
        <f t="shared" si="59"/>
        <v>0</v>
      </c>
      <c r="Q101" s="79"/>
      <c r="R101" s="80">
        <f t="shared" si="12"/>
        <v>0</v>
      </c>
      <c r="S101" s="80">
        <f t="shared" si="13"/>
        <v>0</v>
      </c>
      <c r="T101" s="80">
        <f t="shared" si="14"/>
        <v>0</v>
      </c>
      <c r="U101" s="80">
        <f t="shared" si="15"/>
        <v>0</v>
      </c>
      <c r="V101" s="80">
        <f t="shared" si="16"/>
        <v>0</v>
      </c>
      <c r="W101" s="80">
        <f t="shared" si="17"/>
        <v>0</v>
      </c>
      <c r="X101" s="80">
        <f t="shared" si="75"/>
        <v>206.43431635388743</v>
      </c>
      <c r="Y101" s="80">
        <f t="shared" si="76"/>
        <v>66.905185441674931</v>
      </c>
      <c r="Z101" s="80">
        <f t="shared" si="77"/>
        <v>61.907715211764319</v>
      </c>
      <c r="AA101" s="80">
        <f t="shared" si="78"/>
        <v>41.787708163201657</v>
      </c>
      <c r="AB101" s="80">
        <f t="shared" si="79"/>
        <v>247.81341107871722</v>
      </c>
      <c r="AC101" s="80">
        <f t="shared" si="80"/>
        <v>149.71977182493268</v>
      </c>
      <c r="AD101" s="80"/>
      <c r="AE101" s="80"/>
      <c r="AF101" s="80"/>
      <c r="AG101" s="80"/>
      <c r="AH101" s="80"/>
      <c r="AI101" s="80"/>
      <c r="AJ101" s="45">
        <f t="shared" si="19"/>
        <v>0</v>
      </c>
      <c r="AK101" s="45">
        <f t="shared" si="20"/>
        <v>0</v>
      </c>
      <c r="AL101" s="45">
        <f t="shared" si="21"/>
        <v>0</v>
      </c>
      <c r="AM101" s="45">
        <f t="shared" si="22"/>
        <v>0</v>
      </c>
      <c r="AN101" s="45">
        <f t="shared" si="23"/>
        <v>0</v>
      </c>
      <c r="AO101" s="45">
        <f t="shared" si="24"/>
        <v>0</v>
      </c>
      <c r="AP101" s="80">
        <f t="shared" si="25"/>
        <v>0</v>
      </c>
      <c r="AQ101" s="80">
        <f t="shared" si="26"/>
        <v>0</v>
      </c>
      <c r="AR101" s="80">
        <f t="shared" si="27"/>
        <v>0</v>
      </c>
      <c r="AS101" s="80">
        <f t="shared" si="28"/>
        <v>0</v>
      </c>
      <c r="AT101" s="80">
        <f t="shared" si="29"/>
        <v>0</v>
      </c>
      <c r="AU101" s="80">
        <f t="shared" si="30"/>
        <v>0</v>
      </c>
      <c r="AV101" s="80">
        <f t="shared" si="81"/>
        <v>1.7449134172832346</v>
      </c>
      <c r="AW101" s="80">
        <f t="shared" si="82"/>
        <v>1.328245443640151</v>
      </c>
      <c r="AX101" s="80">
        <f t="shared" si="83"/>
        <v>0.8298413654255381</v>
      </c>
      <c r="AY101" s="80">
        <f t="shared" si="84"/>
        <v>0.66790404308896767</v>
      </c>
      <c r="AZ101" s="80">
        <f t="shared" si="85"/>
        <v>2.9762267302687695</v>
      </c>
      <c r="BA101" s="80">
        <f t="shared" si="86"/>
        <v>0.34214616013568216</v>
      </c>
      <c r="BB101" s="80">
        <f t="shared" si="62"/>
        <v>208.17922977117067</v>
      </c>
      <c r="BC101" s="80">
        <f t="shared" si="63"/>
        <v>68.233430885315087</v>
      </c>
      <c r="BD101" s="80">
        <f t="shared" si="64"/>
        <v>62.737556577189856</v>
      </c>
      <c r="BE101" s="80">
        <f t="shared" si="65"/>
        <v>42.455612206290624</v>
      </c>
      <c r="BF101" s="80">
        <f t="shared" si="66"/>
        <v>250.78963780898599</v>
      </c>
      <c r="BG101" s="80">
        <f t="shared" si="67"/>
        <v>150.06191798506836</v>
      </c>
      <c r="BH101" s="49">
        <f t="shared" si="68"/>
        <v>0</v>
      </c>
      <c r="BI101" s="79">
        <f t="shared" si="69"/>
        <v>-42726.270382100563</v>
      </c>
      <c r="BJ101" s="79">
        <f t="shared" si="33"/>
        <v>37961.921477496799</v>
      </c>
      <c r="BK101" s="44">
        <f t="shared" si="70"/>
        <v>-0.11150865409024113</v>
      </c>
      <c r="BL101" s="79">
        <f t="shared" si="87"/>
        <v>497.52515676947553</v>
      </c>
      <c r="BM101" s="49">
        <f t="shared" si="71"/>
        <v>38459.446634266271</v>
      </c>
      <c r="BN101" s="44">
        <f t="shared" si="72"/>
        <v>-9.986417512401935E-2</v>
      </c>
      <c r="BO101" s="49">
        <f t="shared" si="34"/>
        <v>397.29880743597323</v>
      </c>
      <c r="BP101" s="49">
        <f t="shared" si="35"/>
        <v>38359.220284932773</v>
      </c>
      <c r="BQ101" s="44">
        <f t="shared" si="36"/>
        <v>-0.10220995322346904</v>
      </c>
      <c r="BS101" s="49">
        <f t="shared" si="37"/>
        <v>42726.270382100563</v>
      </c>
      <c r="BT101" s="49">
        <f t="shared" si="88"/>
        <v>63.419998</v>
      </c>
      <c r="BU101" s="49">
        <f t="shared" si="89"/>
        <v>38.970001000000003</v>
      </c>
      <c r="BV101" s="49">
        <f t="shared" si="40"/>
        <v>0</v>
      </c>
      <c r="BW101" s="18">
        <f t="shared" si="41"/>
        <v>413</v>
      </c>
      <c r="BX101" s="19">
        <f t="shared" si="73"/>
        <v>0.90527522935779814</v>
      </c>
      <c r="BY101" s="49">
        <f t="shared" si="74"/>
        <v>0</v>
      </c>
      <c r="BZ101" s="19">
        <f t="shared" si="42"/>
        <v>0</v>
      </c>
      <c r="CA101" s="19">
        <f t="shared" si="43"/>
        <v>0</v>
      </c>
      <c r="CB101" s="19">
        <f t="shared" si="44"/>
        <v>0</v>
      </c>
      <c r="CC101" s="19">
        <f t="shared" si="45"/>
        <v>0</v>
      </c>
      <c r="CD101" s="19">
        <f t="shared" si="46"/>
        <v>0</v>
      </c>
      <c r="CE101" s="19">
        <f t="shared" si="47"/>
        <v>0</v>
      </c>
      <c r="CF101" s="49">
        <f t="shared" si="48"/>
        <v>0</v>
      </c>
      <c r="CG101" s="49">
        <f t="shared" si="49"/>
        <v>0</v>
      </c>
      <c r="CH101" s="49">
        <f t="shared" si="50"/>
        <v>0</v>
      </c>
      <c r="CI101" s="49">
        <f t="shared" si="51"/>
        <v>0</v>
      </c>
      <c r="CJ101" s="49">
        <f t="shared" si="52"/>
        <v>0</v>
      </c>
      <c r="CK101" s="49">
        <f t="shared" si="53"/>
        <v>0</v>
      </c>
    </row>
    <row r="102" spans="2:89" ht="12.75" customHeight="1" x14ac:dyDescent="0.2">
      <c r="B102" s="77">
        <v>39713</v>
      </c>
      <c r="C102" s="49">
        <v>60.860000999999997</v>
      </c>
      <c r="D102" s="49">
        <v>54.43</v>
      </c>
      <c r="E102" s="49">
        <v>46.27</v>
      </c>
      <c r="F102" s="49">
        <v>61.169998</v>
      </c>
      <c r="G102" s="49">
        <v>37.400002000000001</v>
      </c>
      <c r="H102" s="49">
        <v>36.07</v>
      </c>
      <c r="J102" s="78">
        <f>IF(inter=Weekly_2,J101+$C$5,IF(inter=Bi_weekly_2,J100+$C$5,IF(inter=Monthly_2,J98+$C$5,IF(inter=Quarterly_2,0,IF(inter=Yearly_2,0,IF(inter=None_2,0,0))))))</f>
        <v>38000</v>
      </c>
      <c r="K102" s="79">
        <f t="shared" si="54"/>
        <v>-736.40730026809615</v>
      </c>
      <c r="L102" s="79">
        <f t="shared" si="55"/>
        <v>-158.3507564096335</v>
      </c>
      <c r="M102" s="79">
        <f t="shared" si="56"/>
        <v>-175.53001715166465</v>
      </c>
      <c r="N102" s="79">
        <f t="shared" si="57"/>
        <v>-103.84597523237153</v>
      </c>
      <c r="O102" s="79">
        <f t="shared" si="58"/>
        <v>-231.77793002915314</v>
      </c>
      <c r="P102" s="79">
        <f t="shared" si="59"/>
        <v>-299.60783027467824</v>
      </c>
      <c r="Q102" s="79"/>
      <c r="R102" s="80">
        <f t="shared" si="12"/>
        <v>12.100021166087332</v>
      </c>
      <c r="S102" s="80">
        <f t="shared" si="13"/>
        <v>2.9092551241894822</v>
      </c>
      <c r="T102" s="80">
        <f t="shared" si="14"/>
        <v>3.7936031370578052</v>
      </c>
      <c r="U102" s="80">
        <f t="shared" si="15"/>
        <v>1.6976619033463354</v>
      </c>
      <c r="V102" s="80">
        <f t="shared" si="16"/>
        <v>6.1972705249896283</v>
      </c>
      <c r="W102" s="80">
        <f t="shared" si="17"/>
        <v>8.3062886131044706</v>
      </c>
      <c r="X102" s="80">
        <f t="shared" si="75"/>
        <v>218.53433751997477</v>
      </c>
      <c r="Y102" s="80">
        <f t="shared" si="76"/>
        <v>69.814440565864416</v>
      </c>
      <c r="Z102" s="80">
        <f t="shared" si="77"/>
        <v>65.701318348822127</v>
      </c>
      <c r="AA102" s="80">
        <f t="shared" si="78"/>
        <v>43.485370066547993</v>
      </c>
      <c r="AB102" s="80">
        <f t="shared" si="79"/>
        <v>254.01068160370684</v>
      </c>
      <c r="AC102" s="80">
        <f t="shared" si="80"/>
        <v>158.02606043803715</v>
      </c>
      <c r="AD102" s="80">
        <v>0.29599999999999999</v>
      </c>
      <c r="AE102" s="80">
        <v>0.45700000000000002</v>
      </c>
      <c r="AF102" s="80"/>
      <c r="AG102" s="80"/>
      <c r="AH102" s="80"/>
      <c r="AI102" s="80"/>
      <c r="AJ102" s="45">
        <f t="shared" si="19"/>
        <v>64.686163905912522</v>
      </c>
      <c r="AK102" s="45">
        <f t="shared" si="20"/>
        <v>31.905199338600038</v>
      </c>
      <c r="AL102" s="45">
        <f t="shared" si="21"/>
        <v>0</v>
      </c>
      <c r="AM102" s="45">
        <f t="shared" si="22"/>
        <v>0</v>
      </c>
      <c r="AN102" s="45">
        <f t="shared" si="23"/>
        <v>0</v>
      </c>
      <c r="AO102" s="45">
        <f t="shared" si="24"/>
        <v>0</v>
      </c>
      <c r="AP102" s="80">
        <f t="shared" si="25"/>
        <v>1.0628682688636915</v>
      </c>
      <c r="AQ102" s="80">
        <f t="shared" si="26"/>
        <v>0.5861693797280918</v>
      </c>
      <c r="AR102" s="80">
        <f t="shared" si="27"/>
        <v>0</v>
      </c>
      <c r="AS102" s="80">
        <f t="shared" si="28"/>
        <v>0</v>
      </c>
      <c r="AT102" s="80">
        <f t="shared" si="29"/>
        <v>0</v>
      </c>
      <c r="AU102" s="80">
        <f t="shared" si="30"/>
        <v>0</v>
      </c>
      <c r="AV102" s="80">
        <f t="shared" si="81"/>
        <v>2.8077816861469262</v>
      </c>
      <c r="AW102" s="80">
        <f t="shared" si="82"/>
        <v>1.9144148233682428</v>
      </c>
      <c r="AX102" s="80">
        <f t="shared" si="83"/>
        <v>0.8298413654255381</v>
      </c>
      <c r="AY102" s="80">
        <f t="shared" si="84"/>
        <v>0.66790404308896767</v>
      </c>
      <c r="AZ102" s="80">
        <f t="shared" si="85"/>
        <v>2.9762267302687695</v>
      </c>
      <c r="BA102" s="80">
        <f t="shared" si="86"/>
        <v>0.34214616013568216</v>
      </c>
      <c r="BB102" s="80">
        <f t="shared" si="62"/>
        <v>221.34211920612171</v>
      </c>
      <c r="BC102" s="80">
        <f t="shared" si="63"/>
        <v>71.728855389232663</v>
      </c>
      <c r="BD102" s="80">
        <f t="shared" si="64"/>
        <v>66.531159714247664</v>
      </c>
      <c r="BE102" s="80">
        <f t="shared" si="65"/>
        <v>44.153274109636961</v>
      </c>
      <c r="BF102" s="80">
        <f t="shared" si="66"/>
        <v>256.98690833397563</v>
      </c>
      <c r="BG102" s="80">
        <f t="shared" si="67"/>
        <v>158.36820659817283</v>
      </c>
      <c r="BH102" s="49">
        <f t="shared" si="68"/>
        <v>96.591363244512564</v>
      </c>
      <c r="BI102" s="79">
        <f t="shared" si="69"/>
        <v>-44431.790191466156</v>
      </c>
      <c r="BJ102" s="79">
        <f t="shared" si="33"/>
        <v>38000</v>
      </c>
      <c r="BK102" s="44">
        <f t="shared" si="70"/>
        <v>-0.14475649447726924</v>
      </c>
      <c r="BL102" s="79">
        <f t="shared" si="87"/>
        <v>594.11652001398807</v>
      </c>
      <c r="BM102" s="49">
        <f t="shared" si="71"/>
        <v>38594.116520013988</v>
      </c>
      <c r="BN102" s="44">
        <f t="shared" si="72"/>
        <v>-0.13138506565448693</v>
      </c>
      <c r="BO102" s="49">
        <f t="shared" si="34"/>
        <v>477.98774168140022</v>
      </c>
      <c r="BP102" s="49">
        <f t="shared" si="35"/>
        <v>38477.987741681405</v>
      </c>
      <c r="BQ102" s="44">
        <f t="shared" si="36"/>
        <v>-0.1339987073248351</v>
      </c>
      <c r="BS102" s="49">
        <f t="shared" si="37"/>
        <v>44431.790191466156</v>
      </c>
      <c r="BT102" s="49">
        <f t="shared" si="88"/>
        <v>60.860000999999997</v>
      </c>
      <c r="BU102" s="49">
        <f t="shared" si="89"/>
        <v>36.07</v>
      </c>
      <c r="BV102" s="49">
        <f t="shared" si="40"/>
        <v>1608.9284461210846</v>
      </c>
      <c r="BW102" s="18">
        <f t="shared" si="41"/>
        <v>420</v>
      </c>
      <c r="BX102" s="19">
        <f t="shared" si="73"/>
        <v>0.90366972477064222</v>
      </c>
      <c r="BY102" s="49">
        <f t="shared" si="74"/>
        <v>1453.9399260818975</v>
      </c>
      <c r="BZ102" s="19">
        <f t="shared" si="42"/>
        <v>12.100021166087332</v>
      </c>
      <c r="CA102" s="19">
        <f t="shared" si="43"/>
        <v>2.9092551241894822</v>
      </c>
      <c r="CB102" s="19">
        <f t="shared" si="44"/>
        <v>3.7936031370578052</v>
      </c>
      <c r="CC102" s="19">
        <f t="shared" si="45"/>
        <v>1.6976619033463354</v>
      </c>
      <c r="CD102" s="19">
        <f t="shared" si="46"/>
        <v>6.1972705249896283</v>
      </c>
      <c r="CE102" s="19">
        <f t="shared" si="47"/>
        <v>8.3062886131044706</v>
      </c>
      <c r="CF102" s="49">
        <f t="shared" si="48"/>
        <v>-736.40730026809615</v>
      </c>
      <c r="CG102" s="49">
        <f t="shared" si="49"/>
        <v>-158.3507564096335</v>
      </c>
      <c r="CH102" s="49">
        <f t="shared" si="50"/>
        <v>-175.53001715166465</v>
      </c>
      <c r="CI102" s="49">
        <f t="shared" si="51"/>
        <v>-103.84597523237153</v>
      </c>
      <c r="CJ102" s="49">
        <f t="shared" si="52"/>
        <v>-231.77793002915314</v>
      </c>
      <c r="CK102" s="49">
        <f t="shared" si="53"/>
        <v>-299.60783027467824</v>
      </c>
    </row>
    <row r="103" spans="2:89" ht="12.75" customHeight="1" x14ac:dyDescent="0.2">
      <c r="B103" s="77">
        <v>39720</v>
      </c>
      <c r="C103" s="49">
        <v>54.82</v>
      </c>
      <c r="D103" s="49">
        <v>50</v>
      </c>
      <c r="E103" s="49">
        <v>41.16</v>
      </c>
      <c r="F103" s="49">
        <v>54.48</v>
      </c>
      <c r="G103" s="49">
        <v>33.400002000000001</v>
      </c>
      <c r="H103" s="49">
        <v>31.200001</v>
      </c>
      <c r="J103" s="78">
        <f>IF(inter=Weekly_2,J102+$C$5,IF(inter=Bi_weekly_2,0,IF(inter=Monthly_2,0,IF(inter=Quarterly_2,0,IF(inter=Yearly_2,0,IF(inter=None_2,0,0))))))</f>
        <v>0</v>
      </c>
      <c r="K103" s="79">
        <f t="shared" si="54"/>
        <v>0</v>
      </c>
      <c r="L103" s="79">
        <f t="shared" si="55"/>
        <v>0</v>
      </c>
      <c r="M103" s="79">
        <f t="shared" si="56"/>
        <v>0</v>
      </c>
      <c r="N103" s="79">
        <f t="shared" si="57"/>
        <v>0</v>
      </c>
      <c r="O103" s="79">
        <f t="shared" si="58"/>
        <v>0</v>
      </c>
      <c r="P103" s="79">
        <f t="shared" si="59"/>
        <v>0</v>
      </c>
      <c r="Q103" s="79"/>
      <c r="R103" s="80">
        <f t="shared" si="12"/>
        <v>0</v>
      </c>
      <c r="S103" s="80">
        <f t="shared" si="13"/>
        <v>0</v>
      </c>
      <c r="T103" s="80">
        <f t="shared" si="14"/>
        <v>0</v>
      </c>
      <c r="U103" s="80">
        <f t="shared" si="15"/>
        <v>0</v>
      </c>
      <c r="V103" s="80">
        <f t="shared" si="16"/>
        <v>0</v>
      </c>
      <c r="W103" s="80">
        <f t="shared" si="17"/>
        <v>0</v>
      </c>
      <c r="X103" s="80">
        <f t="shared" si="75"/>
        <v>218.53433751997477</v>
      </c>
      <c r="Y103" s="80">
        <f t="shared" si="76"/>
        <v>69.814440565864416</v>
      </c>
      <c r="Z103" s="80">
        <f t="shared" si="77"/>
        <v>65.701318348822127</v>
      </c>
      <c r="AA103" s="80">
        <f t="shared" si="78"/>
        <v>43.485370066547993</v>
      </c>
      <c r="AB103" s="80">
        <f t="shared" si="79"/>
        <v>254.01068160370684</v>
      </c>
      <c r="AC103" s="80">
        <f t="shared" si="80"/>
        <v>158.02606043803715</v>
      </c>
      <c r="AD103" s="80"/>
      <c r="AE103" s="80"/>
      <c r="AF103" s="80"/>
      <c r="AG103" s="80"/>
      <c r="AH103" s="80"/>
      <c r="AI103" s="80"/>
      <c r="AJ103" s="45">
        <f t="shared" si="19"/>
        <v>0</v>
      </c>
      <c r="AK103" s="45">
        <f t="shared" si="20"/>
        <v>0</v>
      </c>
      <c r="AL103" s="45">
        <f t="shared" si="21"/>
        <v>0</v>
      </c>
      <c r="AM103" s="45">
        <f t="shared" si="22"/>
        <v>0</v>
      </c>
      <c r="AN103" s="45">
        <f t="shared" si="23"/>
        <v>0</v>
      </c>
      <c r="AO103" s="45">
        <f t="shared" si="24"/>
        <v>0</v>
      </c>
      <c r="AP103" s="80">
        <f t="shared" si="25"/>
        <v>0</v>
      </c>
      <c r="AQ103" s="80">
        <f t="shared" si="26"/>
        <v>0</v>
      </c>
      <c r="AR103" s="80">
        <f t="shared" si="27"/>
        <v>0</v>
      </c>
      <c r="AS103" s="80">
        <f t="shared" si="28"/>
        <v>0</v>
      </c>
      <c r="AT103" s="80">
        <f t="shared" si="29"/>
        <v>0</v>
      </c>
      <c r="AU103" s="80">
        <f t="shared" si="30"/>
        <v>0</v>
      </c>
      <c r="AV103" s="80">
        <f t="shared" si="81"/>
        <v>2.8077816861469262</v>
      </c>
      <c r="AW103" s="80">
        <f t="shared" si="82"/>
        <v>1.9144148233682428</v>
      </c>
      <c r="AX103" s="80">
        <f t="shared" si="83"/>
        <v>0.8298413654255381</v>
      </c>
      <c r="AY103" s="80">
        <f t="shared" si="84"/>
        <v>0.66790404308896767</v>
      </c>
      <c r="AZ103" s="80">
        <f t="shared" si="85"/>
        <v>2.9762267302687695</v>
      </c>
      <c r="BA103" s="80">
        <f t="shared" si="86"/>
        <v>0.34214616013568216</v>
      </c>
      <c r="BB103" s="80">
        <f t="shared" si="62"/>
        <v>221.34211920612171</v>
      </c>
      <c r="BC103" s="80">
        <f t="shared" si="63"/>
        <v>71.728855389232663</v>
      </c>
      <c r="BD103" s="80">
        <f t="shared" si="64"/>
        <v>66.531159714247664</v>
      </c>
      <c r="BE103" s="80">
        <f t="shared" si="65"/>
        <v>44.153274109636961</v>
      </c>
      <c r="BF103" s="80">
        <f t="shared" si="66"/>
        <v>256.98690833397563</v>
      </c>
      <c r="BG103" s="80">
        <f t="shared" si="67"/>
        <v>158.36820659817283</v>
      </c>
      <c r="BH103" s="49">
        <f t="shared" si="68"/>
        <v>0</v>
      </c>
      <c r="BI103" s="79">
        <f t="shared" si="69"/>
        <v>-44431.790191466156</v>
      </c>
      <c r="BJ103" s="79">
        <f t="shared" si="33"/>
        <v>33958.494152879284</v>
      </c>
      <c r="BK103" s="44">
        <f t="shared" si="70"/>
        <v>-0.23571627416890439</v>
      </c>
      <c r="BL103" s="79">
        <f t="shared" si="87"/>
        <v>594.11652001398807</v>
      </c>
      <c r="BM103" s="49">
        <f t="shared" si="71"/>
        <v>34552.610672893272</v>
      </c>
      <c r="BN103" s="44">
        <f t="shared" si="72"/>
        <v>-0.22234484534612198</v>
      </c>
      <c r="BO103" s="49">
        <f t="shared" si="34"/>
        <v>430.26795535319854</v>
      </c>
      <c r="BP103" s="49">
        <f t="shared" si="35"/>
        <v>34388.762108232484</v>
      </c>
      <c r="BQ103" s="44">
        <f t="shared" si="36"/>
        <v>-0.22603248799915787</v>
      </c>
      <c r="BS103" s="49">
        <f t="shared" si="37"/>
        <v>44431.790191466156</v>
      </c>
      <c r="BT103" s="49">
        <f t="shared" si="88"/>
        <v>54.82</v>
      </c>
      <c r="BU103" s="49">
        <f t="shared" si="89"/>
        <v>31.200001</v>
      </c>
      <c r="BV103" s="49">
        <f t="shared" si="40"/>
        <v>0</v>
      </c>
      <c r="BW103" s="18">
        <f t="shared" si="41"/>
        <v>427</v>
      </c>
      <c r="BX103" s="19">
        <f t="shared" si="73"/>
        <v>0.9020642201834862</v>
      </c>
      <c r="BY103" s="49">
        <f t="shared" si="74"/>
        <v>0</v>
      </c>
      <c r="BZ103" s="19">
        <f t="shared" si="42"/>
        <v>0</v>
      </c>
      <c r="CA103" s="19">
        <f t="shared" si="43"/>
        <v>0</v>
      </c>
      <c r="CB103" s="19">
        <f t="shared" si="44"/>
        <v>0</v>
      </c>
      <c r="CC103" s="19">
        <f t="shared" si="45"/>
        <v>0</v>
      </c>
      <c r="CD103" s="19">
        <f t="shared" si="46"/>
        <v>0</v>
      </c>
      <c r="CE103" s="19">
        <f t="shared" si="47"/>
        <v>0</v>
      </c>
      <c r="CF103" s="49">
        <f t="shared" si="48"/>
        <v>0</v>
      </c>
      <c r="CG103" s="49">
        <f t="shared" si="49"/>
        <v>0</v>
      </c>
      <c r="CH103" s="49">
        <f t="shared" si="50"/>
        <v>0</v>
      </c>
      <c r="CI103" s="49">
        <f t="shared" si="51"/>
        <v>0</v>
      </c>
      <c r="CJ103" s="49">
        <f t="shared" si="52"/>
        <v>0</v>
      </c>
      <c r="CK103" s="49">
        <f t="shared" si="53"/>
        <v>0</v>
      </c>
    </row>
    <row r="104" spans="2:89" ht="12.75" customHeight="1" x14ac:dyDescent="0.2">
      <c r="B104" s="77">
        <v>39727</v>
      </c>
      <c r="C104" s="49">
        <v>44.349997999999999</v>
      </c>
      <c r="D104" s="49">
        <v>41.09</v>
      </c>
      <c r="E104" s="49">
        <v>33.090000000000003</v>
      </c>
      <c r="F104" s="49">
        <v>45.549999</v>
      </c>
      <c r="G104" s="49">
        <v>26.74</v>
      </c>
      <c r="H104" s="49">
        <v>24.799999</v>
      </c>
      <c r="J104" s="78">
        <f>IF(inter=Weekly_2,J103+$C$5,IF(inter=Bi_weekly_2,J102+$C$5,IF(inter=Monthly_2,0,IF(inter=Quarterly_2,0,IF(inter=Yearly_2,0,IF(inter=None_2,0,0))))))</f>
        <v>38600</v>
      </c>
      <c r="K104" s="79">
        <f t="shared" si="54"/>
        <v>-3818.0025680577946</v>
      </c>
      <c r="L104" s="79">
        <f t="shared" si="55"/>
        <v>-991.3246371486307</v>
      </c>
      <c r="M104" s="79">
        <f t="shared" si="56"/>
        <v>-913.94337583747574</v>
      </c>
      <c r="N104" s="79">
        <f t="shared" si="57"/>
        <v>-721.24143695410953</v>
      </c>
      <c r="O104" s="79">
        <f t="shared" si="58"/>
        <v>-2857.7543739168796</v>
      </c>
      <c r="P104" s="79">
        <f t="shared" si="59"/>
        <v>-1870.9538591627393</v>
      </c>
      <c r="Q104" s="79"/>
      <c r="R104" s="80">
        <f t="shared" si="12"/>
        <v>86.087998652396664</v>
      </c>
      <c r="S104" s="80">
        <f t="shared" si="13"/>
        <v>24.125690852972269</v>
      </c>
      <c r="T104" s="80">
        <f t="shared" si="14"/>
        <v>27.619926740328669</v>
      </c>
      <c r="U104" s="80">
        <f t="shared" si="15"/>
        <v>15.834060434427442</v>
      </c>
      <c r="V104" s="80">
        <f t="shared" si="16"/>
        <v>106.87189132075092</v>
      </c>
      <c r="W104" s="80">
        <f t="shared" si="17"/>
        <v>75.441690911468953</v>
      </c>
      <c r="X104" s="80">
        <f t="shared" si="75"/>
        <v>304.62233617237143</v>
      </c>
      <c r="Y104" s="80">
        <f t="shared" si="76"/>
        <v>93.940131418836685</v>
      </c>
      <c r="Z104" s="80">
        <f t="shared" si="77"/>
        <v>93.321245089150793</v>
      </c>
      <c r="AA104" s="80">
        <f t="shared" si="78"/>
        <v>59.319430500975436</v>
      </c>
      <c r="AB104" s="80">
        <f t="shared" si="79"/>
        <v>360.88257292445775</v>
      </c>
      <c r="AC104" s="80">
        <f t="shared" si="80"/>
        <v>233.4677513495061</v>
      </c>
      <c r="AD104" s="80"/>
      <c r="AE104" s="80"/>
      <c r="AF104" s="80"/>
      <c r="AG104" s="80"/>
      <c r="AH104" s="80"/>
      <c r="AI104" s="80"/>
      <c r="AJ104" s="45">
        <f t="shared" si="19"/>
        <v>0</v>
      </c>
      <c r="AK104" s="45">
        <f t="shared" si="20"/>
        <v>0</v>
      </c>
      <c r="AL104" s="45">
        <f t="shared" si="21"/>
        <v>0</v>
      </c>
      <c r="AM104" s="45">
        <f t="shared" si="22"/>
        <v>0</v>
      </c>
      <c r="AN104" s="45">
        <f t="shared" si="23"/>
        <v>0</v>
      </c>
      <c r="AO104" s="45">
        <f t="shared" si="24"/>
        <v>0</v>
      </c>
      <c r="AP104" s="80">
        <f t="shared" si="25"/>
        <v>0</v>
      </c>
      <c r="AQ104" s="80">
        <f t="shared" si="26"/>
        <v>0</v>
      </c>
      <c r="AR104" s="80">
        <f t="shared" si="27"/>
        <v>0</v>
      </c>
      <c r="AS104" s="80">
        <f t="shared" si="28"/>
        <v>0</v>
      </c>
      <c r="AT104" s="80">
        <f t="shared" si="29"/>
        <v>0</v>
      </c>
      <c r="AU104" s="80">
        <f t="shared" si="30"/>
        <v>0</v>
      </c>
      <c r="AV104" s="80">
        <f t="shared" si="81"/>
        <v>2.8077816861469262</v>
      </c>
      <c r="AW104" s="80">
        <f t="shared" si="82"/>
        <v>1.9144148233682428</v>
      </c>
      <c r="AX104" s="80">
        <f t="shared" si="83"/>
        <v>0.8298413654255381</v>
      </c>
      <c r="AY104" s="80">
        <f t="shared" si="84"/>
        <v>0.66790404308896767</v>
      </c>
      <c r="AZ104" s="80">
        <f t="shared" si="85"/>
        <v>2.9762267302687695</v>
      </c>
      <c r="BA104" s="80">
        <f t="shared" si="86"/>
        <v>0.34214616013568216</v>
      </c>
      <c r="BB104" s="80">
        <f t="shared" si="62"/>
        <v>307.43011785851837</v>
      </c>
      <c r="BC104" s="80">
        <f t="shared" si="63"/>
        <v>95.854546242204933</v>
      </c>
      <c r="BD104" s="80">
        <f t="shared" si="64"/>
        <v>94.15108645457633</v>
      </c>
      <c r="BE104" s="80">
        <f t="shared" si="65"/>
        <v>59.987334544064403</v>
      </c>
      <c r="BF104" s="80">
        <f t="shared" si="66"/>
        <v>363.85879965472651</v>
      </c>
      <c r="BG104" s="80">
        <f t="shared" si="67"/>
        <v>233.80989750964179</v>
      </c>
      <c r="BH104" s="49">
        <f t="shared" si="68"/>
        <v>0</v>
      </c>
      <c r="BI104" s="79">
        <f t="shared" si="69"/>
        <v>-55605.010442543782</v>
      </c>
      <c r="BJ104" s="79">
        <f t="shared" si="33"/>
        <v>38600</v>
      </c>
      <c r="BK104" s="44">
        <f t="shared" si="70"/>
        <v>-0.30581795250474642</v>
      </c>
      <c r="BL104" s="79">
        <f t="shared" si="87"/>
        <v>594.11652001398807</v>
      </c>
      <c r="BM104" s="49">
        <f t="shared" si="71"/>
        <v>39194.116520013988</v>
      </c>
      <c r="BN104" s="44">
        <f t="shared" si="72"/>
        <v>-0.29513336643443389</v>
      </c>
      <c r="BO104" s="49">
        <f t="shared" si="34"/>
        <v>349.14042373058902</v>
      </c>
      <c r="BP104" s="49">
        <f t="shared" si="35"/>
        <v>38949.140423730591</v>
      </c>
      <c r="BQ104" s="44">
        <f t="shared" si="36"/>
        <v>-0.29953901431281216</v>
      </c>
      <c r="BS104" s="49">
        <f t="shared" si="37"/>
        <v>55605.010442543782</v>
      </c>
      <c r="BT104" s="49">
        <f t="shared" si="88"/>
        <v>44.349997999999999</v>
      </c>
      <c r="BU104" s="49">
        <f t="shared" si="89"/>
        <v>24.799999</v>
      </c>
      <c r="BV104" s="49">
        <f t="shared" si="40"/>
        <v>11173.22025107763</v>
      </c>
      <c r="BW104" s="18">
        <f t="shared" si="41"/>
        <v>434</v>
      </c>
      <c r="BX104" s="19">
        <f t="shared" si="73"/>
        <v>0.90045871559633028</v>
      </c>
      <c r="BY104" s="49">
        <f t="shared" si="74"/>
        <v>10061.023556360269</v>
      </c>
      <c r="BZ104" s="19">
        <f t="shared" si="42"/>
        <v>86.087998652396664</v>
      </c>
      <c r="CA104" s="19">
        <f t="shared" si="43"/>
        <v>24.125690852972269</v>
      </c>
      <c r="CB104" s="19">
        <f t="shared" si="44"/>
        <v>27.619926740328669</v>
      </c>
      <c r="CC104" s="19">
        <f t="shared" si="45"/>
        <v>15.834060434427442</v>
      </c>
      <c r="CD104" s="19">
        <f t="shared" si="46"/>
        <v>106.87189132075092</v>
      </c>
      <c r="CE104" s="19">
        <f t="shared" si="47"/>
        <v>75.441690911468953</v>
      </c>
      <c r="CF104" s="49">
        <f t="shared" si="48"/>
        <v>-3818.0025680577946</v>
      </c>
      <c r="CG104" s="49">
        <f t="shared" si="49"/>
        <v>-991.3246371486307</v>
      </c>
      <c r="CH104" s="49">
        <f t="shared" si="50"/>
        <v>-913.94337583747574</v>
      </c>
      <c r="CI104" s="49">
        <f t="shared" si="51"/>
        <v>-721.24143695410953</v>
      </c>
      <c r="CJ104" s="49">
        <f t="shared" si="52"/>
        <v>-2857.7543739168796</v>
      </c>
      <c r="CK104" s="49">
        <f t="shared" si="53"/>
        <v>-1870.9538591627393</v>
      </c>
    </row>
    <row r="105" spans="2:89" ht="12.75" customHeight="1" x14ac:dyDescent="0.2">
      <c r="B105" s="77">
        <v>39734</v>
      </c>
      <c r="C105" s="49">
        <v>46.599997999999999</v>
      </c>
      <c r="D105" s="49">
        <v>42.27</v>
      </c>
      <c r="E105" s="49">
        <v>34.139999000000003</v>
      </c>
      <c r="F105" s="49">
        <v>45.509998000000003</v>
      </c>
      <c r="G105" s="49">
        <v>27.799999</v>
      </c>
      <c r="H105" s="49">
        <v>25.1</v>
      </c>
      <c r="J105" s="78">
        <f>IF(inter=Weekly_2,J104+$C$5,IF(inter=Bi_weekly_2,0,IF(inter=Monthly_2,0,IF(inter=Quarterly_2,0,IF(inter=Yearly_2,0,IF(inter=None_2,0,0))))))</f>
        <v>0</v>
      </c>
      <c r="K105" s="79">
        <f t="shared" si="54"/>
        <v>0</v>
      </c>
      <c r="L105" s="79">
        <f t="shared" si="55"/>
        <v>0</v>
      </c>
      <c r="M105" s="79">
        <f t="shared" si="56"/>
        <v>0</v>
      </c>
      <c r="N105" s="79">
        <f t="shared" si="57"/>
        <v>0</v>
      </c>
      <c r="O105" s="79">
        <f t="shared" si="58"/>
        <v>0</v>
      </c>
      <c r="P105" s="79">
        <f t="shared" si="59"/>
        <v>0</v>
      </c>
      <c r="Q105" s="79"/>
      <c r="R105" s="80">
        <f t="shared" si="12"/>
        <v>0</v>
      </c>
      <c r="S105" s="80">
        <f t="shared" si="13"/>
        <v>0</v>
      </c>
      <c r="T105" s="80">
        <f t="shared" si="14"/>
        <v>0</v>
      </c>
      <c r="U105" s="80">
        <f t="shared" si="15"/>
        <v>0</v>
      </c>
      <c r="V105" s="80">
        <f t="shared" si="16"/>
        <v>0</v>
      </c>
      <c r="W105" s="80">
        <f t="shared" si="17"/>
        <v>0</v>
      </c>
      <c r="X105" s="80">
        <f t="shared" si="75"/>
        <v>304.62233617237143</v>
      </c>
      <c r="Y105" s="80">
        <f t="shared" si="76"/>
        <v>93.940131418836685</v>
      </c>
      <c r="Z105" s="80">
        <f t="shared" si="77"/>
        <v>93.321245089150793</v>
      </c>
      <c r="AA105" s="80">
        <f t="shared" si="78"/>
        <v>59.319430500975436</v>
      </c>
      <c r="AB105" s="80">
        <f t="shared" si="79"/>
        <v>360.88257292445775</v>
      </c>
      <c r="AC105" s="80">
        <f t="shared" si="80"/>
        <v>233.4677513495061</v>
      </c>
      <c r="AD105" s="80"/>
      <c r="AE105" s="80"/>
      <c r="AF105" s="80"/>
      <c r="AG105" s="80"/>
      <c r="AH105" s="80"/>
      <c r="AI105" s="80"/>
      <c r="AJ105" s="45">
        <f t="shared" si="19"/>
        <v>0</v>
      </c>
      <c r="AK105" s="45">
        <f t="shared" si="20"/>
        <v>0</v>
      </c>
      <c r="AL105" s="45">
        <f t="shared" si="21"/>
        <v>0</v>
      </c>
      <c r="AM105" s="45">
        <f t="shared" si="22"/>
        <v>0</v>
      </c>
      <c r="AN105" s="45">
        <f t="shared" si="23"/>
        <v>0</v>
      </c>
      <c r="AO105" s="45">
        <f t="shared" si="24"/>
        <v>0</v>
      </c>
      <c r="AP105" s="80">
        <f t="shared" si="25"/>
        <v>0</v>
      </c>
      <c r="AQ105" s="80">
        <f t="shared" si="26"/>
        <v>0</v>
      </c>
      <c r="AR105" s="80">
        <f t="shared" si="27"/>
        <v>0</v>
      </c>
      <c r="AS105" s="80">
        <f t="shared" si="28"/>
        <v>0</v>
      </c>
      <c r="AT105" s="80">
        <f t="shared" si="29"/>
        <v>0</v>
      </c>
      <c r="AU105" s="80">
        <f t="shared" si="30"/>
        <v>0</v>
      </c>
      <c r="AV105" s="80">
        <f t="shared" si="81"/>
        <v>2.8077816861469262</v>
      </c>
      <c r="AW105" s="80">
        <f t="shared" si="82"/>
        <v>1.9144148233682428</v>
      </c>
      <c r="AX105" s="80">
        <f t="shared" si="83"/>
        <v>0.8298413654255381</v>
      </c>
      <c r="AY105" s="80">
        <f t="shared" si="84"/>
        <v>0.66790404308896767</v>
      </c>
      <c r="AZ105" s="80">
        <f t="shared" si="85"/>
        <v>2.9762267302687695</v>
      </c>
      <c r="BA105" s="80">
        <f t="shared" si="86"/>
        <v>0.34214616013568216</v>
      </c>
      <c r="BB105" s="80">
        <f t="shared" si="62"/>
        <v>307.43011785851837</v>
      </c>
      <c r="BC105" s="80">
        <f t="shared" si="63"/>
        <v>95.854546242204933</v>
      </c>
      <c r="BD105" s="80">
        <f t="shared" si="64"/>
        <v>94.15108645457633</v>
      </c>
      <c r="BE105" s="80">
        <f t="shared" si="65"/>
        <v>59.987334544064403</v>
      </c>
      <c r="BF105" s="80">
        <f t="shared" si="66"/>
        <v>363.85879965472651</v>
      </c>
      <c r="BG105" s="80">
        <f t="shared" si="67"/>
        <v>233.80989750964179</v>
      </c>
      <c r="BH105" s="49">
        <f t="shared" si="68"/>
        <v>0</v>
      </c>
      <c r="BI105" s="79">
        <f t="shared" si="69"/>
        <v>-55605.010442543782</v>
      </c>
      <c r="BJ105" s="79">
        <f t="shared" si="33"/>
        <v>39944.439714234919</v>
      </c>
      <c r="BK105" s="44">
        <f t="shared" si="70"/>
        <v>-0.28163956096170162</v>
      </c>
      <c r="BL105" s="79">
        <f t="shared" si="87"/>
        <v>594.11652001398807</v>
      </c>
      <c r="BM105" s="49">
        <f t="shared" si="71"/>
        <v>40538.556234248907</v>
      </c>
      <c r="BN105" s="44">
        <f t="shared" si="72"/>
        <v>-0.27095497489138909</v>
      </c>
      <c r="BO105" s="49">
        <f t="shared" si="34"/>
        <v>361.81899933826708</v>
      </c>
      <c r="BP105" s="49">
        <f t="shared" si="35"/>
        <v>40306.258713573181</v>
      </c>
      <c r="BQ105" s="44">
        <f t="shared" si="36"/>
        <v>-0.27513261138182288</v>
      </c>
      <c r="BS105" s="49">
        <f t="shared" si="37"/>
        <v>55605.010442543782</v>
      </c>
      <c r="BT105" s="49">
        <f t="shared" si="88"/>
        <v>46.599997999999999</v>
      </c>
      <c r="BU105" s="49">
        <f t="shared" si="89"/>
        <v>25.1</v>
      </c>
      <c r="BV105" s="49">
        <f t="shared" si="40"/>
        <v>0</v>
      </c>
      <c r="BW105" s="18">
        <f t="shared" si="41"/>
        <v>441</v>
      </c>
      <c r="BX105" s="19">
        <f t="shared" si="73"/>
        <v>0.89885321100917426</v>
      </c>
      <c r="BY105" s="49">
        <f t="shared" si="74"/>
        <v>0</v>
      </c>
      <c r="BZ105" s="19">
        <f t="shared" si="42"/>
        <v>0</v>
      </c>
      <c r="CA105" s="19">
        <f t="shared" si="43"/>
        <v>0</v>
      </c>
      <c r="CB105" s="19">
        <f t="shared" si="44"/>
        <v>0</v>
      </c>
      <c r="CC105" s="19">
        <f t="shared" si="45"/>
        <v>0</v>
      </c>
      <c r="CD105" s="19">
        <f t="shared" si="46"/>
        <v>0</v>
      </c>
      <c r="CE105" s="19">
        <f t="shared" si="47"/>
        <v>0</v>
      </c>
      <c r="CF105" s="49">
        <f t="shared" si="48"/>
        <v>0</v>
      </c>
      <c r="CG105" s="49">
        <f t="shared" si="49"/>
        <v>0</v>
      </c>
      <c r="CH105" s="49">
        <f t="shared" si="50"/>
        <v>0</v>
      </c>
      <c r="CI105" s="49">
        <f t="shared" si="51"/>
        <v>0</v>
      </c>
      <c r="CJ105" s="49">
        <f t="shared" si="52"/>
        <v>0</v>
      </c>
      <c r="CK105" s="49">
        <f t="shared" si="53"/>
        <v>0</v>
      </c>
    </row>
    <row r="106" spans="2:89" ht="12.75" customHeight="1" x14ac:dyDescent="0.2">
      <c r="B106" s="77">
        <v>39741</v>
      </c>
      <c r="C106" s="49">
        <v>43.240001999999997</v>
      </c>
      <c r="D106" s="49">
        <v>39.82</v>
      </c>
      <c r="E106" s="49">
        <v>31.01</v>
      </c>
      <c r="F106" s="49">
        <v>41.029998999999997</v>
      </c>
      <c r="G106" s="49">
        <v>24.75</v>
      </c>
      <c r="H106" s="49">
        <v>20.450001</v>
      </c>
      <c r="J106" s="78">
        <f>IF(inter=Weekly_2,J105+$C$5,IF(inter=Bi_weekly_2,J104+$C$5,IF(inter=Monthly_2,J102+$C$5,IF(inter=Quarterly_2,0,IF(inter=Yearly_2,0,IF(inter=None_2,0,0))))))</f>
        <v>39200</v>
      </c>
      <c r="K106" s="79">
        <f t="shared" si="54"/>
        <v>-548.12957466198714</v>
      </c>
      <c r="L106" s="79">
        <f t="shared" si="55"/>
        <v>-179.3039669019231</v>
      </c>
      <c r="M106" s="79">
        <f t="shared" si="56"/>
        <v>-242.10818978543375</v>
      </c>
      <c r="N106" s="79">
        <f t="shared" si="57"/>
        <v>-310.1238258644089</v>
      </c>
      <c r="O106" s="79">
        <f t="shared" si="58"/>
        <v>-868.15632011967136</v>
      </c>
      <c r="P106" s="79">
        <f t="shared" si="59"/>
        <v>-1105.5842514348487</v>
      </c>
      <c r="Q106" s="79"/>
      <c r="R106" s="80">
        <f t="shared" ref="R106:R169" si="90">-((K106)/C106)</f>
        <v>12.676446561264894</v>
      </c>
      <c r="S106" s="80">
        <f t="shared" ref="S106:S169" si="91">-((L106)/D106)</f>
        <v>4.5028620517810927</v>
      </c>
      <c r="T106" s="80">
        <f t="shared" ref="T106:T169" si="92">-(M106)/E106</f>
        <v>7.8074230824067632</v>
      </c>
      <c r="U106" s="80">
        <f t="shared" ref="U106:U169" si="93">-(N106)/F106</f>
        <v>7.5584653527388319</v>
      </c>
      <c r="V106" s="80">
        <f t="shared" ref="V106:V169" si="94">-(O106)/G106</f>
        <v>35.077023035138239</v>
      </c>
      <c r="W106" s="80">
        <f t="shared" ref="W106:W169" si="95">-(P106)/H106</f>
        <v>54.062796937508644</v>
      </c>
      <c r="X106" s="80">
        <f t="shared" si="75"/>
        <v>317.2987827336363</v>
      </c>
      <c r="Y106" s="80">
        <f t="shared" si="76"/>
        <v>98.442993470617779</v>
      </c>
      <c r="Z106" s="80">
        <f t="shared" si="77"/>
        <v>101.12866817155755</v>
      </c>
      <c r="AA106" s="80">
        <f t="shared" si="78"/>
        <v>66.877895853714264</v>
      </c>
      <c r="AB106" s="80">
        <f t="shared" si="79"/>
        <v>395.95959595959596</v>
      </c>
      <c r="AC106" s="80">
        <f t="shared" si="80"/>
        <v>287.53054828701477</v>
      </c>
      <c r="AD106" s="80"/>
      <c r="AE106" s="80"/>
      <c r="AF106" s="80"/>
      <c r="AG106" s="80"/>
      <c r="AH106" s="80"/>
      <c r="AI106" s="80"/>
      <c r="AJ106" s="45">
        <f t="shared" ref="AJ106:AJ169" si="96">(X106*AD106)</f>
        <v>0</v>
      </c>
      <c r="AK106" s="45">
        <f t="shared" ref="AK106:AK169" si="97">(Y106*AE106)</f>
        <v>0</v>
      </c>
      <c r="AL106" s="45">
        <f t="shared" ref="AL106:AL169" si="98">(Z106*AF106)</f>
        <v>0</v>
      </c>
      <c r="AM106" s="45">
        <f t="shared" ref="AM106:AM169" si="99">(AA106*AG106)</f>
        <v>0</v>
      </c>
      <c r="AN106" s="45">
        <f t="shared" ref="AN106:AN169" si="100">(AB106*AH106)</f>
        <v>0</v>
      </c>
      <c r="AO106" s="45">
        <f t="shared" ref="AO106:AO169" si="101">(AC106*AI106)</f>
        <v>0</v>
      </c>
      <c r="AP106" s="80">
        <f t="shared" ref="AP106:AP169" si="102">IF(AJ106&gt;0,AJ106/C106,0)</f>
        <v>0</v>
      </c>
      <c r="AQ106" s="80">
        <f t="shared" ref="AQ106:AQ169" si="103">IF(AK106&gt;0,AK106/D106,0)</f>
        <v>0</v>
      </c>
      <c r="AR106" s="80">
        <f t="shared" ref="AR106:AR169" si="104">IF(AL106&gt;0,AL106/E106,0)</f>
        <v>0</v>
      </c>
      <c r="AS106" s="80">
        <f t="shared" ref="AS106:AS169" si="105">IF(AM106&gt;0,AM106/F106,0)</f>
        <v>0</v>
      </c>
      <c r="AT106" s="80">
        <f t="shared" ref="AT106:AT169" si="106">IF(AN106&gt;0,AN106/G106,0)</f>
        <v>0</v>
      </c>
      <c r="AU106" s="80">
        <f t="shared" ref="AU106:AU169" si="107">IF(AO106&gt;0,AO106/H106,0)</f>
        <v>0</v>
      </c>
      <c r="AV106" s="80">
        <f t="shared" si="81"/>
        <v>2.8077816861469262</v>
      </c>
      <c r="AW106" s="80">
        <f t="shared" si="82"/>
        <v>1.9144148233682428</v>
      </c>
      <c r="AX106" s="80">
        <f t="shared" si="83"/>
        <v>0.8298413654255381</v>
      </c>
      <c r="AY106" s="80">
        <f t="shared" si="84"/>
        <v>0.66790404308896767</v>
      </c>
      <c r="AZ106" s="80">
        <f t="shared" si="85"/>
        <v>2.9762267302687695</v>
      </c>
      <c r="BA106" s="80">
        <f t="shared" si="86"/>
        <v>0.34214616013568216</v>
      </c>
      <c r="BB106" s="80">
        <f t="shared" si="62"/>
        <v>320.10656441978324</v>
      </c>
      <c r="BC106" s="80">
        <f t="shared" si="63"/>
        <v>100.35740829398603</v>
      </c>
      <c r="BD106" s="80">
        <f t="shared" si="64"/>
        <v>101.95850953698309</v>
      </c>
      <c r="BE106" s="80">
        <f t="shared" si="65"/>
        <v>67.545799896803231</v>
      </c>
      <c r="BF106" s="80">
        <f t="shared" si="66"/>
        <v>398.93582268986472</v>
      </c>
      <c r="BG106" s="80">
        <f t="shared" si="67"/>
        <v>287.87269444715042</v>
      </c>
      <c r="BH106" s="49">
        <f t="shared" si="68"/>
        <v>0</v>
      </c>
      <c r="BI106" s="79">
        <f t="shared" si="69"/>
        <v>-58858.416571312046</v>
      </c>
      <c r="BJ106" s="79">
        <f t="shared" ref="BJ106:BJ169" si="108">(X106*C106)+(Y106*D106)+(Z106*E106)+(AA106*F106)+(AB106*G106)+(AC106*H106)</f>
        <v>39200</v>
      </c>
      <c r="BK106" s="44">
        <f t="shared" si="70"/>
        <v>-0.3339949953885385</v>
      </c>
      <c r="BL106" s="79">
        <f t="shared" si="87"/>
        <v>594.11652001398807</v>
      </c>
      <c r="BM106" s="49">
        <f t="shared" si="71"/>
        <v>39794.116520013988</v>
      </c>
      <c r="BN106" s="44">
        <f t="shared" si="72"/>
        <v>-0.32390100111171038</v>
      </c>
      <c r="BO106" s="49">
        <f t="shared" ref="BO106:BO169" si="109">(C106*AV106)+(D106*AW106)+(E106*AX106)+(F106*AY106)+(G106*AZ106)+(H106*BA106)</f>
        <v>331.43646784403506</v>
      </c>
      <c r="BP106" s="49">
        <f t="shared" ref="BP106:BP169" si="110">(C106*BB106)+(D106*BC106)+(E106*BD106)+(F106*BE106)+(G106*BF106)+(H106*BG106)</f>
        <v>39531.43646784404</v>
      </c>
      <c r="BQ106" s="44">
        <f t="shared" ref="BQ106:BQ169" si="111">(BP106/ABS(BI106))-1</f>
        <v>-0.32836391512591412</v>
      </c>
      <c r="BS106" s="49">
        <f t="shared" ref="BS106:BS169" si="112">ABS(BI106)</f>
        <v>58858.416571312046</v>
      </c>
      <c r="BT106" s="49">
        <f t="shared" si="88"/>
        <v>43.240001999999997</v>
      </c>
      <c r="BU106" s="49">
        <f t="shared" si="89"/>
        <v>20.450001</v>
      </c>
      <c r="BV106" s="49">
        <f t="shared" ref="BV106:BV169" si="113">-(K106+L106+M106+N106+O106+P106+BH106)</f>
        <v>3253.406128768273</v>
      </c>
      <c r="BW106" s="18">
        <f t="shared" ref="BW106:BW169" si="114">DATEDIF($B$42,B106,"d")</f>
        <v>448</v>
      </c>
      <c r="BX106" s="19">
        <f t="shared" si="73"/>
        <v>0.89724770642201834</v>
      </c>
      <c r="BY106" s="49">
        <f t="shared" si="74"/>
        <v>2919.1111870966706</v>
      </c>
      <c r="BZ106" s="19">
        <f t="shared" ref="BZ106:BZ169" si="115">IF(R106&gt;0,R106,0)</f>
        <v>12.676446561264894</v>
      </c>
      <c r="CA106" s="19">
        <f t="shared" ref="CA106:CA169" si="116">IF(S106&gt;0,S106,0)</f>
        <v>4.5028620517810927</v>
      </c>
      <c r="CB106" s="19">
        <f t="shared" ref="CB106:CB169" si="117">IF(T106&gt;0,T106,0)</f>
        <v>7.8074230824067632</v>
      </c>
      <c r="CC106" s="19">
        <f t="shared" ref="CC106:CC169" si="118">IF(U106&gt;0,U106,0)</f>
        <v>7.5584653527388319</v>
      </c>
      <c r="CD106" s="19">
        <f t="shared" ref="CD106:CD169" si="119">IF(V106&gt;0,V106,0)</f>
        <v>35.077023035138239</v>
      </c>
      <c r="CE106" s="19">
        <f t="shared" ref="CE106:CE169" si="120">IF(W106&gt;0,W106,0)</f>
        <v>54.062796937508644</v>
      </c>
      <c r="CF106" s="49">
        <f t="shared" ref="CF106:CF169" si="121">IF(K106&lt;0,K106,0)</f>
        <v>-548.12957466198714</v>
      </c>
      <c r="CG106" s="49">
        <f t="shared" ref="CG106:CG169" si="122">IF(L106&lt;0,L106,0)</f>
        <v>-179.3039669019231</v>
      </c>
      <c r="CH106" s="49">
        <f t="shared" ref="CH106:CH169" si="123">IF(M106&lt;0,M106,0)</f>
        <v>-242.10818978543375</v>
      </c>
      <c r="CI106" s="49">
        <f t="shared" ref="CI106:CI169" si="124">IF(N106&lt;0,N106,0)</f>
        <v>-310.1238258644089</v>
      </c>
      <c r="CJ106" s="49">
        <f t="shared" ref="CJ106:CJ169" si="125">IF(O106&lt;0,O106,0)</f>
        <v>-868.15632011967136</v>
      </c>
      <c r="CK106" s="49">
        <f t="shared" ref="CK106:CK169" si="126">IF(P106&lt;0,P106,0)</f>
        <v>-1105.5842514348487</v>
      </c>
    </row>
    <row r="107" spans="2:89" ht="12.75" customHeight="1" x14ac:dyDescent="0.2">
      <c r="B107" s="77">
        <v>39748</v>
      </c>
      <c r="C107" s="49">
        <v>48.16</v>
      </c>
      <c r="D107" s="49">
        <v>43.91</v>
      </c>
      <c r="E107" s="49">
        <v>34.490001999999997</v>
      </c>
      <c r="F107" s="49">
        <v>46.349997999999999</v>
      </c>
      <c r="G107" s="49">
        <v>27.940000999999999</v>
      </c>
      <c r="H107" s="49">
        <v>25.209999</v>
      </c>
      <c r="J107" s="78">
        <f>IF(inter=Weekly_2,J106+$C$5,IF(inter=Bi_weekly_2,0,IF(inter=Monthly_2,0,IF(inter=Quarterly_2,J94+$C$5,IF(inter=Yearly_2,0,IF(inter=None_2,0,0))))))</f>
        <v>0</v>
      </c>
      <c r="K107" s="79">
        <f t="shared" ref="K107:K170" si="127">IF(J107=0,0,-((J107*$C$36)-(X106*C107)))</f>
        <v>0</v>
      </c>
      <c r="L107" s="79">
        <f t="shared" ref="L107:L170" si="128">IF(J107=0,0,-((J107*$D$36)-(Y106*D107)))</f>
        <v>0</v>
      </c>
      <c r="M107" s="79">
        <f t="shared" ref="M107:M170" si="129">IF(J107=0,0,-((J107*$E$36)-(Z106*E107)))</f>
        <v>0</v>
      </c>
      <c r="N107" s="79">
        <f t="shared" ref="N107:N170" si="130">IF(J107=0,0,-((J107*$F$36)-(AA106*F107)))</f>
        <v>0</v>
      </c>
      <c r="O107" s="79">
        <f t="shared" ref="O107:O170" si="131">IF(J107=0,0,-((J107*$G$36)-(AB106*G107)))</f>
        <v>0</v>
      </c>
      <c r="P107" s="79">
        <f t="shared" ref="P107:P170" si="132">IF(J107=0,0,-((J107*$H$36)-(AC106*H107)))</f>
        <v>0</v>
      </c>
      <c r="Q107" s="79"/>
      <c r="R107" s="80">
        <f t="shared" si="90"/>
        <v>0</v>
      </c>
      <c r="S107" s="80">
        <f t="shared" si="91"/>
        <v>0</v>
      </c>
      <c r="T107" s="80">
        <f t="shared" si="92"/>
        <v>0</v>
      </c>
      <c r="U107" s="80">
        <f t="shared" si="93"/>
        <v>0</v>
      </c>
      <c r="V107" s="80">
        <f t="shared" si="94"/>
        <v>0</v>
      </c>
      <c r="W107" s="80">
        <f t="shared" si="95"/>
        <v>0</v>
      </c>
      <c r="X107" s="80">
        <f t="shared" si="75"/>
        <v>317.2987827336363</v>
      </c>
      <c r="Y107" s="80">
        <f t="shared" si="76"/>
        <v>98.442993470617779</v>
      </c>
      <c r="Z107" s="80">
        <f t="shared" si="77"/>
        <v>101.12866817155755</v>
      </c>
      <c r="AA107" s="80">
        <f t="shared" si="78"/>
        <v>66.877895853714264</v>
      </c>
      <c r="AB107" s="80">
        <f t="shared" si="79"/>
        <v>395.95959595959596</v>
      </c>
      <c r="AC107" s="80">
        <f t="shared" si="80"/>
        <v>287.53054828701477</v>
      </c>
      <c r="AD107" s="80"/>
      <c r="AE107" s="80"/>
      <c r="AF107" s="80"/>
      <c r="AG107" s="80"/>
      <c r="AH107" s="80"/>
      <c r="AI107" s="80"/>
      <c r="AJ107" s="45">
        <f t="shared" si="96"/>
        <v>0</v>
      </c>
      <c r="AK107" s="45">
        <f t="shared" si="97"/>
        <v>0</v>
      </c>
      <c r="AL107" s="45">
        <f t="shared" si="98"/>
        <v>0</v>
      </c>
      <c r="AM107" s="45">
        <f t="shared" si="99"/>
        <v>0</v>
      </c>
      <c r="AN107" s="45">
        <f t="shared" si="100"/>
        <v>0</v>
      </c>
      <c r="AO107" s="45">
        <f t="shared" si="101"/>
        <v>0</v>
      </c>
      <c r="AP107" s="80">
        <f t="shared" si="102"/>
        <v>0</v>
      </c>
      <c r="AQ107" s="80">
        <f t="shared" si="103"/>
        <v>0</v>
      </c>
      <c r="AR107" s="80">
        <f t="shared" si="104"/>
        <v>0</v>
      </c>
      <c r="AS107" s="80">
        <f t="shared" si="105"/>
        <v>0</v>
      </c>
      <c r="AT107" s="80">
        <f t="shared" si="106"/>
        <v>0</v>
      </c>
      <c r="AU107" s="80">
        <f t="shared" si="107"/>
        <v>0</v>
      </c>
      <c r="AV107" s="80">
        <f t="shared" si="81"/>
        <v>2.8077816861469262</v>
      </c>
      <c r="AW107" s="80">
        <f t="shared" si="82"/>
        <v>1.9144148233682428</v>
      </c>
      <c r="AX107" s="80">
        <f t="shared" si="83"/>
        <v>0.8298413654255381</v>
      </c>
      <c r="AY107" s="80">
        <f t="shared" si="84"/>
        <v>0.66790404308896767</v>
      </c>
      <c r="AZ107" s="80">
        <f t="shared" si="85"/>
        <v>2.9762267302687695</v>
      </c>
      <c r="BA107" s="80">
        <f t="shared" si="86"/>
        <v>0.34214616013568216</v>
      </c>
      <c r="BB107" s="80">
        <f t="shared" ref="BB107:BB170" si="133">X107+AV107</f>
        <v>320.10656441978324</v>
      </c>
      <c r="BC107" s="80">
        <f t="shared" ref="BC107:BC170" si="134">Y107+AW107</f>
        <v>100.35740829398603</v>
      </c>
      <c r="BD107" s="80">
        <f t="shared" ref="BD107:BD170" si="135">Z107+AX107</f>
        <v>101.95850953698309</v>
      </c>
      <c r="BE107" s="80">
        <f t="shared" ref="BE107:BE170" si="136">AA107+AY107</f>
        <v>67.545799896803231</v>
      </c>
      <c r="BF107" s="80">
        <f t="shared" ref="BF107:BF170" si="137">AB107+AZ107</f>
        <v>398.93582268986472</v>
      </c>
      <c r="BG107" s="80">
        <f t="shared" ref="BG107:BG170" si="138">AC107+BA107</f>
        <v>287.87269444715042</v>
      </c>
      <c r="BH107" s="49">
        <f t="shared" ref="BH107:BH170" si="139">(AJ107+AK107+AL107+AM107+AN107+AO107)</f>
        <v>0</v>
      </c>
      <c r="BI107" s="79">
        <f t="shared" ref="BI107:BI170" si="140">BI106+K107+L107+M107+N107+O107+P107</f>
        <v>-58858.416571312046</v>
      </c>
      <c r="BJ107" s="79">
        <f t="shared" si="108"/>
        <v>44503.215868160776</v>
      </c>
      <c r="BK107" s="44">
        <f t="shared" ref="BK107:BK170" si="141">BJ107/ABS(BI107)-1</f>
        <v>-0.24389376302297749</v>
      </c>
      <c r="BL107" s="79">
        <f t="shared" si="87"/>
        <v>594.11652001398807</v>
      </c>
      <c r="BM107" s="49">
        <f t="shared" ref="BM107:BM170" si="142">BJ107+BL107</f>
        <v>45097.332388174764</v>
      </c>
      <c r="BN107" s="44">
        <f t="shared" ref="BN107:BN170" si="143">BM107/ABS(BI107)-1</f>
        <v>-0.23379976874614938</v>
      </c>
      <c r="BO107" s="49">
        <f t="shared" si="109"/>
        <v>370.64458448832113</v>
      </c>
      <c r="BP107" s="49">
        <f t="shared" si="110"/>
        <v>44873.860452649096</v>
      </c>
      <c r="BQ107" s="44">
        <f t="shared" si="111"/>
        <v>-0.23759653985457552</v>
      </c>
      <c r="BS107" s="49">
        <f t="shared" si="112"/>
        <v>58858.416571312046</v>
      </c>
      <c r="BT107" s="49">
        <f t="shared" si="88"/>
        <v>48.16</v>
      </c>
      <c r="BU107" s="49">
        <f t="shared" si="89"/>
        <v>25.209999</v>
      </c>
      <c r="BV107" s="49">
        <f t="shared" si="113"/>
        <v>0</v>
      </c>
      <c r="BW107" s="18">
        <f t="shared" si="114"/>
        <v>455</v>
      </c>
      <c r="BX107" s="19">
        <f t="shared" ref="BX107:BX170" si="144">($BW$40-BW107)/$BW$40</f>
        <v>0.89564220183486243</v>
      </c>
      <c r="BY107" s="49">
        <f t="shared" ref="BY107:BY170" si="145">BX107*BV107</f>
        <v>0</v>
      </c>
      <c r="BZ107" s="19">
        <f t="shared" si="115"/>
        <v>0</v>
      </c>
      <c r="CA107" s="19">
        <f t="shared" si="116"/>
        <v>0</v>
      </c>
      <c r="CB107" s="19">
        <f t="shared" si="117"/>
        <v>0</v>
      </c>
      <c r="CC107" s="19">
        <f t="shared" si="118"/>
        <v>0</v>
      </c>
      <c r="CD107" s="19">
        <f t="shared" si="119"/>
        <v>0</v>
      </c>
      <c r="CE107" s="19">
        <f t="shared" si="120"/>
        <v>0</v>
      </c>
      <c r="CF107" s="49">
        <f t="shared" si="121"/>
        <v>0</v>
      </c>
      <c r="CG107" s="49">
        <f t="shared" si="122"/>
        <v>0</v>
      </c>
      <c r="CH107" s="49">
        <f t="shared" si="123"/>
        <v>0</v>
      </c>
      <c r="CI107" s="49">
        <f t="shared" si="124"/>
        <v>0</v>
      </c>
      <c r="CJ107" s="49">
        <f t="shared" si="125"/>
        <v>0</v>
      </c>
      <c r="CK107" s="49">
        <f t="shared" si="126"/>
        <v>0</v>
      </c>
    </row>
    <row r="108" spans="2:89" ht="12.75" customHeight="1" x14ac:dyDescent="0.2">
      <c r="B108" s="77">
        <v>39755</v>
      </c>
      <c r="C108" s="49">
        <v>46.110000999999997</v>
      </c>
      <c r="D108" s="49">
        <v>42.150002000000001</v>
      </c>
      <c r="E108" s="49">
        <v>33.240001999999997</v>
      </c>
      <c r="F108" s="49">
        <v>43.939999</v>
      </c>
      <c r="G108" s="49">
        <v>27.959999</v>
      </c>
      <c r="H108" s="49">
        <v>24.870000999999998</v>
      </c>
      <c r="J108" s="78">
        <f>IF(inter=Weekly_2,J107+$C$5,IF(inter=Bi_weekly_2,J106+$C$5,IF(inter=Monthly_2,0,IF(inter=Quarterly_2,0,IF(inter=Yearly_2,0,IF(inter=None_2,0,0))))))</f>
        <v>39800</v>
      </c>
      <c r="K108" s="79">
        <f t="shared" si="127"/>
        <v>700.64718914675177</v>
      </c>
      <c r="L108" s="79">
        <f t="shared" si="128"/>
        <v>169.37237167252624</v>
      </c>
      <c r="M108" s="79">
        <f t="shared" si="129"/>
        <v>177.51713227990876</v>
      </c>
      <c r="N108" s="79">
        <f t="shared" si="130"/>
        <v>152.61467693430859</v>
      </c>
      <c r="O108" s="79">
        <f t="shared" si="131"/>
        <v>1121.0299070707078</v>
      </c>
      <c r="P108" s="79">
        <f t="shared" si="132"/>
        <v>1180.8850234286047</v>
      </c>
      <c r="Q108" s="79"/>
      <c r="R108" s="80">
        <f t="shared" si="90"/>
        <v>-15.195124136881971</v>
      </c>
      <c r="S108" s="80">
        <f t="shared" si="91"/>
        <v>-4.0183241669247431</v>
      </c>
      <c r="T108" s="80">
        <f t="shared" si="92"/>
        <v>-5.3404669554444908</v>
      </c>
      <c r="U108" s="80">
        <f t="shared" si="93"/>
        <v>-3.4732517161483911</v>
      </c>
      <c r="V108" s="80">
        <f t="shared" si="94"/>
        <v>-40.094061057395166</v>
      </c>
      <c r="W108" s="80">
        <f t="shared" si="95"/>
        <v>-47.482307034430946</v>
      </c>
      <c r="X108" s="80">
        <f t="shared" ref="X108:X171" si="146">X107+R108</f>
        <v>302.10365859675431</v>
      </c>
      <c r="Y108" s="80">
        <f t="shared" ref="Y108:Y171" si="147">Y107+S108</f>
        <v>94.424669303693037</v>
      </c>
      <c r="Z108" s="80">
        <f t="shared" ref="Z108:Z171" si="148">Z107+T108</f>
        <v>95.788201216113066</v>
      </c>
      <c r="AA108" s="80">
        <f t="shared" ref="AA108:AA171" si="149">AA107+U108</f>
        <v>63.404644137565874</v>
      </c>
      <c r="AB108" s="80">
        <f t="shared" ref="AB108:AB171" si="150">AB107+V108</f>
        <v>355.86553490220081</v>
      </c>
      <c r="AC108" s="80">
        <f t="shared" ref="AC108:AC171" si="151">AC107+W108</f>
        <v>240.04824125258381</v>
      </c>
      <c r="AD108" s="80"/>
      <c r="AE108" s="80"/>
      <c r="AF108" s="80"/>
      <c r="AG108" s="80"/>
      <c r="AH108" s="80"/>
      <c r="AI108" s="80"/>
      <c r="AJ108" s="45">
        <f t="shared" si="96"/>
        <v>0</v>
      </c>
      <c r="AK108" s="45">
        <f t="shared" si="97"/>
        <v>0</v>
      </c>
      <c r="AL108" s="45">
        <f t="shared" si="98"/>
        <v>0</v>
      </c>
      <c r="AM108" s="45">
        <f t="shared" si="99"/>
        <v>0</v>
      </c>
      <c r="AN108" s="45">
        <f t="shared" si="100"/>
        <v>0</v>
      </c>
      <c r="AO108" s="45">
        <f t="shared" si="101"/>
        <v>0</v>
      </c>
      <c r="AP108" s="80">
        <f t="shared" si="102"/>
        <v>0</v>
      </c>
      <c r="AQ108" s="80">
        <f t="shared" si="103"/>
        <v>0</v>
      </c>
      <c r="AR108" s="80">
        <f t="shared" si="104"/>
        <v>0</v>
      </c>
      <c r="AS108" s="80">
        <f t="shared" si="105"/>
        <v>0</v>
      </c>
      <c r="AT108" s="80">
        <f t="shared" si="106"/>
        <v>0</v>
      </c>
      <c r="AU108" s="80">
        <f t="shared" si="107"/>
        <v>0</v>
      </c>
      <c r="AV108" s="80">
        <f t="shared" ref="AV108:AV171" si="152">AP108+AV107+IF(AP108&lt;0,AP108,0)</f>
        <v>2.8077816861469262</v>
      </c>
      <c r="AW108" s="80">
        <f t="shared" ref="AW108:AW171" si="153">AQ108+AW107+IF(AQ108&lt;0,AQ108,0)</f>
        <v>1.9144148233682428</v>
      </c>
      <c r="AX108" s="80">
        <f t="shared" ref="AX108:AX171" si="154">AR108+AX107+IF(AR108&lt;0,AR108,0)</f>
        <v>0.8298413654255381</v>
      </c>
      <c r="AY108" s="80">
        <f t="shared" ref="AY108:AY171" si="155">AS108+AY107+IF(AS108&lt;0,AS108,0)</f>
        <v>0.66790404308896767</v>
      </c>
      <c r="AZ108" s="80">
        <f t="shared" ref="AZ108:AZ171" si="156">AT108+AZ107+IF(AT108&lt;0,AT108,0)</f>
        <v>2.9762267302687695</v>
      </c>
      <c r="BA108" s="80">
        <f t="shared" ref="BA108:BA171" si="157">AU108+BA107+IF(AU108&lt;0,AU108,0)</f>
        <v>0.34214616013568216</v>
      </c>
      <c r="BB108" s="80">
        <f t="shared" si="133"/>
        <v>304.91144028290125</v>
      </c>
      <c r="BC108" s="80">
        <f t="shared" si="134"/>
        <v>96.339084127061284</v>
      </c>
      <c r="BD108" s="80">
        <f t="shared" si="135"/>
        <v>96.618042581538603</v>
      </c>
      <c r="BE108" s="80">
        <f t="shared" si="136"/>
        <v>64.072548180654849</v>
      </c>
      <c r="BF108" s="80">
        <f t="shared" si="137"/>
        <v>358.84176163246957</v>
      </c>
      <c r="BG108" s="80">
        <f t="shared" si="138"/>
        <v>240.39038741271949</v>
      </c>
      <c r="BH108" s="49">
        <f t="shared" si="139"/>
        <v>0</v>
      </c>
      <c r="BI108" s="79">
        <f t="shared" si="140"/>
        <v>-55356.350270779236</v>
      </c>
      <c r="BJ108" s="79">
        <f t="shared" si="108"/>
        <v>39800</v>
      </c>
      <c r="BK108" s="44">
        <f t="shared" si="141"/>
        <v>-0.28102196396049095</v>
      </c>
      <c r="BL108" s="79">
        <f t="shared" ref="BL108:BL171" si="158">BL107+BH108</f>
        <v>594.11652001398807</v>
      </c>
      <c r="BM108" s="49">
        <f t="shared" si="142"/>
        <v>40394.116520013988</v>
      </c>
      <c r="BN108" s="44">
        <f t="shared" si="143"/>
        <v>-0.27028938283641346</v>
      </c>
      <c r="BO108" s="49">
        <f t="shared" si="109"/>
        <v>358.81550836847896</v>
      </c>
      <c r="BP108" s="49">
        <f t="shared" si="110"/>
        <v>40158.815508368483</v>
      </c>
      <c r="BQ108" s="44">
        <f t="shared" si="111"/>
        <v>-0.27454004261608667</v>
      </c>
      <c r="BS108" s="49">
        <f t="shared" si="112"/>
        <v>55356.350270779236</v>
      </c>
      <c r="BT108" s="49">
        <f t="shared" si="88"/>
        <v>46.110000999999997</v>
      </c>
      <c r="BU108" s="49">
        <f t="shared" si="89"/>
        <v>24.870000999999998</v>
      </c>
      <c r="BV108" s="49">
        <f t="shared" si="113"/>
        <v>-3502.0663005328079</v>
      </c>
      <c r="BW108" s="18">
        <f t="shared" si="114"/>
        <v>462</v>
      </c>
      <c r="BX108" s="19">
        <f t="shared" si="144"/>
        <v>0.8940366972477064</v>
      </c>
      <c r="BY108" s="49">
        <f t="shared" si="145"/>
        <v>-3130.975788870845</v>
      </c>
      <c r="BZ108" s="19">
        <f t="shared" si="115"/>
        <v>0</v>
      </c>
      <c r="CA108" s="19">
        <f t="shared" si="116"/>
        <v>0</v>
      </c>
      <c r="CB108" s="19">
        <f t="shared" si="117"/>
        <v>0</v>
      </c>
      <c r="CC108" s="19">
        <f t="shared" si="118"/>
        <v>0</v>
      </c>
      <c r="CD108" s="19">
        <f t="shared" si="119"/>
        <v>0</v>
      </c>
      <c r="CE108" s="19">
        <f t="shared" si="120"/>
        <v>0</v>
      </c>
      <c r="CF108" s="49">
        <f t="shared" si="121"/>
        <v>0</v>
      </c>
      <c r="CG108" s="49">
        <f t="shared" si="122"/>
        <v>0</v>
      </c>
      <c r="CH108" s="49">
        <f t="shared" si="123"/>
        <v>0</v>
      </c>
      <c r="CI108" s="49">
        <f t="shared" si="124"/>
        <v>0</v>
      </c>
      <c r="CJ108" s="49">
        <f t="shared" si="125"/>
        <v>0</v>
      </c>
      <c r="CK108" s="49">
        <f t="shared" si="126"/>
        <v>0</v>
      </c>
    </row>
    <row r="109" spans="2:89" ht="12.75" customHeight="1" x14ac:dyDescent="0.2">
      <c r="B109" s="77">
        <v>39762</v>
      </c>
      <c r="C109" s="49">
        <v>43.150002000000001</v>
      </c>
      <c r="D109" s="49">
        <v>39.580002</v>
      </c>
      <c r="E109" s="49">
        <v>30.799999</v>
      </c>
      <c r="F109" s="49">
        <v>39.979999999999997</v>
      </c>
      <c r="G109" s="49">
        <v>25.68</v>
      </c>
      <c r="H109" s="49">
        <v>22.469999000000001</v>
      </c>
      <c r="J109" s="78">
        <f>IF(inter=Weekly_2,J108+$C$5,IF(inter=Bi_weekly_2,0,IF(inter=Monthly_2,0,IF(inter=Quarterly_2,0,IF(inter=Yearly_2,0,IF(inter=None_2,0,0))))))</f>
        <v>0</v>
      </c>
      <c r="K109" s="79">
        <f t="shared" si="127"/>
        <v>0</v>
      </c>
      <c r="L109" s="79">
        <f t="shared" si="128"/>
        <v>0</v>
      </c>
      <c r="M109" s="79">
        <f t="shared" si="129"/>
        <v>0</v>
      </c>
      <c r="N109" s="79">
        <f t="shared" si="130"/>
        <v>0</v>
      </c>
      <c r="O109" s="79">
        <f t="shared" si="131"/>
        <v>0</v>
      </c>
      <c r="P109" s="79">
        <f t="shared" si="132"/>
        <v>0</v>
      </c>
      <c r="Q109" s="79"/>
      <c r="R109" s="80">
        <f t="shared" si="90"/>
        <v>0</v>
      </c>
      <c r="S109" s="80">
        <f t="shared" si="91"/>
        <v>0</v>
      </c>
      <c r="T109" s="80">
        <f t="shared" si="92"/>
        <v>0</v>
      </c>
      <c r="U109" s="80">
        <f t="shared" si="93"/>
        <v>0</v>
      </c>
      <c r="V109" s="80">
        <f t="shared" si="94"/>
        <v>0</v>
      </c>
      <c r="W109" s="80">
        <f t="shared" si="95"/>
        <v>0</v>
      </c>
      <c r="X109" s="80">
        <f t="shared" si="146"/>
        <v>302.10365859675431</v>
      </c>
      <c r="Y109" s="80">
        <f t="shared" si="147"/>
        <v>94.424669303693037</v>
      </c>
      <c r="Z109" s="80">
        <f t="shared" si="148"/>
        <v>95.788201216113066</v>
      </c>
      <c r="AA109" s="80">
        <f t="shared" si="149"/>
        <v>63.404644137565874</v>
      </c>
      <c r="AB109" s="80">
        <f t="shared" si="150"/>
        <v>355.86553490220081</v>
      </c>
      <c r="AC109" s="80">
        <f t="shared" si="151"/>
        <v>240.04824125258381</v>
      </c>
      <c r="AD109" s="80"/>
      <c r="AE109" s="80"/>
      <c r="AF109" s="80"/>
      <c r="AG109" s="80"/>
      <c r="AH109" s="80"/>
      <c r="AI109" s="80"/>
      <c r="AJ109" s="45">
        <f t="shared" si="96"/>
        <v>0</v>
      </c>
      <c r="AK109" s="45">
        <f t="shared" si="97"/>
        <v>0</v>
      </c>
      <c r="AL109" s="45">
        <f t="shared" si="98"/>
        <v>0</v>
      </c>
      <c r="AM109" s="45">
        <f t="shared" si="99"/>
        <v>0</v>
      </c>
      <c r="AN109" s="45">
        <f t="shared" si="100"/>
        <v>0</v>
      </c>
      <c r="AO109" s="45">
        <f t="shared" si="101"/>
        <v>0</v>
      </c>
      <c r="AP109" s="80">
        <f t="shared" si="102"/>
        <v>0</v>
      </c>
      <c r="AQ109" s="80">
        <f t="shared" si="103"/>
        <v>0</v>
      </c>
      <c r="AR109" s="80">
        <f t="shared" si="104"/>
        <v>0</v>
      </c>
      <c r="AS109" s="80">
        <f t="shared" si="105"/>
        <v>0</v>
      </c>
      <c r="AT109" s="80">
        <f t="shared" si="106"/>
        <v>0</v>
      </c>
      <c r="AU109" s="80">
        <f t="shared" si="107"/>
        <v>0</v>
      </c>
      <c r="AV109" s="80">
        <f t="shared" si="152"/>
        <v>2.8077816861469262</v>
      </c>
      <c r="AW109" s="80">
        <f t="shared" si="153"/>
        <v>1.9144148233682428</v>
      </c>
      <c r="AX109" s="80">
        <f t="shared" si="154"/>
        <v>0.8298413654255381</v>
      </c>
      <c r="AY109" s="80">
        <f t="shared" si="155"/>
        <v>0.66790404308896767</v>
      </c>
      <c r="AZ109" s="80">
        <f t="shared" si="156"/>
        <v>2.9762267302687695</v>
      </c>
      <c r="BA109" s="80">
        <f t="shared" si="157"/>
        <v>0.34214616013568216</v>
      </c>
      <c r="BB109" s="80">
        <f t="shared" si="133"/>
        <v>304.91144028290125</v>
      </c>
      <c r="BC109" s="80">
        <f t="shared" si="134"/>
        <v>96.339084127061284</v>
      </c>
      <c r="BD109" s="80">
        <f t="shared" si="135"/>
        <v>96.618042581538603</v>
      </c>
      <c r="BE109" s="80">
        <f t="shared" si="136"/>
        <v>64.072548180654849</v>
      </c>
      <c r="BF109" s="80">
        <f t="shared" si="137"/>
        <v>358.84176163246957</v>
      </c>
      <c r="BG109" s="80">
        <f t="shared" si="138"/>
        <v>240.39038741271949</v>
      </c>
      <c r="BH109" s="49">
        <f t="shared" si="139"/>
        <v>0</v>
      </c>
      <c r="BI109" s="79">
        <f t="shared" si="140"/>
        <v>-55356.350270779236</v>
      </c>
      <c r="BJ109" s="79">
        <f t="shared" si="108"/>
        <v>36790.806924020573</v>
      </c>
      <c r="BK109" s="44">
        <f t="shared" si="141"/>
        <v>-0.33538235913213355</v>
      </c>
      <c r="BL109" s="79">
        <f t="shared" si="158"/>
        <v>594.11652001398807</v>
      </c>
      <c r="BM109" s="49">
        <f t="shared" si="142"/>
        <v>37384.923444034561</v>
      </c>
      <c r="BN109" s="44">
        <f t="shared" si="143"/>
        <v>-0.32464977800805606</v>
      </c>
      <c r="BO109" s="49">
        <f t="shared" si="109"/>
        <v>333.30777108791466</v>
      </c>
      <c r="BP109" s="49">
        <f t="shared" si="110"/>
        <v>37124.114695108488</v>
      </c>
      <c r="BQ109" s="44">
        <f t="shared" si="111"/>
        <v>-0.32936122931671918</v>
      </c>
      <c r="BS109" s="49">
        <f t="shared" si="112"/>
        <v>55356.350270779236</v>
      </c>
      <c r="BT109" s="49">
        <f t="shared" si="88"/>
        <v>43.150002000000001</v>
      </c>
      <c r="BU109" s="49">
        <f t="shared" si="89"/>
        <v>22.469999000000001</v>
      </c>
      <c r="BV109" s="49">
        <f t="shared" si="113"/>
        <v>0</v>
      </c>
      <c r="BW109" s="18">
        <f t="shared" si="114"/>
        <v>469</v>
      </c>
      <c r="BX109" s="19">
        <f t="shared" si="144"/>
        <v>0.89243119266055049</v>
      </c>
      <c r="BY109" s="49">
        <f t="shared" si="145"/>
        <v>0</v>
      </c>
      <c r="BZ109" s="19">
        <f t="shared" si="115"/>
        <v>0</v>
      </c>
      <c r="CA109" s="19">
        <f t="shared" si="116"/>
        <v>0</v>
      </c>
      <c r="CB109" s="19">
        <f t="shared" si="117"/>
        <v>0</v>
      </c>
      <c r="CC109" s="19">
        <f t="shared" si="118"/>
        <v>0</v>
      </c>
      <c r="CD109" s="19">
        <f t="shared" si="119"/>
        <v>0</v>
      </c>
      <c r="CE109" s="19">
        <f t="shared" si="120"/>
        <v>0</v>
      </c>
      <c r="CF109" s="49">
        <f t="shared" si="121"/>
        <v>0</v>
      </c>
      <c r="CG109" s="49">
        <f t="shared" si="122"/>
        <v>0</v>
      </c>
      <c r="CH109" s="49">
        <f t="shared" si="123"/>
        <v>0</v>
      </c>
      <c r="CI109" s="49">
        <f t="shared" si="124"/>
        <v>0</v>
      </c>
      <c r="CJ109" s="49">
        <f t="shared" si="125"/>
        <v>0</v>
      </c>
      <c r="CK109" s="49">
        <f t="shared" si="126"/>
        <v>0</v>
      </c>
    </row>
    <row r="110" spans="2:89" ht="12.75" customHeight="1" x14ac:dyDescent="0.2">
      <c r="B110" s="77">
        <v>39769</v>
      </c>
      <c r="C110" s="49">
        <v>39.290000999999997</v>
      </c>
      <c r="D110" s="49">
        <v>36.009998000000003</v>
      </c>
      <c r="E110" s="49">
        <v>27.23</v>
      </c>
      <c r="F110" s="49">
        <v>35.520000000000003</v>
      </c>
      <c r="G110" s="49">
        <v>23.719999000000001</v>
      </c>
      <c r="H110" s="49">
        <v>21</v>
      </c>
      <c r="J110" s="78">
        <f>IF(inter=Weekly_2,J109+$C$5,IF(inter=Bi_weekly_2,J108+$C$5,IF(inter=Monthly_2,J106+$C$5,IF(inter=Quarterly_2,0,IF(inter=Yearly_2,0,IF(inter=None_2,0,0))))))</f>
        <v>40400</v>
      </c>
      <c r="K110" s="79">
        <f t="shared" si="127"/>
        <v>-2270.3469516298646</v>
      </c>
      <c r="L110" s="79">
        <f t="shared" si="128"/>
        <v>-639.76784722335196</v>
      </c>
      <c r="M110" s="79">
        <f t="shared" si="129"/>
        <v>-623.68728088524131</v>
      </c>
      <c r="N110" s="79">
        <f t="shared" si="130"/>
        <v>-575.86704023366019</v>
      </c>
      <c r="O110" s="79">
        <f t="shared" si="131"/>
        <v>-1658.8698679853314</v>
      </c>
      <c r="P110" s="79">
        <f t="shared" si="132"/>
        <v>-1018.9869336957399</v>
      </c>
      <c r="Q110" s="79"/>
      <c r="R110" s="80">
        <f t="shared" si="90"/>
        <v>57.784344460308482</v>
      </c>
      <c r="S110" s="80">
        <f t="shared" si="91"/>
        <v>17.766394966846484</v>
      </c>
      <c r="T110" s="80">
        <f t="shared" si="92"/>
        <v>22.904417219435963</v>
      </c>
      <c r="U110" s="80">
        <f t="shared" si="93"/>
        <v>16.212472979551244</v>
      </c>
      <c r="V110" s="80">
        <f t="shared" si="94"/>
        <v>69.935494853323192</v>
      </c>
      <c r="W110" s="80">
        <f t="shared" si="95"/>
        <v>48.523187318844762</v>
      </c>
      <c r="X110" s="80">
        <f t="shared" si="146"/>
        <v>359.8880030570628</v>
      </c>
      <c r="Y110" s="80">
        <f t="shared" si="147"/>
        <v>112.19106427053953</v>
      </c>
      <c r="Z110" s="80">
        <f t="shared" si="148"/>
        <v>118.69261843554904</v>
      </c>
      <c r="AA110" s="80">
        <f t="shared" si="149"/>
        <v>79.617117117117118</v>
      </c>
      <c r="AB110" s="80">
        <f t="shared" si="150"/>
        <v>425.80102975552398</v>
      </c>
      <c r="AC110" s="80">
        <f t="shared" si="151"/>
        <v>288.57142857142856</v>
      </c>
      <c r="AD110" s="80"/>
      <c r="AE110" s="80"/>
      <c r="AF110" s="80"/>
      <c r="AG110" s="80"/>
      <c r="AH110" s="80"/>
      <c r="AI110" s="80"/>
      <c r="AJ110" s="45">
        <f t="shared" si="96"/>
        <v>0</v>
      </c>
      <c r="AK110" s="45">
        <f t="shared" si="97"/>
        <v>0</v>
      </c>
      <c r="AL110" s="45">
        <f t="shared" si="98"/>
        <v>0</v>
      </c>
      <c r="AM110" s="45">
        <f t="shared" si="99"/>
        <v>0</v>
      </c>
      <c r="AN110" s="45">
        <f t="shared" si="100"/>
        <v>0</v>
      </c>
      <c r="AO110" s="45">
        <f t="shared" si="101"/>
        <v>0</v>
      </c>
      <c r="AP110" s="80">
        <f t="shared" si="102"/>
        <v>0</v>
      </c>
      <c r="AQ110" s="80">
        <f t="shared" si="103"/>
        <v>0</v>
      </c>
      <c r="AR110" s="80">
        <f t="shared" si="104"/>
        <v>0</v>
      </c>
      <c r="AS110" s="80">
        <f t="shared" si="105"/>
        <v>0</v>
      </c>
      <c r="AT110" s="80">
        <f t="shared" si="106"/>
        <v>0</v>
      </c>
      <c r="AU110" s="80">
        <f t="shared" si="107"/>
        <v>0</v>
      </c>
      <c r="AV110" s="80">
        <f t="shared" si="152"/>
        <v>2.8077816861469262</v>
      </c>
      <c r="AW110" s="80">
        <f t="shared" si="153"/>
        <v>1.9144148233682428</v>
      </c>
      <c r="AX110" s="80">
        <f t="shared" si="154"/>
        <v>0.8298413654255381</v>
      </c>
      <c r="AY110" s="80">
        <f t="shared" si="155"/>
        <v>0.66790404308896767</v>
      </c>
      <c r="AZ110" s="80">
        <f t="shared" si="156"/>
        <v>2.9762267302687695</v>
      </c>
      <c r="BA110" s="80">
        <f t="shared" si="157"/>
        <v>0.34214616013568216</v>
      </c>
      <c r="BB110" s="80">
        <f t="shared" si="133"/>
        <v>362.69578474320974</v>
      </c>
      <c r="BC110" s="80">
        <f t="shared" si="134"/>
        <v>114.10547909390777</v>
      </c>
      <c r="BD110" s="80">
        <f t="shared" si="135"/>
        <v>119.52245980097457</v>
      </c>
      <c r="BE110" s="80">
        <f t="shared" si="136"/>
        <v>80.285021160206085</v>
      </c>
      <c r="BF110" s="80">
        <f t="shared" si="137"/>
        <v>428.77725648579275</v>
      </c>
      <c r="BG110" s="80">
        <f t="shared" si="138"/>
        <v>288.91357473156421</v>
      </c>
      <c r="BH110" s="49">
        <f t="shared" si="139"/>
        <v>0</v>
      </c>
      <c r="BI110" s="79">
        <f t="shared" si="140"/>
        <v>-62143.876192432428</v>
      </c>
      <c r="BJ110" s="79">
        <f t="shared" si="108"/>
        <v>40400</v>
      </c>
      <c r="BK110" s="44">
        <f t="shared" si="141"/>
        <v>-0.34989571820562249</v>
      </c>
      <c r="BL110" s="79">
        <f t="shared" si="158"/>
        <v>594.11652001398807</v>
      </c>
      <c r="BM110" s="49">
        <f t="shared" si="142"/>
        <v>40994.116520013988</v>
      </c>
      <c r="BN110" s="44">
        <f t="shared" si="143"/>
        <v>-0.34033537925646729</v>
      </c>
      <c r="BO110" s="49">
        <f t="shared" si="109"/>
        <v>303.35751563681055</v>
      </c>
      <c r="BP110" s="49">
        <f t="shared" si="110"/>
        <v>40703.357515636817</v>
      </c>
      <c r="BQ110" s="44">
        <f t="shared" si="111"/>
        <v>-0.34501418306131559</v>
      </c>
      <c r="BS110" s="49">
        <f t="shared" si="112"/>
        <v>62143.876192432428</v>
      </c>
      <c r="BT110" s="49">
        <f t="shared" si="88"/>
        <v>39.290000999999997</v>
      </c>
      <c r="BU110" s="49">
        <f t="shared" si="89"/>
        <v>21</v>
      </c>
      <c r="BV110" s="49">
        <f t="shared" si="113"/>
        <v>6787.5259216531895</v>
      </c>
      <c r="BW110" s="18">
        <f t="shared" si="114"/>
        <v>476</v>
      </c>
      <c r="BX110" s="19">
        <f t="shared" si="144"/>
        <v>0.89082568807339446</v>
      </c>
      <c r="BY110" s="49">
        <f t="shared" si="145"/>
        <v>6046.5024494727031</v>
      </c>
      <c r="BZ110" s="19">
        <f t="shared" si="115"/>
        <v>57.784344460308482</v>
      </c>
      <c r="CA110" s="19">
        <f t="shared" si="116"/>
        <v>17.766394966846484</v>
      </c>
      <c r="CB110" s="19">
        <f t="shared" si="117"/>
        <v>22.904417219435963</v>
      </c>
      <c r="CC110" s="19">
        <f t="shared" si="118"/>
        <v>16.212472979551244</v>
      </c>
      <c r="CD110" s="19">
        <f t="shared" si="119"/>
        <v>69.935494853323192</v>
      </c>
      <c r="CE110" s="19">
        <f t="shared" si="120"/>
        <v>48.523187318844762</v>
      </c>
      <c r="CF110" s="49">
        <f t="shared" si="121"/>
        <v>-2270.3469516298646</v>
      </c>
      <c r="CG110" s="49">
        <f t="shared" si="122"/>
        <v>-639.76784722335196</v>
      </c>
      <c r="CH110" s="49">
        <f t="shared" si="123"/>
        <v>-623.68728088524131</v>
      </c>
      <c r="CI110" s="49">
        <f t="shared" si="124"/>
        <v>-575.86704023366019</v>
      </c>
      <c r="CJ110" s="49">
        <f t="shared" si="125"/>
        <v>-1658.8698679853314</v>
      </c>
      <c r="CK110" s="49">
        <f t="shared" si="126"/>
        <v>-1018.9869336957399</v>
      </c>
    </row>
    <row r="111" spans="2:89" ht="12.75" customHeight="1" x14ac:dyDescent="0.2">
      <c r="B111" s="77">
        <v>39776</v>
      </c>
      <c r="C111" s="49">
        <v>44.299999</v>
      </c>
      <c r="D111" s="49">
        <v>40.990001999999997</v>
      </c>
      <c r="E111" s="49">
        <v>31.83</v>
      </c>
      <c r="F111" s="49">
        <v>41.919998</v>
      </c>
      <c r="G111" s="49">
        <v>26.09</v>
      </c>
      <c r="H111" s="49">
        <v>23.030000999999999</v>
      </c>
      <c r="J111" s="78">
        <f>IF(inter=Weekly_2,J110+$C$5,IF(inter=Bi_weekly_2,0,IF(inter=Monthly_2,0,IF(inter=Quarterly_2,0,IF(inter=Yearly_2,0,IF(inter=None_2,0,0))))))</f>
        <v>0</v>
      </c>
      <c r="K111" s="79">
        <f t="shared" si="127"/>
        <v>0</v>
      </c>
      <c r="L111" s="79">
        <f t="shared" si="128"/>
        <v>0</v>
      </c>
      <c r="M111" s="79">
        <f t="shared" si="129"/>
        <v>0</v>
      </c>
      <c r="N111" s="79">
        <f t="shared" si="130"/>
        <v>0</v>
      </c>
      <c r="O111" s="79">
        <f t="shared" si="131"/>
        <v>0</v>
      </c>
      <c r="P111" s="79">
        <f t="shared" si="132"/>
        <v>0</v>
      </c>
      <c r="Q111" s="79"/>
      <c r="R111" s="80">
        <f t="shared" si="90"/>
        <v>0</v>
      </c>
      <c r="S111" s="80">
        <f t="shared" si="91"/>
        <v>0</v>
      </c>
      <c r="T111" s="80">
        <f t="shared" si="92"/>
        <v>0</v>
      </c>
      <c r="U111" s="80">
        <f t="shared" si="93"/>
        <v>0</v>
      </c>
      <c r="V111" s="80">
        <f t="shared" si="94"/>
        <v>0</v>
      </c>
      <c r="W111" s="80">
        <f t="shared" si="95"/>
        <v>0</v>
      </c>
      <c r="X111" s="80">
        <f t="shared" si="146"/>
        <v>359.8880030570628</v>
      </c>
      <c r="Y111" s="80">
        <f t="shared" si="147"/>
        <v>112.19106427053953</v>
      </c>
      <c r="Z111" s="80">
        <f t="shared" si="148"/>
        <v>118.69261843554904</v>
      </c>
      <c r="AA111" s="80">
        <f t="shared" si="149"/>
        <v>79.617117117117118</v>
      </c>
      <c r="AB111" s="80">
        <f t="shared" si="150"/>
        <v>425.80102975552398</v>
      </c>
      <c r="AC111" s="80">
        <f t="shared" si="151"/>
        <v>288.57142857142856</v>
      </c>
      <c r="AD111" s="80"/>
      <c r="AE111" s="80"/>
      <c r="AF111" s="80"/>
      <c r="AG111" s="80"/>
      <c r="AH111" s="80"/>
      <c r="AI111" s="80"/>
      <c r="AJ111" s="45">
        <f t="shared" si="96"/>
        <v>0</v>
      </c>
      <c r="AK111" s="45">
        <f t="shared" si="97"/>
        <v>0</v>
      </c>
      <c r="AL111" s="45">
        <f t="shared" si="98"/>
        <v>0</v>
      </c>
      <c r="AM111" s="45">
        <f t="shared" si="99"/>
        <v>0</v>
      </c>
      <c r="AN111" s="45">
        <f t="shared" si="100"/>
        <v>0</v>
      </c>
      <c r="AO111" s="45">
        <f t="shared" si="101"/>
        <v>0</v>
      </c>
      <c r="AP111" s="80">
        <f t="shared" si="102"/>
        <v>0</v>
      </c>
      <c r="AQ111" s="80">
        <f t="shared" si="103"/>
        <v>0</v>
      </c>
      <c r="AR111" s="80">
        <f t="shared" si="104"/>
        <v>0</v>
      </c>
      <c r="AS111" s="80">
        <f t="shared" si="105"/>
        <v>0</v>
      </c>
      <c r="AT111" s="80">
        <f t="shared" si="106"/>
        <v>0</v>
      </c>
      <c r="AU111" s="80">
        <f t="shared" si="107"/>
        <v>0</v>
      </c>
      <c r="AV111" s="80">
        <f t="shared" si="152"/>
        <v>2.8077816861469262</v>
      </c>
      <c r="AW111" s="80">
        <f t="shared" si="153"/>
        <v>1.9144148233682428</v>
      </c>
      <c r="AX111" s="80">
        <f t="shared" si="154"/>
        <v>0.8298413654255381</v>
      </c>
      <c r="AY111" s="80">
        <f t="shared" si="155"/>
        <v>0.66790404308896767</v>
      </c>
      <c r="AZ111" s="80">
        <f t="shared" si="156"/>
        <v>2.9762267302687695</v>
      </c>
      <c r="BA111" s="80">
        <f t="shared" si="157"/>
        <v>0.34214616013568216</v>
      </c>
      <c r="BB111" s="80">
        <f t="shared" si="133"/>
        <v>362.69578474320974</v>
      </c>
      <c r="BC111" s="80">
        <f t="shared" si="134"/>
        <v>114.10547909390777</v>
      </c>
      <c r="BD111" s="80">
        <f t="shared" si="135"/>
        <v>119.52245980097457</v>
      </c>
      <c r="BE111" s="80">
        <f t="shared" si="136"/>
        <v>80.285021160206085</v>
      </c>
      <c r="BF111" s="80">
        <f t="shared" si="137"/>
        <v>428.77725648579275</v>
      </c>
      <c r="BG111" s="80">
        <f t="shared" si="138"/>
        <v>288.91357473156421</v>
      </c>
      <c r="BH111" s="49">
        <f t="shared" si="139"/>
        <v>0</v>
      </c>
      <c r="BI111" s="79">
        <f t="shared" si="140"/>
        <v>-62143.876192432428</v>
      </c>
      <c r="BJ111" s="79">
        <f t="shared" si="108"/>
        <v>45412.23471438331</v>
      </c>
      <c r="BK111" s="44">
        <f t="shared" si="141"/>
        <v>-0.26924039025564706</v>
      </c>
      <c r="BL111" s="79">
        <f t="shared" si="158"/>
        <v>594.11652001398807</v>
      </c>
      <c r="BM111" s="49">
        <f t="shared" si="142"/>
        <v>46006.351234397298</v>
      </c>
      <c r="BN111" s="44">
        <f t="shared" si="143"/>
        <v>-0.25968005130649185</v>
      </c>
      <c r="BO111" s="49">
        <f t="shared" si="109"/>
        <v>342.79836194198043</v>
      </c>
      <c r="BP111" s="49">
        <f t="shared" si="110"/>
        <v>45755.033076325293</v>
      </c>
      <c r="BQ111" s="44">
        <f t="shared" si="111"/>
        <v>-0.26372418523360286</v>
      </c>
      <c r="BS111" s="49">
        <f t="shared" si="112"/>
        <v>62143.876192432428</v>
      </c>
      <c r="BT111" s="49">
        <f t="shared" si="88"/>
        <v>44.299999</v>
      </c>
      <c r="BU111" s="49">
        <f t="shared" si="89"/>
        <v>23.030000999999999</v>
      </c>
      <c r="BV111" s="49">
        <f t="shared" si="113"/>
        <v>0</v>
      </c>
      <c r="BW111" s="18">
        <f t="shared" si="114"/>
        <v>483</v>
      </c>
      <c r="BX111" s="19">
        <f t="shared" si="144"/>
        <v>0.88922018348623855</v>
      </c>
      <c r="BY111" s="49">
        <f t="shared" si="145"/>
        <v>0</v>
      </c>
      <c r="BZ111" s="19">
        <f t="shared" si="115"/>
        <v>0</v>
      </c>
      <c r="CA111" s="19">
        <f t="shared" si="116"/>
        <v>0</v>
      </c>
      <c r="CB111" s="19">
        <f t="shared" si="117"/>
        <v>0</v>
      </c>
      <c r="CC111" s="19">
        <f t="shared" si="118"/>
        <v>0</v>
      </c>
      <c r="CD111" s="19">
        <f t="shared" si="119"/>
        <v>0</v>
      </c>
      <c r="CE111" s="19">
        <f t="shared" si="120"/>
        <v>0</v>
      </c>
      <c r="CF111" s="49">
        <f t="shared" si="121"/>
        <v>0</v>
      </c>
      <c r="CG111" s="49">
        <f t="shared" si="122"/>
        <v>0</v>
      </c>
      <c r="CH111" s="49">
        <f t="shared" si="123"/>
        <v>0</v>
      </c>
      <c r="CI111" s="49">
        <f t="shared" si="124"/>
        <v>0</v>
      </c>
      <c r="CJ111" s="49">
        <f t="shared" si="125"/>
        <v>0</v>
      </c>
      <c r="CK111" s="49">
        <f t="shared" si="126"/>
        <v>0</v>
      </c>
    </row>
    <row r="112" spans="2:89" ht="12.75" customHeight="1" x14ac:dyDescent="0.2">
      <c r="B112" s="77">
        <v>39783</v>
      </c>
      <c r="C112" s="49">
        <v>43.209999000000003</v>
      </c>
      <c r="D112" s="49">
        <v>40.369999</v>
      </c>
      <c r="E112" s="49">
        <v>31.139999</v>
      </c>
      <c r="F112" s="49">
        <v>40.549999</v>
      </c>
      <c r="G112" s="49">
        <v>25.26</v>
      </c>
      <c r="H112" s="49">
        <v>22.58</v>
      </c>
      <c r="J112" s="78">
        <f>IF(inter=Weekly_2,J111+$C$5,IF(inter=Bi_weekly_2,J110+$C$5,IF(inter=Monthly_2,0,IF(inter=Quarterly_2,0,IF(inter=Yearly_2,0,IF(inter=None_2,0,0))))))</f>
        <v>41000</v>
      </c>
      <c r="K112" s="79">
        <f t="shared" si="127"/>
        <v>1200.7602522076832</v>
      </c>
      <c r="L112" s="79">
        <f t="shared" si="128"/>
        <v>429.15315241061671</v>
      </c>
      <c r="M112" s="79">
        <f t="shared" si="129"/>
        <v>416.08801939037858</v>
      </c>
      <c r="N112" s="79">
        <f t="shared" si="130"/>
        <v>358.47401948198149</v>
      </c>
      <c r="O112" s="79">
        <f t="shared" si="131"/>
        <v>505.73401162453592</v>
      </c>
      <c r="P112" s="79">
        <f t="shared" si="132"/>
        <v>365.94285714285616</v>
      </c>
      <c r="Q112" s="79"/>
      <c r="R112" s="80">
        <f t="shared" si="90"/>
        <v>-27.788944225795586</v>
      </c>
      <c r="S112" s="80">
        <f t="shared" si="91"/>
        <v>-10.630496978972348</v>
      </c>
      <c r="T112" s="80">
        <f t="shared" si="92"/>
        <v>-13.361850762756241</v>
      </c>
      <c r="U112" s="80">
        <f t="shared" si="93"/>
        <v>-8.8402966294026655</v>
      </c>
      <c r="V112" s="80">
        <f t="shared" si="94"/>
        <v>-20.021140602713217</v>
      </c>
      <c r="W112" s="80">
        <f t="shared" si="95"/>
        <v>-16.206503859293896</v>
      </c>
      <c r="X112" s="80">
        <f t="shared" si="146"/>
        <v>332.0990588312672</v>
      </c>
      <c r="Y112" s="80">
        <f t="shared" si="147"/>
        <v>101.56056729156718</v>
      </c>
      <c r="Z112" s="80">
        <f t="shared" si="148"/>
        <v>105.3307676727928</v>
      </c>
      <c r="AA112" s="80">
        <f t="shared" si="149"/>
        <v>70.776820487714446</v>
      </c>
      <c r="AB112" s="80">
        <f t="shared" si="150"/>
        <v>405.77988915281077</v>
      </c>
      <c r="AC112" s="80">
        <f t="shared" si="151"/>
        <v>272.36492471213467</v>
      </c>
      <c r="AD112" s="80"/>
      <c r="AE112" s="80"/>
      <c r="AF112" s="80"/>
      <c r="AG112" s="80"/>
      <c r="AH112" s="80"/>
      <c r="AI112" s="80"/>
      <c r="AJ112" s="45">
        <f t="shared" si="96"/>
        <v>0</v>
      </c>
      <c r="AK112" s="45">
        <f t="shared" si="97"/>
        <v>0</v>
      </c>
      <c r="AL112" s="45">
        <f t="shared" si="98"/>
        <v>0</v>
      </c>
      <c r="AM112" s="45">
        <f t="shared" si="99"/>
        <v>0</v>
      </c>
      <c r="AN112" s="45">
        <f t="shared" si="100"/>
        <v>0</v>
      </c>
      <c r="AO112" s="45">
        <f t="shared" si="101"/>
        <v>0</v>
      </c>
      <c r="AP112" s="80">
        <f t="shared" si="102"/>
        <v>0</v>
      </c>
      <c r="AQ112" s="80">
        <f t="shared" si="103"/>
        <v>0</v>
      </c>
      <c r="AR112" s="80">
        <f t="shared" si="104"/>
        <v>0</v>
      </c>
      <c r="AS112" s="80">
        <f t="shared" si="105"/>
        <v>0</v>
      </c>
      <c r="AT112" s="80">
        <f t="shared" si="106"/>
        <v>0</v>
      </c>
      <c r="AU112" s="80">
        <f t="shared" si="107"/>
        <v>0</v>
      </c>
      <c r="AV112" s="80">
        <f t="shared" si="152"/>
        <v>2.8077816861469262</v>
      </c>
      <c r="AW112" s="80">
        <f t="shared" si="153"/>
        <v>1.9144148233682428</v>
      </c>
      <c r="AX112" s="80">
        <f t="shared" si="154"/>
        <v>0.8298413654255381</v>
      </c>
      <c r="AY112" s="80">
        <f t="shared" si="155"/>
        <v>0.66790404308896767</v>
      </c>
      <c r="AZ112" s="80">
        <f t="shared" si="156"/>
        <v>2.9762267302687695</v>
      </c>
      <c r="BA112" s="80">
        <f t="shared" si="157"/>
        <v>0.34214616013568216</v>
      </c>
      <c r="BB112" s="80">
        <f t="shared" si="133"/>
        <v>334.90684051741414</v>
      </c>
      <c r="BC112" s="80">
        <f t="shared" si="134"/>
        <v>103.47498211493543</v>
      </c>
      <c r="BD112" s="80">
        <f t="shared" si="135"/>
        <v>106.16060903821834</v>
      </c>
      <c r="BE112" s="80">
        <f t="shared" si="136"/>
        <v>71.444724530803413</v>
      </c>
      <c r="BF112" s="80">
        <f t="shared" si="137"/>
        <v>408.75611588307953</v>
      </c>
      <c r="BG112" s="80">
        <f t="shared" si="138"/>
        <v>272.70707087227032</v>
      </c>
      <c r="BH112" s="49">
        <f t="shared" si="139"/>
        <v>0</v>
      </c>
      <c r="BI112" s="79">
        <f t="shared" si="140"/>
        <v>-58867.723880174366</v>
      </c>
      <c r="BJ112" s="79">
        <f t="shared" si="108"/>
        <v>41000</v>
      </c>
      <c r="BK112" s="44">
        <f t="shared" si="141"/>
        <v>-0.30352326712247668</v>
      </c>
      <c r="BL112" s="79">
        <f t="shared" si="158"/>
        <v>594.11652001398807</v>
      </c>
      <c r="BM112" s="49">
        <f t="shared" si="142"/>
        <v>41594.116520013988</v>
      </c>
      <c r="BN112" s="44">
        <f t="shared" si="143"/>
        <v>-0.29343086876130831</v>
      </c>
      <c r="BO112" s="49">
        <f t="shared" si="109"/>
        <v>334.43908342690446</v>
      </c>
      <c r="BP112" s="49">
        <f t="shared" si="110"/>
        <v>41334.439083426907</v>
      </c>
      <c r="BQ112" s="44">
        <f t="shared" si="111"/>
        <v>-0.29784207102072735</v>
      </c>
      <c r="BS112" s="49">
        <f t="shared" si="112"/>
        <v>58867.723880174366</v>
      </c>
      <c r="BT112" s="49">
        <f t="shared" si="88"/>
        <v>43.209999000000003</v>
      </c>
      <c r="BU112" s="49">
        <f t="shared" si="89"/>
        <v>22.58</v>
      </c>
      <c r="BV112" s="49">
        <f t="shared" si="113"/>
        <v>-3276.152312258052</v>
      </c>
      <c r="BW112" s="18">
        <f t="shared" si="114"/>
        <v>490</v>
      </c>
      <c r="BX112" s="19">
        <f t="shared" si="144"/>
        <v>0.88761467889908252</v>
      </c>
      <c r="BY112" s="49">
        <f t="shared" si="145"/>
        <v>-2907.9608826694175</v>
      </c>
      <c r="BZ112" s="19">
        <f t="shared" si="115"/>
        <v>0</v>
      </c>
      <c r="CA112" s="19">
        <f t="shared" si="116"/>
        <v>0</v>
      </c>
      <c r="CB112" s="19">
        <f t="shared" si="117"/>
        <v>0</v>
      </c>
      <c r="CC112" s="19">
        <f t="shared" si="118"/>
        <v>0</v>
      </c>
      <c r="CD112" s="19">
        <f t="shared" si="119"/>
        <v>0</v>
      </c>
      <c r="CE112" s="19">
        <f t="shared" si="120"/>
        <v>0</v>
      </c>
      <c r="CF112" s="49">
        <f t="shared" si="121"/>
        <v>0</v>
      </c>
      <c r="CG112" s="49">
        <f t="shared" si="122"/>
        <v>0</v>
      </c>
      <c r="CH112" s="49">
        <f t="shared" si="123"/>
        <v>0</v>
      </c>
      <c r="CI112" s="49">
        <f t="shared" si="124"/>
        <v>0</v>
      </c>
      <c r="CJ112" s="49">
        <f t="shared" si="125"/>
        <v>0</v>
      </c>
      <c r="CK112" s="49">
        <f t="shared" si="126"/>
        <v>0</v>
      </c>
    </row>
    <row r="113" spans="2:89" ht="12.75" customHeight="1" x14ac:dyDescent="0.2">
      <c r="B113" s="77">
        <v>39790</v>
      </c>
      <c r="C113" s="49">
        <v>43.720001000000003</v>
      </c>
      <c r="D113" s="49">
        <v>40.540000999999997</v>
      </c>
      <c r="E113" s="49">
        <v>31.74</v>
      </c>
      <c r="F113" s="49">
        <v>41.02</v>
      </c>
      <c r="G113" s="49">
        <v>26.879999000000002</v>
      </c>
      <c r="H113" s="49">
        <v>24.57</v>
      </c>
      <c r="J113" s="78">
        <f>IF(inter=Weekly_2,J112+$C$5,IF(inter=Bi_weekly_2,0,IF(inter=Monthly_2,0,IF(inter=Quarterly_2,0,IF(inter=Yearly_2,0,IF(inter=None_2,0,0))))))</f>
        <v>0</v>
      </c>
      <c r="K113" s="79">
        <f t="shared" si="127"/>
        <v>0</v>
      </c>
      <c r="L113" s="79">
        <f t="shared" si="128"/>
        <v>0</v>
      </c>
      <c r="M113" s="79">
        <f t="shared" si="129"/>
        <v>0</v>
      </c>
      <c r="N113" s="79">
        <f t="shared" si="130"/>
        <v>0</v>
      </c>
      <c r="O113" s="79">
        <f t="shared" si="131"/>
        <v>0</v>
      </c>
      <c r="P113" s="79">
        <f t="shared" si="132"/>
        <v>0</v>
      </c>
      <c r="Q113" s="79"/>
      <c r="R113" s="80">
        <f t="shared" si="90"/>
        <v>0</v>
      </c>
      <c r="S113" s="80">
        <f t="shared" si="91"/>
        <v>0</v>
      </c>
      <c r="T113" s="80">
        <f t="shared" si="92"/>
        <v>0</v>
      </c>
      <c r="U113" s="80">
        <f t="shared" si="93"/>
        <v>0</v>
      </c>
      <c r="V113" s="80">
        <f t="shared" si="94"/>
        <v>0</v>
      </c>
      <c r="W113" s="80">
        <f t="shared" si="95"/>
        <v>0</v>
      </c>
      <c r="X113" s="80">
        <f t="shared" si="146"/>
        <v>332.0990588312672</v>
      </c>
      <c r="Y113" s="80">
        <f t="shared" si="147"/>
        <v>101.56056729156718</v>
      </c>
      <c r="Z113" s="80">
        <f t="shared" si="148"/>
        <v>105.3307676727928</v>
      </c>
      <c r="AA113" s="80">
        <f t="shared" si="149"/>
        <v>70.776820487714446</v>
      </c>
      <c r="AB113" s="80">
        <f t="shared" si="150"/>
        <v>405.77988915281077</v>
      </c>
      <c r="AC113" s="80">
        <f t="shared" si="151"/>
        <v>272.36492471213467</v>
      </c>
      <c r="AD113" s="80"/>
      <c r="AE113" s="80"/>
      <c r="AF113" s="80"/>
      <c r="AG113" s="80"/>
      <c r="AH113" s="80"/>
      <c r="AI113" s="80"/>
      <c r="AJ113" s="45">
        <f t="shared" si="96"/>
        <v>0</v>
      </c>
      <c r="AK113" s="45">
        <f t="shared" si="97"/>
        <v>0</v>
      </c>
      <c r="AL113" s="45">
        <f t="shared" si="98"/>
        <v>0</v>
      </c>
      <c r="AM113" s="45">
        <f t="shared" si="99"/>
        <v>0</v>
      </c>
      <c r="AN113" s="45">
        <f t="shared" si="100"/>
        <v>0</v>
      </c>
      <c r="AO113" s="45">
        <f t="shared" si="101"/>
        <v>0</v>
      </c>
      <c r="AP113" s="80">
        <f t="shared" si="102"/>
        <v>0</v>
      </c>
      <c r="AQ113" s="80">
        <f t="shared" si="103"/>
        <v>0</v>
      </c>
      <c r="AR113" s="80">
        <f t="shared" si="104"/>
        <v>0</v>
      </c>
      <c r="AS113" s="80">
        <f t="shared" si="105"/>
        <v>0</v>
      </c>
      <c r="AT113" s="80">
        <f t="shared" si="106"/>
        <v>0</v>
      </c>
      <c r="AU113" s="80">
        <f t="shared" si="107"/>
        <v>0</v>
      </c>
      <c r="AV113" s="80">
        <f t="shared" si="152"/>
        <v>2.8077816861469262</v>
      </c>
      <c r="AW113" s="80">
        <f t="shared" si="153"/>
        <v>1.9144148233682428</v>
      </c>
      <c r="AX113" s="80">
        <f t="shared" si="154"/>
        <v>0.8298413654255381</v>
      </c>
      <c r="AY113" s="80">
        <f t="shared" si="155"/>
        <v>0.66790404308896767</v>
      </c>
      <c r="AZ113" s="80">
        <f t="shared" si="156"/>
        <v>2.9762267302687695</v>
      </c>
      <c r="BA113" s="80">
        <f t="shared" si="157"/>
        <v>0.34214616013568216</v>
      </c>
      <c r="BB113" s="80">
        <f t="shared" si="133"/>
        <v>334.90684051741414</v>
      </c>
      <c r="BC113" s="80">
        <f t="shared" si="134"/>
        <v>103.47498211493543</v>
      </c>
      <c r="BD113" s="80">
        <f t="shared" si="135"/>
        <v>106.16060903821834</v>
      </c>
      <c r="BE113" s="80">
        <f t="shared" si="136"/>
        <v>71.444724530803413</v>
      </c>
      <c r="BF113" s="80">
        <f t="shared" si="137"/>
        <v>408.75611588307953</v>
      </c>
      <c r="BG113" s="80">
        <f t="shared" si="138"/>
        <v>272.70707087227032</v>
      </c>
      <c r="BH113" s="49">
        <f t="shared" si="139"/>
        <v>0</v>
      </c>
      <c r="BI113" s="79">
        <f t="shared" si="140"/>
        <v>-58867.723880174366</v>
      </c>
      <c r="BJ113" s="79">
        <f t="shared" si="108"/>
        <v>42482.469640928066</v>
      </c>
      <c r="BK113" s="44">
        <f t="shared" si="141"/>
        <v>-0.27834020341263055</v>
      </c>
      <c r="BL113" s="79">
        <f t="shared" si="158"/>
        <v>594.11652001398807</v>
      </c>
      <c r="BM113" s="49">
        <f t="shared" si="142"/>
        <v>43076.586160942054</v>
      </c>
      <c r="BN113" s="44">
        <f t="shared" si="143"/>
        <v>-0.26824780505146206</v>
      </c>
      <c r="BO113" s="49">
        <f t="shared" si="109"/>
        <v>342.51068845393627</v>
      </c>
      <c r="BP113" s="49">
        <f t="shared" si="110"/>
        <v>42824.980329382</v>
      </c>
      <c r="BQ113" s="44">
        <f t="shared" si="111"/>
        <v>-0.27252189304019081</v>
      </c>
      <c r="BS113" s="49">
        <f t="shared" si="112"/>
        <v>58867.723880174366</v>
      </c>
      <c r="BT113" s="49">
        <f t="shared" si="88"/>
        <v>43.720001000000003</v>
      </c>
      <c r="BU113" s="49">
        <f t="shared" si="89"/>
        <v>24.57</v>
      </c>
      <c r="BV113" s="49">
        <f t="shared" si="113"/>
        <v>0</v>
      </c>
      <c r="BW113" s="18">
        <f t="shared" si="114"/>
        <v>497</v>
      </c>
      <c r="BX113" s="19">
        <f t="shared" si="144"/>
        <v>0.88600917431192661</v>
      </c>
      <c r="BY113" s="49">
        <f t="shared" si="145"/>
        <v>0</v>
      </c>
      <c r="BZ113" s="19">
        <f t="shared" si="115"/>
        <v>0</v>
      </c>
      <c r="CA113" s="19">
        <f t="shared" si="116"/>
        <v>0</v>
      </c>
      <c r="CB113" s="19">
        <f t="shared" si="117"/>
        <v>0</v>
      </c>
      <c r="CC113" s="19">
        <f t="shared" si="118"/>
        <v>0</v>
      </c>
      <c r="CD113" s="19">
        <f t="shared" si="119"/>
        <v>0</v>
      </c>
      <c r="CE113" s="19">
        <f t="shared" si="120"/>
        <v>0</v>
      </c>
      <c r="CF113" s="49">
        <f t="shared" si="121"/>
        <v>0</v>
      </c>
      <c r="CG113" s="49">
        <f t="shared" si="122"/>
        <v>0</v>
      </c>
      <c r="CH113" s="49">
        <f t="shared" si="123"/>
        <v>0</v>
      </c>
      <c r="CI113" s="49">
        <f t="shared" si="124"/>
        <v>0</v>
      </c>
      <c r="CJ113" s="49">
        <f t="shared" si="125"/>
        <v>0</v>
      </c>
      <c r="CK113" s="49">
        <f t="shared" si="126"/>
        <v>0</v>
      </c>
    </row>
    <row r="114" spans="2:89" ht="12.75" customHeight="1" x14ac:dyDescent="0.2">
      <c r="B114" s="77">
        <v>39797</v>
      </c>
      <c r="C114" s="49">
        <v>44.110000999999997</v>
      </c>
      <c r="D114" s="49">
        <v>40.520000000000003</v>
      </c>
      <c r="E114" s="49">
        <v>32.720001000000003</v>
      </c>
      <c r="F114" s="49">
        <v>42.529998999999997</v>
      </c>
      <c r="G114" s="49">
        <v>27.09</v>
      </c>
      <c r="H114" s="49">
        <v>25.040001</v>
      </c>
      <c r="J114" s="78">
        <f>IF(inter=Weekly_2,J113+$C$5,IF(inter=Bi_weekly_2,J112+$C$5,IF(inter=Monthly_2,J110+$C$5,IF(inter=Quarterly_2,0,IF(inter=Yearly_2,0,IF(inter=None_2,0,0))))))</f>
        <v>41600</v>
      </c>
      <c r="K114" s="79">
        <f t="shared" si="127"/>
        <v>88.889817146255155</v>
      </c>
      <c r="L114" s="79">
        <f t="shared" si="128"/>
        <v>-44.765813345697097</v>
      </c>
      <c r="M114" s="79">
        <f t="shared" si="129"/>
        <v>118.4228235845485</v>
      </c>
      <c r="N114" s="79">
        <f t="shared" si="130"/>
        <v>98.138104565673984</v>
      </c>
      <c r="O114" s="79">
        <f t="shared" si="131"/>
        <v>592.57719714964333</v>
      </c>
      <c r="P114" s="79">
        <f t="shared" si="132"/>
        <v>580.01798715677705</v>
      </c>
      <c r="Q114" s="79"/>
      <c r="R114" s="80">
        <f t="shared" si="90"/>
        <v>-2.0151851083897085</v>
      </c>
      <c r="S114" s="80">
        <f t="shared" si="91"/>
        <v>1.1047831526578751</v>
      </c>
      <c r="T114" s="80">
        <f t="shared" si="92"/>
        <v>-3.6192793387918445</v>
      </c>
      <c r="U114" s="80">
        <f t="shared" si="93"/>
        <v>-2.3075031007095483</v>
      </c>
      <c r="V114" s="80">
        <f t="shared" si="94"/>
        <v>-21.874388968240801</v>
      </c>
      <c r="W114" s="80">
        <f t="shared" si="95"/>
        <v>-23.16365670899043</v>
      </c>
      <c r="X114" s="80">
        <f t="shared" si="146"/>
        <v>330.08387372287751</v>
      </c>
      <c r="Y114" s="80">
        <f t="shared" si="147"/>
        <v>102.66535044422506</v>
      </c>
      <c r="Z114" s="80">
        <f t="shared" si="148"/>
        <v>101.71148833400096</v>
      </c>
      <c r="AA114" s="80">
        <f t="shared" si="149"/>
        <v>68.469317387004892</v>
      </c>
      <c r="AB114" s="80">
        <f t="shared" si="150"/>
        <v>383.90550018456997</v>
      </c>
      <c r="AC114" s="80">
        <f t="shared" si="151"/>
        <v>249.20126800314424</v>
      </c>
      <c r="AD114" s="80"/>
      <c r="AE114" s="80"/>
      <c r="AF114" s="80"/>
      <c r="AG114" s="80"/>
      <c r="AH114" s="80"/>
      <c r="AI114" s="80"/>
      <c r="AJ114" s="45">
        <f t="shared" si="96"/>
        <v>0</v>
      </c>
      <c r="AK114" s="45">
        <f t="shared" si="97"/>
        <v>0</v>
      </c>
      <c r="AL114" s="45">
        <f t="shared" si="98"/>
        <v>0</v>
      </c>
      <c r="AM114" s="45">
        <f t="shared" si="99"/>
        <v>0</v>
      </c>
      <c r="AN114" s="45">
        <f t="shared" si="100"/>
        <v>0</v>
      </c>
      <c r="AO114" s="45">
        <f t="shared" si="101"/>
        <v>0</v>
      </c>
      <c r="AP114" s="80">
        <f t="shared" si="102"/>
        <v>0</v>
      </c>
      <c r="AQ114" s="80">
        <f t="shared" si="103"/>
        <v>0</v>
      </c>
      <c r="AR114" s="80">
        <f t="shared" si="104"/>
        <v>0</v>
      </c>
      <c r="AS114" s="80">
        <f t="shared" si="105"/>
        <v>0</v>
      </c>
      <c r="AT114" s="80">
        <f t="shared" si="106"/>
        <v>0</v>
      </c>
      <c r="AU114" s="80">
        <f t="shared" si="107"/>
        <v>0</v>
      </c>
      <c r="AV114" s="80">
        <f t="shared" si="152"/>
        <v>2.8077816861469262</v>
      </c>
      <c r="AW114" s="80">
        <f t="shared" si="153"/>
        <v>1.9144148233682428</v>
      </c>
      <c r="AX114" s="80">
        <f t="shared" si="154"/>
        <v>0.8298413654255381</v>
      </c>
      <c r="AY114" s="80">
        <f t="shared" si="155"/>
        <v>0.66790404308896767</v>
      </c>
      <c r="AZ114" s="80">
        <f t="shared" si="156"/>
        <v>2.9762267302687695</v>
      </c>
      <c r="BA114" s="80">
        <f t="shared" si="157"/>
        <v>0.34214616013568216</v>
      </c>
      <c r="BB114" s="80">
        <f t="shared" si="133"/>
        <v>332.89165540902445</v>
      </c>
      <c r="BC114" s="80">
        <f t="shared" si="134"/>
        <v>104.5797652675933</v>
      </c>
      <c r="BD114" s="80">
        <f t="shared" si="135"/>
        <v>102.5413296994265</v>
      </c>
      <c r="BE114" s="80">
        <f t="shared" si="136"/>
        <v>69.137221430093859</v>
      </c>
      <c r="BF114" s="80">
        <f t="shared" si="137"/>
        <v>386.88172691483874</v>
      </c>
      <c r="BG114" s="80">
        <f t="shared" si="138"/>
        <v>249.54341416327992</v>
      </c>
      <c r="BH114" s="49">
        <f t="shared" si="139"/>
        <v>0</v>
      </c>
      <c r="BI114" s="79">
        <f t="shared" si="140"/>
        <v>-57434.443763917159</v>
      </c>
      <c r="BJ114" s="79">
        <f t="shared" si="108"/>
        <v>41600</v>
      </c>
      <c r="BK114" s="44">
        <f t="shared" si="141"/>
        <v>-0.27569595396456248</v>
      </c>
      <c r="BL114" s="79">
        <f t="shared" si="158"/>
        <v>594.11652001398807</v>
      </c>
      <c r="BM114" s="49">
        <f t="shared" si="142"/>
        <v>42194.116520013988</v>
      </c>
      <c r="BN114" s="44">
        <f t="shared" si="143"/>
        <v>-0.26535169917459556</v>
      </c>
      <c r="BO114" s="49">
        <f t="shared" si="109"/>
        <v>346.17503253276311</v>
      </c>
      <c r="BP114" s="49">
        <f t="shared" si="110"/>
        <v>41946.175032532759</v>
      </c>
      <c r="BQ114" s="44">
        <f t="shared" si="111"/>
        <v>-0.2696686468323527</v>
      </c>
      <c r="BS114" s="49">
        <f t="shared" si="112"/>
        <v>57434.443763917159</v>
      </c>
      <c r="BT114" s="49">
        <f t="shared" si="88"/>
        <v>44.110000999999997</v>
      </c>
      <c r="BU114" s="49">
        <f t="shared" si="89"/>
        <v>25.040001</v>
      </c>
      <c r="BV114" s="49">
        <f t="shared" si="113"/>
        <v>-1433.2801162572009</v>
      </c>
      <c r="BW114" s="18">
        <f t="shared" si="114"/>
        <v>504</v>
      </c>
      <c r="BX114" s="19">
        <f t="shared" si="144"/>
        <v>0.88440366972477069</v>
      </c>
      <c r="BY114" s="49">
        <f t="shared" si="145"/>
        <v>-1267.5981945614144</v>
      </c>
      <c r="BZ114" s="19">
        <f t="shared" si="115"/>
        <v>0</v>
      </c>
      <c r="CA114" s="19">
        <f t="shared" si="116"/>
        <v>1.1047831526578751</v>
      </c>
      <c r="CB114" s="19">
        <f t="shared" si="117"/>
        <v>0</v>
      </c>
      <c r="CC114" s="19">
        <f t="shared" si="118"/>
        <v>0</v>
      </c>
      <c r="CD114" s="19">
        <f t="shared" si="119"/>
        <v>0</v>
      </c>
      <c r="CE114" s="19">
        <f t="shared" si="120"/>
        <v>0</v>
      </c>
      <c r="CF114" s="49">
        <f t="shared" si="121"/>
        <v>0</v>
      </c>
      <c r="CG114" s="49">
        <f t="shared" si="122"/>
        <v>-44.765813345697097</v>
      </c>
      <c r="CH114" s="49">
        <f t="shared" si="123"/>
        <v>0</v>
      </c>
      <c r="CI114" s="49">
        <f t="shared" si="124"/>
        <v>0</v>
      </c>
      <c r="CJ114" s="49">
        <f t="shared" si="125"/>
        <v>0</v>
      </c>
      <c r="CK114" s="49">
        <f t="shared" si="126"/>
        <v>0</v>
      </c>
    </row>
    <row r="115" spans="2:89" ht="12.75" customHeight="1" x14ac:dyDescent="0.2">
      <c r="B115" s="77">
        <v>39804</v>
      </c>
      <c r="C115" s="49">
        <v>43.32</v>
      </c>
      <c r="D115" s="49">
        <v>39.599997999999999</v>
      </c>
      <c r="E115" s="49">
        <v>31.41</v>
      </c>
      <c r="F115" s="49">
        <v>40.459999000000003</v>
      </c>
      <c r="G115" s="49">
        <v>26.24</v>
      </c>
      <c r="H115" s="49">
        <v>22.969999000000001</v>
      </c>
      <c r="J115" s="78">
        <f>IF(inter=Weekly_2,J114+$C$5,IF(inter=Bi_weekly_2,0,IF(inter=Monthly_2,0,IF(inter=Quarterly_2,0,IF(inter=Yearly_2,0,IF(inter=None_2,0,0))))))</f>
        <v>0</v>
      </c>
      <c r="K115" s="79">
        <f t="shared" si="127"/>
        <v>0</v>
      </c>
      <c r="L115" s="79">
        <f t="shared" si="128"/>
        <v>0</v>
      </c>
      <c r="M115" s="79">
        <f t="shared" si="129"/>
        <v>0</v>
      </c>
      <c r="N115" s="79">
        <f t="shared" si="130"/>
        <v>0</v>
      </c>
      <c r="O115" s="79">
        <f t="shared" si="131"/>
        <v>0</v>
      </c>
      <c r="P115" s="79">
        <f t="shared" si="132"/>
        <v>0</v>
      </c>
      <c r="Q115" s="79"/>
      <c r="R115" s="80">
        <f t="shared" si="90"/>
        <v>0</v>
      </c>
      <c r="S115" s="80">
        <f t="shared" si="91"/>
        <v>0</v>
      </c>
      <c r="T115" s="80">
        <f t="shared" si="92"/>
        <v>0</v>
      </c>
      <c r="U115" s="80">
        <f t="shared" si="93"/>
        <v>0</v>
      </c>
      <c r="V115" s="80">
        <f t="shared" si="94"/>
        <v>0</v>
      </c>
      <c r="W115" s="80">
        <f t="shared" si="95"/>
        <v>0</v>
      </c>
      <c r="X115" s="80">
        <f t="shared" si="146"/>
        <v>330.08387372287751</v>
      </c>
      <c r="Y115" s="80">
        <f t="shared" si="147"/>
        <v>102.66535044422506</v>
      </c>
      <c r="Z115" s="80">
        <f t="shared" si="148"/>
        <v>101.71148833400096</v>
      </c>
      <c r="AA115" s="80">
        <f t="shared" si="149"/>
        <v>68.469317387004892</v>
      </c>
      <c r="AB115" s="80">
        <f t="shared" si="150"/>
        <v>383.90550018456997</v>
      </c>
      <c r="AC115" s="80">
        <f t="shared" si="151"/>
        <v>249.20126800314424</v>
      </c>
      <c r="AD115" s="80">
        <v>0.33500000000000002</v>
      </c>
      <c r="AE115" s="80">
        <v>0.43099999999999999</v>
      </c>
      <c r="AF115" s="80">
        <v>0.85699999999999998</v>
      </c>
      <c r="AG115" s="80">
        <v>1.2669999999999999</v>
      </c>
      <c r="AH115" s="80">
        <v>0.91400000000000003</v>
      </c>
      <c r="AI115" s="80">
        <v>1.1779999999999999</v>
      </c>
      <c r="AJ115" s="45">
        <f t="shared" si="96"/>
        <v>110.57809769716397</v>
      </c>
      <c r="AK115" s="45">
        <f t="shared" si="97"/>
        <v>44.248766041460996</v>
      </c>
      <c r="AL115" s="45">
        <f t="shared" si="98"/>
        <v>87.166745502238825</v>
      </c>
      <c r="AM115" s="45">
        <f t="shared" si="99"/>
        <v>86.750625129335191</v>
      </c>
      <c r="AN115" s="45">
        <f t="shared" si="100"/>
        <v>350.88962716869696</v>
      </c>
      <c r="AO115" s="45">
        <f t="shared" si="101"/>
        <v>293.55909370770388</v>
      </c>
      <c r="AP115" s="80">
        <f t="shared" si="102"/>
        <v>2.552587666139519</v>
      </c>
      <c r="AQ115" s="80">
        <f t="shared" si="103"/>
        <v>1.1173931382890725</v>
      </c>
      <c r="AR115" s="80">
        <f t="shared" si="104"/>
        <v>2.7751272047831526</v>
      </c>
      <c r="AS115" s="80">
        <f t="shared" si="105"/>
        <v>2.1441084348354824</v>
      </c>
      <c r="AT115" s="80">
        <f t="shared" si="106"/>
        <v>13.372318108563148</v>
      </c>
      <c r="AU115" s="80">
        <f t="shared" si="107"/>
        <v>12.780109120061514</v>
      </c>
      <c r="AV115" s="80">
        <f t="shared" si="152"/>
        <v>5.3603693522864457</v>
      </c>
      <c r="AW115" s="80">
        <f t="shared" si="153"/>
        <v>3.0318079616573153</v>
      </c>
      <c r="AX115" s="80">
        <f t="shared" si="154"/>
        <v>3.6049685702086904</v>
      </c>
      <c r="AY115" s="80">
        <f t="shared" si="155"/>
        <v>2.81201247792445</v>
      </c>
      <c r="AZ115" s="80">
        <f t="shared" si="156"/>
        <v>16.348544838831916</v>
      </c>
      <c r="BA115" s="80">
        <f t="shared" si="157"/>
        <v>13.122255280197196</v>
      </c>
      <c r="BB115" s="80">
        <f t="shared" si="133"/>
        <v>335.44424307516397</v>
      </c>
      <c r="BC115" s="80">
        <f t="shared" si="134"/>
        <v>105.69715840588238</v>
      </c>
      <c r="BD115" s="80">
        <f t="shared" si="135"/>
        <v>105.31645690420964</v>
      </c>
      <c r="BE115" s="80">
        <f t="shared" si="136"/>
        <v>71.281329864929347</v>
      </c>
      <c r="BF115" s="80">
        <f t="shared" si="137"/>
        <v>400.25404502340189</v>
      </c>
      <c r="BG115" s="80">
        <f t="shared" si="138"/>
        <v>262.32352328334144</v>
      </c>
      <c r="BH115" s="49">
        <f t="shared" si="139"/>
        <v>973.19295524659992</v>
      </c>
      <c r="BI115" s="79">
        <f t="shared" si="140"/>
        <v>-57434.443763917159</v>
      </c>
      <c r="BJ115" s="79">
        <f t="shared" si="108"/>
        <v>40127.640645189611</v>
      </c>
      <c r="BK115" s="44">
        <f t="shared" si="141"/>
        <v>-0.30133143083733394</v>
      </c>
      <c r="BL115" s="79">
        <f t="shared" si="158"/>
        <v>1567.309475260588</v>
      </c>
      <c r="BM115" s="49">
        <f t="shared" si="142"/>
        <v>41694.950120450201</v>
      </c>
      <c r="BN115" s="44">
        <f t="shared" si="143"/>
        <v>-0.27404276270461936</v>
      </c>
      <c r="BO115" s="49">
        <f t="shared" si="109"/>
        <v>1309.6808816289522</v>
      </c>
      <c r="BP115" s="49">
        <f t="shared" si="110"/>
        <v>41437.32152681856</v>
      </c>
      <c r="BQ115" s="44">
        <f t="shared" si="111"/>
        <v>-0.27852837406860542</v>
      </c>
      <c r="BS115" s="49">
        <f t="shared" si="112"/>
        <v>57434.443763917159</v>
      </c>
      <c r="BT115" s="49">
        <f t="shared" si="88"/>
        <v>43.32</v>
      </c>
      <c r="BU115" s="49">
        <f t="shared" si="89"/>
        <v>22.969999000000001</v>
      </c>
      <c r="BV115" s="49">
        <f t="shared" si="113"/>
        <v>-973.19295524659992</v>
      </c>
      <c r="BW115" s="18">
        <f t="shared" si="114"/>
        <v>511</v>
      </c>
      <c r="BX115" s="19">
        <f t="shared" si="144"/>
        <v>0.88279816513761467</v>
      </c>
      <c r="BY115" s="49">
        <f t="shared" si="145"/>
        <v>-859.13295521655118</v>
      </c>
      <c r="BZ115" s="19">
        <f t="shared" si="115"/>
        <v>0</v>
      </c>
      <c r="CA115" s="19">
        <f t="shared" si="116"/>
        <v>0</v>
      </c>
      <c r="CB115" s="19">
        <f t="shared" si="117"/>
        <v>0</v>
      </c>
      <c r="CC115" s="19">
        <f t="shared" si="118"/>
        <v>0</v>
      </c>
      <c r="CD115" s="19">
        <f t="shared" si="119"/>
        <v>0</v>
      </c>
      <c r="CE115" s="19">
        <f t="shared" si="120"/>
        <v>0</v>
      </c>
      <c r="CF115" s="49">
        <f t="shared" si="121"/>
        <v>0</v>
      </c>
      <c r="CG115" s="49">
        <f t="shared" si="122"/>
        <v>0</v>
      </c>
      <c r="CH115" s="49">
        <f t="shared" si="123"/>
        <v>0</v>
      </c>
      <c r="CI115" s="49">
        <f t="shared" si="124"/>
        <v>0</v>
      </c>
      <c r="CJ115" s="49">
        <f t="shared" si="125"/>
        <v>0</v>
      </c>
      <c r="CK115" s="49">
        <f t="shared" si="126"/>
        <v>0</v>
      </c>
    </row>
    <row r="116" spans="2:89" ht="12.75" customHeight="1" x14ac:dyDescent="0.2">
      <c r="B116" s="77">
        <v>39811</v>
      </c>
      <c r="C116" s="49">
        <v>46.029998999999997</v>
      </c>
      <c r="D116" s="49">
        <v>42.299999</v>
      </c>
      <c r="E116" s="49">
        <v>33.650002000000001</v>
      </c>
      <c r="F116" s="49">
        <v>43.049999</v>
      </c>
      <c r="G116" s="49">
        <v>27.639999</v>
      </c>
      <c r="H116" s="49">
        <v>24.83</v>
      </c>
      <c r="J116" s="78">
        <f>IF(inter=Weekly_2,J115+$C$5,IF(inter=Bi_weekly_2,J114+$C$5,IF(inter=Monthly_2,0,IF(inter=Quarterly_2,0,IF(inter=Yearly_2,0,IF(inter=None_2,0,0))))))</f>
        <v>42200</v>
      </c>
      <c r="K116" s="79">
        <f t="shared" si="127"/>
        <v>423.7603773801784</v>
      </c>
      <c r="L116" s="79">
        <f t="shared" si="128"/>
        <v>122.74422112536922</v>
      </c>
      <c r="M116" s="79">
        <f t="shared" si="129"/>
        <v>46.591785862109191</v>
      </c>
      <c r="N116" s="79">
        <f t="shared" si="130"/>
        <v>-6.3959549587571018</v>
      </c>
      <c r="O116" s="79">
        <f t="shared" si="131"/>
        <v>61.147641196013865</v>
      </c>
      <c r="P116" s="79">
        <f t="shared" si="132"/>
        <v>-142.33251548192948</v>
      </c>
      <c r="Q116" s="79"/>
      <c r="R116" s="80">
        <f t="shared" si="90"/>
        <v>-9.2061782877765967</v>
      </c>
      <c r="S116" s="80">
        <f t="shared" si="91"/>
        <v>-2.9017547051329533</v>
      </c>
      <c r="T116" s="80">
        <f t="shared" si="92"/>
        <v>-1.3845997947372839</v>
      </c>
      <c r="U116" s="80">
        <f t="shared" si="93"/>
        <v>0.14857038576835047</v>
      </c>
      <c r="V116" s="80">
        <f t="shared" si="94"/>
        <v>-2.2122881117330673</v>
      </c>
      <c r="W116" s="80">
        <f t="shared" si="95"/>
        <v>5.7322801241212034</v>
      </c>
      <c r="X116" s="80">
        <f t="shared" si="146"/>
        <v>320.87769543510092</v>
      </c>
      <c r="Y116" s="80">
        <f t="shared" si="147"/>
        <v>99.763595739092096</v>
      </c>
      <c r="Z116" s="80">
        <f t="shared" si="148"/>
        <v>100.32688853926368</v>
      </c>
      <c r="AA116" s="80">
        <f t="shared" si="149"/>
        <v>68.617887772773244</v>
      </c>
      <c r="AB116" s="80">
        <f t="shared" si="150"/>
        <v>381.6932120728369</v>
      </c>
      <c r="AC116" s="80">
        <f t="shared" si="151"/>
        <v>254.93354812726545</v>
      </c>
      <c r="AD116" s="80"/>
      <c r="AE116" s="80"/>
      <c r="AF116" s="80"/>
      <c r="AG116" s="80"/>
      <c r="AH116" s="80"/>
      <c r="AI116" s="80"/>
      <c r="AJ116" s="45">
        <f t="shared" si="96"/>
        <v>0</v>
      </c>
      <c r="AK116" s="45">
        <f t="shared" si="97"/>
        <v>0</v>
      </c>
      <c r="AL116" s="45">
        <f t="shared" si="98"/>
        <v>0</v>
      </c>
      <c r="AM116" s="45">
        <f t="shared" si="99"/>
        <v>0</v>
      </c>
      <c r="AN116" s="45">
        <f t="shared" si="100"/>
        <v>0</v>
      </c>
      <c r="AO116" s="45">
        <f t="shared" si="101"/>
        <v>0</v>
      </c>
      <c r="AP116" s="80">
        <f t="shared" si="102"/>
        <v>0</v>
      </c>
      <c r="AQ116" s="80">
        <f t="shared" si="103"/>
        <v>0</v>
      </c>
      <c r="AR116" s="80">
        <f t="shared" si="104"/>
        <v>0</v>
      </c>
      <c r="AS116" s="80">
        <f t="shared" si="105"/>
        <v>0</v>
      </c>
      <c r="AT116" s="80">
        <f t="shared" si="106"/>
        <v>0</v>
      </c>
      <c r="AU116" s="80">
        <f t="shared" si="107"/>
        <v>0</v>
      </c>
      <c r="AV116" s="80">
        <f t="shared" si="152"/>
        <v>5.3603693522864457</v>
      </c>
      <c r="AW116" s="80">
        <f t="shared" si="153"/>
        <v>3.0318079616573153</v>
      </c>
      <c r="AX116" s="80">
        <f t="shared" si="154"/>
        <v>3.6049685702086904</v>
      </c>
      <c r="AY116" s="80">
        <f t="shared" si="155"/>
        <v>2.81201247792445</v>
      </c>
      <c r="AZ116" s="80">
        <f t="shared" si="156"/>
        <v>16.348544838831916</v>
      </c>
      <c r="BA116" s="80">
        <f t="shared" si="157"/>
        <v>13.122255280197196</v>
      </c>
      <c r="BB116" s="80">
        <f t="shared" si="133"/>
        <v>326.23806478738737</v>
      </c>
      <c r="BC116" s="80">
        <f t="shared" si="134"/>
        <v>102.79540370074942</v>
      </c>
      <c r="BD116" s="80">
        <f t="shared" si="135"/>
        <v>103.93185710947236</v>
      </c>
      <c r="BE116" s="80">
        <f t="shared" si="136"/>
        <v>71.429900250697699</v>
      </c>
      <c r="BF116" s="80">
        <f t="shared" si="137"/>
        <v>398.04175691166881</v>
      </c>
      <c r="BG116" s="80">
        <f t="shared" si="138"/>
        <v>268.05580340746263</v>
      </c>
      <c r="BH116" s="49">
        <f t="shared" si="139"/>
        <v>0</v>
      </c>
      <c r="BI116" s="79">
        <f t="shared" si="140"/>
        <v>-56928.928208794183</v>
      </c>
      <c r="BJ116" s="79">
        <f t="shared" si="108"/>
        <v>42200</v>
      </c>
      <c r="BK116" s="44">
        <f t="shared" si="141"/>
        <v>-0.25872484643965088</v>
      </c>
      <c r="BL116" s="79">
        <f t="shared" si="158"/>
        <v>1567.309475260588</v>
      </c>
      <c r="BM116" s="49">
        <f t="shared" si="142"/>
        <v>43767.30947526059</v>
      </c>
      <c r="BN116" s="44">
        <f t="shared" si="143"/>
        <v>-0.23119386132234321</v>
      </c>
      <c r="BO116" s="49">
        <f t="shared" si="109"/>
        <v>1395.0469652358324</v>
      </c>
      <c r="BP116" s="49">
        <f t="shared" si="110"/>
        <v>43595.046965235837</v>
      </c>
      <c r="BQ116" s="44">
        <f t="shared" si="111"/>
        <v>-0.23421978356336903</v>
      </c>
      <c r="BS116" s="49">
        <f t="shared" si="112"/>
        <v>56928.928208794183</v>
      </c>
      <c r="BT116" s="49">
        <f t="shared" si="88"/>
        <v>46.029998999999997</v>
      </c>
      <c r="BU116" s="49">
        <f t="shared" si="89"/>
        <v>24.83</v>
      </c>
      <c r="BV116" s="49">
        <f t="shared" si="113"/>
        <v>-505.5155551229841</v>
      </c>
      <c r="BW116" s="18">
        <f t="shared" si="114"/>
        <v>518</v>
      </c>
      <c r="BX116" s="19">
        <f t="shared" si="144"/>
        <v>0.88119266055045875</v>
      </c>
      <c r="BY116" s="49">
        <f t="shared" si="145"/>
        <v>-445.45659696846445</v>
      </c>
      <c r="BZ116" s="19">
        <f t="shared" si="115"/>
        <v>0</v>
      </c>
      <c r="CA116" s="19">
        <f t="shared" si="116"/>
        <v>0</v>
      </c>
      <c r="CB116" s="19">
        <f t="shared" si="117"/>
        <v>0</v>
      </c>
      <c r="CC116" s="19">
        <f t="shared" si="118"/>
        <v>0.14857038576835047</v>
      </c>
      <c r="CD116" s="19">
        <f t="shared" si="119"/>
        <v>0</v>
      </c>
      <c r="CE116" s="19">
        <f t="shared" si="120"/>
        <v>5.7322801241212034</v>
      </c>
      <c r="CF116" s="49">
        <f t="shared" si="121"/>
        <v>0</v>
      </c>
      <c r="CG116" s="49">
        <f t="shared" si="122"/>
        <v>0</v>
      </c>
      <c r="CH116" s="49">
        <f t="shared" si="123"/>
        <v>0</v>
      </c>
      <c r="CI116" s="49">
        <f t="shared" si="124"/>
        <v>-6.3959549587571018</v>
      </c>
      <c r="CJ116" s="49">
        <f t="shared" si="125"/>
        <v>0</v>
      </c>
      <c r="CK116" s="49">
        <f t="shared" si="126"/>
        <v>-142.33251548192948</v>
      </c>
    </row>
    <row r="117" spans="2:89" ht="12.75" customHeight="1" x14ac:dyDescent="0.2">
      <c r="B117" s="77">
        <v>39818</v>
      </c>
      <c r="C117" s="49">
        <v>44.189999</v>
      </c>
      <c r="D117" s="49">
        <v>40.310001</v>
      </c>
      <c r="E117" s="49">
        <v>32.700001</v>
      </c>
      <c r="F117" s="49">
        <v>41.310001</v>
      </c>
      <c r="G117" s="49">
        <v>26.629999000000002</v>
      </c>
      <c r="H117" s="49">
        <v>23.58</v>
      </c>
      <c r="J117" s="78">
        <f>IF(inter=Weekly_2,J116+$C$5,IF(inter=Bi_weekly_2,0,IF(inter=Monthly_2,0,IF(inter=Quarterly_2,0,IF(inter=Yearly_2,0,IF(inter=None_2,0,0))))))</f>
        <v>0</v>
      </c>
      <c r="K117" s="79">
        <f t="shared" si="127"/>
        <v>0</v>
      </c>
      <c r="L117" s="79">
        <f t="shared" si="128"/>
        <v>0</v>
      </c>
      <c r="M117" s="79">
        <f t="shared" si="129"/>
        <v>0</v>
      </c>
      <c r="N117" s="79">
        <f t="shared" si="130"/>
        <v>0</v>
      </c>
      <c r="O117" s="79">
        <f t="shared" si="131"/>
        <v>0</v>
      </c>
      <c r="P117" s="79">
        <f t="shared" si="132"/>
        <v>0</v>
      </c>
      <c r="Q117" s="79"/>
      <c r="R117" s="80">
        <f t="shared" si="90"/>
        <v>0</v>
      </c>
      <c r="S117" s="80">
        <f t="shared" si="91"/>
        <v>0</v>
      </c>
      <c r="T117" s="80">
        <f t="shared" si="92"/>
        <v>0</v>
      </c>
      <c r="U117" s="80">
        <f t="shared" si="93"/>
        <v>0</v>
      </c>
      <c r="V117" s="80">
        <f t="shared" si="94"/>
        <v>0</v>
      </c>
      <c r="W117" s="80">
        <f t="shared" si="95"/>
        <v>0</v>
      </c>
      <c r="X117" s="80">
        <f t="shared" si="146"/>
        <v>320.87769543510092</v>
      </c>
      <c r="Y117" s="80">
        <f t="shared" si="147"/>
        <v>99.763595739092096</v>
      </c>
      <c r="Z117" s="80">
        <f t="shared" si="148"/>
        <v>100.32688853926368</v>
      </c>
      <c r="AA117" s="80">
        <f t="shared" si="149"/>
        <v>68.617887772773244</v>
      </c>
      <c r="AB117" s="80">
        <f t="shared" si="150"/>
        <v>381.6932120728369</v>
      </c>
      <c r="AC117" s="80">
        <f t="shared" si="151"/>
        <v>254.93354812726545</v>
      </c>
      <c r="AD117" s="80"/>
      <c r="AE117" s="80"/>
      <c r="AF117" s="80"/>
      <c r="AG117" s="80"/>
      <c r="AH117" s="80"/>
      <c r="AI117" s="80"/>
      <c r="AJ117" s="45">
        <f t="shared" si="96"/>
        <v>0</v>
      </c>
      <c r="AK117" s="45">
        <f t="shared" si="97"/>
        <v>0</v>
      </c>
      <c r="AL117" s="45">
        <f t="shared" si="98"/>
        <v>0</v>
      </c>
      <c r="AM117" s="45">
        <f t="shared" si="99"/>
        <v>0</v>
      </c>
      <c r="AN117" s="45">
        <f t="shared" si="100"/>
        <v>0</v>
      </c>
      <c r="AO117" s="45">
        <f t="shared" si="101"/>
        <v>0</v>
      </c>
      <c r="AP117" s="80">
        <f t="shared" si="102"/>
        <v>0</v>
      </c>
      <c r="AQ117" s="80">
        <f t="shared" si="103"/>
        <v>0</v>
      </c>
      <c r="AR117" s="80">
        <f t="shared" si="104"/>
        <v>0</v>
      </c>
      <c r="AS117" s="80">
        <f t="shared" si="105"/>
        <v>0</v>
      </c>
      <c r="AT117" s="80">
        <f t="shared" si="106"/>
        <v>0</v>
      </c>
      <c r="AU117" s="80">
        <f t="shared" si="107"/>
        <v>0</v>
      </c>
      <c r="AV117" s="80">
        <f t="shared" si="152"/>
        <v>5.3603693522864457</v>
      </c>
      <c r="AW117" s="80">
        <f t="shared" si="153"/>
        <v>3.0318079616573153</v>
      </c>
      <c r="AX117" s="80">
        <f t="shared" si="154"/>
        <v>3.6049685702086904</v>
      </c>
      <c r="AY117" s="80">
        <f t="shared" si="155"/>
        <v>2.81201247792445</v>
      </c>
      <c r="AZ117" s="80">
        <f t="shared" si="156"/>
        <v>16.348544838831916</v>
      </c>
      <c r="BA117" s="80">
        <f t="shared" si="157"/>
        <v>13.122255280197196</v>
      </c>
      <c r="BB117" s="80">
        <f t="shared" si="133"/>
        <v>326.23806478738737</v>
      </c>
      <c r="BC117" s="80">
        <f t="shared" si="134"/>
        <v>102.79540370074942</v>
      </c>
      <c r="BD117" s="80">
        <f t="shared" si="135"/>
        <v>103.93185710947236</v>
      </c>
      <c r="BE117" s="80">
        <f t="shared" si="136"/>
        <v>71.429900250697699</v>
      </c>
      <c r="BF117" s="80">
        <f t="shared" si="137"/>
        <v>398.04175691166881</v>
      </c>
      <c r="BG117" s="80">
        <f t="shared" si="138"/>
        <v>268.05580340746263</v>
      </c>
      <c r="BH117" s="49">
        <f t="shared" si="139"/>
        <v>0</v>
      </c>
      <c r="BI117" s="79">
        <f t="shared" si="140"/>
        <v>-56928.928208794183</v>
      </c>
      <c r="BJ117" s="79">
        <f t="shared" si="108"/>
        <v>40492.172973125125</v>
      </c>
      <c r="BK117" s="44">
        <f t="shared" si="141"/>
        <v>-0.28872412941598236</v>
      </c>
      <c r="BL117" s="79">
        <f t="shared" si="158"/>
        <v>1567.309475260588</v>
      </c>
      <c r="BM117" s="49">
        <f t="shared" si="142"/>
        <v>42059.482448385716</v>
      </c>
      <c r="BN117" s="44">
        <f t="shared" si="143"/>
        <v>-0.26119314429867457</v>
      </c>
      <c r="BO117" s="49">
        <f t="shared" si="109"/>
        <v>1337.9181246258463</v>
      </c>
      <c r="BP117" s="49">
        <f t="shared" si="110"/>
        <v>41830.091097750977</v>
      </c>
      <c r="BQ117" s="44">
        <f t="shared" si="111"/>
        <v>-0.26522257815334715</v>
      </c>
      <c r="BS117" s="49">
        <f t="shared" si="112"/>
        <v>56928.928208794183</v>
      </c>
      <c r="BT117" s="49">
        <f t="shared" si="88"/>
        <v>44.189999</v>
      </c>
      <c r="BU117" s="49">
        <f t="shared" si="89"/>
        <v>23.58</v>
      </c>
      <c r="BV117" s="49">
        <f t="shared" si="113"/>
        <v>0</v>
      </c>
      <c r="BW117" s="18">
        <f t="shared" si="114"/>
        <v>525</v>
      </c>
      <c r="BX117" s="19">
        <f t="shared" si="144"/>
        <v>0.87958715596330272</v>
      </c>
      <c r="BY117" s="49">
        <f t="shared" si="145"/>
        <v>0</v>
      </c>
      <c r="BZ117" s="19">
        <f t="shared" si="115"/>
        <v>0</v>
      </c>
      <c r="CA117" s="19">
        <f t="shared" si="116"/>
        <v>0</v>
      </c>
      <c r="CB117" s="19">
        <f t="shared" si="117"/>
        <v>0</v>
      </c>
      <c r="CC117" s="19">
        <f t="shared" si="118"/>
        <v>0</v>
      </c>
      <c r="CD117" s="19">
        <f t="shared" si="119"/>
        <v>0</v>
      </c>
      <c r="CE117" s="19">
        <f t="shared" si="120"/>
        <v>0</v>
      </c>
      <c r="CF117" s="49">
        <f t="shared" si="121"/>
        <v>0</v>
      </c>
      <c r="CG117" s="49">
        <f t="shared" si="122"/>
        <v>0</v>
      </c>
      <c r="CH117" s="49">
        <f t="shared" si="123"/>
        <v>0</v>
      </c>
      <c r="CI117" s="49">
        <f t="shared" si="124"/>
        <v>0</v>
      </c>
      <c r="CJ117" s="49">
        <f t="shared" si="125"/>
        <v>0</v>
      </c>
      <c r="CK117" s="49">
        <f t="shared" si="126"/>
        <v>0</v>
      </c>
    </row>
    <row r="118" spans="2:89" ht="12.75" customHeight="1" x14ac:dyDescent="0.2">
      <c r="B118" s="77">
        <v>39825</v>
      </c>
      <c r="C118" s="49">
        <v>42.330002</v>
      </c>
      <c r="D118" s="49">
        <v>37.810001</v>
      </c>
      <c r="E118" s="49">
        <v>31.280000999999999</v>
      </c>
      <c r="F118" s="49">
        <v>39.560001</v>
      </c>
      <c r="G118" s="49">
        <v>24.860001</v>
      </c>
      <c r="H118" s="49">
        <v>22.120000999999998</v>
      </c>
      <c r="J118" s="78">
        <f>IF(inter=Weekly_2,J117+$C$5,IF(inter=Bi_weekly_2,J116+$C$5,IF(inter=Monthly_2,J114+$C$5,IF(inter=Quarterly_2,0,IF(inter=Yearly_2,0,IF(inter=None_2,0,0))))))</f>
        <v>42800</v>
      </c>
      <c r="K118" s="79">
        <f t="shared" si="127"/>
        <v>-1397.2465104767853</v>
      </c>
      <c r="L118" s="79">
        <f t="shared" si="128"/>
        <v>-507.93834534133202</v>
      </c>
      <c r="M118" s="79">
        <f t="shared" si="129"/>
        <v>-285.77482616494399</v>
      </c>
      <c r="N118" s="79">
        <f t="shared" si="130"/>
        <v>-281.47629109120317</v>
      </c>
      <c r="O118" s="79">
        <f t="shared" si="131"/>
        <v>-1211.1063661760618</v>
      </c>
      <c r="P118" s="79">
        <f t="shared" si="132"/>
        <v>-780.86966049134026</v>
      </c>
      <c r="Q118" s="79"/>
      <c r="R118" s="80">
        <f t="shared" si="90"/>
        <v>33.008420610912921</v>
      </c>
      <c r="S118" s="80">
        <f t="shared" si="91"/>
        <v>13.433968048330177</v>
      </c>
      <c r="T118" s="80">
        <f t="shared" si="92"/>
        <v>9.1360235623056401</v>
      </c>
      <c r="U118" s="80">
        <f t="shared" si="93"/>
        <v>7.1151740135497761</v>
      </c>
      <c r="V118" s="80">
        <f t="shared" si="94"/>
        <v>48.717068280731837</v>
      </c>
      <c r="W118" s="80">
        <f t="shared" si="95"/>
        <v>35.301520126122071</v>
      </c>
      <c r="X118" s="80">
        <f t="shared" si="146"/>
        <v>353.88611604601385</v>
      </c>
      <c r="Y118" s="80">
        <f t="shared" si="147"/>
        <v>113.19756378742227</v>
      </c>
      <c r="Z118" s="80">
        <f t="shared" si="148"/>
        <v>109.46291210156932</v>
      </c>
      <c r="AA118" s="80">
        <f t="shared" si="149"/>
        <v>75.73306178632302</v>
      </c>
      <c r="AB118" s="80">
        <f t="shared" si="150"/>
        <v>430.41028035356874</v>
      </c>
      <c r="AC118" s="80">
        <f t="shared" si="151"/>
        <v>290.23506825338751</v>
      </c>
      <c r="AD118" s="80"/>
      <c r="AE118" s="80"/>
      <c r="AF118" s="80"/>
      <c r="AG118" s="80"/>
      <c r="AH118" s="80"/>
      <c r="AI118" s="80"/>
      <c r="AJ118" s="45">
        <f t="shared" si="96"/>
        <v>0</v>
      </c>
      <c r="AK118" s="45">
        <f t="shared" si="97"/>
        <v>0</v>
      </c>
      <c r="AL118" s="45">
        <f t="shared" si="98"/>
        <v>0</v>
      </c>
      <c r="AM118" s="45">
        <f t="shared" si="99"/>
        <v>0</v>
      </c>
      <c r="AN118" s="45">
        <f t="shared" si="100"/>
        <v>0</v>
      </c>
      <c r="AO118" s="45">
        <f t="shared" si="101"/>
        <v>0</v>
      </c>
      <c r="AP118" s="80">
        <f t="shared" si="102"/>
        <v>0</v>
      </c>
      <c r="AQ118" s="80">
        <f t="shared" si="103"/>
        <v>0</v>
      </c>
      <c r="AR118" s="80">
        <f t="shared" si="104"/>
        <v>0</v>
      </c>
      <c r="AS118" s="80">
        <f t="shared" si="105"/>
        <v>0</v>
      </c>
      <c r="AT118" s="80">
        <f t="shared" si="106"/>
        <v>0</v>
      </c>
      <c r="AU118" s="80">
        <f t="shared" si="107"/>
        <v>0</v>
      </c>
      <c r="AV118" s="80">
        <f t="shared" si="152"/>
        <v>5.3603693522864457</v>
      </c>
      <c r="AW118" s="80">
        <f t="shared" si="153"/>
        <v>3.0318079616573153</v>
      </c>
      <c r="AX118" s="80">
        <f t="shared" si="154"/>
        <v>3.6049685702086904</v>
      </c>
      <c r="AY118" s="80">
        <f t="shared" si="155"/>
        <v>2.81201247792445</v>
      </c>
      <c r="AZ118" s="80">
        <f t="shared" si="156"/>
        <v>16.348544838831916</v>
      </c>
      <c r="BA118" s="80">
        <f t="shared" si="157"/>
        <v>13.122255280197196</v>
      </c>
      <c r="BB118" s="80">
        <f t="shared" si="133"/>
        <v>359.24648539830031</v>
      </c>
      <c r="BC118" s="80">
        <f t="shared" si="134"/>
        <v>116.22937174907959</v>
      </c>
      <c r="BD118" s="80">
        <f t="shared" si="135"/>
        <v>113.067880671778</v>
      </c>
      <c r="BE118" s="80">
        <f t="shared" si="136"/>
        <v>78.545074264247475</v>
      </c>
      <c r="BF118" s="80">
        <f t="shared" si="137"/>
        <v>446.75882519240065</v>
      </c>
      <c r="BG118" s="80">
        <f t="shared" si="138"/>
        <v>303.35732353358469</v>
      </c>
      <c r="BH118" s="49">
        <f t="shared" si="139"/>
        <v>0</v>
      </c>
      <c r="BI118" s="79">
        <f t="shared" si="140"/>
        <v>-61393.340208535854</v>
      </c>
      <c r="BJ118" s="79">
        <f t="shared" si="108"/>
        <v>42800</v>
      </c>
      <c r="BK118" s="44">
        <f t="shared" si="141"/>
        <v>-0.30285597990563018</v>
      </c>
      <c r="BL118" s="79">
        <f t="shared" si="158"/>
        <v>1567.309475260588</v>
      </c>
      <c r="BM118" s="49">
        <f t="shared" si="142"/>
        <v>44367.30947526059</v>
      </c>
      <c r="BN118" s="44">
        <f t="shared" si="143"/>
        <v>-0.27732699793564974</v>
      </c>
      <c r="BO118" s="49">
        <f t="shared" si="109"/>
        <v>1262.2328853470185</v>
      </c>
      <c r="BP118" s="49">
        <f t="shared" si="110"/>
        <v>44062.232885347017</v>
      </c>
      <c r="BQ118" s="44">
        <f t="shared" si="111"/>
        <v>-0.28229621102744951</v>
      </c>
      <c r="BS118" s="49">
        <f t="shared" si="112"/>
        <v>61393.340208535854</v>
      </c>
      <c r="BT118" s="49">
        <f t="shared" si="88"/>
        <v>42.330002</v>
      </c>
      <c r="BU118" s="49">
        <f t="shared" si="89"/>
        <v>22.120000999999998</v>
      </c>
      <c r="BV118" s="49">
        <f t="shared" si="113"/>
        <v>4464.4119997416665</v>
      </c>
      <c r="BW118" s="18">
        <f t="shared" si="114"/>
        <v>532</v>
      </c>
      <c r="BX118" s="19">
        <f t="shared" si="144"/>
        <v>0.87798165137614681</v>
      </c>
      <c r="BY118" s="49">
        <f t="shared" si="145"/>
        <v>3919.6718199566744</v>
      </c>
      <c r="BZ118" s="19">
        <f t="shared" si="115"/>
        <v>33.008420610912921</v>
      </c>
      <c r="CA118" s="19">
        <f t="shared" si="116"/>
        <v>13.433968048330177</v>
      </c>
      <c r="CB118" s="19">
        <f t="shared" si="117"/>
        <v>9.1360235623056401</v>
      </c>
      <c r="CC118" s="19">
        <f t="shared" si="118"/>
        <v>7.1151740135497761</v>
      </c>
      <c r="CD118" s="19">
        <f t="shared" si="119"/>
        <v>48.717068280731837</v>
      </c>
      <c r="CE118" s="19">
        <f t="shared" si="120"/>
        <v>35.301520126122071</v>
      </c>
      <c r="CF118" s="49">
        <f t="shared" si="121"/>
        <v>-1397.2465104767853</v>
      </c>
      <c r="CG118" s="49">
        <f t="shared" si="122"/>
        <v>-507.93834534133202</v>
      </c>
      <c r="CH118" s="49">
        <f t="shared" si="123"/>
        <v>-285.77482616494399</v>
      </c>
      <c r="CI118" s="49">
        <f t="shared" si="124"/>
        <v>-281.47629109120317</v>
      </c>
      <c r="CJ118" s="49">
        <f t="shared" si="125"/>
        <v>-1211.1063661760618</v>
      </c>
      <c r="CK118" s="49">
        <f t="shared" si="126"/>
        <v>-780.86966049134026</v>
      </c>
    </row>
    <row r="119" spans="2:89" ht="12.75" customHeight="1" x14ac:dyDescent="0.2">
      <c r="B119" s="77">
        <v>39833</v>
      </c>
      <c r="C119" s="49">
        <v>41.299999</v>
      </c>
      <c r="D119" s="49">
        <v>36.900002000000001</v>
      </c>
      <c r="E119" s="49">
        <v>30.309999000000001</v>
      </c>
      <c r="F119" s="49">
        <v>37.689999</v>
      </c>
      <c r="G119" s="49">
        <v>23.33</v>
      </c>
      <c r="H119" s="49">
        <v>21.190000999999999</v>
      </c>
      <c r="J119" s="78">
        <f>IF(inter=Weekly_2,J118+$C$5,IF(inter=Bi_weekly_2,0,IF(inter=Monthly_2,0,IF(inter=Quarterly_2,0,IF(inter=Yearly_2,0,IF(inter=None_2,0,0))))))</f>
        <v>0</v>
      </c>
      <c r="K119" s="79">
        <f t="shared" si="127"/>
        <v>0</v>
      </c>
      <c r="L119" s="79">
        <f t="shared" si="128"/>
        <v>0</v>
      </c>
      <c r="M119" s="79">
        <f t="shared" si="129"/>
        <v>0</v>
      </c>
      <c r="N119" s="79">
        <f t="shared" si="130"/>
        <v>0</v>
      </c>
      <c r="O119" s="79">
        <f t="shared" si="131"/>
        <v>0</v>
      </c>
      <c r="P119" s="79">
        <f t="shared" si="132"/>
        <v>0</v>
      </c>
      <c r="Q119" s="79"/>
      <c r="R119" s="80">
        <f t="shared" si="90"/>
        <v>0</v>
      </c>
      <c r="S119" s="80">
        <f t="shared" si="91"/>
        <v>0</v>
      </c>
      <c r="T119" s="80">
        <f t="shared" si="92"/>
        <v>0</v>
      </c>
      <c r="U119" s="80">
        <f t="shared" si="93"/>
        <v>0</v>
      </c>
      <c r="V119" s="80">
        <f t="shared" si="94"/>
        <v>0</v>
      </c>
      <c r="W119" s="80">
        <f t="shared" si="95"/>
        <v>0</v>
      </c>
      <c r="X119" s="80">
        <f t="shared" si="146"/>
        <v>353.88611604601385</v>
      </c>
      <c r="Y119" s="80">
        <f t="shared" si="147"/>
        <v>113.19756378742227</v>
      </c>
      <c r="Z119" s="80">
        <f t="shared" si="148"/>
        <v>109.46291210156932</v>
      </c>
      <c r="AA119" s="80">
        <f t="shared" si="149"/>
        <v>75.73306178632302</v>
      </c>
      <c r="AB119" s="80">
        <f t="shared" si="150"/>
        <v>430.41028035356874</v>
      </c>
      <c r="AC119" s="80">
        <f t="shared" si="151"/>
        <v>290.23506825338751</v>
      </c>
      <c r="AD119" s="80"/>
      <c r="AE119" s="80"/>
      <c r="AF119" s="80"/>
      <c r="AG119" s="80"/>
      <c r="AH119" s="80"/>
      <c r="AI119" s="80"/>
      <c r="AJ119" s="45">
        <f t="shared" si="96"/>
        <v>0</v>
      </c>
      <c r="AK119" s="45">
        <f t="shared" si="97"/>
        <v>0</v>
      </c>
      <c r="AL119" s="45">
        <f t="shared" si="98"/>
        <v>0</v>
      </c>
      <c r="AM119" s="45">
        <f t="shared" si="99"/>
        <v>0</v>
      </c>
      <c r="AN119" s="45">
        <f t="shared" si="100"/>
        <v>0</v>
      </c>
      <c r="AO119" s="45">
        <f t="shared" si="101"/>
        <v>0</v>
      </c>
      <c r="AP119" s="80">
        <f t="shared" si="102"/>
        <v>0</v>
      </c>
      <c r="AQ119" s="80">
        <f t="shared" si="103"/>
        <v>0</v>
      </c>
      <c r="AR119" s="80">
        <f t="shared" si="104"/>
        <v>0</v>
      </c>
      <c r="AS119" s="80">
        <f t="shared" si="105"/>
        <v>0</v>
      </c>
      <c r="AT119" s="80">
        <f t="shared" si="106"/>
        <v>0</v>
      </c>
      <c r="AU119" s="80">
        <f t="shared" si="107"/>
        <v>0</v>
      </c>
      <c r="AV119" s="80">
        <f t="shared" si="152"/>
        <v>5.3603693522864457</v>
      </c>
      <c r="AW119" s="80">
        <f t="shared" si="153"/>
        <v>3.0318079616573153</v>
      </c>
      <c r="AX119" s="80">
        <f t="shared" si="154"/>
        <v>3.6049685702086904</v>
      </c>
      <c r="AY119" s="80">
        <f t="shared" si="155"/>
        <v>2.81201247792445</v>
      </c>
      <c r="AZ119" s="80">
        <f t="shared" si="156"/>
        <v>16.348544838831916</v>
      </c>
      <c r="BA119" s="80">
        <f t="shared" si="157"/>
        <v>13.122255280197196</v>
      </c>
      <c r="BB119" s="80">
        <f t="shared" si="133"/>
        <v>359.24648539830031</v>
      </c>
      <c r="BC119" s="80">
        <f t="shared" si="134"/>
        <v>116.22937174907959</v>
      </c>
      <c r="BD119" s="80">
        <f t="shared" si="135"/>
        <v>113.067880671778</v>
      </c>
      <c r="BE119" s="80">
        <f t="shared" si="136"/>
        <v>78.545074264247475</v>
      </c>
      <c r="BF119" s="80">
        <f t="shared" si="137"/>
        <v>446.75882519240065</v>
      </c>
      <c r="BG119" s="80">
        <f t="shared" si="138"/>
        <v>303.35732353358469</v>
      </c>
      <c r="BH119" s="49">
        <f t="shared" si="139"/>
        <v>0</v>
      </c>
      <c r="BI119" s="79">
        <f t="shared" si="140"/>
        <v>-61393.340208535854</v>
      </c>
      <c r="BJ119" s="79">
        <f t="shared" si="108"/>
        <v>41156.23957546748</v>
      </c>
      <c r="BK119" s="44">
        <f t="shared" si="141"/>
        <v>-0.32963022641101869</v>
      </c>
      <c r="BL119" s="79">
        <f t="shared" si="158"/>
        <v>1567.309475260588</v>
      </c>
      <c r="BM119" s="49">
        <f t="shared" si="142"/>
        <v>42723.54905072807</v>
      </c>
      <c r="BN119" s="44">
        <f t="shared" si="143"/>
        <v>-0.30410124444103825</v>
      </c>
      <c r="BO119" s="49">
        <f t="shared" si="109"/>
        <v>1207.980463576431</v>
      </c>
      <c r="BP119" s="49">
        <f t="shared" si="110"/>
        <v>42364.22003904391</v>
      </c>
      <c r="BQ119" s="44">
        <f t="shared" si="111"/>
        <v>-0.30995414331351567</v>
      </c>
      <c r="BS119" s="49">
        <f t="shared" si="112"/>
        <v>61393.340208535854</v>
      </c>
      <c r="BT119" s="49">
        <f t="shared" si="88"/>
        <v>41.299999</v>
      </c>
      <c r="BU119" s="49">
        <f t="shared" si="89"/>
        <v>21.190000999999999</v>
      </c>
      <c r="BV119" s="49">
        <f t="shared" si="113"/>
        <v>0</v>
      </c>
      <c r="BW119" s="18">
        <f t="shared" si="114"/>
        <v>540</v>
      </c>
      <c r="BX119" s="19">
        <f t="shared" si="144"/>
        <v>0.87614678899082565</v>
      </c>
      <c r="BY119" s="49">
        <f t="shared" si="145"/>
        <v>0</v>
      </c>
      <c r="BZ119" s="19">
        <f t="shared" si="115"/>
        <v>0</v>
      </c>
      <c r="CA119" s="19">
        <f t="shared" si="116"/>
        <v>0</v>
      </c>
      <c r="CB119" s="19">
        <f t="shared" si="117"/>
        <v>0</v>
      </c>
      <c r="CC119" s="19">
        <f t="shared" si="118"/>
        <v>0</v>
      </c>
      <c r="CD119" s="19">
        <f t="shared" si="119"/>
        <v>0</v>
      </c>
      <c r="CE119" s="19">
        <f t="shared" si="120"/>
        <v>0</v>
      </c>
      <c r="CF119" s="49">
        <f t="shared" si="121"/>
        <v>0</v>
      </c>
      <c r="CG119" s="49">
        <f t="shared" si="122"/>
        <v>0</v>
      </c>
      <c r="CH119" s="49">
        <f t="shared" si="123"/>
        <v>0</v>
      </c>
      <c r="CI119" s="49">
        <f t="shared" si="124"/>
        <v>0</v>
      </c>
      <c r="CJ119" s="49">
        <f t="shared" si="125"/>
        <v>0</v>
      </c>
      <c r="CK119" s="49">
        <f t="shared" si="126"/>
        <v>0</v>
      </c>
    </row>
    <row r="120" spans="2:89" ht="12.75" customHeight="1" x14ac:dyDescent="0.2">
      <c r="B120" s="77">
        <v>39839</v>
      </c>
      <c r="C120" s="49">
        <v>41.139999000000003</v>
      </c>
      <c r="D120" s="49">
        <v>36.590000000000003</v>
      </c>
      <c r="E120" s="49">
        <v>29.74</v>
      </c>
      <c r="F120" s="49">
        <v>37.18</v>
      </c>
      <c r="G120" s="49">
        <v>23.620000999999998</v>
      </c>
      <c r="H120" s="49">
        <v>21.469999000000001</v>
      </c>
      <c r="J120" s="78">
        <f>IF(inter=Weekly_2,J119+$C$5,IF(inter=Bi_weekly_2,J118+$C$5,IF(inter=Monthly_2,0,IF(inter=Quarterly_2,J107+$C$5,IF(inter=Yearly_2,0,IF(inter=None_2,0,0))))))</f>
        <v>43400</v>
      </c>
      <c r="K120" s="79">
        <f t="shared" si="127"/>
        <v>-631.12553975310402</v>
      </c>
      <c r="L120" s="79">
        <f t="shared" si="128"/>
        <v>-198.1011410182191</v>
      </c>
      <c r="M120" s="79">
        <f t="shared" si="129"/>
        <v>-216.57299409932875</v>
      </c>
      <c r="N120" s="79">
        <f t="shared" si="130"/>
        <v>-222.24476278451039</v>
      </c>
      <c r="O120" s="79">
        <f t="shared" si="131"/>
        <v>-683.70874763842585</v>
      </c>
      <c r="P120" s="79">
        <f t="shared" si="132"/>
        <v>-278.65337483483836</v>
      </c>
      <c r="Q120" s="79"/>
      <c r="R120" s="80">
        <f t="shared" si="90"/>
        <v>15.340922583714793</v>
      </c>
      <c r="S120" s="80">
        <f t="shared" si="91"/>
        <v>5.4140787378578592</v>
      </c>
      <c r="T120" s="80">
        <f t="shared" si="92"/>
        <v>7.2822123099976048</v>
      </c>
      <c r="U120" s="80">
        <f t="shared" si="93"/>
        <v>5.9775353088894674</v>
      </c>
      <c r="V120" s="80">
        <f t="shared" si="94"/>
        <v>28.946177760044375</v>
      </c>
      <c r="W120" s="80">
        <f t="shared" si="95"/>
        <v>12.97873254837312</v>
      </c>
      <c r="X120" s="80">
        <f t="shared" si="146"/>
        <v>369.22703862972867</v>
      </c>
      <c r="Y120" s="80">
        <f t="shared" si="147"/>
        <v>118.61164252528013</v>
      </c>
      <c r="Z120" s="80">
        <f t="shared" si="148"/>
        <v>116.74512441156692</v>
      </c>
      <c r="AA120" s="80">
        <f t="shared" si="149"/>
        <v>81.710597095212492</v>
      </c>
      <c r="AB120" s="80">
        <f t="shared" si="150"/>
        <v>459.35645811361309</v>
      </c>
      <c r="AC120" s="80">
        <f t="shared" si="151"/>
        <v>303.21380080176061</v>
      </c>
      <c r="AD120" s="80"/>
      <c r="AE120" s="80"/>
      <c r="AF120" s="80"/>
      <c r="AG120" s="80"/>
      <c r="AH120" s="80"/>
      <c r="AI120" s="80"/>
      <c r="AJ120" s="45">
        <f t="shared" si="96"/>
        <v>0</v>
      </c>
      <c r="AK120" s="45">
        <f t="shared" si="97"/>
        <v>0</v>
      </c>
      <c r="AL120" s="45">
        <f t="shared" si="98"/>
        <v>0</v>
      </c>
      <c r="AM120" s="45">
        <f t="shared" si="99"/>
        <v>0</v>
      </c>
      <c r="AN120" s="45">
        <f t="shared" si="100"/>
        <v>0</v>
      </c>
      <c r="AO120" s="45">
        <f t="shared" si="101"/>
        <v>0</v>
      </c>
      <c r="AP120" s="80">
        <f t="shared" si="102"/>
        <v>0</v>
      </c>
      <c r="AQ120" s="80">
        <f t="shared" si="103"/>
        <v>0</v>
      </c>
      <c r="AR120" s="80">
        <f t="shared" si="104"/>
        <v>0</v>
      </c>
      <c r="AS120" s="80">
        <f t="shared" si="105"/>
        <v>0</v>
      </c>
      <c r="AT120" s="80">
        <f t="shared" si="106"/>
        <v>0</v>
      </c>
      <c r="AU120" s="80">
        <f t="shared" si="107"/>
        <v>0</v>
      </c>
      <c r="AV120" s="80">
        <f t="shared" si="152"/>
        <v>5.3603693522864457</v>
      </c>
      <c r="AW120" s="80">
        <f t="shared" si="153"/>
        <v>3.0318079616573153</v>
      </c>
      <c r="AX120" s="80">
        <f t="shared" si="154"/>
        <v>3.6049685702086904</v>
      </c>
      <c r="AY120" s="80">
        <f t="shared" si="155"/>
        <v>2.81201247792445</v>
      </c>
      <c r="AZ120" s="80">
        <f t="shared" si="156"/>
        <v>16.348544838831916</v>
      </c>
      <c r="BA120" s="80">
        <f t="shared" si="157"/>
        <v>13.122255280197196</v>
      </c>
      <c r="BB120" s="80">
        <f t="shared" si="133"/>
        <v>374.58740798201512</v>
      </c>
      <c r="BC120" s="80">
        <f t="shared" si="134"/>
        <v>121.64345048693745</v>
      </c>
      <c r="BD120" s="80">
        <f t="shared" si="135"/>
        <v>120.35009298177562</v>
      </c>
      <c r="BE120" s="80">
        <f t="shared" si="136"/>
        <v>84.522609573136947</v>
      </c>
      <c r="BF120" s="80">
        <f t="shared" si="137"/>
        <v>475.705002952445</v>
      </c>
      <c r="BG120" s="80">
        <f t="shared" si="138"/>
        <v>316.33605608195779</v>
      </c>
      <c r="BH120" s="49">
        <f t="shared" si="139"/>
        <v>0</v>
      </c>
      <c r="BI120" s="79">
        <f t="shared" si="140"/>
        <v>-63623.746768664278</v>
      </c>
      <c r="BJ120" s="79">
        <f t="shared" si="108"/>
        <v>43400</v>
      </c>
      <c r="BK120" s="44">
        <f t="shared" si="141"/>
        <v>-0.31786475641237777</v>
      </c>
      <c r="BL120" s="79">
        <f t="shared" si="158"/>
        <v>1567.309475260588</v>
      </c>
      <c r="BM120" s="49">
        <f t="shared" si="142"/>
        <v>44967.30947526059</v>
      </c>
      <c r="BN120" s="44">
        <f t="shared" si="143"/>
        <v>-0.29323072344730705</v>
      </c>
      <c r="BO120" s="49">
        <f t="shared" si="109"/>
        <v>1211.1092855023069</v>
      </c>
      <c r="BP120" s="49">
        <f t="shared" si="110"/>
        <v>44611.109285502302</v>
      </c>
      <c r="BQ120" s="44">
        <f t="shared" si="111"/>
        <v>-0.29882926499584916</v>
      </c>
      <c r="BS120" s="49">
        <f t="shared" si="112"/>
        <v>63623.746768664278</v>
      </c>
      <c r="BT120" s="49">
        <f t="shared" si="88"/>
        <v>41.139999000000003</v>
      </c>
      <c r="BU120" s="49">
        <f t="shared" si="89"/>
        <v>21.469999000000001</v>
      </c>
      <c r="BV120" s="49">
        <f t="shared" si="113"/>
        <v>2230.4065601284265</v>
      </c>
      <c r="BW120" s="18">
        <f t="shared" si="114"/>
        <v>546</v>
      </c>
      <c r="BX120" s="19">
        <f t="shared" si="144"/>
        <v>0.87477064220183487</v>
      </c>
      <c r="BY120" s="49">
        <f t="shared" si="145"/>
        <v>1951.0941789747289</v>
      </c>
      <c r="BZ120" s="19">
        <f t="shared" si="115"/>
        <v>15.340922583714793</v>
      </c>
      <c r="CA120" s="19">
        <f t="shared" si="116"/>
        <v>5.4140787378578592</v>
      </c>
      <c r="CB120" s="19">
        <f t="shared" si="117"/>
        <v>7.2822123099976048</v>
      </c>
      <c r="CC120" s="19">
        <f t="shared" si="118"/>
        <v>5.9775353088894674</v>
      </c>
      <c r="CD120" s="19">
        <f t="shared" si="119"/>
        <v>28.946177760044375</v>
      </c>
      <c r="CE120" s="19">
        <f t="shared" si="120"/>
        <v>12.97873254837312</v>
      </c>
      <c r="CF120" s="49">
        <f t="shared" si="121"/>
        <v>-631.12553975310402</v>
      </c>
      <c r="CG120" s="49">
        <f t="shared" si="122"/>
        <v>-198.1011410182191</v>
      </c>
      <c r="CH120" s="49">
        <f t="shared" si="123"/>
        <v>-216.57299409932875</v>
      </c>
      <c r="CI120" s="49">
        <f t="shared" si="124"/>
        <v>-222.24476278451039</v>
      </c>
      <c r="CJ120" s="49">
        <f t="shared" si="125"/>
        <v>-683.70874763842585</v>
      </c>
      <c r="CK120" s="49">
        <f t="shared" si="126"/>
        <v>-278.65337483483836</v>
      </c>
    </row>
    <row r="121" spans="2:89" ht="12.75" customHeight="1" x14ac:dyDescent="0.2">
      <c r="B121" s="77">
        <v>39846</v>
      </c>
      <c r="C121" s="49">
        <v>43.299999</v>
      </c>
      <c r="D121" s="49">
        <v>38.080002</v>
      </c>
      <c r="E121" s="49">
        <v>31.469999000000001</v>
      </c>
      <c r="F121" s="49">
        <v>39.049999</v>
      </c>
      <c r="G121" s="49">
        <v>24.82</v>
      </c>
      <c r="H121" s="49">
        <v>23.67</v>
      </c>
      <c r="J121" s="78">
        <f>IF(inter=Weekly_2,J120+$C$5,IF(inter=Bi_weekly_2,0,IF(inter=Monthly_2,0,IF(inter=Quarterly_2,0,IF(inter=Yearly_2,0,IF(inter=None_2,0,0))))))</f>
        <v>0</v>
      </c>
      <c r="K121" s="79">
        <f t="shared" si="127"/>
        <v>0</v>
      </c>
      <c r="L121" s="79">
        <f t="shared" si="128"/>
        <v>0</v>
      </c>
      <c r="M121" s="79">
        <f t="shared" si="129"/>
        <v>0</v>
      </c>
      <c r="N121" s="79">
        <f t="shared" si="130"/>
        <v>0</v>
      </c>
      <c r="O121" s="79">
        <f t="shared" si="131"/>
        <v>0</v>
      </c>
      <c r="P121" s="79">
        <f t="shared" si="132"/>
        <v>0</v>
      </c>
      <c r="Q121" s="79"/>
      <c r="R121" s="80">
        <f t="shared" si="90"/>
        <v>0</v>
      </c>
      <c r="S121" s="80">
        <f t="shared" si="91"/>
        <v>0</v>
      </c>
      <c r="T121" s="80">
        <f t="shared" si="92"/>
        <v>0</v>
      </c>
      <c r="U121" s="80">
        <f t="shared" si="93"/>
        <v>0</v>
      </c>
      <c r="V121" s="80">
        <f t="shared" si="94"/>
        <v>0</v>
      </c>
      <c r="W121" s="80">
        <f t="shared" si="95"/>
        <v>0</v>
      </c>
      <c r="X121" s="80">
        <f t="shared" si="146"/>
        <v>369.22703862972867</v>
      </c>
      <c r="Y121" s="80">
        <f t="shared" si="147"/>
        <v>118.61164252528013</v>
      </c>
      <c r="Z121" s="80">
        <f t="shared" si="148"/>
        <v>116.74512441156692</v>
      </c>
      <c r="AA121" s="80">
        <f t="shared" si="149"/>
        <v>81.710597095212492</v>
      </c>
      <c r="AB121" s="80">
        <f t="shared" si="150"/>
        <v>459.35645811361309</v>
      </c>
      <c r="AC121" s="80">
        <f t="shared" si="151"/>
        <v>303.21380080176061</v>
      </c>
      <c r="AD121" s="80"/>
      <c r="AE121" s="80"/>
      <c r="AF121" s="80"/>
      <c r="AG121" s="80"/>
      <c r="AH121" s="80"/>
      <c r="AI121" s="80"/>
      <c r="AJ121" s="45">
        <f t="shared" si="96"/>
        <v>0</v>
      </c>
      <c r="AK121" s="45">
        <f t="shared" si="97"/>
        <v>0</v>
      </c>
      <c r="AL121" s="45">
        <f t="shared" si="98"/>
        <v>0</v>
      </c>
      <c r="AM121" s="45">
        <f t="shared" si="99"/>
        <v>0</v>
      </c>
      <c r="AN121" s="45">
        <f t="shared" si="100"/>
        <v>0</v>
      </c>
      <c r="AO121" s="45">
        <f t="shared" si="101"/>
        <v>0</v>
      </c>
      <c r="AP121" s="80">
        <f t="shared" si="102"/>
        <v>0</v>
      </c>
      <c r="AQ121" s="80">
        <f t="shared" si="103"/>
        <v>0</v>
      </c>
      <c r="AR121" s="80">
        <f t="shared" si="104"/>
        <v>0</v>
      </c>
      <c r="AS121" s="80">
        <f t="shared" si="105"/>
        <v>0</v>
      </c>
      <c r="AT121" s="80">
        <f t="shared" si="106"/>
        <v>0</v>
      </c>
      <c r="AU121" s="80">
        <f t="shared" si="107"/>
        <v>0</v>
      </c>
      <c r="AV121" s="80">
        <f t="shared" si="152"/>
        <v>5.3603693522864457</v>
      </c>
      <c r="AW121" s="80">
        <f t="shared" si="153"/>
        <v>3.0318079616573153</v>
      </c>
      <c r="AX121" s="80">
        <f t="shared" si="154"/>
        <v>3.6049685702086904</v>
      </c>
      <c r="AY121" s="80">
        <f t="shared" si="155"/>
        <v>2.81201247792445</v>
      </c>
      <c r="AZ121" s="80">
        <f t="shared" si="156"/>
        <v>16.348544838831916</v>
      </c>
      <c r="BA121" s="80">
        <f t="shared" si="157"/>
        <v>13.122255280197196</v>
      </c>
      <c r="BB121" s="80">
        <f t="shared" si="133"/>
        <v>374.58740798201512</v>
      </c>
      <c r="BC121" s="80">
        <f t="shared" si="134"/>
        <v>121.64345048693745</v>
      </c>
      <c r="BD121" s="80">
        <f t="shared" si="135"/>
        <v>120.35009298177562</v>
      </c>
      <c r="BE121" s="80">
        <f t="shared" si="136"/>
        <v>84.522609573136947</v>
      </c>
      <c r="BF121" s="80">
        <f t="shared" si="137"/>
        <v>475.705002952445</v>
      </c>
      <c r="BG121" s="80">
        <f t="shared" si="138"/>
        <v>316.33605608195779</v>
      </c>
      <c r="BH121" s="49">
        <f t="shared" si="139"/>
        <v>0</v>
      </c>
      <c r="BI121" s="79">
        <f t="shared" si="140"/>
        <v>-63623.746768664278</v>
      </c>
      <c r="BJ121" s="79">
        <f t="shared" si="108"/>
        <v>45947.327626728053</v>
      </c>
      <c r="BK121" s="44">
        <f t="shared" si="141"/>
        <v>-0.2778273842659349</v>
      </c>
      <c r="BL121" s="79">
        <f t="shared" si="158"/>
        <v>1567.309475260588</v>
      </c>
      <c r="BM121" s="49">
        <f t="shared" si="142"/>
        <v>47514.637101988643</v>
      </c>
      <c r="BN121" s="44">
        <f t="shared" si="143"/>
        <v>-0.25319335130086418</v>
      </c>
      <c r="BO121" s="49">
        <f t="shared" si="109"/>
        <v>1287.1873479696724</v>
      </c>
      <c r="BP121" s="49">
        <f t="shared" si="110"/>
        <v>47234.514974697726</v>
      </c>
      <c r="BQ121" s="44">
        <f t="shared" si="111"/>
        <v>-0.25759614336385661</v>
      </c>
      <c r="BS121" s="49">
        <f t="shared" si="112"/>
        <v>63623.746768664278</v>
      </c>
      <c r="BT121" s="49">
        <f t="shared" si="88"/>
        <v>43.299999</v>
      </c>
      <c r="BU121" s="49">
        <f t="shared" si="89"/>
        <v>23.67</v>
      </c>
      <c r="BV121" s="49">
        <f t="shared" si="113"/>
        <v>0</v>
      </c>
      <c r="BW121" s="18">
        <f t="shared" si="114"/>
        <v>553</v>
      </c>
      <c r="BX121" s="19">
        <f t="shared" si="144"/>
        <v>0.87316513761467895</v>
      </c>
      <c r="BY121" s="49">
        <f t="shared" si="145"/>
        <v>0</v>
      </c>
      <c r="BZ121" s="19">
        <f t="shared" si="115"/>
        <v>0</v>
      </c>
      <c r="CA121" s="19">
        <f t="shared" si="116"/>
        <v>0</v>
      </c>
      <c r="CB121" s="19">
        <f t="shared" si="117"/>
        <v>0</v>
      </c>
      <c r="CC121" s="19">
        <f t="shared" si="118"/>
        <v>0</v>
      </c>
      <c r="CD121" s="19">
        <f t="shared" si="119"/>
        <v>0</v>
      </c>
      <c r="CE121" s="19">
        <f t="shared" si="120"/>
        <v>0</v>
      </c>
      <c r="CF121" s="49">
        <f t="shared" si="121"/>
        <v>0</v>
      </c>
      <c r="CG121" s="49">
        <f t="shared" si="122"/>
        <v>0</v>
      </c>
      <c r="CH121" s="49">
        <f t="shared" si="123"/>
        <v>0</v>
      </c>
      <c r="CI121" s="49">
        <f t="shared" si="124"/>
        <v>0</v>
      </c>
      <c r="CJ121" s="49">
        <f t="shared" si="125"/>
        <v>0</v>
      </c>
      <c r="CK121" s="49">
        <f t="shared" si="126"/>
        <v>0</v>
      </c>
    </row>
    <row r="122" spans="2:89" ht="12.75" customHeight="1" x14ac:dyDescent="0.2">
      <c r="B122" s="77">
        <v>39853</v>
      </c>
      <c r="C122" s="49">
        <v>41.27</v>
      </c>
      <c r="D122" s="49">
        <v>35.919998</v>
      </c>
      <c r="E122" s="49">
        <v>29.83</v>
      </c>
      <c r="F122" s="49">
        <v>36.599997999999999</v>
      </c>
      <c r="G122" s="49">
        <v>23.57</v>
      </c>
      <c r="H122" s="49">
        <v>22.77</v>
      </c>
      <c r="J122" s="78">
        <f>IF(inter=Weekly_2,J121+$C$5,IF(inter=Bi_weekly_2,J120+$C$5,IF(inter=Monthly_2,J118+$C$5,IF(inter=Quarterly_2,0,IF(inter=Yearly_2,0,IF(inter=None_2,0,0))))))</f>
        <v>44000</v>
      </c>
      <c r="K122" s="79">
        <f t="shared" si="127"/>
        <v>-162.0001157510942</v>
      </c>
      <c r="L122" s="79">
        <f t="shared" si="128"/>
        <v>-139.47003771522304</v>
      </c>
      <c r="M122" s="79">
        <f t="shared" si="129"/>
        <v>-37.492938802959088</v>
      </c>
      <c r="N122" s="79">
        <f t="shared" si="130"/>
        <v>-89.392309736417701</v>
      </c>
      <c r="O122" s="79">
        <f t="shared" si="131"/>
        <v>-172.96828226213984</v>
      </c>
      <c r="P122" s="79">
        <f t="shared" si="132"/>
        <v>304.17824425608887</v>
      </c>
      <c r="Q122" s="79"/>
      <c r="R122" s="80">
        <f t="shared" si="90"/>
        <v>3.9253723225368109</v>
      </c>
      <c r="S122" s="80">
        <f t="shared" si="91"/>
        <v>3.8827963663924212</v>
      </c>
      <c r="T122" s="80">
        <f t="shared" si="92"/>
        <v>1.2568869863546459</v>
      </c>
      <c r="U122" s="80">
        <f t="shared" si="93"/>
        <v>2.4424129677935422</v>
      </c>
      <c r="V122" s="80">
        <f t="shared" si="94"/>
        <v>7.338493095551117</v>
      </c>
      <c r="W122" s="80">
        <f t="shared" si="95"/>
        <v>-13.358728337992485</v>
      </c>
      <c r="X122" s="80">
        <f t="shared" si="146"/>
        <v>373.15241095226548</v>
      </c>
      <c r="Y122" s="80">
        <f t="shared" si="147"/>
        <v>122.49443889167256</v>
      </c>
      <c r="Z122" s="80">
        <f t="shared" si="148"/>
        <v>118.00201139792156</v>
      </c>
      <c r="AA122" s="80">
        <f t="shared" si="149"/>
        <v>84.153010063006036</v>
      </c>
      <c r="AB122" s="80">
        <f t="shared" si="150"/>
        <v>466.69495120916423</v>
      </c>
      <c r="AC122" s="80">
        <f t="shared" si="151"/>
        <v>289.85507246376812</v>
      </c>
      <c r="AD122" s="80"/>
      <c r="AE122" s="80"/>
      <c r="AF122" s="80"/>
      <c r="AG122" s="80"/>
      <c r="AH122" s="80"/>
      <c r="AI122" s="80"/>
      <c r="AJ122" s="45">
        <f t="shared" si="96"/>
        <v>0</v>
      </c>
      <c r="AK122" s="45">
        <f t="shared" si="97"/>
        <v>0</v>
      </c>
      <c r="AL122" s="45">
        <f t="shared" si="98"/>
        <v>0</v>
      </c>
      <c r="AM122" s="45">
        <f t="shared" si="99"/>
        <v>0</v>
      </c>
      <c r="AN122" s="45">
        <f t="shared" si="100"/>
        <v>0</v>
      </c>
      <c r="AO122" s="45">
        <f t="shared" si="101"/>
        <v>0</v>
      </c>
      <c r="AP122" s="80">
        <f t="shared" si="102"/>
        <v>0</v>
      </c>
      <c r="AQ122" s="80">
        <f t="shared" si="103"/>
        <v>0</v>
      </c>
      <c r="AR122" s="80">
        <f t="shared" si="104"/>
        <v>0</v>
      </c>
      <c r="AS122" s="80">
        <f t="shared" si="105"/>
        <v>0</v>
      </c>
      <c r="AT122" s="80">
        <f t="shared" si="106"/>
        <v>0</v>
      </c>
      <c r="AU122" s="80">
        <f t="shared" si="107"/>
        <v>0</v>
      </c>
      <c r="AV122" s="80">
        <f t="shared" si="152"/>
        <v>5.3603693522864457</v>
      </c>
      <c r="AW122" s="80">
        <f t="shared" si="153"/>
        <v>3.0318079616573153</v>
      </c>
      <c r="AX122" s="80">
        <f t="shared" si="154"/>
        <v>3.6049685702086904</v>
      </c>
      <c r="AY122" s="80">
        <f t="shared" si="155"/>
        <v>2.81201247792445</v>
      </c>
      <c r="AZ122" s="80">
        <f t="shared" si="156"/>
        <v>16.348544838831916</v>
      </c>
      <c r="BA122" s="80">
        <f t="shared" si="157"/>
        <v>13.122255280197196</v>
      </c>
      <c r="BB122" s="80">
        <f t="shared" si="133"/>
        <v>378.51278030455194</v>
      </c>
      <c r="BC122" s="80">
        <f t="shared" si="134"/>
        <v>125.52624685332988</v>
      </c>
      <c r="BD122" s="80">
        <f t="shared" si="135"/>
        <v>121.60697996813025</v>
      </c>
      <c r="BE122" s="80">
        <f t="shared" si="136"/>
        <v>86.965022540930491</v>
      </c>
      <c r="BF122" s="80">
        <f t="shared" si="137"/>
        <v>483.04349604799614</v>
      </c>
      <c r="BG122" s="80">
        <f t="shared" si="138"/>
        <v>302.9773277439653</v>
      </c>
      <c r="BH122" s="49">
        <f t="shared" si="139"/>
        <v>0</v>
      </c>
      <c r="BI122" s="79">
        <f t="shared" si="140"/>
        <v>-63920.892208676021</v>
      </c>
      <c r="BJ122" s="79">
        <f t="shared" si="108"/>
        <v>44000</v>
      </c>
      <c r="BK122" s="44">
        <f t="shared" si="141"/>
        <v>-0.311649157581254</v>
      </c>
      <c r="BL122" s="79">
        <f t="shared" si="158"/>
        <v>1567.309475260588</v>
      </c>
      <c r="BM122" s="49">
        <f t="shared" si="142"/>
        <v>45567.30947526059</v>
      </c>
      <c r="BN122" s="44">
        <f t="shared" si="143"/>
        <v>-0.28712963945337877</v>
      </c>
      <c r="BO122" s="49">
        <f t="shared" si="109"/>
        <v>1224.7097971866701</v>
      </c>
      <c r="BP122" s="49">
        <f t="shared" si="110"/>
        <v>45224.709797186668</v>
      </c>
      <c r="BQ122" s="44">
        <f t="shared" si="111"/>
        <v>-0.29248938438552818</v>
      </c>
      <c r="BS122" s="49">
        <f t="shared" si="112"/>
        <v>63920.892208676021</v>
      </c>
      <c r="BT122" s="49">
        <f t="shared" si="88"/>
        <v>41.27</v>
      </c>
      <c r="BU122" s="49">
        <f t="shared" si="89"/>
        <v>22.77</v>
      </c>
      <c r="BV122" s="49">
        <f t="shared" si="113"/>
        <v>297.14544001174499</v>
      </c>
      <c r="BW122" s="18">
        <f t="shared" si="114"/>
        <v>560</v>
      </c>
      <c r="BX122" s="19">
        <f t="shared" si="144"/>
        <v>0.87155963302752293</v>
      </c>
      <c r="BY122" s="49">
        <f t="shared" si="145"/>
        <v>258.97997065243828</v>
      </c>
      <c r="BZ122" s="19">
        <f t="shared" si="115"/>
        <v>3.9253723225368109</v>
      </c>
      <c r="CA122" s="19">
        <f t="shared" si="116"/>
        <v>3.8827963663924212</v>
      </c>
      <c r="CB122" s="19">
        <f t="shared" si="117"/>
        <v>1.2568869863546459</v>
      </c>
      <c r="CC122" s="19">
        <f t="shared" si="118"/>
        <v>2.4424129677935422</v>
      </c>
      <c r="CD122" s="19">
        <f t="shared" si="119"/>
        <v>7.338493095551117</v>
      </c>
      <c r="CE122" s="19">
        <f t="shared" si="120"/>
        <v>0</v>
      </c>
      <c r="CF122" s="49">
        <f t="shared" si="121"/>
        <v>-162.0001157510942</v>
      </c>
      <c r="CG122" s="49">
        <f t="shared" si="122"/>
        <v>-139.47003771522304</v>
      </c>
      <c r="CH122" s="49">
        <f t="shared" si="123"/>
        <v>-37.492938802959088</v>
      </c>
      <c r="CI122" s="49">
        <f t="shared" si="124"/>
        <v>-89.392309736417701</v>
      </c>
      <c r="CJ122" s="49">
        <f t="shared" si="125"/>
        <v>-172.96828226213984</v>
      </c>
      <c r="CK122" s="49">
        <f t="shared" si="126"/>
        <v>0</v>
      </c>
    </row>
    <row r="123" spans="2:89" ht="12.75" customHeight="1" x14ac:dyDescent="0.2">
      <c r="B123" s="77">
        <v>39861</v>
      </c>
      <c r="C123" s="49">
        <v>38.479999999999997</v>
      </c>
      <c r="D123" s="49">
        <v>32.840000000000003</v>
      </c>
      <c r="E123" s="49">
        <v>27.280000999999999</v>
      </c>
      <c r="F123" s="49">
        <v>33.360000999999997</v>
      </c>
      <c r="G123" s="49">
        <v>22</v>
      </c>
      <c r="H123" s="49">
        <v>20.559999000000001</v>
      </c>
      <c r="J123" s="78">
        <f>IF(inter=Weekly_2,J122+$C$5,IF(inter=Bi_weekly_2,0,IF(inter=Monthly_2,0,IF(inter=Quarterly_2,0,IF(inter=Yearly_2,0,IF(inter=None_2,0,0))))))</f>
        <v>0</v>
      </c>
      <c r="K123" s="79">
        <f t="shared" si="127"/>
        <v>0</v>
      </c>
      <c r="L123" s="79">
        <f t="shared" si="128"/>
        <v>0</v>
      </c>
      <c r="M123" s="79">
        <f t="shared" si="129"/>
        <v>0</v>
      </c>
      <c r="N123" s="79">
        <f t="shared" si="130"/>
        <v>0</v>
      </c>
      <c r="O123" s="79">
        <f t="shared" si="131"/>
        <v>0</v>
      </c>
      <c r="P123" s="79">
        <f t="shared" si="132"/>
        <v>0</v>
      </c>
      <c r="Q123" s="79"/>
      <c r="R123" s="80">
        <f t="shared" si="90"/>
        <v>0</v>
      </c>
      <c r="S123" s="80">
        <f t="shared" si="91"/>
        <v>0</v>
      </c>
      <c r="T123" s="80">
        <f t="shared" si="92"/>
        <v>0</v>
      </c>
      <c r="U123" s="80">
        <f t="shared" si="93"/>
        <v>0</v>
      </c>
      <c r="V123" s="80">
        <f t="shared" si="94"/>
        <v>0</v>
      </c>
      <c r="W123" s="80">
        <f t="shared" si="95"/>
        <v>0</v>
      </c>
      <c r="X123" s="80">
        <f t="shared" si="146"/>
        <v>373.15241095226548</v>
      </c>
      <c r="Y123" s="80">
        <f t="shared" si="147"/>
        <v>122.49443889167256</v>
      </c>
      <c r="Z123" s="80">
        <f t="shared" si="148"/>
        <v>118.00201139792156</v>
      </c>
      <c r="AA123" s="80">
        <f t="shared" si="149"/>
        <v>84.153010063006036</v>
      </c>
      <c r="AB123" s="80">
        <f t="shared" si="150"/>
        <v>466.69495120916423</v>
      </c>
      <c r="AC123" s="80">
        <f t="shared" si="151"/>
        <v>289.85507246376812</v>
      </c>
      <c r="AD123" s="80"/>
      <c r="AE123" s="80"/>
      <c r="AF123" s="80"/>
      <c r="AG123" s="80"/>
      <c r="AH123" s="80"/>
      <c r="AI123" s="80"/>
      <c r="AJ123" s="45">
        <f t="shared" si="96"/>
        <v>0</v>
      </c>
      <c r="AK123" s="45">
        <f t="shared" si="97"/>
        <v>0</v>
      </c>
      <c r="AL123" s="45">
        <f t="shared" si="98"/>
        <v>0</v>
      </c>
      <c r="AM123" s="45">
        <f t="shared" si="99"/>
        <v>0</v>
      </c>
      <c r="AN123" s="45">
        <f t="shared" si="100"/>
        <v>0</v>
      </c>
      <c r="AO123" s="45">
        <f t="shared" si="101"/>
        <v>0</v>
      </c>
      <c r="AP123" s="80">
        <f t="shared" si="102"/>
        <v>0</v>
      </c>
      <c r="AQ123" s="80">
        <f t="shared" si="103"/>
        <v>0</v>
      </c>
      <c r="AR123" s="80">
        <f t="shared" si="104"/>
        <v>0</v>
      </c>
      <c r="AS123" s="80">
        <f t="shared" si="105"/>
        <v>0</v>
      </c>
      <c r="AT123" s="80">
        <f t="shared" si="106"/>
        <v>0</v>
      </c>
      <c r="AU123" s="80">
        <f t="shared" si="107"/>
        <v>0</v>
      </c>
      <c r="AV123" s="80">
        <f t="shared" si="152"/>
        <v>5.3603693522864457</v>
      </c>
      <c r="AW123" s="80">
        <f t="shared" si="153"/>
        <v>3.0318079616573153</v>
      </c>
      <c r="AX123" s="80">
        <f t="shared" si="154"/>
        <v>3.6049685702086904</v>
      </c>
      <c r="AY123" s="80">
        <f t="shared" si="155"/>
        <v>2.81201247792445</v>
      </c>
      <c r="AZ123" s="80">
        <f t="shared" si="156"/>
        <v>16.348544838831916</v>
      </c>
      <c r="BA123" s="80">
        <f t="shared" si="157"/>
        <v>13.122255280197196</v>
      </c>
      <c r="BB123" s="80">
        <f t="shared" si="133"/>
        <v>378.51278030455194</v>
      </c>
      <c r="BC123" s="80">
        <f t="shared" si="134"/>
        <v>125.52624685332988</v>
      </c>
      <c r="BD123" s="80">
        <f t="shared" si="135"/>
        <v>121.60697996813025</v>
      </c>
      <c r="BE123" s="80">
        <f t="shared" si="136"/>
        <v>86.965022540930491</v>
      </c>
      <c r="BF123" s="80">
        <f t="shared" si="137"/>
        <v>483.04349604799614</v>
      </c>
      <c r="BG123" s="80">
        <f t="shared" si="138"/>
        <v>302.9773277439653</v>
      </c>
      <c r="BH123" s="49">
        <f t="shared" si="139"/>
        <v>0</v>
      </c>
      <c r="BI123" s="79">
        <f t="shared" si="140"/>
        <v>-63920.892208676021</v>
      </c>
      <c r="BJ123" s="79">
        <f t="shared" si="108"/>
        <v>40634.770562039514</v>
      </c>
      <c r="BK123" s="44">
        <f t="shared" si="141"/>
        <v>-0.36429594209381</v>
      </c>
      <c r="BL123" s="79">
        <f t="shared" si="158"/>
        <v>1567.309475260588</v>
      </c>
      <c r="BM123" s="49">
        <f t="shared" si="142"/>
        <v>42202.080037300104</v>
      </c>
      <c r="BN123" s="44">
        <f t="shared" si="143"/>
        <v>-0.33977642396593477</v>
      </c>
      <c r="BO123" s="49">
        <f t="shared" si="109"/>
        <v>1127.4454133055435</v>
      </c>
      <c r="BP123" s="49">
        <f t="shared" si="110"/>
        <v>41762.215975345061</v>
      </c>
      <c r="BQ123" s="44">
        <f t="shared" si="111"/>
        <v>-0.34665780572949123</v>
      </c>
      <c r="BS123" s="49">
        <f t="shared" si="112"/>
        <v>63920.892208676021</v>
      </c>
      <c r="BT123" s="49">
        <f t="shared" si="88"/>
        <v>38.479999999999997</v>
      </c>
      <c r="BU123" s="49">
        <f t="shared" si="89"/>
        <v>20.559999000000001</v>
      </c>
      <c r="BV123" s="49">
        <f t="shared" si="113"/>
        <v>0</v>
      </c>
      <c r="BW123" s="18">
        <f t="shared" si="114"/>
        <v>568</v>
      </c>
      <c r="BX123" s="19">
        <f t="shared" si="144"/>
        <v>0.86972477064220188</v>
      </c>
      <c r="BY123" s="49">
        <f t="shared" si="145"/>
        <v>0</v>
      </c>
      <c r="BZ123" s="19">
        <f t="shared" si="115"/>
        <v>0</v>
      </c>
      <c r="CA123" s="19">
        <f t="shared" si="116"/>
        <v>0</v>
      </c>
      <c r="CB123" s="19">
        <f t="shared" si="117"/>
        <v>0</v>
      </c>
      <c r="CC123" s="19">
        <f t="shared" si="118"/>
        <v>0</v>
      </c>
      <c r="CD123" s="19">
        <f t="shared" si="119"/>
        <v>0</v>
      </c>
      <c r="CE123" s="19">
        <f t="shared" si="120"/>
        <v>0</v>
      </c>
      <c r="CF123" s="49">
        <f t="shared" si="121"/>
        <v>0</v>
      </c>
      <c r="CG123" s="49">
        <f t="shared" si="122"/>
        <v>0</v>
      </c>
      <c r="CH123" s="49">
        <f t="shared" si="123"/>
        <v>0</v>
      </c>
      <c r="CI123" s="49">
        <f t="shared" si="124"/>
        <v>0</v>
      </c>
      <c r="CJ123" s="49">
        <f t="shared" si="125"/>
        <v>0</v>
      </c>
      <c r="CK123" s="49">
        <f t="shared" si="126"/>
        <v>0</v>
      </c>
    </row>
    <row r="124" spans="2:89" ht="12.75" customHeight="1" x14ac:dyDescent="0.2">
      <c r="B124" s="77">
        <v>39867</v>
      </c>
      <c r="C124" s="49">
        <v>36.810001</v>
      </c>
      <c r="D124" s="49">
        <v>31.629999000000002</v>
      </c>
      <c r="E124" s="49">
        <v>26.15</v>
      </c>
      <c r="F124" s="49">
        <v>31.969999000000001</v>
      </c>
      <c r="G124" s="49">
        <v>21.24</v>
      </c>
      <c r="H124" s="49">
        <v>20.959999</v>
      </c>
      <c r="J124" s="78">
        <f>IF(inter=Weekly_2,J123+$C$5,IF(inter=Bi_weekly_2,J122+$C$5,IF(inter=Monthly_2,0,IF(inter=Quarterly_2,0,IF(inter=Yearly_2,0,IF(inter=None_2,0,0))))))</f>
        <v>44600</v>
      </c>
      <c r="K124" s="79">
        <f t="shared" si="127"/>
        <v>-1874.2593796946949</v>
      </c>
      <c r="L124" s="79">
        <f t="shared" si="128"/>
        <v>-585.50102035083546</v>
      </c>
      <c r="M124" s="79">
        <f t="shared" si="129"/>
        <v>-482.24740194435117</v>
      </c>
      <c r="N124" s="79">
        <f t="shared" si="130"/>
        <v>-431.62835243870722</v>
      </c>
      <c r="O124" s="79">
        <f t="shared" si="131"/>
        <v>-1237.3992363173529</v>
      </c>
      <c r="P124" s="79">
        <f t="shared" si="132"/>
        <v>-614.6379710144929</v>
      </c>
      <c r="Q124" s="79"/>
      <c r="R124" s="80">
        <f t="shared" si="90"/>
        <v>50.917123846171449</v>
      </c>
      <c r="S124" s="80">
        <f t="shared" si="91"/>
        <v>18.510940210615733</v>
      </c>
      <c r="T124" s="80">
        <f t="shared" si="92"/>
        <v>18.44158324834995</v>
      </c>
      <c r="U124" s="80">
        <f t="shared" si="93"/>
        <v>13.501043664052263</v>
      </c>
      <c r="V124" s="80">
        <f t="shared" si="94"/>
        <v>58.25796781155146</v>
      </c>
      <c r="W124" s="80">
        <f t="shared" si="95"/>
        <v>29.324332077234015</v>
      </c>
      <c r="X124" s="80">
        <f t="shared" si="146"/>
        <v>424.06953479843696</v>
      </c>
      <c r="Y124" s="80">
        <f t="shared" si="147"/>
        <v>141.00537910228829</v>
      </c>
      <c r="Z124" s="80">
        <f t="shared" si="148"/>
        <v>136.44359464627152</v>
      </c>
      <c r="AA124" s="80">
        <f t="shared" si="149"/>
        <v>97.654053727058297</v>
      </c>
      <c r="AB124" s="80">
        <f t="shared" si="150"/>
        <v>524.95291902071574</v>
      </c>
      <c r="AC124" s="80">
        <f t="shared" si="151"/>
        <v>319.17940454100216</v>
      </c>
      <c r="AD124" s="80"/>
      <c r="AE124" s="80"/>
      <c r="AF124" s="80"/>
      <c r="AG124" s="80"/>
      <c r="AH124" s="80"/>
      <c r="AI124" s="80"/>
      <c r="AJ124" s="45">
        <f t="shared" si="96"/>
        <v>0</v>
      </c>
      <c r="AK124" s="45">
        <f t="shared" si="97"/>
        <v>0</v>
      </c>
      <c r="AL124" s="45">
        <f t="shared" si="98"/>
        <v>0</v>
      </c>
      <c r="AM124" s="45">
        <f t="shared" si="99"/>
        <v>0</v>
      </c>
      <c r="AN124" s="45">
        <f t="shared" si="100"/>
        <v>0</v>
      </c>
      <c r="AO124" s="45">
        <f t="shared" si="101"/>
        <v>0</v>
      </c>
      <c r="AP124" s="80">
        <f t="shared" si="102"/>
        <v>0</v>
      </c>
      <c r="AQ124" s="80">
        <f t="shared" si="103"/>
        <v>0</v>
      </c>
      <c r="AR124" s="80">
        <f t="shared" si="104"/>
        <v>0</v>
      </c>
      <c r="AS124" s="80">
        <f t="shared" si="105"/>
        <v>0</v>
      </c>
      <c r="AT124" s="80">
        <f t="shared" si="106"/>
        <v>0</v>
      </c>
      <c r="AU124" s="80">
        <f t="shared" si="107"/>
        <v>0</v>
      </c>
      <c r="AV124" s="80">
        <f t="shared" si="152"/>
        <v>5.3603693522864457</v>
      </c>
      <c r="AW124" s="80">
        <f t="shared" si="153"/>
        <v>3.0318079616573153</v>
      </c>
      <c r="AX124" s="80">
        <f t="shared" si="154"/>
        <v>3.6049685702086904</v>
      </c>
      <c r="AY124" s="80">
        <f t="shared" si="155"/>
        <v>2.81201247792445</v>
      </c>
      <c r="AZ124" s="80">
        <f t="shared" si="156"/>
        <v>16.348544838831916</v>
      </c>
      <c r="BA124" s="80">
        <f t="shared" si="157"/>
        <v>13.122255280197196</v>
      </c>
      <c r="BB124" s="80">
        <f t="shared" si="133"/>
        <v>429.42990415072342</v>
      </c>
      <c r="BC124" s="80">
        <f t="shared" si="134"/>
        <v>144.03718706394559</v>
      </c>
      <c r="BD124" s="80">
        <f t="shared" si="135"/>
        <v>140.0485632164802</v>
      </c>
      <c r="BE124" s="80">
        <f t="shared" si="136"/>
        <v>100.46606620498275</v>
      </c>
      <c r="BF124" s="80">
        <f t="shared" si="137"/>
        <v>541.30146385954765</v>
      </c>
      <c r="BG124" s="80">
        <f t="shared" si="138"/>
        <v>332.30165982119934</v>
      </c>
      <c r="BH124" s="49">
        <f t="shared" si="139"/>
        <v>0</v>
      </c>
      <c r="BI124" s="79">
        <f t="shared" si="140"/>
        <v>-69146.565570436462</v>
      </c>
      <c r="BJ124" s="79">
        <f t="shared" si="108"/>
        <v>44600</v>
      </c>
      <c r="BK124" s="44">
        <f t="shared" si="141"/>
        <v>-0.35499327215943921</v>
      </c>
      <c r="BL124" s="79">
        <f t="shared" si="158"/>
        <v>1567.309475260588</v>
      </c>
      <c r="BM124" s="49">
        <f t="shared" si="142"/>
        <v>46167.30947526059</v>
      </c>
      <c r="BN124" s="44">
        <f t="shared" si="143"/>
        <v>-0.33232678883766031</v>
      </c>
      <c r="BO124" s="49">
        <f t="shared" si="109"/>
        <v>1099.6667981591036</v>
      </c>
      <c r="BP124" s="49">
        <f t="shared" si="110"/>
        <v>45699.666798159102</v>
      </c>
      <c r="BQ124" s="44">
        <f t="shared" si="111"/>
        <v>-0.33908985325371033</v>
      </c>
      <c r="BS124" s="49">
        <f t="shared" si="112"/>
        <v>69146.565570436462</v>
      </c>
      <c r="BT124" s="49">
        <f t="shared" si="88"/>
        <v>36.810001</v>
      </c>
      <c r="BU124" s="49">
        <f t="shared" si="89"/>
        <v>20.959999</v>
      </c>
      <c r="BV124" s="49">
        <f t="shared" si="113"/>
        <v>5225.6733617604341</v>
      </c>
      <c r="BW124" s="18">
        <f t="shared" si="114"/>
        <v>574</v>
      </c>
      <c r="BX124" s="19">
        <f t="shared" si="144"/>
        <v>0.86834862385321099</v>
      </c>
      <c r="BY124" s="49">
        <f t="shared" si="145"/>
        <v>4537.7062723910558</v>
      </c>
      <c r="BZ124" s="19">
        <f t="shared" si="115"/>
        <v>50.917123846171449</v>
      </c>
      <c r="CA124" s="19">
        <f t="shared" si="116"/>
        <v>18.510940210615733</v>
      </c>
      <c r="CB124" s="19">
        <f t="shared" si="117"/>
        <v>18.44158324834995</v>
      </c>
      <c r="CC124" s="19">
        <f t="shared" si="118"/>
        <v>13.501043664052263</v>
      </c>
      <c r="CD124" s="19">
        <f t="shared" si="119"/>
        <v>58.25796781155146</v>
      </c>
      <c r="CE124" s="19">
        <f t="shared" si="120"/>
        <v>29.324332077234015</v>
      </c>
      <c r="CF124" s="49">
        <f t="shared" si="121"/>
        <v>-1874.2593796946949</v>
      </c>
      <c r="CG124" s="49">
        <f t="shared" si="122"/>
        <v>-585.50102035083546</v>
      </c>
      <c r="CH124" s="49">
        <f t="shared" si="123"/>
        <v>-482.24740194435117</v>
      </c>
      <c r="CI124" s="49">
        <f t="shared" si="124"/>
        <v>-431.62835243870722</v>
      </c>
      <c r="CJ124" s="49">
        <f t="shared" si="125"/>
        <v>-1237.3992363173529</v>
      </c>
      <c r="CK124" s="49">
        <f t="shared" si="126"/>
        <v>-614.6379710144929</v>
      </c>
    </row>
    <row r="125" spans="2:89" ht="12.75" customHeight="1" x14ac:dyDescent="0.2">
      <c r="B125" s="77">
        <v>39874</v>
      </c>
      <c r="C125" s="49">
        <v>34.110000999999997</v>
      </c>
      <c r="D125" s="49">
        <v>28.870000999999998</v>
      </c>
      <c r="E125" s="49">
        <v>23.450001</v>
      </c>
      <c r="F125" s="49">
        <v>28.25</v>
      </c>
      <c r="G125" s="49">
        <v>19.969999000000001</v>
      </c>
      <c r="H125" s="49">
        <v>20.100000000000001</v>
      </c>
      <c r="J125" s="78">
        <f>IF(inter=Weekly_2,J124+$C$5,IF(inter=Bi_weekly_2,0,IF(inter=Monthly_2,0,IF(inter=Quarterly_2,0,IF(inter=Yearly_2,0,IF(inter=None_2,0,0))))))</f>
        <v>0</v>
      </c>
      <c r="K125" s="79">
        <f t="shared" si="127"/>
        <v>0</v>
      </c>
      <c r="L125" s="79">
        <f t="shared" si="128"/>
        <v>0</v>
      </c>
      <c r="M125" s="79">
        <f t="shared" si="129"/>
        <v>0</v>
      </c>
      <c r="N125" s="79">
        <f t="shared" si="130"/>
        <v>0</v>
      </c>
      <c r="O125" s="79">
        <f t="shared" si="131"/>
        <v>0</v>
      </c>
      <c r="P125" s="79">
        <f t="shared" si="132"/>
        <v>0</v>
      </c>
      <c r="Q125" s="79"/>
      <c r="R125" s="80">
        <f t="shared" si="90"/>
        <v>0</v>
      </c>
      <c r="S125" s="80">
        <f t="shared" si="91"/>
        <v>0</v>
      </c>
      <c r="T125" s="80">
        <f t="shared" si="92"/>
        <v>0</v>
      </c>
      <c r="U125" s="80">
        <f t="shared" si="93"/>
        <v>0</v>
      </c>
      <c r="V125" s="80">
        <f t="shared" si="94"/>
        <v>0</v>
      </c>
      <c r="W125" s="80">
        <f t="shared" si="95"/>
        <v>0</v>
      </c>
      <c r="X125" s="80">
        <f t="shared" si="146"/>
        <v>424.06953479843696</v>
      </c>
      <c r="Y125" s="80">
        <f t="shared" si="147"/>
        <v>141.00537910228829</v>
      </c>
      <c r="Z125" s="80">
        <f t="shared" si="148"/>
        <v>136.44359464627152</v>
      </c>
      <c r="AA125" s="80">
        <f t="shared" si="149"/>
        <v>97.654053727058297</v>
      </c>
      <c r="AB125" s="80">
        <f t="shared" si="150"/>
        <v>524.95291902071574</v>
      </c>
      <c r="AC125" s="80">
        <f t="shared" si="151"/>
        <v>319.17940454100216</v>
      </c>
      <c r="AD125" s="80"/>
      <c r="AE125" s="80"/>
      <c r="AF125" s="80"/>
      <c r="AG125" s="80"/>
      <c r="AH125" s="80"/>
      <c r="AI125" s="80"/>
      <c r="AJ125" s="45">
        <f t="shared" si="96"/>
        <v>0</v>
      </c>
      <c r="AK125" s="45">
        <f t="shared" si="97"/>
        <v>0</v>
      </c>
      <c r="AL125" s="45">
        <f t="shared" si="98"/>
        <v>0</v>
      </c>
      <c r="AM125" s="45">
        <f t="shared" si="99"/>
        <v>0</v>
      </c>
      <c r="AN125" s="45">
        <f t="shared" si="100"/>
        <v>0</v>
      </c>
      <c r="AO125" s="45">
        <f t="shared" si="101"/>
        <v>0</v>
      </c>
      <c r="AP125" s="80">
        <f t="shared" si="102"/>
        <v>0</v>
      </c>
      <c r="AQ125" s="80">
        <f t="shared" si="103"/>
        <v>0</v>
      </c>
      <c r="AR125" s="80">
        <f t="shared" si="104"/>
        <v>0</v>
      </c>
      <c r="AS125" s="80">
        <f t="shared" si="105"/>
        <v>0</v>
      </c>
      <c r="AT125" s="80">
        <f t="shared" si="106"/>
        <v>0</v>
      </c>
      <c r="AU125" s="80">
        <f t="shared" si="107"/>
        <v>0</v>
      </c>
      <c r="AV125" s="80">
        <f t="shared" si="152"/>
        <v>5.3603693522864457</v>
      </c>
      <c r="AW125" s="80">
        <f t="shared" si="153"/>
        <v>3.0318079616573153</v>
      </c>
      <c r="AX125" s="80">
        <f t="shared" si="154"/>
        <v>3.6049685702086904</v>
      </c>
      <c r="AY125" s="80">
        <f t="shared" si="155"/>
        <v>2.81201247792445</v>
      </c>
      <c r="AZ125" s="80">
        <f t="shared" si="156"/>
        <v>16.348544838831916</v>
      </c>
      <c r="BA125" s="80">
        <f t="shared" si="157"/>
        <v>13.122255280197196</v>
      </c>
      <c r="BB125" s="80">
        <f t="shared" si="133"/>
        <v>429.42990415072342</v>
      </c>
      <c r="BC125" s="80">
        <f t="shared" si="134"/>
        <v>144.03718706394559</v>
      </c>
      <c r="BD125" s="80">
        <f t="shared" si="135"/>
        <v>140.0485632164802</v>
      </c>
      <c r="BE125" s="80">
        <f t="shared" si="136"/>
        <v>100.46606620498275</v>
      </c>
      <c r="BF125" s="80">
        <f t="shared" si="137"/>
        <v>541.30146385954765</v>
      </c>
      <c r="BG125" s="80">
        <f t="shared" si="138"/>
        <v>332.30165982119934</v>
      </c>
      <c r="BH125" s="49">
        <f t="shared" si="139"/>
        <v>0</v>
      </c>
      <c r="BI125" s="79">
        <f t="shared" si="140"/>
        <v>-69146.565570436462</v>
      </c>
      <c r="BJ125" s="79">
        <f t="shared" si="108"/>
        <v>41392.982439585641</v>
      </c>
      <c r="BK125" s="44">
        <f t="shared" si="141"/>
        <v>-0.40137326997939626</v>
      </c>
      <c r="BL125" s="79">
        <f t="shared" si="158"/>
        <v>1567.309475260588</v>
      </c>
      <c r="BM125" s="49">
        <f t="shared" si="142"/>
        <v>42960.291914846232</v>
      </c>
      <c r="BN125" s="44">
        <f t="shared" si="143"/>
        <v>-0.37870678665761737</v>
      </c>
      <c r="BO125" s="49">
        <f t="shared" si="109"/>
        <v>1024.5841271443348</v>
      </c>
      <c r="BP125" s="49">
        <f t="shared" si="110"/>
        <v>42417.566566729969</v>
      </c>
      <c r="BQ125" s="44">
        <f t="shared" si="111"/>
        <v>-0.38655569923395372</v>
      </c>
      <c r="BS125" s="49">
        <f t="shared" si="112"/>
        <v>69146.565570436462</v>
      </c>
      <c r="BT125" s="49">
        <f t="shared" si="88"/>
        <v>34.110000999999997</v>
      </c>
      <c r="BU125" s="49">
        <f t="shared" si="89"/>
        <v>20.100000000000001</v>
      </c>
      <c r="BV125" s="49">
        <f t="shared" si="113"/>
        <v>0</v>
      </c>
      <c r="BW125" s="18">
        <f t="shared" si="114"/>
        <v>581</v>
      </c>
      <c r="BX125" s="19">
        <f t="shared" si="144"/>
        <v>0.86674311926605507</v>
      </c>
      <c r="BY125" s="49">
        <f t="shared" si="145"/>
        <v>0</v>
      </c>
      <c r="BZ125" s="19">
        <f t="shared" si="115"/>
        <v>0</v>
      </c>
      <c r="CA125" s="19">
        <f t="shared" si="116"/>
        <v>0</v>
      </c>
      <c r="CB125" s="19">
        <f t="shared" si="117"/>
        <v>0</v>
      </c>
      <c r="CC125" s="19">
        <f t="shared" si="118"/>
        <v>0</v>
      </c>
      <c r="CD125" s="19">
        <f t="shared" si="119"/>
        <v>0</v>
      </c>
      <c r="CE125" s="19">
        <f t="shared" si="120"/>
        <v>0</v>
      </c>
      <c r="CF125" s="49">
        <f t="shared" si="121"/>
        <v>0</v>
      </c>
      <c r="CG125" s="49">
        <f t="shared" si="122"/>
        <v>0</v>
      </c>
      <c r="CH125" s="49">
        <f t="shared" si="123"/>
        <v>0</v>
      </c>
      <c r="CI125" s="49">
        <f t="shared" si="124"/>
        <v>0</v>
      </c>
      <c r="CJ125" s="49">
        <f t="shared" si="125"/>
        <v>0</v>
      </c>
      <c r="CK125" s="49">
        <f t="shared" si="126"/>
        <v>0</v>
      </c>
    </row>
    <row r="126" spans="2:89" ht="12.75" customHeight="1" x14ac:dyDescent="0.2">
      <c r="B126" s="77">
        <v>39881</v>
      </c>
      <c r="C126" s="49">
        <v>37.860000999999997</v>
      </c>
      <c r="D126" s="49">
        <v>32.650002000000001</v>
      </c>
      <c r="E126" s="49">
        <v>26.4</v>
      </c>
      <c r="F126" s="49">
        <v>32.130001</v>
      </c>
      <c r="G126" s="49">
        <v>21.360001</v>
      </c>
      <c r="H126" s="49">
        <v>22.129999000000002</v>
      </c>
      <c r="J126" s="78">
        <f>IF(inter=Weekly_2,J125+$C$5,IF(inter=Bi_weekly_2,J124+$C$5,IF(inter=Monthly_2,J122+$C$5,IF(inter=Quarterly_2,0,IF(inter=Yearly_2,0,IF(inter=None_2,0,0))))))</f>
        <v>45200</v>
      </c>
      <c r="K126" s="79">
        <f t="shared" si="127"/>
        <v>235.27301153835833</v>
      </c>
      <c r="L126" s="79">
        <f t="shared" si="128"/>
        <v>83.825909700471129</v>
      </c>
      <c r="M126" s="79">
        <f t="shared" si="129"/>
        <v>-13.889101338431828</v>
      </c>
      <c r="N126" s="79">
        <f t="shared" si="130"/>
        <v>-26.375156095563852</v>
      </c>
      <c r="O126" s="79">
        <f t="shared" si="131"/>
        <v>-87.005124764593347</v>
      </c>
      <c r="P126" s="79">
        <f t="shared" si="132"/>
        <v>283.43990331297391</v>
      </c>
      <c r="Q126" s="79"/>
      <c r="R126" s="80">
        <f t="shared" si="90"/>
        <v>-6.2142896282110067</v>
      </c>
      <c r="S126" s="80">
        <f t="shared" si="91"/>
        <v>-2.5674090219189307</v>
      </c>
      <c r="T126" s="80">
        <f t="shared" si="92"/>
        <v>0.52610232342544805</v>
      </c>
      <c r="U126" s="80">
        <f t="shared" si="93"/>
        <v>0.82088874181995364</v>
      </c>
      <c r="V126" s="80">
        <f t="shared" si="94"/>
        <v>4.0732734406048641</v>
      </c>
      <c r="W126" s="80">
        <f t="shared" si="95"/>
        <v>-12.807949214682472</v>
      </c>
      <c r="X126" s="80">
        <f t="shared" si="146"/>
        <v>417.85524517022594</v>
      </c>
      <c r="Y126" s="80">
        <f t="shared" si="147"/>
        <v>138.43797008036935</v>
      </c>
      <c r="Z126" s="80">
        <f t="shared" si="148"/>
        <v>136.96969696969697</v>
      </c>
      <c r="AA126" s="80">
        <f t="shared" si="149"/>
        <v>98.474942468878254</v>
      </c>
      <c r="AB126" s="80">
        <f t="shared" si="150"/>
        <v>529.02619246132065</v>
      </c>
      <c r="AC126" s="80">
        <f t="shared" si="151"/>
        <v>306.37145532631968</v>
      </c>
      <c r="AD126" s="80"/>
      <c r="AE126" s="80"/>
      <c r="AF126" s="80"/>
      <c r="AG126" s="80"/>
      <c r="AH126" s="80"/>
      <c r="AI126" s="80"/>
      <c r="AJ126" s="45">
        <f t="shared" si="96"/>
        <v>0</v>
      </c>
      <c r="AK126" s="45">
        <f t="shared" si="97"/>
        <v>0</v>
      </c>
      <c r="AL126" s="45">
        <f t="shared" si="98"/>
        <v>0</v>
      </c>
      <c r="AM126" s="45">
        <f t="shared" si="99"/>
        <v>0</v>
      </c>
      <c r="AN126" s="45">
        <f t="shared" si="100"/>
        <v>0</v>
      </c>
      <c r="AO126" s="45">
        <f t="shared" si="101"/>
        <v>0</v>
      </c>
      <c r="AP126" s="80">
        <f t="shared" si="102"/>
        <v>0</v>
      </c>
      <c r="AQ126" s="80">
        <f t="shared" si="103"/>
        <v>0</v>
      </c>
      <c r="AR126" s="80">
        <f t="shared" si="104"/>
        <v>0</v>
      </c>
      <c r="AS126" s="80">
        <f t="shared" si="105"/>
        <v>0</v>
      </c>
      <c r="AT126" s="80">
        <f t="shared" si="106"/>
        <v>0</v>
      </c>
      <c r="AU126" s="80">
        <f t="shared" si="107"/>
        <v>0</v>
      </c>
      <c r="AV126" s="80">
        <f t="shared" si="152"/>
        <v>5.3603693522864457</v>
      </c>
      <c r="AW126" s="80">
        <f t="shared" si="153"/>
        <v>3.0318079616573153</v>
      </c>
      <c r="AX126" s="80">
        <f t="shared" si="154"/>
        <v>3.6049685702086904</v>
      </c>
      <c r="AY126" s="80">
        <f t="shared" si="155"/>
        <v>2.81201247792445</v>
      </c>
      <c r="AZ126" s="80">
        <f t="shared" si="156"/>
        <v>16.348544838831916</v>
      </c>
      <c r="BA126" s="80">
        <f t="shared" si="157"/>
        <v>13.122255280197196</v>
      </c>
      <c r="BB126" s="80">
        <f t="shared" si="133"/>
        <v>423.2156145225124</v>
      </c>
      <c r="BC126" s="80">
        <f t="shared" si="134"/>
        <v>141.46977804202666</v>
      </c>
      <c r="BD126" s="80">
        <f t="shared" si="135"/>
        <v>140.57466553990565</v>
      </c>
      <c r="BE126" s="80">
        <f t="shared" si="136"/>
        <v>101.28695494680271</v>
      </c>
      <c r="BF126" s="80">
        <f t="shared" si="137"/>
        <v>545.37473730015256</v>
      </c>
      <c r="BG126" s="80">
        <f t="shared" si="138"/>
        <v>319.49371060651686</v>
      </c>
      <c r="BH126" s="49">
        <f t="shared" si="139"/>
        <v>0</v>
      </c>
      <c r="BI126" s="79">
        <f t="shared" si="140"/>
        <v>-68671.296128083224</v>
      </c>
      <c r="BJ126" s="79">
        <f t="shared" si="108"/>
        <v>45200</v>
      </c>
      <c r="BK126" s="44">
        <f t="shared" si="141"/>
        <v>-0.34179194876860064</v>
      </c>
      <c r="BL126" s="79">
        <f t="shared" si="158"/>
        <v>1567.309475260588</v>
      </c>
      <c r="BM126" s="49">
        <f t="shared" si="142"/>
        <v>46767.30947526059</v>
      </c>
      <c r="BN126" s="44">
        <f t="shared" si="143"/>
        <v>-0.31896859223347274</v>
      </c>
      <c r="BO126" s="49">
        <f t="shared" si="109"/>
        <v>1127.0536893653994</v>
      </c>
      <c r="BP126" s="49">
        <f t="shared" si="110"/>
        <v>46327.053689365399</v>
      </c>
      <c r="BQ126" s="44">
        <f t="shared" si="111"/>
        <v>-0.32537965203164576</v>
      </c>
      <c r="BS126" s="49">
        <f t="shared" si="112"/>
        <v>68671.296128083224</v>
      </c>
      <c r="BT126" s="49">
        <f t="shared" si="88"/>
        <v>37.860000999999997</v>
      </c>
      <c r="BU126" s="49">
        <f t="shared" si="89"/>
        <v>22.129999000000002</v>
      </c>
      <c r="BV126" s="49">
        <f t="shared" si="113"/>
        <v>-475.26944235321434</v>
      </c>
      <c r="BW126" s="18">
        <f t="shared" si="114"/>
        <v>588</v>
      </c>
      <c r="BX126" s="19">
        <f t="shared" si="144"/>
        <v>0.86513761467889905</v>
      </c>
      <c r="BY126" s="49">
        <f t="shared" si="145"/>
        <v>-411.1734716872304</v>
      </c>
      <c r="BZ126" s="19">
        <f t="shared" si="115"/>
        <v>0</v>
      </c>
      <c r="CA126" s="19">
        <f t="shared" si="116"/>
        <v>0</v>
      </c>
      <c r="CB126" s="19">
        <f t="shared" si="117"/>
        <v>0.52610232342544805</v>
      </c>
      <c r="CC126" s="19">
        <f t="shared" si="118"/>
        <v>0.82088874181995364</v>
      </c>
      <c r="CD126" s="19">
        <f t="shared" si="119"/>
        <v>4.0732734406048641</v>
      </c>
      <c r="CE126" s="19">
        <f t="shared" si="120"/>
        <v>0</v>
      </c>
      <c r="CF126" s="49">
        <f t="shared" si="121"/>
        <v>0</v>
      </c>
      <c r="CG126" s="49">
        <f t="shared" si="122"/>
        <v>0</v>
      </c>
      <c r="CH126" s="49">
        <f t="shared" si="123"/>
        <v>-13.889101338431828</v>
      </c>
      <c r="CI126" s="49">
        <f t="shared" si="124"/>
        <v>-26.375156095563852</v>
      </c>
      <c r="CJ126" s="49">
        <f t="shared" si="125"/>
        <v>-87.005124764593347</v>
      </c>
      <c r="CK126" s="49">
        <f t="shared" si="126"/>
        <v>0</v>
      </c>
    </row>
    <row r="127" spans="2:89" ht="12.75" customHeight="1" x14ac:dyDescent="0.2">
      <c r="B127" s="77">
        <v>39888</v>
      </c>
      <c r="C127" s="49">
        <v>38.439999</v>
      </c>
      <c r="D127" s="49">
        <v>33.220001000000003</v>
      </c>
      <c r="E127" s="49">
        <v>27.200001</v>
      </c>
      <c r="F127" s="49">
        <v>32.950001</v>
      </c>
      <c r="G127" s="49">
        <v>22.51</v>
      </c>
      <c r="H127" s="49">
        <v>22.76</v>
      </c>
      <c r="J127" s="78">
        <f>IF(inter=Weekly_2,J126+$C$5,IF(inter=Bi_weekly_2,0,IF(inter=Monthly_2,0,IF(inter=Quarterly_2,0,IF(inter=Yearly_2,0,IF(inter=None_2,0,0))))))</f>
        <v>0</v>
      </c>
      <c r="K127" s="79">
        <f t="shared" si="127"/>
        <v>0</v>
      </c>
      <c r="L127" s="79">
        <f t="shared" si="128"/>
        <v>0</v>
      </c>
      <c r="M127" s="79">
        <f t="shared" si="129"/>
        <v>0</v>
      </c>
      <c r="N127" s="79">
        <f t="shared" si="130"/>
        <v>0</v>
      </c>
      <c r="O127" s="79">
        <f t="shared" si="131"/>
        <v>0</v>
      </c>
      <c r="P127" s="79">
        <f t="shared" si="132"/>
        <v>0</v>
      </c>
      <c r="Q127" s="79"/>
      <c r="R127" s="80">
        <f t="shared" si="90"/>
        <v>0</v>
      </c>
      <c r="S127" s="80">
        <f t="shared" si="91"/>
        <v>0</v>
      </c>
      <c r="T127" s="80">
        <f t="shared" si="92"/>
        <v>0</v>
      </c>
      <c r="U127" s="80">
        <f t="shared" si="93"/>
        <v>0</v>
      </c>
      <c r="V127" s="80">
        <f t="shared" si="94"/>
        <v>0</v>
      </c>
      <c r="W127" s="80">
        <f t="shared" si="95"/>
        <v>0</v>
      </c>
      <c r="X127" s="80">
        <f t="shared" si="146"/>
        <v>417.85524517022594</v>
      </c>
      <c r="Y127" s="80">
        <f t="shared" si="147"/>
        <v>138.43797008036935</v>
      </c>
      <c r="Z127" s="80">
        <f t="shared" si="148"/>
        <v>136.96969696969697</v>
      </c>
      <c r="AA127" s="80">
        <f t="shared" si="149"/>
        <v>98.474942468878254</v>
      </c>
      <c r="AB127" s="80">
        <f t="shared" si="150"/>
        <v>529.02619246132065</v>
      </c>
      <c r="AC127" s="80">
        <f t="shared" si="151"/>
        <v>306.37145532631968</v>
      </c>
      <c r="AD127" s="80"/>
      <c r="AE127" s="80"/>
      <c r="AF127" s="80"/>
      <c r="AG127" s="80"/>
      <c r="AH127" s="80"/>
      <c r="AI127" s="80"/>
      <c r="AJ127" s="45">
        <f t="shared" si="96"/>
        <v>0</v>
      </c>
      <c r="AK127" s="45">
        <f t="shared" si="97"/>
        <v>0</v>
      </c>
      <c r="AL127" s="45">
        <f t="shared" si="98"/>
        <v>0</v>
      </c>
      <c r="AM127" s="45">
        <f t="shared" si="99"/>
        <v>0</v>
      </c>
      <c r="AN127" s="45">
        <f t="shared" si="100"/>
        <v>0</v>
      </c>
      <c r="AO127" s="45">
        <f t="shared" si="101"/>
        <v>0</v>
      </c>
      <c r="AP127" s="80">
        <f t="shared" si="102"/>
        <v>0</v>
      </c>
      <c r="AQ127" s="80">
        <f t="shared" si="103"/>
        <v>0</v>
      </c>
      <c r="AR127" s="80">
        <f t="shared" si="104"/>
        <v>0</v>
      </c>
      <c r="AS127" s="80">
        <f t="shared" si="105"/>
        <v>0</v>
      </c>
      <c r="AT127" s="80">
        <f t="shared" si="106"/>
        <v>0</v>
      </c>
      <c r="AU127" s="80">
        <f t="shared" si="107"/>
        <v>0</v>
      </c>
      <c r="AV127" s="80">
        <f t="shared" si="152"/>
        <v>5.3603693522864457</v>
      </c>
      <c r="AW127" s="80">
        <f t="shared" si="153"/>
        <v>3.0318079616573153</v>
      </c>
      <c r="AX127" s="80">
        <f t="shared" si="154"/>
        <v>3.6049685702086904</v>
      </c>
      <c r="AY127" s="80">
        <f t="shared" si="155"/>
        <v>2.81201247792445</v>
      </c>
      <c r="AZ127" s="80">
        <f t="shared" si="156"/>
        <v>16.348544838831916</v>
      </c>
      <c r="BA127" s="80">
        <f t="shared" si="157"/>
        <v>13.122255280197196</v>
      </c>
      <c r="BB127" s="80">
        <f t="shared" si="133"/>
        <v>423.2156145225124</v>
      </c>
      <c r="BC127" s="80">
        <f t="shared" si="134"/>
        <v>141.46977804202666</v>
      </c>
      <c r="BD127" s="80">
        <f t="shared" si="135"/>
        <v>140.57466553990565</v>
      </c>
      <c r="BE127" s="80">
        <f t="shared" si="136"/>
        <v>101.28695494680271</v>
      </c>
      <c r="BF127" s="80">
        <f t="shared" si="137"/>
        <v>545.37473730015256</v>
      </c>
      <c r="BG127" s="80">
        <f t="shared" si="138"/>
        <v>319.49371060651686</v>
      </c>
      <c r="BH127" s="49">
        <f t="shared" si="139"/>
        <v>0</v>
      </c>
      <c r="BI127" s="79">
        <f t="shared" si="140"/>
        <v>-68671.296128083224</v>
      </c>
      <c r="BJ127" s="79">
        <f t="shared" si="108"/>
        <v>46512.983973897382</v>
      </c>
      <c r="BK127" s="44">
        <f t="shared" si="141"/>
        <v>-0.32267211198194012</v>
      </c>
      <c r="BL127" s="79">
        <f t="shared" si="158"/>
        <v>1567.309475260588</v>
      </c>
      <c r="BM127" s="49">
        <f t="shared" si="142"/>
        <v>48080.293449157973</v>
      </c>
      <c r="BN127" s="44">
        <f t="shared" si="143"/>
        <v>-0.29984875544681222</v>
      </c>
      <c r="BO127" s="49">
        <f t="shared" si="109"/>
        <v>1164.1484932332482</v>
      </c>
      <c r="BP127" s="49">
        <f t="shared" si="110"/>
        <v>47677.132467130628</v>
      </c>
      <c r="BQ127" s="44">
        <f t="shared" si="111"/>
        <v>-0.30571963607320063</v>
      </c>
      <c r="BS127" s="49">
        <f t="shared" si="112"/>
        <v>68671.296128083224</v>
      </c>
      <c r="BT127" s="49">
        <f t="shared" si="88"/>
        <v>38.439999</v>
      </c>
      <c r="BU127" s="49">
        <f t="shared" si="89"/>
        <v>22.76</v>
      </c>
      <c r="BV127" s="49">
        <f t="shared" si="113"/>
        <v>0</v>
      </c>
      <c r="BW127" s="18">
        <f t="shared" si="114"/>
        <v>595</v>
      </c>
      <c r="BX127" s="19">
        <f t="shared" si="144"/>
        <v>0.86353211009174313</v>
      </c>
      <c r="BY127" s="49">
        <f t="shared" si="145"/>
        <v>0</v>
      </c>
      <c r="BZ127" s="19">
        <f t="shared" si="115"/>
        <v>0</v>
      </c>
      <c r="CA127" s="19">
        <f t="shared" si="116"/>
        <v>0</v>
      </c>
      <c r="CB127" s="19">
        <f t="shared" si="117"/>
        <v>0</v>
      </c>
      <c r="CC127" s="19">
        <f t="shared" si="118"/>
        <v>0</v>
      </c>
      <c r="CD127" s="19">
        <f t="shared" si="119"/>
        <v>0</v>
      </c>
      <c r="CE127" s="19">
        <f t="shared" si="120"/>
        <v>0</v>
      </c>
      <c r="CF127" s="49">
        <f t="shared" si="121"/>
        <v>0</v>
      </c>
      <c r="CG127" s="49">
        <f t="shared" si="122"/>
        <v>0</v>
      </c>
      <c r="CH127" s="49">
        <f t="shared" si="123"/>
        <v>0</v>
      </c>
      <c r="CI127" s="49">
        <f t="shared" si="124"/>
        <v>0</v>
      </c>
      <c r="CJ127" s="49">
        <f t="shared" si="125"/>
        <v>0</v>
      </c>
      <c r="CK127" s="49">
        <f t="shared" si="126"/>
        <v>0</v>
      </c>
    </row>
    <row r="128" spans="2:89" ht="12.75" customHeight="1" x14ac:dyDescent="0.2">
      <c r="B128" s="77">
        <v>39895</v>
      </c>
      <c r="C128" s="49">
        <v>40.659999999999997</v>
      </c>
      <c r="D128" s="49">
        <v>35.080002</v>
      </c>
      <c r="E128" s="49">
        <v>29.1</v>
      </c>
      <c r="F128" s="49">
        <v>35.650002000000001</v>
      </c>
      <c r="G128" s="49">
        <v>23.27</v>
      </c>
      <c r="H128" s="49">
        <v>24.299999</v>
      </c>
      <c r="J128" s="78">
        <f>IF(inter=Weekly_2,J127+$C$5,IF(inter=Bi_weekly_2,J126+$C$5,IF(inter=Monthly_2,0,IF(inter=Quarterly_2,0,IF(inter=Yearly_2,0,IF(inter=None_2,0,0))))))</f>
        <v>45800</v>
      </c>
      <c r="K128" s="79">
        <f t="shared" si="127"/>
        <v>959.99426862138898</v>
      </c>
      <c r="L128" s="79">
        <f t="shared" si="128"/>
        <v>276.40426729529736</v>
      </c>
      <c r="M128" s="79">
        <f t="shared" si="129"/>
        <v>321.81818181818198</v>
      </c>
      <c r="N128" s="79">
        <f t="shared" si="130"/>
        <v>304.63189596539451</v>
      </c>
      <c r="O128" s="79">
        <f t="shared" si="131"/>
        <v>860.43949857493135</v>
      </c>
      <c r="P128" s="79">
        <f t="shared" si="132"/>
        <v>574.82605805811272</v>
      </c>
      <c r="Q128" s="79"/>
      <c r="R128" s="80">
        <f t="shared" si="90"/>
        <v>-23.610286980358808</v>
      </c>
      <c r="S128" s="80">
        <f t="shared" si="91"/>
        <v>-7.8792546048115204</v>
      </c>
      <c r="T128" s="80">
        <f t="shared" si="92"/>
        <v>-11.059044048734776</v>
      </c>
      <c r="U128" s="80">
        <f t="shared" si="93"/>
        <v>-8.5450737412411506</v>
      </c>
      <c r="V128" s="80">
        <f t="shared" si="94"/>
        <v>-36.97634286957161</v>
      </c>
      <c r="W128" s="80">
        <f t="shared" si="95"/>
        <v>-23.65539430919782</v>
      </c>
      <c r="X128" s="80">
        <f t="shared" si="146"/>
        <v>394.24495818986713</v>
      </c>
      <c r="Y128" s="80">
        <f t="shared" si="147"/>
        <v>130.55871547555785</v>
      </c>
      <c r="Z128" s="80">
        <f t="shared" si="148"/>
        <v>125.91065292096219</v>
      </c>
      <c r="AA128" s="80">
        <f t="shared" si="149"/>
        <v>89.9298687276371</v>
      </c>
      <c r="AB128" s="80">
        <f t="shared" si="150"/>
        <v>492.04984959174902</v>
      </c>
      <c r="AC128" s="80">
        <f t="shared" si="151"/>
        <v>282.71606101712183</v>
      </c>
      <c r="AD128" s="80">
        <v>0.27800000000000002</v>
      </c>
      <c r="AE128" s="80">
        <v>0.377</v>
      </c>
      <c r="AF128" s="80">
        <v>4.1000000000000002E-2</v>
      </c>
      <c r="AG128" s="80">
        <v>3.3000000000000002E-2</v>
      </c>
      <c r="AH128" s="80">
        <v>1.9E-2</v>
      </c>
      <c r="AI128" s="80"/>
      <c r="AJ128" s="45">
        <f t="shared" si="96"/>
        <v>109.60009837678307</v>
      </c>
      <c r="AK128" s="45">
        <f t="shared" si="97"/>
        <v>49.22063573428531</v>
      </c>
      <c r="AL128" s="45">
        <f t="shared" si="98"/>
        <v>5.1623367697594498</v>
      </c>
      <c r="AM128" s="45">
        <f t="shared" si="99"/>
        <v>2.9676856680120243</v>
      </c>
      <c r="AN128" s="45">
        <f t="shared" si="100"/>
        <v>9.3489471422432313</v>
      </c>
      <c r="AO128" s="45">
        <f t="shared" si="101"/>
        <v>0</v>
      </c>
      <c r="AP128" s="80">
        <f t="shared" si="102"/>
        <v>2.6955262758677589</v>
      </c>
      <c r="AQ128" s="80">
        <f t="shared" si="103"/>
        <v>1.4030967197289586</v>
      </c>
      <c r="AR128" s="80">
        <f t="shared" si="104"/>
        <v>0.17739988899517009</v>
      </c>
      <c r="AS128" s="80">
        <f t="shared" si="105"/>
        <v>8.3245035105805165E-2</v>
      </c>
      <c r="AT128" s="80">
        <f t="shared" si="106"/>
        <v>0.40175965372768507</v>
      </c>
      <c r="AU128" s="80">
        <f t="shared" si="107"/>
        <v>0</v>
      </c>
      <c r="AV128" s="80">
        <f t="shared" si="152"/>
        <v>8.0558956281542038</v>
      </c>
      <c r="AW128" s="80">
        <f t="shared" si="153"/>
        <v>4.434904681386274</v>
      </c>
      <c r="AX128" s="80">
        <f t="shared" si="154"/>
        <v>3.7823684592038607</v>
      </c>
      <c r="AY128" s="80">
        <f t="shared" si="155"/>
        <v>2.8952575130302551</v>
      </c>
      <c r="AZ128" s="80">
        <f t="shared" si="156"/>
        <v>16.7503044925596</v>
      </c>
      <c r="BA128" s="80">
        <f t="shared" si="157"/>
        <v>13.122255280197196</v>
      </c>
      <c r="BB128" s="80">
        <f t="shared" si="133"/>
        <v>402.30085381802132</v>
      </c>
      <c r="BC128" s="80">
        <f t="shared" si="134"/>
        <v>134.99362015694413</v>
      </c>
      <c r="BD128" s="80">
        <f t="shared" si="135"/>
        <v>129.69302138016604</v>
      </c>
      <c r="BE128" s="80">
        <f t="shared" si="136"/>
        <v>92.825126240667359</v>
      </c>
      <c r="BF128" s="80">
        <f t="shared" si="137"/>
        <v>508.80015408430864</v>
      </c>
      <c r="BG128" s="80">
        <f t="shared" si="138"/>
        <v>295.83831629731901</v>
      </c>
      <c r="BH128" s="49">
        <f t="shared" si="139"/>
        <v>176.29970369108307</v>
      </c>
      <c r="BI128" s="79">
        <f t="shared" si="140"/>
        <v>-65373.181957749926</v>
      </c>
      <c r="BJ128" s="79">
        <f t="shared" si="108"/>
        <v>45800</v>
      </c>
      <c r="BK128" s="44">
        <f t="shared" si="141"/>
        <v>-0.29940690313039819</v>
      </c>
      <c r="BL128" s="79">
        <f t="shared" si="158"/>
        <v>1743.6091789516711</v>
      </c>
      <c r="BM128" s="49">
        <f t="shared" si="142"/>
        <v>47543.609178951672</v>
      </c>
      <c r="BN128" s="44">
        <f t="shared" si="143"/>
        <v>-0.27273527530480834</v>
      </c>
      <c r="BO128" s="49">
        <f t="shared" si="109"/>
        <v>1405.0624153548642</v>
      </c>
      <c r="BP128" s="49">
        <f t="shared" si="110"/>
        <v>47205.062415354863</v>
      </c>
      <c r="BQ128" s="44">
        <f t="shared" si="111"/>
        <v>-0.27791395490182735</v>
      </c>
      <c r="BS128" s="49">
        <f t="shared" si="112"/>
        <v>65373.181957749926</v>
      </c>
      <c r="BT128" s="49">
        <f t="shared" si="88"/>
        <v>40.659999999999997</v>
      </c>
      <c r="BU128" s="49">
        <f t="shared" si="89"/>
        <v>24.299999</v>
      </c>
      <c r="BV128" s="49">
        <f t="shared" si="113"/>
        <v>-3474.4138740243898</v>
      </c>
      <c r="BW128" s="18">
        <f t="shared" si="114"/>
        <v>602</v>
      </c>
      <c r="BX128" s="19">
        <f t="shared" si="144"/>
        <v>0.86192660550458711</v>
      </c>
      <c r="BY128" s="49">
        <f t="shared" si="145"/>
        <v>-2994.6897565558843</v>
      </c>
      <c r="BZ128" s="19">
        <f t="shared" si="115"/>
        <v>0</v>
      </c>
      <c r="CA128" s="19">
        <f t="shared" si="116"/>
        <v>0</v>
      </c>
      <c r="CB128" s="19">
        <f t="shared" si="117"/>
        <v>0</v>
      </c>
      <c r="CC128" s="19">
        <f t="shared" si="118"/>
        <v>0</v>
      </c>
      <c r="CD128" s="19">
        <f t="shared" si="119"/>
        <v>0</v>
      </c>
      <c r="CE128" s="19">
        <f t="shared" si="120"/>
        <v>0</v>
      </c>
      <c r="CF128" s="49">
        <f t="shared" si="121"/>
        <v>0</v>
      </c>
      <c r="CG128" s="49">
        <f t="shared" si="122"/>
        <v>0</v>
      </c>
      <c r="CH128" s="49">
        <f t="shared" si="123"/>
        <v>0</v>
      </c>
      <c r="CI128" s="49">
        <f t="shared" si="124"/>
        <v>0</v>
      </c>
      <c r="CJ128" s="49">
        <f t="shared" si="125"/>
        <v>0</v>
      </c>
      <c r="CK128" s="49">
        <f t="shared" si="126"/>
        <v>0</v>
      </c>
    </row>
    <row r="129" spans="2:89" ht="12.75" customHeight="1" x14ac:dyDescent="0.2">
      <c r="B129" s="77">
        <v>39902</v>
      </c>
      <c r="C129" s="49">
        <v>42.099997999999999</v>
      </c>
      <c r="D129" s="49">
        <v>36.310001</v>
      </c>
      <c r="E129" s="49">
        <v>30.77</v>
      </c>
      <c r="F129" s="49">
        <v>38.240001999999997</v>
      </c>
      <c r="G129" s="49">
        <v>24.799999</v>
      </c>
      <c r="H129" s="49">
        <v>26.1</v>
      </c>
      <c r="J129" s="78">
        <f>IF(inter=Weekly_2,J128+$C$5,IF(inter=Bi_weekly_2,0,IF(inter=Monthly_2,0,IF(inter=Quarterly_2,0,IF(inter=Yearly_2,0,IF(inter=None_2,0,0))))))</f>
        <v>0</v>
      </c>
      <c r="K129" s="79">
        <f t="shared" si="127"/>
        <v>0</v>
      </c>
      <c r="L129" s="79">
        <f t="shared" si="128"/>
        <v>0</v>
      </c>
      <c r="M129" s="79">
        <f t="shared" si="129"/>
        <v>0</v>
      </c>
      <c r="N129" s="79">
        <f t="shared" si="130"/>
        <v>0</v>
      </c>
      <c r="O129" s="79">
        <f t="shared" si="131"/>
        <v>0</v>
      </c>
      <c r="P129" s="79">
        <f t="shared" si="132"/>
        <v>0</v>
      </c>
      <c r="Q129" s="79"/>
      <c r="R129" s="80">
        <f t="shared" si="90"/>
        <v>0</v>
      </c>
      <c r="S129" s="80">
        <f t="shared" si="91"/>
        <v>0</v>
      </c>
      <c r="T129" s="80">
        <f t="shared" si="92"/>
        <v>0</v>
      </c>
      <c r="U129" s="80">
        <f t="shared" si="93"/>
        <v>0</v>
      </c>
      <c r="V129" s="80">
        <f t="shared" si="94"/>
        <v>0</v>
      </c>
      <c r="W129" s="80">
        <f t="shared" si="95"/>
        <v>0</v>
      </c>
      <c r="X129" s="80">
        <f t="shared" si="146"/>
        <v>394.24495818986713</v>
      </c>
      <c r="Y129" s="80">
        <f t="shared" si="147"/>
        <v>130.55871547555785</v>
      </c>
      <c r="Z129" s="80">
        <f t="shared" si="148"/>
        <v>125.91065292096219</v>
      </c>
      <c r="AA129" s="80">
        <f t="shared" si="149"/>
        <v>89.9298687276371</v>
      </c>
      <c r="AB129" s="80">
        <f t="shared" si="150"/>
        <v>492.04984959174902</v>
      </c>
      <c r="AC129" s="80">
        <f t="shared" si="151"/>
        <v>282.71606101712183</v>
      </c>
      <c r="AD129" s="80"/>
      <c r="AE129" s="80"/>
      <c r="AF129" s="80"/>
      <c r="AG129" s="80"/>
      <c r="AH129" s="80"/>
      <c r="AI129" s="80"/>
      <c r="AJ129" s="45">
        <f t="shared" si="96"/>
        <v>0</v>
      </c>
      <c r="AK129" s="45">
        <f t="shared" si="97"/>
        <v>0</v>
      </c>
      <c r="AL129" s="45">
        <f t="shared" si="98"/>
        <v>0</v>
      </c>
      <c r="AM129" s="45">
        <f t="shared" si="99"/>
        <v>0</v>
      </c>
      <c r="AN129" s="45">
        <f t="shared" si="100"/>
        <v>0</v>
      </c>
      <c r="AO129" s="45">
        <f t="shared" si="101"/>
        <v>0</v>
      </c>
      <c r="AP129" s="80">
        <f t="shared" si="102"/>
        <v>0</v>
      </c>
      <c r="AQ129" s="80">
        <f t="shared" si="103"/>
        <v>0</v>
      </c>
      <c r="AR129" s="80">
        <f t="shared" si="104"/>
        <v>0</v>
      </c>
      <c r="AS129" s="80">
        <f t="shared" si="105"/>
        <v>0</v>
      </c>
      <c r="AT129" s="80">
        <f t="shared" si="106"/>
        <v>0</v>
      </c>
      <c r="AU129" s="80">
        <f t="shared" si="107"/>
        <v>0</v>
      </c>
      <c r="AV129" s="80">
        <f t="shared" si="152"/>
        <v>8.0558956281542038</v>
      </c>
      <c r="AW129" s="80">
        <f t="shared" si="153"/>
        <v>4.434904681386274</v>
      </c>
      <c r="AX129" s="80">
        <f t="shared" si="154"/>
        <v>3.7823684592038607</v>
      </c>
      <c r="AY129" s="80">
        <f t="shared" si="155"/>
        <v>2.8952575130302551</v>
      </c>
      <c r="AZ129" s="80">
        <f t="shared" si="156"/>
        <v>16.7503044925596</v>
      </c>
      <c r="BA129" s="80">
        <f t="shared" si="157"/>
        <v>13.122255280197196</v>
      </c>
      <c r="BB129" s="80">
        <f t="shared" si="133"/>
        <v>402.30085381802132</v>
      </c>
      <c r="BC129" s="80">
        <f t="shared" si="134"/>
        <v>134.99362015694413</v>
      </c>
      <c r="BD129" s="80">
        <f t="shared" si="135"/>
        <v>129.69302138016604</v>
      </c>
      <c r="BE129" s="80">
        <f t="shared" si="136"/>
        <v>92.825126240667359</v>
      </c>
      <c r="BF129" s="80">
        <f t="shared" si="137"/>
        <v>508.80015408430864</v>
      </c>
      <c r="BG129" s="80">
        <f t="shared" si="138"/>
        <v>295.83831629731901</v>
      </c>
      <c r="BH129" s="49">
        <f t="shared" si="139"/>
        <v>0</v>
      </c>
      <c r="BI129" s="79">
        <f t="shared" si="140"/>
        <v>-65373.181957749926</v>
      </c>
      <c r="BJ129" s="79">
        <f t="shared" si="108"/>
        <v>48233.213161534703</v>
      </c>
      <c r="BK129" s="44">
        <f t="shared" si="141"/>
        <v>-0.26218654627049709</v>
      </c>
      <c r="BL129" s="79">
        <f t="shared" si="158"/>
        <v>1743.6091789516711</v>
      </c>
      <c r="BM129" s="49">
        <f t="shared" si="142"/>
        <v>49976.822340486375</v>
      </c>
      <c r="BN129" s="44">
        <f t="shared" si="143"/>
        <v>-0.23551491844490713</v>
      </c>
      <c r="BO129" s="49">
        <f t="shared" si="109"/>
        <v>1485.1811113063561</v>
      </c>
      <c r="BP129" s="49">
        <f t="shared" si="110"/>
        <v>49718.394272841062</v>
      </c>
      <c r="BQ129" s="44">
        <f t="shared" si="111"/>
        <v>-0.23946803897393898</v>
      </c>
      <c r="BS129" s="49">
        <f t="shared" si="112"/>
        <v>65373.181957749926</v>
      </c>
      <c r="BT129" s="49">
        <f t="shared" si="88"/>
        <v>42.099997999999999</v>
      </c>
      <c r="BU129" s="49">
        <f t="shared" si="89"/>
        <v>26.1</v>
      </c>
      <c r="BV129" s="49">
        <f t="shared" si="113"/>
        <v>0</v>
      </c>
      <c r="BW129" s="18">
        <f t="shared" si="114"/>
        <v>609</v>
      </c>
      <c r="BX129" s="19">
        <f t="shared" si="144"/>
        <v>0.86032110091743119</v>
      </c>
      <c r="BY129" s="49">
        <f t="shared" si="145"/>
        <v>0</v>
      </c>
      <c r="BZ129" s="19">
        <f t="shared" si="115"/>
        <v>0</v>
      </c>
      <c r="CA129" s="19">
        <f t="shared" si="116"/>
        <v>0</v>
      </c>
      <c r="CB129" s="19">
        <f t="shared" si="117"/>
        <v>0</v>
      </c>
      <c r="CC129" s="19">
        <f t="shared" si="118"/>
        <v>0</v>
      </c>
      <c r="CD129" s="19">
        <f t="shared" si="119"/>
        <v>0</v>
      </c>
      <c r="CE129" s="19">
        <f t="shared" si="120"/>
        <v>0</v>
      </c>
      <c r="CF129" s="49">
        <f t="shared" si="121"/>
        <v>0</v>
      </c>
      <c r="CG129" s="49">
        <f t="shared" si="122"/>
        <v>0</v>
      </c>
      <c r="CH129" s="49">
        <f t="shared" si="123"/>
        <v>0</v>
      </c>
      <c r="CI129" s="49">
        <f t="shared" si="124"/>
        <v>0</v>
      </c>
      <c r="CJ129" s="49">
        <f t="shared" si="125"/>
        <v>0</v>
      </c>
      <c r="CK129" s="49">
        <f t="shared" si="126"/>
        <v>0</v>
      </c>
    </row>
    <row r="130" spans="2:89" ht="12.75" customHeight="1" x14ac:dyDescent="0.2">
      <c r="B130" s="77">
        <v>39909</v>
      </c>
      <c r="C130" s="49">
        <v>42.869999</v>
      </c>
      <c r="D130" s="49">
        <v>37.130001</v>
      </c>
      <c r="E130" s="49">
        <v>31.639999</v>
      </c>
      <c r="F130" s="49">
        <v>39.279998999999997</v>
      </c>
      <c r="G130" s="49">
        <v>24.67</v>
      </c>
      <c r="H130" s="49">
        <v>26.77</v>
      </c>
      <c r="J130" s="78">
        <f>IF(inter=Weekly_2,J129+$C$5,IF(inter=Bi_weekly_2,J128+$C$5,IF(inter=Monthly_2,J126+$C$5,IF(inter=Quarterly_2,0,IF(inter=Yearly_2,0,IF(inter=None_2,0,0))))))</f>
        <v>46400</v>
      </c>
      <c r="K130" s="79">
        <f t="shared" si="127"/>
        <v>661.28096335464761</v>
      </c>
      <c r="L130" s="79">
        <f t="shared" si="128"/>
        <v>207.64523616617862</v>
      </c>
      <c r="M130" s="79">
        <f t="shared" si="129"/>
        <v>271.81293250859062</v>
      </c>
      <c r="N130" s="79">
        <f t="shared" si="130"/>
        <v>284.44515369171586</v>
      </c>
      <c r="O130" s="79">
        <f t="shared" si="131"/>
        <v>538.86978942844871</v>
      </c>
      <c r="P130" s="79">
        <f t="shared" si="132"/>
        <v>608.30895342835174</v>
      </c>
      <c r="Q130" s="79"/>
      <c r="R130" s="80">
        <f t="shared" si="90"/>
        <v>-15.425261926286669</v>
      </c>
      <c r="S130" s="80">
        <f t="shared" si="91"/>
        <v>-5.5923843407970448</v>
      </c>
      <c r="T130" s="80">
        <f t="shared" si="92"/>
        <v>-8.5908009197026409</v>
      </c>
      <c r="U130" s="80">
        <f t="shared" si="93"/>
        <v>-7.2414755838388869</v>
      </c>
      <c r="V130" s="80">
        <f t="shared" si="94"/>
        <v>-21.843120771319363</v>
      </c>
      <c r="W130" s="80">
        <f t="shared" si="95"/>
        <v>-22.723532066804324</v>
      </c>
      <c r="X130" s="80">
        <f t="shared" si="146"/>
        <v>378.81969626358045</v>
      </c>
      <c r="Y130" s="80">
        <f t="shared" si="147"/>
        <v>124.96633113476081</v>
      </c>
      <c r="Z130" s="80">
        <f t="shared" si="148"/>
        <v>117.31985200125955</v>
      </c>
      <c r="AA130" s="80">
        <f t="shared" si="149"/>
        <v>82.688393143798208</v>
      </c>
      <c r="AB130" s="80">
        <f t="shared" si="150"/>
        <v>470.20672882042965</v>
      </c>
      <c r="AC130" s="80">
        <f t="shared" si="151"/>
        <v>259.99252895031748</v>
      </c>
      <c r="AD130" s="80"/>
      <c r="AE130" s="80"/>
      <c r="AF130" s="80"/>
      <c r="AG130" s="80"/>
      <c r="AH130" s="80"/>
      <c r="AI130" s="80"/>
      <c r="AJ130" s="45">
        <f t="shared" si="96"/>
        <v>0</v>
      </c>
      <c r="AK130" s="45">
        <f t="shared" si="97"/>
        <v>0</v>
      </c>
      <c r="AL130" s="45">
        <f t="shared" si="98"/>
        <v>0</v>
      </c>
      <c r="AM130" s="45">
        <f t="shared" si="99"/>
        <v>0</v>
      </c>
      <c r="AN130" s="45">
        <f t="shared" si="100"/>
        <v>0</v>
      </c>
      <c r="AO130" s="45">
        <f t="shared" si="101"/>
        <v>0</v>
      </c>
      <c r="AP130" s="80">
        <f t="shared" si="102"/>
        <v>0</v>
      </c>
      <c r="AQ130" s="80">
        <f t="shared" si="103"/>
        <v>0</v>
      </c>
      <c r="AR130" s="80">
        <f t="shared" si="104"/>
        <v>0</v>
      </c>
      <c r="AS130" s="80">
        <f t="shared" si="105"/>
        <v>0</v>
      </c>
      <c r="AT130" s="80">
        <f t="shared" si="106"/>
        <v>0</v>
      </c>
      <c r="AU130" s="80">
        <f t="shared" si="107"/>
        <v>0</v>
      </c>
      <c r="AV130" s="80">
        <f t="shared" si="152"/>
        <v>8.0558956281542038</v>
      </c>
      <c r="AW130" s="80">
        <f t="shared" si="153"/>
        <v>4.434904681386274</v>
      </c>
      <c r="AX130" s="80">
        <f t="shared" si="154"/>
        <v>3.7823684592038607</v>
      </c>
      <c r="AY130" s="80">
        <f t="shared" si="155"/>
        <v>2.8952575130302551</v>
      </c>
      <c r="AZ130" s="80">
        <f t="shared" si="156"/>
        <v>16.7503044925596</v>
      </c>
      <c r="BA130" s="80">
        <f t="shared" si="157"/>
        <v>13.122255280197196</v>
      </c>
      <c r="BB130" s="80">
        <f t="shared" si="133"/>
        <v>386.87559189173464</v>
      </c>
      <c r="BC130" s="80">
        <f t="shared" si="134"/>
        <v>129.40123581614708</v>
      </c>
      <c r="BD130" s="80">
        <f t="shared" si="135"/>
        <v>121.10222046046341</v>
      </c>
      <c r="BE130" s="80">
        <f t="shared" si="136"/>
        <v>85.583650656828468</v>
      </c>
      <c r="BF130" s="80">
        <f t="shared" si="137"/>
        <v>486.95703331298927</v>
      </c>
      <c r="BG130" s="80">
        <f t="shared" si="138"/>
        <v>273.11478423051466</v>
      </c>
      <c r="BH130" s="49">
        <f t="shared" si="139"/>
        <v>0</v>
      </c>
      <c r="BI130" s="79">
        <f t="shared" si="140"/>
        <v>-62800.81892917199</v>
      </c>
      <c r="BJ130" s="79">
        <f t="shared" si="108"/>
        <v>46400</v>
      </c>
      <c r="BK130" s="44">
        <f t="shared" si="141"/>
        <v>-0.2611561315413603</v>
      </c>
      <c r="BL130" s="79">
        <f t="shared" si="158"/>
        <v>1743.6091789516711</v>
      </c>
      <c r="BM130" s="49">
        <f t="shared" si="142"/>
        <v>48143.609178951672</v>
      </c>
      <c r="BN130" s="44">
        <f t="shared" si="143"/>
        <v>-0.233392016221174</v>
      </c>
      <c r="BO130" s="49">
        <f t="shared" si="109"/>
        <v>1507.9368849435891</v>
      </c>
      <c r="BP130" s="49">
        <f t="shared" si="110"/>
        <v>47907.936884943585</v>
      </c>
      <c r="BQ130" s="44">
        <f t="shared" si="111"/>
        <v>-0.23714471082017086</v>
      </c>
      <c r="BS130" s="49">
        <f t="shared" si="112"/>
        <v>62800.81892917199</v>
      </c>
      <c r="BT130" s="49">
        <f t="shared" si="88"/>
        <v>42.869999</v>
      </c>
      <c r="BU130" s="49">
        <f t="shared" si="89"/>
        <v>26.77</v>
      </c>
      <c r="BV130" s="49">
        <f t="shared" si="113"/>
        <v>-2572.3630285779332</v>
      </c>
      <c r="BW130" s="18">
        <f t="shared" si="114"/>
        <v>616</v>
      </c>
      <c r="BX130" s="19">
        <f t="shared" si="144"/>
        <v>0.85871559633027528</v>
      </c>
      <c r="BY130" s="49">
        <f t="shared" si="145"/>
        <v>-2208.9282520632528</v>
      </c>
      <c r="BZ130" s="19">
        <f t="shared" si="115"/>
        <v>0</v>
      </c>
      <c r="CA130" s="19">
        <f t="shared" si="116"/>
        <v>0</v>
      </c>
      <c r="CB130" s="19">
        <f t="shared" si="117"/>
        <v>0</v>
      </c>
      <c r="CC130" s="19">
        <f t="shared" si="118"/>
        <v>0</v>
      </c>
      <c r="CD130" s="19">
        <f t="shared" si="119"/>
        <v>0</v>
      </c>
      <c r="CE130" s="19">
        <f t="shared" si="120"/>
        <v>0</v>
      </c>
      <c r="CF130" s="49">
        <f t="shared" si="121"/>
        <v>0</v>
      </c>
      <c r="CG130" s="49">
        <f t="shared" si="122"/>
        <v>0</v>
      </c>
      <c r="CH130" s="49">
        <f t="shared" si="123"/>
        <v>0</v>
      </c>
      <c r="CI130" s="49">
        <f t="shared" si="124"/>
        <v>0</v>
      </c>
      <c r="CJ130" s="49">
        <f t="shared" si="125"/>
        <v>0</v>
      </c>
      <c r="CK130" s="49">
        <f t="shared" si="126"/>
        <v>0</v>
      </c>
    </row>
    <row r="131" spans="2:89" ht="12.75" customHeight="1" x14ac:dyDescent="0.2">
      <c r="B131" s="77">
        <v>39916</v>
      </c>
      <c r="C131" s="49">
        <v>43.599997999999999</v>
      </c>
      <c r="D131" s="49">
        <v>37.840000000000003</v>
      </c>
      <c r="E131" s="49">
        <v>32.759998000000003</v>
      </c>
      <c r="F131" s="49">
        <v>40.790000999999997</v>
      </c>
      <c r="G131" s="49">
        <v>25.17</v>
      </c>
      <c r="H131" s="49">
        <v>27.01</v>
      </c>
      <c r="J131" s="78">
        <f>IF(inter=Weekly_2,J130+$C$5,IF(inter=Bi_weekly_2,0,IF(inter=Monthly_2,0,IF(inter=Quarterly_2,0,IF(inter=Yearly_2,0,IF(inter=None_2,0,0))))))</f>
        <v>0</v>
      </c>
      <c r="K131" s="79">
        <f t="shared" si="127"/>
        <v>0</v>
      </c>
      <c r="L131" s="79">
        <f t="shared" si="128"/>
        <v>0</v>
      </c>
      <c r="M131" s="79">
        <f t="shared" si="129"/>
        <v>0</v>
      </c>
      <c r="N131" s="79">
        <f t="shared" si="130"/>
        <v>0</v>
      </c>
      <c r="O131" s="79">
        <f t="shared" si="131"/>
        <v>0</v>
      </c>
      <c r="P131" s="79">
        <f t="shared" si="132"/>
        <v>0</v>
      </c>
      <c r="Q131" s="79"/>
      <c r="R131" s="80">
        <f t="shared" si="90"/>
        <v>0</v>
      </c>
      <c r="S131" s="80">
        <f t="shared" si="91"/>
        <v>0</v>
      </c>
      <c r="T131" s="80">
        <f t="shared" si="92"/>
        <v>0</v>
      </c>
      <c r="U131" s="80">
        <f t="shared" si="93"/>
        <v>0</v>
      </c>
      <c r="V131" s="80">
        <f t="shared" si="94"/>
        <v>0</v>
      </c>
      <c r="W131" s="80">
        <f t="shared" si="95"/>
        <v>0</v>
      </c>
      <c r="X131" s="80">
        <f t="shared" si="146"/>
        <v>378.81969626358045</v>
      </c>
      <c r="Y131" s="80">
        <f t="shared" si="147"/>
        <v>124.96633113476081</v>
      </c>
      <c r="Z131" s="80">
        <f t="shared" si="148"/>
        <v>117.31985200125955</v>
      </c>
      <c r="AA131" s="80">
        <f t="shared" si="149"/>
        <v>82.688393143798208</v>
      </c>
      <c r="AB131" s="80">
        <f t="shared" si="150"/>
        <v>470.20672882042965</v>
      </c>
      <c r="AC131" s="80">
        <f t="shared" si="151"/>
        <v>259.99252895031748</v>
      </c>
      <c r="AD131" s="80"/>
      <c r="AE131" s="80"/>
      <c r="AF131" s="80"/>
      <c r="AG131" s="80"/>
      <c r="AH131" s="80"/>
      <c r="AI131" s="80"/>
      <c r="AJ131" s="45">
        <f t="shared" si="96"/>
        <v>0</v>
      </c>
      <c r="AK131" s="45">
        <f t="shared" si="97"/>
        <v>0</v>
      </c>
      <c r="AL131" s="45">
        <f t="shared" si="98"/>
        <v>0</v>
      </c>
      <c r="AM131" s="45">
        <f t="shared" si="99"/>
        <v>0</v>
      </c>
      <c r="AN131" s="45">
        <f t="shared" si="100"/>
        <v>0</v>
      </c>
      <c r="AO131" s="45">
        <f t="shared" si="101"/>
        <v>0</v>
      </c>
      <c r="AP131" s="80">
        <f t="shared" si="102"/>
        <v>0</v>
      </c>
      <c r="AQ131" s="80">
        <f t="shared" si="103"/>
        <v>0</v>
      </c>
      <c r="AR131" s="80">
        <f t="shared" si="104"/>
        <v>0</v>
      </c>
      <c r="AS131" s="80">
        <f t="shared" si="105"/>
        <v>0</v>
      </c>
      <c r="AT131" s="80">
        <f t="shared" si="106"/>
        <v>0</v>
      </c>
      <c r="AU131" s="80">
        <f t="shared" si="107"/>
        <v>0</v>
      </c>
      <c r="AV131" s="80">
        <f t="shared" si="152"/>
        <v>8.0558956281542038</v>
      </c>
      <c r="AW131" s="80">
        <f t="shared" si="153"/>
        <v>4.434904681386274</v>
      </c>
      <c r="AX131" s="80">
        <f t="shared" si="154"/>
        <v>3.7823684592038607</v>
      </c>
      <c r="AY131" s="80">
        <f t="shared" si="155"/>
        <v>2.8952575130302551</v>
      </c>
      <c r="AZ131" s="80">
        <f t="shared" si="156"/>
        <v>16.7503044925596</v>
      </c>
      <c r="BA131" s="80">
        <f t="shared" si="157"/>
        <v>13.122255280197196</v>
      </c>
      <c r="BB131" s="80">
        <f t="shared" si="133"/>
        <v>386.87559189173464</v>
      </c>
      <c r="BC131" s="80">
        <f t="shared" si="134"/>
        <v>129.40123581614708</v>
      </c>
      <c r="BD131" s="80">
        <f t="shared" si="135"/>
        <v>121.10222046046341</v>
      </c>
      <c r="BE131" s="80">
        <f t="shared" si="136"/>
        <v>85.583650656828468</v>
      </c>
      <c r="BF131" s="80">
        <f t="shared" si="137"/>
        <v>486.95703331298927</v>
      </c>
      <c r="BG131" s="80">
        <f t="shared" si="138"/>
        <v>273.11478423051466</v>
      </c>
      <c r="BH131" s="49">
        <f t="shared" si="139"/>
        <v>0</v>
      </c>
      <c r="BI131" s="79">
        <f t="shared" si="140"/>
        <v>-62800.81892917199</v>
      </c>
      <c r="BJ131" s="79">
        <f t="shared" si="108"/>
        <v>47319.023296895837</v>
      </c>
      <c r="BK131" s="44">
        <f t="shared" si="141"/>
        <v>-0.24652219344045223</v>
      </c>
      <c r="BL131" s="79">
        <f t="shared" si="158"/>
        <v>1743.6091789516711</v>
      </c>
      <c r="BM131" s="49">
        <f t="shared" si="142"/>
        <v>49062.632475847509</v>
      </c>
      <c r="BN131" s="44">
        <f t="shared" si="143"/>
        <v>-0.21875807812026593</v>
      </c>
      <c r="BO131" s="49">
        <f t="shared" si="109"/>
        <v>1537.0990456257832</v>
      </c>
      <c r="BP131" s="49">
        <f t="shared" si="110"/>
        <v>48856.122342521616</v>
      </c>
      <c r="BQ131" s="44">
        <f t="shared" si="111"/>
        <v>-0.22204641315868001</v>
      </c>
      <c r="BS131" s="49">
        <f t="shared" si="112"/>
        <v>62800.81892917199</v>
      </c>
      <c r="BT131" s="49">
        <f t="shared" si="88"/>
        <v>43.599997999999999</v>
      </c>
      <c r="BU131" s="49">
        <f t="shared" si="89"/>
        <v>27.01</v>
      </c>
      <c r="BV131" s="49">
        <f t="shared" si="113"/>
        <v>0</v>
      </c>
      <c r="BW131" s="18">
        <f t="shared" si="114"/>
        <v>623</v>
      </c>
      <c r="BX131" s="19">
        <f t="shared" si="144"/>
        <v>0.85711009174311925</v>
      </c>
      <c r="BY131" s="49">
        <f t="shared" si="145"/>
        <v>0</v>
      </c>
      <c r="BZ131" s="19">
        <f t="shared" si="115"/>
        <v>0</v>
      </c>
      <c r="CA131" s="19">
        <f t="shared" si="116"/>
        <v>0</v>
      </c>
      <c r="CB131" s="19">
        <f t="shared" si="117"/>
        <v>0</v>
      </c>
      <c r="CC131" s="19">
        <f t="shared" si="118"/>
        <v>0</v>
      </c>
      <c r="CD131" s="19">
        <f t="shared" si="119"/>
        <v>0</v>
      </c>
      <c r="CE131" s="19">
        <f t="shared" si="120"/>
        <v>0</v>
      </c>
      <c r="CF131" s="49">
        <f t="shared" si="121"/>
        <v>0</v>
      </c>
      <c r="CG131" s="49">
        <f t="shared" si="122"/>
        <v>0</v>
      </c>
      <c r="CH131" s="49">
        <f t="shared" si="123"/>
        <v>0</v>
      </c>
      <c r="CI131" s="49">
        <f t="shared" si="124"/>
        <v>0</v>
      </c>
      <c r="CJ131" s="49">
        <f t="shared" si="125"/>
        <v>0</v>
      </c>
      <c r="CK131" s="49">
        <f t="shared" si="126"/>
        <v>0</v>
      </c>
    </row>
    <row r="132" spans="2:89" ht="12.75" customHeight="1" x14ac:dyDescent="0.2">
      <c r="B132" s="77">
        <v>39923</v>
      </c>
      <c r="C132" s="49">
        <v>43.450001</v>
      </c>
      <c r="D132" s="49">
        <v>37.389999000000003</v>
      </c>
      <c r="E132" s="49">
        <v>32.82</v>
      </c>
      <c r="F132" s="49">
        <v>40.830002</v>
      </c>
      <c r="G132" s="49">
        <v>25.49</v>
      </c>
      <c r="H132" s="49">
        <v>27.139999</v>
      </c>
      <c r="J132" s="78">
        <f>IF(inter=Weekly_2,J131+$C$5,IF(inter=Bi_weekly_2,J130+$C$5,IF(inter=Monthly_2,0,IF(inter=Quarterly_2,0,IF(inter=Yearly_2,0,IF(inter=None_2,0,0))))))</f>
        <v>47000</v>
      </c>
      <c r="K132" s="79">
        <f t="shared" si="127"/>
        <v>9.7161814722676354</v>
      </c>
      <c r="L132" s="79">
        <f t="shared" si="128"/>
        <v>-27.509003837623823</v>
      </c>
      <c r="M132" s="79">
        <f t="shared" si="129"/>
        <v>90.437542681338527</v>
      </c>
      <c r="N132" s="79">
        <f t="shared" si="130"/>
        <v>86.167257438066827</v>
      </c>
      <c r="O132" s="79">
        <f t="shared" si="131"/>
        <v>235.56951763275174</v>
      </c>
      <c r="P132" s="79">
        <f t="shared" si="132"/>
        <v>6.196975719087277</v>
      </c>
      <c r="Q132" s="79"/>
      <c r="R132" s="80">
        <f t="shared" si="90"/>
        <v>-0.22361752010702221</v>
      </c>
      <c r="S132" s="80">
        <f t="shared" si="91"/>
        <v>0.73573160132001658</v>
      </c>
      <c r="T132" s="80">
        <f t="shared" si="92"/>
        <v>-2.7555619342272557</v>
      </c>
      <c r="U132" s="80">
        <f t="shared" si="93"/>
        <v>-2.1103907229313097</v>
      </c>
      <c r="V132" s="80">
        <f t="shared" si="94"/>
        <v>-9.241644473626982</v>
      </c>
      <c r="W132" s="80">
        <f t="shared" si="95"/>
        <v>-0.22833367529185528</v>
      </c>
      <c r="X132" s="80">
        <f t="shared" si="146"/>
        <v>378.59607874347341</v>
      </c>
      <c r="Y132" s="80">
        <f t="shared" si="147"/>
        <v>125.70206273608082</v>
      </c>
      <c r="Z132" s="80">
        <f t="shared" si="148"/>
        <v>114.56429006703229</v>
      </c>
      <c r="AA132" s="80">
        <f t="shared" si="149"/>
        <v>80.578002420866895</v>
      </c>
      <c r="AB132" s="80">
        <f t="shared" si="150"/>
        <v>460.96508434680266</v>
      </c>
      <c r="AC132" s="80">
        <f t="shared" si="151"/>
        <v>259.7641952750256</v>
      </c>
      <c r="AD132" s="80"/>
      <c r="AE132" s="80"/>
      <c r="AF132" s="80"/>
      <c r="AG132" s="80"/>
      <c r="AH132" s="80"/>
      <c r="AI132" s="80"/>
      <c r="AJ132" s="45">
        <f t="shared" si="96"/>
        <v>0</v>
      </c>
      <c r="AK132" s="45">
        <f t="shared" si="97"/>
        <v>0</v>
      </c>
      <c r="AL132" s="45">
        <f t="shared" si="98"/>
        <v>0</v>
      </c>
      <c r="AM132" s="45">
        <f t="shared" si="99"/>
        <v>0</v>
      </c>
      <c r="AN132" s="45">
        <f t="shared" si="100"/>
        <v>0</v>
      </c>
      <c r="AO132" s="45">
        <f t="shared" si="101"/>
        <v>0</v>
      </c>
      <c r="AP132" s="80">
        <f t="shared" si="102"/>
        <v>0</v>
      </c>
      <c r="AQ132" s="80">
        <f t="shared" si="103"/>
        <v>0</v>
      </c>
      <c r="AR132" s="80">
        <f t="shared" si="104"/>
        <v>0</v>
      </c>
      <c r="AS132" s="80">
        <f t="shared" si="105"/>
        <v>0</v>
      </c>
      <c r="AT132" s="80">
        <f t="shared" si="106"/>
        <v>0</v>
      </c>
      <c r="AU132" s="80">
        <f t="shared" si="107"/>
        <v>0</v>
      </c>
      <c r="AV132" s="80">
        <f t="shared" si="152"/>
        <v>8.0558956281542038</v>
      </c>
      <c r="AW132" s="80">
        <f t="shared" si="153"/>
        <v>4.434904681386274</v>
      </c>
      <c r="AX132" s="80">
        <f t="shared" si="154"/>
        <v>3.7823684592038607</v>
      </c>
      <c r="AY132" s="80">
        <f t="shared" si="155"/>
        <v>2.8952575130302551</v>
      </c>
      <c r="AZ132" s="80">
        <f t="shared" si="156"/>
        <v>16.7503044925596</v>
      </c>
      <c r="BA132" s="80">
        <f t="shared" si="157"/>
        <v>13.122255280197196</v>
      </c>
      <c r="BB132" s="80">
        <f t="shared" si="133"/>
        <v>386.6519743716276</v>
      </c>
      <c r="BC132" s="80">
        <f t="shared" si="134"/>
        <v>130.1369674174671</v>
      </c>
      <c r="BD132" s="80">
        <f t="shared" si="135"/>
        <v>118.34665852623615</v>
      </c>
      <c r="BE132" s="80">
        <f t="shared" si="136"/>
        <v>83.473259933897154</v>
      </c>
      <c r="BF132" s="80">
        <f t="shared" si="137"/>
        <v>477.71538883936228</v>
      </c>
      <c r="BG132" s="80">
        <f t="shared" si="138"/>
        <v>272.88645055522278</v>
      </c>
      <c r="BH132" s="49">
        <f t="shared" si="139"/>
        <v>0</v>
      </c>
      <c r="BI132" s="79">
        <f t="shared" si="140"/>
        <v>-62400.24045806611</v>
      </c>
      <c r="BJ132" s="79">
        <f t="shared" si="108"/>
        <v>47000</v>
      </c>
      <c r="BK132" s="44">
        <f t="shared" si="141"/>
        <v>-0.24679777425561844</v>
      </c>
      <c r="BL132" s="79">
        <f t="shared" si="158"/>
        <v>1743.6091789516711</v>
      </c>
      <c r="BM132" s="49">
        <f t="shared" si="142"/>
        <v>48743.609178951672</v>
      </c>
      <c r="BN132" s="44">
        <f t="shared" si="143"/>
        <v>-0.2188554271404114</v>
      </c>
      <c r="BO132" s="49">
        <f t="shared" si="109"/>
        <v>1541.3037142775759</v>
      </c>
      <c r="BP132" s="49">
        <f t="shared" si="110"/>
        <v>48541.303714277572</v>
      </c>
      <c r="BQ132" s="44">
        <f t="shared" si="111"/>
        <v>-0.2220974894015344</v>
      </c>
      <c r="BS132" s="49">
        <f t="shared" si="112"/>
        <v>62400.24045806611</v>
      </c>
      <c r="BT132" s="49">
        <f t="shared" si="88"/>
        <v>43.450001</v>
      </c>
      <c r="BU132" s="49">
        <f t="shared" si="89"/>
        <v>27.139999</v>
      </c>
      <c r="BV132" s="49">
        <f t="shared" si="113"/>
        <v>-400.57847110588818</v>
      </c>
      <c r="BW132" s="18">
        <f t="shared" si="114"/>
        <v>630</v>
      </c>
      <c r="BX132" s="19">
        <f t="shared" si="144"/>
        <v>0.85550458715596334</v>
      </c>
      <c r="BY132" s="49">
        <f t="shared" si="145"/>
        <v>-342.69671954700988</v>
      </c>
      <c r="BZ132" s="19">
        <f t="shared" si="115"/>
        <v>0</v>
      </c>
      <c r="CA132" s="19">
        <f t="shared" si="116"/>
        <v>0.73573160132001658</v>
      </c>
      <c r="CB132" s="19">
        <f t="shared" si="117"/>
        <v>0</v>
      </c>
      <c r="CC132" s="19">
        <f t="shared" si="118"/>
        <v>0</v>
      </c>
      <c r="CD132" s="19">
        <f t="shared" si="119"/>
        <v>0</v>
      </c>
      <c r="CE132" s="19">
        <f t="shared" si="120"/>
        <v>0</v>
      </c>
      <c r="CF132" s="49">
        <f t="shared" si="121"/>
        <v>0</v>
      </c>
      <c r="CG132" s="49">
        <f t="shared" si="122"/>
        <v>-27.509003837623823</v>
      </c>
      <c r="CH132" s="49">
        <f t="shared" si="123"/>
        <v>0</v>
      </c>
      <c r="CI132" s="49">
        <f t="shared" si="124"/>
        <v>0</v>
      </c>
      <c r="CJ132" s="49">
        <f t="shared" si="125"/>
        <v>0</v>
      </c>
      <c r="CK132" s="49">
        <f t="shared" si="126"/>
        <v>0</v>
      </c>
    </row>
    <row r="133" spans="2:89" ht="12.75" customHeight="1" x14ac:dyDescent="0.2">
      <c r="B133" s="77">
        <v>39930</v>
      </c>
      <c r="C133" s="49">
        <v>44.18</v>
      </c>
      <c r="D133" s="49">
        <v>37.830002</v>
      </c>
      <c r="E133" s="49">
        <v>33</v>
      </c>
      <c r="F133" s="49">
        <v>41.740001999999997</v>
      </c>
      <c r="G133" s="49">
        <v>26.09</v>
      </c>
      <c r="H133" s="49">
        <v>28.17</v>
      </c>
      <c r="J133" s="78">
        <f>IF(inter=Weekly_2,J132+$C$5,IF(inter=Bi_weekly_2,0,IF(inter=Monthly_2,0,IF(inter=Quarterly_2,J120+$C$5,IF(inter=Yearly_2,0,IF(inter=None_2,0,0))))))</f>
        <v>0</v>
      </c>
      <c r="K133" s="79">
        <f t="shared" si="127"/>
        <v>0</v>
      </c>
      <c r="L133" s="79">
        <f t="shared" si="128"/>
        <v>0</v>
      </c>
      <c r="M133" s="79">
        <f t="shared" si="129"/>
        <v>0</v>
      </c>
      <c r="N133" s="79">
        <f t="shared" si="130"/>
        <v>0</v>
      </c>
      <c r="O133" s="79">
        <f t="shared" si="131"/>
        <v>0</v>
      </c>
      <c r="P133" s="79">
        <f t="shared" si="132"/>
        <v>0</v>
      </c>
      <c r="Q133" s="79"/>
      <c r="R133" s="80">
        <f t="shared" si="90"/>
        <v>0</v>
      </c>
      <c r="S133" s="80">
        <f t="shared" si="91"/>
        <v>0</v>
      </c>
      <c r="T133" s="80">
        <f t="shared" si="92"/>
        <v>0</v>
      </c>
      <c r="U133" s="80">
        <f t="shared" si="93"/>
        <v>0</v>
      </c>
      <c r="V133" s="80">
        <f t="shared" si="94"/>
        <v>0</v>
      </c>
      <c r="W133" s="80">
        <f t="shared" si="95"/>
        <v>0</v>
      </c>
      <c r="X133" s="80">
        <f t="shared" si="146"/>
        <v>378.59607874347341</v>
      </c>
      <c r="Y133" s="80">
        <f t="shared" si="147"/>
        <v>125.70206273608082</v>
      </c>
      <c r="Z133" s="80">
        <f t="shared" si="148"/>
        <v>114.56429006703229</v>
      </c>
      <c r="AA133" s="80">
        <f t="shared" si="149"/>
        <v>80.578002420866895</v>
      </c>
      <c r="AB133" s="80">
        <f t="shared" si="150"/>
        <v>460.96508434680266</v>
      </c>
      <c r="AC133" s="80">
        <f t="shared" si="151"/>
        <v>259.7641952750256</v>
      </c>
      <c r="AD133" s="80"/>
      <c r="AE133" s="80"/>
      <c r="AF133" s="80"/>
      <c r="AG133" s="80"/>
      <c r="AH133" s="80"/>
      <c r="AI133" s="80"/>
      <c r="AJ133" s="45">
        <f t="shared" si="96"/>
        <v>0</v>
      </c>
      <c r="AK133" s="45">
        <f t="shared" si="97"/>
        <v>0</v>
      </c>
      <c r="AL133" s="45">
        <f t="shared" si="98"/>
        <v>0</v>
      </c>
      <c r="AM133" s="45">
        <f t="shared" si="99"/>
        <v>0</v>
      </c>
      <c r="AN133" s="45">
        <f t="shared" si="100"/>
        <v>0</v>
      </c>
      <c r="AO133" s="45">
        <f t="shared" si="101"/>
        <v>0</v>
      </c>
      <c r="AP133" s="80">
        <f t="shared" si="102"/>
        <v>0</v>
      </c>
      <c r="AQ133" s="80">
        <f t="shared" si="103"/>
        <v>0</v>
      </c>
      <c r="AR133" s="80">
        <f t="shared" si="104"/>
        <v>0</v>
      </c>
      <c r="AS133" s="80">
        <f t="shared" si="105"/>
        <v>0</v>
      </c>
      <c r="AT133" s="80">
        <f t="shared" si="106"/>
        <v>0</v>
      </c>
      <c r="AU133" s="80">
        <f t="shared" si="107"/>
        <v>0</v>
      </c>
      <c r="AV133" s="80">
        <f t="shared" si="152"/>
        <v>8.0558956281542038</v>
      </c>
      <c r="AW133" s="80">
        <f t="shared" si="153"/>
        <v>4.434904681386274</v>
      </c>
      <c r="AX133" s="80">
        <f t="shared" si="154"/>
        <v>3.7823684592038607</v>
      </c>
      <c r="AY133" s="80">
        <f t="shared" si="155"/>
        <v>2.8952575130302551</v>
      </c>
      <c r="AZ133" s="80">
        <f t="shared" si="156"/>
        <v>16.7503044925596</v>
      </c>
      <c r="BA133" s="80">
        <f t="shared" si="157"/>
        <v>13.122255280197196</v>
      </c>
      <c r="BB133" s="80">
        <f t="shared" si="133"/>
        <v>386.6519743716276</v>
      </c>
      <c r="BC133" s="80">
        <f t="shared" si="134"/>
        <v>130.1369674174671</v>
      </c>
      <c r="BD133" s="80">
        <f t="shared" si="135"/>
        <v>118.34665852623615</v>
      </c>
      <c r="BE133" s="80">
        <f t="shared" si="136"/>
        <v>83.473259933897154</v>
      </c>
      <c r="BF133" s="80">
        <f t="shared" si="137"/>
        <v>477.71538883936228</v>
      </c>
      <c r="BG133" s="80">
        <f t="shared" si="138"/>
        <v>272.88645055522278</v>
      </c>
      <c r="BH133" s="49">
        <f t="shared" si="139"/>
        <v>0</v>
      </c>
      <c r="BI133" s="79">
        <f t="shared" si="140"/>
        <v>-62400.24045806611</v>
      </c>
      <c r="BJ133" s="79">
        <f t="shared" si="108"/>
        <v>47969.768029517327</v>
      </c>
      <c r="BK133" s="44">
        <f t="shared" si="141"/>
        <v>-0.23125667982395481</v>
      </c>
      <c r="BL133" s="79">
        <f t="shared" si="158"/>
        <v>1743.6091789516711</v>
      </c>
      <c r="BM133" s="49">
        <f t="shared" si="142"/>
        <v>49713.377208468999</v>
      </c>
      <c r="BN133" s="44">
        <f t="shared" si="143"/>
        <v>-0.20331433270874766</v>
      </c>
      <c r="BO133" s="49">
        <f t="shared" si="109"/>
        <v>1576.017510810665</v>
      </c>
      <c r="BP133" s="49">
        <f t="shared" si="110"/>
        <v>49545.785540327997</v>
      </c>
      <c r="BQ133" s="44">
        <f t="shared" si="111"/>
        <v>-0.20600008627172672</v>
      </c>
      <c r="BS133" s="49">
        <f t="shared" si="112"/>
        <v>62400.24045806611</v>
      </c>
      <c r="BT133" s="49">
        <f t="shared" si="88"/>
        <v>44.18</v>
      </c>
      <c r="BU133" s="49">
        <f t="shared" si="89"/>
        <v>28.17</v>
      </c>
      <c r="BV133" s="49">
        <f t="shared" si="113"/>
        <v>0</v>
      </c>
      <c r="BW133" s="18">
        <f t="shared" si="114"/>
        <v>637</v>
      </c>
      <c r="BX133" s="19">
        <f t="shared" si="144"/>
        <v>0.85389908256880731</v>
      </c>
      <c r="BY133" s="49">
        <f t="shared" si="145"/>
        <v>0</v>
      </c>
      <c r="BZ133" s="19">
        <f t="shared" si="115"/>
        <v>0</v>
      </c>
      <c r="CA133" s="19">
        <f t="shared" si="116"/>
        <v>0</v>
      </c>
      <c r="CB133" s="19">
        <f t="shared" si="117"/>
        <v>0</v>
      </c>
      <c r="CC133" s="19">
        <f t="shared" si="118"/>
        <v>0</v>
      </c>
      <c r="CD133" s="19">
        <f t="shared" si="119"/>
        <v>0</v>
      </c>
      <c r="CE133" s="19">
        <f t="shared" si="120"/>
        <v>0</v>
      </c>
      <c r="CF133" s="49">
        <f t="shared" si="121"/>
        <v>0</v>
      </c>
      <c r="CG133" s="49">
        <f t="shared" si="122"/>
        <v>0</v>
      </c>
      <c r="CH133" s="49">
        <f t="shared" si="123"/>
        <v>0</v>
      </c>
      <c r="CI133" s="49">
        <f t="shared" si="124"/>
        <v>0</v>
      </c>
      <c r="CJ133" s="49">
        <f t="shared" si="125"/>
        <v>0</v>
      </c>
      <c r="CK133" s="49">
        <f t="shared" si="126"/>
        <v>0</v>
      </c>
    </row>
    <row r="134" spans="2:89" ht="12.75" customHeight="1" x14ac:dyDescent="0.2">
      <c r="B134" s="77">
        <v>39937</v>
      </c>
      <c r="C134" s="49">
        <v>46.549999</v>
      </c>
      <c r="D134" s="49">
        <v>41.279998999999997</v>
      </c>
      <c r="E134" s="49">
        <v>35.360000999999997</v>
      </c>
      <c r="F134" s="49">
        <v>44.759998000000003</v>
      </c>
      <c r="G134" s="49">
        <v>28.209999</v>
      </c>
      <c r="H134" s="49">
        <v>30.57</v>
      </c>
      <c r="J134" s="78">
        <f>IF(inter=Weekly_2,J133+$C$5,IF(inter=Bi_weekly_2,J132+$C$5,IF(inter=Monthly_2,J130+$C$5,IF(inter=Quarterly_2,0,IF(inter=Yearly_2,0,IF(inter=None_2,0,0))))))</f>
        <v>47600</v>
      </c>
      <c r="K134" s="79">
        <f t="shared" si="127"/>
        <v>963.64708691260967</v>
      </c>
      <c r="L134" s="79">
        <f t="shared" si="128"/>
        <v>428.9810240433535</v>
      </c>
      <c r="M134" s="79">
        <f t="shared" si="129"/>
        <v>242.99341133455164</v>
      </c>
      <c r="N134" s="79">
        <f t="shared" si="130"/>
        <v>274.67122720199723</v>
      </c>
      <c r="O134" s="79">
        <f t="shared" si="131"/>
        <v>1103.824568458218</v>
      </c>
      <c r="P134" s="79">
        <f t="shared" si="132"/>
        <v>800.99144955753309</v>
      </c>
      <c r="Q134" s="79"/>
      <c r="R134" s="80">
        <f t="shared" si="90"/>
        <v>-20.701334212974089</v>
      </c>
      <c r="S134" s="80">
        <f t="shared" si="91"/>
        <v>-10.391982423336627</v>
      </c>
      <c r="T134" s="80">
        <f t="shared" si="92"/>
        <v>-6.871985420321443</v>
      </c>
      <c r="U134" s="80">
        <f t="shared" si="93"/>
        <v>-6.1365335003365553</v>
      </c>
      <c r="V134" s="80">
        <f t="shared" si="94"/>
        <v>-39.128841105532047</v>
      </c>
      <c r="W134" s="80">
        <f t="shared" si="95"/>
        <v>-26.201879278951033</v>
      </c>
      <c r="X134" s="80">
        <f t="shared" si="146"/>
        <v>357.89474453049934</v>
      </c>
      <c r="Y134" s="80">
        <f t="shared" si="147"/>
        <v>115.31008031274419</v>
      </c>
      <c r="Z134" s="80">
        <f t="shared" si="148"/>
        <v>107.69230464671085</v>
      </c>
      <c r="AA134" s="80">
        <f t="shared" si="149"/>
        <v>74.44146892053034</v>
      </c>
      <c r="AB134" s="80">
        <f t="shared" si="150"/>
        <v>421.83624324127061</v>
      </c>
      <c r="AC134" s="80">
        <f t="shared" si="151"/>
        <v>233.56231599607457</v>
      </c>
      <c r="AD134" s="80"/>
      <c r="AE134" s="80"/>
      <c r="AF134" s="80"/>
      <c r="AG134" s="80"/>
      <c r="AH134" s="80"/>
      <c r="AI134" s="80"/>
      <c r="AJ134" s="45">
        <f t="shared" si="96"/>
        <v>0</v>
      </c>
      <c r="AK134" s="45">
        <f t="shared" si="97"/>
        <v>0</v>
      </c>
      <c r="AL134" s="45">
        <f t="shared" si="98"/>
        <v>0</v>
      </c>
      <c r="AM134" s="45">
        <f t="shared" si="99"/>
        <v>0</v>
      </c>
      <c r="AN134" s="45">
        <f t="shared" si="100"/>
        <v>0</v>
      </c>
      <c r="AO134" s="45">
        <f t="shared" si="101"/>
        <v>0</v>
      </c>
      <c r="AP134" s="80">
        <f t="shared" si="102"/>
        <v>0</v>
      </c>
      <c r="AQ134" s="80">
        <f t="shared" si="103"/>
        <v>0</v>
      </c>
      <c r="AR134" s="80">
        <f t="shared" si="104"/>
        <v>0</v>
      </c>
      <c r="AS134" s="80">
        <f t="shared" si="105"/>
        <v>0</v>
      </c>
      <c r="AT134" s="80">
        <f t="shared" si="106"/>
        <v>0</v>
      </c>
      <c r="AU134" s="80">
        <f t="shared" si="107"/>
        <v>0</v>
      </c>
      <c r="AV134" s="80">
        <f t="shared" si="152"/>
        <v>8.0558956281542038</v>
      </c>
      <c r="AW134" s="80">
        <f t="shared" si="153"/>
        <v>4.434904681386274</v>
      </c>
      <c r="AX134" s="80">
        <f t="shared" si="154"/>
        <v>3.7823684592038607</v>
      </c>
      <c r="AY134" s="80">
        <f t="shared" si="155"/>
        <v>2.8952575130302551</v>
      </c>
      <c r="AZ134" s="80">
        <f t="shared" si="156"/>
        <v>16.7503044925596</v>
      </c>
      <c r="BA134" s="80">
        <f t="shared" si="157"/>
        <v>13.122255280197196</v>
      </c>
      <c r="BB134" s="80">
        <f t="shared" si="133"/>
        <v>365.95064015865353</v>
      </c>
      <c r="BC134" s="80">
        <f t="shared" si="134"/>
        <v>119.74498499413046</v>
      </c>
      <c r="BD134" s="80">
        <f t="shared" si="135"/>
        <v>111.47467310591472</v>
      </c>
      <c r="BE134" s="80">
        <f t="shared" si="136"/>
        <v>77.3367264335606</v>
      </c>
      <c r="BF134" s="80">
        <f t="shared" si="137"/>
        <v>438.58654773383023</v>
      </c>
      <c r="BG134" s="80">
        <f t="shared" si="138"/>
        <v>246.68457127627178</v>
      </c>
      <c r="BH134" s="49">
        <f t="shared" si="139"/>
        <v>0</v>
      </c>
      <c r="BI134" s="79">
        <f t="shared" si="140"/>
        <v>-58585.131690557857</v>
      </c>
      <c r="BJ134" s="79">
        <f t="shared" si="108"/>
        <v>47600</v>
      </c>
      <c r="BK134" s="44">
        <f t="shared" si="141"/>
        <v>-0.18750716049560956</v>
      </c>
      <c r="BL134" s="79">
        <f t="shared" si="158"/>
        <v>1743.6091789516711</v>
      </c>
      <c r="BM134" s="49">
        <f t="shared" si="142"/>
        <v>49343.609178951672</v>
      </c>
      <c r="BN134" s="44">
        <f t="shared" si="143"/>
        <v>-0.15774518627728262</v>
      </c>
      <c r="BO134" s="49">
        <f t="shared" si="109"/>
        <v>1695.0844841403696</v>
      </c>
      <c r="BP134" s="49">
        <f t="shared" si="110"/>
        <v>49295.084484140374</v>
      </c>
      <c r="BQ134" s="44">
        <f t="shared" si="111"/>
        <v>-0.15857346289647001</v>
      </c>
      <c r="BS134" s="49">
        <f t="shared" si="112"/>
        <v>58585.131690557857</v>
      </c>
      <c r="BT134" s="49">
        <f t="shared" si="88"/>
        <v>46.549999</v>
      </c>
      <c r="BU134" s="49">
        <f t="shared" si="89"/>
        <v>30.57</v>
      </c>
      <c r="BV134" s="49">
        <f t="shared" si="113"/>
        <v>-3815.1087675082631</v>
      </c>
      <c r="BW134" s="18">
        <f t="shared" si="114"/>
        <v>644</v>
      </c>
      <c r="BX134" s="19">
        <f t="shared" si="144"/>
        <v>0.8522935779816514</v>
      </c>
      <c r="BY134" s="49">
        <f t="shared" si="145"/>
        <v>-3251.592701848786</v>
      </c>
      <c r="BZ134" s="19">
        <f t="shared" si="115"/>
        <v>0</v>
      </c>
      <c r="CA134" s="19">
        <f t="shared" si="116"/>
        <v>0</v>
      </c>
      <c r="CB134" s="19">
        <f t="shared" si="117"/>
        <v>0</v>
      </c>
      <c r="CC134" s="19">
        <f t="shared" si="118"/>
        <v>0</v>
      </c>
      <c r="CD134" s="19">
        <f t="shared" si="119"/>
        <v>0</v>
      </c>
      <c r="CE134" s="19">
        <f t="shared" si="120"/>
        <v>0</v>
      </c>
      <c r="CF134" s="49">
        <f t="shared" si="121"/>
        <v>0</v>
      </c>
      <c r="CG134" s="49">
        <f t="shared" si="122"/>
        <v>0</v>
      </c>
      <c r="CH134" s="49">
        <f t="shared" si="123"/>
        <v>0</v>
      </c>
      <c r="CI134" s="49">
        <f t="shared" si="124"/>
        <v>0</v>
      </c>
      <c r="CJ134" s="49">
        <f t="shared" si="125"/>
        <v>0</v>
      </c>
      <c r="CK134" s="49">
        <f t="shared" si="126"/>
        <v>0</v>
      </c>
    </row>
    <row r="135" spans="2:89" ht="12.75" customHeight="1" x14ac:dyDescent="0.2">
      <c r="B135" s="77">
        <v>39944</v>
      </c>
      <c r="C135" s="49">
        <v>44.310001</v>
      </c>
      <c r="D135" s="49">
        <v>38.610000999999997</v>
      </c>
      <c r="E135" s="49">
        <v>32.439999</v>
      </c>
      <c r="F135" s="49">
        <v>40.950001</v>
      </c>
      <c r="G135" s="49">
        <v>26.85</v>
      </c>
      <c r="H135" s="49">
        <v>29.200001</v>
      </c>
      <c r="J135" s="78">
        <f>IF(inter=Weekly_2,J134+$C$5,IF(inter=Bi_weekly_2,0,IF(inter=Monthly_2,0,IF(inter=Quarterly_2,0,IF(inter=Yearly_2,0,IF(inter=None_2,0,0))))))</f>
        <v>0</v>
      </c>
      <c r="K135" s="79">
        <f t="shared" si="127"/>
        <v>0</v>
      </c>
      <c r="L135" s="79">
        <f t="shared" si="128"/>
        <v>0</v>
      </c>
      <c r="M135" s="79">
        <f t="shared" si="129"/>
        <v>0</v>
      </c>
      <c r="N135" s="79">
        <f t="shared" si="130"/>
        <v>0</v>
      </c>
      <c r="O135" s="79">
        <f t="shared" si="131"/>
        <v>0</v>
      </c>
      <c r="P135" s="79">
        <f t="shared" si="132"/>
        <v>0</v>
      </c>
      <c r="Q135" s="79"/>
      <c r="R135" s="80">
        <f t="shared" si="90"/>
        <v>0</v>
      </c>
      <c r="S135" s="80">
        <f t="shared" si="91"/>
        <v>0</v>
      </c>
      <c r="T135" s="80">
        <f t="shared" si="92"/>
        <v>0</v>
      </c>
      <c r="U135" s="80">
        <f t="shared" si="93"/>
        <v>0</v>
      </c>
      <c r="V135" s="80">
        <f t="shared" si="94"/>
        <v>0</v>
      </c>
      <c r="W135" s="80">
        <f t="shared" si="95"/>
        <v>0</v>
      </c>
      <c r="X135" s="80">
        <f t="shared" si="146"/>
        <v>357.89474453049934</v>
      </c>
      <c r="Y135" s="80">
        <f t="shared" si="147"/>
        <v>115.31008031274419</v>
      </c>
      <c r="Z135" s="80">
        <f t="shared" si="148"/>
        <v>107.69230464671085</v>
      </c>
      <c r="AA135" s="80">
        <f t="shared" si="149"/>
        <v>74.44146892053034</v>
      </c>
      <c r="AB135" s="80">
        <f t="shared" si="150"/>
        <v>421.83624324127061</v>
      </c>
      <c r="AC135" s="80">
        <f t="shared" si="151"/>
        <v>233.56231599607457</v>
      </c>
      <c r="AD135" s="80"/>
      <c r="AE135" s="80"/>
      <c r="AF135" s="80"/>
      <c r="AG135" s="80"/>
      <c r="AH135" s="80"/>
      <c r="AI135" s="80"/>
      <c r="AJ135" s="45">
        <f t="shared" si="96"/>
        <v>0</v>
      </c>
      <c r="AK135" s="45">
        <f t="shared" si="97"/>
        <v>0</v>
      </c>
      <c r="AL135" s="45">
        <f t="shared" si="98"/>
        <v>0</v>
      </c>
      <c r="AM135" s="45">
        <f t="shared" si="99"/>
        <v>0</v>
      </c>
      <c r="AN135" s="45">
        <f t="shared" si="100"/>
        <v>0</v>
      </c>
      <c r="AO135" s="45">
        <f t="shared" si="101"/>
        <v>0</v>
      </c>
      <c r="AP135" s="80">
        <f t="shared" si="102"/>
        <v>0</v>
      </c>
      <c r="AQ135" s="80">
        <f t="shared" si="103"/>
        <v>0</v>
      </c>
      <c r="AR135" s="80">
        <f t="shared" si="104"/>
        <v>0</v>
      </c>
      <c r="AS135" s="80">
        <f t="shared" si="105"/>
        <v>0</v>
      </c>
      <c r="AT135" s="80">
        <f t="shared" si="106"/>
        <v>0</v>
      </c>
      <c r="AU135" s="80">
        <f t="shared" si="107"/>
        <v>0</v>
      </c>
      <c r="AV135" s="80">
        <f t="shared" si="152"/>
        <v>8.0558956281542038</v>
      </c>
      <c r="AW135" s="80">
        <f t="shared" si="153"/>
        <v>4.434904681386274</v>
      </c>
      <c r="AX135" s="80">
        <f t="shared" si="154"/>
        <v>3.7823684592038607</v>
      </c>
      <c r="AY135" s="80">
        <f t="shared" si="155"/>
        <v>2.8952575130302551</v>
      </c>
      <c r="AZ135" s="80">
        <f t="shared" si="156"/>
        <v>16.7503044925596</v>
      </c>
      <c r="BA135" s="80">
        <f t="shared" si="157"/>
        <v>13.122255280197196</v>
      </c>
      <c r="BB135" s="80">
        <f t="shared" si="133"/>
        <v>365.95064015865353</v>
      </c>
      <c r="BC135" s="80">
        <f t="shared" si="134"/>
        <v>119.74498499413046</v>
      </c>
      <c r="BD135" s="80">
        <f t="shared" si="135"/>
        <v>111.47467310591472</v>
      </c>
      <c r="BE135" s="80">
        <f t="shared" si="136"/>
        <v>77.3367264335606</v>
      </c>
      <c r="BF135" s="80">
        <f t="shared" si="137"/>
        <v>438.58654773383023</v>
      </c>
      <c r="BG135" s="80">
        <f t="shared" si="138"/>
        <v>246.68457127627178</v>
      </c>
      <c r="BH135" s="49">
        <f t="shared" si="139"/>
        <v>0</v>
      </c>
      <c r="BI135" s="79">
        <f t="shared" si="140"/>
        <v>-58585.131690557857</v>
      </c>
      <c r="BJ135" s="79">
        <f t="shared" si="108"/>
        <v>44998.678277686289</v>
      </c>
      <c r="BK135" s="44">
        <f t="shared" si="141"/>
        <v>-0.23190958218945668</v>
      </c>
      <c r="BL135" s="79">
        <f t="shared" si="158"/>
        <v>1743.6091789516711</v>
      </c>
      <c r="BM135" s="49">
        <f t="shared" si="142"/>
        <v>46742.287456637961</v>
      </c>
      <c r="BN135" s="44">
        <f t="shared" si="143"/>
        <v>-0.20214760797112963</v>
      </c>
      <c r="BO135" s="49">
        <f t="shared" si="109"/>
        <v>1602.3647875399272</v>
      </c>
      <c r="BP135" s="49">
        <f t="shared" si="110"/>
        <v>46601.043065226222</v>
      </c>
      <c r="BQ135" s="44">
        <f t="shared" si="111"/>
        <v>-0.20455853353083964</v>
      </c>
      <c r="BS135" s="49">
        <f t="shared" si="112"/>
        <v>58585.131690557857</v>
      </c>
      <c r="BT135" s="49">
        <f t="shared" si="88"/>
        <v>44.310001</v>
      </c>
      <c r="BU135" s="49">
        <f t="shared" si="89"/>
        <v>29.200001</v>
      </c>
      <c r="BV135" s="49">
        <f t="shared" si="113"/>
        <v>0</v>
      </c>
      <c r="BW135" s="18">
        <f t="shared" si="114"/>
        <v>651</v>
      </c>
      <c r="BX135" s="19">
        <f t="shared" si="144"/>
        <v>0.85068807339449537</v>
      </c>
      <c r="BY135" s="49">
        <f t="shared" si="145"/>
        <v>0</v>
      </c>
      <c r="BZ135" s="19">
        <f t="shared" si="115"/>
        <v>0</v>
      </c>
      <c r="CA135" s="19">
        <f t="shared" si="116"/>
        <v>0</v>
      </c>
      <c r="CB135" s="19">
        <f t="shared" si="117"/>
        <v>0</v>
      </c>
      <c r="CC135" s="19">
        <f t="shared" si="118"/>
        <v>0</v>
      </c>
      <c r="CD135" s="19">
        <f t="shared" si="119"/>
        <v>0</v>
      </c>
      <c r="CE135" s="19">
        <f t="shared" si="120"/>
        <v>0</v>
      </c>
      <c r="CF135" s="49">
        <f t="shared" si="121"/>
        <v>0</v>
      </c>
      <c r="CG135" s="49">
        <f t="shared" si="122"/>
        <v>0</v>
      </c>
      <c r="CH135" s="49">
        <f t="shared" si="123"/>
        <v>0</v>
      </c>
      <c r="CI135" s="49">
        <f t="shared" si="124"/>
        <v>0</v>
      </c>
      <c r="CJ135" s="49">
        <f t="shared" si="125"/>
        <v>0</v>
      </c>
      <c r="CK135" s="49">
        <f t="shared" si="126"/>
        <v>0</v>
      </c>
    </row>
    <row r="136" spans="2:89" ht="12.75" customHeight="1" x14ac:dyDescent="0.2">
      <c r="B136" s="77">
        <v>39951</v>
      </c>
      <c r="C136" s="49">
        <v>44.630001</v>
      </c>
      <c r="D136" s="49">
        <v>38.779998999999997</v>
      </c>
      <c r="E136" s="49">
        <v>32.810001</v>
      </c>
      <c r="F136" s="49">
        <v>41.360000999999997</v>
      </c>
      <c r="G136" s="49">
        <v>28.24</v>
      </c>
      <c r="H136" s="49">
        <v>31.129999000000002</v>
      </c>
      <c r="J136" s="78">
        <f>IF(inter=Weekly_2,J135+$C$5,IF(inter=Bi_weekly_2,J134+$C$5,IF(inter=Monthly_2,0,IF(inter=Quarterly_2,0,IF(inter=Yearly_2,0,IF(inter=None_2,0,0))))))</f>
        <v>48200</v>
      </c>
      <c r="K136" s="79">
        <f t="shared" si="127"/>
        <v>-897.15719370907027</v>
      </c>
      <c r="L136" s="79">
        <f t="shared" si="128"/>
        <v>-348.2752007818608</v>
      </c>
      <c r="M136" s="79">
        <f t="shared" si="129"/>
        <v>-322.61537684911218</v>
      </c>
      <c r="N136" s="79">
        <f t="shared" si="130"/>
        <v>-295.10077100539684</v>
      </c>
      <c r="O136" s="79">
        <f t="shared" si="131"/>
        <v>-137.34449086651875</v>
      </c>
      <c r="P136" s="79">
        <f t="shared" si="132"/>
        <v>40.794663395486168</v>
      </c>
      <c r="Q136" s="79"/>
      <c r="R136" s="80">
        <f t="shared" si="90"/>
        <v>20.102110096503701</v>
      </c>
      <c r="S136" s="80">
        <f t="shared" si="91"/>
        <v>8.9807944755713081</v>
      </c>
      <c r="T136" s="80">
        <f t="shared" si="92"/>
        <v>9.8328365442327232</v>
      </c>
      <c r="U136" s="80">
        <f t="shared" si="93"/>
        <v>7.1349314282027425</v>
      </c>
      <c r="V136" s="80">
        <f t="shared" si="94"/>
        <v>4.8634734726104378</v>
      </c>
      <c r="W136" s="80">
        <f t="shared" si="95"/>
        <v>-1.3104614425296373</v>
      </c>
      <c r="X136" s="80">
        <f t="shared" si="146"/>
        <v>377.99685462700302</v>
      </c>
      <c r="Y136" s="80">
        <f t="shared" si="147"/>
        <v>124.29087478831551</v>
      </c>
      <c r="Z136" s="80">
        <f t="shared" si="148"/>
        <v>117.52514119094357</v>
      </c>
      <c r="AA136" s="80">
        <f t="shared" si="149"/>
        <v>81.576400348733088</v>
      </c>
      <c r="AB136" s="80">
        <f t="shared" si="150"/>
        <v>426.69971671388106</v>
      </c>
      <c r="AC136" s="80">
        <f t="shared" si="151"/>
        <v>232.25185455354494</v>
      </c>
      <c r="AD136" s="80"/>
      <c r="AE136" s="80"/>
      <c r="AF136" s="80"/>
      <c r="AG136" s="80"/>
      <c r="AH136" s="80"/>
      <c r="AI136" s="80"/>
      <c r="AJ136" s="45">
        <f t="shared" si="96"/>
        <v>0</v>
      </c>
      <c r="AK136" s="45">
        <f t="shared" si="97"/>
        <v>0</v>
      </c>
      <c r="AL136" s="45">
        <f t="shared" si="98"/>
        <v>0</v>
      </c>
      <c r="AM136" s="45">
        <f t="shared" si="99"/>
        <v>0</v>
      </c>
      <c r="AN136" s="45">
        <f t="shared" si="100"/>
        <v>0</v>
      </c>
      <c r="AO136" s="45">
        <f t="shared" si="101"/>
        <v>0</v>
      </c>
      <c r="AP136" s="80">
        <f t="shared" si="102"/>
        <v>0</v>
      </c>
      <c r="AQ136" s="80">
        <f t="shared" si="103"/>
        <v>0</v>
      </c>
      <c r="AR136" s="80">
        <f t="shared" si="104"/>
        <v>0</v>
      </c>
      <c r="AS136" s="80">
        <f t="shared" si="105"/>
        <v>0</v>
      </c>
      <c r="AT136" s="80">
        <f t="shared" si="106"/>
        <v>0</v>
      </c>
      <c r="AU136" s="80">
        <f t="shared" si="107"/>
        <v>0</v>
      </c>
      <c r="AV136" s="80">
        <f t="shared" si="152"/>
        <v>8.0558956281542038</v>
      </c>
      <c r="AW136" s="80">
        <f t="shared" si="153"/>
        <v>4.434904681386274</v>
      </c>
      <c r="AX136" s="80">
        <f t="shared" si="154"/>
        <v>3.7823684592038607</v>
      </c>
      <c r="AY136" s="80">
        <f t="shared" si="155"/>
        <v>2.8952575130302551</v>
      </c>
      <c r="AZ136" s="80">
        <f t="shared" si="156"/>
        <v>16.7503044925596</v>
      </c>
      <c r="BA136" s="80">
        <f t="shared" si="157"/>
        <v>13.122255280197196</v>
      </c>
      <c r="BB136" s="80">
        <f t="shared" si="133"/>
        <v>386.05275025515721</v>
      </c>
      <c r="BC136" s="80">
        <f t="shared" si="134"/>
        <v>128.72577946970179</v>
      </c>
      <c r="BD136" s="80">
        <f t="shared" si="135"/>
        <v>121.30750965014744</v>
      </c>
      <c r="BE136" s="80">
        <f t="shared" si="136"/>
        <v>84.471657861763347</v>
      </c>
      <c r="BF136" s="80">
        <f t="shared" si="137"/>
        <v>443.45002120644068</v>
      </c>
      <c r="BG136" s="80">
        <f t="shared" si="138"/>
        <v>245.37410983374215</v>
      </c>
      <c r="BH136" s="49">
        <f t="shared" si="139"/>
        <v>0</v>
      </c>
      <c r="BI136" s="79">
        <f t="shared" si="140"/>
        <v>-60544.830060374334</v>
      </c>
      <c r="BJ136" s="79">
        <f t="shared" si="108"/>
        <v>48200</v>
      </c>
      <c r="BK136" s="44">
        <f t="shared" si="141"/>
        <v>-0.20389569263080376</v>
      </c>
      <c r="BL136" s="79">
        <f t="shared" si="158"/>
        <v>1743.6091789516711</v>
      </c>
      <c r="BM136" s="49">
        <f t="shared" si="142"/>
        <v>49943.609178951672</v>
      </c>
      <c r="BN136" s="44">
        <f t="shared" si="143"/>
        <v>-0.17509704578989316</v>
      </c>
      <c r="BO136" s="49">
        <f t="shared" si="109"/>
        <v>1656.8919882328753</v>
      </c>
      <c r="BP136" s="49">
        <f t="shared" si="110"/>
        <v>49856.89198823287</v>
      </c>
      <c r="BQ136" s="44">
        <f t="shared" si="111"/>
        <v>-0.17652932647566477</v>
      </c>
      <c r="BS136" s="49">
        <f t="shared" si="112"/>
        <v>60544.830060374334</v>
      </c>
      <c r="BT136" s="49">
        <f t="shared" si="88"/>
        <v>44.630001</v>
      </c>
      <c r="BU136" s="49">
        <f t="shared" si="89"/>
        <v>31.129999000000002</v>
      </c>
      <c r="BV136" s="49">
        <f t="shared" si="113"/>
        <v>1959.6983698164727</v>
      </c>
      <c r="BW136" s="18">
        <f t="shared" si="114"/>
        <v>658</v>
      </c>
      <c r="BX136" s="19">
        <f t="shared" si="144"/>
        <v>0.84908256880733946</v>
      </c>
      <c r="BY136" s="49">
        <f t="shared" si="145"/>
        <v>1663.945725931326</v>
      </c>
      <c r="BZ136" s="19">
        <f t="shared" si="115"/>
        <v>20.102110096503701</v>
      </c>
      <c r="CA136" s="19">
        <f t="shared" si="116"/>
        <v>8.9807944755713081</v>
      </c>
      <c r="CB136" s="19">
        <f t="shared" si="117"/>
        <v>9.8328365442327232</v>
      </c>
      <c r="CC136" s="19">
        <f t="shared" si="118"/>
        <v>7.1349314282027425</v>
      </c>
      <c r="CD136" s="19">
        <f t="shared" si="119"/>
        <v>4.8634734726104378</v>
      </c>
      <c r="CE136" s="19">
        <f t="shared" si="120"/>
        <v>0</v>
      </c>
      <c r="CF136" s="49">
        <f t="shared" si="121"/>
        <v>-897.15719370907027</v>
      </c>
      <c r="CG136" s="49">
        <f t="shared" si="122"/>
        <v>-348.2752007818608</v>
      </c>
      <c r="CH136" s="49">
        <f t="shared" si="123"/>
        <v>-322.61537684911218</v>
      </c>
      <c r="CI136" s="49">
        <f t="shared" si="124"/>
        <v>-295.10077100539684</v>
      </c>
      <c r="CJ136" s="49">
        <f t="shared" si="125"/>
        <v>-137.34449086651875</v>
      </c>
      <c r="CK136" s="49">
        <f t="shared" si="126"/>
        <v>0</v>
      </c>
    </row>
    <row r="137" spans="2:89" ht="12.75" customHeight="1" x14ac:dyDescent="0.2">
      <c r="B137" s="77">
        <v>39959</v>
      </c>
      <c r="C137" s="49">
        <v>46.330002</v>
      </c>
      <c r="D137" s="49">
        <v>40.259998000000003</v>
      </c>
      <c r="E137" s="49">
        <v>34.360000999999997</v>
      </c>
      <c r="F137" s="49">
        <v>43.150002000000001</v>
      </c>
      <c r="G137" s="49">
        <v>29.09</v>
      </c>
      <c r="H137" s="49">
        <v>32.619999</v>
      </c>
      <c r="J137" s="78">
        <f>IF(inter=Weekly_2,J136+$C$5,IF(inter=Bi_weekly_2,0,IF(inter=Monthly_2,0,IF(inter=Quarterly_2,0,IF(inter=Yearly_2,0,IF(inter=None_2,0,0))))))</f>
        <v>0</v>
      </c>
      <c r="K137" s="79">
        <f t="shared" si="127"/>
        <v>0</v>
      </c>
      <c r="L137" s="79">
        <f t="shared" si="128"/>
        <v>0</v>
      </c>
      <c r="M137" s="79">
        <f t="shared" si="129"/>
        <v>0</v>
      </c>
      <c r="N137" s="79">
        <f t="shared" si="130"/>
        <v>0</v>
      </c>
      <c r="O137" s="79">
        <f t="shared" si="131"/>
        <v>0</v>
      </c>
      <c r="P137" s="79">
        <f t="shared" si="132"/>
        <v>0</v>
      </c>
      <c r="Q137" s="79"/>
      <c r="R137" s="80">
        <f t="shared" si="90"/>
        <v>0</v>
      </c>
      <c r="S137" s="80">
        <f t="shared" si="91"/>
        <v>0</v>
      </c>
      <c r="T137" s="80">
        <f t="shared" si="92"/>
        <v>0</v>
      </c>
      <c r="U137" s="80">
        <f t="shared" si="93"/>
        <v>0</v>
      </c>
      <c r="V137" s="80">
        <f t="shared" si="94"/>
        <v>0</v>
      </c>
      <c r="W137" s="80">
        <f t="shared" si="95"/>
        <v>0</v>
      </c>
      <c r="X137" s="80">
        <f t="shared" si="146"/>
        <v>377.99685462700302</v>
      </c>
      <c r="Y137" s="80">
        <f t="shared" si="147"/>
        <v>124.29087478831551</v>
      </c>
      <c r="Z137" s="80">
        <f t="shared" si="148"/>
        <v>117.52514119094357</v>
      </c>
      <c r="AA137" s="80">
        <f t="shared" si="149"/>
        <v>81.576400348733088</v>
      </c>
      <c r="AB137" s="80">
        <f t="shared" si="150"/>
        <v>426.69971671388106</v>
      </c>
      <c r="AC137" s="80">
        <f t="shared" si="151"/>
        <v>232.25185455354494</v>
      </c>
      <c r="AD137" s="80"/>
      <c r="AE137" s="80"/>
      <c r="AF137" s="80"/>
      <c r="AG137" s="80"/>
      <c r="AH137" s="80"/>
      <c r="AI137" s="80"/>
      <c r="AJ137" s="45">
        <f t="shared" si="96"/>
        <v>0</v>
      </c>
      <c r="AK137" s="45">
        <f t="shared" si="97"/>
        <v>0</v>
      </c>
      <c r="AL137" s="45">
        <f t="shared" si="98"/>
        <v>0</v>
      </c>
      <c r="AM137" s="45">
        <f t="shared" si="99"/>
        <v>0</v>
      </c>
      <c r="AN137" s="45">
        <f t="shared" si="100"/>
        <v>0</v>
      </c>
      <c r="AO137" s="45">
        <f t="shared" si="101"/>
        <v>0</v>
      </c>
      <c r="AP137" s="80">
        <f t="shared" si="102"/>
        <v>0</v>
      </c>
      <c r="AQ137" s="80">
        <f t="shared" si="103"/>
        <v>0</v>
      </c>
      <c r="AR137" s="80">
        <f t="shared" si="104"/>
        <v>0</v>
      </c>
      <c r="AS137" s="80">
        <f t="shared" si="105"/>
        <v>0</v>
      </c>
      <c r="AT137" s="80">
        <f t="shared" si="106"/>
        <v>0</v>
      </c>
      <c r="AU137" s="80">
        <f t="shared" si="107"/>
        <v>0</v>
      </c>
      <c r="AV137" s="80">
        <f t="shared" si="152"/>
        <v>8.0558956281542038</v>
      </c>
      <c r="AW137" s="80">
        <f t="shared" si="153"/>
        <v>4.434904681386274</v>
      </c>
      <c r="AX137" s="80">
        <f t="shared" si="154"/>
        <v>3.7823684592038607</v>
      </c>
      <c r="AY137" s="80">
        <f t="shared" si="155"/>
        <v>2.8952575130302551</v>
      </c>
      <c r="AZ137" s="80">
        <f t="shared" si="156"/>
        <v>16.7503044925596</v>
      </c>
      <c r="BA137" s="80">
        <f t="shared" si="157"/>
        <v>13.122255280197196</v>
      </c>
      <c r="BB137" s="80">
        <f t="shared" si="133"/>
        <v>386.05275025515721</v>
      </c>
      <c r="BC137" s="80">
        <f t="shared" si="134"/>
        <v>128.72577946970179</v>
      </c>
      <c r="BD137" s="80">
        <f t="shared" si="135"/>
        <v>121.30750965014744</v>
      </c>
      <c r="BE137" s="80">
        <f t="shared" si="136"/>
        <v>84.471657861763347</v>
      </c>
      <c r="BF137" s="80">
        <f t="shared" si="137"/>
        <v>443.45002120644068</v>
      </c>
      <c r="BG137" s="80">
        <f t="shared" si="138"/>
        <v>245.37410983374215</v>
      </c>
      <c r="BH137" s="49">
        <f t="shared" si="139"/>
        <v>0</v>
      </c>
      <c r="BI137" s="79">
        <f t="shared" si="140"/>
        <v>-60544.830060374334</v>
      </c>
      <c r="BJ137" s="79">
        <f t="shared" si="108"/>
        <v>50063.481230796766</v>
      </c>
      <c r="BK137" s="44">
        <f t="shared" si="141"/>
        <v>-0.17311715664451832</v>
      </c>
      <c r="BL137" s="79">
        <f t="shared" si="158"/>
        <v>1743.6091789516711</v>
      </c>
      <c r="BM137" s="49">
        <f t="shared" si="142"/>
        <v>51807.090409748438</v>
      </c>
      <c r="BN137" s="44">
        <f t="shared" si="143"/>
        <v>-0.14431850980360772</v>
      </c>
      <c r="BO137" s="49">
        <f t="shared" si="109"/>
        <v>1721.985777491697</v>
      </c>
      <c r="BP137" s="49">
        <f t="shared" si="110"/>
        <v>51785.46700828847</v>
      </c>
      <c r="BQ137" s="44">
        <f t="shared" si="111"/>
        <v>-0.14467565675469185</v>
      </c>
      <c r="BS137" s="49">
        <f t="shared" si="112"/>
        <v>60544.830060374334</v>
      </c>
      <c r="BT137" s="49">
        <f t="shared" si="88"/>
        <v>46.330002</v>
      </c>
      <c r="BU137" s="49">
        <f t="shared" si="89"/>
        <v>32.619999</v>
      </c>
      <c r="BV137" s="49">
        <f t="shared" si="113"/>
        <v>0</v>
      </c>
      <c r="BW137" s="18">
        <f t="shared" si="114"/>
        <v>666</v>
      </c>
      <c r="BX137" s="19">
        <f t="shared" si="144"/>
        <v>0.8472477064220183</v>
      </c>
      <c r="BY137" s="49">
        <f t="shared" si="145"/>
        <v>0</v>
      </c>
      <c r="BZ137" s="19">
        <f t="shared" si="115"/>
        <v>0</v>
      </c>
      <c r="CA137" s="19">
        <f t="shared" si="116"/>
        <v>0</v>
      </c>
      <c r="CB137" s="19">
        <f t="shared" si="117"/>
        <v>0</v>
      </c>
      <c r="CC137" s="19">
        <f t="shared" si="118"/>
        <v>0</v>
      </c>
      <c r="CD137" s="19">
        <f t="shared" si="119"/>
        <v>0</v>
      </c>
      <c r="CE137" s="19">
        <f t="shared" si="120"/>
        <v>0</v>
      </c>
      <c r="CF137" s="49">
        <f t="shared" si="121"/>
        <v>0</v>
      </c>
      <c r="CG137" s="49">
        <f t="shared" si="122"/>
        <v>0</v>
      </c>
      <c r="CH137" s="49">
        <f t="shared" si="123"/>
        <v>0</v>
      </c>
      <c r="CI137" s="49">
        <f t="shared" si="124"/>
        <v>0</v>
      </c>
      <c r="CJ137" s="49">
        <f t="shared" si="125"/>
        <v>0</v>
      </c>
      <c r="CK137" s="49">
        <f t="shared" si="126"/>
        <v>0</v>
      </c>
    </row>
    <row r="138" spans="2:89" ht="12.75" customHeight="1" x14ac:dyDescent="0.2">
      <c r="B138" s="77">
        <v>39965</v>
      </c>
      <c r="C138" s="49">
        <v>47.470001000000003</v>
      </c>
      <c r="D138" s="49">
        <v>40.860000999999997</v>
      </c>
      <c r="E138" s="49">
        <v>35.369999</v>
      </c>
      <c r="F138" s="49">
        <v>45.450001</v>
      </c>
      <c r="G138" s="49">
        <v>28.99</v>
      </c>
      <c r="H138" s="49">
        <v>32.900002000000001</v>
      </c>
      <c r="J138" s="78">
        <f>IF(inter=Weekly_2,J137+$C$5,IF(inter=Bi_weekly_2,J136+$C$5,IF(inter=Monthly_2,J134+$C$5,IF(inter=Quarterly_2,0,IF(inter=Yearly_2,0,IF(inter=None_2,0,0))))))</f>
        <v>48800</v>
      </c>
      <c r="K138" s="79">
        <f t="shared" si="127"/>
        <v>863.51106714068737</v>
      </c>
      <c r="L138" s="79">
        <f t="shared" si="128"/>
        <v>198.52526814144585</v>
      </c>
      <c r="M138" s="79">
        <f t="shared" si="129"/>
        <v>252.86412639853279</v>
      </c>
      <c r="N138" s="79">
        <f t="shared" si="130"/>
        <v>291.6474774263188</v>
      </c>
      <c r="O138" s="79">
        <f t="shared" si="131"/>
        <v>170.02478753541072</v>
      </c>
      <c r="P138" s="79">
        <f t="shared" si="132"/>
        <v>321.08647931533778</v>
      </c>
      <c r="Q138" s="79"/>
      <c r="R138" s="80">
        <f t="shared" si="90"/>
        <v>-18.19066882136125</v>
      </c>
      <c r="S138" s="80">
        <f t="shared" si="91"/>
        <v>-4.8586701733425279</v>
      </c>
      <c r="T138" s="80">
        <f t="shared" si="92"/>
        <v>-7.1491131904904153</v>
      </c>
      <c r="U138" s="80">
        <f t="shared" si="93"/>
        <v>-6.416886050812602</v>
      </c>
      <c r="V138" s="80">
        <f t="shared" si="94"/>
        <v>-5.8649461033256545</v>
      </c>
      <c r="W138" s="80">
        <f t="shared" si="95"/>
        <v>-9.7594668631125856</v>
      </c>
      <c r="X138" s="80">
        <f t="shared" si="146"/>
        <v>359.80618580564175</v>
      </c>
      <c r="Y138" s="80">
        <f t="shared" si="147"/>
        <v>119.43220461497297</v>
      </c>
      <c r="Z138" s="80">
        <f t="shared" si="148"/>
        <v>110.37602800045316</v>
      </c>
      <c r="AA138" s="80">
        <f t="shared" si="149"/>
        <v>75.159514297920481</v>
      </c>
      <c r="AB138" s="80">
        <f t="shared" si="150"/>
        <v>420.83477061055538</v>
      </c>
      <c r="AC138" s="80">
        <f t="shared" si="151"/>
        <v>222.49238769043237</v>
      </c>
      <c r="AD138" s="80"/>
      <c r="AE138" s="80"/>
      <c r="AF138" s="80"/>
      <c r="AG138" s="80"/>
      <c r="AH138" s="80"/>
      <c r="AI138" s="80"/>
      <c r="AJ138" s="45">
        <f t="shared" si="96"/>
        <v>0</v>
      </c>
      <c r="AK138" s="45">
        <f t="shared" si="97"/>
        <v>0</v>
      </c>
      <c r="AL138" s="45">
        <f t="shared" si="98"/>
        <v>0</v>
      </c>
      <c r="AM138" s="45">
        <f t="shared" si="99"/>
        <v>0</v>
      </c>
      <c r="AN138" s="45">
        <f t="shared" si="100"/>
        <v>0</v>
      </c>
      <c r="AO138" s="45">
        <f t="shared" si="101"/>
        <v>0</v>
      </c>
      <c r="AP138" s="80">
        <f t="shared" si="102"/>
        <v>0</v>
      </c>
      <c r="AQ138" s="80">
        <f t="shared" si="103"/>
        <v>0</v>
      </c>
      <c r="AR138" s="80">
        <f t="shared" si="104"/>
        <v>0</v>
      </c>
      <c r="AS138" s="80">
        <f t="shared" si="105"/>
        <v>0</v>
      </c>
      <c r="AT138" s="80">
        <f t="shared" si="106"/>
        <v>0</v>
      </c>
      <c r="AU138" s="80">
        <f t="shared" si="107"/>
        <v>0</v>
      </c>
      <c r="AV138" s="80">
        <f t="shared" si="152"/>
        <v>8.0558956281542038</v>
      </c>
      <c r="AW138" s="80">
        <f t="shared" si="153"/>
        <v>4.434904681386274</v>
      </c>
      <c r="AX138" s="80">
        <f t="shared" si="154"/>
        <v>3.7823684592038607</v>
      </c>
      <c r="AY138" s="80">
        <f t="shared" si="155"/>
        <v>2.8952575130302551</v>
      </c>
      <c r="AZ138" s="80">
        <f t="shared" si="156"/>
        <v>16.7503044925596</v>
      </c>
      <c r="BA138" s="80">
        <f t="shared" si="157"/>
        <v>13.122255280197196</v>
      </c>
      <c r="BB138" s="80">
        <f t="shared" si="133"/>
        <v>367.86208143379594</v>
      </c>
      <c r="BC138" s="80">
        <f t="shared" si="134"/>
        <v>123.86710929635925</v>
      </c>
      <c r="BD138" s="80">
        <f t="shared" si="135"/>
        <v>114.15839645965703</v>
      </c>
      <c r="BE138" s="80">
        <f t="shared" si="136"/>
        <v>78.05477181095074</v>
      </c>
      <c r="BF138" s="80">
        <f t="shared" si="137"/>
        <v>437.585075103115</v>
      </c>
      <c r="BG138" s="80">
        <f t="shared" si="138"/>
        <v>235.61464297062957</v>
      </c>
      <c r="BH138" s="49">
        <f t="shared" si="139"/>
        <v>0</v>
      </c>
      <c r="BI138" s="79">
        <f t="shared" si="140"/>
        <v>-58447.170854416596</v>
      </c>
      <c r="BJ138" s="79">
        <f t="shared" si="108"/>
        <v>48800</v>
      </c>
      <c r="BK138" s="44">
        <f t="shared" si="141"/>
        <v>-0.16505796111921822</v>
      </c>
      <c r="BL138" s="79">
        <f t="shared" si="158"/>
        <v>1743.6091789516711</v>
      </c>
      <c r="BM138" s="49">
        <f t="shared" si="142"/>
        <v>50543.609178951672</v>
      </c>
      <c r="BN138" s="44">
        <f t="shared" si="143"/>
        <v>-0.13522573565026008</v>
      </c>
      <c r="BO138" s="49">
        <f t="shared" si="109"/>
        <v>1746.3089609251792</v>
      </c>
      <c r="BP138" s="49">
        <f t="shared" si="110"/>
        <v>50546.308960925177</v>
      </c>
      <c r="BQ138" s="44">
        <f t="shared" si="111"/>
        <v>-0.13517954381695085</v>
      </c>
      <c r="BS138" s="49">
        <f t="shared" si="112"/>
        <v>58447.170854416596</v>
      </c>
      <c r="BT138" s="49">
        <f t="shared" si="88"/>
        <v>47.470001000000003</v>
      </c>
      <c r="BU138" s="49">
        <f t="shared" si="89"/>
        <v>32.900002000000001</v>
      </c>
      <c r="BV138" s="49">
        <f t="shared" si="113"/>
        <v>-2097.6592059577333</v>
      </c>
      <c r="BW138" s="18">
        <f t="shared" si="114"/>
        <v>672</v>
      </c>
      <c r="BX138" s="19">
        <f t="shared" si="144"/>
        <v>0.84587155963302751</v>
      </c>
      <c r="BY138" s="49">
        <f t="shared" si="145"/>
        <v>-1774.3502641220459</v>
      </c>
      <c r="BZ138" s="19">
        <f t="shared" si="115"/>
        <v>0</v>
      </c>
      <c r="CA138" s="19">
        <f t="shared" si="116"/>
        <v>0</v>
      </c>
      <c r="CB138" s="19">
        <f t="shared" si="117"/>
        <v>0</v>
      </c>
      <c r="CC138" s="19">
        <f t="shared" si="118"/>
        <v>0</v>
      </c>
      <c r="CD138" s="19">
        <f t="shared" si="119"/>
        <v>0</v>
      </c>
      <c r="CE138" s="19">
        <f t="shared" si="120"/>
        <v>0</v>
      </c>
      <c r="CF138" s="49">
        <f t="shared" si="121"/>
        <v>0</v>
      </c>
      <c r="CG138" s="49">
        <f t="shared" si="122"/>
        <v>0</v>
      </c>
      <c r="CH138" s="49">
        <f t="shared" si="123"/>
        <v>0</v>
      </c>
      <c r="CI138" s="49">
        <f t="shared" si="124"/>
        <v>0</v>
      </c>
      <c r="CJ138" s="49">
        <f t="shared" si="125"/>
        <v>0</v>
      </c>
      <c r="CK138" s="49">
        <f t="shared" si="126"/>
        <v>0</v>
      </c>
    </row>
    <row r="139" spans="2:89" ht="12.75" customHeight="1" x14ac:dyDescent="0.2">
      <c r="B139" s="77">
        <v>39972</v>
      </c>
      <c r="C139" s="49">
        <v>47.790000999999997</v>
      </c>
      <c r="D139" s="49">
        <v>41.330002</v>
      </c>
      <c r="E139" s="49">
        <v>35.549999</v>
      </c>
      <c r="F139" s="49">
        <v>44.990001999999997</v>
      </c>
      <c r="G139" s="49">
        <v>29.58</v>
      </c>
      <c r="H139" s="49">
        <v>32.970001000000003</v>
      </c>
      <c r="J139" s="78">
        <f>IF(inter=Weekly_2,J138+$C$5,IF(inter=Bi_weekly_2,0,IF(inter=Monthly_2,0,IF(inter=Quarterly_2,0,IF(inter=Yearly_2,0,IF(inter=None_2,0,0))))))</f>
        <v>0</v>
      </c>
      <c r="K139" s="79">
        <f t="shared" si="127"/>
        <v>0</v>
      </c>
      <c r="L139" s="79">
        <f t="shared" si="128"/>
        <v>0</v>
      </c>
      <c r="M139" s="79">
        <f t="shared" si="129"/>
        <v>0</v>
      </c>
      <c r="N139" s="79">
        <f t="shared" si="130"/>
        <v>0</v>
      </c>
      <c r="O139" s="79">
        <f t="shared" si="131"/>
        <v>0</v>
      </c>
      <c r="P139" s="79">
        <f t="shared" si="132"/>
        <v>0</v>
      </c>
      <c r="Q139" s="79"/>
      <c r="R139" s="80">
        <f t="shared" si="90"/>
        <v>0</v>
      </c>
      <c r="S139" s="80">
        <f t="shared" si="91"/>
        <v>0</v>
      </c>
      <c r="T139" s="80">
        <f t="shared" si="92"/>
        <v>0</v>
      </c>
      <c r="U139" s="80">
        <f t="shared" si="93"/>
        <v>0</v>
      </c>
      <c r="V139" s="80">
        <f t="shared" si="94"/>
        <v>0</v>
      </c>
      <c r="W139" s="80">
        <f t="shared" si="95"/>
        <v>0</v>
      </c>
      <c r="X139" s="80">
        <f t="shared" si="146"/>
        <v>359.80618580564175</v>
      </c>
      <c r="Y139" s="80">
        <f t="shared" si="147"/>
        <v>119.43220461497297</v>
      </c>
      <c r="Z139" s="80">
        <f t="shared" si="148"/>
        <v>110.37602800045316</v>
      </c>
      <c r="AA139" s="80">
        <f t="shared" si="149"/>
        <v>75.159514297920481</v>
      </c>
      <c r="AB139" s="80">
        <f t="shared" si="150"/>
        <v>420.83477061055538</v>
      </c>
      <c r="AC139" s="80">
        <f t="shared" si="151"/>
        <v>222.49238769043237</v>
      </c>
      <c r="AD139" s="80"/>
      <c r="AE139" s="80"/>
      <c r="AF139" s="80"/>
      <c r="AG139" s="80"/>
      <c r="AH139" s="80"/>
      <c r="AI139" s="80"/>
      <c r="AJ139" s="45">
        <f t="shared" si="96"/>
        <v>0</v>
      </c>
      <c r="AK139" s="45">
        <f t="shared" si="97"/>
        <v>0</v>
      </c>
      <c r="AL139" s="45">
        <f t="shared" si="98"/>
        <v>0</v>
      </c>
      <c r="AM139" s="45">
        <f t="shared" si="99"/>
        <v>0</v>
      </c>
      <c r="AN139" s="45">
        <f t="shared" si="100"/>
        <v>0</v>
      </c>
      <c r="AO139" s="45">
        <f t="shared" si="101"/>
        <v>0</v>
      </c>
      <c r="AP139" s="80">
        <f t="shared" si="102"/>
        <v>0</v>
      </c>
      <c r="AQ139" s="80">
        <f t="shared" si="103"/>
        <v>0</v>
      </c>
      <c r="AR139" s="80">
        <f t="shared" si="104"/>
        <v>0</v>
      </c>
      <c r="AS139" s="80">
        <f t="shared" si="105"/>
        <v>0</v>
      </c>
      <c r="AT139" s="80">
        <f t="shared" si="106"/>
        <v>0</v>
      </c>
      <c r="AU139" s="80">
        <f t="shared" si="107"/>
        <v>0</v>
      </c>
      <c r="AV139" s="80">
        <f t="shared" si="152"/>
        <v>8.0558956281542038</v>
      </c>
      <c r="AW139" s="80">
        <f t="shared" si="153"/>
        <v>4.434904681386274</v>
      </c>
      <c r="AX139" s="80">
        <f t="shared" si="154"/>
        <v>3.7823684592038607</v>
      </c>
      <c r="AY139" s="80">
        <f t="shared" si="155"/>
        <v>2.8952575130302551</v>
      </c>
      <c r="AZ139" s="80">
        <f t="shared" si="156"/>
        <v>16.7503044925596</v>
      </c>
      <c r="BA139" s="80">
        <f t="shared" si="157"/>
        <v>13.122255280197196</v>
      </c>
      <c r="BB139" s="80">
        <f t="shared" si="133"/>
        <v>367.86208143379594</v>
      </c>
      <c r="BC139" s="80">
        <f t="shared" si="134"/>
        <v>123.86710929635925</v>
      </c>
      <c r="BD139" s="80">
        <f t="shared" si="135"/>
        <v>114.15839645965703</v>
      </c>
      <c r="BE139" s="80">
        <f t="shared" si="136"/>
        <v>78.05477181095074</v>
      </c>
      <c r="BF139" s="80">
        <f t="shared" si="137"/>
        <v>437.585075103115</v>
      </c>
      <c r="BG139" s="80">
        <f t="shared" si="138"/>
        <v>235.61464297062957</v>
      </c>
      <c r="BH139" s="49">
        <f t="shared" si="139"/>
        <v>0</v>
      </c>
      <c r="BI139" s="79">
        <f t="shared" si="140"/>
        <v>-58447.170854416596</v>
      </c>
      <c r="BJ139" s="79">
        <f t="shared" si="108"/>
        <v>49220.432377987767</v>
      </c>
      <c r="BK139" s="44">
        <f t="shared" si="141"/>
        <v>-0.15786458679773041</v>
      </c>
      <c r="BL139" s="79">
        <f t="shared" si="158"/>
        <v>1743.6091789516711</v>
      </c>
      <c r="BM139" s="49">
        <f t="shared" si="142"/>
        <v>50964.041556939439</v>
      </c>
      <c r="BN139" s="44">
        <f t="shared" si="143"/>
        <v>-0.12803236132877238</v>
      </c>
      <c r="BO139" s="49">
        <f t="shared" si="109"/>
        <v>1761.1214923212337</v>
      </c>
      <c r="BP139" s="49">
        <f t="shared" si="110"/>
        <v>50981.553870309013</v>
      </c>
      <c r="BQ139" s="44">
        <f t="shared" si="111"/>
        <v>-0.1277327349633971</v>
      </c>
      <c r="BS139" s="49">
        <f t="shared" si="112"/>
        <v>58447.170854416596</v>
      </c>
      <c r="BT139" s="49">
        <f t="shared" si="88"/>
        <v>47.790000999999997</v>
      </c>
      <c r="BU139" s="49">
        <f t="shared" si="89"/>
        <v>32.970001000000003</v>
      </c>
      <c r="BV139" s="49">
        <f t="shared" si="113"/>
        <v>0</v>
      </c>
      <c r="BW139" s="18">
        <f t="shared" si="114"/>
        <v>679</v>
      </c>
      <c r="BX139" s="19">
        <f t="shared" si="144"/>
        <v>0.8442660550458716</v>
      </c>
      <c r="BY139" s="49">
        <f t="shared" si="145"/>
        <v>0</v>
      </c>
      <c r="BZ139" s="19">
        <f t="shared" si="115"/>
        <v>0</v>
      </c>
      <c r="CA139" s="19">
        <f t="shared" si="116"/>
        <v>0</v>
      </c>
      <c r="CB139" s="19">
        <f t="shared" si="117"/>
        <v>0</v>
      </c>
      <c r="CC139" s="19">
        <f t="shared" si="118"/>
        <v>0</v>
      </c>
      <c r="CD139" s="19">
        <f t="shared" si="119"/>
        <v>0</v>
      </c>
      <c r="CE139" s="19">
        <f t="shared" si="120"/>
        <v>0</v>
      </c>
      <c r="CF139" s="49">
        <f t="shared" si="121"/>
        <v>0</v>
      </c>
      <c r="CG139" s="49">
        <f t="shared" si="122"/>
        <v>0</v>
      </c>
      <c r="CH139" s="49">
        <f t="shared" si="123"/>
        <v>0</v>
      </c>
      <c r="CI139" s="49">
        <f t="shared" si="124"/>
        <v>0</v>
      </c>
      <c r="CJ139" s="49">
        <f t="shared" si="125"/>
        <v>0</v>
      </c>
      <c r="CK139" s="49">
        <f t="shared" si="126"/>
        <v>0</v>
      </c>
    </row>
    <row r="140" spans="2:89" ht="12.75" customHeight="1" x14ac:dyDescent="0.2">
      <c r="B140" s="77">
        <v>39979</v>
      </c>
      <c r="C140" s="49">
        <v>46.389999000000003</v>
      </c>
      <c r="D140" s="49">
        <v>39.889999000000003</v>
      </c>
      <c r="E140" s="49">
        <v>34.07</v>
      </c>
      <c r="F140" s="49">
        <v>43.16</v>
      </c>
      <c r="G140" s="49">
        <v>28.68</v>
      </c>
      <c r="H140" s="49">
        <v>31.190000999999999</v>
      </c>
      <c r="J140" s="78">
        <f>IF(inter=Weekly_2,J139+$C$5,IF(inter=Bi_weekly_2,J138+$C$5,IF(inter=Monthly_2,0,IF(inter=Quarterly_2,0,IF(inter=Yearly_2,0,IF(inter=None_2,0,0))))))</f>
        <v>49400</v>
      </c>
      <c r="K140" s="79">
        <f t="shared" si="127"/>
        <v>-598.59140028246475</v>
      </c>
      <c r="L140" s="79">
        <f t="shared" si="128"/>
        <v>-175.84947734093203</v>
      </c>
      <c r="M140" s="79">
        <f t="shared" si="129"/>
        <v>-191.48872602456095</v>
      </c>
      <c r="N140" s="79">
        <f t="shared" si="130"/>
        <v>-214.11536290175263</v>
      </c>
      <c r="O140" s="79">
        <f t="shared" si="131"/>
        <v>-280.45877888927134</v>
      </c>
      <c r="P140" s="79">
        <f t="shared" si="132"/>
        <v>-470.46220544302741</v>
      </c>
      <c r="Q140" s="79"/>
      <c r="R140" s="80">
        <f t="shared" si="90"/>
        <v>12.903457925973758</v>
      </c>
      <c r="S140" s="80">
        <f t="shared" si="91"/>
        <v>4.4083600338253204</v>
      </c>
      <c r="T140" s="80">
        <f t="shared" si="92"/>
        <v>5.6204498392885514</v>
      </c>
      <c r="U140" s="80">
        <f t="shared" si="93"/>
        <v>4.9609676297903764</v>
      </c>
      <c r="V140" s="80">
        <f t="shared" si="94"/>
        <v>9.7788974508114137</v>
      </c>
      <c r="W140" s="80">
        <f t="shared" si="95"/>
        <v>15.083750893211816</v>
      </c>
      <c r="X140" s="80">
        <f t="shared" si="146"/>
        <v>372.70964373161553</v>
      </c>
      <c r="Y140" s="80">
        <f t="shared" si="147"/>
        <v>123.84056464879829</v>
      </c>
      <c r="Z140" s="80">
        <f t="shared" si="148"/>
        <v>115.99647783974171</v>
      </c>
      <c r="AA140" s="80">
        <f t="shared" si="149"/>
        <v>80.120481927710856</v>
      </c>
      <c r="AB140" s="80">
        <f t="shared" si="150"/>
        <v>430.61366806136681</v>
      </c>
      <c r="AC140" s="80">
        <f t="shared" si="151"/>
        <v>237.57613858364419</v>
      </c>
      <c r="AD140" s="80"/>
      <c r="AE140" s="80"/>
      <c r="AF140" s="80"/>
      <c r="AG140" s="80"/>
      <c r="AH140" s="80"/>
      <c r="AI140" s="80"/>
      <c r="AJ140" s="45">
        <f t="shared" si="96"/>
        <v>0</v>
      </c>
      <c r="AK140" s="45">
        <f t="shared" si="97"/>
        <v>0</v>
      </c>
      <c r="AL140" s="45">
        <f t="shared" si="98"/>
        <v>0</v>
      </c>
      <c r="AM140" s="45">
        <f t="shared" si="99"/>
        <v>0</v>
      </c>
      <c r="AN140" s="45">
        <f t="shared" si="100"/>
        <v>0</v>
      </c>
      <c r="AO140" s="45">
        <f t="shared" si="101"/>
        <v>0</v>
      </c>
      <c r="AP140" s="80">
        <f t="shared" si="102"/>
        <v>0</v>
      </c>
      <c r="AQ140" s="80">
        <f t="shared" si="103"/>
        <v>0</v>
      </c>
      <c r="AR140" s="80">
        <f t="shared" si="104"/>
        <v>0</v>
      </c>
      <c r="AS140" s="80">
        <f t="shared" si="105"/>
        <v>0</v>
      </c>
      <c r="AT140" s="80">
        <f t="shared" si="106"/>
        <v>0</v>
      </c>
      <c r="AU140" s="80">
        <f t="shared" si="107"/>
        <v>0</v>
      </c>
      <c r="AV140" s="80">
        <f t="shared" si="152"/>
        <v>8.0558956281542038</v>
      </c>
      <c r="AW140" s="80">
        <f t="shared" si="153"/>
        <v>4.434904681386274</v>
      </c>
      <c r="AX140" s="80">
        <f t="shared" si="154"/>
        <v>3.7823684592038607</v>
      </c>
      <c r="AY140" s="80">
        <f t="shared" si="155"/>
        <v>2.8952575130302551</v>
      </c>
      <c r="AZ140" s="80">
        <f t="shared" si="156"/>
        <v>16.7503044925596</v>
      </c>
      <c r="BA140" s="80">
        <f t="shared" si="157"/>
        <v>13.122255280197196</v>
      </c>
      <c r="BB140" s="80">
        <f t="shared" si="133"/>
        <v>380.76553935976972</v>
      </c>
      <c r="BC140" s="80">
        <f t="shared" si="134"/>
        <v>128.27546933018456</v>
      </c>
      <c r="BD140" s="80">
        <f t="shared" si="135"/>
        <v>119.77884629894558</v>
      </c>
      <c r="BE140" s="80">
        <f t="shared" si="136"/>
        <v>83.015739440741115</v>
      </c>
      <c r="BF140" s="80">
        <f t="shared" si="137"/>
        <v>447.36397255392643</v>
      </c>
      <c r="BG140" s="80">
        <f t="shared" si="138"/>
        <v>250.6983938638414</v>
      </c>
      <c r="BH140" s="49">
        <f t="shared" si="139"/>
        <v>0</v>
      </c>
      <c r="BI140" s="79">
        <f t="shared" si="140"/>
        <v>-60378.1368052986</v>
      </c>
      <c r="BJ140" s="79">
        <f t="shared" si="108"/>
        <v>49400</v>
      </c>
      <c r="BK140" s="44">
        <f t="shared" si="141"/>
        <v>-0.18182304698635865</v>
      </c>
      <c r="BL140" s="79">
        <f t="shared" si="158"/>
        <v>1743.6091789516711</v>
      </c>
      <c r="BM140" s="49">
        <f t="shared" si="142"/>
        <v>51143.609178951672</v>
      </c>
      <c r="BN140" s="44">
        <f t="shared" si="143"/>
        <v>-0.15294489222357943</v>
      </c>
      <c r="BO140" s="49">
        <f t="shared" si="109"/>
        <v>1694.1278292654483</v>
      </c>
      <c r="BP140" s="49">
        <f t="shared" si="110"/>
        <v>51094.127829265453</v>
      </c>
      <c r="BQ140" s="44">
        <f t="shared" si="111"/>
        <v>-0.15376441651340278</v>
      </c>
      <c r="BS140" s="49">
        <f t="shared" si="112"/>
        <v>60378.1368052986</v>
      </c>
      <c r="BT140" s="49">
        <f t="shared" si="88"/>
        <v>46.389999000000003</v>
      </c>
      <c r="BU140" s="49">
        <f t="shared" si="89"/>
        <v>31.190000999999999</v>
      </c>
      <c r="BV140" s="49">
        <f t="shared" si="113"/>
        <v>1930.9659508820091</v>
      </c>
      <c r="BW140" s="18">
        <f t="shared" si="114"/>
        <v>686</v>
      </c>
      <c r="BX140" s="19">
        <f t="shared" si="144"/>
        <v>0.84266055045871557</v>
      </c>
      <c r="BY140" s="49">
        <f t="shared" si="145"/>
        <v>1627.148831087271</v>
      </c>
      <c r="BZ140" s="19">
        <f t="shared" si="115"/>
        <v>12.903457925973758</v>
      </c>
      <c r="CA140" s="19">
        <f t="shared" si="116"/>
        <v>4.4083600338253204</v>
      </c>
      <c r="CB140" s="19">
        <f t="shared" si="117"/>
        <v>5.6204498392885514</v>
      </c>
      <c r="CC140" s="19">
        <f t="shared" si="118"/>
        <v>4.9609676297903764</v>
      </c>
      <c r="CD140" s="19">
        <f t="shared" si="119"/>
        <v>9.7788974508114137</v>
      </c>
      <c r="CE140" s="19">
        <f t="shared" si="120"/>
        <v>15.083750893211816</v>
      </c>
      <c r="CF140" s="49">
        <f t="shared" si="121"/>
        <v>-598.59140028246475</v>
      </c>
      <c r="CG140" s="49">
        <f t="shared" si="122"/>
        <v>-175.84947734093203</v>
      </c>
      <c r="CH140" s="49">
        <f t="shared" si="123"/>
        <v>-191.48872602456095</v>
      </c>
      <c r="CI140" s="49">
        <f t="shared" si="124"/>
        <v>-214.11536290175263</v>
      </c>
      <c r="CJ140" s="49">
        <f t="shared" si="125"/>
        <v>-280.45877888927134</v>
      </c>
      <c r="CK140" s="49">
        <f t="shared" si="126"/>
        <v>-470.46220544302741</v>
      </c>
    </row>
    <row r="141" spans="2:89" ht="12.75" customHeight="1" x14ac:dyDescent="0.2">
      <c r="B141" s="77">
        <v>39986</v>
      </c>
      <c r="C141" s="49">
        <v>46.139999000000003</v>
      </c>
      <c r="D141" s="49">
        <v>39.389999000000003</v>
      </c>
      <c r="E141" s="49">
        <v>33.82</v>
      </c>
      <c r="F141" s="49">
        <v>43</v>
      </c>
      <c r="G141" s="49">
        <v>28.780000999999999</v>
      </c>
      <c r="H141" s="49">
        <v>31.99</v>
      </c>
      <c r="J141" s="78">
        <f>IF(inter=Weekly_2,J140+$C$5,IF(inter=Bi_weekly_2,0,IF(inter=Monthly_2,0,IF(inter=Quarterly_2,0,IF(inter=Yearly_2,0,IF(inter=None_2,0,0))))))</f>
        <v>0</v>
      </c>
      <c r="K141" s="79">
        <f t="shared" si="127"/>
        <v>0</v>
      </c>
      <c r="L141" s="79">
        <f t="shared" si="128"/>
        <v>0</v>
      </c>
      <c r="M141" s="79">
        <f t="shared" si="129"/>
        <v>0</v>
      </c>
      <c r="N141" s="79">
        <f t="shared" si="130"/>
        <v>0</v>
      </c>
      <c r="O141" s="79">
        <f t="shared" si="131"/>
        <v>0</v>
      </c>
      <c r="P141" s="79">
        <f t="shared" si="132"/>
        <v>0</v>
      </c>
      <c r="Q141" s="79"/>
      <c r="R141" s="80">
        <f t="shared" si="90"/>
        <v>0</v>
      </c>
      <c r="S141" s="80">
        <f t="shared" si="91"/>
        <v>0</v>
      </c>
      <c r="T141" s="80">
        <f t="shared" si="92"/>
        <v>0</v>
      </c>
      <c r="U141" s="80">
        <f t="shared" si="93"/>
        <v>0</v>
      </c>
      <c r="V141" s="80">
        <f t="shared" si="94"/>
        <v>0</v>
      </c>
      <c r="W141" s="80">
        <f t="shared" si="95"/>
        <v>0</v>
      </c>
      <c r="X141" s="80">
        <f t="shared" si="146"/>
        <v>372.70964373161553</v>
      </c>
      <c r="Y141" s="80">
        <f t="shared" si="147"/>
        <v>123.84056464879829</v>
      </c>
      <c r="Z141" s="80">
        <f t="shared" si="148"/>
        <v>115.99647783974171</v>
      </c>
      <c r="AA141" s="80">
        <f t="shared" si="149"/>
        <v>80.120481927710856</v>
      </c>
      <c r="AB141" s="80">
        <f t="shared" si="150"/>
        <v>430.61366806136681</v>
      </c>
      <c r="AC141" s="80">
        <f t="shared" si="151"/>
        <v>237.57613858364419</v>
      </c>
      <c r="AD141" s="80">
        <v>0.223</v>
      </c>
      <c r="AE141" s="80">
        <v>0.26900000000000002</v>
      </c>
      <c r="AF141" s="80"/>
      <c r="AG141" s="80"/>
      <c r="AH141" s="80"/>
      <c r="AI141" s="80"/>
      <c r="AJ141" s="45">
        <f t="shared" si="96"/>
        <v>83.114250552150267</v>
      </c>
      <c r="AK141" s="45">
        <f t="shared" si="97"/>
        <v>33.313111890526741</v>
      </c>
      <c r="AL141" s="45">
        <f t="shared" si="98"/>
        <v>0</v>
      </c>
      <c r="AM141" s="45">
        <f t="shared" si="99"/>
        <v>0</v>
      </c>
      <c r="AN141" s="45">
        <f t="shared" si="100"/>
        <v>0</v>
      </c>
      <c r="AO141" s="45">
        <f t="shared" si="101"/>
        <v>0</v>
      </c>
      <c r="AP141" s="80">
        <f t="shared" si="102"/>
        <v>1.8013492057542146</v>
      </c>
      <c r="AQ141" s="80">
        <f t="shared" si="103"/>
        <v>0.84572512658674448</v>
      </c>
      <c r="AR141" s="80">
        <f t="shared" si="104"/>
        <v>0</v>
      </c>
      <c r="AS141" s="80">
        <f t="shared" si="105"/>
        <v>0</v>
      </c>
      <c r="AT141" s="80">
        <f t="shared" si="106"/>
        <v>0</v>
      </c>
      <c r="AU141" s="80">
        <f t="shared" si="107"/>
        <v>0</v>
      </c>
      <c r="AV141" s="80">
        <f t="shared" si="152"/>
        <v>9.8572448339084175</v>
      </c>
      <c r="AW141" s="80">
        <f t="shared" si="153"/>
        <v>5.2806298079730185</v>
      </c>
      <c r="AX141" s="80">
        <f t="shared" si="154"/>
        <v>3.7823684592038607</v>
      </c>
      <c r="AY141" s="80">
        <f t="shared" si="155"/>
        <v>2.8952575130302551</v>
      </c>
      <c r="AZ141" s="80">
        <f t="shared" si="156"/>
        <v>16.7503044925596</v>
      </c>
      <c r="BA141" s="80">
        <f t="shared" si="157"/>
        <v>13.122255280197196</v>
      </c>
      <c r="BB141" s="80">
        <f t="shared" si="133"/>
        <v>382.56688856552393</v>
      </c>
      <c r="BC141" s="80">
        <f t="shared" si="134"/>
        <v>129.12119445677132</v>
      </c>
      <c r="BD141" s="80">
        <f t="shared" si="135"/>
        <v>119.77884629894558</v>
      </c>
      <c r="BE141" s="80">
        <f t="shared" si="136"/>
        <v>83.015739440741115</v>
      </c>
      <c r="BF141" s="80">
        <f t="shared" si="137"/>
        <v>447.36397255392643</v>
      </c>
      <c r="BG141" s="80">
        <f t="shared" si="138"/>
        <v>250.6983938638414</v>
      </c>
      <c r="BH141" s="49">
        <f t="shared" si="139"/>
        <v>116.42736244267701</v>
      </c>
      <c r="BI141" s="79">
        <f t="shared" si="140"/>
        <v>-60378.1368052986</v>
      </c>
      <c r="BJ141" s="79">
        <f t="shared" si="108"/>
        <v>49436.206380884913</v>
      </c>
      <c r="BK141" s="44">
        <f t="shared" si="141"/>
        <v>-0.1812233865330779</v>
      </c>
      <c r="BL141" s="79">
        <f t="shared" si="158"/>
        <v>1860.0365413943482</v>
      </c>
      <c r="BM141" s="49">
        <f t="shared" si="142"/>
        <v>51296.242922279263</v>
      </c>
      <c r="BN141" s="44">
        <f t="shared" si="143"/>
        <v>-0.15041692843728716</v>
      </c>
      <c r="BO141" s="49">
        <f t="shared" si="109"/>
        <v>1817.0877704449706</v>
      </c>
      <c r="BP141" s="49">
        <f t="shared" si="110"/>
        <v>51253.294151329887</v>
      </c>
      <c r="BQ141" s="44">
        <f t="shared" si="111"/>
        <v>-0.15112825828649856</v>
      </c>
      <c r="BS141" s="49">
        <f t="shared" si="112"/>
        <v>60378.1368052986</v>
      </c>
      <c r="BT141" s="49">
        <f t="shared" si="88"/>
        <v>46.139999000000003</v>
      </c>
      <c r="BU141" s="49">
        <f t="shared" si="89"/>
        <v>31.99</v>
      </c>
      <c r="BV141" s="49">
        <f t="shared" si="113"/>
        <v>-116.42736244267701</v>
      </c>
      <c r="BW141" s="18">
        <f t="shared" si="114"/>
        <v>693</v>
      </c>
      <c r="BX141" s="19">
        <f t="shared" si="144"/>
        <v>0.84105504587155966</v>
      </c>
      <c r="BY141" s="49">
        <f t="shared" si="145"/>
        <v>-97.921820659930418</v>
      </c>
      <c r="BZ141" s="19">
        <f t="shared" si="115"/>
        <v>0</v>
      </c>
      <c r="CA141" s="19">
        <f t="shared" si="116"/>
        <v>0</v>
      </c>
      <c r="CB141" s="19">
        <f t="shared" si="117"/>
        <v>0</v>
      </c>
      <c r="CC141" s="19">
        <f t="shared" si="118"/>
        <v>0</v>
      </c>
      <c r="CD141" s="19">
        <f t="shared" si="119"/>
        <v>0</v>
      </c>
      <c r="CE141" s="19">
        <f t="shared" si="120"/>
        <v>0</v>
      </c>
      <c r="CF141" s="49">
        <f t="shared" si="121"/>
        <v>0</v>
      </c>
      <c r="CG141" s="49">
        <f t="shared" si="122"/>
        <v>0</v>
      </c>
      <c r="CH141" s="49">
        <f t="shared" si="123"/>
        <v>0</v>
      </c>
      <c r="CI141" s="49">
        <f t="shared" si="124"/>
        <v>0</v>
      </c>
      <c r="CJ141" s="49">
        <f t="shared" si="125"/>
        <v>0</v>
      </c>
      <c r="CK141" s="49">
        <f t="shared" si="126"/>
        <v>0</v>
      </c>
    </row>
    <row r="142" spans="2:89" ht="12.75" customHeight="1" x14ac:dyDescent="0.2">
      <c r="B142" s="77">
        <v>39993</v>
      </c>
      <c r="C142" s="49">
        <v>45.32</v>
      </c>
      <c r="D142" s="49">
        <v>38.520000000000003</v>
      </c>
      <c r="E142" s="49">
        <v>33.400002000000001</v>
      </c>
      <c r="F142" s="49">
        <v>42.459999000000003</v>
      </c>
      <c r="G142" s="49">
        <v>28.35</v>
      </c>
      <c r="H142" s="49">
        <v>31.559999000000001</v>
      </c>
      <c r="J142" s="78">
        <f>IF(inter=Weekly_2,J141+$C$5,IF(inter=Bi_weekly_2,J140+$C$5,IF(inter=Monthly_2,J138+$C$5,IF(inter=Quarterly_2,0,IF(inter=Yearly_2,0,IF(inter=None_2,0,0))))))</f>
        <v>50000</v>
      </c>
      <c r="K142" s="79">
        <f t="shared" si="127"/>
        <v>-608.798946083185</v>
      </c>
      <c r="L142" s="79">
        <f t="shared" si="128"/>
        <v>-229.66144972828897</v>
      </c>
      <c r="M142" s="79">
        <f t="shared" si="129"/>
        <v>-125.71740815967087</v>
      </c>
      <c r="N142" s="79">
        <f t="shared" si="130"/>
        <v>-98.084417469879099</v>
      </c>
      <c r="O142" s="79">
        <f t="shared" si="131"/>
        <v>-292.10251046025041</v>
      </c>
      <c r="P142" s="79">
        <f t="shared" si="132"/>
        <v>-2.0973038763277145</v>
      </c>
      <c r="Q142" s="79"/>
      <c r="R142" s="80">
        <f t="shared" si="90"/>
        <v>13.43333949874636</v>
      </c>
      <c r="S142" s="80">
        <f t="shared" si="91"/>
        <v>5.9621352473595266</v>
      </c>
      <c r="T142" s="80">
        <f t="shared" si="92"/>
        <v>3.7639940308887065</v>
      </c>
      <c r="U142" s="80">
        <f t="shared" si="93"/>
        <v>2.3100428586886941</v>
      </c>
      <c r="V142" s="80">
        <f t="shared" si="94"/>
        <v>10.303439522407421</v>
      </c>
      <c r="W142" s="80">
        <f t="shared" si="95"/>
        <v>6.645449755330203E-2</v>
      </c>
      <c r="X142" s="80">
        <f t="shared" si="146"/>
        <v>386.14298323036189</v>
      </c>
      <c r="Y142" s="80">
        <f t="shared" si="147"/>
        <v>129.80269989615783</v>
      </c>
      <c r="Z142" s="80">
        <f t="shared" si="148"/>
        <v>119.76047187063043</v>
      </c>
      <c r="AA142" s="80">
        <f t="shared" si="149"/>
        <v>82.430524786399545</v>
      </c>
      <c r="AB142" s="80">
        <f t="shared" si="150"/>
        <v>440.91710758377423</v>
      </c>
      <c r="AC142" s="80">
        <f t="shared" si="151"/>
        <v>237.6425930811975</v>
      </c>
      <c r="AD142" s="80"/>
      <c r="AE142" s="80"/>
      <c r="AF142" s="80"/>
      <c r="AG142" s="80"/>
      <c r="AH142" s="80"/>
      <c r="AI142" s="80"/>
      <c r="AJ142" s="45">
        <f t="shared" si="96"/>
        <v>0</v>
      </c>
      <c r="AK142" s="45">
        <f t="shared" si="97"/>
        <v>0</v>
      </c>
      <c r="AL142" s="45">
        <f t="shared" si="98"/>
        <v>0</v>
      </c>
      <c r="AM142" s="45">
        <f t="shared" si="99"/>
        <v>0</v>
      </c>
      <c r="AN142" s="45">
        <f t="shared" si="100"/>
        <v>0</v>
      </c>
      <c r="AO142" s="45">
        <f t="shared" si="101"/>
        <v>0</v>
      </c>
      <c r="AP142" s="80">
        <f t="shared" si="102"/>
        <v>0</v>
      </c>
      <c r="AQ142" s="80">
        <f t="shared" si="103"/>
        <v>0</v>
      </c>
      <c r="AR142" s="80">
        <f t="shared" si="104"/>
        <v>0</v>
      </c>
      <c r="AS142" s="80">
        <f t="shared" si="105"/>
        <v>0</v>
      </c>
      <c r="AT142" s="80">
        <f t="shared" si="106"/>
        <v>0</v>
      </c>
      <c r="AU142" s="80">
        <f t="shared" si="107"/>
        <v>0</v>
      </c>
      <c r="AV142" s="80">
        <f t="shared" si="152"/>
        <v>9.8572448339084175</v>
      </c>
      <c r="AW142" s="80">
        <f t="shared" si="153"/>
        <v>5.2806298079730185</v>
      </c>
      <c r="AX142" s="80">
        <f t="shared" si="154"/>
        <v>3.7823684592038607</v>
      </c>
      <c r="AY142" s="80">
        <f t="shared" si="155"/>
        <v>2.8952575130302551</v>
      </c>
      <c r="AZ142" s="80">
        <f t="shared" si="156"/>
        <v>16.7503044925596</v>
      </c>
      <c r="BA142" s="80">
        <f t="shared" si="157"/>
        <v>13.122255280197196</v>
      </c>
      <c r="BB142" s="80">
        <f t="shared" si="133"/>
        <v>396.00022806427029</v>
      </c>
      <c r="BC142" s="80">
        <f t="shared" si="134"/>
        <v>135.08332970413085</v>
      </c>
      <c r="BD142" s="80">
        <f t="shared" si="135"/>
        <v>123.54284032983429</v>
      </c>
      <c r="BE142" s="80">
        <f t="shared" si="136"/>
        <v>85.325782299429804</v>
      </c>
      <c r="BF142" s="80">
        <f t="shared" si="137"/>
        <v>457.66741207633385</v>
      </c>
      <c r="BG142" s="80">
        <f t="shared" si="138"/>
        <v>250.76484836139471</v>
      </c>
      <c r="BH142" s="49">
        <f t="shared" si="139"/>
        <v>0</v>
      </c>
      <c r="BI142" s="79">
        <f t="shared" si="140"/>
        <v>-61734.598841076193</v>
      </c>
      <c r="BJ142" s="79">
        <f t="shared" si="108"/>
        <v>50000</v>
      </c>
      <c r="BK142" s="44">
        <f t="shared" si="141"/>
        <v>-0.19008139781202193</v>
      </c>
      <c r="BL142" s="79">
        <f t="shared" si="158"/>
        <v>1860.0365413943482</v>
      </c>
      <c r="BM142" s="49">
        <f t="shared" si="142"/>
        <v>51860.036541394351</v>
      </c>
      <c r="BN142" s="44">
        <f t="shared" si="143"/>
        <v>-0.15995183389952849</v>
      </c>
      <c r="BO142" s="49">
        <f t="shared" si="109"/>
        <v>1788.4134371708362</v>
      </c>
      <c r="BP142" s="49">
        <f t="shared" si="110"/>
        <v>51788.413437170842</v>
      </c>
      <c r="BQ142" s="44">
        <f t="shared" si="111"/>
        <v>-0.16111201158866983</v>
      </c>
      <c r="BS142" s="49">
        <f t="shared" si="112"/>
        <v>61734.598841076193</v>
      </c>
      <c r="BT142" s="49">
        <f t="shared" si="88"/>
        <v>45.32</v>
      </c>
      <c r="BU142" s="49">
        <f t="shared" si="89"/>
        <v>31.559999000000001</v>
      </c>
      <c r="BV142" s="49">
        <f t="shared" si="113"/>
        <v>1356.4620357776021</v>
      </c>
      <c r="BW142" s="18">
        <f t="shared" si="114"/>
        <v>700</v>
      </c>
      <c r="BX142" s="19">
        <f t="shared" si="144"/>
        <v>0.83944954128440363</v>
      </c>
      <c r="BY142" s="49">
        <f t="shared" si="145"/>
        <v>1138.6814337032163</v>
      </c>
      <c r="BZ142" s="19">
        <f t="shared" si="115"/>
        <v>13.43333949874636</v>
      </c>
      <c r="CA142" s="19">
        <f t="shared" si="116"/>
        <v>5.9621352473595266</v>
      </c>
      <c r="CB142" s="19">
        <f t="shared" si="117"/>
        <v>3.7639940308887065</v>
      </c>
      <c r="CC142" s="19">
        <f t="shared" si="118"/>
        <v>2.3100428586886941</v>
      </c>
      <c r="CD142" s="19">
        <f t="shared" si="119"/>
        <v>10.303439522407421</v>
      </c>
      <c r="CE142" s="19">
        <f t="shared" si="120"/>
        <v>6.645449755330203E-2</v>
      </c>
      <c r="CF142" s="49">
        <f t="shared" si="121"/>
        <v>-608.798946083185</v>
      </c>
      <c r="CG142" s="49">
        <f t="shared" si="122"/>
        <v>-229.66144972828897</v>
      </c>
      <c r="CH142" s="49">
        <f t="shared" si="123"/>
        <v>-125.71740815967087</v>
      </c>
      <c r="CI142" s="49">
        <f t="shared" si="124"/>
        <v>-98.084417469879099</v>
      </c>
      <c r="CJ142" s="49">
        <f t="shared" si="125"/>
        <v>-292.10251046025041</v>
      </c>
      <c r="CK142" s="49">
        <f t="shared" si="126"/>
        <v>-2.0973038763277145</v>
      </c>
    </row>
    <row r="143" spans="2:89" ht="12.75" customHeight="1" x14ac:dyDescent="0.2">
      <c r="B143" s="77">
        <v>40000</v>
      </c>
      <c r="C143" s="49">
        <v>44.139999000000003</v>
      </c>
      <c r="D143" s="49">
        <v>37.479999999999997</v>
      </c>
      <c r="E143" s="49">
        <v>32.419998</v>
      </c>
      <c r="F143" s="49">
        <v>40.810001</v>
      </c>
      <c r="G143" s="49">
        <v>27.549999</v>
      </c>
      <c r="H143" s="49">
        <v>30.65</v>
      </c>
      <c r="J143" s="78">
        <f>IF(inter=Weekly_2,J142+$C$5,IF(inter=Bi_weekly_2,0,IF(inter=Monthly_2,0,IF(inter=Quarterly_2,0,IF(inter=Yearly_2,0,IF(inter=None_2,0,0))))))</f>
        <v>0</v>
      </c>
      <c r="K143" s="79">
        <f t="shared" si="127"/>
        <v>0</v>
      </c>
      <c r="L143" s="79">
        <f t="shared" si="128"/>
        <v>0</v>
      </c>
      <c r="M143" s="79">
        <f t="shared" si="129"/>
        <v>0</v>
      </c>
      <c r="N143" s="79">
        <f t="shared" si="130"/>
        <v>0</v>
      </c>
      <c r="O143" s="79">
        <f t="shared" si="131"/>
        <v>0</v>
      </c>
      <c r="P143" s="79">
        <f t="shared" si="132"/>
        <v>0</v>
      </c>
      <c r="Q143" s="79"/>
      <c r="R143" s="80">
        <f t="shared" si="90"/>
        <v>0</v>
      </c>
      <c r="S143" s="80">
        <f t="shared" si="91"/>
        <v>0</v>
      </c>
      <c r="T143" s="80">
        <f t="shared" si="92"/>
        <v>0</v>
      </c>
      <c r="U143" s="80">
        <f t="shared" si="93"/>
        <v>0</v>
      </c>
      <c r="V143" s="80">
        <f t="shared" si="94"/>
        <v>0</v>
      </c>
      <c r="W143" s="80">
        <f t="shared" si="95"/>
        <v>0</v>
      </c>
      <c r="X143" s="80">
        <f t="shared" si="146"/>
        <v>386.14298323036189</v>
      </c>
      <c r="Y143" s="80">
        <f t="shared" si="147"/>
        <v>129.80269989615783</v>
      </c>
      <c r="Z143" s="80">
        <f t="shared" si="148"/>
        <v>119.76047187063043</v>
      </c>
      <c r="AA143" s="80">
        <f t="shared" si="149"/>
        <v>82.430524786399545</v>
      </c>
      <c r="AB143" s="80">
        <f t="shared" si="150"/>
        <v>440.91710758377423</v>
      </c>
      <c r="AC143" s="80">
        <f t="shared" si="151"/>
        <v>237.6425930811975</v>
      </c>
      <c r="AD143" s="80"/>
      <c r="AE143" s="80"/>
      <c r="AF143" s="80"/>
      <c r="AG143" s="80"/>
      <c r="AH143" s="80"/>
      <c r="AI143" s="80"/>
      <c r="AJ143" s="45">
        <f t="shared" si="96"/>
        <v>0</v>
      </c>
      <c r="AK143" s="45">
        <f t="shared" si="97"/>
        <v>0</v>
      </c>
      <c r="AL143" s="45">
        <f t="shared" si="98"/>
        <v>0</v>
      </c>
      <c r="AM143" s="45">
        <f t="shared" si="99"/>
        <v>0</v>
      </c>
      <c r="AN143" s="45">
        <f t="shared" si="100"/>
        <v>0</v>
      </c>
      <c r="AO143" s="45">
        <f t="shared" si="101"/>
        <v>0</v>
      </c>
      <c r="AP143" s="80">
        <f t="shared" si="102"/>
        <v>0</v>
      </c>
      <c r="AQ143" s="80">
        <f t="shared" si="103"/>
        <v>0</v>
      </c>
      <c r="AR143" s="80">
        <f t="shared" si="104"/>
        <v>0</v>
      </c>
      <c r="AS143" s="80">
        <f t="shared" si="105"/>
        <v>0</v>
      </c>
      <c r="AT143" s="80">
        <f t="shared" si="106"/>
        <v>0</v>
      </c>
      <c r="AU143" s="80">
        <f t="shared" si="107"/>
        <v>0</v>
      </c>
      <c r="AV143" s="80">
        <f t="shared" si="152"/>
        <v>9.8572448339084175</v>
      </c>
      <c r="AW143" s="80">
        <f t="shared" si="153"/>
        <v>5.2806298079730185</v>
      </c>
      <c r="AX143" s="80">
        <f t="shared" si="154"/>
        <v>3.7823684592038607</v>
      </c>
      <c r="AY143" s="80">
        <f t="shared" si="155"/>
        <v>2.8952575130302551</v>
      </c>
      <c r="AZ143" s="80">
        <f t="shared" si="156"/>
        <v>16.7503044925596</v>
      </c>
      <c r="BA143" s="80">
        <f t="shared" si="157"/>
        <v>13.122255280197196</v>
      </c>
      <c r="BB143" s="80">
        <f t="shared" si="133"/>
        <v>396.00022806427029</v>
      </c>
      <c r="BC143" s="80">
        <f t="shared" si="134"/>
        <v>135.08332970413085</v>
      </c>
      <c r="BD143" s="80">
        <f t="shared" si="135"/>
        <v>123.54284032983429</v>
      </c>
      <c r="BE143" s="80">
        <f t="shared" si="136"/>
        <v>85.325782299429804</v>
      </c>
      <c r="BF143" s="80">
        <f t="shared" si="137"/>
        <v>457.66741207633385</v>
      </c>
      <c r="BG143" s="80">
        <f t="shared" si="138"/>
        <v>250.76484836139471</v>
      </c>
      <c r="BH143" s="49">
        <f t="shared" si="139"/>
        <v>0</v>
      </c>
      <c r="BI143" s="79">
        <f t="shared" si="140"/>
        <v>-61734.598841076193</v>
      </c>
      <c r="BJ143" s="79">
        <f t="shared" si="108"/>
        <v>48586.991494196147</v>
      </c>
      <c r="BK143" s="44">
        <f t="shared" si="141"/>
        <v>-0.21296983529002955</v>
      </c>
      <c r="BL143" s="79">
        <f t="shared" si="158"/>
        <v>1860.0365413943482</v>
      </c>
      <c r="BM143" s="49">
        <f t="shared" si="142"/>
        <v>50447.028035590498</v>
      </c>
      <c r="BN143" s="44">
        <f t="shared" si="143"/>
        <v>-0.18284027137753611</v>
      </c>
      <c r="BO143" s="49">
        <f t="shared" si="109"/>
        <v>1737.4646185567324</v>
      </c>
      <c r="BP143" s="49">
        <f t="shared" si="110"/>
        <v>50324.456112752887</v>
      </c>
      <c r="BQ143" s="44">
        <f t="shared" si="111"/>
        <v>-0.18482573698577864</v>
      </c>
      <c r="BS143" s="49">
        <f t="shared" si="112"/>
        <v>61734.598841076193</v>
      </c>
      <c r="BT143" s="49">
        <f t="shared" si="88"/>
        <v>44.139999000000003</v>
      </c>
      <c r="BU143" s="49">
        <f t="shared" si="89"/>
        <v>30.65</v>
      </c>
      <c r="BV143" s="49">
        <f t="shared" si="113"/>
        <v>0</v>
      </c>
      <c r="BW143" s="18">
        <f t="shared" si="114"/>
        <v>707</v>
      </c>
      <c r="BX143" s="19">
        <f t="shared" si="144"/>
        <v>0.83784403669724772</v>
      </c>
      <c r="BY143" s="49">
        <f t="shared" si="145"/>
        <v>0</v>
      </c>
      <c r="BZ143" s="19">
        <f t="shared" si="115"/>
        <v>0</v>
      </c>
      <c r="CA143" s="19">
        <f t="shared" si="116"/>
        <v>0</v>
      </c>
      <c r="CB143" s="19">
        <f t="shared" si="117"/>
        <v>0</v>
      </c>
      <c r="CC143" s="19">
        <f t="shared" si="118"/>
        <v>0</v>
      </c>
      <c r="CD143" s="19">
        <f t="shared" si="119"/>
        <v>0</v>
      </c>
      <c r="CE143" s="19">
        <f t="shared" si="120"/>
        <v>0</v>
      </c>
      <c r="CF143" s="49">
        <f t="shared" si="121"/>
        <v>0</v>
      </c>
      <c r="CG143" s="49">
        <f t="shared" si="122"/>
        <v>0</v>
      </c>
      <c r="CH143" s="49">
        <f t="shared" si="123"/>
        <v>0</v>
      </c>
      <c r="CI143" s="49">
        <f t="shared" si="124"/>
        <v>0</v>
      </c>
      <c r="CJ143" s="49">
        <f t="shared" si="125"/>
        <v>0</v>
      </c>
      <c r="CK143" s="49">
        <f t="shared" si="126"/>
        <v>0</v>
      </c>
    </row>
    <row r="144" spans="2:89" ht="12.75" customHeight="1" x14ac:dyDescent="0.2">
      <c r="B144" s="77">
        <v>40007</v>
      </c>
      <c r="C144" s="49">
        <v>47.32</v>
      </c>
      <c r="D144" s="49">
        <v>40.200001</v>
      </c>
      <c r="E144" s="49">
        <v>34.950001</v>
      </c>
      <c r="F144" s="49">
        <v>44.200001</v>
      </c>
      <c r="G144" s="49">
        <v>29.4</v>
      </c>
      <c r="H144" s="49">
        <v>33.139999000000003</v>
      </c>
      <c r="J144" s="78">
        <f>IF(inter=Weekly_2,J143+$C$5,IF(inter=Bi_weekly_2,J142+$C$5,IF(inter=Monthly_2,0,IF(inter=Quarterly_2,0,IF(inter=Yearly_2,0,IF(inter=None_2,0,0))))))</f>
        <v>50600</v>
      </c>
      <c r="K144" s="79">
        <f t="shared" si="127"/>
        <v>562.28596646072401</v>
      </c>
      <c r="L144" s="79">
        <f t="shared" si="128"/>
        <v>158.06866562824507</v>
      </c>
      <c r="M144" s="79">
        <f t="shared" si="129"/>
        <v>137.62861163900561</v>
      </c>
      <c r="N144" s="79">
        <f t="shared" si="130"/>
        <v>101.42927798938445</v>
      </c>
      <c r="O144" s="79">
        <f t="shared" si="131"/>
        <v>312.96296296296168</v>
      </c>
      <c r="P144" s="79">
        <f t="shared" si="132"/>
        <v>285.475297068293</v>
      </c>
      <c r="Q144" s="79"/>
      <c r="R144" s="80">
        <f t="shared" si="90"/>
        <v>-11.882628200776077</v>
      </c>
      <c r="S144" s="80">
        <f t="shared" si="91"/>
        <v>-3.9320562610992242</v>
      </c>
      <c r="T144" s="80">
        <f t="shared" si="92"/>
        <v>-3.9378714649823792</v>
      </c>
      <c r="U144" s="80">
        <f t="shared" si="93"/>
        <v>-2.2947799930905983</v>
      </c>
      <c r="V144" s="80">
        <f t="shared" si="94"/>
        <v>-10.644998740236792</v>
      </c>
      <c r="W144" s="80">
        <f t="shared" si="95"/>
        <v>-8.6142216560807068</v>
      </c>
      <c r="X144" s="80">
        <f t="shared" si="146"/>
        <v>374.26035502958581</v>
      </c>
      <c r="Y144" s="80">
        <f t="shared" si="147"/>
        <v>125.87064363505861</v>
      </c>
      <c r="Z144" s="80">
        <f t="shared" si="148"/>
        <v>115.82260040564805</v>
      </c>
      <c r="AA144" s="80">
        <f t="shared" si="149"/>
        <v>80.135744793308945</v>
      </c>
      <c r="AB144" s="80">
        <f t="shared" si="150"/>
        <v>430.27210884353741</v>
      </c>
      <c r="AC144" s="80">
        <f t="shared" si="151"/>
        <v>229.0283714251168</v>
      </c>
      <c r="AD144" s="80"/>
      <c r="AE144" s="80"/>
      <c r="AF144" s="80"/>
      <c r="AG144" s="80"/>
      <c r="AH144" s="80"/>
      <c r="AI144" s="80"/>
      <c r="AJ144" s="45">
        <f t="shared" si="96"/>
        <v>0</v>
      </c>
      <c r="AK144" s="45">
        <f t="shared" si="97"/>
        <v>0</v>
      </c>
      <c r="AL144" s="45">
        <f t="shared" si="98"/>
        <v>0</v>
      </c>
      <c r="AM144" s="45">
        <f t="shared" si="99"/>
        <v>0</v>
      </c>
      <c r="AN144" s="45">
        <f t="shared" si="100"/>
        <v>0</v>
      </c>
      <c r="AO144" s="45">
        <f t="shared" si="101"/>
        <v>0</v>
      </c>
      <c r="AP144" s="80">
        <f t="shared" si="102"/>
        <v>0</v>
      </c>
      <c r="AQ144" s="80">
        <f t="shared" si="103"/>
        <v>0</v>
      </c>
      <c r="AR144" s="80">
        <f t="shared" si="104"/>
        <v>0</v>
      </c>
      <c r="AS144" s="80">
        <f t="shared" si="105"/>
        <v>0</v>
      </c>
      <c r="AT144" s="80">
        <f t="shared" si="106"/>
        <v>0</v>
      </c>
      <c r="AU144" s="80">
        <f t="shared" si="107"/>
        <v>0</v>
      </c>
      <c r="AV144" s="80">
        <f t="shared" si="152"/>
        <v>9.8572448339084175</v>
      </c>
      <c r="AW144" s="80">
        <f t="shared" si="153"/>
        <v>5.2806298079730185</v>
      </c>
      <c r="AX144" s="80">
        <f t="shared" si="154"/>
        <v>3.7823684592038607</v>
      </c>
      <c r="AY144" s="80">
        <f t="shared" si="155"/>
        <v>2.8952575130302551</v>
      </c>
      <c r="AZ144" s="80">
        <f t="shared" si="156"/>
        <v>16.7503044925596</v>
      </c>
      <c r="BA144" s="80">
        <f t="shared" si="157"/>
        <v>13.122255280197196</v>
      </c>
      <c r="BB144" s="80">
        <f t="shared" si="133"/>
        <v>384.11759986349421</v>
      </c>
      <c r="BC144" s="80">
        <f t="shared" si="134"/>
        <v>131.15127344303164</v>
      </c>
      <c r="BD144" s="80">
        <f t="shared" si="135"/>
        <v>119.60496886485191</v>
      </c>
      <c r="BE144" s="80">
        <f t="shared" si="136"/>
        <v>83.031002306339204</v>
      </c>
      <c r="BF144" s="80">
        <f t="shared" si="137"/>
        <v>447.02241333609703</v>
      </c>
      <c r="BG144" s="80">
        <f t="shared" si="138"/>
        <v>242.15062670531401</v>
      </c>
      <c r="BH144" s="49">
        <f t="shared" si="139"/>
        <v>0</v>
      </c>
      <c r="BI144" s="79">
        <f t="shared" si="140"/>
        <v>-60176.748059327569</v>
      </c>
      <c r="BJ144" s="79">
        <f t="shared" si="108"/>
        <v>50600</v>
      </c>
      <c r="BK144" s="44">
        <f t="shared" si="141"/>
        <v>-0.15914366209829023</v>
      </c>
      <c r="BL144" s="79">
        <f t="shared" si="158"/>
        <v>1860.0365413943482</v>
      </c>
      <c r="BM144" s="49">
        <f t="shared" si="142"/>
        <v>52460.036541394351</v>
      </c>
      <c r="BN144" s="44">
        <f t="shared" si="143"/>
        <v>-0.12823410647457056</v>
      </c>
      <c r="BO144" s="49">
        <f t="shared" si="109"/>
        <v>1866.2207944491618</v>
      </c>
      <c r="BP144" s="49">
        <f t="shared" si="110"/>
        <v>52466.220794449167</v>
      </c>
      <c r="BQ144" s="44">
        <f t="shared" si="111"/>
        <v>-0.12813133832484069</v>
      </c>
      <c r="BS144" s="49">
        <f t="shared" si="112"/>
        <v>60176.748059327569</v>
      </c>
      <c r="BT144" s="49">
        <f t="shared" si="88"/>
        <v>47.32</v>
      </c>
      <c r="BU144" s="49">
        <f t="shared" si="89"/>
        <v>33.139999000000003</v>
      </c>
      <c r="BV144" s="49">
        <f t="shared" si="113"/>
        <v>-1557.8507817486138</v>
      </c>
      <c r="BW144" s="18">
        <f t="shared" si="114"/>
        <v>714</v>
      </c>
      <c r="BX144" s="19">
        <f t="shared" si="144"/>
        <v>0.83623853211009169</v>
      </c>
      <c r="BY144" s="49">
        <f t="shared" si="145"/>
        <v>-1302.7348509760197</v>
      </c>
      <c r="BZ144" s="19">
        <f t="shared" si="115"/>
        <v>0</v>
      </c>
      <c r="CA144" s="19">
        <f t="shared" si="116"/>
        <v>0</v>
      </c>
      <c r="CB144" s="19">
        <f t="shared" si="117"/>
        <v>0</v>
      </c>
      <c r="CC144" s="19">
        <f t="shared" si="118"/>
        <v>0</v>
      </c>
      <c r="CD144" s="19">
        <f t="shared" si="119"/>
        <v>0</v>
      </c>
      <c r="CE144" s="19">
        <f t="shared" si="120"/>
        <v>0</v>
      </c>
      <c r="CF144" s="49">
        <f t="shared" si="121"/>
        <v>0</v>
      </c>
      <c r="CG144" s="49">
        <f t="shared" si="122"/>
        <v>0</v>
      </c>
      <c r="CH144" s="49">
        <f t="shared" si="123"/>
        <v>0</v>
      </c>
      <c r="CI144" s="49">
        <f t="shared" si="124"/>
        <v>0</v>
      </c>
      <c r="CJ144" s="49">
        <f t="shared" si="125"/>
        <v>0</v>
      </c>
      <c r="CK144" s="49">
        <f t="shared" si="126"/>
        <v>0</v>
      </c>
    </row>
    <row r="145" spans="2:89" ht="12.75" customHeight="1" x14ac:dyDescent="0.2">
      <c r="B145" s="77">
        <v>40014</v>
      </c>
      <c r="C145" s="49">
        <v>49.389999000000003</v>
      </c>
      <c r="D145" s="49">
        <v>42.130001</v>
      </c>
      <c r="E145" s="49">
        <v>37.099997999999999</v>
      </c>
      <c r="F145" s="49">
        <v>46.740001999999997</v>
      </c>
      <c r="G145" s="49">
        <v>30.870000999999998</v>
      </c>
      <c r="H145" s="49">
        <v>34.860000999999997</v>
      </c>
      <c r="J145" s="78">
        <f>IF(inter=Weekly_2,J144+$C$5,IF(inter=Bi_weekly_2,0,IF(inter=Monthly_2,0,IF(inter=Quarterly_2,0,IF(inter=Yearly_2,0,IF(inter=None_2,0,0))))))</f>
        <v>0</v>
      </c>
      <c r="K145" s="79">
        <f t="shared" si="127"/>
        <v>0</v>
      </c>
      <c r="L145" s="79">
        <f t="shared" si="128"/>
        <v>0</v>
      </c>
      <c r="M145" s="79">
        <f t="shared" si="129"/>
        <v>0</v>
      </c>
      <c r="N145" s="79">
        <f t="shared" si="130"/>
        <v>0</v>
      </c>
      <c r="O145" s="79">
        <f t="shared" si="131"/>
        <v>0</v>
      </c>
      <c r="P145" s="79">
        <f t="shared" si="132"/>
        <v>0</v>
      </c>
      <c r="Q145" s="79"/>
      <c r="R145" s="80">
        <f t="shared" si="90"/>
        <v>0</v>
      </c>
      <c r="S145" s="80">
        <f t="shared" si="91"/>
        <v>0</v>
      </c>
      <c r="T145" s="80">
        <f t="shared" si="92"/>
        <v>0</v>
      </c>
      <c r="U145" s="80">
        <f t="shared" si="93"/>
        <v>0</v>
      </c>
      <c r="V145" s="80">
        <f t="shared" si="94"/>
        <v>0</v>
      </c>
      <c r="W145" s="80">
        <f t="shared" si="95"/>
        <v>0</v>
      </c>
      <c r="X145" s="80">
        <f t="shared" si="146"/>
        <v>374.26035502958581</v>
      </c>
      <c r="Y145" s="80">
        <f t="shared" si="147"/>
        <v>125.87064363505861</v>
      </c>
      <c r="Z145" s="80">
        <f t="shared" si="148"/>
        <v>115.82260040564805</v>
      </c>
      <c r="AA145" s="80">
        <f t="shared" si="149"/>
        <v>80.135744793308945</v>
      </c>
      <c r="AB145" s="80">
        <f t="shared" si="150"/>
        <v>430.27210884353741</v>
      </c>
      <c r="AC145" s="80">
        <f t="shared" si="151"/>
        <v>229.0283714251168</v>
      </c>
      <c r="AD145" s="80"/>
      <c r="AE145" s="80"/>
      <c r="AF145" s="80"/>
      <c r="AG145" s="80"/>
      <c r="AH145" s="80"/>
      <c r="AI145" s="80"/>
      <c r="AJ145" s="45">
        <f t="shared" si="96"/>
        <v>0</v>
      </c>
      <c r="AK145" s="45">
        <f t="shared" si="97"/>
        <v>0</v>
      </c>
      <c r="AL145" s="45">
        <f t="shared" si="98"/>
        <v>0</v>
      </c>
      <c r="AM145" s="45">
        <f t="shared" si="99"/>
        <v>0</v>
      </c>
      <c r="AN145" s="45">
        <f t="shared" si="100"/>
        <v>0</v>
      </c>
      <c r="AO145" s="45">
        <f t="shared" si="101"/>
        <v>0</v>
      </c>
      <c r="AP145" s="80">
        <f t="shared" si="102"/>
        <v>0</v>
      </c>
      <c r="AQ145" s="80">
        <f t="shared" si="103"/>
        <v>0</v>
      </c>
      <c r="AR145" s="80">
        <f t="shared" si="104"/>
        <v>0</v>
      </c>
      <c r="AS145" s="80">
        <f t="shared" si="105"/>
        <v>0</v>
      </c>
      <c r="AT145" s="80">
        <f t="shared" si="106"/>
        <v>0</v>
      </c>
      <c r="AU145" s="80">
        <f t="shared" si="107"/>
        <v>0</v>
      </c>
      <c r="AV145" s="80">
        <f t="shared" si="152"/>
        <v>9.8572448339084175</v>
      </c>
      <c r="AW145" s="80">
        <f t="shared" si="153"/>
        <v>5.2806298079730185</v>
      </c>
      <c r="AX145" s="80">
        <f t="shared" si="154"/>
        <v>3.7823684592038607</v>
      </c>
      <c r="AY145" s="80">
        <f t="shared" si="155"/>
        <v>2.8952575130302551</v>
      </c>
      <c r="AZ145" s="80">
        <f t="shared" si="156"/>
        <v>16.7503044925596</v>
      </c>
      <c r="BA145" s="80">
        <f t="shared" si="157"/>
        <v>13.122255280197196</v>
      </c>
      <c r="BB145" s="80">
        <f t="shared" si="133"/>
        <v>384.11759986349421</v>
      </c>
      <c r="BC145" s="80">
        <f t="shared" si="134"/>
        <v>131.15127344303164</v>
      </c>
      <c r="BD145" s="80">
        <f t="shared" si="135"/>
        <v>119.60496886485191</v>
      </c>
      <c r="BE145" s="80">
        <f t="shared" si="136"/>
        <v>83.031002306339204</v>
      </c>
      <c r="BF145" s="80">
        <f t="shared" si="137"/>
        <v>447.02241333609703</v>
      </c>
      <c r="BG145" s="80">
        <f t="shared" si="138"/>
        <v>242.15062670531401</v>
      </c>
      <c r="BH145" s="49">
        <f t="shared" si="139"/>
        <v>0</v>
      </c>
      <c r="BI145" s="79">
        <f t="shared" si="140"/>
        <v>-60176.748059327569</v>
      </c>
      <c r="BJ145" s="79">
        <f t="shared" si="108"/>
        <v>53096.64170536169</v>
      </c>
      <c r="BK145" s="44">
        <f t="shared" si="141"/>
        <v>-0.11765518380929596</v>
      </c>
      <c r="BL145" s="79">
        <f t="shared" si="158"/>
        <v>1860.0365413943482</v>
      </c>
      <c r="BM145" s="49">
        <f t="shared" si="142"/>
        <v>54956.678246756041</v>
      </c>
      <c r="BN145" s="44">
        <f t="shared" si="143"/>
        <v>-8.6745628185576296E-2</v>
      </c>
      <c r="BO145" s="49">
        <f t="shared" si="109"/>
        <v>1959.4962044268493</v>
      </c>
      <c r="BP145" s="49">
        <f t="shared" si="110"/>
        <v>55056.137909788536</v>
      </c>
      <c r="BQ145" s="44">
        <f t="shared" si="111"/>
        <v>-8.5092835932089272E-2</v>
      </c>
      <c r="BS145" s="49">
        <f t="shared" si="112"/>
        <v>60176.748059327569</v>
      </c>
      <c r="BT145" s="49">
        <f t="shared" si="88"/>
        <v>49.389999000000003</v>
      </c>
      <c r="BU145" s="49">
        <f t="shared" si="89"/>
        <v>34.860000999999997</v>
      </c>
      <c r="BV145" s="49">
        <f t="shared" si="113"/>
        <v>0</v>
      </c>
      <c r="BW145" s="18">
        <f t="shared" si="114"/>
        <v>721</v>
      </c>
      <c r="BX145" s="19">
        <f t="shared" si="144"/>
        <v>0.83463302752293578</v>
      </c>
      <c r="BY145" s="49">
        <f t="shared" si="145"/>
        <v>0</v>
      </c>
      <c r="BZ145" s="19">
        <f t="shared" si="115"/>
        <v>0</v>
      </c>
      <c r="CA145" s="19">
        <f t="shared" si="116"/>
        <v>0</v>
      </c>
      <c r="CB145" s="19">
        <f t="shared" si="117"/>
        <v>0</v>
      </c>
      <c r="CC145" s="19">
        <f t="shared" si="118"/>
        <v>0</v>
      </c>
      <c r="CD145" s="19">
        <f t="shared" si="119"/>
        <v>0</v>
      </c>
      <c r="CE145" s="19">
        <f t="shared" si="120"/>
        <v>0</v>
      </c>
      <c r="CF145" s="49">
        <f t="shared" si="121"/>
        <v>0</v>
      </c>
      <c r="CG145" s="49">
        <f t="shared" si="122"/>
        <v>0</v>
      </c>
      <c r="CH145" s="49">
        <f t="shared" si="123"/>
        <v>0</v>
      </c>
      <c r="CI145" s="49">
        <f t="shared" si="124"/>
        <v>0</v>
      </c>
      <c r="CJ145" s="49">
        <f t="shared" si="125"/>
        <v>0</v>
      </c>
      <c r="CK145" s="49">
        <f t="shared" si="126"/>
        <v>0</v>
      </c>
    </row>
    <row r="146" spans="2:89" ht="12.75" customHeight="1" x14ac:dyDescent="0.2">
      <c r="B146" s="77">
        <v>40021</v>
      </c>
      <c r="C146" s="49">
        <v>49.849997999999999</v>
      </c>
      <c r="D146" s="49">
        <v>42.700001</v>
      </c>
      <c r="E146" s="49">
        <v>37.729999999999997</v>
      </c>
      <c r="F146" s="49">
        <v>47.700001</v>
      </c>
      <c r="G146" s="49">
        <v>31.58</v>
      </c>
      <c r="H146" s="49">
        <v>35.290000999999997</v>
      </c>
      <c r="J146" s="78">
        <f>IF(inter=Weekly_2,J145+$C$5,IF(inter=Bi_weekly_2,J144+$C$5,IF(inter=Monthly_2,J142+$C$5,IF(inter=Quarterly_2,J133+$C$5,IF(inter=Yearly_2,J94+$C$5,IF(inter=None_2,0,0))))))</f>
        <v>51200</v>
      </c>
      <c r="K146" s="79">
        <f t="shared" si="127"/>
        <v>736.87794970414325</v>
      </c>
      <c r="L146" s="79">
        <f t="shared" si="128"/>
        <v>254.67660908764628</v>
      </c>
      <c r="M146" s="79">
        <f t="shared" si="129"/>
        <v>273.98671330510024</v>
      </c>
      <c r="N146" s="79">
        <f t="shared" si="130"/>
        <v>238.47510677658101</v>
      </c>
      <c r="O146" s="79">
        <f t="shared" si="131"/>
        <v>787.99319727891088</v>
      </c>
      <c r="P146" s="79">
        <f t="shared" si="132"/>
        <v>402.41145662074268</v>
      </c>
      <c r="Q146" s="79"/>
      <c r="R146" s="80">
        <f t="shared" si="90"/>
        <v>-14.781905301262865</v>
      </c>
      <c r="S146" s="80">
        <f t="shared" si="91"/>
        <v>-5.9643232581574477</v>
      </c>
      <c r="T146" s="80">
        <f t="shared" si="92"/>
        <v>-7.2617734774741658</v>
      </c>
      <c r="U146" s="80">
        <f t="shared" si="93"/>
        <v>-4.9994780246772113</v>
      </c>
      <c r="V146" s="80">
        <f t="shared" si="94"/>
        <v>-24.952286170959812</v>
      </c>
      <c r="W146" s="80">
        <f t="shared" si="95"/>
        <v>-11.402987963098747</v>
      </c>
      <c r="X146" s="80">
        <f t="shared" si="146"/>
        <v>359.47844972832297</v>
      </c>
      <c r="Y146" s="80">
        <f t="shared" si="147"/>
        <v>119.90632037690116</v>
      </c>
      <c r="Z146" s="80">
        <f t="shared" si="148"/>
        <v>108.56082692817388</v>
      </c>
      <c r="AA146" s="80">
        <f t="shared" si="149"/>
        <v>75.136266768631728</v>
      </c>
      <c r="AB146" s="80">
        <f t="shared" si="150"/>
        <v>405.31982267257757</v>
      </c>
      <c r="AC146" s="80">
        <f t="shared" si="151"/>
        <v>217.62538346201805</v>
      </c>
      <c r="AD146" s="80"/>
      <c r="AE146" s="80"/>
      <c r="AF146" s="80"/>
      <c r="AG146" s="80"/>
      <c r="AH146" s="80"/>
      <c r="AI146" s="80"/>
      <c r="AJ146" s="45">
        <f t="shared" si="96"/>
        <v>0</v>
      </c>
      <c r="AK146" s="45">
        <f t="shared" si="97"/>
        <v>0</v>
      </c>
      <c r="AL146" s="45">
        <f t="shared" si="98"/>
        <v>0</v>
      </c>
      <c r="AM146" s="45">
        <f t="shared" si="99"/>
        <v>0</v>
      </c>
      <c r="AN146" s="45">
        <f t="shared" si="100"/>
        <v>0</v>
      </c>
      <c r="AO146" s="45">
        <f t="shared" si="101"/>
        <v>0</v>
      </c>
      <c r="AP146" s="80">
        <f t="shared" si="102"/>
        <v>0</v>
      </c>
      <c r="AQ146" s="80">
        <f t="shared" si="103"/>
        <v>0</v>
      </c>
      <c r="AR146" s="80">
        <f t="shared" si="104"/>
        <v>0</v>
      </c>
      <c r="AS146" s="80">
        <f t="shared" si="105"/>
        <v>0</v>
      </c>
      <c r="AT146" s="80">
        <f t="shared" si="106"/>
        <v>0</v>
      </c>
      <c r="AU146" s="80">
        <f t="shared" si="107"/>
        <v>0</v>
      </c>
      <c r="AV146" s="80">
        <f t="shared" si="152"/>
        <v>9.8572448339084175</v>
      </c>
      <c r="AW146" s="80">
        <f t="shared" si="153"/>
        <v>5.2806298079730185</v>
      </c>
      <c r="AX146" s="80">
        <f t="shared" si="154"/>
        <v>3.7823684592038607</v>
      </c>
      <c r="AY146" s="80">
        <f t="shared" si="155"/>
        <v>2.8952575130302551</v>
      </c>
      <c r="AZ146" s="80">
        <f t="shared" si="156"/>
        <v>16.7503044925596</v>
      </c>
      <c r="BA146" s="80">
        <f t="shared" si="157"/>
        <v>13.122255280197196</v>
      </c>
      <c r="BB146" s="80">
        <f t="shared" si="133"/>
        <v>369.33569456223137</v>
      </c>
      <c r="BC146" s="80">
        <f t="shared" si="134"/>
        <v>125.18695018487418</v>
      </c>
      <c r="BD146" s="80">
        <f t="shared" si="135"/>
        <v>112.34319538737775</v>
      </c>
      <c r="BE146" s="80">
        <f t="shared" si="136"/>
        <v>78.031524281661987</v>
      </c>
      <c r="BF146" s="80">
        <f t="shared" si="137"/>
        <v>422.07012716513719</v>
      </c>
      <c r="BG146" s="80">
        <f t="shared" si="138"/>
        <v>230.74763874221526</v>
      </c>
      <c r="BH146" s="49">
        <f t="shared" si="139"/>
        <v>0</v>
      </c>
      <c r="BI146" s="79">
        <f t="shared" si="140"/>
        <v>-57482.327026554442</v>
      </c>
      <c r="BJ146" s="79">
        <f t="shared" si="108"/>
        <v>51200</v>
      </c>
      <c r="BK146" s="44">
        <f t="shared" si="141"/>
        <v>-0.1092914527216734</v>
      </c>
      <c r="BL146" s="79">
        <f t="shared" si="158"/>
        <v>1860.0365413943482</v>
      </c>
      <c r="BM146" s="49">
        <f t="shared" si="142"/>
        <v>53060.036541394351</v>
      </c>
      <c r="BN146" s="44">
        <f t="shared" si="143"/>
        <v>-7.6933045579681836E-2</v>
      </c>
      <c r="BO146" s="49">
        <f t="shared" si="109"/>
        <v>1989.7380994049313</v>
      </c>
      <c r="BP146" s="49">
        <f t="shared" si="110"/>
        <v>53189.738099404931</v>
      </c>
      <c r="BQ146" s="44">
        <f t="shared" si="111"/>
        <v>-7.4676672800085386E-2</v>
      </c>
      <c r="BS146" s="49">
        <f t="shared" si="112"/>
        <v>57482.327026554442</v>
      </c>
      <c r="BT146" s="49">
        <f t="shared" si="88"/>
        <v>49.849997999999999</v>
      </c>
      <c r="BU146" s="49">
        <f t="shared" si="89"/>
        <v>35.290000999999997</v>
      </c>
      <c r="BV146" s="49">
        <f t="shared" si="113"/>
        <v>-2694.4210327731244</v>
      </c>
      <c r="BW146" s="18">
        <f t="shared" si="114"/>
        <v>728</v>
      </c>
      <c r="BX146" s="19">
        <f t="shared" si="144"/>
        <v>0.83302752293577986</v>
      </c>
      <c r="BY146" s="49">
        <f t="shared" si="145"/>
        <v>-2244.5268786770616</v>
      </c>
      <c r="BZ146" s="19">
        <f t="shared" si="115"/>
        <v>0</v>
      </c>
      <c r="CA146" s="19">
        <f t="shared" si="116"/>
        <v>0</v>
      </c>
      <c r="CB146" s="19">
        <f t="shared" si="117"/>
        <v>0</v>
      </c>
      <c r="CC146" s="19">
        <f t="shared" si="118"/>
        <v>0</v>
      </c>
      <c r="CD146" s="19">
        <f t="shared" si="119"/>
        <v>0</v>
      </c>
      <c r="CE146" s="19">
        <f t="shared" si="120"/>
        <v>0</v>
      </c>
      <c r="CF146" s="49">
        <f t="shared" si="121"/>
        <v>0</v>
      </c>
      <c r="CG146" s="49">
        <f t="shared" si="122"/>
        <v>0</v>
      </c>
      <c r="CH146" s="49">
        <f t="shared" si="123"/>
        <v>0</v>
      </c>
      <c r="CI146" s="49">
        <f t="shared" si="124"/>
        <v>0</v>
      </c>
      <c r="CJ146" s="49">
        <f t="shared" si="125"/>
        <v>0</v>
      </c>
      <c r="CK146" s="49">
        <f t="shared" si="126"/>
        <v>0</v>
      </c>
    </row>
    <row r="147" spans="2:89" ht="12.75" customHeight="1" x14ac:dyDescent="0.2">
      <c r="B147" s="77">
        <v>40028</v>
      </c>
      <c r="C147" s="49">
        <v>51.119999</v>
      </c>
      <c r="D147" s="49">
        <v>44.299999</v>
      </c>
      <c r="E147" s="49">
        <v>39.799999</v>
      </c>
      <c r="F147" s="49">
        <v>50.279998999999997</v>
      </c>
      <c r="G147" s="49">
        <v>31.99</v>
      </c>
      <c r="H147" s="49">
        <v>35.979999999999997</v>
      </c>
      <c r="J147" s="78">
        <f>IF(inter=Weekly_2,J146+$C$5,IF(inter=Bi_weekly_2,0,IF(inter=Monthly_2,0,IF(inter=Quarterly_2,0,IF(inter=Yearly_2,0,IF(inter=None_2,0,0))))))</f>
        <v>0</v>
      </c>
      <c r="K147" s="79">
        <f t="shared" si="127"/>
        <v>0</v>
      </c>
      <c r="L147" s="79">
        <f t="shared" si="128"/>
        <v>0</v>
      </c>
      <c r="M147" s="79">
        <f t="shared" si="129"/>
        <v>0</v>
      </c>
      <c r="N147" s="79">
        <f t="shared" si="130"/>
        <v>0</v>
      </c>
      <c r="O147" s="79">
        <f t="shared" si="131"/>
        <v>0</v>
      </c>
      <c r="P147" s="79">
        <f t="shared" si="132"/>
        <v>0</v>
      </c>
      <c r="Q147" s="79"/>
      <c r="R147" s="80">
        <f t="shared" si="90"/>
        <v>0</v>
      </c>
      <c r="S147" s="80">
        <f t="shared" si="91"/>
        <v>0</v>
      </c>
      <c r="T147" s="80">
        <f t="shared" si="92"/>
        <v>0</v>
      </c>
      <c r="U147" s="80">
        <f t="shared" si="93"/>
        <v>0</v>
      </c>
      <c r="V147" s="80">
        <f t="shared" si="94"/>
        <v>0</v>
      </c>
      <c r="W147" s="80">
        <f t="shared" si="95"/>
        <v>0</v>
      </c>
      <c r="X147" s="80">
        <f t="shared" si="146"/>
        <v>359.47844972832297</v>
      </c>
      <c r="Y147" s="80">
        <f t="shared" si="147"/>
        <v>119.90632037690116</v>
      </c>
      <c r="Z147" s="80">
        <f t="shared" si="148"/>
        <v>108.56082692817388</v>
      </c>
      <c r="AA147" s="80">
        <f t="shared" si="149"/>
        <v>75.136266768631728</v>
      </c>
      <c r="AB147" s="80">
        <f t="shared" si="150"/>
        <v>405.31982267257757</v>
      </c>
      <c r="AC147" s="80">
        <f t="shared" si="151"/>
        <v>217.62538346201805</v>
      </c>
      <c r="AD147" s="80"/>
      <c r="AE147" s="80"/>
      <c r="AF147" s="80"/>
      <c r="AG147" s="80"/>
      <c r="AH147" s="80"/>
      <c r="AI147" s="80"/>
      <c r="AJ147" s="45">
        <f t="shared" si="96"/>
        <v>0</v>
      </c>
      <c r="AK147" s="45">
        <f t="shared" si="97"/>
        <v>0</v>
      </c>
      <c r="AL147" s="45">
        <f t="shared" si="98"/>
        <v>0</v>
      </c>
      <c r="AM147" s="45">
        <f t="shared" si="99"/>
        <v>0</v>
      </c>
      <c r="AN147" s="45">
        <f t="shared" si="100"/>
        <v>0</v>
      </c>
      <c r="AO147" s="45">
        <f t="shared" si="101"/>
        <v>0</v>
      </c>
      <c r="AP147" s="80">
        <f t="shared" si="102"/>
        <v>0</v>
      </c>
      <c r="AQ147" s="80">
        <f t="shared" si="103"/>
        <v>0</v>
      </c>
      <c r="AR147" s="80">
        <f t="shared" si="104"/>
        <v>0</v>
      </c>
      <c r="AS147" s="80">
        <f t="shared" si="105"/>
        <v>0</v>
      </c>
      <c r="AT147" s="80">
        <f t="shared" si="106"/>
        <v>0</v>
      </c>
      <c r="AU147" s="80">
        <f t="shared" si="107"/>
        <v>0</v>
      </c>
      <c r="AV147" s="80">
        <f t="shared" si="152"/>
        <v>9.8572448339084175</v>
      </c>
      <c r="AW147" s="80">
        <f t="shared" si="153"/>
        <v>5.2806298079730185</v>
      </c>
      <c r="AX147" s="80">
        <f t="shared" si="154"/>
        <v>3.7823684592038607</v>
      </c>
      <c r="AY147" s="80">
        <f t="shared" si="155"/>
        <v>2.8952575130302551</v>
      </c>
      <c r="AZ147" s="80">
        <f t="shared" si="156"/>
        <v>16.7503044925596</v>
      </c>
      <c r="BA147" s="80">
        <f t="shared" si="157"/>
        <v>13.122255280197196</v>
      </c>
      <c r="BB147" s="80">
        <f t="shared" si="133"/>
        <v>369.33569456223137</v>
      </c>
      <c r="BC147" s="80">
        <f t="shared" si="134"/>
        <v>125.18695018487418</v>
      </c>
      <c r="BD147" s="80">
        <f t="shared" si="135"/>
        <v>112.34319538737775</v>
      </c>
      <c r="BE147" s="80">
        <f t="shared" si="136"/>
        <v>78.031524281661987</v>
      </c>
      <c r="BF147" s="80">
        <f t="shared" si="137"/>
        <v>422.07012716513719</v>
      </c>
      <c r="BG147" s="80">
        <f t="shared" si="138"/>
        <v>230.74763874221526</v>
      </c>
      <c r="BH147" s="49">
        <f t="shared" si="139"/>
        <v>0</v>
      </c>
      <c r="BI147" s="79">
        <f t="shared" si="140"/>
        <v>-57482.327026554442</v>
      </c>
      <c r="BJ147" s="79">
        <f t="shared" si="108"/>
        <v>52583.302508854016</v>
      </c>
      <c r="BK147" s="44">
        <f t="shared" si="141"/>
        <v>-8.5226621313317374E-2</v>
      </c>
      <c r="BL147" s="79">
        <f t="shared" si="158"/>
        <v>1860.0365413943482</v>
      </c>
      <c r="BM147" s="49">
        <f t="shared" si="142"/>
        <v>54443.339050248367</v>
      </c>
      <c r="BN147" s="44">
        <f t="shared" si="143"/>
        <v>-5.2868214171325922E-2</v>
      </c>
      <c r="BO147" s="49">
        <f t="shared" si="109"/>
        <v>2041.9270327170539</v>
      </c>
      <c r="BP147" s="49">
        <f t="shared" si="110"/>
        <v>54625.229541571076</v>
      </c>
      <c r="BQ147" s="44">
        <f t="shared" si="111"/>
        <v>-4.9703928716447132E-2</v>
      </c>
      <c r="BS147" s="49">
        <f t="shared" si="112"/>
        <v>57482.327026554442</v>
      </c>
      <c r="BT147" s="49">
        <f t="shared" si="88"/>
        <v>51.119999</v>
      </c>
      <c r="BU147" s="49">
        <f t="shared" si="89"/>
        <v>35.979999999999997</v>
      </c>
      <c r="BV147" s="49">
        <f t="shared" si="113"/>
        <v>0</v>
      </c>
      <c r="BW147" s="18">
        <f t="shared" si="114"/>
        <v>735</v>
      </c>
      <c r="BX147" s="19">
        <f t="shared" si="144"/>
        <v>0.83142201834862384</v>
      </c>
      <c r="BY147" s="49">
        <f t="shared" si="145"/>
        <v>0</v>
      </c>
      <c r="BZ147" s="19">
        <f t="shared" si="115"/>
        <v>0</v>
      </c>
      <c r="CA147" s="19">
        <f t="shared" si="116"/>
        <v>0</v>
      </c>
      <c r="CB147" s="19">
        <f t="shared" si="117"/>
        <v>0</v>
      </c>
      <c r="CC147" s="19">
        <f t="shared" si="118"/>
        <v>0</v>
      </c>
      <c r="CD147" s="19">
        <f t="shared" si="119"/>
        <v>0</v>
      </c>
      <c r="CE147" s="19">
        <f t="shared" si="120"/>
        <v>0</v>
      </c>
      <c r="CF147" s="49">
        <f t="shared" si="121"/>
        <v>0</v>
      </c>
      <c r="CG147" s="49">
        <f t="shared" si="122"/>
        <v>0</v>
      </c>
      <c r="CH147" s="49">
        <f t="shared" si="123"/>
        <v>0</v>
      </c>
      <c r="CI147" s="49">
        <f t="shared" si="124"/>
        <v>0</v>
      </c>
      <c r="CJ147" s="49">
        <f t="shared" si="125"/>
        <v>0</v>
      </c>
      <c r="CK147" s="49">
        <f t="shared" si="126"/>
        <v>0</v>
      </c>
    </row>
    <row r="148" spans="2:89" ht="12.75" customHeight="1" x14ac:dyDescent="0.2">
      <c r="B148" s="77">
        <v>40035</v>
      </c>
      <c r="C148" s="49">
        <v>50.869999</v>
      </c>
      <c r="D148" s="49">
        <v>44</v>
      </c>
      <c r="E148" s="49">
        <v>39.509998000000003</v>
      </c>
      <c r="F148" s="49">
        <v>49.610000999999997</v>
      </c>
      <c r="G148" s="49">
        <v>32.169998</v>
      </c>
      <c r="H148" s="49">
        <v>35.540000999999997</v>
      </c>
      <c r="J148" s="78">
        <f>IF(inter=Weekly_2,J147+$C$5,IF(inter=Bi_weekly_2,J146+$C$5,IF(inter=Monthly_2,0,IF(inter=Quarterly_2,0,IF(inter=Yearly_2,0,IF(inter=None_2,0,0))))))</f>
        <v>51800</v>
      </c>
      <c r="K148" s="79">
        <f t="shared" si="127"/>
        <v>156.66837820133878</v>
      </c>
      <c r="L148" s="79">
        <f t="shared" si="128"/>
        <v>95.878096583651313</v>
      </c>
      <c r="M148" s="79">
        <f t="shared" si="129"/>
        <v>145.23805481049658</v>
      </c>
      <c r="N148" s="79">
        <f t="shared" si="130"/>
        <v>101.51026952808616</v>
      </c>
      <c r="O148" s="79">
        <f t="shared" si="131"/>
        <v>89.137884737174318</v>
      </c>
      <c r="P148" s="79">
        <f t="shared" si="132"/>
        <v>-35.593654134495409</v>
      </c>
      <c r="Q148" s="79"/>
      <c r="R148" s="80">
        <f t="shared" si="90"/>
        <v>-3.0797794629667434</v>
      </c>
      <c r="S148" s="80">
        <f t="shared" si="91"/>
        <v>-2.1790476496284388</v>
      </c>
      <c r="T148" s="80">
        <f t="shared" si="92"/>
        <v>-3.6759823376983358</v>
      </c>
      <c r="U148" s="80">
        <f t="shared" si="93"/>
        <v>-2.0461654400709679</v>
      </c>
      <c r="V148" s="80">
        <f t="shared" si="94"/>
        <v>-2.7708389890846221</v>
      </c>
      <c r="W148" s="80">
        <f t="shared" si="95"/>
        <v>1.0015096548392166</v>
      </c>
      <c r="X148" s="80">
        <f t="shared" si="146"/>
        <v>356.3986702653562</v>
      </c>
      <c r="Y148" s="80">
        <f t="shared" si="147"/>
        <v>117.72727272727272</v>
      </c>
      <c r="Z148" s="80">
        <f t="shared" si="148"/>
        <v>104.88484459047555</v>
      </c>
      <c r="AA148" s="80">
        <f t="shared" si="149"/>
        <v>73.090101328560763</v>
      </c>
      <c r="AB148" s="80">
        <f t="shared" si="150"/>
        <v>402.54898368349296</v>
      </c>
      <c r="AC148" s="80">
        <f t="shared" si="151"/>
        <v>218.62689311685727</v>
      </c>
      <c r="AD148" s="80"/>
      <c r="AE148" s="80"/>
      <c r="AF148" s="80"/>
      <c r="AG148" s="80"/>
      <c r="AH148" s="80"/>
      <c r="AI148" s="80"/>
      <c r="AJ148" s="45">
        <f t="shared" si="96"/>
        <v>0</v>
      </c>
      <c r="AK148" s="45">
        <f t="shared" si="97"/>
        <v>0</v>
      </c>
      <c r="AL148" s="45">
        <f t="shared" si="98"/>
        <v>0</v>
      </c>
      <c r="AM148" s="45">
        <f t="shared" si="99"/>
        <v>0</v>
      </c>
      <c r="AN148" s="45">
        <f t="shared" si="100"/>
        <v>0</v>
      </c>
      <c r="AO148" s="45">
        <f t="shared" si="101"/>
        <v>0</v>
      </c>
      <c r="AP148" s="80">
        <f t="shared" si="102"/>
        <v>0</v>
      </c>
      <c r="AQ148" s="80">
        <f t="shared" si="103"/>
        <v>0</v>
      </c>
      <c r="AR148" s="80">
        <f t="shared" si="104"/>
        <v>0</v>
      </c>
      <c r="AS148" s="80">
        <f t="shared" si="105"/>
        <v>0</v>
      </c>
      <c r="AT148" s="80">
        <f t="shared" si="106"/>
        <v>0</v>
      </c>
      <c r="AU148" s="80">
        <f t="shared" si="107"/>
        <v>0</v>
      </c>
      <c r="AV148" s="80">
        <f t="shared" si="152"/>
        <v>9.8572448339084175</v>
      </c>
      <c r="AW148" s="80">
        <f t="shared" si="153"/>
        <v>5.2806298079730185</v>
      </c>
      <c r="AX148" s="80">
        <f t="shared" si="154"/>
        <v>3.7823684592038607</v>
      </c>
      <c r="AY148" s="80">
        <f t="shared" si="155"/>
        <v>2.8952575130302551</v>
      </c>
      <c r="AZ148" s="80">
        <f t="shared" si="156"/>
        <v>16.7503044925596</v>
      </c>
      <c r="BA148" s="80">
        <f t="shared" si="157"/>
        <v>13.122255280197196</v>
      </c>
      <c r="BB148" s="80">
        <f t="shared" si="133"/>
        <v>366.2559150992646</v>
      </c>
      <c r="BC148" s="80">
        <f t="shared" si="134"/>
        <v>123.00790253524573</v>
      </c>
      <c r="BD148" s="80">
        <f t="shared" si="135"/>
        <v>108.66721304967942</v>
      </c>
      <c r="BE148" s="80">
        <f t="shared" si="136"/>
        <v>75.985358841591022</v>
      </c>
      <c r="BF148" s="80">
        <f t="shared" si="137"/>
        <v>419.29928817605258</v>
      </c>
      <c r="BG148" s="80">
        <f t="shared" si="138"/>
        <v>231.74914839705448</v>
      </c>
      <c r="BH148" s="49">
        <f t="shared" si="139"/>
        <v>0</v>
      </c>
      <c r="BI148" s="79">
        <f t="shared" si="140"/>
        <v>-56929.487996828182</v>
      </c>
      <c r="BJ148" s="79">
        <f t="shared" si="108"/>
        <v>51800</v>
      </c>
      <c r="BK148" s="44">
        <f t="shared" si="141"/>
        <v>-9.0102479001988756E-2</v>
      </c>
      <c r="BL148" s="79">
        <f t="shared" si="158"/>
        <v>1860.0365413943482</v>
      </c>
      <c r="BM148" s="49">
        <f t="shared" si="142"/>
        <v>53660.036541394351</v>
      </c>
      <c r="BN148" s="44">
        <f t="shared" si="143"/>
        <v>-5.7429841203138654E-2</v>
      </c>
      <c r="BO148" s="49">
        <f t="shared" si="109"/>
        <v>2032.083072575082</v>
      </c>
      <c r="BP148" s="49">
        <f t="shared" si="110"/>
        <v>53832.083072575086</v>
      </c>
      <c r="BQ148" s="44">
        <f t="shared" si="111"/>
        <v>-5.4407742511678125E-2</v>
      </c>
      <c r="BS148" s="49">
        <f t="shared" si="112"/>
        <v>56929.487996828182</v>
      </c>
      <c r="BT148" s="49">
        <f t="shared" si="88"/>
        <v>50.869999</v>
      </c>
      <c r="BU148" s="49">
        <f t="shared" si="89"/>
        <v>35.540000999999997</v>
      </c>
      <c r="BV148" s="49">
        <f t="shared" si="113"/>
        <v>-552.83902972625174</v>
      </c>
      <c r="BW148" s="18">
        <f t="shared" si="114"/>
        <v>742</v>
      </c>
      <c r="BX148" s="19">
        <f t="shared" si="144"/>
        <v>0.82981651376146792</v>
      </c>
      <c r="BY148" s="49">
        <f t="shared" si="145"/>
        <v>-458.75495631871075</v>
      </c>
      <c r="BZ148" s="19">
        <f t="shared" si="115"/>
        <v>0</v>
      </c>
      <c r="CA148" s="19">
        <f t="shared" si="116"/>
        <v>0</v>
      </c>
      <c r="CB148" s="19">
        <f t="shared" si="117"/>
        <v>0</v>
      </c>
      <c r="CC148" s="19">
        <f t="shared" si="118"/>
        <v>0</v>
      </c>
      <c r="CD148" s="19">
        <f t="shared" si="119"/>
        <v>0</v>
      </c>
      <c r="CE148" s="19">
        <f t="shared" si="120"/>
        <v>1.0015096548392166</v>
      </c>
      <c r="CF148" s="49">
        <f t="shared" si="121"/>
        <v>0</v>
      </c>
      <c r="CG148" s="49">
        <f t="shared" si="122"/>
        <v>0</v>
      </c>
      <c r="CH148" s="49">
        <f t="shared" si="123"/>
        <v>0</v>
      </c>
      <c r="CI148" s="49">
        <f t="shared" si="124"/>
        <v>0</v>
      </c>
      <c r="CJ148" s="49">
        <f t="shared" si="125"/>
        <v>0</v>
      </c>
      <c r="CK148" s="49">
        <f t="shared" si="126"/>
        <v>-35.593654134495409</v>
      </c>
    </row>
    <row r="149" spans="2:89" ht="12.75" customHeight="1" x14ac:dyDescent="0.2">
      <c r="B149" s="77">
        <v>40042</v>
      </c>
      <c r="C149" s="49">
        <v>51.93</v>
      </c>
      <c r="D149" s="49">
        <v>45.099997999999999</v>
      </c>
      <c r="E149" s="49">
        <v>40.340000000000003</v>
      </c>
      <c r="F149" s="49">
        <v>51.02</v>
      </c>
      <c r="G149" s="49">
        <v>32.840000000000003</v>
      </c>
      <c r="H149" s="49">
        <v>35.93</v>
      </c>
      <c r="J149" s="78">
        <f>IF(inter=Weekly_2,J148+$C$5,IF(inter=Bi_weekly_2,0,IF(inter=Monthly_2,0,IF(inter=Quarterly_2,0,IF(inter=Yearly_2,0,IF(inter=None_2,0,0))))))</f>
        <v>0</v>
      </c>
      <c r="K149" s="79">
        <f t="shared" si="127"/>
        <v>0</v>
      </c>
      <c r="L149" s="79">
        <f t="shared" si="128"/>
        <v>0</v>
      </c>
      <c r="M149" s="79">
        <f t="shared" si="129"/>
        <v>0</v>
      </c>
      <c r="N149" s="79">
        <f t="shared" si="130"/>
        <v>0</v>
      </c>
      <c r="O149" s="79">
        <f t="shared" si="131"/>
        <v>0</v>
      </c>
      <c r="P149" s="79">
        <f t="shared" si="132"/>
        <v>0</v>
      </c>
      <c r="Q149" s="79"/>
      <c r="R149" s="80">
        <f t="shared" si="90"/>
        <v>0</v>
      </c>
      <c r="S149" s="80">
        <f t="shared" si="91"/>
        <v>0</v>
      </c>
      <c r="T149" s="80">
        <f t="shared" si="92"/>
        <v>0</v>
      </c>
      <c r="U149" s="80">
        <f t="shared" si="93"/>
        <v>0</v>
      </c>
      <c r="V149" s="80">
        <f t="shared" si="94"/>
        <v>0</v>
      </c>
      <c r="W149" s="80">
        <f t="shared" si="95"/>
        <v>0</v>
      </c>
      <c r="X149" s="80">
        <f t="shared" si="146"/>
        <v>356.3986702653562</v>
      </c>
      <c r="Y149" s="80">
        <f t="shared" si="147"/>
        <v>117.72727272727272</v>
      </c>
      <c r="Z149" s="80">
        <f t="shared" si="148"/>
        <v>104.88484459047555</v>
      </c>
      <c r="AA149" s="80">
        <f t="shared" si="149"/>
        <v>73.090101328560763</v>
      </c>
      <c r="AB149" s="80">
        <f t="shared" si="150"/>
        <v>402.54898368349296</v>
      </c>
      <c r="AC149" s="80">
        <f t="shared" si="151"/>
        <v>218.62689311685727</v>
      </c>
      <c r="AD149" s="80"/>
      <c r="AE149" s="80"/>
      <c r="AF149" s="80"/>
      <c r="AG149" s="80"/>
      <c r="AH149" s="80"/>
      <c r="AI149" s="80"/>
      <c r="AJ149" s="45">
        <f t="shared" si="96"/>
        <v>0</v>
      </c>
      <c r="AK149" s="45">
        <f t="shared" si="97"/>
        <v>0</v>
      </c>
      <c r="AL149" s="45">
        <f t="shared" si="98"/>
        <v>0</v>
      </c>
      <c r="AM149" s="45">
        <f t="shared" si="99"/>
        <v>0</v>
      </c>
      <c r="AN149" s="45">
        <f t="shared" si="100"/>
        <v>0</v>
      </c>
      <c r="AO149" s="45">
        <f t="shared" si="101"/>
        <v>0</v>
      </c>
      <c r="AP149" s="80">
        <f t="shared" si="102"/>
        <v>0</v>
      </c>
      <c r="AQ149" s="80">
        <f t="shared" si="103"/>
        <v>0</v>
      </c>
      <c r="AR149" s="80">
        <f t="shared" si="104"/>
        <v>0</v>
      </c>
      <c r="AS149" s="80">
        <f t="shared" si="105"/>
        <v>0</v>
      </c>
      <c r="AT149" s="80">
        <f t="shared" si="106"/>
        <v>0</v>
      </c>
      <c r="AU149" s="80">
        <f t="shared" si="107"/>
        <v>0</v>
      </c>
      <c r="AV149" s="80">
        <f t="shared" si="152"/>
        <v>9.8572448339084175</v>
      </c>
      <c r="AW149" s="80">
        <f t="shared" si="153"/>
        <v>5.2806298079730185</v>
      </c>
      <c r="AX149" s="80">
        <f t="shared" si="154"/>
        <v>3.7823684592038607</v>
      </c>
      <c r="AY149" s="80">
        <f t="shared" si="155"/>
        <v>2.8952575130302551</v>
      </c>
      <c r="AZ149" s="80">
        <f t="shared" si="156"/>
        <v>16.7503044925596</v>
      </c>
      <c r="BA149" s="80">
        <f t="shared" si="157"/>
        <v>13.122255280197196</v>
      </c>
      <c r="BB149" s="80">
        <f t="shared" si="133"/>
        <v>366.2559150992646</v>
      </c>
      <c r="BC149" s="80">
        <f t="shared" si="134"/>
        <v>123.00790253524573</v>
      </c>
      <c r="BD149" s="80">
        <f t="shared" si="135"/>
        <v>108.66721304967942</v>
      </c>
      <c r="BE149" s="80">
        <f t="shared" si="136"/>
        <v>75.985358841591022</v>
      </c>
      <c r="BF149" s="80">
        <f t="shared" si="137"/>
        <v>419.29928817605258</v>
      </c>
      <c r="BG149" s="80">
        <f t="shared" si="138"/>
        <v>231.74914839705448</v>
      </c>
      <c r="BH149" s="49">
        <f t="shared" si="139"/>
        <v>0</v>
      </c>
      <c r="BI149" s="79">
        <f t="shared" si="140"/>
        <v>-56929.487996828182</v>
      </c>
      <c r="BJ149" s="79">
        <f t="shared" si="108"/>
        <v>52852.367205842951</v>
      </c>
      <c r="BK149" s="44">
        <f t="shared" si="141"/>
        <v>-7.1617028967701057E-2</v>
      </c>
      <c r="BL149" s="79">
        <f t="shared" si="158"/>
        <v>1860.0365413943482</v>
      </c>
      <c r="BM149" s="49">
        <f t="shared" si="142"/>
        <v>54712.403747237302</v>
      </c>
      <c r="BN149" s="44">
        <f t="shared" si="143"/>
        <v>-3.8944391168850956E-2</v>
      </c>
      <c r="BO149" s="49">
        <f t="shared" si="109"/>
        <v>2071.9025317154178</v>
      </c>
      <c r="BP149" s="49">
        <f t="shared" si="110"/>
        <v>54924.269737558367</v>
      </c>
      <c r="BQ149" s="44">
        <f t="shared" si="111"/>
        <v>-3.5222840215628382E-2</v>
      </c>
      <c r="BS149" s="49">
        <f t="shared" si="112"/>
        <v>56929.487996828182</v>
      </c>
      <c r="BT149" s="49">
        <f t="shared" si="88"/>
        <v>51.93</v>
      </c>
      <c r="BU149" s="49">
        <f t="shared" si="89"/>
        <v>35.93</v>
      </c>
      <c r="BV149" s="49">
        <f t="shared" si="113"/>
        <v>0</v>
      </c>
      <c r="BW149" s="18">
        <f t="shared" si="114"/>
        <v>749</v>
      </c>
      <c r="BX149" s="19">
        <f t="shared" si="144"/>
        <v>0.8282110091743119</v>
      </c>
      <c r="BY149" s="49">
        <f t="shared" si="145"/>
        <v>0</v>
      </c>
      <c r="BZ149" s="19">
        <f t="shared" si="115"/>
        <v>0</v>
      </c>
      <c r="CA149" s="19">
        <f t="shared" si="116"/>
        <v>0</v>
      </c>
      <c r="CB149" s="19">
        <f t="shared" si="117"/>
        <v>0</v>
      </c>
      <c r="CC149" s="19">
        <f t="shared" si="118"/>
        <v>0</v>
      </c>
      <c r="CD149" s="19">
        <f t="shared" si="119"/>
        <v>0</v>
      </c>
      <c r="CE149" s="19">
        <f t="shared" si="120"/>
        <v>0</v>
      </c>
      <c r="CF149" s="49">
        <f t="shared" si="121"/>
        <v>0</v>
      </c>
      <c r="CG149" s="49">
        <f t="shared" si="122"/>
        <v>0</v>
      </c>
      <c r="CH149" s="49">
        <f t="shared" si="123"/>
        <v>0</v>
      </c>
      <c r="CI149" s="49">
        <f t="shared" si="124"/>
        <v>0</v>
      </c>
      <c r="CJ149" s="49">
        <f t="shared" si="125"/>
        <v>0</v>
      </c>
      <c r="CK149" s="49">
        <f t="shared" si="126"/>
        <v>0</v>
      </c>
    </row>
    <row r="150" spans="2:89" ht="12.75" customHeight="1" x14ac:dyDescent="0.2">
      <c r="B150" s="77">
        <v>40049</v>
      </c>
      <c r="C150" s="49">
        <v>52.200001</v>
      </c>
      <c r="D150" s="49">
        <v>45.310001</v>
      </c>
      <c r="E150" s="49">
        <v>40.709999000000003</v>
      </c>
      <c r="F150" s="49">
        <v>51.400002000000001</v>
      </c>
      <c r="G150" s="49">
        <v>33.240001999999997</v>
      </c>
      <c r="H150" s="49">
        <v>35.689999</v>
      </c>
      <c r="J150" s="78">
        <f>IF(inter=Weekly_2,J149+$C$5,IF(inter=Bi_weekly_2,J148+$C$5,IF(inter=Monthly_2,J146+$C$5,IF(inter=Quarterly_2,0,IF(inter=Yearly_2,0,IF(inter=None_2,0,0))))))</f>
        <v>52400</v>
      </c>
      <c r="K150" s="79">
        <f t="shared" si="127"/>
        <v>264.01094425026531</v>
      </c>
      <c r="L150" s="79">
        <f t="shared" si="128"/>
        <v>94.222844999999325</v>
      </c>
      <c r="M150" s="79">
        <f t="shared" si="129"/>
        <v>77.861918393415181</v>
      </c>
      <c r="N150" s="79">
        <f t="shared" si="130"/>
        <v>88.831354468225527</v>
      </c>
      <c r="O150" s="79">
        <f t="shared" si="131"/>
        <v>280.72902273727232</v>
      </c>
      <c r="P150" s="79">
        <f t="shared" si="132"/>
        <v>-57.206403286257228</v>
      </c>
      <c r="Q150" s="79"/>
      <c r="R150" s="80">
        <f t="shared" si="90"/>
        <v>-5.0576808274441474</v>
      </c>
      <c r="S150" s="80">
        <f t="shared" si="91"/>
        <v>-2.0795154032329268</v>
      </c>
      <c r="T150" s="80">
        <f t="shared" si="92"/>
        <v>-1.912599368853219</v>
      </c>
      <c r="U150" s="80">
        <f t="shared" si="93"/>
        <v>-1.7282364010068623</v>
      </c>
      <c r="V150" s="80">
        <f t="shared" si="94"/>
        <v>-8.4455176247363752</v>
      </c>
      <c r="W150" s="80">
        <f t="shared" si="95"/>
        <v>1.6028692880113902</v>
      </c>
      <c r="X150" s="80">
        <f t="shared" si="146"/>
        <v>351.34098943791207</v>
      </c>
      <c r="Y150" s="80">
        <f t="shared" si="147"/>
        <v>115.64775732403979</v>
      </c>
      <c r="Z150" s="80">
        <f t="shared" si="148"/>
        <v>102.97224522162233</v>
      </c>
      <c r="AA150" s="80">
        <f t="shared" si="149"/>
        <v>71.361864927553896</v>
      </c>
      <c r="AB150" s="80">
        <f t="shared" si="150"/>
        <v>394.10346605875657</v>
      </c>
      <c r="AC150" s="80">
        <f t="shared" si="151"/>
        <v>220.22976240486867</v>
      </c>
      <c r="AD150" s="80"/>
      <c r="AE150" s="80"/>
      <c r="AF150" s="80"/>
      <c r="AG150" s="80"/>
      <c r="AH150" s="80"/>
      <c r="AI150" s="80"/>
      <c r="AJ150" s="45">
        <f t="shared" si="96"/>
        <v>0</v>
      </c>
      <c r="AK150" s="45">
        <f t="shared" si="97"/>
        <v>0</v>
      </c>
      <c r="AL150" s="45">
        <f t="shared" si="98"/>
        <v>0</v>
      </c>
      <c r="AM150" s="45">
        <f t="shared" si="99"/>
        <v>0</v>
      </c>
      <c r="AN150" s="45">
        <f t="shared" si="100"/>
        <v>0</v>
      </c>
      <c r="AO150" s="45">
        <f t="shared" si="101"/>
        <v>0</v>
      </c>
      <c r="AP150" s="80">
        <f t="shared" si="102"/>
        <v>0</v>
      </c>
      <c r="AQ150" s="80">
        <f t="shared" si="103"/>
        <v>0</v>
      </c>
      <c r="AR150" s="80">
        <f t="shared" si="104"/>
        <v>0</v>
      </c>
      <c r="AS150" s="80">
        <f t="shared" si="105"/>
        <v>0</v>
      </c>
      <c r="AT150" s="80">
        <f t="shared" si="106"/>
        <v>0</v>
      </c>
      <c r="AU150" s="80">
        <f t="shared" si="107"/>
        <v>0</v>
      </c>
      <c r="AV150" s="80">
        <f t="shared" si="152"/>
        <v>9.8572448339084175</v>
      </c>
      <c r="AW150" s="80">
        <f t="shared" si="153"/>
        <v>5.2806298079730185</v>
      </c>
      <c r="AX150" s="80">
        <f t="shared" si="154"/>
        <v>3.7823684592038607</v>
      </c>
      <c r="AY150" s="80">
        <f t="shared" si="155"/>
        <v>2.8952575130302551</v>
      </c>
      <c r="AZ150" s="80">
        <f t="shared" si="156"/>
        <v>16.7503044925596</v>
      </c>
      <c r="BA150" s="80">
        <f t="shared" si="157"/>
        <v>13.122255280197196</v>
      </c>
      <c r="BB150" s="80">
        <f t="shared" si="133"/>
        <v>361.19823427182047</v>
      </c>
      <c r="BC150" s="80">
        <f t="shared" si="134"/>
        <v>120.9283871320128</v>
      </c>
      <c r="BD150" s="80">
        <f t="shared" si="135"/>
        <v>106.7546136808262</v>
      </c>
      <c r="BE150" s="80">
        <f t="shared" si="136"/>
        <v>74.257122440584155</v>
      </c>
      <c r="BF150" s="80">
        <f t="shared" si="137"/>
        <v>410.85377055131619</v>
      </c>
      <c r="BG150" s="80">
        <f t="shared" si="138"/>
        <v>233.35201768506587</v>
      </c>
      <c r="BH150" s="49">
        <f t="shared" si="139"/>
        <v>0</v>
      </c>
      <c r="BI150" s="79">
        <f t="shared" si="140"/>
        <v>-56181.038315265265</v>
      </c>
      <c r="BJ150" s="79">
        <f t="shared" si="108"/>
        <v>52400</v>
      </c>
      <c r="BK150" s="44">
        <f t="shared" si="141"/>
        <v>-6.7300968950548934E-2</v>
      </c>
      <c r="BL150" s="79">
        <f t="shared" si="158"/>
        <v>1860.0365413943482</v>
      </c>
      <c r="BM150" s="49">
        <f t="shared" si="142"/>
        <v>54260.036541394351</v>
      </c>
      <c r="BN150" s="44">
        <f t="shared" si="143"/>
        <v>-3.4193062846062605E-2</v>
      </c>
      <c r="BO150" s="49">
        <f t="shared" si="109"/>
        <v>2081.723422880515</v>
      </c>
      <c r="BP150" s="49">
        <f t="shared" si="110"/>
        <v>54481.723422880517</v>
      </c>
      <c r="BQ150" s="44">
        <f t="shared" si="111"/>
        <v>-3.0247125068228131E-2</v>
      </c>
      <c r="BS150" s="49">
        <f t="shared" si="112"/>
        <v>56181.038315265265</v>
      </c>
      <c r="BT150" s="49">
        <f t="shared" si="88"/>
        <v>52.200001</v>
      </c>
      <c r="BU150" s="49">
        <f t="shared" si="89"/>
        <v>35.689999</v>
      </c>
      <c r="BV150" s="49">
        <f t="shared" si="113"/>
        <v>-748.44968156292043</v>
      </c>
      <c r="BW150" s="18">
        <f t="shared" si="114"/>
        <v>756</v>
      </c>
      <c r="BX150" s="19">
        <f t="shared" si="144"/>
        <v>0.82660550458715598</v>
      </c>
      <c r="BY150" s="49">
        <f t="shared" si="145"/>
        <v>-618.67262668641411</v>
      </c>
      <c r="BZ150" s="19">
        <f t="shared" si="115"/>
        <v>0</v>
      </c>
      <c r="CA150" s="19">
        <f t="shared" si="116"/>
        <v>0</v>
      </c>
      <c r="CB150" s="19">
        <f t="shared" si="117"/>
        <v>0</v>
      </c>
      <c r="CC150" s="19">
        <f t="shared" si="118"/>
        <v>0</v>
      </c>
      <c r="CD150" s="19">
        <f t="shared" si="119"/>
        <v>0</v>
      </c>
      <c r="CE150" s="19">
        <f t="shared" si="120"/>
        <v>1.6028692880113902</v>
      </c>
      <c r="CF150" s="49">
        <f t="shared" si="121"/>
        <v>0</v>
      </c>
      <c r="CG150" s="49">
        <f t="shared" si="122"/>
        <v>0</v>
      </c>
      <c r="CH150" s="49">
        <f t="shared" si="123"/>
        <v>0</v>
      </c>
      <c r="CI150" s="49">
        <f t="shared" si="124"/>
        <v>0</v>
      </c>
      <c r="CJ150" s="49">
        <f t="shared" si="125"/>
        <v>0</v>
      </c>
      <c r="CK150" s="49">
        <f t="shared" si="126"/>
        <v>-57.206403286257228</v>
      </c>
    </row>
    <row r="151" spans="2:89" ht="12.75" customHeight="1" x14ac:dyDescent="0.2">
      <c r="B151" s="77">
        <v>40056</v>
      </c>
      <c r="C151" s="49">
        <v>51.459999000000003</v>
      </c>
      <c r="D151" s="49">
        <v>44.459999000000003</v>
      </c>
      <c r="E151" s="49">
        <v>39.830002</v>
      </c>
      <c r="F151" s="49">
        <v>50.080002</v>
      </c>
      <c r="G151" s="49">
        <v>32.889999000000003</v>
      </c>
      <c r="H151" s="49">
        <v>36.240001999999997</v>
      </c>
      <c r="J151" s="78">
        <f>IF(inter=Weekly_2,J150+$C$5,IF(inter=Bi_weekly_2,0,IF(inter=Monthly_2,0,IF(inter=Quarterly_2,0,IF(inter=Yearly_2,0,IF(inter=None_2,0,0))))))</f>
        <v>0</v>
      </c>
      <c r="K151" s="79">
        <f t="shared" si="127"/>
        <v>0</v>
      </c>
      <c r="L151" s="79">
        <f t="shared" si="128"/>
        <v>0</v>
      </c>
      <c r="M151" s="79">
        <f t="shared" si="129"/>
        <v>0</v>
      </c>
      <c r="N151" s="79">
        <f t="shared" si="130"/>
        <v>0</v>
      </c>
      <c r="O151" s="79">
        <f t="shared" si="131"/>
        <v>0</v>
      </c>
      <c r="P151" s="79">
        <f t="shared" si="132"/>
        <v>0</v>
      </c>
      <c r="Q151" s="79"/>
      <c r="R151" s="80">
        <f t="shared" si="90"/>
        <v>0</v>
      </c>
      <c r="S151" s="80">
        <f t="shared" si="91"/>
        <v>0</v>
      </c>
      <c r="T151" s="80">
        <f t="shared" si="92"/>
        <v>0</v>
      </c>
      <c r="U151" s="80">
        <f t="shared" si="93"/>
        <v>0</v>
      </c>
      <c r="V151" s="80">
        <f t="shared" si="94"/>
        <v>0</v>
      </c>
      <c r="W151" s="80">
        <f t="shared" si="95"/>
        <v>0</v>
      </c>
      <c r="X151" s="80">
        <f t="shared" si="146"/>
        <v>351.34098943791207</v>
      </c>
      <c r="Y151" s="80">
        <f t="shared" si="147"/>
        <v>115.64775732403979</v>
      </c>
      <c r="Z151" s="80">
        <f t="shared" si="148"/>
        <v>102.97224522162233</v>
      </c>
      <c r="AA151" s="80">
        <f t="shared" si="149"/>
        <v>71.361864927553896</v>
      </c>
      <c r="AB151" s="80">
        <f t="shared" si="150"/>
        <v>394.10346605875657</v>
      </c>
      <c r="AC151" s="80">
        <f t="shared" si="151"/>
        <v>220.22976240486867</v>
      </c>
      <c r="AD151" s="80"/>
      <c r="AE151" s="80"/>
      <c r="AF151" s="80"/>
      <c r="AG151" s="80"/>
      <c r="AH151" s="80"/>
      <c r="AI151" s="80"/>
      <c r="AJ151" s="45">
        <f t="shared" si="96"/>
        <v>0</v>
      </c>
      <c r="AK151" s="45">
        <f t="shared" si="97"/>
        <v>0</v>
      </c>
      <c r="AL151" s="45">
        <f t="shared" si="98"/>
        <v>0</v>
      </c>
      <c r="AM151" s="45">
        <f t="shared" si="99"/>
        <v>0</v>
      </c>
      <c r="AN151" s="45">
        <f t="shared" si="100"/>
        <v>0</v>
      </c>
      <c r="AO151" s="45">
        <f t="shared" si="101"/>
        <v>0</v>
      </c>
      <c r="AP151" s="80">
        <f t="shared" si="102"/>
        <v>0</v>
      </c>
      <c r="AQ151" s="80">
        <f t="shared" si="103"/>
        <v>0</v>
      </c>
      <c r="AR151" s="80">
        <f t="shared" si="104"/>
        <v>0</v>
      </c>
      <c r="AS151" s="80">
        <f t="shared" si="105"/>
        <v>0</v>
      </c>
      <c r="AT151" s="80">
        <f t="shared" si="106"/>
        <v>0</v>
      </c>
      <c r="AU151" s="80">
        <f t="shared" si="107"/>
        <v>0</v>
      </c>
      <c r="AV151" s="80">
        <f t="shared" si="152"/>
        <v>9.8572448339084175</v>
      </c>
      <c r="AW151" s="80">
        <f t="shared" si="153"/>
        <v>5.2806298079730185</v>
      </c>
      <c r="AX151" s="80">
        <f t="shared" si="154"/>
        <v>3.7823684592038607</v>
      </c>
      <c r="AY151" s="80">
        <f t="shared" si="155"/>
        <v>2.8952575130302551</v>
      </c>
      <c r="AZ151" s="80">
        <f t="shared" si="156"/>
        <v>16.7503044925596</v>
      </c>
      <c r="BA151" s="80">
        <f t="shared" si="157"/>
        <v>13.122255280197196</v>
      </c>
      <c r="BB151" s="80">
        <f t="shared" si="133"/>
        <v>361.19823427182047</v>
      </c>
      <c r="BC151" s="80">
        <f t="shared" si="134"/>
        <v>120.9283871320128</v>
      </c>
      <c r="BD151" s="80">
        <f t="shared" si="135"/>
        <v>106.7546136808262</v>
      </c>
      <c r="BE151" s="80">
        <f t="shared" si="136"/>
        <v>74.257122440584155</v>
      </c>
      <c r="BF151" s="80">
        <f t="shared" si="137"/>
        <v>410.85377055131619</v>
      </c>
      <c r="BG151" s="80">
        <f t="shared" si="138"/>
        <v>233.35201768506587</v>
      </c>
      <c r="BH151" s="49">
        <f t="shared" si="139"/>
        <v>0</v>
      </c>
      <c r="BI151" s="79">
        <f t="shared" si="140"/>
        <v>-56181.038315265265</v>
      </c>
      <c r="BJ151" s="79">
        <f t="shared" si="108"/>
        <v>51840.082846111356</v>
      </c>
      <c r="BK151" s="44">
        <f t="shared" si="141"/>
        <v>-7.7267270227264651E-2</v>
      </c>
      <c r="BL151" s="79">
        <f t="shared" si="158"/>
        <v>1860.0365413943482</v>
      </c>
      <c r="BM151" s="49">
        <f t="shared" si="142"/>
        <v>53700.119387505707</v>
      </c>
      <c r="BN151" s="44">
        <f t="shared" si="143"/>
        <v>-4.4159364122778322E-2</v>
      </c>
      <c r="BO151" s="49">
        <f t="shared" si="109"/>
        <v>2064.1449062242677</v>
      </c>
      <c r="BP151" s="49">
        <f t="shared" si="110"/>
        <v>53904.227752335624</v>
      </c>
      <c r="BQ151" s="44">
        <f t="shared" si="111"/>
        <v>-4.0526316907015913E-2</v>
      </c>
      <c r="BS151" s="49">
        <f t="shared" si="112"/>
        <v>56181.038315265265</v>
      </c>
      <c r="BT151" s="49">
        <f t="shared" si="88"/>
        <v>51.459999000000003</v>
      </c>
      <c r="BU151" s="49">
        <f t="shared" si="89"/>
        <v>36.240001999999997</v>
      </c>
      <c r="BV151" s="49">
        <f t="shared" si="113"/>
        <v>0</v>
      </c>
      <c r="BW151" s="18">
        <f t="shared" si="114"/>
        <v>763</v>
      </c>
      <c r="BX151" s="19">
        <f t="shared" si="144"/>
        <v>0.82499999999999996</v>
      </c>
      <c r="BY151" s="49">
        <f t="shared" si="145"/>
        <v>0</v>
      </c>
      <c r="BZ151" s="19">
        <f t="shared" si="115"/>
        <v>0</v>
      </c>
      <c r="CA151" s="19">
        <f t="shared" si="116"/>
        <v>0</v>
      </c>
      <c r="CB151" s="19">
        <f t="shared" si="117"/>
        <v>0</v>
      </c>
      <c r="CC151" s="19">
        <f t="shared" si="118"/>
        <v>0</v>
      </c>
      <c r="CD151" s="19">
        <f t="shared" si="119"/>
        <v>0</v>
      </c>
      <c r="CE151" s="19">
        <f t="shared" si="120"/>
        <v>0</v>
      </c>
      <c r="CF151" s="49">
        <f t="shared" si="121"/>
        <v>0</v>
      </c>
      <c r="CG151" s="49">
        <f t="shared" si="122"/>
        <v>0</v>
      </c>
      <c r="CH151" s="49">
        <f t="shared" si="123"/>
        <v>0</v>
      </c>
      <c r="CI151" s="49">
        <f t="shared" si="124"/>
        <v>0</v>
      </c>
      <c r="CJ151" s="49">
        <f t="shared" si="125"/>
        <v>0</v>
      </c>
      <c r="CK151" s="49">
        <f t="shared" si="126"/>
        <v>0</v>
      </c>
    </row>
    <row r="152" spans="2:89" ht="12.75" customHeight="1" x14ac:dyDescent="0.2">
      <c r="B152" s="77">
        <v>40064</v>
      </c>
      <c r="C152" s="49">
        <v>53.080002</v>
      </c>
      <c r="D152" s="49">
        <v>45.73</v>
      </c>
      <c r="E152" s="49">
        <v>41.509998000000003</v>
      </c>
      <c r="F152" s="49">
        <v>52.34</v>
      </c>
      <c r="G152" s="49">
        <v>34.110000999999997</v>
      </c>
      <c r="H152" s="49">
        <v>37.5</v>
      </c>
      <c r="J152" s="78">
        <f>IF(inter=Weekly_2,J151+$C$5,IF(inter=Bi_weekly_2,J150+$C$5,IF(inter=Monthly_2,0,IF(inter=Quarterly_2,0,IF(inter=Yearly_2,0,IF(inter=None_2,0,0))))))</f>
        <v>53000</v>
      </c>
      <c r="K152" s="79">
        <f t="shared" si="127"/>
        <v>99.18042204635276</v>
      </c>
      <c r="L152" s="79">
        <f t="shared" si="128"/>
        <v>-11.428057571661157</v>
      </c>
      <c r="M152" s="79">
        <f t="shared" si="129"/>
        <v>34.37769320505322</v>
      </c>
      <c r="N152" s="79">
        <f t="shared" si="130"/>
        <v>25.080010308170586</v>
      </c>
      <c r="O152" s="79">
        <f t="shared" si="131"/>
        <v>192.86962136765214</v>
      </c>
      <c r="P152" s="79">
        <f t="shared" si="132"/>
        <v>308.61609018257514</v>
      </c>
      <c r="Q152" s="79"/>
      <c r="R152" s="80">
        <f t="shared" si="90"/>
        <v>-1.8685082575232903</v>
      </c>
      <c r="S152" s="80">
        <f t="shared" si="91"/>
        <v>0.24990285527358752</v>
      </c>
      <c r="T152" s="80">
        <f t="shared" si="92"/>
        <v>-0.82817862831632072</v>
      </c>
      <c r="U152" s="80">
        <f t="shared" si="93"/>
        <v>-0.47917482438231912</v>
      </c>
      <c r="V152" s="80">
        <f t="shared" si="94"/>
        <v>-5.6543422959047165</v>
      </c>
      <c r="W152" s="80">
        <f t="shared" si="95"/>
        <v>-8.2297624048686711</v>
      </c>
      <c r="X152" s="80">
        <f t="shared" si="146"/>
        <v>349.4724811803888</v>
      </c>
      <c r="Y152" s="80">
        <f t="shared" si="147"/>
        <v>115.89766017931338</v>
      </c>
      <c r="Z152" s="80">
        <f t="shared" si="148"/>
        <v>102.14406659330601</v>
      </c>
      <c r="AA152" s="80">
        <f t="shared" si="149"/>
        <v>70.882690103171583</v>
      </c>
      <c r="AB152" s="80">
        <f t="shared" si="150"/>
        <v>388.44912376285185</v>
      </c>
      <c r="AC152" s="80">
        <f t="shared" si="151"/>
        <v>212</v>
      </c>
      <c r="AD152" s="80"/>
      <c r="AE152" s="80"/>
      <c r="AF152" s="80"/>
      <c r="AG152" s="80"/>
      <c r="AH152" s="80"/>
      <c r="AI152" s="80"/>
      <c r="AJ152" s="45">
        <f t="shared" si="96"/>
        <v>0</v>
      </c>
      <c r="AK152" s="45">
        <f t="shared" si="97"/>
        <v>0</v>
      </c>
      <c r="AL152" s="45">
        <f t="shared" si="98"/>
        <v>0</v>
      </c>
      <c r="AM152" s="45">
        <f t="shared" si="99"/>
        <v>0</v>
      </c>
      <c r="AN152" s="45">
        <f t="shared" si="100"/>
        <v>0</v>
      </c>
      <c r="AO152" s="45">
        <f t="shared" si="101"/>
        <v>0</v>
      </c>
      <c r="AP152" s="80">
        <f t="shared" si="102"/>
        <v>0</v>
      </c>
      <c r="AQ152" s="80">
        <f t="shared" si="103"/>
        <v>0</v>
      </c>
      <c r="AR152" s="80">
        <f t="shared" si="104"/>
        <v>0</v>
      </c>
      <c r="AS152" s="80">
        <f t="shared" si="105"/>
        <v>0</v>
      </c>
      <c r="AT152" s="80">
        <f t="shared" si="106"/>
        <v>0</v>
      </c>
      <c r="AU152" s="80">
        <f t="shared" si="107"/>
        <v>0</v>
      </c>
      <c r="AV152" s="80">
        <f t="shared" si="152"/>
        <v>9.8572448339084175</v>
      </c>
      <c r="AW152" s="80">
        <f t="shared" si="153"/>
        <v>5.2806298079730185</v>
      </c>
      <c r="AX152" s="80">
        <f t="shared" si="154"/>
        <v>3.7823684592038607</v>
      </c>
      <c r="AY152" s="80">
        <f t="shared" si="155"/>
        <v>2.8952575130302551</v>
      </c>
      <c r="AZ152" s="80">
        <f t="shared" si="156"/>
        <v>16.7503044925596</v>
      </c>
      <c r="BA152" s="80">
        <f t="shared" si="157"/>
        <v>13.122255280197196</v>
      </c>
      <c r="BB152" s="80">
        <f t="shared" si="133"/>
        <v>359.32972601429719</v>
      </c>
      <c r="BC152" s="80">
        <f t="shared" si="134"/>
        <v>121.17828998728639</v>
      </c>
      <c r="BD152" s="80">
        <f t="shared" si="135"/>
        <v>105.92643505250987</v>
      </c>
      <c r="BE152" s="80">
        <f t="shared" si="136"/>
        <v>73.777947616201843</v>
      </c>
      <c r="BF152" s="80">
        <f t="shared" si="137"/>
        <v>405.19942825541148</v>
      </c>
      <c r="BG152" s="80">
        <f t="shared" si="138"/>
        <v>225.12225528019721</v>
      </c>
      <c r="BH152" s="49">
        <f t="shared" si="139"/>
        <v>0</v>
      </c>
      <c r="BI152" s="79">
        <f t="shared" si="140"/>
        <v>-55532.342535727119</v>
      </c>
      <c r="BJ152" s="79">
        <f t="shared" si="108"/>
        <v>53000</v>
      </c>
      <c r="BK152" s="44">
        <f t="shared" si="141"/>
        <v>-4.5601219399270199E-2</v>
      </c>
      <c r="BL152" s="79">
        <f t="shared" si="158"/>
        <v>1860.0365413943482</v>
      </c>
      <c r="BM152" s="49">
        <f t="shared" si="142"/>
        <v>54860.036541394351</v>
      </c>
      <c r="BN152" s="44">
        <f t="shared" si="143"/>
        <v>-1.2106566437391608E-2</v>
      </c>
      <c r="BO152" s="49">
        <f t="shared" si="109"/>
        <v>2136.6871380246807</v>
      </c>
      <c r="BP152" s="49">
        <f t="shared" si="110"/>
        <v>55136.687138024674</v>
      </c>
      <c r="BQ152" s="44">
        <f t="shared" si="111"/>
        <v>-7.1247741340624282E-3</v>
      </c>
      <c r="BS152" s="49">
        <f t="shared" si="112"/>
        <v>55532.342535727119</v>
      </c>
      <c r="BT152" s="49">
        <f t="shared" ref="BT152:BT215" si="159">C152</f>
        <v>53.080002</v>
      </c>
      <c r="BU152" s="49">
        <f t="shared" ref="BU152:BU215" si="160">H152</f>
        <v>37.5</v>
      </c>
      <c r="BV152" s="49">
        <f t="shared" si="113"/>
        <v>-648.69577953814269</v>
      </c>
      <c r="BW152" s="18">
        <f t="shared" si="114"/>
        <v>771</v>
      </c>
      <c r="BX152" s="19">
        <f t="shared" si="144"/>
        <v>0.82316513761467891</v>
      </c>
      <c r="BY152" s="49">
        <f t="shared" si="145"/>
        <v>-533.98375063357662</v>
      </c>
      <c r="BZ152" s="19">
        <f t="shared" si="115"/>
        <v>0</v>
      </c>
      <c r="CA152" s="19">
        <f t="shared" si="116"/>
        <v>0.24990285527358752</v>
      </c>
      <c r="CB152" s="19">
        <f t="shared" si="117"/>
        <v>0</v>
      </c>
      <c r="CC152" s="19">
        <f t="shared" si="118"/>
        <v>0</v>
      </c>
      <c r="CD152" s="19">
        <f t="shared" si="119"/>
        <v>0</v>
      </c>
      <c r="CE152" s="19">
        <f t="shared" si="120"/>
        <v>0</v>
      </c>
      <c r="CF152" s="49">
        <f t="shared" si="121"/>
        <v>0</v>
      </c>
      <c r="CG152" s="49">
        <f t="shared" si="122"/>
        <v>-11.428057571661157</v>
      </c>
      <c r="CH152" s="49">
        <f t="shared" si="123"/>
        <v>0</v>
      </c>
      <c r="CI152" s="49">
        <f t="shared" si="124"/>
        <v>0</v>
      </c>
      <c r="CJ152" s="49">
        <f t="shared" si="125"/>
        <v>0</v>
      </c>
      <c r="CK152" s="49">
        <f t="shared" si="126"/>
        <v>0</v>
      </c>
    </row>
    <row r="153" spans="2:89" ht="12.75" customHeight="1" x14ac:dyDescent="0.2">
      <c r="B153" s="77">
        <v>40070</v>
      </c>
      <c r="C153" s="49">
        <v>54.439999</v>
      </c>
      <c r="D153" s="49">
        <v>47.07</v>
      </c>
      <c r="E153" s="49">
        <v>43.240001999999997</v>
      </c>
      <c r="F153" s="49">
        <v>54.790000999999997</v>
      </c>
      <c r="G153" s="49">
        <v>34.860000999999997</v>
      </c>
      <c r="H153" s="49">
        <v>38.68</v>
      </c>
      <c r="J153" s="78">
        <f>IF(inter=Weekly_2,J152+$C$5,IF(inter=Bi_weekly_2,0,IF(inter=Monthly_2,0,IF(inter=Quarterly_2,0,IF(inter=Yearly_2,0,IF(inter=None_2,0,0))))))</f>
        <v>0</v>
      </c>
      <c r="K153" s="79">
        <f t="shared" si="127"/>
        <v>0</v>
      </c>
      <c r="L153" s="79">
        <f t="shared" si="128"/>
        <v>0</v>
      </c>
      <c r="M153" s="79">
        <f t="shared" si="129"/>
        <v>0</v>
      </c>
      <c r="N153" s="79">
        <f t="shared" si="130"/>
        <v>0</v>
      </c>
      <c r="O153" s="79">
        <f t="shared" si="131"/>
        <v>0</v>
      </c>
      <c r="P153" s="79">
        <f t="shared" si="132"/>
        <v>0</v>
      </c>
      <c r="Q153" s="79"/>
      <c r="R153" s="80">
        <f t="shared" si="90"/>
        <v>0</v>
      </c>
      <c r="S153" s="80">
        <f t="shared" si="91"/>
        <v>0</v>
      </c>
      <c r="T153" s="80">
        <f t="shared" si="92"/>
        <v>0</v>
      </c>
      <c r="U153" s="80">
        <f t="shared" si="93"/>
        <v>0</v>
      </c>
      <c r="V153" s="80">
        <f t="shared" si="94"/>
        <v>0</v>
      </c>
      <c r="W153" s="80">
        <f t="shared" si="95"/>
        <v>0</v>
      </c>
      <c r="X153" s="80">
        <f t="shared" si="146"/>
        <v>349.4724811803888</v>
      </c>
      <c r="Y153" s="80">
        <f t="shared" si="147"/>
        <v>115.89766017931338</v>
      </c>
      <c r="Z153" s="80">
        <f t="shared" si="148"/>
        <v>102.14406659330601</v>
      </c>
      <c r="AA153" s="80">
        <f t="shared" si="149"/>
        <v>70.882690103171583</v>
      </c>
      <c r="AB153" s="80">
        <f t="shared" si="150"/>
        <v>388.44912376285185</v>
      </c>
      <c r="AC153" s="80">
        <f t="shared" si="151"/>
        <v>212</v>
      </c>
      <c r="AD153" s="80"/>
      <c r="AE153" s="80"/>
      <c r="AF153" s="80"/>
      <c r="AG153" s="80"/>
      <c r="AH153" s="80"/>
      <c r="AI153" s="80"/>
      <c r="AJ153" s="45">
        <f t="shared" si="96"/>
        <v>0</v>
      </c>
      <c r="AK153" s="45">
        <f t="shared" si="97"/>
        <v>0</v>
      </c>
      <c r="AL153" s="45">
        <f t="shared" si="98"/>
        <v>0</v>
      </c>
      <c r="AM153" s="45">
        <f t="shared" si="99"/>
        <v>0</v>
      </c>
      <c r="AN153" s="45">
        <f t="shared" si="100"/>
        <v>0</v>
      </c>
      <c r="AO153" s="45">
        <f t="shared" si="101"/>
        <v>0</v>
      </c>
      <c r="AP153" s="80">
        <f t="shared" si="102"/>
        <v>0</v>
      </c>
      <c r="AQ153" s="80">
        <f t="shared" si="103"/>
        <v>0</v>
      </c>
      <c r="AR153" s="80">
        <f t="shared" si="104"/>
        <v>0</v>
      </c>
      <c r="AS153" s="80">
        <f t="shared" si="105"/>
        <v>0</v>
      </c>
      <c r="AT153" s="80">
        <f t="shared" si="106"/>
        <v>0</v>
      </c>
      <c r="AU153" s="80">
        <f t="shared" si="107"/>
        <v>0</v>
      </c>
      <c r="AV153" s="80">
        <f t="shared" si="152"/>
        <v>9.8572448339084175</v>
      </c>
      <c r="AW153" s="80">
        <f t="shared" si="153"/>
        <v>5.2806298079730185</v>
      </c>
      <c r="AX153" s="80">
        <f t="shared" si="154"/>
        <v>3.7823684592038607</v>
      </c>
      <c r="AY153" s="80">
        <f t="shared" si="155"/>
        <v>2.8952575130302551</v>
      </c>
      <c r="AZ153" s="80">
        <f t="shared" si="156"/>
        <v>16.7503044925596</v>
      </c>
      <c r="BA153" s="80">
        <f t="shared" si="157"/>
        <v>13.122255280197196</v>
      </c>
      <c r="BB153" s="80">
        <f t="shared" si="133"/>
        <v>359.32972601429719</v>
      </c>
      <c r="BC153" s="80">
        <f t="shared" si="134"/>
        <v>121.17828998728639</v>
      </c>
      <c r="BD153" s="80">
        <f t="shared" si="135"/>
        <v>105.92643505250987</v>
      </c>
      <c r="BE153" s="80">
        <f t="shared" si="136"/>
        <v>73.777947616201843</v>
      </c>
      <c r="BF153" s="80">
        <f t="shared" si="137"/>
        <v>405.19942825541148</v>
      </c>
      <c r="BG153" s="80">
        <f t="shared" si="138"/>
        <v>225.12225528019721</v>
      </c>
      <c r="BH153" s="49">
        <f t="shared" si="139"/>
        <v>0</v>
      </c>
      <c r="BI153" s="79">
        <f t="shared" si="140"/>
        <v>-55532.342535727119</v>
      </c>
      <c r="BJ153" s="79">
        <f t="shared" si="108"/>
        <v>54522.453538868445</v>
      </c>
      <c r="BK153" s="44">
        <f t="shared" si="141"/>
        <v>-1.8185600512151123E-2</v>
      </c>
      <c r="BL153" s="79">
        <f t="shared" si="158"/>
        <v>1860.0365413943482</v>
      </c>
      <c r="BM153" s="49">
        <f t="shared" si="142"/>
        <v>56382.490080262796</v>
      </c>
      <c r="BN153" s="44">
        <f t="shared" si="143"/>
        <v>1.5309052449727467E-2</v>
      </c>
      <c r="BO153" s="49">
        <f t="shared" si="109"/>
        <v>2198.8528913358759</v>
      </c>
      <c r="BP153" s="49">
        <f t="shared" si="110"/>
        <v>56721.306430204328</v>
      </c>
      <c r="BQ153" s="44">
        <f t="shared" si="111"/>
        <v>2.1410296057874367E-2</v>
      </c>
      <c r="BS153" s="49">
        <f t="shared" si="112"/>
        <v>55532.342535727119</v>
      </c>
      <c r="BT153" s="49">
        <f t="shared" si="159"/>
        <v>54.439999</v>
      </c>
      <c r="BU153" s="49">
        <f t="shared" si="160"/>
        <v>38.68</v>
      </c>
      <c r="BV153" s="49">
        <f t="shared" si="113"/>
        <v>0</v>
      </c>
      <c r="BW153" s="18">
        <f t="shared" si="114"/>
        <v>777</v>
      </c>
      <c r="BX153" s="19">
        <f t="shared" si="144"/>
        <v>0.82178899082568813</v>
      </c>
      <c r="BY153" s="49">
        <f t="shared" si="145"/>
        <v>0</v>
      </c>
      <c r="BZ153" s="19">
        <f t="shared" si="115"/>
        <v>0</v>
      </c>
      <c r="CA153" s="19">
        <f t="shared" si="116"/>
        <v>0</v>
      </c>
      <c r="CB153" s="19">
        <f t="shared" si="117"/>
        <v>0</v>
      </c>
      <c r="CC153" s="19">
        <f t="shared" si="118"/>
        <v>0</v>
      </c>
      <c r="CD153" s="19">
        <f t="shared" si="119"/>
        <v>0</v>
      </c>
      <c r="CE153" s="19">
        <f t="shared" si="120"/>
        <v>0</v>
      </c>
      <c r="CF153" s="49">
        <f t="shared" si="121"/>
        <v>0</v>
      </c>
      <c r="CG153" s="49">
        <f t="shared" si="122"/>
        <v>0</v>
      </c>
      <c r="CH153" s="49">
        <f t="shared" si="123"/>
        <v>0</v>
      </c>
      <c r="CI153" s="49">
        <f t="shared" si="124"/>
        <v>0</v>
      </c>
      <c r="CJ153" s="49">
        <f t="shared" si="125"/>
        <v>0</v>
      </c>
      <c r="CK153" s="49">
        <f t="shared" si="126"/>
        <v>0</v>
      </c>
    </row>
    <row r="154" spans="2:89" ht="12.75" customHeight="1" x14ac:dyDescent="0.2">
      <c r="B154" s="77">
        <v>40077</v>
      </c>
      <c r="C154" s="49">
        <v>52.889999000000003</v>
      </c>
      <c r="D154" s="49">
        <v>45.59</v>
      </c>
      <c r="E154" s="49">
        <v>41.709999000000003</v>
      </c>
      <c r="F154" s="49">
        <v>52.700001</v>
      </c>
      <c r="G154" s="49">
        <v>34.150002000000001</v>
      </c>
      <c r="H154" s="49">
        <v>37.93</v>
      </c>
      <c r="J154" s="78">
        <f>IF(inter=Weekly_2,J153+$C$5,IF(inter=Bi_weekly_2,J152+$C$5,IF(inter=Monthly_2,J150+$C$5,IF(inter=Quarterly_2,0,IF(inter=Yearly_2,0,IF(inter=None_2,0,0))))))</f>
        <v>53600</v>
      </c>
      <c r="K154" s="79">
        <f t="shared" si="127"/>
        <v>-276.40081984171775</v>
      </c>
      <c r="L154" s="79">
        <f t="shared" si="128"/>
        <v>-76.225672425102857</v>
      </c>
      <c r="M154" s="79">
        <f t="shared" si="129"/>
        <v>-27.571084537272327</v>
      </c>
      <c r="N154" s="79">
        <f t="shared" si="130"/>
        <v>-16.482160680167908</v>
      </c>
      <c r="O154" s="79">
        <f t="shared" si="131"/>
        <v>-134.46164660036084</v>
      </c>
      <c r="P154" s="79">
        <f t="shared" si="132"/>
        <v>1.1599999999998545</v>
      </c>
      <c r="Q154" s="79"/>
      <c r="R154" s="80">
        <f t="shared" si="90"/>
        <v>5.2259562311906596</v>
      </c>
      <c r="S154" s="80">
        <f t="shared" si="91"/>
        <v>1.6719822861395668</v>
      </c>
      <c r="T154" s="80">
        <f t="shared" si="92"/>
        <v>0.66101858543013448</v>
      </c>
      <c r="U154" s="80">
        <f t="shared" si="93"/>
        <v>0.31275446617482811</v>
      </c>
      <c r="V154" s="80">
        <f t="shared" si="94"/>
        <v>3.9373832716133026</v>
      </c>
      <c r="W154" s="80">
        <f t="shared" si="95"/>
        <v>-3.0582652254148551E-2</v>
      </c>
      <c r="X154" s="80">
        <f t="shared" si="146"/>
        <v>354.69843741157945</v>
      </c>
      <c r="Y154" s="80">
        <f t="shared" si="147"/>
        <v>117.56964246545294</v>
      </c>
      <c r="Z154" s="80">
        <f t="shared" si="148"/>
        <v>102.80508517873614</v>
      </c>
      <c r="AA154" s="80">
        <f t="shared" si="149"/>
        <v>71.195444569346407</v>
      </c>
      <c r="AB154" s="80">
        <f t="shared" si="150"/>
        <v>392.38650703446518</v>
      </c>
      <c r="AC154" s="80">
        <f t="shared" si="151"/>
        <v>211.96941734774586</v>
      </c>
      <c r="AD154" s="80">
        <v>0.248</v>
      </c>
      <c r="AE154" s="80">
        <v>0.3</v>
      </c>
      <c r="AF154" s="80"/>
      <c r="AG154" s="80"/>
      <c r="AH154" s="80"/>
      <c r="AI154" s="80"/>
      <c r="AJ154" s="45">
        <f t="shared" si="96"/>
        <v>87.965212478071706</v>
      </c>
      <c r="AK154" s="45">
        <f t="shared" si="97"/>
        <v>35.270892739635883</v>
      </c>
      <c r="AL154" s="45">
        <f t="shared" si="98"/>
        <v>0</v>
      </c>
      <c r="AM154" s="45">
        <f t="shared" si="99"/>
        <v>0</v>
      </c>
      <c r="AN154" s="45">
        <f t="shared" si="100"/>
        <v>0</v>
      </c>
      <c r="AO154" s="45">
        <f t="shared" si="101"/>
        <v>0</v>
      </c>
      <c r="AP154" s="80">
        <f t="shared" si="102"/>
        <v>1.6631728897947551</v>
      </c>
      <c r="AQ154" s="80">
        <f t="shared" si="103"/>
        <v>0.7736541509023005</v>
      </c>
      <c r="AR154" s="80">
        <f t="shared" si="104"/>
        <v>0</v>
      </c>
      <c r="AS154" s="80">
        <f t="shared" si="105"/>
        <v>0</v>
      </c>
      <c r="AT154" s="80">
        <f t="shared" si="106"/>
        <v>0</v>
      </c>
      <c r="AU154" s="80">
        <f t="shared" si="107"/>
        <v>0</v>
      </c>
      <c r="AV154" s="80">
        <f t="shared" si="152"/>
        <v>11.520417723703172</v>
      </c>
      <c r="AW154" s="80">
        <f t="shared" si="153"/>
        <v>6.0542839588753186</v>
      </c>
      <c r="AX154" s="80">
        <f t="shared" si="154"/>
        <v>3.7823684592038607</v>
      </c>
      <c r="AY154" s="80">
        <f t="shared" si="155"/>
        <v>2.8952575130302551</v>
      </c>
      <c r="AZ154" s="80">
        <f t="shared" si="156"/>
        <v>16.7503044925596</v>
      </c>
      <c r="BA154" s="80">
        <f t="shared" si="157"/>
        <v>13.122255280197196</v>
      </c>
      <c r="BB154" s="80">
        <f t="shared" si="133"/>
        <v>366.21885513528264</v>
      </c>
      <c r="BC154" s="80">
        <f t="shared" si="134"/>
        <v>123.62392642432826</v>
      </c>
      <c r="BD154" s="80">
        <f t="shared" si="135"/>
        <v>106.58745363794</v>
      </c>
      <c r="BE154" s="80">
        <f t="shared" si="136"/>
        <v>74.090702082376666</v>
      </c>
      <c r="BF154" s="80">
        <f t="shared" si="137"/>
        <v>409.1368115270248</v>
      </c>
      <c r="BG154" s="80">
        <f t="shared" si="138"/>
        <v>225.09167262794307</v>
      </c>
      <c r="BH154" s="49">
        <f t="shared" si="139"/>
        <v>123.23610521770759</v>
      </c>
      <c r="BI154" s="79">
        <f t="shared" si="140"/>
        <v>-56062.323919811737</v>
      </c>
      <c r="BJ154" s="79">
        <f t="shared" si="108"/>
        <v>53600</v>
      </c>
      <c r="BK154" s="44">
        <f t="shared" si="141"/>
        <v>-4.3921188913497389E-2</v>
      </c>
      <c r="BL154" s="79">
        <f t="shared" si="158"/>
        <v>1983.2726466120557</v>
      </c>
      <c r="BM154" s="49">
        <f t="shared" si="142"/>
        <v>55583.272646612058</v>
      </c>
      <c r="BN154" s="44">
        <f t="shared" si="143"/>
        <v>-8.5449770845190676E-3</v>
      </c>
      <c r="BO154" s="49">
        <f t="shared" si="109"/>
        <v>2265.4224207537445</v>
      </c>
      <c r="BP154" s="49">
        <f t="shared" si="110"/>
        <v>55865.422420753748</v>
      </c>
      <c r="BQ154" s="44">
        <f t="shared" si="111"/>
        <v>-3.512189386576714E-3</v>
      </c>
      <c r="BS154" s="49">
        <f t="shared" si="112"/>
        <v>56062.323919811737</v>
      </c>
      <c r="BT154" s="49">
        <f t="shared" si="159"/>
        <v>52.889999000000003</v>
      </c>
      <c r="BU154" s="49">
        <f t="shared" si="160"/>
        <v>37.93</v>
      </c>
      <c r="BV154" s="49">
        <f t="shared" si="113"/>
        <v>406.74527886691425</v>
      </c>
      <c r="BW154" s="18">
        <f t="shared" si="114"/>
        <v>784</v>
      </c>
      <c r="BX154" s="19">
        <f t="shared" si="144"/>
        <v>0.8201834862385321</v>
      </c>
      <c r="BY154" s="49">
        <f t="shared" si="145"/>
        <v>333.60576083212965</v>
      </c>
      <c r="BZ154" s="19">
        <f t="shared" si="115"/>
        <v>5.2259562311906596</v>
      </c>
      <c r="CA154" s="19">
        <f t="shared" si="116"/>
        <v>1.6719822861395668</v>
      </c>
      <c r="CB154" s="19">
        <f t="shared" si="117"/>
        <v>0.66101858543013448</v>
      </c>
      <c r="CC154" s="19">
        <f t="shared" si="118"/>
        <v>0.31275446617482811</v>
      </c>
      <c r="CD154" s="19">
        <f t="shared" si="119"/>
        <v>3.9373832716133026</v>
      </c>
      <c r="CE154" s="19">
        <f t="shared" si="120"/>
        <v>0</v>
      </c>
      <c r="CF154" s="49">
        <f t="shared" si="121"/>
        <v>-276.40081984171775</v>
      </c>
      <c r="CG154" s="49">
        <f t="shared" si="122"/>
        <v>-76.225672425102857</v>
      </c>
      <c r="CH154" s="49">
        <f t="shared" si="123"/>
        <v>-27.571084537272327</v>
      </c>
      <c r="CI154" s="49">
        <f t="shared" si="124"/>
        <v>-16.482160680167908</v>
      </c>
      <c r="CJ154" s="49">
        <f t="shared" si="125"/>
        <v>-134.46164660036084</v>
      </c>
      <c r="CK154" s="49">
        <f t="shared" si="126"/>
        <v>0</v>
      </c>
    </row>
    <row r="155" spans="2:89" ht="12.75" customHeight="1" x14ac:dyDescent="0.2">
      <c r="B155" s="77">
        <v>40084</v>
      </c>
      <c r="C155" s="49">
        <v>51.860000999999997</v>
      </c>
      <c r="D155" s="49">
        <v>44.57</v>
      </c>
      <c r="E155" s="49">
        <v>40.639999000000003</v>
      </c>
      <c r="F155" s="49">
        <v>51.27</v>
      </c>
      <c r="G155" s="49">
        <v>33.029998999999997</v>
      </c>
      <c r="H155" s="49">
        <v>37.650002000000001</v>
      </c>
      <c r="J155" s="78">
        <f>IF(inter=Weekly_2,J154+$C$5,IF(inter=Bi_weekly_2,0,IF(inter=Monthly_2,0,IF(inter=Quarterly_2,0,IF(inter=Yearly_2,0,IF(inter=None_2,0,0))))))</f>
        <v>0</v>
      </c>
      <c r="K155" s="79">
        <f t="shared" si="127"/>
        <v>0</v>
      </c>
      <c r="L155" s="79">
        <f t="shared" si="128"/>
        <v>0</v>
      </c>
      <c r="M155" s="79">
        <f t="shared" si="129"/>
        <v>0</v>
      </c>
      <c r="N155" s="79">
        <f t="shared" si="130"/>
        <v>0</v>
      </c>
      <c r="O155" s="79">
        <f t="shared" si="131"/>
        <v>0</v>
      </c>
      <c r="P155" s="79">
        <f t="shared" si="132"/>
        <v>0</v>
      </c>
      <c r="Q155" s="79"/>
      <c r="R155" s="80">
        <f t="shared" si="90"/>
        <v>0</v>
      </c>
      <c r="S155" s="80">
        <f t="shared" si="91"/>
        <v>0</v>
      </c>
      <c r="T155" s="80">
        <f t="shared" si="92"/>
        <v>0</v>
      </c>
      <c r="U155" s="80">
        <f t="shared" si="93"/>
        <v>0</v>
      </c>
      <c r="V155" s="80">
        <f t="shared" si="94"/>
        <v>0</v>
      </c>
      <c r="W155" s="80">
        <f t="shared" si="95"/>
        <v>0</v>
      </c>
      <c r="X155" s="80">
        <f t="shared" si="146"/>
        <v>354.69843741157945</v>
      </c>
      <c r="Y155" s="80">
        <f t="shared" si="147"/>
        <v>117.56964246545294</v>
      </c>
      <c r="Z155" s="80">
        <f t="shared" si="148"/>
        <v>102.80508517873614</v>
      </c>
      <c r="AA155" s="80">
        <f t="shared" si="149"/>
        <v>71.195444569346407</v>
      </c>
      <c r="AB155" s="80">
        <f t="shared" si="150"/>
        <v>392.38650703446518</v>
      </c>
      <c r="AC155" s="80">
        <f t="shared" si="151"/>
        <v>211.96941734774586</v>
      </c>
      <c r="AD155" s="80"/>
      <c r="AE155" s="80"/>
      <c r="AF155" s="80"/>
      <c r="AG155" s="80"/>
      <c r="AH155" s="80"/>
      <c r="AI155" s="80"/>
      <c r="AJ155" s="45">
        <f t="shared" si="96"/>
        <v>0</v>
      </c>
      <c r="AK155" s="45">
        <f t="shared" si="97"/>
        <v>0</v>
      </c>
      <c r="AL155" s="45">
        <f t="shared" si="98"/>
        <v>0</v>
      </c>
      <c r="AM155" s="45">
        <f t="shared" si="99"/>
        <v>0</v>
      </c>
      <c r="AN155" s="45">
        <f t="shared" si="100"/>
        <v>0</v>
      </c>
      <c r="AO155" s="45">
        <f t="shared" si="101"/>
        <v>0</v>
      </c>
      <c r="AP155" s="80">
        <f t="shared" si="102"/>
        <v>0</v>
      </c>
      <c r="AQ155" s="80">
        <f t="shared" si="103"/>
        <v>0</v>
      </c>
      <c r="AR155" s="80">
        <f t="shared" si="104"/>
        <v>0</v>
      </c>
      <c r="AS155" s="80">
        <f t="shared" si="105"/>
        <v>0</v>
      </c>
      <c r="AT155" s="80">
        <f t="shared" si="106"/>
        <v>0</v>
      </c>
      <c r="AU155" s="80">
        <f t="shared" si="107"/>
        <v>0</v>
      </c>
      <c r="AV155" s="80">
        <f t="shared" si="152"/>
        <v>11.520417723703172</v>
      </c>
      <c r="AW155" s="80">
        <f t="shared" si="153"/>
        <v>6.0542839588753186</v>
      </c>
      <c r="AX155" s="80">
        <f t="shared" si="154"/>
        <v>3.7823684592038607</v>
      </c>
      <c r="AY155" s="80">
        <f t="shared" si="155"/>
        <v>2.8952575130302551</v>
      </c>
      <c r="AZ155" s="80">
        <f t="shared" si="156"/>
        <v>16.7503044925596</v>
      </c>
      <c r="BA155" s="80">
        <f t="shared" si="157"/>
        <v>13.122255280197196</v>
      </c>
      <c r="BB155" s="80">
        <f t="shared" si="133"/>
        <v>366.21885513528264</v>
      </c>
      <c r="BC155" s="80">
        <f t="shared" si="134"/>
        <v>123.62392642432826</v>
      </c>
      <c r="BD155" s="80">
        <f t="shared" si="135"/>
        <v>106.58745363794</v>
      </c>
      <c r="BE155" s="80">
        <f t="shared" si="136"/>
        <v>74.090702082376666</v>
      </c>
      <c r="BF155" s="80">
        <f t="shared" si="137"/>
        <v>409.1368115270248</v>
      </c>
      <c r="BG155" s="80">
        <f t="shared" si="138"/>
        <v>225.09167262794307</v>
      </c>
      <c r="BH155" s="49">
        <f t="shared" si="139"/>
        <v>0</v>
      </c>
      <c r="BI155" s="79">
        <f t="shared" si="140"/>
        <v>-56062.323919811737</v>
      </c>
      <c r="BJ155" s="79">
        <f t="shared" si="108"/>
        <v>52404.104207520671</v>
      </c>
      <c r="BK155" s="44">
        <f t="shared" si="141"/>
        <v>-6.5252730470530818E-2</v>
      </c>
      <c r="BL155" s="79">
        <f t="shared" si="158"/>
        <v>1983.2726466120557</v>
      </c>
      <c r="BM155" s="49">
        <f t="shared" si="142"/>
        <v>54387.37685413273</v>
      </c>
      <c r="BN155" s="44">
        <f t="shared" si="143"/>
        <v>-2.9876518641552496E-2</v>
      </c>
      <c r="BO155" s="49">
        <f t="shared" si="109"/>
        <v>2216.7590919943486</v>
      </c>
      <c r="BP155" s="49">
        <f t="shared" si="110"/>
        <v>54620.863299515026</v>
      </c>
      <c r="BQ155" s="44">
        <f t="shared" si="111"/>
        <v>-2.571175291196437E-2</v>
      </c>
      <c r="BS155" s="49">
        <f t="shared" si="112"/>
        <v>56062.323919811737</v>
      </c>
      <c r="BT155" s="49">
        <f t="shared" si="159"/>
        <v>51.860000999999997</v>
      </c>
      <c r="BU155" s="49">
        <f t="shared" si="160"/>
        <v>37.650002000000001</v>
      </c>
      <c r="BV155" s="49">
        <f t="shared" si="113"/>
        <v>0</v>
      </c>
      <c r="BW155" s="18">
        <f t="shared" si="114"/>
        <v>791</v>
      </c>
      <c r="BX155" s="19">
        <f t="shared" si="144"/>
        <v>0.81857798165137619</v>
      </c>
      <c r="BY155" s="49">
        <f t="shared" si="145"/>
        <v>0</v>
      </c>
      <c r="BZ155" s="19">
        <f t="shared" si="115"/>
        <v>0</v>
      </c>
      <c r="CA155" s="19">
        <f t="shared" si="116"/>
        <v>0</v>
      </c>
      <c r="CB155" s="19">
        <f t="shared" si="117"/>
        <v>0</v>
      </c>
      <c r="CC155" s="19">
        <f t="shared" si="118"/>
        <v>0</v>
      </c>
      <c r="CD155" s="19">
        <f t="shared" si="119"/>
        <v>0</v>
      </c>
      <c r="CE155" s="19">
        <f t="shared" si="120"/>
        <v>0</v>
      </c>
      <c r="CF155" s="49">
        <f t="shared" si="121"/>
        <v>0</v>
      </c>
      <c r="CG155" s="49">
        <f t="shared" si="122"/>
        <v>0</v>
      </c>
      <c r="CH155" s="49">
        <f t="shared" si="123"/>
        <v>0</v>
      </c>
      <c r="CI155" s="49">
        <f t="shared" si="124"/>
        <v>0</v>
      </c>
      <c r="CJ155" s="49">
        <f t="shared" si="125"/>
        <v>0</v>
      </c>
      <c r="CK155" s="49">
        <f t="shared" si="126"/>
        <v>0</v>
      </c>
    </row>
    <row r="156" spans="2:89" ht="12.75" customHeight="1" x14ac:dyDescent="0.2">
      <c r="B156" s="77">
        <v>40091</v>
      </c>
      <c r="C156" s="49">
        <v>54.400002000000001</v>
      </c>
      <c r="D156" s="49">
        <v>46.779998999999997</v>
      </c>
      <c r="E156" s="49">
        <v>43.23</v>
      </c>
      <c r="F156" s="49">
        <v>54.48</v>
      </c>
      <c r="G156" s="49">
        <v>34.560001</v>
      </c>
      <c r="H156" s="49">
        <v>39.830002</v>
      </c>
      <c r="J156" s="78">
        <f>IF(inter=Weekly_2,J155+$C$5,IF(inter=Bi_weekly_2,J154+$C$5,IF(inter=Monthly_2,0,IF(inter=Quarterly_2,0,IF(inter=Yearly_2,0,IF(inter=None_2,0,0))))))</f>
        <v>54200</v>
      </c>
      <c r="K156" s="79">
        <f t="shared" si="127"/>
        <v>325.59570458679809</v>
      </c>
      <c r="L156" s="79">
        <f t="shared" si="128"/>
        <v>79.907756964245891</v>
      </c>
      <c r="M156" s="79">
        <f t="shared" si="129"/>
        <v>108.26383227676251</v>
      </c>
      <c r="N156" s="79">
        <f t="shared" si="130"/>
        <v>84.72782013799133</v>
      </c>
      <c r="O156" s="79">
        <f t="shared" si="131"/>
        <v>10.878075497623286</v>
      </c>
      <c r="P156" s="79">
        <f t="shared" si="132"/>
        <v>312.74231689955195</v>
      </c>
      <c r="Q156" s="79"/>
      <c r="R156" s="80">
        <f t="shared" si="90"/>
        <v>-5.9852149378008859</v>
      </c>
      <c r="S156" s="80">
        <f t="shared" si="91"/>
        <v>-1.7081607240788077</v>
      </c>
      <c r="T156" s="80">
        <f t="shared" si="92"/>
        <v>-2.5043680841258968</v>
      </c>
      <c r="U156" s="80">
        <f t="shared" si="93"/>
        <v>-1.5552096207413975</v>
      </c>
      <c r="V156" s="80">
        <f t="shared" si="94"/>
        <v>-0.31475911987454186</v>
      </c>
      <c r="W156" s="80">
        <f t="shared" si="95"/>
        <v>-7.8519282248479918</v>
      </c>
      <c r="X156" s="80">
        <f t="shared" si="146"/>
        <v>348.71322247377856</v>
      </c>
      <c r="Y156" s="80">
        <f t="shared" si="147"/>
        <v>115.86148174137413</v>
      </c>
      <c r="Z156" s="80">
        <f t="shared" si="148"/>
        <v>100.30071709461023</v>
      </c>
      <c r="AA156" s="80">
        <f t="shared" si="149"/>
        <v>69.640234948605013</v>
      </c>
      <c r="AB156" s="80">
        <f t="shared" si="150"/>
        <v>392.07174791459062</v>
      </c>
      <c r="AC156" s="80">
        <f t="shared" si="151"/>
        <v>204.11748912289787</v>
      </c>
      <c r="AD156" s="80"/>
      <c r="AE156" s="80"/>
      <c r="AF156" s="80"/>
      <c r="AG156" s="80"/>
      <c r="AH156" s="80"/>
      <c r="AI156" s="80"/>
      <c r="AJ156" s="45">
        <f t="shared" si="96"/>
        <v>0</v>
      </c>
      <c r="AK156" s="45">
        <f t="shared" si="97"/>
        <v>0</v>
      </c>
      <c r="AL156" s="45">
        <f t="shared" si="98"/>
        <v>0</v>
      </c>
      <c r="AM156" s="45">
        <f t="shared" si="99"/>
        <v>0</v>
      </c>
      <c r="AN156" s="45">
        <f t="shared" si="100"/>
        <v>0</v>
      </c>
      <c r="AO156" s="45">
        <f t="shared" si="101"/>
        <v>0</v>
      </c>
      <c r="AP156" s="80">
        <f t="shared" si="102"/>
        <v>0</v>
      </c>
      <c r="AQ156" s="80">
        <f t="shared" si="103"/>
        <v>0</v>
      </c>
      <c r="AR156" s="80">
        <f t="shared" si="104"/>
        <v>0</v>
      </c>
      <c r="AS156" s="80">
        <f t="shared" si="105"/>
        <v>0</v>
      </c>
      <c r="AT156" s="80">
        <f t="shared" si="106"/>
        <v>0</v>
      </c>
      <c r="AU156" s="80">
        <f t="shared" si="107"/>
        <v>0</v>
      </c>
      <c r="AV156" s="80">
        <f t="shared" si="152"/>
        <v>11.520417723703172</v>
      </c>
      <c r="AW156" s="80">
        <f t="shared" si="153"/>
        <v>6.0542839588753186</v>
      </c>
      <c r="AX156" s="80">
        <f t="shared" si="154"/>
        <v>3.7823684592038607</v>
      </c>
      <c r="AY156" s="80">
        <f t="shared" si="155"/>
        <v>2.8952575130302551</v>
      </c>
      <c r="AZ156" s="80">
        <f t="shared" si="156"/>
        <v>16.7503044925596</v>
      </c>
      <c r="BA156" s="80">
        <f t="shared" si="157"/>
        <v>13.122255280197196</v>
      </c>
      <c r="BB156" s="80">
        <f t="shared" si="133"/>
        <v>360.23364019748175</v>
      </c>
      <c r="BC156" s="80">
        <f t="shared" si="134"/>
        <v>121.91576570024945</v>
      </c>
      <c r="BD156" s="80">
        <f t="shared" si="135"/>
        <v>104.0830855538141</v>
      </c>
      <c r="BE156" s="80">
        <f t="shared" si="136"/>
        <v>72.535492461635272</v>
      </c>
      <c r="BF156" s="80">
        <f t="shared" si="137"/>
        <v>408.82205240715024</v>
      </c>
      <c r="BG156" s="80">
        <f t="shared" si="138"/>
        <v>217.23974440309507</v>
      </c>
      <c r="BH156" s="49">
        <f t="shared" si="139"/>
        <v>0</v>
      </c>
      <c r="BI156" s="79">
        <f t="shared" si="140"/>
        <v>-55140.208413448767</v>
      </c>
      <c r="BJ156" s="79">
        <f t="shared" si="108"/>
        <v>54200</v>
      </c>
      <c r="BK156" s="44">
        <f t="shared" si="141"/>
        <v>-1.7051230680866447E-2</v>
      </c>
      <c r="BL156" s="79">
        <f t="shared" si="158"/>
        <v>1983.2726466120557</v>
      </c>
      <c r="BM156" s="49">
        <f t="shared" si="142"/>
        <v>56183.272646612058</v>
      </c>
      <c r="BN156" s="44">
        <f t="shared" si="143"/>
        <v>1.8916581260307375E-2</v>
      </c>
      <c r="BO156" s="49">
        <f t="shared" si="109"/>
        <v>2332.7255566213917</v>
      </c>
      <c r="BP156" s="49">
        <f t="shared" si="110"/>
        <v>56532.725556621393</v>
      </c>
      <c r="BQ156" s="44">
        <f t="shared" si="111"/>
        <v>2.5254114615079981E-2</v>
      </c>
      <c r="BS156" s="49">
        <f t="shared" si="112"/>
        <v>55140.208413448767</v>
      </c>
      <c r="BT156" s="49">
        <f t="shared" si="159"/>
        <v>54.400002000000001</v>
      </c>
      <c r="BU156" s="49">
        <f t="shared" si="160"/>
        <v>39.830002</v>
      </c>
      <c r="BV156" s="49">
        <f t="shared" si="113"/>
        <v>-922.11550636297306</v>
      </c>
      <c r="BW156" s="18">
        <f t="shared" si="114"/>
        <v>798</v>
      </c>
      <c r="BX156" s="19">
        <f t="shared" si="144"/>
        <v>0.81697247706422016</v>
      </c>
      <c r="BY156" s="49">
        <f t="shared" si="145"/>
        <v>-753.34298937268579</v>
      </c>
      <c r="BZ156" s="19">
        <f t="shared" si="115"/>
        <v>0</v>
      </c>
      <c r="CA156" s="19">
        <f t="shared" si="116"/>
        <v>0</v>
      </c>
      <c r="CB156" s="19">
        <f t="shared" si="117"/>
        <v>0</v>
      </c>
      <c r="CC156" s="19">
        <f t="shared" si="118"/>
        <v>0</v>
      </c>
      <c r="CD156" s="19">
        <f t="shared" si="119"/>
        <v>0</v>
      </c>
      <c r="CE156" s="19">
        <f t="shared" si="120"/>
        <v>0</v>
      </c>
      <c r="CF156" s="49">
        <f t="shared" si="121"/>
        <v>0</v>
      </c>
      <c r="CG156" s="49">
        <f t="shared" si="122"/>
        <v>0</v>
      </c>
      <c r="CH156" s="49">
        <f t="shared" si="123"/>
        <v>0</v>
      </c>
      <c r="CI156" s="49">
        <f t="shared" si="124"/>
        <v>0</v>
      </c>
      <c r="CJ156" s="49">
        <f t="shared" si="125"/>
        <v>0</v>
      </c>
      <c r="CK156" s="49">
        <f t="shared" si="126"/>
        <v>0</v>
      </c>
    </row>
    <row r="157" spans="2:89" ht="12.75" customHeight="1" x14ac:dyDescent="0.2">
      <c r="B157" s="77">
        <v>40098</v>
      </c>
      <c r="C157" s="49">
        <v>55.200001</v>
      </c>
      <c r="D157" s="49">
        <v>47.52</v>
      </c>
      <c r="E157" s="49">
        <v>43.740001999999997</v>
      </c>
      <c r="F157" s="49">
        <v>54.57</v>
      </c>
      <c r="G157" s="49">
        <v>35.18</v>
      </c>
      <c r="H157" s="49">
        <v>40.580002</v>
      </c>
      <c r="J157" s="78">
        <f>IF(inter=Weekly_2,J156+$C$5,IF(inter=Bi_weekly_2,0,IF(inter=Monthly_2,0,IF(inter=Quarterly_2,0,IF(inter=Yearly_2,0,IF(inter=None_2,0,0))))))</f>
        <v>0</v>
      </c>
      <c r="K157" s="79">
        <f t="shared" si="127"/>
        <v>0</v>
      </c>
      <c r="L157" s="79">
        <f t="shared" si="128"/>
        <v>0</v>
      </c>
      <c r="M157" s="79">
        <f t="shared" si="129"/>
        <v>0</v>
      </c>
      <c r="N157" s="79">
        <f t="shared" si="130"/>
        <v>0</v>
      </c>
      <c r="O157" s="79">
        <f t="shared" si="131"/>
        <v>0</v>
      </c>
      <c r="P157" s="79">
        <f t="shared" si="132"/>
        <v>0</v>
      </c>
      <c r="Q157" s="79"/>
      <c r="R157" s="80">
        <f t="shared" si="90"/>
        <v>0</v>
      </c>
      <c r="S157" s="80">
        <f t="shared" si="91"/>
        <v>0</v>
      </c>
      <c r="T157" s="80">
        <f t="shared" si="92"/>
        <v>0</v>
      </c>
      <c r="U157" s="80">
        <f t="shared" si="93"/>
        <v>0</v>
      </c>
      <c r="V157" s="80">
        <f t="shared" si="94"/>
        <v>0</v>
      </c>
      <c r="W157" s="80">
        <f t="shared" si="95"/>
        <v>0</v>
      </c>
      <c r="X157" s="80">
        <f t="shared" si="146"/>
        <v>348.71322247377856</v>
      </c>
      <c r="Y157" s="80">
        <f t="shared" si="147"/>
        <v>115.86148174137413</v>
      </c>
      <c r="Z157" s="80">
        <f t="shared" si="148"/>
        <v>100.30071709461023</v>
      </c>
      <c r="AA157" s="80">
        <f t="shared" si="149"/>
        <v>69.640234948605013</v>
      </c>
      <c r="AB157" s="80">
        <f t="shared" si="150"/>
        <v>392.07174791459062</v>
      </c>
      <c r="AC157" s="80">
        <f t="shared" si="151"/>
        <v>204.11748912289787</v>
      </c>
      <c r="AD157" s="80"/>
      <c r="AE157" s="80"/>
      <c r="AF157" s="80"/>
      <c r="AG157" s="80"/>
      <c r="AH157" s="80"/>
      <c r="AI157" s="80"/>
      <c r="AJ157" s="45">
        <f t="shared" si="96"/>
        <v>0</v>
      </c>
      <c r="AK157" s="45">
        <f t="shared" si="97"/>
        <v>0</v>
      </c>
      <c r="AL157" s="45">
        <f t="shared" si="98"/>
        <v>0</v>
      </c>
      <c r="AM157" s="45">
        <f t="shared" si="99"/>
        <v>0</v>
      </c>
      <c r="AN157" s="45">
        <f t="shared" si="100"/>
        <v>0</v>
      </c>
      <c r="AO157" s="45">
        <f t="shared" si="101"/>
        <v>0</v>
      </c>
      <c r="AP157" s="80">
        <f t="shared" si="102"/>
        <v>0</v>
      </c>
      <c r="AQ157" s="80">
        <f t="shared" si="103"/>
        <v>0</v>
      </c>
      <c r="AR157" s="80">
        <f t="shared" si="104"/>
        <v>0</v>
      </c>
      <c r="AS157" s="80">
        <f t="shared" si="105"/>
        <v>0</v>
      </c>
      <c r="AT157" s="80">
        <f t="shared" si="106"/>
        <v>0</v>
      </c>
      <c r="AU157" s="80">
        <f t="shared" si="107"/>
        <v>0</v>
      </c>
      <c r="AV157" s="80">
        <f t="shared" si="152"/>
        <v>11.520417723703172</v>
      </c>
      <c r="AW157" s="80">
        <f t="shared" si="153"/>
        <v>6.0542839588753186</v>
      </c>
      <c r="AX157" s="80">
        <f t="shared" si="154"/>
        <v>3.7823684592038607</v>
      </c>
      <c r="AY157" s="80">
        <f t="shared" si="155"/>
        <v>2.8952575130302551</v>
      </c>
      <c r="AZ157" s="80">
        <f t="shared" si="156"/>
        <v>16.7503044925596</v>
      </c>
      <c r="BA157" s="80">
        <f t="shared" si="157"/>
        <v>13.122255280197196</v>
      </c>
      <c r="BB157" s="80">
        <f t="shared" si="133"/>
        <v>360.23364019748175</v>
      </c>
      <c r="BC157" s="80">
        <f t="shared" si="134"/>
        <v>121.91576570024945</v>
      </c>
      <c r="BD157" s="80">
        <f t="shared" si="135"/>
        <v>104.0830855538141</v>
      </c>
      <c r="BE157" s="80">
        <f t="shared" si="136"/>
        <v>72.535492461635272</v>
      </c>
      <c r="BF157" s="80">
        <f t="shared" si="137"/>
        <v>408.82205240715024</v>
      </c>
      <c r="BG157" s="80">
        <f t="shared" si="138"/>
        <v>217.23974440309507</v>
      </c>
      <c r="BH157" s="49">
        <f t="shared" si="139"/>
        <v>0</v>
      </c>
      <c r="BI157" s="79">
        <f t="shared" si="140"/>
        <v>-55140.208413448767</v>
      </c>
      <c r="BJ157" s="79">
        <f t="shared" si="108"/>
        <v>55018.301237558422</v>
      </c>
      <c r="BK157" s="44">
        <f t="shared" si="141"/>
        <v>-2.2108580906381459E-3</v>
      </c>
      <c r="BL157" s="79">
        <f t="shared" si="158"/>
        <v>1983.2726466120557</v>
      </c>
      <c r="BM157" s="49">
        <f t="shared" si="142"/>
        <v>57001.573884170481</v>
      </c>
      <c r="BN157" s="44">
        <f t="shared" si="143"/>
        <v>3.3756953850535787E-2</v>
      </c>
      <c r="BO157" s="49">
        <f t="shared" si="109"/>
        <v>2368.8385076141226</v>
      </c>
      <c r="BP157" s="49">
        <f t="shared" si="110"/>
        <v>57387.139745172564</v>
      </c>
      <c r="BQ157" s="44">
        <f t="shared" si="111"/>
        <v>4.074941673916066E-2</v>
      </c>
      <c r="BS157" s="49">
        <f t="shared" si="112"/>
        <v>55140.208413448767</v>
      </c>
      <c r="BT157" s="49">
        <f t="shared" si="159"/>
        <v>55.200001</v>
      </c>
      <c r="BU157" s="49">
        <f t="shared" si="160"/>
        <v>40.580002</v>
      </c>
      <c r="BV157" s="49">
        <f t="shared" si="113"/>
        <v>0</v>
      </c>
      <c r="BW157" s="18">
        <f t="shared" si="114"/>
        <v>805</v>
      </c>
      <c r="BX157" s="19">
        <f t="shared" si="144"/>
        <v>0.81536697247706424</v>
      </c>
      <c r="BY157" s="49">
        <f t="shared" si="145"/>
        <v>0</v>
      </c>
      <c r="BZ157" s="19">
        <f t="shared" si="115"/>
        <v>0</v>
      </c>
      <c r="CA157" s="19">
        <f t="shared" si="116"/>
        <v>0</v>
      </c>
      <c r="CB157" s="19">
        <f t="shared" si="117"/>
        <v>0</v>
      </c>
      <c r="CC157" s="19">
        <f t="shared" si="118"/>
        <v>0</v>
      </c>
      <c r="CD157" s="19">
        <f t="shared" si="119"/>
        <v>0</v>
      </c>
      <c r="CE157" s="19">
        <f t="shared" si="120"/>
        <v>0</v>
      </c>
      <c r="CF157" s="49">
        <f t="shared" si="121"/>
        <v>0</v>
      </c>
      <c r="CG157" s="49">
        <f t="shared" si="122"/>
        <v>0</v>
      </c>
      <c r="CH157" s="49">
        <f t="shared" si="123"/>
        <v>0</v>
      </c>
      <c r="CI157" s="49">
        <f t="shared" si="124"/>
        <v>0</v>
      </c>
      <c r="CJ157" s="49">
        <f t="shared" si="125"/>
        <v>0</v>
      </c>
      <c r="CK157" s="49">
        <f t="shared" si="126"/>
        <v>0</v>
      </c>
    </row>
    <row r="158" spans="2:89" ht="12.75" customHeight="1" x14ac:dyDescent="0.2">
      <c r="B158" s="77">
        <v>40105</v>
      </c>
      <c r="C158" s="49">
        <v>54.650002000000001</v>
      </c>
      <c r="D158" s="49">
        <v>47.009998000000003</v>
      </c>
      <c r="E158" s="49">
        <v>43.220001000000003</v>
      </c>
      <c r="F158" s="49">
        <v>53.48</v>
      </c>
      <c r="G158" s="49">
        <v>35.200001</v>
      </c>
      <c r="H158" s="49">
        <v>40.479999999999997</v>
      </c>
      <c r="J158" s="78">
        <f>IF(inter=Weekly_2,J157+$C$5,IF(inter=Bi_weekly_2,J156+$C$5,IF(inter=Monthly_2,J154+$C$5,IF(inter=Quarterly_2,0,IF(inter=Yearly_2,0,IF(inter=None_2,0,0))))))</f>
        <v>54800</v>
      </c>
      <c r="K158" s="79">
        <f t="shared" si="127"/>
        <v>-122.82169438155688</v>
      </c>
      <c r="L158" s="79">
        <f t="shared" si="128"/>
        <v>-33.351975060964833</v>
      </c>
      <c r="M158" s="79">
        <f t="shared" si="129"/>
        <v>-49.002906870227889</v>
      </c>
      <c r="N158" s="79">
        <f t="shared" si="130"/>
        <v>-111.64023494860476</v>
      </c>
      <c r="O158" s="79">
        <f t="shared" si="131"/>
        <v>100.92591866533803</v>
      </c>
      <c r="P158" s="79">
        <f t="shared" si="132"/>
        <v>42.675959694905032</v>
      </c>
      <c r="Q158" s="79"/>
      <c r="R158" s="80">
        <f t="shared" si="90"/>
        <v>2.2474234197019221</v>
      </c>
      <c r="S158" s="80">
        <f t="shared" si="91"/>
        <v>0.70946557072741911</v>
      </c>
      <c r="T158" s="80">
        <f t="shared" si="92"/>
        <v>1.1338016135221256</v>
      </c>
      <c r="U158" s="80">
        <f t="shared" si="93"/>
        <v>2.0875137424944796</v>
      </c>
      <c r="V158" s="80">
        <f t="shared" si="94"/>
        <v>-2.8672135169921735</v>
      </c>
      <c r="W158" s="80">
        <f t="shared" si="95"/>
        <v>-1.0542480161784842</v>
      </c>
      <c r="X158" s="80">
        <f t="shared" si="146"/>
        <v>350.96064589348049</v>
      </c>
      <c r="Y158" s="80">
        <f t="shared" si="147"/>
        <v>116.57094731210155</v>
      </c>
      <c r="Z158" s="80">
        <f t="shared" si="148"/>
        <v>101.43451870813236</v>
      </c>
      <c r="AA158" s="80">
        <f t="shared" si="149"/>
        <v>71.727748691099492</v>
      </c>
      <c r="AB158" s="80">
        <f t="shared" si="150"/>
        <v>389.20453439759842</v>
      </c>
      <c r="AC158" s="80">
        <f t="shared" si="151"/>
        <v>203.06324110671937</v>
      </c>
      <c r="AD158" s="80"/>
      <c r="AE158" s="80"/>
      <c r="AF158" s="80"/>
      <c r="AG158" s="80"/>
      <c r="AH158" s="80"/>
      <c r="AI158" s="80"/>
      <c r="AJ158" s="45">
        <f t="shared" si="96"/>
        <v>0</v>
      </c>
      <c r="AK158" s="45">
        <f t="shared" si="97"/>
        <v>0</v>
      </c>
      <c r="AL158" s="45">
        <f t="shared" si="98"/>
        <v>0</v>
      </c>
      <c r="AM158" s="45">
        <f t="shared" si="99"/>
        <v>0</v>
      </c>
      <c r="AN158" s="45">
        <f t="shared" si="100"/>
        <v>0</v>
      </c>
      <c r="AO158" s="45">
        <f t="shared" si="101"/>
        <v>0</v>
      </c>
      <c r="AP158" s="80">
        <f t="shared" si="102"/>
        <v>0</v>
      </c>
      <c r="AQ158" s="80">
        <f t="shared" si="103"/>
        <v>0</v>
      </c>
      <c r="AR158" s="80">
        <f t="shared" si="104"/>
        <v>0</v>
      </c>
      <c r="AS158" s="80">
        <f t="shared" si="105"/>
        <v>0</v>
      </c>
      <c r="AT158" s="80">
        <f t="shared" si="106"/>
        <v>0</v>
      </c>
      <c r="AU158" s="80">
        <f t="shared" si="107"/>
        <v>0</v>
      </c>
      <c r="AV158" s="80">
        <f t="shared" si="152"/>
        <v>11.520417723703172</v>
      </c>
      <c r="AW158" s="80">
        <f t="shared" si="153"/>
        <v>6.0542839588753186</v>
      </c>
      <c r="AX158" s="80">
        <f t="shared" si="154"/>
        <v>3.7823684592038607</v>
      </c>
      <c r="AY158" s="80">
        <f t="shared" si="155"/>
        <v>2.8952575130302551</v>
      </c>
      <c r="AZ158" s="80">
        <f t="shared" si="156"/>
        <v>16.7503044925596</v>
      </c>
      <c r="BA158" s="80">
        <f t="shared" si="157"/>
        <v>13.122255280197196</v>
      </c>
      <c r="BB158" s="80">
        <f t="shared" si="133"/>
        <v>362.48106361718368</v>
      </c>
      <c r="BC158" s="80">
        <f t="shared" si="134"/>
        <v>122.62523127097687</v>
      </c>
      <c r="BD158" s="80">
        <f t="shared" si="135"/>
        <v>105.21688716733622</v>
      </c>
      <c r="BE158" s="80">
        <f t="shared" si="136"/>
        <v>74.623006204129751</v>
      </c>
      <c r="BF158" s="80">
        <f t="shared" si="137"/>
        <v>405.95483889015804</v>
      </c>
      <c r="BG158" s="80">
        <f t="shared" si="138"/>
        <v>216.18549638691658</v>
      </c>
      <c r="BH158" s="49">
        <f t="shared" si="139"/>
        <v>0</v>
      </c>
      <c r="BI158" s="79">
        <f t="shared" si="140"/>
        <v>-55313.423346349875</v>
      </c>
      <c r="BJ158" s="79">
        <f t="shared" si="108"/>
        <v>54800</v>
      </c>
      <c r="BK158" s="44">
        <f t="shared" si="141"/>
        <v>-9.2820750423460163E-3</v>
      </c>
      <c r="BL158" s="79">
        <f t="shared" si="158"/>
        <v>1983.2726466120557</v>
      </c>
      <c r="BM158" s="49">
        <f t="shared" si="142"/>
        <v>56783.272646612058</v>
      </c>
      <c r="BN158" s="44">
        <f t="shared" si="143"/>
        <v>2.6573103079492899E-2</v>
      </c>
      <c r="BO158" s="49">
        <f t="shared" si="109"/>
        <v>2353.3146974561769</v>
      </c>
      <c r="BP158" s="49">
        <f t="shared" si="110"/>
        <v>57153.314697456182</v>
      </c>
      <c r="BQ158" s="44">
        <f t="shared" si="111"/>
        <v>3.3263017180941157E-2</v>
      </c>
      <c r="BS158" s="49">
        <f t="shared" si="112"/>
        <v>55313.423346349875</v>
      </c>
      <c r="BT158" s="49">
        <f t="shared" si="159"/>
        <v>54.650002000000001</v>
      </c>
      <c r="BU158" s="49">
        <f t="shared" si="160"/>
        <v>40.479999999999997</v>
      </c>
      <c r="BV158" s="49">
        <f t="shared" si="113"/>
        <v>173.2149329011113</v>
      </c>
      <c r="BW158" s="18">
        <f t="shared" si="114"/>
        <v>812</v>
      </c>
      <c r="BX158" s="19">
        <f t="shared" si="144"/>
        <v>0.81376146788990822</v>
      </c>
      <c r="BY158" s="49">
        <f t="shared" si="145"/>
        <v>140.95563805806029</v>
      </c>
      <c r="BZ158" s="19">
        <f t="shared" si="115"/>
        <v>2.2474234197019221</v>
      </c>
      <c r="CA158" s="19">
        <f t="shared" si="116"/>
        <v>0.70946557072741911</v>
      </c>
      <c r="CB158" s="19">
        <f t="shared" si="117"/>
        <v>1.1338016135221256</v>
      </c>
      <c r="CC158" s="19">
        <f t="shared" si="118"/>
        <v>2.0875137424944796</v>
      </c>
      <c r="CD158" s="19">
        <f t="shared" si="119"/>
        <v>0</v>
      </c>
      <c r="CE158" s="19">
        <f t="shared" si="120"/>
        <v>0</v>
      </c>
      <c r="CF158" s="49">
        <f t="shared" si="121"/>
        <v>-122.82169438155688</v>
      </c>
      <c r="CG158" s="49">
        <f t="shared" si="122"/>
        <v>-33.351975060964833</v>
      </c>
      <c r="CH158" s="49">
        <f t="shared" si="123"/>
        <v>-49.002906870227889</v>
      </c>
      <c r="CI158" s="49">
        <f t="shared" si="124"/>
        <v>-111.64023494860476</v>
      </c>
      <c r="CJ158" s="49">
        <f t="shared" si="125"/>
        <v>0</v>
      </c>
      <c r="CK158" s="49">
        <f t="shared" si="126"/>
        <v>0</v>
      </c>
    </row>
    <row r="159" spans="2:89" ht="12.75" customHeight="1" x14ac:dyDescent="0.2">
      <c r="B159" s="77">
        <v>40112</v>
      </c>
      <c r="C159" s="49">
        <v>52.18</v>
      </c>
      <c r="D159" s="49">
        <v>44.860000999999997</v>
      </c>
      <c r="E159" s="49">
        <v>40.57</v>
      </c>
      <c r="F159" s="49">
        <v>50.139999000000003</v>
      </c>
      <c r="G159" s="49">
        <v>33.349997999999999</v>
      </c>
      <c r="H159" s="49">
        <v>37.599997999999999</v>
      </c>
      <c r="J159" s="78">
        <f>IF(inter=Weekly_2,J158+$C$5,IF(inter=Bi_weekly_2,0,IF(inter=Monthly_2,0,IF(inter=Quarterly_2,J146+$C$5,IF(inter=Yearly_2,0,IF(inter=None_2,0,0))))))</f>
        <v>0</v>
      </c>
      <c r="K159" s="79">
        <f t="shared" si="127"/>
        <v>0</v>
      </c>
      <c r="L159" s="79">
        <f t="shared" si="128"/>
        <v>0</v>
      </c>
      <c r="M159" s="79">
        <f t="shared" si="129"/>
        <v>0</v>
      </c>
      <c r="N159" s="79">
        <f t="shared" si="130"/>
        <v>0</v>
      </c>
      <c r="O159" s="79">
        <f t="shared" si="131"/>
        <v>0</v>
      </c>
      <c r="P159" s="79">
        <f t="shared" si="132"/>
        <v>0</v>
      </c>
      <c r="Q159" s="79"/>
      <c r="R159" s="80">
        <f t="shared" si="90"/>
        <v>0</v>
      </c>
      <c r="S159" s="80">
        <f t="shared" si="91"/>
        <v>0</v>
      </c>
      <c r="T159" s="80">
        <f t="shared" si="92"/>
        <v>0</v>
      </c>
      <c r="U159" s="80">
        <f t="shared" si="93"/>
        <v>0</v>
      </c>
      <c r="V159" s="80">
        <f t="shared" si="94"/>
        <v>0</v>
      </c>
      <c r="W159" s="80">
        <f t="shared" si="95"/>
        <v>0</v>
      </c>
      <c r="X159" s="80">
        <f t="shared" si="146"/>
        <v>350.96064589348049</v>
      </c>
      <c r="Y159" s="80">
        <f t="shared" si="147"/>
        <v>116.57094731210155</v>
      </c>
      <c r="Z159" s="80">
        <f t="shared" si="148"/>
        <v>101.43451870813236</v>
      </c>
      <c r="AA159" s="80">
        <f t="shared" si="149"/>
        <v>71.727748691099492</v>
      </c>
      <c r="AB159" s="80">
        <f t="shared" si="150"/>
        <v>389.20453439759842</v>
      </c>
      <c r="AC159" s="80">
        <f t="shared" si="151"/>
        <v>203.06324110671937</v>
      </c>
      <c r="AD159" s="80"/>
      <c r="AE159" s="80"/>
      <c r="AF159" s="80"/>
      <c r="AG159" s="80"/>
      <c r="AH159" s="80"/>
      <c r="AI159" s="80"/>
      <c r="AJ159" s="45">
        <f t="shared" si="96"/>
        <v>0</v>
      </c>
      <c r="AK159" s="45">
        <f t="shared" si="97"/>
        <v>0</v>
      </c>
      <c r="AL159" s="45">
        <f t="shared" si="98"/>
        <v>0</v>
      </c>
      <c r="AM159" s="45">
        <f t="shared" si="99"/>
        <v>0</v>
      </c>
      <c r="AN159" s="45">
        <f t="shared" si="100"/>
        <v>0</v>
      </c>
      <c r="AO159" s="45">
        <f t="shared" si="101"/>
        <v>0</v>
      </c>
      <c r="AP159" s="80">
        <f t="shared" si="102"/>
        <v>0</v>
      </c>
      <c r="AQ159" s="80">
        <f t="shared" si="103"/>
        <v>0</v>
      </c>
      <c r="AR159" s="80">
        <f t="shared" si="104"/>
        <v>0</v>
      </c>
      <c r="AS159" s="80">
        <f t="shared" si="105"/>
        <v>0</v>
      </c>
      <c r="AT159" s="80">
        <f t="shared" si="106"/>
        <v>0</v>
      </c>
      <c r="AU159" s="80">
        <f t="shared" si="107"/>
        <v>0</v>
      </c>
      <c r="AV159" s="80">
        <f t="shared" si="152"/>
        <v>11.520417723703172</v>
      </c>
      <c r="AW159" s="80">
        <f t="shared" si="153"/>
        <v>6.0542839588753186</v>
      </c>
      <c r="AX159" s="80">
        <f t="shared" si="154"/>
        <v>3.7823684592038607</v>
      </c>
      <c r="AY159" s="80">
        <f t="shared" si="155"/>
        <v>2.8952575130302551</v>
      </c>
      <c r="AZ159" s="80">
        <f t="shared" si="156"/>
        <v>16.7503044925596</v>
      </c>
      <c r="BA159" s="80">
        <f t="shared" si="157"/>
        <v>13.122255280197196</v>
      </c>
      <c r="BB159" s="80">
        <f t="shared" si="133"/>
        <v>362.48106361718368</v>
      </c>
      <c r="BC159" s="80">
        <f t="shared" si="134"/>
        <v>122.62523127097687</v>
      </c>
      <c r="BD159" s="80">
        <f t="shared" si="135"/>
        <v>105.21688716733622</v>
      </c>
      <c r="BE159" s="80">
        <f t="shared" si="136"/>
        <v>74.623006204129751</v>
      </c>
      <c r="BF159" s="80">
        <f t="shared" si="137"/>
        <v>405.95483889015804</v>
      </c>
      <c r="BG159" s="80">
        <f t="shared" si="138"/>
        <v>216.18549638691658</v>
      </c>
      <c r="BH159" s="49">
        <f t="shared" si="139"/>
        <v>0</v>
      </c>
      <c r="BI159" s="79">
        <f t="shared" si="140"/>
        <v>-55313.423346349875</v>
      </c>
      <c r="BJ159" s="79">
        <f t="shared" si="108"/>
        <v>51869.274890583547</v>
      </c>
      <c r="BK159" s="44">
        <f t="shared" si="141"/>
        <v>-6.2266051301878234E-2</v>
      </c>
      <c r="BL159" s="79">
        <f t="shared" si="158"/>
        <v>1983.2726466120557</v>
      </c>
      <c r="BM159" s="49">
        <f t="shared" si="142"/>
        <v>53852.547537195605</v>
      </c>
      <c r="BN159" s="44">
        <f t="shared" si="143"/>
        <v>-2.6410873180039318E-2</v>
      </c>
      <c r="BO159" s="49">
        <f t="shared" si="109"/>
        <v>2223.3688720873997</v>
      </c>
      <c r="BP159" s="49">
        <f t="shared" si="110"/>
        <v>54092.643762670945</v>
      </c>
      <c r="BQ159" s="44">
        <f t="shared" si="111"/>
        <v>-2.2070222919216342E-2</v>
      </c>
      <c r="BS159" s="49">
        <f t="shared" si="112"/>
        <v>55313.423346349875</v>
      </c>
      <c r="BT159" s="49">
        <f t="shared" si="159"/>
        <v>52.18</v>
      </c>
      <c r="BU159" s="49">
        <f t="shared" si="160"/>
        <v>37.599997999999999</v>
      </c>
      <c r="BV159" s="49">
        <f t="shared" si="113"/>
        <v>0</v>
      </c>
      <c r="BW159" s="18">
        <f t="shared" si="114"/>
        <v>819</v>
      </c>
      <c r="BX159" s="19">
        <f t="shared" si="144"/>
        <v>0.8121559633027523</v>
      </c>
      <c r="BY159" s="49">
        <f t="shared" si="145"/>
        <v>0</v>
      </c>
      <c r="BZ159" s="19">
        <f t="shared" si="115"/>
        <v>0</v>
      </c>
      <c r="CA159" s="19">
        <f t="shared" si="116"/>
        <v>0</v>
      </c>
      <c r="CB159" s="19">
        <f t="shared" si="117"/>
        <v>0</v>
      </c>
      <c r="CC159" s="19">
        <f t="shared" si="118"/>
        <v>0</v>
      </c>
      <c r="CD159" s="19">
        <f t="shared" si="119"/>
        <v>0</v>
      </c>
      <c r="CE159" s="19">
        <f t="shared" si="120"/>
        <v>0</v>
      </c>
      <c r="CF159" s="49">
        <f t="shared" si="121"/>
        <v>0</v>
      </c>
      <c r="CG159" s="49">
        <f t="shared" si="122"/>
        <v>0</v>
      </c>
      <c r="CH159" s="49">
        <f t="shared" si="123"/>
        <v>0</v>
      </c>
      <c r="CI159" s="49">
        <f t="shared" si="124"/>
        <v>0</v>
      </c>
      <c r="CJ159" s="49">
        <f t="shared" si="125"/>
        <v>0</v>
      </c>
      <c r="CK159" s="49">
        <f t="shared" si="126"/>
        <v>0</v>
      </c>
    </row>
    <row r="160" spans="2:89" ht="12.75" customHeight="1" x14ac:dyDescent="0.2">
      <c r="B160" s="77">
        <v>40119</v>
      </c>
      <c r="C160" s="49">
        <v>53.950001</v>
      </c>
      <c r="D160" s="49">
        <v>46.23</v>
      </c>
      <c r="E160" s="49">
        <v>41.880001</v>
      </c>
      <c r="F160" s="49">
        <v>51.400002000000001</v>
      </c>
      <c r="G160" s="49">
        <v>34.459999000000003</v>
      </c>
      <c r="H160" s="49">
        <v>39.599997999999999</v>
      </c>
      <c r="J160" s="78">
        <f>IF(inter=Weekly_2,J159+$C$5,IF(inter=Bi_weekly_2,J158+$C$5,IF(inter=Monthly_2,0,IF(inter=Quarterly_2,0,IF(inter=Yearly_2,0,IF(inter=None_2,0,0))))))</f>
        <v>55400</v>
      </c>
      <c r="K160" s="79">
        <f t="shared" si="127"/>
        <v>-455.67280308608315</v>
      </c>
      <c r="L160" s="79">
        <f t="shared" si="128"/>
        <v>-150.92510576154564</v>
      </c>
      <c r="M160" s="79">
        <f t="shared" si="129"/>
        <v>-183.92225506889827</v>
      </c>
      <c r="N160" s="79">
        <f t="shared" si="130"/>
        <v>-191.19357382198905</v>
      </c>
      <c r="O160" s="79">
        <f t="shared" si="131"/>
        <v>-438.01213386329073</v>
      </c>
      <c r="P160" s="79">
        <f t="shared" si="132"/>
        <v>-268.69605830039472</v>
      </c>
      <c r="Q160" s="79"/>
      <c r="R160" s="80">
        <f t="shared" si="90"/>
        <v>8.4462056467076465</v>
      </c>
      <c r="S160" s="80">
        <f t="shared" si="91"/>
        <v>3.2646572736652746</v>
      </c>
      <c r="T160" s="80">
        <f t="shared" si="92"/>
        <v>4.3916487745284023</v>
      </c>
      <c r="U160" s="80">
        <f t="shared" si="93"/>
        <v>3.7197191903219973</v>
      </c>
      <c r="V160" s="80">
        <f t="shared" si="94"/>
        <v>12.710741339931284</v>
      </c>
      <c r="W160" s="80">
        <f t="shared" si="95"/>
        <v>6.7852543401743288</v>
      </c>
      <c r="X160" s="80">
        <f t="shared" si="146"/>
        <v>359.40685154018814</v>
      </c>
      <c r="Y160" s="80">
        <f t="shared" si="147"/>
        <v>119.83560458576683</v>
      </c>
      <c r="Z160" s="80">
        <f t="shared" si="148"/>
        <v>105.82616748266076</v>
      </c>
      <c r="AA160" s="80">
        <f t="shared" si="149"/>
        <v>75.447467881421488</v>
      </c>
      <c r="AB160" s="80">
        <f t="shared" si="150"/>
        <v>401.91527573752973</v>
      </c>
      <c r="AC160" s="80">
        <f t="shared" si="151"/>
        <v>209.84849544689371</v>
      </c>
      <c r="AD160" s="80"/>
      <c r="AE160" s="80"/>
      <c r="AF160" s="80"/>
      <c r="AG160" s="80"/>
      <c r="AH160" s="80"/>
      <c r="AI160" s="80"/>
      <c r="AJ160" s="45">
        <f t="shared" si="96"/>
        <v>0</v>
      </c>
      <c r="AK160" s="45">
        <f t="shared" si="97"/>
        <v>0</v>
      </c>
      <c r="AL160" s="45">
        <f t="shared" si="98"/>
        <v>0</v>
      </c>
      <c r="AM160" s="45">
        <f t="shared" si="99"/>
        <v>0</v>
      </c>
      <c r="AN160" s="45">
        <f t="shared" si="100"/>
        <v>0</v>
      </c>
      <c r="AO160" s="45">
        <f t="shared" si="101"/>
        <v>0</v>
      </c>
      <c r="AP160" s="80">
        <f t="shared" si="102"/>
        <v>0</v>
      </c>
      <c r="AQ160" s="80">
        <f t="shared" si="103"/>
        <v>0</v>
      </c>
      <c r="AR160" s="80">
        <f t="shared" si="104"/>
        <v>0</v>
      </c>
      <c r="AS160" s="80">
        <f t="shared" si="105"/>
        <v>0</v>
      </c>
      <c r="AT160" s="80">
        <f t="shared" si="106"/>
        <v>0</v>
      </c>
      <c r="AU160" s="80">
        <f t="shared" si="107"/>
        <v>0</v>
      </c>
      <c r="AV160" s="80">
        <f t="shared" si="152"/>
        <v>11.520417723703172</v>
      </c>
      <c r="AW160" s="80">
        <f t="shared" si="153"/>
        <v>6.0542839588753186</v>
      </c>
      <c r="AX160" s="80">
        <f t="shared" si="154"/>
        <v>3.7823684592038607</v>
      </c>
      <c r="AY160" s="80">
        <f t="shared" si="155"/>
        <v>2.8952575130302551</v>
      </c>
      <c r="AZ160" s="80">
        <f t="shared" si="156"/>
        <v>16.7503044925596</v>
      </c>
      <c r="BA160" s="80">
        <f t="shared" si="157"/>
        <v>13.122255280197196</v>
      </c>
      <c r="BB160" s="80">
        <f t="shared" si="133"/>
        <v>370.92726926389133</v>
      </c>
      <c r="BC160" s="80">
        <f t="shared" si="134"/>
        <v>125.88988854464215</v>
      </c>
      <c r="BD160" s="80">
        <f t="shared" si="135"/>
        <v>109.60853594186463</v>
      </c>
      <c r="BE160" s="80">
        <f t="shared" si="136"/>
        <v>78.342725394451747</v>
      </c>
      <c r="BF160" s="80">
        <f t="shared" si="137"/>
        <v>418.66558023008935</v>
      </c>
      <c r="BG160" s="80">
        <f t="shared" si="138"/>
        <v>222.97075072709092</v>
      </c>
      <c r="BH160" s="49">
        <f t="shared" si="139"/>
        <v>0</v>
      </c>
      <c r="BI160" s="79">
        <f t="shared" si="140"/>
        <v>-57001.845276252083</v>
      </c>
      <c r="BJ160" s="79">
        <f t="shared" si="108"/>
        <v>55400.000000000007</v>
      </c>
      <c r="BK160" s="44">
        <f t="shared" si="141"/>
        <v>-2.810163896429918E-2</v>
      </c>
      <c r="BL160" s="79">
        <f t="shared" si="158"/>
        <v>1983.2726466120557</v>
      </c>
      <c r="BM160" s="49">
        <f t="shared" si="142"/>
        <v>57383.272646612066</v>
      </c>
      <c r="BN160" s="44">
        <f t="shared" si="143"/>
        <v>6.691491626480639E-3</v>
      </c>
      <c r="BO160" s="49">
        <f t="shared" si="109"/>
        <v>2305.4946908617039</v>
      </c>
      <c r="BP160" s="49">
        <f t="shared" si="110"/>
        <v>57705.494690861706</v>
      </c>
      <c r="BQ160" s="44">
        <f t="shared" si="111"/>
        <v>1.2344326945899375E-2</v>
      </c>
      <c r="BS160" s="49">
        <f t="shared" si="112"/>
        <v>57001.845276252083</v>
      </c>
      <c r="BT160" s="49">
        <f t="shared" si="159"/>
        <v>53.950001</v>
      </c>
      <c r="BU160" s="49">
        <f t="shared" si="160"/>
        <v>39.599997999999999</v>
      </c>
      <c r="BV160" s="49">
        <f t="shared" si="113"/>
        <v>1688.4219299022016</v>
      </c>
      <c r="BW160" s="18">
        <f t="shared" si="114"/>
        <v>826</v>
      </c>
      <c r="BX160" s="19">
        <f t="shared" si="144"/>
        <v>0.81055045871559628</v>
      </c>
      <c r="BY160" s="49">
        <f t="shared" si="145"/>
        <v>1368.5511697877018</v>
      </c>
      <c r="BZ160" s="19">
        <f t="shared" si="115"/>
        <v>8.4462056467076465</v>
      </c>
      <c r="CA160" s="19">
        <f t="shared" si="116"/>
        <v>3.2646572736652746</v>
      </c>
      <c r="CB160" s="19">
        <f t="shared" si="117"/>
        <v>4.3916487745284023</v>
      </c>
      <c r="CC160" s="19">
        <f t="shared" si="118"/>
        <v>3.7197191903219973</v>
      </c>
      <c r="CD160" s="19">
        <f t="shared" si="119"/>
        <v>12.710741339931284</v>
      </c>
      <c r="CE160" s="19">
        <f t="shared" si="120"/>
        <v>6.7852543401743288</v>
      </c>
      <c r="CF160" s="49">
        <f t="shared" si="121"/>
        <v>-455.67280308608315</v>
      </c>
      <c r="CG160" s="49">
        <f t="shared" si="122"/>
        <v>-150.92510576154564</v>
      </c>
      <c r="CH160" s="49">
        <f t="shared" si="123"/>
        <v>-183.92225506889827</v>
      </c>
      <c r="CI160" s="49">
        <f t="shared" si="124"/>
        <v>-191.19357382198905</v>
      </c>
      <c r="CJ160" s="49">
        <f t="shared" si="125"/>
        <v>-438.01213386329073</v>
      </c>
      <c r="CK160" s="49">
        <f t="shared" si="126"/>
        <v>-268.69605830039472</v>
      </c>
    </row>
    <row r="161" spans="2:89" ht="12.75" customHeight="1" x14ac:dyDescent="0.2">
      <c r="B161" s="77">
        <v>40126</v>
      </c>
      <c r="C161" s="49">
        <v>55.16</v>
      </c>
      <c r="D161" s="49">
        <v>47.259998000000003</v>
      </c>
      <c r="E161" s="49">
        <v>43</v>
      </c>
      <c r="F161" s="49">
        <v>52.529998999999997</v>
      </c>
      <c r="G161" s="49">
        <v>35.340000000000003</v>
      </c>
      <c r="H161" s="49">
        <v>40.779998999999997</v>
      </c>
      <c r="J161" s="78">
        <f>IF(inter=Weekly_2,J160+$C$5,IF(inter=Bi_weekly_2,0,IF(inter=Monthly_2,0,IF(inter=Quarterly_2,0,IF(inter=Yearly_2,0,IF(inter=None_2,0,0))))))</f>
        <v>0</v>
      </c>
      <c r="K161" s="79">
        <f t="shared" si="127"/>
        <v>0</v>
      </c>
      <c r="L161" s="79">
        <f t="shared" si="128"/>
        <v>0</v>
      </c>
      <c r="M161" s="79">
        <f t="shared" si="129"/>
        <v>0</v>
      </c>
      <c r="N161" s="79">
        <f t="shared" si="130"/>
        <v>0</v>
      </c>
      <c r="O161" s="79">
        <f t="shared" si="131"/>
        <v>0</v>
      </c>
      <c r="P161" s="79">
        <f t="shared" si="132"/>
        <v>0</v>
      </c>
      <c r="Q161" s="79"/>
      <c r="R161" s="80">
        <f t="shared" si="90"/>
        <v>0</v>
      </c>
      <c r="S161" s="80">
        <f t="shared" si="91"/>
        <v>0</v>
      </c>
      <c r="T161" s="80">
        <f t="shared" si="92"/>
        <v>0</v>
      </c>
      <c r="U161" s="80">
        <f t="shared" si="93"/>
        <v>0</v>
      </c>
      <c r="V161" s="80">
        <f t="shared" si="94"/>
        <v>0</v>
      </c>
      <c r="W161" s="80">
        <f t="shared" si="95"/>
        <v>0</v>
      </c>
      <c r="X161" s="80">
        <f t="shared" si="146"/>
        <v>359.40685154018814</v>
      </c>
      <c r="Y161" s="80">
        <f t="shared" si="147"/>
        <v>119.83560458576683</v>
      </c>
      <c r="Z161" s="80">
        <f t="shared" si="148"/>
        <v>105.82616748266076</v>
      </c>
      <c r="AA161" s="80">
        <f t="shared" si="149"/>
        <v>75.447467881421488</v>
      </c>
      <c r="AB161" s="80">
        <f t="shared" si="150"/>
        <v>401.91527573752973</v>
      </c>
      <c r="AC161" s="80">
        <f t="shared" si="151"/>
        <v>209.84849544689371</v>
      </c>
      <c r="AD161" s="80"/>
      <c r="AE161" s="80"/>
      <c r="AF161" s="80"/>
      <c r="AG161" s="80"/>
      <c r="AH161" s="80"/>
      <c r="AI161" s="80"/>
      <c r="AJ161" s="45">
        <f t="shared" si="96"/>
        <v>0</v>
      </c>
      <c r="AK161" s="45">
        <f t="shared" si="97"/>
        <v>0</v>
      </c>
      <c r="AL161" s="45">
        <f t="shared" si="98"/>
        <v>0</v>
      </c>
      <c r="AM161" s="45">
        <f t="shared" si="99"/>
        <v>0</v>
      </c>
      <c r="AN161" s="45">
        <f t="shared" si="100"/>
        <v>0</v>
      </c>
      <c r="AO161" s="45">
        <f t="shared" si="101"/>
        <v>0</v>
      </c>
      <c r="AP161" s="80">
        <f t="shared" si="102"/>
        <v>0</v>
      </c>
      <c r="AQ161" s="80">
        <f t="shared" si="103"/>
        <v>0</v>
      </c>
      <c r="AR161" s="80">
        <f t="shared" si="104"/>
        <v>0</v>
      </c>
      <c r="AS161" s="80">
        <f t="shared" si="105"/>
        <v>0</v>
      </c>
      <c r="AT161" s="80">
        <f t="shared" si="106"/>
        <v>0</v>
      </c>
      <c r="AU161" s="80">
        <f t="shared" si="107"/>
        <v>0</v>
      </c>
      <c r="AV161" s="80">
        <f t="shared" si="152"/>
        <v>11.520417723703172</v>
      </c>
      <c r="AW161" s="80">
        <f t="shared" si="153"/>
        <v>6.0542839588753186</v>
      </c>
      <c r="AX161" s="80">
        <f t="shared" si="154"/>
        <v>3.7823684592038607</v>
      </c>
      <c r="AY161" s="80">
        <f t="shared" si="155"/>
        <v>2.8952575130302551</v>
      </c>
      <c r="AZ161" s="80">
        <f t="shared" si="156"/>
        <v>16.7503044925596</v>
      </c>
      <c r="BA161" s="80">
        <f t="shared" si="157"/>
        <v>13.122255280197196</v>
      </c>
      <c r="BB161" s="80">
        <f t="shared" si="133"/>
        <v>370.92726926389133</v>
      </c>
      <c r="BC161" s="80">
        <f t="shared" si="134"/>
        <v>125.88988854464215</v>
      </c>
      <c r="BD161" s="80">
        <f t="shared" si="135"/>
        <v>109.60853594186463</v>
      </c>
      <c r="BE161" s="80">
        <f t="shared" si="136"/>
        <v>78.342725394451747</v>
      </c>
      <c r="BF161" s="80">
        <f t="shared" si="137"/>
        <v>418.66558023008935</v>
      </c>
      <c r="BG161" s="80">
        <f t="shared" si="138"/>
        <v>222.97075072709092</v>
      </c>
      <c r="BH161" s="49">
        <f t="shared" si="139"/>
        <v>0</v>
      </c>
      <c r="BI161" s="79">
        <f t="shared" si="140"/>
        <v>-57001.845276252083</v>
      </c>
      <c r="BJ161" s="79">
        <f t="shared" si="108"/>
        <v>56763.400257167057</v>
      </c>
      <c r="BK161" s="44">
        <f t="shared" si="141"/>
        <v>-4.1831105279036551E-3</v>
      </c>
      <c r="BL161" s="79">
        <f t="shared" si="158"/>
        <v>1983.2726466120557</v>
      </c>
      <c r="BM161" s="49">
        <f t="shared" si="142"/>
        <v>58746.672903779116</v>
      </c>
      <c r="BN161" s="44">
        <f t="shared" si="143"/>
        <v>3.0610020062876053E-2</v>
      </c>
      <c r="BO161" s="49">
        <f t="shared" si="109"/>
        <v>2363.4027254085768</v>
      </c>
      <c r="BP161" s="49">
        <f t="shared" si="110"/>
        <v>59126.802982575638</v>
      </c>
      <c r="BQ161" s="44">
        <f t="shared" si="111"/>
        <v>3.7278752925018921E-2</v>
      </c>
      <c r="BS161" s="49">
        <f t="shared" si="112"/>
        <v>57001.845276252083</v>
      </c>
      <c r="BT161" s="49">
        <f t="shared" si="159"/>
        <v>55.16</v>
      </c>
      <c r="BU161" s="49">
        <f t="shared" si="160"/>
        <v>40.779998999999997</v>
      </c>
      <c r="BV161" s="49">
        <f t="shared" si="113"/>
        <v>0</v>
      </c>
      <c r="BW161" s="18">
        <f t="shared" si="114"/>
        <v>833</v>
      </c>
      <c r="BX161" s="19">
        <f t="shared" si="144"/>
        <v>0.80894495412844036</v>
      </c>
      <c r="BY161" s="49">
        <f t="shared" si="145"/>
        <v>0</v>
      </c>
      <c r="BZ161" s="19">
        <f t="shared" si="115"/>
        <v>0</v>
      </c>
      <c r="CA161" s="19">
        <f t="shared" si="116"/>
        <v>0</v>
      </c>
      <c r="CB161" s="19">
        <f t="shared" si="117"/>
        <v>0</v>
      </c>
      <c r="CC161" s="19">
        <f t="shared" si="118"/>
        <v>0</v>
      </c>
      <c r="CD161" s="19">
        <f t="shared" si="119"/>
        <v>0</v>
      </c>
      <c r="CE161" s="19">
        <f t="shared" si="120"/>
        <v>0</v>
      </c>
      <c r="CF161" s="49">
        <f t="shared" si="121"/>
        <v>0</v>
      </c>
      <c r="CG161" s="49">
        <f t="shared" si="122"/>
        <v>0</v>
      </c>
      <c r="CH161" s="49">
        <f t="shared" si="123"/>
        <v>0</v>
      </c>
      <c r="CI161" s="49">
        <f t="shared" si="124"/>
        <v>0</v>
      </c>
      <c r="CJ161" s="49">
        <f t="shared" si="125"/>
        <v>0</v>
      </c>
      <c r="CK161" s="49">
        <f t="shared" si="126"/>
        <v>0</v>
      </c>
    </row>
    <row r="162" spans="2:89" ht="12.75" customHeight="1" x14ac:dyDescent="0.2">
      <c r="B162" s="77">
        <v>40133</v>
      </c>
      <c r="C162" s="49">
        <v>55.040000999999997</v>
      </c>
      <c r="D162" s="49">
        <v>47.330002</v>
      </c>
      <c r="E162" s="49">
        <v>42.73</v>
      </c>
      <c r="F162" s="49">
        <v>52.380001</v>
      </c>
      <c r="G162" s="49">
        <v>34.610000999999997</v>
      </c>
      <c r="H162" s="49">
        <v>40.549999</v>
      </c>
      <c r="J162" s="78">
        <f>IF(inter=Weekly_2,J161+$C$5,IF(inter=Bi_weekly_2,J160+$C$5,IF(inter=Monthly_2,J158+$C$5,IF(inter=Quarterly_2,0,IF(inter=Yearly_2,0,IF(inter=None_2,0,0))))))</f>
        <v>56000</v>
      </c>
      <c r="K162" s="79">
        <f t="shared" si="127"/>
        <v>181.75346817880563</v>
      </c>
      <c r="L162" s="79">
        <f t="shared" si="128"/>
        <v>71.819404715552992</v>
      </c>
      <c r="M162" s="79">
        <f t="shared" si="129"/>
        <v>41.952136534094279</v>
      </c>
      <c r="N162" s="79">
        <f t="shared" si="130"/>
        <v>31.938443076324802</v>
      </c>
      <c r="O162" s="79">
        <f t="shared" si="131"/>
        <v>-89.71190480882251</v>
      </c>
      <c r="P162" s="79">
        <f t="shared" si="132"/>
        <v>109.35628052304492</v>
      </c>
      <c r="Q162" s="79"/>
      <c r="R162" s="80">
        <f t="shared" si="90"/>
        <v>-3.3022068473219259</v>
      </c>
      <c r="S162" s="80">
        <f t="shared" si="91"/>
        <v>-1.517418163547785</v>
      </c>
      <c r="T162" s="80">
        <f t="shared" si="92"/>
        <v>-0.98179584680772947</v>
      </c>
      <c r="U162" s="80">
        <f t="shared" si="93"/>
        <v>-0.60974498790721299</v>
      </c>
      <c r="V162" s="80">
        <f t="shared" si="94"/>
        <v>2.5920803876550744</v>
      </c>
      <c r="W162" s="80">
        <f t="shared" si="95"/>
        <v>-2.6968257267538998</v>
      </c>
      <c r="X162" s="80">
        <f t="shared" si="146"/>
        <v>356.1046446928662</v>
      </c>
      <c r="Y162" s="80">
        <f t="shared" si="147"/>
        <v>118.31818642221904</v>
      </c>
      <c r="Z162" s="80">
        <f t="shared" si="148"/>
        <v>104.84437163585304</v>
      </c>
      <c r="AA162" s="80">
        <f t="shared" si="149"/>
        <v>74.837722893514268</v>
      </c>
      <c r="AB162" s="80">
        <f t="shared" si="150"/>
        <v>404.5073561251848</v>
      </c>
      <c r="AC162" s="80">
        <f t="shared" si="151"/>
        <v>207.15166972013981</v>
      </c>
      <c r="AD162" s="80"/>
      <c r="AE162" s="80"/>
      <c r="AF162" s="80"/>
      <c r="AG162" s="80"/>
      <c r="AH162" s="80"/>
      <c r="AI162" s="80"/>
      <c r="AJ162" s="45">
        <f t="shared" si="96"/>
        <v>0</v>
      </c>
      <c r="AK162" s="45">
        <f t="shared" si="97"/>
        <v>0</v>
      </c>
      <c r="AL162" s="45">
        <f t="shared" si="98"/>
        <v>0</v>
      </c>
      <c r="AM162" s="45">
        <f t="shared" si="99"/>
        <v>0</v>
      </c>
      <c r="AN162" s="45">
        <f t="shared" si="100"/>
        <v>0</v>
      </c>
      <c r="AO162" s="45">
        <f t="shared" si="101"/>
        <v>0</v>
      </c>
      <c r="AP162" s="80">
        <f t="shared" si="102"/>
        <v>0</v>
      </c>
      <c r="AQ162" s="80">
        <f t="shared" si="103"/>
        <v>0</v>
      </c>
      <c r="AR162" s="80">
        <f t="shared" si="104"/>
        <v>0</v>
      </c>
      <c r="AS162" s="80">
        <f t="shared" si="105"/>
        <v>0</v>
      </c>
      <c r="AT162" s="80">
        <f t="shared" si="106"/>
        <v>0</v>
      </c>
      <c r="AU162" s="80">
        <f t="shared" si="107"/>
        <v>0</v>
      </c>
      <c r="AV162" s="80">
        <f t="shared" si="152"/>
        <v>11.520417723703172</v>
      </c>
      <c r="AW162" s="80">
        <f t="shared" si="153"/>
        <v>6.0542839588753186</v>
      </c>
      <c r="AX162" s="80">
        <f t="shared" si="154"/>
        <v>3.7823684592038607</v>
      </c>
      <c r="AY162" s="80">
        <f t="shared" si="155"/>
        <v>2.8952575130302551</v>
      </c>
      <c r="AZ162" s="80">
        <f t="shared" si="156"/>
        <v>16.7503044925596</v>
      </c>
      <c r="BA162" s="80">
        <f t="shared" si="157"/>
        <v>13.122255280197196</v>
      </c>
      <c r="BB162" s="80">
        <f t="shared" si="133"/>
        <v>367.62506241656939</v>
      </c>
      <c r="BC162" s="80">
        <f t="shared" si="134"/>
        <v>124.37247038109436</v>
      </c>
      <c r="BD162" s="80">
        <f t="shared" si="135"/>
        <v>108.6267400950569</v>
      </c>
      <c r="BE162" s="80">
        <f t="shared" si="136"/>
        <v>77.732980406544527</v>
      </c>
      <c r="BF162" s="80">
        <f t="shared" si="137"/>
        <v>421.25766061774442</v>
      </c>
      <c r="BG162" s="80">
        <f t="shared" si="138"/>
        <v>220.27392500033702</v>
      </c>
      <c r="BH162" s="49">
        <f t="shared" si="139"/>
        <v>0</v>
      </c>
      <c r="BI162" s="79">
        <f t="shared" si="140"/>
        <v>-56654.737448033084</v>
      </c>
      <c r="BJ162" s="79">
        <f t="shared" si="108"/>
        <v>56000</v>
      </c>
      <c r="BK162" s="44">
        <f t="shared" si="141"/>
        <v>-1.1556623109120312E-2</v>
      </c>
      <c r="BL162" s="79">
        <f t="shared" si="158"/>
        <v>1983.2726466120557</v>
      </c>
      <c r="BM162" s="49">
        <f t="shared" si="142"/>
        <v>57983.272646612058</v>
      </c>
      <c r="BN162" s="44">
        <f t="shared" si="143"/>
        <v>2.3449675321460584E-2</v>
      </c>
      <c r="BO162" s="49">
        <f t="shared" si="109"/>
        <v>2345.7427643322735</v>
      </c>
      <c r="BP162" s="49">
        <f t="shared" si="110"/>
        <v>58345.742764332274</v>
      </c>
      <c r="BQ162" s="44">
        <f t="shared" si="111"/>
        <v>2.9847553663985726E-2</v>
      </c>
      <c r="BS162" s="49">
        <f t="shared" si="112"/>
        <v>56654.737448033084</v>
      </c>
      <c r="BT162" s="49">
        <f t="shared" si="159"/>
        <v>55.040000999999997</v>
      </c>
      <c r="BU162" s="49">
        <f t="shared" si="160"/>
        <v>40.549999</v>
      </c>
      <c r="BV162" s="49">
        <f t="shared" si="113"/>
        <v>-347.10782821900011</v>
      </c>
      <c r="BW162" s="18">
        <f t="shared" si="114"/>
        <v>840</v>
      </c>
      <c r="BX162" s="19">
        <f t="shared" si="144"/>
        <v>0.80733944954128445</v>
      </c>
      <c r="BY162" s="49">
        <f t="shared" si="145"/>
        <v>-280.23384296579826</v>
      </c>
      <c r="BZ162" s="19">
        <f t="shared" si="115"/>
        <v>0</v>
      </c>
      <c r="CA162" s="19">
        <f t="shared" si="116"/>
        <v>0</v>
      </c>
      <c r="CB162" s="19">
        <f t="shared" si="117"/>
        <v>0</v>
      </c>
      <c r="CC162" s="19">
        <f t="shared" si="118"/>
        <v>0</v>
      </c>
      <c r="CD162" s="19">
        <f t="shared" si="119"/>
        <v>2.5920803876550744</v>
      </c>
      <c r="CE162" s="19">
        <f t="shared" si="120"/>
        <v>0</v>
      </c>
      <c r="CF162" s="49">
        <f t="shared" si="121"/>
        <v>0</v>
      </c>
      <c r="CG162" s="49">
        <f t="shared" si="122"/>
        <v>0</v>
      </c>
      <c r="CH162" s="49">
        <f t="shared" si="123"/>
        <v>0</v>
      </c>
      <c r="CI162" s="49">
        <f t="shared" si="124"/>
        <v>0</v>
      </c>
      <c r="CJ162" s="49">
        <f t="shared" si="125"/>
        <v>-89.71190480882251</v>
      </c>
      <c r="CK162" s="49">
        <f t="shared" si="126"/>
        <v>0</v>
      </c>
    </row>
    <row r="163" spans="2:89" ht="12.75" customHeight="1" x14ac:dyDescent="0.2">
      <c r="B163" s="77">
        <v>40140</v>
      </c>
      <c r="C163" s="49">
        <v>55.009998000000003</v>
      </c>
      <c r="D163" s="49">
        <v>47.299999</v>
      </c>
      <c r="E163" s="49">
        <v>42.540000999999997</v>
      </c>
      <c r="F163" s="49">
        <v>51.689999</v>
      </c>
      <c r="G163" s="49">
        <v>34.520000000000003</v>
      </c>
      <c r="H163" s="49">
        <v>39.93</v>
      </c>
      <c r="J163" s="78">
        <f>IF(inter=Weekly_2,J162+$C$5,IF(inter=Bi_weekly_2,0,IF(inter=Monthly_2,0,IF(inter=Quarterly_2,0,IF(inter=Yearly_2,0,IF(inter=None_2,0,0))))))</f>
        <v>0</v>
      </c>
      <c r="K163" s="79">
        <f t="shared" si="127"/>
        <v>0</v>
      </c>
      <c r="L163" s="79">
        <f t="shared" si="128"/>
        <v>0</v>
      </c>
      <c r="M163" s="79">
        <f t="shared" si="129"/>
        <v>0</v>
      </c>
      <c r="N163" s="79">
        <f t="shared" si="130"/>
        <v>0</v>
      </c>
      <c r="O163" s="79">
        <f t="shared" si="131"/>
        <v>0</v>
      </c>
      <c r="P163" s="79">
        <f t="shared" si="132"/>
        <v>0</v>
      </c>
      <c r="Q163" s="79"/>
      <c r="R163" s="80">
        <f t="shared" si="90"/>
        <v>0</v>
      </c>
      <c r="S163" s="80">
        <f t="shared" si="91"/>
        <v>0</v>
      </c>
      <c r="T163" s="80">
        <f t="shared" si="92"/>
        <v>0</v>
      </c>
      <c r="U163" s="80">
        <f t="shared" si="93"/>
        <v>0</v>
      </c>
      <c r="V163" s="80">
        <f t="shared" si="94"/>
        <v>0</v>
      </c>
      <c r="W163" s="80">
        <f t="shared" si="95"/>
        <v>0</v>
      </c>
      <c r="X163" s="80">
        <f t="shared" si="146"/>
        <v>356.1046446928662</v>
      </c>
      <c r="Y163" s="80">
        <f t="shared" si="147"/>
        <v>118.31818642221904</v>
      </c>
      <c r="Z163" s="80">
        <f t="shared" si="148"/>
        <v>104.84437163585304</v>
      </c>
      <c r="AA163" s="80">
        <f t="shared" si="149"/>
        <v>74.837722893514268</v>
      </c>
      <c r="AB163" s="80">
        <f t="shared" si="150"/>
        <v>404.5073561251848</v>
      </c>
      <c r="AC163" s="80">
        <f t="shared" si="151"/>
        <v>207.15166972013981</v>
      </c>
      <c r="AD163" s="80"/>
      <c r="AE163" s="80"/>
      <c r="AF163" s="80"/>
      <c r="AG163" s="80"/>
      <c r="AH163" s="80"/>
      <c r="AI163" s="80"/>
      <c r="AJ163" s="45">
        <f t="shared" si="96"/>
        <v>0</v>
      </c>
      <c r="AK163" s="45">
        <f t="shared" si="97"/>
        <v>0</v>
      </c>
      <c r="AL163" s="45">
        <f t="shared" si="98"/>
        <v>0</v>
      </c>
      <c r="AM163" s="45">
        <f t="shared" si="99"/>
        <v>0</v>
      </c>
      <c r="AN163" s="45">
        <f t="shared" si="100"/>
        <v>0</v>
      </c>
      <c r="AO163" s="45">
        <f t="shared" si="101"/>
        <v>0</v>
      </c>
      <c r="AP163" s="80">
        <f t="shared" si="102"/>
        <v>0</v>
      </c>
      <c r="AQ163" s="80">
        <f t="shared" si="103"/>
        <v>0</v>
      </c>
      <c r="AR163" s="80">
        <f t="shared" si="104"/>
        <v>0</v>
      </c>
      <c r="AS163" s="80">
        <f t="shared" si="105"/>
        <v>0</v>
      </c>
      <c r="AT163" s="80">
        <f t="shared" si="106"/>
        <v>0</v>
      </c>
      <c r="AU163" s="80">
        <f t="shared" si="107"/>
        <v>0</v>
      </c>
      <c r="AV163" s="80">
        <f t="shared" si="152"/>
        <v>11.520417723703172</v>
      </c>
      <c r="AW163" s="80">
        <f t="shared" si="153"/>
        <v>6.0542839588753186</v>
      </c>
      <c r="AX163" s="80">
        <f t="shared" si="154"/>
        <v>3.7823684592038607</v>
      </c>
      <c r="AY163" s="80">
        <f t="shared" si="155"/>
        <v>2.8952575130302551</v>
      </c>
      <c r="AZ163" s="80">
        <f t="shared" si="156"/>
        <v>16.7503044925596</v>
      </c>
      <c r="BA163" s="80">
        <f t="shared" si="157"/>
        <v>13.122255280197196</v>
      </c>
      <c r="BB163" s="80">
        <f t="shared" si="133"/>
        <v>367.62506241656939</v>
      </c>
      <c r="BC163" s="80">
        <f t="shared" si="134"/>
        <v>124.37247038109436</v>
      </c>
      <c r="BD163" s="80">
        <f t="shared" si="135"/>
        <v>108.6267400950569</v>
      </c>
      <c r="BE163" s="80">
        <f t="shared" si="136"/>
        <v>77.732980406544527</v>
      </c>
      <c r="BF163" s="80">
        <f t="shared" si="137"/>
        <v>421.25766061774442</v>
      </c>
      <c r="BG163" s="80">
        <f t="shared" si="138"/>
        <v>220.27392500033702</v>
      </c>
      <c r="BH163" s="49">
        <f t="shared" si="139"/>
        <v>0</v>
      </c>
      <c r="BI163" s="79">
        <f t="shared" si="140"/>
        <v>-56654.737448033084</v>
      </c>
      <c r="BJ163" s="79">
        <f t="shared" si="108"/>
        <v>55749.367492926205</v>
      </c>
      <c r="BK163" s="44">
        <f t="shared" si="141"/>
        <v>-1.598048099573901E-2</v>
      </c>
      <c r="BL163" s="79">
        <f t="shared" si="158"/>
        <v>1983.2726466120557</v>
      </c>
      <c r="BM163" s="49">
        <f t="shared" si="142"/>
        <v>57732.640139538264</v>
      </c>
      <c r="BN163" s="44">
        <f t="shared" si="143"/>
        <v>1.9025817434841885E-2</v>
      </c>
      <c r="BO163" s="49">
        <f t="shared" si="109"/>
        <v>2332.8557615522031</v>
      </c>
      <c r="BP163" s="49">
        <f t="shared" si="110"/>
        <v>58082.22325447842</v>
      </c>
      <c r="BQ163" s="44">
        <f t="shared" si="111"/>
        <v>2.5196230196189884E-2</v>
      </c>
      <c r="BS163" s="49">
        <f t="shared" si="112"/>
        <v>56654.737448033084</v>
      </c>
      <c r="BT163" s="49">
        <f t="shared" si="159"/>
        <v>55.009998000000003</v>
      </c>
      <c r="BU163" s="49">
        <f t="shared" si="160"/>
        <v>39.93</v>
      </c>
      <c r="BV163" s="49">
        <f t="shared" si="113"/>
        <v>0</v>
      </c>
      <c r="BW163" s="18">
        <f t="shared" si="114"/>
        <v>847</v>
      </c>
      <c r="BX163" s="19">
        <f t="shared" si="144"/>
        <v>0.80573394495412842</v>
      </c>
      <c r="BY163" s="49">
        <f t="shared" si="145"/>
        <v>0</v>
      </c>
      <c r="BZ163" s="19">
        <f t="shared" si="115"/>
        <v>0</v>
      </c>
      <c r="CA163" s="19">
        <f t="shared" si="116"/>
        <v>0</v>
      </c>
      <c r="CB163" s="19">
        <f t="shared" si="117"/>
        <v>0</v>
      </c>
      <c r="CC163" s="19">
        <f t="shared" si="118"/>
        <v>0</v>
      </c>
      <c r="CD163" s="19">
        <f t="shared" si="119"/>
        <v>0</v>
      </c>
      <c r="CE163" s="19">
        <f t="shared" si="120"/>
        <v>0</v>
      </c>
      <c r="CF163" s="49">
        <f t="shared" si="121"/>
        <v>0</v>
      </c>
      <c r="CG163" s="49">
        <f t="shared" si="122"/>
        <v>0</v>
      </c>
      <c r="CH163" s="49">
        <f t="shared" si="123"/>
        <v>0</v>
      </c>
      <c r="CI163" s="49">
        <f t="shared" si="124"/>
        <v>0</v>
      </c>
      <c r="CJ163" s="49">
        <f t="shared" si="125"/>
        <v>0</v>
      </c>
      <c r="CK163" s="49">
        <f t="shared" si="126"/>
        <v>0</v>
      </c>
    </row>
    <row r="164" spans="2:89" ht="12.75" customHeight="1" x14ac:dyDescent="0.2">
      <c r="B164" s="77">
        <v>40147</v>
      </c>
      <c r="C164" s="49">
        <v>55.900002000000001</v>
      </c>
      <c r="D164" s="49">
        <v>48.049999</v>
      </c>
      <c r="E164" s="49">
        <v>43.779998999999997</v>
      </c>
      <c r="F164" s="49">
        <v>53.810001</v>
      </c>
      <c r="G164" s="49">
        <v>35.490001999999997</v>
      </c>
      <c r="H164" s="49">
        <v>41.450001</v>
      </c>
      <c r="J164" s="78">
        <f>IF(inter=Weekly_2,J163+$C$5,IF(inter=Bi_weekly_2,J162+$C$5,IF(inter=Monthly_2,0,IF(inter=Quarterly_2,0,IF(inter=Yearly_2,0,IF(inter=None_2,0,0))))))</f>
        <v>56600</v>
      </c>
      <c r="K164" s="79">
        <f t="shared" si="127"/>
        <v>96.250350540511135</v>
      </c>
      <c r="L164" s="79">
        <f t="shared" si="128"/>
        <v>25.188739269438884</v>
      </c>
      <c r="M164" s="79">
        <f t="shared" si="129"/>
        <v>62.086485373273717</v>
      </c>
      <c r="N164" s="79">
        <f t="shared" si="130"/>
        <v>65.017943737725091</v>
      </c>
      <c r="O164" s="79">
        <f t="shared" si="131"/>
        <v>205.96687789751923</v>
      </c>
      <c r="P164" s="79">
        <f t="shared" si="132"/>
        <v>96.436917051465571</v>
      </c>
      <c r="Q164" s="79"/>
      <c r="R164" s="80">
        <f t="shared" si="90"/>
        <v>-1.7218308961869293</v>
      </c>
      <c r="S164" s="80">
        <f t="shared" si="91"/>
        <v>-0.52421935054439617</v>
      </c>
      <c r="T164" s="80">
        <f t="shared" si="92"/>
        <v>-1.418147254258131</v>
      </c>
      <c r="U164" s="80">
        <f t="shared" si="93"/>
        <v>-1.2082873541988057</v>
      </c>
      <c r="V164" s="80">
        <f t="shared" si="94"/>
        <v>-5.8035183513801787</v>
      </c>
      <c r="W164" s="80">
        <f t="shared" si="95"/>
        <v>-2.3265841911913481</v>
      </c>
      <c r="X164" s="80">
        <f t="shared" si="146"/>
        <v>354.38281379667927</v>
      </c>
      <c r="Y164" s="80">
        <f t="shared" si="147"/>
        <v>117.79396707167464</v>
      </c>
      <c r="Z164" s="80">
        <f t="shared" si="148"/>
        <v>103.42622438159491</v>
      </c>
      <c r="AA164" s="80">
        <f t="shared" si="149"/>
        <v>73.629435539315466</v>
      </c>
      <c r="AB164" s="80">
        <f t="shared" si="150"/>
        <v>398.70383777380459</v>
      </c>
      <c r="AC164" s="80">
        <f t="shared" si="151"/>
        <v>204.82508552894845</v>
      </c>
      <c r="AD164" s="80"/>
      <c r="AE164" s="80"/>
      <c r="AF164" s="80"/>
      <c r="AG164" s="80"/>
      <c r="AH164" s="80"/>
      <c r="AI164" s="80"/>
      <c r="AJ164" s="45">
        <f t="shared" si="96"/>
        <v>0</v>
      </c>
      <c r="AK164" s="45">
        <f t="shared" si="97"/>
        <v>0</v>
      </c>
      <c r="AL164" s="45">
        <f t="shared" si="98"/>
        <v>0</v>
      </c>
      <c r="AM164" s="45">
        <f t="shared" si="99"/>
        <v>0</v>
      </c>
      <c r="AN164" s="45">
        <f t="shared" si="100"/>
        <v>0</v>
      </c>
      <c r="AO164" s="45">
        <f t="shared" si="101"/>
        <v>0</v>
      </c>
      <c r="AP164" s="80">
        <f t="shared" si="102"/>
        <v>0</v>
      </c>
      <c r="AQ164" s="80">
        <f t="shared" si="103"/>
        <v>0</v>
      </c>
      <c r="AR164" s="80">
        <f t="shared" si="104"/>
        <v>0</v>
      </c>
      <c r="AS164" s="80">
        <f t="shared" si="105"/>
        <v>0</v>
      </c>
      <c r="AT164" s="80">
        <f t="shared" si="106"/>
        <v>0</v>
      </c>
      <c r="AU164" s="80">
        <f t="shared" si="107"/>
        <v>0</v>
      </c>
      <c r="AV164" s="80">
        <f t="shared" si="152"/>
        <v>11.520417723703172</v>
      </c>
      <c r="AW164" s="80">
        <f t="shared" si="153"/>
        <v>6.0542839588753186</v>
      </c>
      <c r="AX164" s="80">
        <f t="shared" si="154"/>
        <v>3.7823684592038607</v>
      </c>
      <c r="AY164" s="80">
        <f t="shared" si="155"/>
        <v>2.8952575130302551</v>
      </c>
      <c r="AZ164" s="80">
        <f t="shared" si="156"/>
        <v>16.7503044925596</v>
      </c>
      <c r="BA164" s="80">
        <f t="shared" si="157"/>
        <v>13.122255280197196</v>
      </c>
      <c r="BB164" s="80">
        <f t="shared" si="133"/>
        <v>365.90323152038246</v>
      </c>
      <c r="BC164" s="80">
        <f t="shared" si="134"/>
        <v>123.84825103054996</v>
      </c>
      <c r="BD164" s="80">
        <f t="shared" si="135"/>
        <v>107.20859284079877</v>
      </c>
      <c r="BE164" s="80">
        <f t="shared" si="136"/>
        <v>76.524693052345725</v>
      </c>
      <c r="BF164" s="80">
        <f t="shared" si="137"/>
        <v>415.45414226636422</v>
      </c>
      <c r="BG164" s="80">
        <f t="shared" si="138"/>
        <v>217.94734080914566</v>
      </c>
      <c r="BH164" s="49">
        <f t="shared" si="139"/>
        <v>0</v>
      </c>
      <c r="BI164" s="79">
        <f t="shared" si="140"/>
        <v>-56103.790134163151</v>
      </c>
      <c r="BJ164" s="79">
        <f t="shared" si="108"/>
        <v>56600</v>
      </c>
      <c r="BK164" s="44">
        <f t="shared" si="141"/>
        <v>8.844498110559762E-3</v>
      </c>
      <c r="BL164" s="79">
        <f t="shared" si="158"/>
        <v>1983.2726466120557</v>
      </c>
      <c r="BM164" s="49">
        <f t="shared" si="142"/>
        <v>58583.272646612058</v>
      </c>
      <c r="BN164" s="44">
        <f t="shared" si="143"/>
        <v>4.4194563442498724E-2</v>
      </c>
      <c r="BO164" s="49">
        <f t="shared" si="109"/>
        <v>2394.6714434264886</v>
      </c>
      <c r="BP164" s="49">
        <f t="shared" si="110"/>
        <v>58994.671443426487</v>
      </c>
      <c r="BQ164" s="44">
        <f t="shared" si="111"/>
        <v>5.1527379921218586E-2</v>
      </c>
      <c r="BS164" s="49">
        <f t="shared" si="112"/>
        <v>56103.790134163151</v>
      </c>
      <c r="BT164" s="49">
        <f t="shared" si="159"/>
        <v>55.900002000000001</v>
      </c>
      <c r="BU164" s="49">
        <f t="shared" si="160"/>
        <v>41.450001</v>
      </c>
      <c r="BV164" s="49">
        <f t="shared" si="113"/>
        <v>-550.94731386993362</v>
      </c>
      <c r="BW164" s="18">
        <f t="shared" si="114"/>
        <v>854</v>
      </c>
      <c r="BX164" s="19">
        <f t="shared" si="144"/>
        <v>0.80412844036697251</v>
      </c>
      <c r="BY164" s="49">
        <f t="shared" si="145"/>
        <v>-443.03240422660258</v>
      </c>
      <c r="BZ164" s="19">
        <f t="shared" si="115"/>
        <v>0</v>
      </c>
      <c r="CA164" s="19">
        <f t="shared" si="116"/>
        <v>0</v>
      </c>
      <c r="CB164" s="19">
        <f t="shared" si="117"/>
        <v>0</v>
      </c>
      <c r="CC164" s="19">
        <f t="shared" si="118"/>
        <v>0</v>
      </c>
      <c r="CD164" s="19">
        <f t="shared" si="119"/>
        <v>0</v>
      </c>
      <c r="CE164" s="19">
        <f t="shared" si="120"/>
        <v>0</v>
      </c>
      <c r="CF164" s="49">
        <f t="shared" si="121"/>
        <v>0</v>
      </c>
      <c r="CG164" s="49">
        <f t="shared" si="122"/>
        <v>0</v>
      </c>
      <c r="CH164" s="49">
        <f t="shared" si="123"/>
        <v>0</v>
      </c>
      <c r="CI164" s="49">
        <f t="shared" si="124"/>
        <v>0</v>
      </c>
      <c r="CJ164" s="49">
        <f t="shared" si="125"/>
        <v>0</v>
      </c>
      <c r="CK164" s="49">
        <f t="shared" si="126"/>
        <v>0</v>
      </c>
    </row>
    <row r="165" spans="2:89" ht="12.75" customHeight="1" x14ac:dyDescent="0.2">
      <c r="B165" s="77">
        <v>40154</v>
      </c>
      <c r="C165" s="49">
        <v>55.990001999999997</v>
      </c>
      <c r="D165" s="49">
        <v>48.139999000000003</v>
      </c>
      <c r="E165" s="49">
        <v>44.060001</v>
      </c>
      <c r="F165" s="49">
        <v>53.790000999999997</v>
      </c>
      <c r="G165" s="49">
        <v>34.790000999999997</v>
      </c>
      <c r="H165" s="49">
        <v>41.07</v>
      </c>
      <c r="J165" s="78">
        <f>IF(inter=Weekly_2,J164+$C$5,IF(inter=Bi_weekly_2,0,IF(inter=Monthly_2,0,IF(inter=Quarterly_2,0,IF(inter=Yearly_2,0,IF(inter=None_2,0,0))))))</f>
        <v>0</v>
      </c>
      <c r="K165" s="79">
        <f t="shared" si="127"/>
        <v>0</v>
      </c>
      <c r="L165" s="79">
        <f t="shared" si="128"/>
        <v>0</v>
      </c>
      <c r="M165" s="79">
        <f t="shared" si="129"/>
        <v>0</v>
      </c>
      <c r="N165" s="79">
        <f t="shared" si="130"/>
        <v>0</v>
      </c>
      <c r="O165" s="79">
        <f t="shared" si="131"/>
        <v>0</v>
      </c>
      <c r="P165" s="79">
        <f t="shared" si="132"/>
        <v>0</v>
      </c>
      <c r="Q165" s="79"/>
      <c r="R165" s="80">
        <f t="shared" si="90"/>
        <v>0</v>
      </c>
      <c r="S165" s="80">
        <f t="shared" si="91"/>
        <v>0</v>
      </c>
      <c r="T165" s="80">
        <f t="shared" si="92"/>
        <v>0</v>
      </c>
      <c r="U165" s="80">
        <f t="shared" si="93"/>
        <v>0</v>
      </c>
      <c r="V165" s="80">
        <f t="shared" si="94"/>
        <v>0</v>
      </c>
      <c r="W165" s="80">
        <f t="shared" si="95"/>
        <v>0</v>
      </c>
      <c r="X165" s="80">
        <f t="shared" si="146"/>
        <v>354.38281379667927</v>
      </c>
      <c r="Y165" s="80">
        <f t="shared" si="147"/>
        <v>117.79396707167464</v>
      </c>
      <c r="Z165" s="80">
        <f t="shared" si="148"/>
        <v>103.42622438159491</v>
      </c>
      <c r="AA165" s="80">
        <f t="shared" si="149"/>
        <v>73.629435539315466</v>
      </c>
      <c r="AB165" s="80">
        <f t="shared" si="150"/>
        <v>398.70383777380459</v>
      </c>
      <c r="AC165" s="80">
        <f t="shared" si="151"/>
        <v>204.82508552894845</v>
      </c>
      <c r="AD165" s="80"/>
      <c r="AE165" s="80"/>
      <c r="AF165" s="80"/>
      <c r="AG165" s="80"/>
      <c r="AH165" s="80"/>
      <c r="AI165" s="80"/>
      <c r="AJ165" s="45">
        <f t="shared" si="96"/>
        <v>0</v>
      </c>
      <c r="AK165" s="45">
        <f t="shared" si="97"/>
        <v>0</v>
      </c>
      <c r="AL165" s="45">
        <f t="shared" si="98"/>
        <v>0</v>
      </c>
      <c r="AM165" s="45">
        <f t="shared" si="99"/>
        <v>0</v>
      </c>
      <c r="AN165" s="45">
        <f t="shared" si="100"/>
        <v>0</v>
      </c>
      <c r="AO165" s="45">
        <f t="shared" si="101"/>
        <v>0</v>
      </c>
      <c r="AP165" s="80">
        <f t="shared" si="102"/>
        <v>0</v>
      </c>
      <c r="AQ165" s="80">
        <f t="shared" si="103"/>
        <v>0</v>
      </c>
      <c r="AR165" s="80">
        <f t="shared" si="104"/>
        <v>0</v>
      </c>
      <c r="AS165" s="80">
        <f t="shared" si="105"/>
        <v>0</v>
      </c>
      <c r="AT165" s="80">
        <f t="shared" si="106"/>
        <v>0</v>
      </c>
      <c r="AU165" s="80">
        <f t="shared" si="107"/>
        <v>0</v>
      </c>
      <c r="AV165" s="80">
        <f t="shared" si="152"/>
        <v>11.520417723703172</v>
      </c>
      <c r="AW165" s="80">
        <f t="shared" si="153"/>
        <v>6.0542839588753186</v>
      </c>
      <c r="AX165" s="80">
        <f t="shared" si="154"/>
        <v>3.7823684592038607</v>
      </c>
      <c r="AY165" s="80">
        <f t="shared" si="155"/>
        <v>2.8952575130302551</v>
      </c>
      <c r="AZ165" s="80">
        <f t="shared" si="156"/>
        <v>16.7503044925596</v>
      </c>
      <c r="BA165" s="80">
        <f t="shared" si="157"/>
        <v>13.122255280197196</v>
      </c>
      <c r="BB165" s="80">
        <f t="shared" si="133"/>
        <v>365.90323152038246</v>
      </c>
      <c r="BC165" s="80">
        <f t="shared" si="134"/>
        <v>123.84825103054996</v>
      </c>
      <c r="BD165" s="80">
        <f t="shared" si="135"/>
        <v>107.20859284079877</v>
      </c>
      <c r="BE165" s="80">
        <f t="shared" si="136"/>
        <v>76.524693052345725</v>
      </c>
      <c r="BF165" s="80">
        <f t="shared" si="137"/>
        <v>415.45414226636422</v>
      </c>
      <c r="BG165" s="80">
        <f t="shared" si="138"/>
        <v>217.94734080914566</v>
      </c>
      <c r="BH165" s="49">
        <f t="shared" si="139"/>
        <v>0</v>
      </c>
      <c r="BI165" s="79">
        <f t="shared" si="140"/>
        <v>-56103.790134163151</v>
      </c>
      <c r="BJ165" s="79">
        <f t="shared" si="108"/>
        <v>56313.056048775063</v>
      </c>
      <c r="BK165" s="44">
        <f t="shared" si="141"/>
        <v>3.7299782084505573E-3</v>
      </c>
      <c r="BL165" s="79">
        <f t="shared" si="158"/>
        <v>1983.2726466120557</v>
      </c>
      <c r="BM165" s="49">
        <f t="shared" si="142"/>
        <v>58296.328695387121</v>
      </c>
      <c r="BN165" s="44">
        <f t="shared" si="143"/>
        <v>3.908004354038952E-2</v>
      </c>
      <c r="BO165" s="49">
        <f t="shared" si="109"/>
        <v>2380.5426321371469</v>
      </c>
      <c r="BP165" s="49">
        <f t="shared" si="110"/>
        <v>58693.598680912219</v>
      </c>
      <c r="BQ165" s="44">
        <f t="shared" si="111"/>
        <v>4.616102656444343E-2</v>
      </c>
      <c r="BS165" s="49">
        <f t="shared" si="112"/>
        <v>56103.790134163151</v>
      </c>
      <c r="BT165" s="49">
        <f t="shared" si="159"/>
        <v>55.990001999999997</v>
      </c>
      <c r="BU165" s="49">
        <f t="shared" si="160"/>
        <v>41.07</v>
      </c>
      <c r="BV165" s="49">
        <f t="shared" si="113"/>
        <v>0</v>
      </c>
      <c r="BW165" s="18">
        <f t="shared" si="114"/>
        <v>861</v>
      </c>
      <c r="BX165" s="19">
        <f t="shared" si="144"/>
        <v>0.80252293577981648</v>
      </c>
      <c r="BY165" s="49">
        <f t="shared" si="145"/>
        <v>0</v>
      </c>
      <c r="BZ165" s="19">
        <f t="shared" si="115"/>
        <v>0</v>
      </c>
      <c r="CA165" s="19">
        <f t="shared" si="116"/>
        <v>0</v>
      </c>
      <c r="CB165" s="19">
        <f t="shared" si="117"/>
        <v>0</v>
      </c>
      <c r="CC165" s="19">
        <f t="shared" si="118"/>
        <v>0</v>
      </c>
      <c r="CD165" s="19">
        <f t="shared" si="119"/>
        <v>0</v>
      </c>
      <c r="CE165" s="19">
        <f t="shared" si="120"/>
        <v>0</v>
      </c>
      <c r="CF165" s="49">
        <f t="shared" si="121"/>
        <v>0</v>
      </c>
      <c r="CG165" s="49">
        <f t="shared" si="122"/>
        <v>0</v>
      </c>
      <c r="CH165" s="49">
        <f t="shared" si="123"/>
        <v>0</v>
      </c>
      <c r="CI165" s="49">
        <f t="shared" si="124"/>
        <v>0</v>
      </c>
      <c r="CJ165" s="49">
        <f t="shared" si="125"/>
        <v>0</v>
      </c>
      <c r="CK165" s="49">
        <f t="shared" si="126"/>
        <v>0</v>
      </c>
    </row>
    <row r="166" spans="2:89" ht="12.75" customHeight="1" x14ac:dyDescent="0.2">
      <c r="B166" s="77">
        <v>40161</v>
      </c>
      <c r="C166" s="49">
        <v>56.02</v>
      </c>
      <c r="D166" s="49">
        <v>47.830002</v>
      </c>
      <c r="E166" s="49">
        <v>44.400002000000001</v>
      </c>
      <c r="F166" s="49">
        <v>54.540000999999997</v>
      </c>
      <c r="G166" s="49">
        <v>34.299999</v>
      </c>
      <c r="H166" s="49">
        <v>40.169998</v>
      </c>
      <c r="J166" s="78">
        <f>IF(inter=Weekly_2,J165+$C$5,IF(inter=Bi_weekly_2,J164+$C$5,IF(inter=Monthly_2,J162+$C$5,IF(inter=Quarterly_2,0,IF(inter=Yearly_2,0,IF(inter=None_2,0,0))))))</f>
        <v>57200</v>
      </c>
      <c r="K166" s="79">
        <f t="shared" si="127"/>
        <v>-167.47477111002445</v>
      </c>
      <c r="L166" s="79">
        <f t="shared" si="128"/>
        <v>-85.914319373867329</v>
      </c>
      <c r="M166" s="79">
        <f t="shared" si="129"/>
        <v>16.12456939526237</v>
      </c>
      <c r="N166" s="79">
        <f t="shared" si="130"/>
        <v>11.749487943700387</v>
      </c>
      <c r="O166" s="79">
        <f t="shared" si="131"/>
        <v>-624.45876306234095</v>
      </c>
      <c r="P166" s="79">
        <f t="shared" si="132"/>
        <v>-352.17672395231239</v>
      </c>
      <c r="Q166" s="79"/>
      <c r="R166" s="80">
        <f t="shared" si="90"/>
        <v>2.9895532151021857</v>
      </c>
      <c r="S166" s="80">
        <f t="shared" si="91"/>
        <v>1.7962432737064766</v>
      </c>
      <c r="T166" s="80">
        <f t="shared" si="92"/>
        <v>-0.36316596101194704</v>
      </c>
      <c r="U166" s="80">
        <f t="shared" si="93"/>
        <v>-0.21542881790010213</v>
      </c>
      <c r="V166" s="80">
        <f t="shared" si="94"/>
        <v>18.205795372248872</v>
      </c>
      <c r="W166" s="80">
        <f t="shared" si="95"/>
        <v>8.7671581151762172</v>
      </c>
      <c r="X166" s="80">
        <f t="shared" si="146"/>
        <v>357.37236701178148</v>
      </c>
      <c r="Y166" s="80">
        <f t="shared" si="147"/>
        <v>119.59021034538112</v>
      </c>
      <c r="Z166" s="80">
        <f t="shared" si="148"/>
        <v>103.06305842058296</v>
      </c>
      <c r="AA166" s="80">
        <f t="shared" si="149"/>
        <v>73.414006721415362</v>
      </c>
      <c r="AB166" s="80">
        <f t="shared" si="150"/>
        <v>416.90963314605347</v>
      </c>
      <c r="AC166" s="80">
        <f t="shared" si="151"/>
        <v>213.59224364412466</v>
      </c>
      <c r="AD166" s="80"/>
      <c r="AE166" s="80"/>
      <c r="AF166" s="80"/>
      <c r="AG166" s="80"/>
      <c r="AH166" s="80"/>
      <c r="AI166" s="80"/>
      <c r="AJ166" s="45">
        <f t="shared" si="96"/>
        <v>0</v>
      </c>
      <c r="AK166" s="45">
        <f t="shared" si="97"/>
        <v>0</v>
      </c>
      <c r="AL166" s="45">
        <f t="shared" si="98"/>
        <v>0</v>
      </c>
      <c r="AM166" s="45">
        <f t="shared" si="99"/>
        <v>0</v>
      </c>
      <c r="AN166" s="45">
        <f t="shared" si="100"/>
        <v>0</v>
      </c>
      <c r="AO166" s="45">
        <f t="shared" si="101"/>
        <v>0</v>
      </c>
      <c r="AP166" s="80">
        <f t="shared" si="102"/>
        <v>0</v>
      </c>
      <c r="AQ166" s="80">
        <f t="shared" si="103"/>
        <v>0</v>
      </c>
      <c r="AR166" s="80">
        <f t="shared" si="104"/>
        <v>0</v>
      </c>
      <c r="AS166" s="80">
        <f t="shared" si="105"/>
        <v>0</v>
      </c>
      <c r="AT166" s="80">
        <f t="shared" si="106"/>
        <v>0</v>
      </c>
      <c r="AU166" s="80">
        <f t="shared" si="107"/>
        <v>0</v>
      </c>
      <c r="AV166" s="80">
        <f t="shared" si="152"/>
        <v>11.520417723703172</v>
      </c>
      <c r="AW166" s="80">
        <f t="shared" si="153"/>
        <v>6.0542839588753186</v>
      </c>
      <c r="AX166" s="80">
        <f t="shared" si="154"/>
        <v>3.7823684592038607</v>
      </c>
      <c r="AY166" s="80">
        <f t="shared" si="155"/>
        <v>2.8952575130302551</v>
      </c>
      <c r="AZ166" s="80">
        <f t="shared" si="156"/>
        <v>16.7503044925596</v>
      </c>
      <c r="BA166" s="80">
        <f t="shared" si="157"/>
        <v>13.122255280197196</v>
      </c>
      <c r="BB166" s="80">
        <f t="shared" si="133"/>
        <v>368.89278473548467</v>
      </c>
      <c r="BC166" s="80">
        <f t="shared" si="134"/>
        <v>125.64449430425644</v>
      </c>
      <c r="BD166" s="80">
        <f t="shared" si="135"/>
        <v>106.84542687978683</v>
      </c>
      <c r="BE166" s="80">
        <f t="shared" si="136"/>
        <v>76.309264234445621</v>
      </c>
      <c r="BF166" s="80">
        <f t="shared" si="137"/>
        <v>433.65993763861309</v>
      </c>
      <c r="BG166" s="80">
        <f t="shared" si="138"/>
        <v>226.71449892432187</v>
      </c>
      <c r="BH166" s="49">
        <f t="shared" si="139"/>
        <v>0</v>
      </c>
      <c r="BI166" s="79">
        <f t="shared" si="140"/>
        <v>-57305.940654322731</v>
      </c>
      <c r="BJ166" s="79">
        <f t="shared" si="108"/>
        <v>57200</v>
      </c>
      <c r="BK166" s="44">
        <f t="shared" si="141"/>
        <v>-1.8486853738564069E-3</v>
      </c>
      <c r="BL166" s="79">
        <f t="shared" si="158"/>
        <v>1983.2726466120557</v>
      </c>
      <c r="BM166" s="49">
        <f t="shared" si="142"/>
        <v>59183.272646612058</v>
      </c>
      <c r="BN166" s="44">
        <f t="shared" si="143"/>
        <v>3.2759814617015826E-2</v>
      </c>
      <c r="BO166" s="49">
        <f t="shared" si="109"/>
        <v>2362.4511252582429</v>
      </c>
      <c r="BP166" s="49">
        <f t="shared" si="110"/>
        <v>59562.451125258245</v>
      </c>
      <c r="BQ166" s="44">
        <f t="shared" si="111"/>
        <v>3.9376554073984993E-2</v>
      </c>
      <c r="BS166" s="49">
        <f t="shared" si="112"/>
        <v>57305.940654322731</v>
      </c>
      <c r="BT166" s="49">
        <f t="shared" si="159"/>
        <v>56.02</v>
      </c>
      <c r="BU166" s="49">
        <f t="shared" si="160"/>
        <v>40.169998</v>
      </c>
      <c r="BV166" s="49">
        <f t="shared" si="113"/>
        <v>1202.1505201595824</v>
      </c>
      <c r="BW166" s="18">
        <f t="shared" si="114"/>
        <v>868</v>
      </c>
      <c r="BX166" s="19">
        <f t="shared" si="144"/>
        <v>0.80091743119266057</v>
      </c>
      <c r="BY166" s="49">
        <f t="shared" si="145"/>
        <v>962.82330651313339</v>
      </c>
      <c r="BZ166" s="19">
        <f t="shared" si="115"/>
        <v>2.9895532151021857</v>
      </c>
      <c r="CA166" s="19">
        <f t="shared" si="116"/>
        <v>1.7962432737064766</v>
      </c>
      <c r="CB166" s="19">
        <f t="shared" si="117"/>
        <v>0</v>
      </c>
      <c r="CC166" s="19">
        <f t="shared" si="118"/>
        <v>0</v>
      </c>
      <c r="CD166" s="19">
        <f t="shared" si="119"/>
        <v>18.205795372248872</v>
      </c>
      <c r="CE166" s="19">
        <f t="shared" si="120"/>
        <v>8.7671581151762172</v>
      </c>
      <c r="CF166" s="49">
        <f t="shared" si="121"/>
        <v>-167.47477111002445</v>
      </c>
      <c r="CG166" s="49">
        <f t="shared" si="122"/>
        <v>-85.914319373867329</v>
      </c>
      <c r="CH166" s="49">
        <f t="shared" si="123"/>
        <v>0</v>
      </c>
      <c r="CI166" s="49">
        <f t="shared" si="124"/>
        <v>0</v>
      </c>
      <c r="CJ166" s="49">
        <f t="shared" si="125"/>
        <v>-624.45876306234095</v>
      </c>
      <c r="CK166" s="49">
        <f t="shared" si="126"/>
        <v>-352.17672395231239</v>
      </c>
    </row>
    <row r="167" spans="2:89" ht="12.75" customHeight="1" x14ac:dyDescent="0.2">
      <c r="B167" s="77">
        <v>40168</v>
      </c>
      <c r="C167" s="49">
        <v>56.98</v>
      </c>
      <c r="D167" s="49">
        <v>48.27</v>
      </c>
      <c r="E167" s="49">
        <v>45.049999</v>
      </c>
      <c r="F167" s="49">
        <v>55.41</v>
      </c>
      <c r="G167" s="49">
        <v>34.360000999999997</v>
      </c>
      <c r="H167" s="49">
        <v>40.639999000000003</v>
      </c>
      <c r="J167" s="78">
        <f>IF(inter=Weekly_2,J166+$C$5,IF(inter=Bi_weekly_2,0,IF(inter=Monthly_2,0,IF(inter=Quarterly_2,0,IF(inter=Yearly_2,0,IF(inter=None_2,0,0))))))</f>
        <v>0</v>
      </c>
      <c r="K167" s="79">
        <f t="shared" si="127"/>
        <v>0</v>
      </c>
      <c r="L167" s="79">
        <f t="shared" si="128"/>
        <v>0</v>
      </c>
      <c r="M167" s="79">
        <f t="shared" si="129"/>
        <v>0</v>
      </c>
      <c r="N167" s="79">
        <f t="shared" si="130"/>
        <v>0</v>
      </c>
      <c r="O167" s="79">
        <f t="shared" si="131"/>
        <v>0</v>
      </c>
      <c r="P167" s="79">
        <f t="shared" si="132"/>
        <v>0</v>
      </c>
      <c r="Q167" s="79"/>
      <c r="R167" s="80">
        <f t="shared" si="90"/>
        <v>0</v>
      </c>
      <c r="S167" s="80">
        <f t="shared" si="91"/>
        <v>0</v>
      </c>
      <c r="T167" s="80">
        <f t="shared" si="92"/>
        <v>0</v>
      </c>
      <c r="U167" s="80">
        <f t="shared" si="93"/>
        <v>0</v>
      </c>
      <c r="V167" s="80">
        <f t="shared" si="94"/>
        <v>0</v>
      </c>
      <c r="W167" s="80">
        <f t="shared" si="95"/>
        <v>0</v>
      </c>
      <c r="X167" s="80">
        <f t="shared" si="146"/>
        <v>357.37236701178148</v>
      </c>
      <c r="Y167" s="80">
        <f t="shared" si="147"/>
        <v>119.59021034538112</v>
      </c>
      <c r="Z167" s="80">
        <f t="shared" si="148"/>
        <v>103.06305842058296</v>
      </c>
      <c r="AA167" s="80">
        <f t="shared" si="149"/>
        <v>73.414006721415362</v>
      </c>
      <c r="AB167" s="80">
        <f t="shared" si="150"/>
        <v>416.90963314605347</v>
      </c>
      <c r="AC167" s="80">
        <f t="shared" si="151"/>
        <v>213.59224364412466</v>
      </c>
      <c r="AD167" s="80"/>
      <c r="AE167" s="80"/>
      <c r="AF167" s="80"/>
      <c r="AG167" s="80"/>
      <c r="AH167" s="80"/>
      <c r="AI167" s="80"/>
      <c r="AJ167" s="45">
        <f t="shared" si="96"/>
        <v>0</v>
      </c>
      <c r="AK167" s="45">
        <f t="shared" si="97"/>
        <v>0</v>
      </c>
      <c r="AL167" s="45">
        <f t="shared" si="98"/>
        <v>0</v>
      </c>
      <c r="AM167" s="45">
        <f t="shared" si="99"/>
        <v>0</v>
      </c>
      <c r="AN167" s="45">
        <f t="shared" si="100"/>
        <v>0</v>
      </c>
      <c r="AO167" s="45">
        <f t="shared" si="101"/>
        <v>0</v>
      </c>
      <c r="AP167" s="80">
        <f t="shared" si="102"/>
        <v>0</v>
      </c>
      <c r="AQ167" s="80">
        <f t="shared" si="103"/>
        <v>0</v>
      </c>
      <c r="AR167" s="80">
        <f t="shared" si="104"/>
        <v>0</v>
      </c>
      <c r="AS167" s="80">
        <f t="shared" si="105"/>
        <v>0</v>
      </c>
      <c r="AT167" s="80">
        <f t="shared" si="106"/>
        <v>0</v>
      </c>
      <c r="AU167" s="80">
        <f t="shared" si="107"/>
        <v>0</v>
      </c>
      <c r="AV167" s="80">
        <f t="shared" si="152"/>
        <v>11.520417723703172</v>
      </c>
      <c r="AW167" s="80">
        <f t="shared" si="153"/>
        <v>6.0542839588753186</v>
      </c>
      <c r="AX167" s="80">
        <f t="shared" si="154"/>
        <v>3.7823684592038607</v>
      </c>
      <c r="AY167" s="80">
        <f t="shared" si="155"/>
        <v>2.8952575130302551</v>
      </c>
      <c r="AZ167" s="80">
        <f t="shared" si="156"/>
        <v>16.7503044925596</v>
      </c>
      <c r="BA167" s="80">
        <f t="shared" si="157"/>
        <v>13.122255280197196</v>
      </c>
      <c r="BB167" s="80">
        <f t="shared" si="133"/>
        <v>368.89278473548467</v>
      </c>
      <c r="BC167" s="80">
        <f t="shared" si="134"/>
        <v>125.64449430425644</v>
      </c>
      <c r="BD167" s="80">
        <f t="shared" si="135"/>
        <v>106.84542687978683</v>
      </c>
      <c r="BE167" s="80">
        <f t="shared" si="136"/>
        <v>76.309264234445621</v>
      </c>
      <c r="BF167" s="80">
        <f t="shared" si="137"/>
        <v>433.65993763861309</v>
      </c>
      <c r="BG167" s="80">
        <f t="shared" si="138"/>
        <v>226.71449892432187</v>
      </c>
      <c r="BH167" s="49">
        <f t="shared" si="139"/>
        <v>0</v>
      </c>
      <c r="BI167" s="79">
        <f t="shared" si="140"/>
        <v>-57305.940654322731</v>
      </c>
      <c r="BJ167" s="79">
        <f t="shared" si="108"/>
        <v>57851.961696833692</v>
      </c>
      <c r="BK167" s="44">
        <f t="shared" si="141"/>
        <v>9.5281751992282171E-3</v>
      </c>
      <c r="BL167" s="79">
        <f t="shared" si="158"/>
        <v>1983.2726466120557</v>
      </c>
      <c r="BM167" s="49">
        <f t="shared" si="142"/>
        <v>59835.234343445751</v>
      </c>
      <c r="BN167" s="44">
        <f t="shared" si="143"/>
        <v>4.4136675190100449E-2</v>
      </c>
      <c r="BO167" s="49">
        <f t="shared" si="109"/>
        <v>2388.3245232729014</v>
      </c>
      <c r="BP167" s="49">
        <f t="shared" si="110"/>
        <v>60240.286220106602</v>
      </c>
      <c r="BQ167" s="44">
        <f t="shared" si="111"/>
        <v>5.1204910560394445E-2</v>
      </c>
      <c r="BS167" s="49">
        <f t="shared" si="112"/>
        <v>57305.940654322731</v>
      </c>
      <c r="BT167" s="49">
        <f t="shared" si="159"/>
        <v>56.98</v>
      </c>
      <c r="BU167" s="49">
        <f t="shared" si="160"/>
        <v>40.639999000000003</v>
      </c>
      <c r="BV167" s="49">
        <f t="shared" si="113"/>
        <v>0</v>
      </c>
      <c r="BW167" s="18">
        <f t="shared" si="114"/>
        <v>875</v>
      </c>
      <c r="BX167" s="19">
        <f t="shared" si="144"/>
        <v>0.79931192660550454</v>
      </c>
      <c r="BY167" s="49">
        <f t="shared" si="145"/>
        <v>0</v>
      </c>
      <c r="BZ167" s="19">
        <f t="shared" si="115"/>
        <v>0</v>
      </c>
      <c r="CA167" s="19">
        <f t="shared" si="116"/>
        <v>0</v>
      </c>
      <c r="CB167" s="19">
        <f t="shared" si="117"/>
        <v>0</v>
      </c>
      <c r="CC167" s="19">
        <f t="shared" si="118"/>
        <v>0</v>
      </c>
      <c r="CD167" s="19">
        <f t="shared" si="119"/>
        <v>0</v>
      </c>
      <c r="CE167" s="19">
        <f t="shared" si="120"/>
        <v>0</v>
      </c>
      <c r="CF167" s="49">
        <f t="shared" si="121"/>
        <v>0</v>
      </c>
      <c r="CG167" s="49">
        <f t="shared" si="122"/>
        <v>0</v>
      </c>
      <c r="CH167" s="49">
        <f t="shared" si="123"/>
        <v>0</v>
      </c>
      <c r="CI167" s="49">
        <f t="shared" si="124"/>
        <v>0</v>
      </c>
      <c r="CJ167" s="49">
        <f t="shared" si="125"/>
        <v>0</v>
      </c>
      <c r="CK167" s="49">
        <f t="shared" si="126"/>
        <v>0</v>
      </c>
    </row>
    <row r="168" spans="2:89" ht="12.75" customHeight="1" x14ac:dyDescent="0.2">
      <c r="B168" s="77">
        <v>40175</v>
      </c>
      <c r="C168" s="49">
        <v>56.369999</v>
      </c>
      <c r="D168" s="49">
        <v>47.75</v>
      </c>
      <c r="E168" s="49">
        <v>44.369999</v>
      </c>
      <c r="F168" s="49">
        <v>54.48</v>
      </c>
      <c r="G168" s="49">
        <v>34.200001</v>
      </c>
      <c r="H168" s="49">
        <v>41</v>
      </c>
      <c r="J168" s="78">
        <f>IF(inter=Weekly_2,J167+$C$5,IF(inter=Bi_weekly_2,J166+$C$5,IF(inter=Monthly_2,0,IF(inter=Quarterly_2,0,IF(inter=Yearly_2,0,IF(inter=None_2,0,0))))))</f>
        <v>57800</v>
      </c>
      <c r="K168" s="79">
        <f t="shared" si="127"/>
        <v>-84.920028918244498</v>
      </c>
      <c r="L168" s="79">
        <f t="shared" si="128"/>
        <v>-69.567456008051522</v>
      </c>
      <c r="M168" s="79">
        <f t="shared" si="129"/>
        <v>-51.092200941792726</v>
      </c>
      <c r="N168" s="79">
        <f t="shared" si="130"/>
        <v>-46.404913817291799</v>
      </c>
      <c r="O168" s="79">
        <f t="shared" si="131"/>
        <v>-191.69012949533862</v>
      </c>
      <c r="P168" s="79">
        <f t="shared" si="132"/>
        <v>87.281989409111702</v>
      </c>
      <c r="Q168" s="79"/>
      <c r="R168" s="80">
        <f t="shared" si="90"/>
        <v>1.5064756151271974</v>
      </c>
      <c r="S168" s="80">
        <f t="shared" si="91"/>
        <v>1.4569100734670475</v>
      </c>
      <c r="T168" s="80">
        <f t="shared" si="92"/>
        <v>1.1515033151520406</v>
      </c>
      <c r="U168" s="80">
        <f t="shared" si="93"/>
        <v>0.85177888798259549</v>
      </c>
      <c r="V168" s="80">
        <f t="shared" si="94"/>
        <v>5.6049743827591882</v>
      </c>
      <c r="W168" s="80">
        <f t="shared" si="95"/>
        <v>-2.1288290099783342</v>
      </c>
      <c r="X168" s="80">
        <f t="shared" si="146"/>
        <v>358.87884262690869</v>
      </c>
      <c r="Y168" s="80">
        <f t="shared" si="147"/>
        <v>121.04712041884817</v>
      </c>
      <c r="Z168" s="80">
        <f t="shared" si="148"/>
        <v>104.214561735735</v>
      </c>
      <c r="AA168" s="80">
        <f t="shared" si="149"/>
        <v>74.265785609397952</v>
      </c>
      <c r="AB168" s="80">
        <f t="shared" si="150"/>
        <v>422.51460752881263</v>
      </c>
      <c r="AC168" s="80">
        <f t="shared" si="151"/>
        <v>211.46341463414632</v>
      </c>
      <c r="AD168" s="80">
        <v>0.35799999999999998</v>
      </c>
      <c r="AE168" s="80">
        <v>0.41099999999999998</v>
      </c>
      <c r="AF168" s="80">
        <v>0.82299999999999995</v>
      </c>
      <c r="AG168" s="80">
        <v>1.0509999999999999</v>
      </c>
      <c r="AH168" s="80">
        <v>0.79700000000000004</v>
      </c>
      <c r="AI168" s="80">
        <v>0.54500000000000004</v>
      </c>
      <c r="AJ168" s="45">
        <f t="shared" si="96"/>
        <v>128.47862566043329</v>
      </c>
      <c r="AK168" s="45">
        <f t="shared" si="97"/>
        <v>49.750366492146597</v>
      </c>
      <c r="AL168" s="45">
        <f t="shared" si="98"/>
        <v>85.768584308509901</v>
      </c>
      <c r="AM168" s="45">
        <f t="shared" si="99"/>
        <v>78.053340675477244</v>
      </c>
      <c r="AN168" s="45">
        <f t="shared" si="100"/>
        <v>336.74414220046367</v>
      </c>
      <c r="AO168" s="45">
        <f t="shared" si="101"/>
        <v>115.24756097560976</v>
      </c>
      <c r="AP168" s="80">
        <f t="shared" si="102"/>
        <v>2.2792021986807787</v>
      </c>
      <c r="AQ168" s="80">
        <f t="shared" si="103"/>
        <v>1.0418924919821277</v>
      </c>
      <c r="AR168" s="80">
        <f t="shared" si="104"/>
        <v>1.9330310173887968</v>
      </c>
      <c r="AS168" s="80">
        <f t="shared" si="105"/>
        <v>1.4326971489625047</v>
      </c>
      <c r="AT168" s="80">
        <f t="shared" si="106"/>
        <v>9.8463196594778957</v>
      </c>
      <c r="AU168" s="80">
        <f t="shared" si="107"/>
        <v>2.8109161213563354</v>
      </c>
      <c r="AV168" s="80">
        <f t="shared" si="152"/>
        <v>13.79961992238395</v>
      </c>
      <c r="AW168" s="80">
        <f t="shared" si="153"/>
        <v>7.0961764508574463</v>
      </c>
      <c r="AX168" s="80">
        <f t="shared" si="154"/>
        <v>5.7153994765926575</v>
      </c>
      <c r="AY168" s="80">
        <f t="shared" si="155"/>
        <v>4.3279546619927594</v>
      </c>
      <c r="AZ168" s="80">
        <f t="shared" si="156"/>
        <v>26.596624152037496</v>
      </c>
      <c r="BA168" s="80">
        <f t="shared" si="157"/>
        <v>15.933171401553532</v>
      </c>
      <c r="BB168" s="80">
        <f t="shared" si="133"/>
        <v>372.67846254929265</v>
      </c>
      <c r="BC168" s="80">
        <f t="shared" si="134"/>
        <v>128.14329686970561</v>
      </c>
      <c r="BD168" s="80">
        <f t="shared" si="135"/>
        <v>109.92996121232765</v>
      </c>
      <c r="BE168" s="80">
        <f t="shared" si="136"/>
        <v>78.593740271390715</v>
      </c>
      <c r="BF168" s="80">
        <f t="shared" si="137"/>
        <v>449.11123168085015</v>
      </c>
      <c r="BG168" s="80">
        <f t="shared" si="138"/>
        <v>227.39658603569984</v>
      </c>
      <c r="BH168" s="49">
        <f t="shared" si="139"/>
        <v>794.04262031264045</v>
      </c>
      <c r="BI168" s="79">
        <f t="shared" si="140"/>
        <v>-57662.333394094341</v>
      </c>
      <c r="BJ168" s="79">
        <f t="shared" si="108"/>
        <v>57800</v>
      </c>
      <c r="BK168" s="44">
        <f t="shared" si="141"/>
        <v>2.3874615854473369E-3</v>
      </c>
      <c r="BL168" s="79">
        <f t="shared" si="158"/>
        <v>2777.3152669246961</v>
      </c>
      <c r="BM168" s="49">
        <f t="shared" si="142"/>
        <v>60577.315266924699</v>
      </c>
      <c r="BN168" s="44">
        <f t="shared" si="143"/>
        <v>5.0552617302318525E-2</v>
      </c>
      <c r="BO168" s="49">
        <f t="shared" si="109"/>
        <v>3168.9708258599899</v>
      </c>
      <c r="BP168" s="49">
        <f t="shared" si="110"/>
        <v>60968.970825859993</v>
      </c>
      <c r="BQ168" s="44">
        <f t="shared" si="111"/>
        <v>5.7344842588425537E-2</v>
      </c>
      <c r="BS168" s="49">
        <f t="shared" si="112"/>
        <v>57662.333394094341</v>
      </c>
      <c r="BT168" s="49">
        <f t="shared" si="159"/>
        <v>56.369999</v>
      </c>
      <c r="BU168" s="49">
        <f t="shared" si="160"/>
        <v>41</v>
      </c>
      <c r="BV168" s="49">
        <f t="shared" si="113"/>
        <v>-437.64988054103299</v>
      </c>
      <c r="BW168" s="18">
        <f t="shared" si="114"/>
        <v>882</v>
      </c>
      <c r="BX168" s="19">
        <f t="shared" si="144"/>
        <v>0.79770642201834863</v>
      </c>
      <c r="BY168" s="49">
        <f t="shared" si="145"/>
        <v>-349.11612030314512</v>
      </c>
      <c r="BZ168" s="19">
        <f t="shared" si="115"/>
        <v>1.5064756151271974</v>
      </c>
      <c r="CA168" s="19">
        <f t="shared" si="116"/>
        <v>1.4569100734670475</v>
      </c>
      <c r="CB168" s="19">
        <f t="shared" si="117"/>
        <v>1.1515033151520406</v>
      </c>
      <c r="CC168" s="19">
        <f t="shared" si="118"/>
        <v>0.85177888798259549</v>
      </c>
      <c r="CD168" s="19">
        <f t="shared" si="119"/>
        <v>5.6049743827591882</v>
      </c>
      <c r="CE168" s="19">
        <f t="shared" si="120"/>
        <v>0</v>
      </c>
      <c r="CF168" s="49">
        <f t="shared" si="121"/>
        <v>-84.920028918244498</v>
      </c>
      <c r="CG168" s="49">
        <f t="shared" si="122"/>
        <v>-69.567456008051522</v>
      </c>
      <c r="CH168" s="49">
        <f t="shared" si="123"/>
        <v>-51.092200941792726</v>
      </c>
      <c r="CI168" s="49">
        <f t="shared" si="124"/>
        <v>-46.404913817291799</v>
      </c>
      <c r="CJ168" s="49">
        <f t="shared" si="125"/>
        <v>-191.69012949533862</v>
      </c>
      <c r="CK168" s="49">
        <f t="shared" si="126"/>
        <v>0</v>
      </c>
    </row>
    <row r="169" spans="2:89" ht="12.75" customHeight="1" x14ac:dyDescent="0.2">
      <c r="B169" s="77">
        <v>40182</v>
      </c>
      <c r="C169" s="49">
        <v>58.040000999999997</v>
      </c>
      <c r="D169" s="49">
        <v>49.189999</v>
      </c>
      <c r="E169" s="49">
        <v>45.959999000000003</v>
      </c>
      <c r="F169" s="49">
        <v>56.240001999999997</v>
      </c>
      <c r="G169" s="49">
        <v>35.459999000000003</v>
      </c>
      <c r="H169" s="49">
        <v>42.689999</v>
      </c>
      <c r="J169" s="78">
        <f>IF(inter=Weekly_2,J168+$C$5,IF(inter=Bi_weekly_2,0,IF(inter=Monthly_2,0,IF(inter=Quarterly_2,0,IF(inter=Yearly_2,0,IF(inter=None_2,0,0))))))</f>
        <v>0</v>
      </c>
      <c r="K169" s="79">
        <f t="shared" si="127"/>
        <v>0</v>
      </c>
      <c r="L169" s="79">
        <f t="shared" si="128"/>
        <v>0</v>
      </c>
      <c r="M169" s="79">
        <f t="shared" si="129"/>
        <v>0</v>
      </c>
      <c r="N169" s="79">
        <f t="shared" si="130"/>
        <v>0</v>
      </c>
      <c r="O169" s="79">
        <f t="shared" si="131"/>
        <v>0</v>
      </c>
      <c r="P169" s="79">
        <f t="shared" si="132"/>
        <v>0</v>
      </c>
      <c r="Q169" s="79"/>
      <c r="R169" s="80">
        <f t="shared" si="90"/>
        <v>0</v>
      </c>
      <c r="S169" s="80">
        <f t="shared" si="91"/>
        <v>0</v>
      </c>
      <c r="T169" s="80">
        <f t="shared" si="92"/>
        <v>0</v>
      </c>
      <c r="U169" s="80">
        <f t="shared" si="93"/>
        <v>0</v>
      </c>
      <c r="V169" s="80">
        <f t="shared" si="94"/>
        <v>0</v>
      </c>
      <c r="W169" s="80">
        <f t="shared" si="95"/>
        <v>0</v>
      </c>
      <c r="X169" s="80">
        <f t="shared" si="146"/>
        <v>358.87884262690869</v>
      </c>
      <c r="Y169" s="80">
        <f t="shared" si="147"/>
        <v>121.04712041884817</v>
      </c>
      <c r="Z169" s="80">
        <f t="shared" si="148"/>
        <v>104.214561735735</v>
      </c>
      <c r="AA169" s="80">
        <f t="shared" si="149"/>
        <v>74.265785609397952</v>
      </c>
      <c r="AB169" s="80">
        <f t="shared" si="150"/>
        <v>422.51460752881263</v>
      </c>
      <c r="AC169" s="80">
        <f t="shared" si="151"/>
        <v>211.46341463414632</v>
      </c>
      <c r="AD169" s="80"/>
      <c r="AE169" s="80"/>
      <c r="AF169" s="80"/>
      <c r="AG169" s="80"/>
      <c r="AH169" s="80"/>
      <c r="AI169" s="80"/>
      <c r="AJ169" s="45">
        <f t="shared" si="96"/>
        <v>0</v>
      </c>
      <c r="AK169" s="45">
        <f t="shared" si="97"/>
        <v>0</v>
      </c>
      <c r="AL169" s="45">
        <f t="shared" si="98"/>
        <v>0</v>
      </c>
      <c r="AM169" s="45">
        <f t="shared" si="99"/>
        <v>0</v>
      </c>
      <c r="AN169" s="45">
        <f t="shared" si="100"/>
        <v>0</v>
      </c>
      <c r="AO169" s="45">
        <f t="shared" si="101"/>
        <v>0</v>
      </c>
      <c r="AP169" s="80">
        <f t="shared" si="102"/>
        <v>0</v>
      </c>
      <c r="AQ169" s="80">
        <f t="shared" si="103"/>
        <v>0</v>
      </c>
      <c r="AR169" s="80">
        <f t="shared" si="104"/>
        <v>0</v>
      </c>
      <c r="AS169" s="80">
        <f t="shared" si="105"/>
        <v>0</v>
      </c>
      <c r="AT169" s="80">
        <f t="shared" si="106"/>
        <v>0</v>
      </c>
      <c r="AU169" s="80">
        <f t="shared" si="107"/>
        <v>0</v>
      </c>
      <c r="AV169" s="80">
        <f t="shared" si="152"/>
        <v>13.79961992238395</v>
      </c>
      <c r="AW169" s="80">
        <f t="shared" si="153"/>
        <v>7.0961764508574463</v>
      </c>
      <c r="AX169" s="80">
        <f t="shared" si="154"/>
        <v>5.7153994765926575</v>
      </c>
      <c r="AY169" s="80">
        <f t="shared" si="155"/>
        <v>4.3279546619927594</v>
      </c>
      <c r="AZ169" s="80">
        <f t="shared" si="156"/>
        <v>26.596624152037496</v>
      </c>
      <c r="BA169" s="80">
        <f t="shared" si="157"/>
        <v>15.933171401553532</v>
      </c>
      <c r="BB169" s="80">
        <f t="shared" si="133"/>
        <v>372.67846254929265</v>
      </c>
      <c r="BC169" s="80">
        <f t="shared" si="134"/>
        <v>128.14329686970561</v>
      </c>
      <c r="BD169" s="80">
        <f t="shared" si="135"/>
        <v>109.92996121232765</v>
      </c>
      <c r="BE169" s="80">
        <f t="shared" si="136"/>
        <v>78.593740271390715</v>
      </c>
      <c r="BF169" s="80">
        <f t="shared" si="137"/>
        <v>449.11123168085015</v>
      </c>
      <c r="BG169" s="80">
        <f t="shared" si="138"/>
        <v>227.39658603569984</v>
      </c>
      <c r="BH169" s="49">
        <f t="shared" si="139"/>
        <v>0</v>
      </c>
      <c r="BI169" s="79">
        <f t="shared" si="140"/>
        <v>-57662.333394094341</v>
      </c>
      <c r="BJ169" s="79">
        <f t="shared" si="108"/>
        <v>59759.785721389955</v>
      </c>
      <c r="BK169" s="44">
        <f t="shared" si="141"/>
        <v>3.6374738999209955E-2</v>
      </c>
      <c r="BL169" s="79">
        <f t="shared" si="158"/>
        <v>2777.3152669246961</v>
      </c>
      <c r="BM169" s="49">
        <f t="shared" si="142"/>
        <v>62537.100988314654</v>
      </c>
      <c r="BN169" s="44">
        <f t="shared" si="143"/>
        <v>8.4539894716081365E-2</v>
      </c>
      <c r="BO169" s="49">
        <f t="shared" si="109"/>
        <v>3279.3781367252409</v>
      </c>
      <c r="BP169" s="49">
        <f t="shared" si="110"/>
        <v>63039.163858115207</v>
      </c>
      <c r="BQ169" s="44">
        <f t="shared" si="111"/>
        <v>9.3246841526041235E-2</v>
      </c>
      <c r="BS169" s="49">
        <f t="shared" si="112"/>
        <v>57662.333394094341</v>
      </c>
      <c r="BT169" s="49">
        <f t="shared" si="159"/>
        <v>58.040000999999997</v>
      </c>
      <c r="BU169" s="49">
        <f t="shared" si="160"/>
        <v>42.689999</v>
      </c>
      <c r="BV169" s="49">
        <f t="shared" si="113"/>
        <v>0</v>
      </c>
      <c r="BW169" s="18">
        <f t="shared" si="114"/>
        <v>889</v>
      </c>
      <c r="BX169" s="19">
        <f t="shared" si="144"/>
        <v>0.79610091743119271</v>
      </c>
      <c r="BY169" s="49">
        <f t="shared" si="145"/>
        <v>0</v>
      </c>
      <c r="BZ169" s="19">
        <f t="shared" si="115"/>
        <v>0</v>
      </c>
      <c r="CA169" s="19">
        <f t="shared" si="116"/>
        <v>0</v>
      </c>
      <c r="CB169" s="19">
        <f t="shared" si="117"/>
        <v>0</v>
      </c>
      <c r="CC169" s="19">
        <f t="shared" si="118"/>
        <v>0</v>
      </c>
      <c r="CD169" s="19">
        <f t="shared" si="119"/>
        <v>0</v>
      </c>
      <c r="CE169" s="19">
        <f t="shared" si="120"/>
        <v>0</v>
      </c>
      <c r="CF169" s="49">
        <f t="shared" si="121"/>
        <v>0</v>
      </c>
      <c r="CG169" s="49">
        <f t="shared" si="122"/>
        <v>0</v>
      </c>
      <c r="CH169" s="49">
        <f t="shared" si="123"/>
        <v>0</v>
      </c>
      <c r="CI169" s="49">
        <f t="shared" si="124"/>
        <v>0</v>
      </c>
      <c r="CJ169" s="49">
        <f t="shared" si="125"/>
        <v>0</v>
      </c>
      <c r="CK169" s="49">
        <f t="shared" si="126"/>
        <v>0</v>
      </c>
    </row>
    <row r="170" spans="2:89" ht="12.75" customHeight="1" x14ac:dyDescent="0.2">
      <c r="B170" s="77">
        <v>40189</v>
      </c>
      <c r="C170" s="49">
        <v>57.5</v>
      </c>
      <c r="D170" s="49">
        <v>48.869999</v>
      </c>
      <c r="E170" s="49">
        <v>45.700001</v>
      </c>
      <c r="F170" s="49">
        <v>55.720001000000003</v>
      </c>
      <c r="G170" s="49">
        <v>35.220001000000003</v>
      </c>
      <c r="H170" s="49">
        <v>41.700001</v>
      </c>
      <c r="J170" s="78">
        <f>IF(inter=Weekly_2,J169+$C$5,IF(inter=Bi_weekly_2,J168+$C$5,IF(inter=Monthly_2,J166+$C$5,IF(inter=Quarterly_2,0,IF(inter=Yearly_2,0,IF(inter=None_2,0,0))))))</f>
        <v>58400</v>
      </c>
      <c r="K170" s="79">
        <f t="shared" si="127"/>
        <v>195.5334510472494</v>
      </c>
      <c r="L170" s="79">
        <f t="shared" si="128"/>
        <v>75.572653821989661</v>
      </c>
      <c r="M170" s="79">
        <f t="shared" si="129"/>
        <v>90.605575537651021</v>
      </c>
      <c r="N170" s="79">
        <f t="shared" si="130"/>
        <v>50.089648421439506</v>
      </c>
      <c r="O170" s="79">
        <f t="shared" si="131"/>
        <v>280.96489967938942</v>
      </c>
      <c r="P170" s="79">
        <f t="shared" si="132"/>
        <v>58.024601707316833</v>
      </c>
      <c r="Q170" s="79"/>
      <c r="R170" s="80">
        <f t="shared" ref="R170:R233" si="161">-((K170)/C170)</f>
        <v>-3.4005817573434678</v>
      </c>
      <c r="S170" s="80">
        <f t="shared" ref="S170:S233" si="162">-((L170)/D170)</f>
        <v>-1.546401787771464</v>
      </c>
      <c r="T170" s="80">
        <f t="shared" ref="T170:T233" si="163">-(M170)/E170</f>
        <v>-1.9826164891692457</v>
      </c>
      <c r="U170" s="80">
        <f t="shared" ref="U170:U233" si="164">-(N170)/F170</f>
        <v>-0.8989527552492238</v>
      </c>
      <c r="V170" s="80">
        <f t="shared" ref="V170:V233" si="165">-(O170)/G170</f>
        <v>-7.9774245230540846</v>
      </c>
      <c r="W170" s="80">
        <f t="shared" ref="W170:W233" si="166">-(P170)/H170</f>
        <v>-1.3914772257995109</v>
      </c>
      <c r="X170" s="80">
        <f t="shared" si="146"/>
        <v>355.47826086956525</v>
      </c>
      <c r="Y170" s="80">
        <f t="shared" si="147"/>
        <v>119.50071863107671</v>
      </c>
      <c r="Z170" s="80">
        <f t="shared" si="148"/>
        <v>102.23194524656576</v>
      </c>
      <c r="AA170" s="80">
        <f t="shared" si="149"/>
        <v>73.366832854148726</v>
      </c>
      <c r="AB170" s="80">
        <f t="shared" si="150"/>
        <v>414.53718300575855</v>
      </c>
      <c r="AC170" s="80">
        <f t="shared" si="151"/>
        <v>210.0719374083468</v>
      </c>
      <c r="AD170" s="80"/>
      <c r="AE170" s="80"/>
      <c r="AF170" s="80"/>
      <c r="AG170" s="80"/>
      <c r="AH170" s="80"/>
      <c r="AI170" s="80"/>
      <c r="AJ170" s="45">
        <f t="shared" ref="AJ170:AJ233" si="167">(X170*AD170)</f>
        <v>0</v>
      </c>
      <c r="AK170" s="45">
        <f t="shared" ref="AK170:AK233" si="168">(Y170*AE170)</f>
        <v>0</v>
      </c>
      <c r="AL170" s="45">
        <f t="shared" ref="AL170:AL233" si="169">(Z170*AF170)</f>
        <v>0</v>
      </c>
      <c r="AM170" s="45">
        <f t="shared" ref="AM170:AM233" si="170">(AA170*AG170)</f>
        <v>0</v>
      </c>
      <c r="AN170" s="45">
        <f t="shared" ref="AN170:AN233" si="171">(AB170*AH170)</f>
        <v>0</v>
      </c>
      <c r="AO170" s="45">
        <f t="shared" ref="AO170:AO233" si="172">(AC170*AI170)</f>
        <v>0</v>
      </c>
      <c r="AP170" s="80">
        <f t="shared" ref="AP170:AP233" si="173">IF(AJ170&gt;0,AJ170/C170,0)</f>
        <v>0</v>
      </c>
      <c r="AQ170" s="80">
        <f t="shared" ref="AQ170:AQ233" si="174">IF(AK170&gt;0,AK170/D170,0)</f>
        <v>0</v>
      </c>
      <c r="AR170" s="80">
        <f t="shared" ref="AR170:AR233" si="175">IF(AL170&gt;0,AL170/E170,0)</f>
        <v>0</v>
      </c>
      <c r="AS170" s="80">
        <f t="shared" ref="AS170:AS233" si="176">IF(AM170&gt;0,AM170/F170,0)</f>
        <v>0</v>
      </c>
      <c r="AT170" s="80">
        <f t="shared" ref="AT170:AT233" si="177">IF(AN170&gt;0,AN170/G170,0)</f>
        <v>0</v>
      </c>
      <c r="AU170" s="80">
        <f t="shared" ref="AU170:AU233" si="178">IF(AO170&gt;0,AO170/H170,0)</f>
        <v>0</v>
      </c>
      <c r="AV170" s="80">
        <f t="shared" si="152"/>
        <v>13.79961992238395</v>
      </c>
      <c r="AW170" s="80">
        <f t="shared" si="153"/>
        <v>7.0961764508574463</v>
      </c>
      <c r="AX170" s="80">
        <f t="shared" si="154"/>
        <v>5.7153994765926575</v>
      </c>
      <c r="AY170" s="80">
        <f t="shared" si="155"/>
        <v>4.3279546619927594</v>
      </c>
      <c r="AZ170" s="80">
        <f t="shared" si="156"/>
        <v>26.596624152037496</v>
      </c>
      <c r="BA170" s="80">
        <f t="shared" si="157"/>
        <v>15.933171401553532</v>
      </c>
      <c r="BB170" s="80">
        <f t="shared" si="133"/>
        <v>369.2778807919492</v>
      </c>
      <c r="BC170" s="80">
        <f t="shared" si="134"/>
        <v>126.59689508193415</v>
      </c>
      <c r="BD170" s="80">
        <f t="shared" si="135"/>
        <v>107.94734472315841</v>
      </c>
      <c r="BE170" s="80">
        <f t="shared" si="136"/>
        <v>77.694787516141488</v>
      </c>
      <c r="BF170" s="80">
        <f t="shared" si="137"/>
        <v>441.13380715779607</v>
      </c>
      <c r="BG170" s="80">
        <f t="shared" si="138"/>
        <v>226.00510880990032</v>
      </c>
      <c r="BH170" s="49">
        <f t="shared" si="139"/>
        <v>0</v>
      </c>
      <c r="BI170" s="79">
        <f t="shared" si="140"/>
        <v>-56911.542563879309</v>
      </c>
      <c r="BJ170" s="79">
        <f t="shared" ref="BJ170:BJ233" si="179">(X170*C170)+(Y170*D170)+(Z170*E170)+(AA170*F170)+(AB170*G170)+(AC170*H170)</f>
        <v>58400</v>
      </c>
      <c r="BK170" s="44">
        <f t="shared" si="141"/>
        <v>2.6153876157020362E-2</v>
      </c>
      <c r="BL170" s="79">
        <f t="shared" si="158"/>
        <v>2777.3152669246961</v>
      </c>
      <c r="BM170" s="49">
        <f t="shared" si="142"/>
        <v>61177.315266924699</v>
      </c>
      <c r="BN170" s="44">
        <f t="shared" si="143"/>
        <v>7.4954438254021261E-2</v>
      </c>
      <c r="BO170" s="49">
        <f t="shared" ref="BO170:BO233" si="180">(C170*AV170)+(D170*AW170)+(E170*AX170)+(F170*AY170)+(G170*AZ170)+(H170*BA170)</f>
        <v>3243.7620740935176</v>
      </c>
      <c r="BP170" s="49">
        <f t="shared" ref="BP170:BP233" si="181">(C170*BB170)+(D170*BC170)+(E170*BD170)+(F170*BE170)+(G170*BF170)+(H170*BG170)</f>
        <v>61643.762074093524</v>
      </c>
      <c r="BQ170" s="44">
        <f t="shared" ref="BQ170:BQ233" si="182">(BP170/ABS(BI170))-1</f>
        <v>8.3150434815619789E-2</v>
      </c>
      <c r="BS170" s="49">
        <f t="shared" ref="BS170:BS233" si="183">ABS(BI170)</f>
        <v>56911.542563879309</v>
      </c>
      <c r="BT170" s="49">
        <f t="shared" si="159"/>
        <v>57.5</v>
      </c>
      <c r="BU170" s="49">
        <f t="shared" si="160"/>
        <v>41.700001</v>
      </c>
      <c r="BV170" s="49">
        <f t="shared" ref="BV170:BV233" si="184">-(K170+L170+M170+N170+O170+P170+BH170)</f>
        <v>-750.79083021503584</v>
      </c>
      <c r="BW170" s="18">
        <f t="shared" ref="BW170:BW233" si="185">DATEDIF($B$42,B170,"d")</f>
        <v>896</v>
      </c>
      <c r="BX170" s="19">
        <f t="shared" si="144"/>
        <v>0.79449541284403669</v>
      </c>
      <c r="BY170" s="49">
        <f t="shared" si="145"/>
        <v>-596.49987061121192</v>
      </c>
      <c r="BZ170" s="19">
        <f t="shared" ref="BZ170:BZ233" si="186">IF(R170&gt;0,R170,0)</f>
        <v>0</v>
      </c>
      <c r="CA170" s="19">
        <f t="shared" ref="CA170:CA233" si="187">IF(S170&gt;0,S170,0)</f>
        <v>0</v>
      </c>
      <c r="CB170" s="19">
        <f t="shared" ref="CB170:CB233" si="188">IF(T170&gt;0,T170,0)</f>
        <v>0</v>
      </c>
      <c r="CC170" s="19">
        <f t="shared" ref="CC170:CC233" si="189">IF(U170&gt;0,U170,0)</f>
        <v>0</v>
      </c>
      <c r="CD170" s="19">
        <f t="shared" ref="CD170:CD233" si="190">IF(V170&gt;0,V170,0)</f>
        <v>0</v>
      </c>
      <c r="CE170" s="19">
        <f t="shared" ref="CE170:CE233" si="191">IF(W170&gt;0,W170,0)</f>
        <v>0</v>
      </c>
      <c r="CF170" s="49">
        <f t="shared" ref="CF170:CF233" si="192">IF(K170&lt;0,K170,0)</f>
        <v>0</v>
      </c>
      <c r="CG170" s="49">
        <f t="shared" ref="CG170:CG233" si="193">IF(L170&lt;0,L170,0)</f>
        <v>0</v>
      </c>
      <c r="CH170" s="49">
        <f t="shared" ref="CH170:CH233" si="194">IF(M170&lt;0,M170,0)</f>
        <v>0</v>
      </c>
      <c r="CI170" s="49">
        <f t="shared" ref="CI170:CI233" si="195">IF(N170&lt;0,N170,0)</f>
        <v>0</v>
      </c>
      <c r="CJ170" s="49">
        <f t="shared" ref="CJ170:CJ233" si="196">IF(O170&lt;0,O170,0)</f>
        <v>0</v>
      </c>
      <c r="CK170" s="49">
        <f t="shared" ref="CK170:CK233" si="197">IF(P170&lt;0,P170,0)</f>
        <v>0</v>
      </c>
    </row>
    <row r="171" spans="2:89" ht="12.75" customHeight="1" x14ac:dyDescent="0.2">
      <c r="B171" s="77">
        <v>40197</v>
      </c>
      <c r="C171" s="49">
        <v>55.41</v>
      </c>
      <c r="D171" s="49">
        <v>47.110000999999997</v>
      </c>
      <c r="E171" s="49">
        <v>44.23</v>
      </c>
      <c r="F171" s="49">
        <v>53.98</v>
      </c>
      <c r="G171" s="49">
        <v>33.220001000000003</v>
      </c>
      <c r="H171" s="49">
        <v>39.279998999999997</v>
      </c>
      <c r="J171" s="78">
        <f>IF(inter=Weekly_2,J170+$C$5,IF(inter=Bi_weekly_2,0,IF(inter=Monthly_2,0,IF(inter=Quarterly_2,0,IF(inter=Yearly_2,0,IF(inter=None_2,0,0))))))</f>
        <v>0</v>
      </c>
      <c r="K171" s="79">
        <f t="shared" ref="K171:K234" si="198">IF(J171=0,0,-((J171*$C$36)-(X170*C171)))</f>
        <v>0</v>
      </c>
      <c r="L171" s="79">
        <f t="shared" ref="L171:L234" si="199">IF(J171=0,0,-((J171*$D$36)-(Y170*D171)))</f>
        <v>0</v>
      </c>
      <c r="M171" s="79">
        <f t="shared" ref="M171:M234" si="200">IF(J171=0,0,-((J171*$E$36)-(Z170*E171)))</f>
        <v>0</v>
      </c>
      <c r="N171" s="79">
        <f t="shared" ref="N171:N234" si="201">IF(J171=0,0,-((J171*$F$36)-(AA170*F171)))</f>
        <v>0</v>
      </c>
      <c r="O171" s="79">
        <f t="shared" ref="O171:O234" si="202">IF(J171=0,0,-((J171*$G$36)-(AB170*G171)))</f>
        <v>0</v>
      </c>
      <c r="P171" s="79">
        <f t="shared" ref="P171:P234" si="203">IF(J171=0,0,-((J171*$H$36)-(AC170*H171)))</f>
        <v>0</v>
      </c>
      <c r="Q171" s="79"/>
      <c r="R171" s="80">
        <f t="shared" si="161"/>
        <v>0</v>
      </c>
      <c r="S171" s="80">
        <f t="shared" si="162"/>
        <v>0</v>
      </c>
      <c r="T171" s="80">
        <f t="shared" si="163"/>
        <v>0</v>
      </c>
      <c r="U171" s="80">
        <f t="shared" si="164"/>
        <v>0</v>
      </c>
      <c r="V171" s="80">
        <f t="shared" si="165"/>
        <v>0</v>
      </c>
      <c r="W171" s="80">
        <f t="shared" si="166"/>
        <v>0</v>
      </c>
      <c r="X171" s="80">
        <f t="shared" si="146"/>
        <v>355.47826086956525</v>
      </c>
      <c r="Y171" s="80">
        <f t="shared" si="147"/>
        <v>119.50071863107671</v>
      </c>
      <c r="Z171" s="80">
        <f t="shared" si="148"/>
        <v>102.23194524656576</v>
      </c>
      <c r="AA171" s="80">
        <f t="shared" si="149"/>
        <v>73.366832854148726</v>
      </c>
      <c r="AB171" s="80">
        <f t="shared" si="150"/>
        <v>414.53718300575855</v>
      </c>
      <c r="AC171" s="80">
        <f t="shared" si="151"/>
        <v>210.0719374083468</v>
      </c>
      <c r="AD171" s="80"/>
      <c r="AE171" s="80"/>
      <c r="AF171" s="80"/>
      <c r="AG171" s="80"/>
      <c r="AH171" s="80"/>
      <c r="AI171" s="80"/>
      <c r="AJ171" s="45">
        <f t="shared" si="167"/>
        <v>0</v>
      </c>
      <c r="AK171" s="45">
        <f t="shared" si="168"/>
        <v>0</v>
      </c>
      <c r="AL171" s="45">
        <f t="shared" si="169"/>
        <v>0</v>
      </c>
      <c r="AM171" s="45">
        <f t="shared" si="170"/>
        <v>0</v>
      </c>
      <c r="AN171" s="45">
        <f t="shared" si="171"/>
        <v>0</v>
      </c>
      <c r="AO171" s="45">
        <f t="shared" si="172"/>
        <v>0</v>
      </c>
      <c r="AP171" s="80">
        <f t="shared" si="173"/>
        <v>0</v>
      </c>
      <c r="AQ171" s="80">
        <f t="shared" si="174"/>
        <v>0</v>
      </c>
      <c r="AR171" s="80">
        <f t="shared" si="175"/>
        <v>0</v>
      </c>
      <c r="AS171" s="80">
        <f t="shared" si="176"/>
        <v>0</v>
      </c>
      <c r="AT171" s="80">
        <f t="shared" si="177"/>
        <v>0</v>
      </c>
      <c r="AU171" s="80">
        <f t="shared" si="178"/>
        <v>0</v>
      </c>
      <c r="AV171" s="80">
        <f t="shared" si="152"/>
        <v>13.79961992238395</v>
      </c>
      <c r="AW171" s="80">
        <f t="shared" si="153"/>
        <v>7.0961764508574463</v>
      </c>
      <c r="AX171" s="80">
        <f t="shared" si="154"/>
        <v>5.7153994765926575</v>
      </c>
      <c r="AY171" s="80">
        <f t="shared" si="155"/>
        <v>4.3279546619927594</v>
      </c>
      <c r="AZ171" s="80">
        <f t="shared" si="156"/>
        <v>26.596624152037496</v>
      </c>
      <c r="BA171" s="80">
        <f t="shared" si="157"/>
        <v>15.933171401553532</v>
      </c>
      <c r="BB171" s="80">
        <f t="shared" ref="BB171:BB234" si="204">X171+AV171</f>
        <v>369.2778807919492</v>
      </c>
      <c r="BC171" s="80">
        <f t="shared" ref="BC171:BC234" si="205">Y171+AW171</f>
        <v>126.59689508193415</v>
      </c>
      <c r="BD171" s="80">
        <f t="shared" ref="BD171:BD234" si="206">Z171+AX171</f>
        <v>107.94734472315841</v>
      </c>
      <c r="BE171" s="80">
        <f t="shared" ref="BE171:BE234" si="207">AA171+AY171</f>
        <v>77.694787516141488</v>
      </c>
      <c r="BF171" s="80">
        <f t="shared" ref="BF171:BF234" si="208">AB171+AZ171</f>
        <v>441.13380715779607</v>
      </c>
      <c r="BG171" s="80">
        <f t="shared" ref="BG171:BG234" si="209">AC171+BA171</f>
        <v>226.00510880990032</v>
      </c>
      <c r="BH171" s="49">
        <f t="shared" ref="BH171:BH234" si="210">(AJ171+AK171+AL171+AM171+AN171+AO171)</f>
        <v>0</v>
      </c>
      <c r="BI171" s="79">
        <f t="shared" ref="BI171:BI234" si="211">BI170+K171+L171+M171+N171+O171+P171</f>
        <v>-56911.542563879309</v>
      </c>
      <c r="BJ171" s="79">
        <f t="shared" si="179"/>
        <v>55831.341110032314</v>
      </c>
      <c r="BK171" s="44">
        <f t="shared" ref="BK171:BK234" si="212">BJ171/ABS(BI171)-1</f>
        <v>-1.8980358029033306E-2</v>
      </c>
      <c r="BL171" s="79">
        <f t="shared" si="158"/>
        <v>2777.3152669246961</v>
      </c>
      <c r="BM171" s="49">
        <f t="shared" ref="BM171:BM234" si="213">BJ171+BL171</f>
        <v>58608.656376957013</v>
      </c>
      <c r="BN171" s="44">
        <f t="shared" ref="BN171:BN234" si="214">BM171/ABS(BI171)-1</f>
        <v>2.9820204067967593E-2</v>
      </c>
      <c r="BO171" s="49">
        <f t="shared" si="180"/>
        <v>3094.7477687465889</v>
      </c>
      <c r="BP171" s="49">
        <f t="shared" si="181"/>
        <v>58926.088878778901</v>
      </c>
      <c r="BQ171" s="44">
        <f t="shared" si="182"/>
        <v>3.539785119404204E-2</v>
      </c>
      <c r="BS171" s="49">
        <f t="shared" si="183"/>
        <v>56911.542563879309</v>
      </c>
      <c r="BT171" s="49">
        <f t="shared" si="159"/>
        <v>55.41</v>
      </c>
      <c r="BU171" s="49">
        <f t="shared" si="160"/>
        <v>39.279998999999997</v>
      </c>
      <c r="BV171" s="49">
        <f t="shared" si="184"/>
        <v>0</v>
      </c>
      <c r="BW171" s="18">
        <f t="shared" si="185"/>
        <v>904</v>
      </c>
      <c r="BX171" s="19">
        <f t="shared" ref="BX171:BX234" si="215">($BW$40-BW171)/$BW$40</f>
        <v>0.79266055045871564</v>
      </c>
      <c r="BY171" s="49">
        <f t="shared" ref="BY171:BY234" si="216">BX171*BV171</f>
        <v>0</v>
      </c>
      <c r="BZ171" s="19">
        <f t="shared" si="186"/>
        <v>0</v>
      </c>
      <c r="CA171" s="19">
        <f t="shared" si="187"/>
        <v>0</v>
      </c>
      <c r="CB171" s="19">
        <f t="shared" si="188"/>
        <v>0</v>
      </c>
      <c r="CC171" s="19">
        <f t="shared" si="189"/>
        <v>0</v>
      </c>
      <c r="CD171" s="19">
        <f t="shared" si="190"/>
        <v>0</v>
      </c>
      <c r="CE171" s="19">
        <f t="shared" si="191"/>
        <v>0</v>
      </c>
      <c r="CF171" s="49">
        <f t="shared" si="192"/>
        <v>0</v>
      </c>
      <c r="CG171" s="49">
        <f t="shared" si="193"/>
        <v>0</v>
      </c>
      <c r="CH171" s="49">
        <f t="shared" si="194"/>
        <v>0</v>
      </c>
      <c r="CI171" s="49">
        <f t="shared" si="195"/>
        <v>0</v>
      </c>
      <c r="CJ171" s="49">
        <f t="shared" si="196"/>
        <v>0</v>
      </c>
      <c r="CK171" s="49">
        <f t="shared" si="197"/>
        <v>0</v>
      </c>
    </row>
    <row r="172" spans="2:89" ht="12.75" customHeight="1" x14ac:dyDescent="0.2">
      <c r="B172" s="77">
        <v>40203</v>
      </c>
      <c r="C172" s="49">
        <v>54.360000999999997</v>
      </c>
      <c r="D172" s="49">
        <v>46.580002</v>
      </c>
      <c r="E172" s="49">
        <v>43.360000999999997</v>
      </c>
      <c r="F172" s="49">
        <v>52.849997999999999</v>
      </c>
      <c r="G172" s="49">
        <v>32.340000000000003</v>
      </c>
      <c r="H172" s="49">
        <v>38.240001999999997</v>
      </c>
      <c r="J172" s="78">
        <f>IF(inter=Weekly_2,J171+$C$5,IF(inter=Bi_weekly_2,J170+$C$5,IF(inter=Monthly_2,0,IF(inter=Quarterly_2,J159+$C$5,IF(inter=Yearly_2,0,IF(inter=None_2,0,0))))))</f>
        <v>59000</v>
      </c>
      <c r="K172" s="79">
        <f t="shared" si="198"/>
        <v>-1326.2013836521728</v>
      </c>
      <c r="L172" s="79">
        <f t="shared" si="199"/>
        <v>-333.65628716300944</v>
      </c>
      <c r="M172" s="79">
        <f t="shared" si="200"/>
        <v>-287.22275187696414</v>
      </c>
      <c r="N172" s="79">
        <f t="shared" si="201"/>
        <v>-252.56303039190561</v>
      </c>
      <c r="O172" s="79">
        <f t="shared" si="202"/>
        <v>-1343.8675015937679</v>
      </c>
      <c r="P172" s="79">
        <f t="shared" si="203"/>
        <v>-816.84869336094471</v>
      </c>
      <c r="Q172" s="79"/>
      <c r="R172" s="80">
        <f t="shared" si="161"/>
        <v>24.39664016290531</v>
      </c>
      <c r="S172" s="80">
        <f t="shared" si="162"/>
        <v>7.1630801381891187</v>
      </c>
      <c r="T172" s="80">
        <f t="shared" si="163"/>
        <v>6.6241408038012768</v>
      </c>
      <c r="U172" s="80">
        <f t="shared" si="164"/>
        <v>4.7788654673535769</v>
      </c>
      <c r="V172" s="80">
        <f t="shared" si="165"/>
        <v>41.554344514340379</v>
      </c>
      <c r="W172" s="80">
        <f t="shared" si="166"/>
        <v>21.361104880720056</v>
      </c>
      <c r="X172" s="80">
        <f t="shared" ref="X172:X235" si="217">X171+R172</f>
        <v>379.87490103247058</v>
      </c>
      <c r="Y172" s="80">
        <f t="shared" ref="Y172:Y235" si="218">Y171+S172</f>
        <v>126.66379876926582</v>
      </c>
      <c r="Z172" s="80">
        <f t="shared" ref="Z172:Z235" si="219">Z171+T172</f>
        <v>108.85608605036704</v>
      </c>
      <c r="AA172" s="80">
        <f t="shared" ref="AA172:AA235" si="220">AA171+U172</f>
        <v>78.145698321502309</v>
      </c>
      <c r="AB172" s="80">
        <f t="shared" ref="AB172:AB235" si="221">AB171+V172</f>
        <v>456.09152752009891</v>
      </c>
      <c r="AC172" s="80">
        <f t="shared" ref="AC172:AC235" si="222">AC171+W172</f>
        <v>231.43304228906686</v>
      </c>
      <c r="AD172" s="80"/>
      <c r="AE172" s="80"/>
      <c r="AF172" s="80"/>
      <c r="AG172" s="80"/>
      <c r="AH172" s="80"/>
      <c r="AI172" s="80"/>
      <c r="AJ172" s="45">
        <f t="shared" si="167"/>
        <v>0</v>
      </c>
      <c r="AK172" s="45">
        <f t="shared" si="168"/>
        <v>0</v>
      </c>
      <c r="AL172" s="45">
        <f t="shared" si="169"/>
        <v>0</v>
      </c>
      <c r="AM172" s="45">
        <f t="shared" si="170"/>
        <v>0</v>
      </c>
      <c r="AN172" s="45">
        <f t="shared" si="171"/>
        <v>0</v>
      </c>
      <c r="AO172" s="45">
        <f t="shared" si="172"/>
        <v>0</v>
      </c>
      <c r="AP172" s="80">
        <f t="shared" si="173"/>
        <v>0</v>
      </c>
      <c r="AQ172" s="80">
        <f t="shared" si="174"/>
        <v>0</v>
      </c>
      <c r="AR172" s="80">
        <f t="shared" si="175"/>
        <v>0</v>
      </c>
      <c r="AS172" s="80">
        <f t="shared" si="176"/>
        <v>0</v>
      </c>
      <c r="AT172" s="80">
        <f t="shared" si="177"/>
        <v>0</v>
      </c>
      <c r="AU172" s="80">
        <f t="shared" si="178"/>
        <v>0</v>
      </c>
      <c r="AV172" s="80">
        <f t="shared" ref="AV172:AV235" si="223">AP172+AV171+IF(AP172&lt;0,AP172,0)</f>
        <v>13.79961992238395</v>
      </c>
      <c r="AW172" s="80">
        <f t="shared" ref="AW172:AW235" si="224">AQ172+AW171+IF(AQ172&lt;0,AQ172,0)</f>
        <v>7.0961764508574463</v>
      </c>
      <c r="AX172" s="80">
        <f t="shared" ref="AX172:AX235" si="225">AR172+AX171+IF(AR172&lt;0,AR172,0)</f>
        <v>5.7153994765926575</v>
      </c>
      <c r="AY172" s="80">
        <f t="shared" ref="AY172:AY235" si="226">AS172+AY171+IF(AS172&lt;0,AS172,0)</f>
        <v>4.3279546619927594</v>
      </c>
      <c r="AZ172" s="80">
        <f t="shared" ref="AZ172:AZ235" si="227">AT172+AZ171+IF(AT172&lt;0,AT172,0)</f>
        <v>26.596624152037496</v>
      </c>
      <c r="BA172" s="80">
        <f t="shared" ref="BA172:BA235" si="228">AU172+BA171+IF(AU172&lt;0,AU172,0)</f>
        <v>15.933171401553532</v>
      </c>
      <c r="BB172" s="80">
        <f t="shared" si="204"/>
        <v>393.67452095485453</v>
      </c>
      <c r="BC172" s="80">
        <f t="shared" si="205"/>
        <v>133.75997522012327</v>
      </c>
      <c r="BD172" s="80">
        <f t="shared" si="206"/>
        <v>114.57148552695969</v>
      </c>
      <c r="BE172" s="80">
        <f t="shared" si="207"/>
        <v>82.473652983495072</v>
      </c>
      <c r="BF172" s="80">
        <f t="shared" si="208"/>
        <v>482.68815167213643</v>
      </c>
      <c r="BG172" s="80">
        <f t="shared" si="209"/>
        <v>247.36621369062038</v>
      </c>
      <c r="BH172" s="49">
        <f t="shared" si="210"/>
        <v>0</v>
      </c>
      <c r="BI172" s="79">
        <f t="shared" si="211"/>
        <v>-61271.902211918074</v>
      </c>
      <c r="BJ172" s="79">
        <f t="shared" si="179"/>
        <v>59000</v>
      </c>
      <c r="BK172" s="44">
        <f t="shared" si="212"/>
        <v>-3.7079022029712028E-2</v>
      </c>
      <c r="BL172" s="79">
        <f t="shared" ref="BL172:BL235" si="229">BL171+BH172</f>
        <v>2777.3152669246961</v>
      </c>
      <c r="BM172" s="49">
        <f t="shared" si="213"/>
        <v>61777.315266924699</v>
      </c>
      <c r="BN172" s="44">
        <f t="shared" si="214"/>
        <v>8.248692088236087E-3</v>
      </c>
      <c r="BO172" s="49">
        <f t="shared" si="180"/>
        <v>3026.658719643212</v>
      </c>
      <c r="BP172" s="49">
        <f t="shared" si="181"/>
        <v>62026.658719643216</v>
      </c>
      <c r="BQ172" s="44">
        <f t="shared" si="182"/>
        <v>1.2318150416070095E-2</v>
      </c>
      <c r="BS172" s="49">
        <f t="shared" si="183"/>
        <v>61271.902211918074</v>
      </c>
      <c r="BT172" s="49">
        <f t="shared" si="159"/>
        <v>54.360000999999997</v>
      </c>
      <c r="BU172" s="49">
        <f t="shared" si="160"/>
        <v>38.240001999999997</v>
      </c>
      <c r="BV172" s="49">
        <f t="shared" si="184"/>
        <v>4360.3596480387641</v>
      </c>
      <c r="BW172" s="18">
        <f t="shared" si="185"/>
        <v>910</v>
      </c>
      <c r="BX172" s="19">
        <f t="shared" si="215"/>
        <v>0.79128440366972475</v>
      </c>
      <c r="BY172" s="49">
        <f t="shared" si="216"/>
        <v>3450.2845838838844</v>
      </c>
      <c r="BZ172" s="19">
        <f t="shared" si="186"/>
        <v>24.39664016290531</v>
      </c>
      <c r="CA172" s="19">
        <f t="shared" si="187"/>
        <v>7.1630801381891187</v>
      </c>
      <c r="CB172" s="19">
        <f t="shared" si="188"/>
        <v>6.6241408038012768</v>
      </c>
      <c r="CC172" s="19">
        <f t="shared" si="189"/>
        <v>4.7788654673535769</v>
      </c>
      <c r="CD172" s="19">
        <f t="shared" si="190"/>
        <v>41.554344514340379</v>
      </c>
      <c r="CE172" s="19">
        <f t="shared" si="191"/>
        <v>21.361104880720056</v>
      </c>
      <c r="CF172" s="49">
        <f t="shared" si="192"/>
        <v>-1326.2013836521728</v>
      </c>
      <c r="CG172" s="49">
        <f t="shared" si="193"/>
        <v>-333.65628716300944</v>
      </c>
      <c r="CH172" s="49">
        <f t="shared" si="194"/>
        <v>-287.22275187696414</v>
      </c>
      <c r="CI172" s="49">
        <f t="shared" si="195"/>
        <v>-252.56303039190561</v>
      </c>
      <c r="CJ172" s="49">
        <f t="shared" si="196"/>
        <v>-1343.8675015937679</v>
      </c>
      <c r="CK172" s="49">
        <f t="shared" si="197"/>
        <v>-816.84869336094471</v>
      </c>
    </row>
    <row r="173" spans="2:89" ht="12.75" customHeight="1" x14ac:dyDescent="0.2">
      <c r="B173" s="77">
        <v>40210</v>
      </c>
      <c r="C173" s="49">
        <v>53.98</v>
      </c>
      <c r="D173" s="49">
        <v>46.09</v>
      </c>
      <c r="E173" s="49">
        <v>42.98</v>
      </c>
      <c r="F173" s="49">
        <v>52.200001</v>
      </c>
      <c r="G173" s="49">
        <v>31.52</v>
      </c>
      <c r="H173" s="49">
        <v>37.549999</v>
      </c>
      <c r="J173" s="78">
        <f>IF(inter=Weekly_2,J172+$C$5,IF(inter=Bi_weekly_2,0,IF(inter=Monthly_2,0,IF(inter=Quarterly_2,0,IF(inter=Yearly_2,0,IF(inter=None_2,0,0))))))</f>
        <v>0</v>
      </c>
      <c r="K173" s="79">
        <f t="shared" si="198"/>
        <v>0</v>
      </c>
      <c r="L173" s="79">
        <f t="shared" si="199"/>
        <v>0</v>
      </c>
      <c r="M173" s="79">
        <f t="shared" si="200"/>
        <v>0</v>
      </c>
      <c r="N173" s="79">
        <f t="shared" si="201"/>
        <v>0</v>
      </c>
      <c r="O173" s="79">
        <f t="shared" si="202"/>
        <v>0</v>
      </c>
      <c r="P173" s="79">
        <f t="shared" si="203"/>
        <v>0</v>
      </c>
      <c r="Q173" s="79"/>
      <c r="R173" s="80">
        <f t="shared" si="161"/>
        <v>0</v>
      </c>
      <c r="S173" s="80">
        <f t="shared" si="162"/>
        <v>0</v>
      </c>
      <c r="T173" s="80">
        <f t="shared" si="163"/>
        <v>0</v>
      </c>
      <c r="U173" s="80">
        <f t="shared" si="164"/>
        <v>0</v>
      </c>
      <c r="V173" s="80">
        <f t="shared" si="165"/>
        <v>0</v>
      </c>
      <c r="W173" s="80">
        <f t="shared" si="166"/>
        <v>0</v>
      </c>
      <c r="X173" s="80">
        <f t="shared" si="217"/>
        <v>379.87490103247058</v>
      </c>
      <c r="Y173" s="80">
        <f t="shared" si="218"/>
        <v>126.66379876926582</v>
      </c>
      <c r="Z173" s="80">
        <f t="shared" si="219"/>
        <v>108.85608605036704</v>
      </c>
      <c r="AA173" s="80">
        <f t="shared" si="220"/>
        <v>78.145698321502309</v>
      </c>
      <c r="AB173" s="80">
        <f t="shared" si="221"/>
        <v>456.09152752009891</v>
      </c>
      <c r="AC173" s="80">
        <f t="shared" si="222"/>
        <v>231.43304228906686</v>
      </c>
      <c r="AD173" s="80"/>
      <c r="AE173" s="80"/>
      <c r="AF173" s="80"/>
      <c r="AG173" s="80"/>
      <c r="AH173" s="80"/>
      <c r="AI173" s="80"/>
      <c r="AJ173" s="45">
        <f t="shared" si="167"/>
        <v>0</v>
      </c>
      <c r="AK173" s="45">
        <f t="shared" si="168"/>
        <v>0</v>
      </c>
      <c r="AL173" s="45">
        <f t="shared" si="169"/>
        <v>0</v>
      </c>
      <c r="AM173" s="45">
        <f t="shared" si="170"/>
        <v>0</v>
      </c>
      <c r="AN173" s="45">
        <f t="shared" si="171"/>
        <v>0</v>
      </c>
      <c r="AO173" s="45">
        <f t="shared" si="172"/>
        <v>0</v>
      </c>
      <c r="AP173" s="80">
        <f t="shared" si="173"/>
        <v>0</v>
      </c>
      <c r="AQ173" s="80">
        <f t="shared" si="174"/>
        <v>0</v>
      </c>
      <c r="AR173" s="80">
        <f t="shared" si="175"/>
        <v>0</v>
      </c>
      <c r="AS173" s="80">
        <f t="shared" si="176"/>
        <v>0</v>
      </c>
      <c r="AT173" s="80">
        <f t="shared" si="177"/>
        <v>0</v>
      </c>
      <c r="AU173" s="80">
        <f t="shared" si="178"/>
        <v>0</v>
      </c>
      <c r="AV173" s="80">
        <f t="shared" si="223"/>
        <v>13.79961992238395</v>
      </c>
      <c r="AW173" s="80">
        <f t="shared" si="224"/>
        <v>7.0961764508574463</v>
      </c>
      <c r="AX173" s="80">
        <f t="shared" si="225"/>
        <v>5.7153994765926575</v>
      </c>
      <c r="AY173" s="80">
        <f t="shared" si="226"/>
        <v>4.3279546619927594</v>
      </c>
      <c r="AZ173" s="80">
        <f t="shared" si="227"/>
        <v>26.596624152037496</v>
      </c>
      <c r="BA173" s="80">
        <f t="shared" si="228"/>
        <v>15.933171401553532</v>
      </c>
      <c r="BB173" s="80">
        <f t="shared" si="204"/>
        <v>393.67452095485453</v>
      </c>
      <c r="BC173" s="80">
        <f t="shared" si="205"/>
        <v>133.75997522012327</v>
      </c>
      <c r="BD173" s="80">
        <f t="shared" si="206"/>
        <v>114.57148552695969</v>
      </c>
      <c r="BE173" s="80">
        <f t="shared" si="207"/>
        <v>82.473652983495072</v>
      </c>
      <c r="BF173" s="80">
        <f t="shared" si="208"/>
        <v>482.68815167213643</v>
      </c>
      <c r="BG173" s="80">
        <f t="shared" si="209"/>
        <v>247.36621369062038</v>
      </c>
      <c r="BH173" s="49">
        <f t="shared" si="210"/>
        <v>0</v>
      </c>
      <c r="BI173" s="79">
        <f t="shared" si="211"/>
        <v>-61271.902211918074</v>
      </c>
      <c r="BJ173" s="79">
        <f t="shared" si="179"/>
        <v>58167.73720593605</v>
      </c>
      <c r="BK173" s="44">
        <f t="shared" si="212"/>
        <v>-5.0662128870192502E-2</v>
      </c>
      <c r="BL173" s="79">
        <f t="shared" si="229"/>
        <v>2777.3152669246961</v>
      </c>
      <c r="BM173" s="49">
        <f t="shared" si="213"/>
        <v>60945.052472860749</v>
      </c>
      <c r="BN173" s="44">
        <f t="shared" si="214"/>
        <v>-5.3344147522442764E-3</v>
      </c>
      <c r="BO173" s="49">
        <f t="shared" si="180"/>
        <v>2980.14952668562</v>
      </c>
      <c r="BP173" s="49">
        <f t="shared" si="181"/>
        <v>61147.886732621671</v>
      </c>
      <c r="BQ173" s="44">
        <f t="shared" si="182"/>
        <v>-2.0240187560600642E-3</v>
      </c>
      <c r="BS173" s="49">
        <f t="shared" si="183"/>
        <v>61271.902211918074</v>
      </c>
      <c r="BT173" s="49">
        <f t="shared" si="159"/>
        <v>53.98</v>
      </c>
      <c r="BU173" s="49">
        <f t="shared" si="160"/>
        <v>37.549999</v>
      </c>
      <c r="BV173" s="49">
        <f t="shared" si="184"/>
        <v>0</v>
      </c>
      <c r="BW173" s="18">
        <f t="shared" si="185"/>
        <v>917</v>
      </c>
      <c r="BX173" s="19">
        <f t="shared" si="215"/>
        <v>0.78967889908256883</v>
      </c>
      <c r="BY173" s="49">
        <f t="shared" si="216"/>
        <v>0</v>
      </c>
      <c r="BZ173" s="19">
        <f t="shared" si="186"/>
        <v>0</v>
      </c>
      <c r="CA173" s="19">
        <f t="shared" si="187"/>
        <v>0</v>
      </c>
      <c r="CB173" s="19">
        <f t="shared" si="188"/>
        <v>0</v>
      </c>
      <c r="CC173" s="19">
        <f t="shared" si="189"/>
        <v>0</v>
      </c>
      <c r="CD173" s="19">
        <f t="shared" si="190"/>
        <v>0</v>
      </c>
      <c r="CE173" s="19">
        <f t="shared" si="191"/>
        <v>0</v>
      </c>
      <c r="CF173" s="49">
        <f t="shared" si="192"/>
        <v>0</v>
      </c>
      <c r="CG173" s="49">
        <f t="shared" si="193"/>
        <v>0</v>
      </c>
      <c r="CH173" s="49">
        <f t="shared" si="194"/>
        <v>0</v>
      </c>
      <c r="CI173" s="49">
        <f t="shared" si="195"/>
        <v>0</v>
      </c>
      <c r="CJ173" s="49">
        <f t="shared" si="196"/>
        <v>0</v>
      </c>
      <c r="CK173" s="49">
        <f t="shared" si="197"/>
        <v>0</v>
      </c>
    </row>
    <row r="174" spans="2:89" ht="12.75" customHeight="1" x14ac:dyDescent="0.2">
      <c r="B174" s="77">
        <v>40217</v>
      </c>
      <c r="C174" s="49">
        <v>54.77</v>
      </c>
      <c r="D174" s="49">
        <v>46.529998999999997</v>
      </c>
      <c r="E174" s="49">
        <v>43.869999</v>
      </c>
      <c r="F174" s="49">
        <v>53.400002000000001</v>
      </c>
      <c r="G174" s="49">
        <v>32.159999999999997</v>
      </c>
      <c r="H174" s="49">
        <v>38.360000999999997</v>
      </c>
      <c r="J174" s="78">
        <f>IF(inter=Weekly_2,J173+$C$5,IF(inter=Bi_weekly_2,J172+$C$5,IF(inter=Monthly_2,J170+$C$5,IF(inter=Quarterly_2,0,IF(inter=Yearly_2,0,IF(inter=None_2,0,0))))))</f>
        <v>59600</v>
      </c>
      <c r="K174" s="79">
        <f t="shared" si="198"/>
        <v>-54.251670451583777</v>
      </c>
      <c r="L174" s="79">
        <f t="shared" si="199"/>
        <v>-66.33356992986046</v>
      </c>
      <c r="M174" s="79">
        <f t="shared" si="200"/>
        <v>7.5163861735163664</v>
      </c>
      <c r="N174" s="79">
        <f t="shared" si="201"/>
        <v>0.98044665961970168</v>
      </c>
      <c r="O174" s="79">
        <f t="shared" si="202"/>
        <v>-232.09647495362151</v>
      </c>
      <c r="P174" s="79">
        <f t="shared" si="203"/>
        <v>-62.228266358353721</v>
      </c>
      <c r="Q174" s="79"/>
      <c r="R174" s="80">
        <f t="shared" si="161"/>
        <v>0.99053625071359819</v>
      </c>
      <c r="S174" s="80">
        <f t="shared" si="162"/>
        <v>1.4256086687184426</v>
      </c>
      <c r="T174" s="80">
        <f t="shared" si="163"/>
        <v>-0.17133317403349763</v>
      </c>
      <c r="U174" s="80">
        <f t="shared" si="164"/>
        <v>-1.8360423649791281E-2</v>
      </c>
      <c r="V174" s="80">
        <f t="shared" si="165"/>
        <v>7.2169301913439527</v>
      </c>
      <c r="W174" s="80">
        <f t="shared" si="166"/>
        <v>1.6222175374383783</v>
      </c>
      <c r="X174" s="80">
        <f t="shared" si="217"/>
        <v>380.86543728318418</v>
      </c>
      <c r="Y174" s="80">
        <f t="shared" si="218"/>
        <v>128.08940743798428</v>
      </c>
      <c r="Z174" s="80">
        <f t="shared" si="219"/>
        <v>108.68475287633355</v>
      </c>
      <c r="AA174" s="80">
        <f t="shared" si="220"/>
        <v>78.127337897852513</v>
      </c>
      <c r="AB174" s="80">
        <f t="shared" si="221"/>
        <v>463.30845771144288</v>
      </c>
      <c r="AC174" s="80">
        <f t="shared" si="222"/>
        <v>233.05525982650525</v>
      </c>
      <c r="AD174" s="80"/>
      <c r="AE174" s="80"/>
      <c r="AF174" s="80"/>
      <c r="AG174" s="80"/>
      <c r="AH174" s="80"/>
      <c r="AI174" s="80"/>
      <c r="AJ174" s="45">
        <f t="shared" si="167"/>
        <v>0</v>
      </c>
      <c r="AK174" s="45">
        <f t="shared" si="168"/>
        <v>0</v>
      </c>
      <c r="AL174" s="45">
        <f t="shared" si="169"/>
        <v>0</v>
      </c>
      <c r="AM174" s="45">
        <f t="shared" si="170"/>
        <v>0</v>
      </c>
      <c r="AN174" s="45">
        <f t="shared" si="171"/>
        <v>0</v>
      </c>
      <c r="AO174" s="45">
        <f t="shared" si="172"/>
        <v>0</v>
      </c>
      <c r="AP174" s="80">
        <f t="shared" si="173"/>
        <v>0</v>
      </c>
      <c r="AQ174" s="80">
        <f t="shared" si="174"/>
        <v>0</v>
      </c>
      <c r="AR174" s="80">
        <f t="shared" si="175"/>
        <v>0</v>
      </c>
      <c r="AS174" s="80">
        <f t="shared" si="176"/>
        <v>0</v>
      </c>
      <c r="AT174" s="80">
        <f t="shared" si="177"/>
        <v>0</v>
      </c>
      <c r="AU174" s="80">
        <f t="shared" si="178"/>
        <v>0</v>
      </c>
      <c r="AV174" s="80">
        <f t="shared" si="223"/>
        <v>13.79961992238395</v>
      </c>
      <c r="AW174" s="80">
        <f t="shared" si="224"/>
        <v>7.0961764508574463</v>
      </c>
      <c r="AX174" s="80">
        <f t="shared" si="225"/>
        <v>5.7153994765926575</v>
      </c>
      <c r="AY174" s="80">
        <f t="shared" si="226"/>
        <v>4.3279546619927594</v>
      </c>
      <c r="AZ174" s="80">
        <f t="shared" si="227"/>
        <v>26.596624152037496</v>
      </c>
      <c r="BA174" s="80">
        <f t="shared" si="228"/>
        <v>15.933171401553532</v>
      </c>
      <c r="BB174" s="80">
        <f t="shared" si="204"/>
        <v>394.66505720556813</v>
      </c>
      <c r="BC174" s="80">
        <f t="shared" si="205"/>
        <v>135.18558388884173</v>
      </c>
      <c r="BD174" s="80">
        <f t="shared" si="206"/>
        <v>114.4001523529262</v>
      </c>
      <c r="BE174" s="80">
        <f t="shared" si="207"/>
        <v>82.455292559845276</v>
      </c>
      <c r="BF174" s="80">
        <f t="shared" si="208"/>
        <v>489.9050818634804</v>
      </c>
      <c r="BG174" s="80">
        <f t="shared" si="209"/>
        <v>248.98843122805877</v>
      </c>
      <c r="BH174" s="49">
        <f t="shared" si="210"/>
        <v>0</v>
      </c>
      <c r="BI174" s="79">
        <f t="shared" si="211"/>
        <v>-61678.315360778361</v>
      </c>
      <c r="BJ174" s="79">
        <f t="shared" si="179"/>
        <v>59600</v>
      </c>
      <c r="BK174" s="44">
        <f t="shared" si="212"/>
        <v>-3.3696046148821601E-2</v>
      </c>
      <c r="BL174" s="79">
        <f t="shared" si="229"/>
        <v>2777.3152669246961</v>
      </c>
      <c r="BM174" s="49">
        <f t="shared" si="213"/>
        <v>62377.315266924699</v>
      </c>
      <c r="BN174" s="44">
        <f t="shared" si="214"/>
        <v>1.1332992836422973E-2</v>
      </c>
      <c r="BO174" s="49">
        <f t="shared" si="180"/>
        <v>3034.3815268665235</v>
      </c>
      <c r="BP174" s="49">
        <f t="shared" si="181"/>
        <v>62634.381526866528</v>
      </c>
      <c r="BQ174" s="44">
        <f t="shared" si="182"/>
        <v>1.5500847591179978E-2</v>
      </c>
      <c r="BS174" s="49">
        <f t="shared" si="183"/>
        <v>61678.315360778361</v>
      </c>
      <c r="BT174" s="49">
        <f t="shared" si="159"/>
        <v>54.77</v>
      </c>
      <c r="BU174" s="49">
        <f t="shared" si="160"/>
        <v>38.360000999999997</v>
      </c>
      <c r="BV174" s="49">
        <f t="shared" si="184"/>
        <v>406.4131488602834</v>
      </c>
      <c r="BW174" s="18">
        <f t="shared" si="185"/>
        <v>924</v>
      </c>
      <c r="BX174" s="19">
        <f t="shared" si="215"/>
        <v>0.7880733944954128</v>
      </c>
      <c r="BY174" s="49">
        <f t="shared" si="216"/>
        <v>320.28338978989302</v>
      </c>
      <c r="BZ174" s="19">
        <f t="shared" si="186"/>
        <v>0.99053625071359819</v>
      </c>
      <c r="CA174" s="19">
        <f t="shared" si="187"/>
        <v>1.4256086687184426</v>
      </c>
      <c r="CB174" s="19">
        <f t="shared" si="188"/>
        <v>0</v>
      </c>
      <c r="CC174" s="19">
        <f t="shared" si="189"/>
        <v>0</v>
      </c>
      <c r="CD174" s="19">
        <f t="shared" si="190"/>
        <v>7.2169301913439527</v>
      </c>
      <c r="CE174" s="19">
        <f t="shared" si="191"/>
        <v>1.6222175374383783</v>
      </c>
      <c r="CF174" s="49">
        <f t="shared" si="192"/>
        <v>-54.251670451583777</v>
      </c>
      <c r="CG174" s="49">
        <f t="shared" si="193"/>
        <v>-66.33356992986046</v>
      </c>
      <c r="CH174" s="49">
        <f t="shared" si="194"/>
        <v>0</v>
      </c>
      <c r="CI174" s="49">
        <f t="shared" si="195"/>
        <v>0</v>
      </c>
      <c r="CJ174" s="49">
        <f t="shared" si="196"/>
        <v>-232.09647495362151</v>
      </c>
      <c r="CK174" s="49">
        <f t="shared" si="197"/>
        <v>-62.228266358353721</v>
      </c>
    </row>
    <row r="175" spans="2:89" ht="12.75" customHeight="1" x14ac:dyDescent="0.2">
      <c r="B175" s="77">
        <v>40225</v>
      </c>
      <c r="C175" s="49">
        <v>56.52</v>
      </c>
      <c r="D175" s="49">
        <v>47.880001</v>
      </c>
      <c r="E175" s="49">
        <v>45.580002</v>
      </c>
      <c r="F175" s="49">
        <v>55.66</v>
      </c>
      <c r="G175" s="49">
        <v>32.709999000000003</v>
      </c>
      <c r="H175" s="49">
        <v>39.310001</v>
      </c>
      <c r="J175" s="78">
        <f>IF(inter=Weekly_2,J174+$C$5,IF(inter=Bi_weekly_2,0,IF(inter=Monthly_2,0,IF(inter=Quarterly_2,0,IF(inter=Yearly_2,0,IF(inter=None_2,0,0))))))</f>
        <v>0</v>
      </c>
      <c r="K175" s="79">
        <f t="shared" si="198"/>
        <v>0</v>
      </c>
      <c r="L175" s="79">
        <f t="shared" si="199"/>
        <v>0</v>
      </c>
      <c r="M175" s="79">
        <f t="shared" si="200"/>
        <v>0</v>
      </c>
      <c r="N175" s="79">
        <f t="shared" si="201"/>
        <v>0</v>
      </c>
      <c r="O175" s="79">
        <f t="shared" si="202"/>
        <v>0</v>
      </c>
      <c r="P175" s="79">
        <f t="shared" si="203"/>
        <v>0</v>
      </c>
      <c r="Q175" s="79"/>
      <c r="R175" s="80">
        <f t="shared" si="161"/>
        <v>0</v>
      </c>
      <c r="S175" s="80">
        <f t="shared" si="162"/>
        <v>0</v>
      </c>
      <c r="T175" s="80">
        <f t="shared" si="163"/>
        <v>0</v>
      </c>
      <c r="U175" s="80">
        <f t="shared" si="164"/>
        <v>0</v>
      </c>
      <c r="V175" s="80">
        <f t="shared" si="165"/>
        <v>0</v>
      </c>
      <c r="W175" s="80">
        <f t="shared" si="166"/>
        <v>0</v>
      </c>
      <c r="X175" s="80">
        <f t="shared" si="217"/>
        <v>380.86543728318418</v>
      </c>
      <c r="Y175" s="80">
        <f t="shared" si="218"/>
        <v>128.08940743798428</v>
      </c>
      <c r="Z175" s="80">
        <f t="shared" si="219"/>
        <v>108.68475287633355</v>
      </c>
      <c r="AA175" s="80">
        <f t="shared" si="220"/>
        <v>78.127337897852513</v>
      </c>
      <c r="AB175" s="80">
        <f t="shared" si="221"/>
        <v>463.30845771144288</v>
      </c>
      <c r="AC175" s="80">
        <f t="shared" si="222"/>
        <v>233.05525982650525</v>
      </c>
      <c r="AD175" s="80"/>
      <c r="AE175" s="80"/>
      <c r="AF175" s="80"/>
      <c r="AG175" s="80"/>
      <c r="AH175" s="80"/>
      <c r="AI175" s="80"/>
      <c r="AJ175" s="45">
        <f t="shared" si="167"/>
        <v>0</v>
      </c>
      <c r="AK175" s="45">
        <f t="shared" si="168"/>
        <v>0</v>
      </c>
      <c r="AL175" s="45">
        <f t="shared" si="169"/>
        <v>0</v>
      </c>
      <c r="AM175" s="45">
        <f t="shared" si="170"/>
        <v>0</v>
      </c>
      <c r="AN175" s="45">
        <f t="shared" si="171"/>
        <v>0</v>
      </c>
      <c r="AO175" s="45">
        <f t="shared" si="172"/>
        <v>0</v>
      </c>
      <c r="AP175" s="80">
        <f t="shared" si="173"/>
        <v>0</v>
      </c>
      <c r="AQ175" s="80">
        <f t="shared" si="174"/>
        <v>0</v>
      </c>
      <c r="AR175" s="80">
        <f t="shared" si="175"/>
        <v>0</v>
      </c>
      <c r="AS175" s="80">
        <f t="shared" si="176"/>
        <v>0</v>
      </c>
      <c r="AT175" s="80">
        <f t="shared" si="177"/>
        <v>0</v>
      </c>
      <c r="AU175" s="80">
        <f t="shared" si="178"/>
        <v>0</v>
      </c>
      <c r="AV175" s="80">
        <f t="shared" si="223"/>
        <v>13.79961992238395</v>
      </c>
      <c r="AW175" s="80">
        <f t="shared" si="224"/>
        <v>7.0961764508574463</v>
      </c>
      <c r="AX175" s="80">
        <f t="shared" si="225"/>
        <v>5.7153994765926575</v>
      </c>
      <c r="AY175" s="80">
        <f t="shared" si="226"/>
        <v>4.3279546619927594</v>
      </c>
      <c r="AZ175" s="80">
        <f t="shared" si="227"/>
        <v>26.596624152037496</v>
      </c>
      <c r="BA175" s="80">
        <f t="shared" si="228"/>
        <v>15.933171401553532</v>
      </c>
      <c r="BB175" s="80">
        <f t="shared" si="204"/>
        <v>394.66505720556813</v>
      </c>
      <c r="BC175" s="80">
        <f t="shared" si="205"/>
        <v>135.18558388884173</v>
      </c>
      <c r="BD175" s="80">
        <f t="shared" si="206"/>
        <v>114.4001523529262</v>
      </c>
      <c r="BE175" s="80">
        <f t="shared" si="207"/>
        <v>82.455292559845276</v>
      </c>
      <c r="BF175" s="80">
        <f t="shared" si="208"/>
        <v>489.9050818634804</v>
      </c>
      <c r="BG175" s="80">
        <f t="shared" si="209"/>
        <v>248.98843122805877</v>
      </c>
      <c r="BH175" s="49">
        <f t="shared" si="210"/>
        <v>0</v>
      </c>
      <c r="BI175" s="79">
        <f t="shared" si="211"/>
        <v>-61678.315360778361</v>
      </c>
      <c r="BJ175" s="79">
        <f t="shared" si="179"/>
        <v>61278.076037600949</v>
      </c>
      <c r="BK175" s="44">
        <f t="shared" si="212"/>
        <v>-6.4891416186754203E-3</v>
      </c>
      <c r="BL175" s="79">
        <f t="shared" si="229"/>
        <v>2777.3152669246961</v>
      </c>
      <c r="BM175" s="49">
        <f t="shared" si="213"/>
        <v>64055.391304525649</v>
      </c>
      <c r="BN175" s="44">
        <f t="shared" si="214"/>
        <v>3.8539897366569154E-2</v>
      </c>
      <c r="BO175" s="49">
        <f t="shared" si="180"/>
        <v>3117.4298627815442</v>
      </c>
      <c r="BP175" s="49">
        <f t="shared" si="181"/>
        <v>64395.505900382494</v>
      </c>
      <c r="BQ175" s="44">
        <f t="shared" si="182"/>
        <v>4.4054227546753255E-2</v>
      </c>
      <c r="BS175" s="49">
        <f t="shared" si="183"/>
        <v>61678.315360778361</v>
      </c>
      <c r="BT175" s="49">
        <f t="shared" si="159"/>
        <v>56.52</v>
      </c>
      <c r="BU175" s="49">
        <f t="shared" si="160"/>
        <v>39.310001</v>
      </c>
      <c r="BV175" s="49">
        <f t="shared" si="184"/>
        <v>0</v>
      </c>
      <c r="BW175" s="18">
        <f t="shared" si="185"/>
        <v>932</v>
      </c>
      <c r="BX175" s="19">
        <f t="shared" si="215"/>
        <v>0.78623853211009176</v>
      </c>
      <c r="BY175" s="49">
        <f t="shared" si="216"/>
        <v>0</v>
      </c>
      <c r="BZ175" s="19">
        <f t="shared" si="186"/>
        <v>0</v>
      </c>
      <c r="CA175" s="19">
        <f t="shared" si="187"/>
        <v>0</v>
      </c>
      <c r="CB175" s="19">
        <f t="shared" si="188"/>
        <v>0</v>
      </c>
      <c r="CC175" s="19">
        <f t="shared" si="189"/>
        <v>0</v>
      </c>
      <c r="CD175" s="19">
        <f t="shared" si="190"/>
        <v>0</v>
      </c>
      <c r="CE175" s="19">
        <f t="shared" si="191"/>
        <v>0</v>
      </c>
      <c r="CF175" s="49">
        <f t="shared" si="192"/>
        <v>0</v>
      </c>
      <c r="CG175" s="49">
        <f t="shared" si="193"/>
        <v>0</v>
      </c>
      <c r="CH175" s="49">
        <f t="shared" si="194"/>
        <v>0</v>
      </c>
      <c r="CI175" s="49">
        <f t="shared" si="195"/>
        <v>0</v>
      </c>
      <c r="CJ175" s="49">
        <f t="shared" si="196"/>
        <v>0</v>
      </c>
      <c r="CK175" s="49">
        <f t="shared" si="197"/>
        <v>0</v>
      </c>
    </row>
    <row r="176" spans="2:89" ht="12.75" customHeight="1" x14ac:dyDescent="0.2">
      <c r="B176" s="77">
        <v>40231</v>
      </c>
      <c r="C176" s="49">
        <v>56.23</v>
      </c>
      <c r="D176" s="49">
        <v>47.799999</v>
      </c>
      <c r="E176" s="49">
        <v>45.419998</v>
      </c>
      <c r="F176" s="49">
        <v>55.5</v>
      </c>
      <c r="G176" s="49">
        <v>32.580002</v>
      </c>
      <c r="H176" s="49">
        <v>38.959999000000003</v>
      </c>
      <c r="J176" s="78">
        <f>IF(inter=Weekly_2,J175+$C$5,IF(inter=Bi_weekly_2,J174+$C$5,IF(inter=Monthly_2,0,IF(inter=Quarterly_2,0,IF(inter=Yearly_2,0,IF(inter=None_2,0,0))))))</f>
        <v>60200</v>
      </c>
      <c r="K176" s="79">
        <f t="shared" si="198"/>
        <v>346.0635384334455</v>
      </c>
      <c r="L176" s="79">
        <f t="shared" si="199"/>
        <v>102.67354744624117</v>
      </c>
      <c r="M176" s="79">
        <f t="shared" si="200"/>
        <v>120.46125827356354</v>
      </c>
      <c r="N176" s="79">
        <f t="shared" si="201"/>
        <v>122.06725333081431</v>
      </c>
      <c r="O176" s="79">
        <f t="shared" si="202"/>
        <v>44.590478855725451</v>
      </c>
      <c r="P176" s="79">
        <f t="shared" si="203"/>
        <v>49.83268978538581</v>
      </c>
      <c r="Q176" s="79"/>
      <c r="R176" s="80">
        <f t="shared" si="161"/>
        <v>-6.1544289246566874</v>
      </c>
      <c r="S176" s="80">
        <f t="shared" si="162"/>
        <v>-2.1479822090841711</v>
      </c>
      <c r="T176" s="80">
        <f t="shared" si="163"/>
        <v>-2.6521634429302163</v>
      </c>
      <c r="U176" s="80">
        <f t="shared" si="164"/>
        <v>-2.1994099699245822</v>
      </c>
      <c r="V176" s="80">
        <f t="shared" si="165"/>
        <v>-1.3686456758267065</v>
      </c>
      <c r="W176" s="80">
        <f t="shared" si="166"/>
        <v>-1.2790731792725611</v>
      </c>
      <c r="X176" s="80">
        <f t="shared" si="217"/>
        <v>374.71100835852747</v>
      </c>
      <c r="Y176" s="80">
        <f t="shared" si="218"/>
        <v>125.9414252289001</v>
      </c>
      <c r="Z176" s="80">
        <f t="shared" si="219"/>
        <v>106.03258943340333</v>
      </c>
      <c r="AA176" s="80">
        <f t="shared" si="220"/>
        <v>75.927927927927925</v>
      </c>
      <c r="AB176" s="80">
        <f t="shared" si="221"/>
        <v>461.93981203561617</v>
      </c>
      <c r="AC176" s="80">
        <f t="shared" si="222"/>
        <v>231.77618664723269</v>
      </c>
      <c r="AD176" s="80"/>
      <c r="AE176" s="80"/>
      <c r="AF176" s="80"/>
      <c r="AG176" s="80"/>
      <c r="AH176" s="80"/>
      <c r="AI176" s="80"/>
      <c r="AJ176" s="45">
        <f t="shared" si="167"/>
        <v>0</v>
      </c>
      <c r="AK176" s="45">
        <f t="shared" si="168"/>
        <v>0</v>
      </c>
      <c r="AL176" s="45">
        <f t="shared" si="169"/>
        <v>0</v>
      </c>
      <c r="AM176" s="45">
        <f t="shared" si="170"/>
        <v>0</v>
      </c>
      <c r="AN176" s="45">
        <f t="shared" si="171"/>
        <v>0</v>
      </c>
      <c r="AO176" s="45">
        <f t="shared" si="172"/>
        <v>0</v>
      </c>
      <c r="AP176" s="80">
        <f t="shared" si="173"/>
        <v>0</v>
      </c>
      <c r="AQ176" s="80">
        <f t="shared" si="174"/>
        <v>0</v>
      </c>
      <c r="AR176" s="80">
        <f t="shared" si="175"/>
        <v>0</v>
      </c>
      <c r="AS176" s="80">
        <f t="shared" si="176"/>
        <v>0</v>
      </c>
      <c r="AT176" s="80">
        <f t="shared" si="177"/>
        <v>0</v>
      </c>
      <c r="AU176" s="80">
        <f t="shared" si="178"/>
        <v>0</v>
      </c>
      <c r="AV176" s="80">
        <f t="shared" si="223"/>
        <v>13.79961992238395</v>
      </c>
      <c r="AW176" s="80">
        <f t="shared" si="224"/>
        <v>7.0961764508574463</v>
      </c>
      <c r="AX176" s="80">
        <f t="shared" si="225"/>
        <v>5.7153994765926575</v>
      </c>
      <c r="AY176" s="80">
        <f t="shared" si="226"/>
        <v>4.3279546619927594</v>
      </c>
      <c r="AZ176" s="80">
        <f t="shared" si="227"/>
        <v>26.596624152037496</v>
      </c>
      <c r="BA176" s="80">
        <f t="shared" si="228"/>
        <v>15.933171401553532</v>
      </c>
      <c r="BB176" s="80">
        <f t="shared" si="204"/>
        <v>388.51062828091142</v>
      </c>
      <c r="BC176" s="80">
        <f t="shared" si="205"/>
        <v>133.03760167975756</v>
      </c>
      <c r="BD176" s="80">
        <f t="shared" si="206"/>
        <v>111.74798890999598</v>
      </c>
      <c r="BE176" s="80">
        <f t="shared" si="207"/>
        <v>80.255882589920688</v>
      </c>
      <c r="BF176" s="80">
        <f t="shared" si="208"/>
        <v>488.53643618765369</v>
      </c>
      <c r="BG176" s="80">
        <f t="shared" si="209"/>
        <v>247.70935804878621</v>
      </c>
      <c r="BH176" s="49">
        <f t="shared" si="210"/>
        <v>0</v>
      </c>
      <c r="BI176" s="79">
        <f t="shared" si="211"/>
        <v>-60892.626594653186</v>
      </c>
      <c r="BJ176" s="79">
        <f t="shared" si="179"/>
        <v>60200</v>
      </c>
      <c r="BK176" s="44">
        <f t="shared" si="212"/>
        <v>-1.1374556056906959E-2</v>
      </c>
      <c r="BL176" s="79">
        <f t="shared" si="229"/>
        <v>2777.3152669246961</v>
      </c>
      <c r="BM176" s="49">
        <f t="shared" si="213"/>
        <v>62977.315266924699</v>
      </c>
      <c r="BN176" s="44">
        <f t="shared" si="214"/>
        <v>3.4235486114743585E-2</v>
      </c>
      <c r="BO176" s="49">
        <f t="shared" si="180"/>
        <v>3102.2191819650811</v>
      </c>
      <c r="BP176" s="49">
        <f t="shared" si="181"/>
        <v>63302.219181965083</v>
      </c>
      <c r="BQ176" s="44">
        <f t="shared" si="182"/>
        <v>3.9571171783275849E-2</v>
      </c>
      <c r="BS176" s="49">
        <f t="shared" si="183"/>
        <v>60892.626594653186</v>
      </c>
      <c r="BT176" s="49">
        <f t="shared" si="159"/>
        <v>56.23</v>
      </c>
      <c r="BU176" s="49">
        <f t="shared" si="160"/>
        <v>38.959999000000003</v>
      </c>
      <c r="BV176" s="49">
        <f t="shared" si="184"/>
        <v>-785.68876612517579</v>
      </c>
      <c r="BW176" s="18">
        <f t="shared" si="185"/>
        <v>938</v>
      </c>
      <c r="BX176" s="19">
        <f t="shared" si="215"/>
        <v>0.78486238532110086</v>
      </c>
      <c r="BY176" s="49">
        <f t="shared" si="216"/>
        <v>-616.65755910099801</v>
      </c>
      <c r="BZ176" s="19">
        <f t="shared" si="186"/>
        <v>0</v>
      </c>
      <c r="CA176" s="19">
        <f t="shared" si="187"/>
        <v>0</v>
      </c>
      <c r="CB176" s="19">
        <f t="shared" si="188"/>
        <v>0</v>
      </c>
      <c r="CC176" s="19">
        <f t="shared" si="189"/>
        <v>0</v>
      </c>
      <c r="CD176" s="19">
        <f t="shared" si="190"/>
        <v>0</v>
      </c>
      <c r="CE176" s="19">
        <f t="shared" si="191"/>
        <v>0</v>
      </c>
      <c r="CF176" s="49">
        <f t="shared" si="192"/>
        <v>0</v>
      </c>
      <c r="CG176" s="49">
        <f t="shared" si="193"/>
        <v>0</v>
      </c>
      <c r="CH176" s="49">
        <f t="shared" si="194"/>
        <v>0</v>
      </c>
      <c r="CI176" s="49">
        <f t="shared" si="195"/>
        <v>0</v>
      </c>
      <c r="CJ176" s="49">
        <f t="shared" si="196"/>
        <v>0</v>
      </c>
      <c r="CK176" s="49">
        <f t="shared" si="197"/>
        <v>0</v>
      </c>
    </row>
    <row r="177" spans="2:89" ht="12.75" customHeight="1" x14ac:dyDescent="0.2">
      <c r="B177" s="77">
        <v>40238</v>
      </c>
      <c r="C177" s="49">
        <v>58.209999000000003</v>
      </c>
      <c r="D177" s="49">
        <v>49.16</v>
      </c>
      <c r="E177" s="49">
        <v>47.119999</v>
      </c>
      <c r="F177" s="49">
        <v>58.41</v>
      </c>
      <c r="G177" s="49">
        <v>34.110000999999997</v>
      </c>
      <c r="H177" s="49">
        <v>41.060001</v>
      </c>
      <c r="J177" s="78">
        <f>IF(inter=Weekly_2,J176+$C$5,IF(inter=Bi_weekly_2,0,IF(inter=Monthly_2,0,IF(inter=Quarterly_2,0,IF(inter=Yearly_2,0,IF(inter=None_2,0,0))))))</f>
        <v>0</v>
      </c>
      <c r="K177" s="79">
        <f t="shared" si="198"/>
        <v>0</v>
      </c>
      <c r="L177" s="79">
        <f t="shared" si="199"/>
        <v>0</v>
      </c>
      <c r="M177" s="79">
        <f t="shared" si="200"/>
        <v>0</v>
      </c>
      <c r="N177" s="79">
        <f t="shared" si="201"/>
        <v>0</v>
      </c>
      <c r="O177" s="79">
        <f t="shared" si="202"/>
        <v>0</v>
      </c>
      <c r="P177" s="79">
        <f t="shared" si="203"/>
        <v>0</v>
      </c>
      <c r="Q177" s="79"/>
      <c r="R177" s="80">
        <f t="shared" si="161"/>
        <v>0</v>
      </c>
      <c r="S177" s="80">
        <f t="shared" si="162"/>
        <v>0</v>
      </c>
      <c r="T177" s="80">
        <f t="shared" si="163"/>
        <v>0</v>
      </c>
      <c r="U177" s="80">
        <f t="shared" si="164"/>
        <v>0</v>
      </c>
      <c r="V177" s="80">
        <f t="shared" si="165"/>
        <v>0</v>
      </c>
      <c r="W177" s="80">
        <f t="shared" si="166"/>
        <v>0</v>
      </c>
      <c r="X177" s="80">
        <f t="shared" si="217"/>
        <v>374.71100835852747</v>
      </c>
      <c r="Y177" s="80">
        <f t="shared" si="218"/>
        <v>125.9414252289001</v>
      </c>
      <c r="Z177" s="80">
        <f t="shared" si="219"/>
        <v>106.03258943340333</v>
      </c>
      <c r="AA177" s="80">
        <f t="shared" si="220"/>
        <v>75.927927927927925</v>
      </c>
      <c r="AB177" s="80">
        <f t="shared" si="221"/>
        <v>461.93981203561617</v>
      </c>
      <c r="AC177" s="80">
        <f t="shared" si="222"/>
        <v>231.77618664723269</v>
      </c>
      <c r="AD177" s="80"/>
      <c r="AE177" s="80"/>
      <c r="AF177" s="80"/>
      <c r="AG177" s="80"/>
      <c r="AH177" s="80"/>
      <c r="AI177" s="80"/>
      <c r="AJ177" s="45">
        <f t="shared" si="167"/>
        <v>0</v>
      </c>
      <c r="AK177" s="45">
        <f t="shared" si="168"/>
        <v>0</v>
      </c>
      <c r="AL177" s="45">
        <f t="shared" si="169"/>
        <v>0</v>
      </c>
      <c r="AM177" s="45">
        <f t="shared" si="170"/>
        <v>0</v>
      </c>
      <c r="AN177" s="45">
        <f t="shared" si="171"/>
        <v>0</v>
      </c>
      <c r="AO177" s="45">
        <f t="shared" si="172"/>
        <v>0</v>
      </c>
      <c r="AP177" s="80">
        <f t="shared" si="173"/>
        <v>0</v>
      </c>
      <c r="AQ177" s="80">
        <f t="shared" si="174"/>
        <v>0</v>
      </c>
      <c r="AR177" s="80">
        <f t="shared" si="175"/>
        <v>0</v>
      </c>
      <c r="AS177" s="80">
        <f t="shared" si="176"/>
        <v>0</v>
      </c>
      <c r="AT177" s="80">
        <f t="shared" si="177"/>
        <v>0</v>
      </c>
      <c r="AU177" s="80">
        <f t="shared" si="178"/>
        <v>0</v>
      </c>
      <c r="AV177" s="80">
        <f t="shared" si="223"/>
        <v>13.79961992238395</v>
      </c>
      <c r="AW177" s="80">
        <f t="shared" si="224"/>
        <v>7.0961764508574463</v>
      </c>
      <c r="AX177" s="80">
        <f t="shared" si="225"/>
        <v>5.7153994765926575</v>
      </c>
      <c r="AY177" s="80">
        <f t="shared" si="226"/>
        <v>4.3279546619927594</v>
      </c>
      <c r="AZ177" s="80">
        <f t="shared" si="227"/>
        <v>26.596624152037496</v>
      </c>
      <c r="BA177" s="80">
        <f t="shared" si="228"/>
        <v>15.933171401553532</v>
      </c>
      <c r="BB177" s="80">
        <f t="shared" si="204"/>
        <v>388.51062828091142</v>
      </c>
      <c r="BC177" s="80">
        <f t="shared" si="205"/>
        <v>133.03760167975756</v>
      </c>
      <c r="BD177" s="80">
        <f t="shared" si="206"/>
        <v>111.74798890999598</v>
      </c>
      <c r="BE177" s="80">
        <f t="shared" si="207"/>
        <v>80.255882589920688</v>
      </c>
      <c r="BF177" s="80">
        <f t="shared" si="208"/>
        <v>488.53643618765369</v>
      </c>
      <c r="BG177" s="80">
        <f t="shared" si="209"/>
        <v>247.70935804878621</v>
      </c>
      <c r="BH177" s="49">
        <f t="shared" si="210"/>
        <v>0</v>
      </c>
      <c r="BI177" s="79">
        <f t="shared" si="211"/>
        <v>-60892.626594653186</v>
      </c>
      <c r="BJ177" s="79">
        <f t="shared" si="179"/>
        <v>62707.911570417491</v>
      </c>
      <c r="BK177" s="44">
        <f t="shared" si="212"/>
        <v>2.9811244436016793E-2</v>
      </c>
      <c r="BL177" s="79">
        <f t="shared" si="229"/>
        <v>2777.3152669246961</v>
      </c>
      <c r="BM177" s="49">
        <f t="shared" si="213"/>
        <v>65485.22683734219</v>
      </c>
      <c r="BN177" s="44">
        <f t="shared" si="214"/>
        <v>7.5421286607667337E-2</v>
      </c>
      <c r="BO177" s="49">
        <f t="shared" si="180"/>
        <v>3235.6562557387279</v>
      </c>
      <c r="BP177" s="49">
        <f t="shared" si="181"/>
        <v>65943.567826156213</v>
      </c>
      <c r="BQ177" s="44">
        <f t="shared" si="182"/>
        <v>8.2948322546929409E-2</v>
      </c>
      <c r="BS177" s="49">
        <f t="shared" si="183"/>
        <v>60892.626594653186</v>
      </c>
      <c r="BT177" s="49">
        <f t="shared" si="159"/>
        <v>58.209999000000003</v>
      </c>
      <c r="BU177" s="49">
        <f t="shared" si="160"/>
        <v>41.060001</v>
      </c>
      <c r="BV177" s="49">
        <f t="shared" si="184"/>
        <v>0</v>
      </c>
      <c r="BW177" s="18">
        <f t="shared" si="185"/>
        <v>945</v>
      </c>
      <c r="BX177" s="19">
        <f t="shared" si="215"/>
        <v>0.78325688073394495</v>
      </c>
      <c r="BY177" s="49">
        <f t="shared" si="216"/>
        <v>0</v>
      </c>
      <c r="BZ177" s="19">
        <f t="shared" si="186"/>
        <v>0</v>
      </c>
      <c r="CA177" s="19">
        <f t="shared" si="187"/>
        <v>0</v>
      </c>
      <c r="CB177" s="19">
        <f t="shared" si="188"/>
        <v>0</v>
      </c>
      <c r="CC177" s="19">
        <f t="shared" si="189"/>
        <v>0</v>
      </c>
      <c r="CD177" s="19">
        <f t="shared" si="190"/>
        <v>0</v>
      </c>
      <c r="CE177" s="19">
        <f t="shared" si="191"/>
        <v>0</v>
      </c>
      <c r="CF177" s="49">
        <f t="shared" si="192"/>
        <v>0</v>
      </c>
      <c r="CG177" s="49">
        <f t="shared" si="193"/>
        <v>0</v>
      </c>
      <c r="CH177" s="49">
        <f t="shared" si="194"/>
        <v>0</v>
      </c>
      <c r="CI177" s="49">
        <f t="shared" si="195"/>
        <v>0</v>
      </c>
      <c r="CJ177" s="49">
        <f t="shared" si="196"/>
        <v>0</v>
      </c>
      <c r="CK177" s="49">
        <f t="shared" si="197"/>
        <v>0</v>
      </c>
    </row>
    <row r="178" spans="2:89" ht="12.75" customHeight="1" x14ac:dyDescent="0.2">
      <c r="B178" s="77">
        <v>40245</v>
      </c>
      <c r="C178" s="49">
        <v>58.869999</v>
      </c>
      <c r="D178" s="49">
        <v>49.700001</v>
      </c>
      <c r="E178" s="49">
        <v>47.919998</v>
      </c>
      <c r="F178" s="49">
        <v>59.369999</v>
      </c>
      <c r="G178" s="49">
        <v>34.409999999999997</v>
      </c>
      <c r="H178" s="49">
        <v>41.349997999999999</v>
      </c>
      <c r="J178" s="78">
        <f>IF(inter=Weekly_2,J177+$C$5,IF(inter=Bi_weekly_2,J176+$C$5,IF(inter=Monthly_2,J174+$C$5,IF(inter=Quarterly_2,0,IF(inter=Yearly_2,0,IF(inter=None_2,0,0))))))</f>
        <v>60800</v>
      </c>
      <c r="K178" s="79">
        <f t="shared" si="198"/>
        <v>779.23668735550382</v>
      </c>
      <c r="L178" s="79">
        <f t="shared" si="199"/>
        <v>179.28895981775986</v>
      </c>
      <c r="M178" s="79">
        <f t="shared" si="200"/>
        <v>217.08147358350834</v>
      </c>
      <c r="N178" s="79">
        <f t="shared" si="201"/>
        <v>251.84100515315276</v>
      </c>
      <c r="O178" s="79">
        <f t="shared" si="202"/>
        <v>695.34893214555086</v>
      </c>
      <c r="P178" s="79">
        <f t="shared" si="203"/>
        <v>463.94485431069916</v>
      </c>
      <c r="Q178" s="79"/>
      <c r="R178" s="80">
        <f t="shared" si="161"/>
        <v>-13.236567022117731</v>
      </c>
      <c r="S178" s="80">
        <f t="shared" si="162"/>
        <v>-3.6074236662039474</v>
      </c>
      <c r="T178" s="80">
        <f t="shared" si="163"/>
        <v>-4.5300810234488811</v>
      </c>
      <c r="U178" s="80">
        <f t="shared" si="164"/>
        <v>-4.2418900016008552</v>
      </c>
      <c r="V178" s="80">
        <f t="shared" si="165"/>
        <v>-20.207757400335684</v>
      </c>
      <c r="W178" s="80">
        <f t="shared" si="166"/>
        <v>-11.21994865176775</v>
      </c>
      <c r="X178" s="80">
        <f t="shared" si="217"/>
        <v>361.47444133640971</v>
      </c>
      <c r="Y178" s="80">
        <f t="shared" si="218"/>
        <v>122.33400156269616</v>
      </c>
      <c r="Z178" s="80">
        <f t="shared" si="219"/>
        <v>101.50250840995444</v>
      </c>
      <c r="AA178" s="80">
        <f t="shared" si="220"/>
        <v>71.686037926327074</v>
      </c>
      <c r="AB178" s="80">
        <f t="shared" si="221"/>
        <v>441.73205463528046</v>
      </c>
      <c r="AC178" s="80">
        <f t="shared" si="222"/>
        <v>220.55623799546495</v>
      </c>
      <c r="AD178" s="80"/>
      <c r="AE178" s="80"/>
      <c r="AF178" s="80"/>
      <c r="AG178" s="80"/>
      <c r="AH178" s="80"/>
      <c r="AI178" s="80"/>
      <c r="AJ178" s="45">
        <f t="shared" si="167"/>
        <v>0</v>
      </c>
      <c r="AK178" s="45">
        <f t="shared" si="168"/>
        <v>0</v>
      </c>
      <c r="AL178" s="45">
        <f t="shared" si="169"/>
        <v>0</v>
      </c>
      <c r="AM178" s="45">
        <f t="shared" si="170"/>
        <v>0</v>
      </c>
      <c r="AN178" s="45">
        <f t="shared" si="171"/>
        <v>0</v>
      </c>
      <c r="AO178" s="45">
        <f t="shared" si="172"/>
        <v>0</v>
      </c>
      <c r="AP178" s="80">
        <f t="shared" si="173"/>
        <v>0</v>
      </c>
      <c r="AQ178" s="80">
        <f t="shared" si="174"/>
        <v>0</v>
      </c>
      <c r="AR178" s="80">
        <f t="shared" si="175"/>
        <v>0</v>
      </c>
      <c r="AS178" s="80">
        <f t="shared" si="176"/>
        <v>0</v>
      </c>
      <c r="AT178" s="80">
        <f t="shared" si="177"/>
        <v>0</v>
      </c>
      <c r="AU178" s="80">
        <f t="shared" si="178"/>
        <v>0</v>
      </c>
      <c r="AV178" s="80">
        <f t="shared" si="223"/>
        <v>13.79961992238395</v>
      </c>
      <c r="AW178" s="80">
        <f t="shared" si="224"/>
        <v>7.0961764508574463</v>
      </c>
      <c r="AX178" s="80">
        <f t="shared" si="225"/>
        <v>5.7153994765926575</v>
      </c>
      <c r="AY178" s="80">
        <f t="shared" si="226"/>
        <v>4.3279546619927594</v>
      </c>
      <c r="AZ178" s="80">
        <f t="shared" si="227"/>
        <v>26.596624152037496</v>
      </c>
      <c r="BA178" s="80">
        <f t="shared" si="228"/>
        <v>15.933171401553532</v>
      </c>
      <c r="BB178" s="80">
        <f t="shared" si="204"/>
        <v>375.27406125879367</v>
      </c>
      <c r="BC178" s="80">
        <f t="shared" si="205"/>
        <v>129.43017801355361</v>
      </c>
      <c r="BD178" s="80">
        <f t="shared" si="206"/>
        <v>107.2179078865471</v>
      </c>
      <c r="BE178" s="80">
        <f t="shared" si="207"/>
        <v>76.013992588319837</v>
      </c>
      <c r="BF178" s="80">
        <f t="shared" si="208"/>
        <v>468.32867878731798</v>
      </c>
      <c r="BG178" s="80">
        <f t="shared" si="209"/>
        <v>236.48940939701848</v>
      </c>
      <c r="BH178" s="49">
        <f t="shared" si="210"/>
        <v>0</v>
      </c>
      <c r="BI178" s="79">
        <f t="shared" si="211"/>
        <v>-58305.884682287011</v>
      </c>
      <c r="BJ178" s="79">
        <f t="shared" si="179"/>
        <v>60800</v>
      </c>
      <c r="BK178" s="44">
        <f t="shared" si="212"/>
        <v>4.2776390947562248E-2</v>
      </c>
      <c r="BL178" s="79">
        <f t="shared" si="229"/>
        <v>2777.3152669246961</v>
      </c>
      <c r="BM178" s="49">
        <f t="shared" si="213"/>
        <v>63577.315266924699</v>
      </c>
      <c r="BN178" s="44">
        <f t="shared" si="214"/>
        <v>9.0409923687156057E-2</v>
      </c>
      <c r="BO178" s="49">
        <f t="shared" si="180"/>
        <v>3269.922625836497</v>
      </c>
      <c r="BP178" s="49">
        <f t="shared" si="181"/>
        <v>64069.922625836494</v>
      </c>
      <c r="BQ178" s="44">
        <f t="shared" si="182"/>
        <v>9.8858596777291696E-2</v>
      </c>
      <c r="BS178" s="49">
        <f t="shared" si="183"/>
        <v>58305.884682287011</v>
      </c>
      <c r="BT178" s="49">
        <f t="shared" si="159"/>
        <v>58.869999</v>
      </c>
      <c r="BU178" s="49">
        <f t="shared" si="160"/>
        <v>41.349997999999999</v>
      </c>
      <c r="BV178" s="49">
        <f t="shared" si="184"/>
        <v>-2586.7419123661748</v>
      </c>
      <c r="BW178" s="18">
        <f t="shared" si="185"/>
        <v>952</v>
      </c>
      <c r="BX178" s="19">
        <f t="shared" si="215"/>
        <v>0.78165137614678903</v>
      </c>
      <c r="BY178" s="49">
        <f t="shared" si="216"/>
        <v>-2021.9303755375972</v>
      </c>
      <c r="BZ178" s="19">
        <f t="shared" si="186"/>
        <v>0</v>
      </c>
      <c r="CA178" s="19">
        <f t="shared" si="187"/>
        <v>0</v>
      </c>
      <c r="CB178" s="19">
        <f t="shared" si="188"/>
        <v>0</v>
      </c>
      <c r="CC178" s="19">
        <f t="shared" si="189"/>
        <v>0</v>
      </c>
      <c r="CD178" s="19">
        <f t="shared" si="190"/>
        <v>0</v>
      </c>
      <c r="CE178" s="19">
        <f t="shared" si="191"/>
        <v>0</v>
      </c>
      <c r="CF178" s="49">
        <f t="shared" si="192"/>
        <v>0</v>
      </c>
      <c r="CG178" s="49">
        <f t="shared" si="193"/>
        <v>0</v>
      </c>
      <c r="CH178" s="49">
        <f t="shared" si="194"/>
        <v>0</v>
      </c>
      <c r="CI178" s="49">
        <f t="shared" si="195"/>
        <v>0</v>
      </c>
      <c r="CJ178" s="49">
        <f t="shared" si="196"/>
        <v>0</v>
      </c>
      <c r="CK178" s="49">
        <f t="shared" si="197"/>
        <v>0</v>
      </c>
    </row>
    <row r="179" spans="2:89" ht="12.75" customHeight="1" x14ac:dyDescent="0.2">
      <c r="B179" s="77">
        <v>40252</v>
      </c>
      <c r="C179" s="49">
        <v>59.25</v>
      </c>
      <c r="D179" s="49">
        <v>50.23</v>
      </c>
      <c r="E179" s="49">
        <v>48.18</v>
      </c>
      <c r="F179" s="49">
        <v>59.619999</v>
      </c>
      <c r="G179" s="49">
        <v>34.229999999999997</v>
      </c>
      <c r="H179" s="49">
        <v>41.290000999999997</v>
      </c>
      <c r="J179" s="78">
        <f>IF(inter=Weekly_2,J178+$C$5,IF(inter=Bi_weekly_2,0,IF(inter=Monthly_2,0,IF(inter=Quarterly_2,0,IF(inter=Yearly_2,0,IF(inter=None_2,0,0))))))</f>
        <v>0</v>
      </c>
      <c r="K179" s="79">
        <f t="shared" si="198"/>
        <v>0</v>
      </c>
      <c r="L179" s="79">
        <f t="shared" si="199"/>
        <v>0</v>
      </c>
      <c r="M179" s="79">
        <f t="shared" si="200"/>
        <v>0</v>
      </c>
      <c r="N179" s="79">
        <f t="shared" si="201"/>
        <v>0</v>
      </c>
      <c r="O179" s="79">
        <f t="shared" si="202"/>
        <v>0</v>
      </c>
      <c r="P179" s="79">
        <f t="shared" si="203"/>
        <v>0</v>
      </c>
      <c r="Q179" s="79"/>
      <c r="R179" s="80">
        <f t="shared" si="161"/>
        <v>0</v>
      </c>
      <c r="S179" s="80">
        <f t="shared" si="162"/>
        <v>0</v>
      </c>
      <c r="T179" s="80">
        <f t="shared" si="163"/>
        <v>0</v>
      </c>
      <c r="U179" s="80">
        <f t="shared" si="164"/>
        <v>0</v>
      </c>
      <c r="V179" s="80">
        <f t="shared" si="165"/>
        <v>0</v>
      </c>
      <c r="W179" s="80">
        <f t="shared" si="166"/>
        <v>0</v>
      </c>
      <c r="X179" s="80">
        <f t="shared" si="217"/>
        <v>361.47444133640971</v>
      </c>
      <c r="Y179" s="80">
        <f t="shared" si="218"/>
        <v>122.33400156269616</v>
      </c>
      <c r="Z179" s="80">
        <f t="shared" si="219"/>
        <v>101.50250840995444</v>
      </c>
      <c r="AA179" s="80">
        <f t="shared" si="220"/>
        <v>71.686037926327074</v>
      </c>
      <c r="AB179" s="80">
        <f t="shared" si="221"/>
        <v>441.73205463528046</v>
      </c>
      <c r="AC179" s="80">
        <f t="shared" si="222"/>
        <v>220.55623799546495</v>
      </c>
      <c r="AD179" s="80"/>
      <c r="AE179" s="80"/>
      <c r="AF179" s="80"/>
      <c r="AG179" s="80"/>
      <c r="AH179" s="80"/>
      <c r="AI179" s="80"/>
      <c r="AJ179" s="45">
        <f t="shared" si="167"/>
        <v>0</v>
      </c>
      <c r="AK179" s="45">
        <f t="shared" si="168"/>
        <v>0</v>
      </c>
      <c r="AL179" s="45">
        <f t="shared" si="169"/>
        <v>0</v>
      </c>
      <c r="AM179" s="45">
        <f t="shared" si="170"/>
        <v>0</v>
      </c>
      <c r="AN179" s="45">
        <f t="shared" si="171"/>
        <v>0</v>
      </c>
      <c r="AO179" s="45">
        <f t="shared" si="172"/>
        <v>0</v>
      </c>
      <c r="AP179" s="80">
        <f t="shared" si="173"/>
        <v>0</v>
      </c>
      <c r="AQ179" s="80">
        <f t="shared" si="174"/>
        <v>0</v>
      </c>
      <c r="AR179" s="80">
        <f t="shared" si="175"/>
        <v>0</v>
      </c>
      <c r="AS179" s="80">
        <f t="shared" si="176"/>
        <v>0</v>
      </c>
      <c r="AT179" s="80">
        <f t="shared" si="177"/>
        <v>0</v>
      </c>
      <c r="AU179" s="80">
        <f t="shared" si="178"/>
        <v>0</v>
      </c>
      <c r="AV179" s="80">
        <f t="shared" si="223"/>
        <v>13.79961992238395</v>
      </c>
      <c r="AW179" s="80">
        <f t="shared" si="224"/>
        <v>7.0961764508574463</v>
      </c>
      <c r="AX179" s="80">
        <f t="shared" si="225"/>
        <v>5.7153994765926575</v>
      </c>
      <c r="AY179" s="80">
        <f t="shared" si="226"/>
        <v>4.3279546619927594</v>
      </c>
      <c r="AZ179" s="80">
        <f t="shared" si="227"/>
        <v>26.596624152037496</v>
      </c>
      <c r="BA179" s="80">
        <f t="shared" si="228"/>
        <v>15.933171401553532</v>
      </c>
      <c r="BB179" s="80">
        <f t="shared" si="204"/>
        <v>375.27406125879367</v>
      </c>
      <c r="BC179" s="80">
        <f t="shared" si="205"/>
        <v>129.43017801355361</v>
      </c>
      <c r="BD179" s="80">
        <f t="shared" si="206"/>
        <v>107.2179078865471</v>
      </c>
      <c r="BE179" s="80">
        <f t="shared" si="207"/>
        <v>76.013992588319837</v>
      </c>
      <c r="BF179" s="80">
        <f t="shared" si="208"/>
        <v>468.32867878731798</v>
      </c>
      <c r="BG179" s="80">
        <f t="shared" si="209"/>
        <v>236.48940939701848</v>
      </c>
      <c r="BH179" s="49">
        <f t="shared" si="210"/>
        <v>0</v>
      </c>
      <c r="BI179" s="79">
        <f t="shared" si="211"/>
        <v>-58305.884682287011</v>
      </c>
      <c r="BJ179" s="79">
        <f t="shared" si="179"/>
        <v>60953.765429904321</v>
      </c>
      <c r="BK179" s="44">
        <f t="shared" si="212"/>
        <v>4.5413610685195893E-2</v>
      </c>
      <c r="BL179" s="79">
        <f t="shared" si="229"/>
        <v>2777.3152669246961</v>
      </c>
      <c r="BM179" s="49">
        <f t="shared" si="213"/>
        <v>63731.08069682902</v>
      </c>
      <c r="BN179" s="44">
        <f t="shared" si="214"/>
        <v>9.3047143424789702E-2</v>
      </c>
      <c r="BO179" s="49">
        <f t="shared" si="180"/>
        <v>3275.7521307576662</v>
      </c>
      <c r="BP179" s="49">
        <f t="shared" si="181"/>
        <v>64229.517560661989</v>
      </c>
      <c r="BQ179" s="44">
        <f t="shared" si="182"/>
        <v>0.10159579793108842</v>
      </c>
      <c r="BS179" s="49">
        <f t="shared" si="183"/>
        <v>58305.884682287011</v>
      </c>
      <c r="BT179" s="49">
        <f t="shared" si="159"/>
        <v>59.25</v>
      </c>
      <c r="BU179" s="49">
        <f t="shared" si="160"/>
        <v>41.290000999999997</v>
      </c>
      <c r="BV179" s="49">
        <f t="shared" si="184"/>
        <v>0</v>
      </c>
      <c r="BW179" s="18">
        <f t="shared" si="185"/>
        <v>959</v>
      </c>
      <c r="BX179" s="19">
        <f t="shared" si="215"/>
        <v>0.78004587155963301</v>
      </c>
      <c r="BY179" s="49">
        <f t="shared" si="216"/>
        <v>0</v>
      </c>
      <c r="BZ179" s="19">
        <f t="shared" si="186"/>
        <v>0</v>
      </c>
      <c r="CA179" s="19">
        <f t="shared" si="187"/>
        <v>0</v>
      </c>
      <c r="CB179" s="19">
        <f t="shared" si="188"/>
        <v>0</v>
      </c>
      <c r="CC179" s="19">
        <f t="shared" si="189"/>
        <v>0</v>
      </c>
      <c r="CD179" s="19">
        <f t="shared" si="190"/>
        <v>0</v>
      </c>
      <c r="CE179" s="19">
        <f t="shared" si="191"/>
        <v>0</v>
      </c>
      <c r="CF179" s="49">
        <f t="shared" si="192"/>
        <v>0</v>
      </c>
      <c r="CG179" s="49">
        <f t="shared" si="193"/>
        <v>0</v>
      </c>
      <c r="CH179" s="49">
        <f t="shared" si="194"/>
        <v>0</v>
      </c>
      <c r="CI179" s="49">
        <f t="shared" si="195"/>
        <v>0</v>
      </c>
      <c r="CJ179" s="49">
        <f t="shared" si="196"/>
        <v>0</v>
      </c>
      <c r="CK179" s="49">
        <f t="shared" si="197"/>
        <v>0</v>
      </c>
    </row>
    <row r="180" spans="2:89" ht="12.75" customHeight="1" x14ac:dyDescent="0.2">
      <c r="B180" s="77">
        <v>40259</v>
      </c>
      <c r="C180" s="49">
        <v>59.389999000000003</v>
      </c>
      <c r="D180" s="49">
        <v>50.259998000000003</v>
      </c>
      <c r="E180" s="49">
        <v>48.43</v>
      </c>
      <c r="F180" s="49">
        <v>60.040000999999997</v>
      </c>
      <c r="G180" s="49">
        <v>34.209999000000003</v>
      </c>
      <c r="H180" s="49">
        <v>41.240001999999997</v>
      </c>
      <c r="J180" s="78">
        <f>IF(inter=Weekly_2,J179+$C$5,IF(inter=Bi_weekly_2,J178+$C$5,IF(inter=Monthly_2,0,IF(inter=Quarterly_2,0,IF(inter=Yearly_2,0,IF(inter=None_2,0,0))))))</f>
        <v>61400</v>
      </c>
      <c r="K180" s="79">
        <f t="shared" si="198"/>
        <v>-22.033290505067271</v>
      </c>
      <c r="L180" s="79">
        <f t="shared" si="199"/>
        <v>8.5066738731065925</v>
      </c>
      <c r="M180" s="79">
        <f t="shared" si="200"/>
        <v>3.7664822940932936</v>
      </c>
      <c r="N180" s="79">
        <f t="shared" si="201"/>
        <v>6.0297887827155137</v>
      </c>
      <c r="O180" s="79">
        <f t="shared" si="202"/>
        <v>-238.34685265910775</v>
      </c>
      <c r="P180" s="79">
        <f t="shared" si="203"/>
        <v>-114.26030395455018</v>
      </c>
      <c r="Q180" s="79"/>
      <c r="R180" s="80">
        <f t="shared" si="161"/>
        <v>0.37099327961038137</v>
      </c>
      <c r="S180" s="80">
        <f t="shared" si="162"/>
        <v>-0.16925336672529498</v>
      </c>
      <c r="T180" s="80">
        <f t="shared" si="163"/>
        <v>-7.7771676524742803E-2</v>
      </c>
      <c r="U180" s="80">
        <f t="shared" si="164"/>
        <v>-0.10042952502141887</v>
      </c>
      <c r="V180" s="80">
        <f t="shared" si="165"/>
        <v>6.9671692378332937</v>
      </c>
      <c r="W180" s="80">
        <f t="shared" si="166"/>
        <v>2.770618293242328</v>
      </c>
      <c r="X180" s="80">
        <f t="shared" si="217"/>
        <v>361.8454346160201</v>
      </c>
      <c r="Y180" s="80">
        <f t="shared" si="218"/>
        <v>122.16474819597086</v>
      </c>
      <c r="Z180" s="80">
        <f t="shared" si="219"/>
        <v>101.4247367334297</v>
      </c>
      <c r="AA180" s="80">
        <f t="shared" si="220"/>
        <v>71.585608401305649</v>
      </c>
      <c r="AB180" s="80">
        <f t="shared" si="221"/>
        <v>448.69922387311374</v>
      </c>
      <c r="AC180" s="80">
        <f t="shared" si="222"/>
        <v>223.32685628870729</v>
      </c>
      <c r="AD180" s="80"/>
      <c r="AE180" s="80"/>
      <c r="AF180" s="80"/>
      <c r="AG180" s="80"/>
      <c r="AH180" s="80"/>
      <c r="AI180" s="80"/>
      <c r="AJ180" s="45">
        <f t="shared" si="167"/>
        <v>0</v>
      </c>
      <c r="AK180" s="45">
        <f t="shared" si="168"/>
        <v>0</v>
      </c>
      <c r="AL180" s="45">
        <f t="shared" si="169"/>
        <v>0</v>
      </c>
      <c r="AM180" s="45">
        <f t="shared" si="170"/>
        <v>0</v>
      </c>
      <c r="AN180" s="45">
        <f t="shared" si="171"/>
        <v>0</v>
      </c>
      <c r="AO180" s="45">
        <f t="shared" si="172"/>
        <v>0</v>
      </c>
      <c r="AP180" s="80">
        <f t="shared" si="173"/>
        <v>0</v>
      </c>
      <c r="AQ180" s="80">
        <f t="shared" si="174"/>
        <v>0</v>
      </c>
      <c r="AR180" s="80">
        <f t="shared" si="175"/>
        <v>0</v>
      </c>
      <c r="AS180" s="80">
        <f t="shared" si="176"/>
        <v>0</v>
      </c>
      <c r="AT180" s="80">
        <f t="shared" si="177"/>
        <v>0</v>
      </c>
      <c r="AU180" s="80">
        <f t="shared" si="178"/>
        <v>0</v>
      </c>
      <c r="AV180" s="80">
        <f t="shared" si="223"/>
        <v>13.79961992238395</v>
      </c>
      <c r="AW180" s="80">
        <f t="shared" si="224"/>
        <v>7.0961764508574463</v>
      </c>
      <c r="AX180" s="80">
        <f t="shared" si="225"/>
        <v>5.7153994765926575</v>
      </c>
      <c r="AY180" s="80">
        <f t="shared" si="226"/>
        <v>4.3279546619927594</v>
      </c>
      <c r="AZ180" s="80">
        <f t="shared" si="227"/>
        <v>26.596624152037496</v>
      </c>
      <c r="BA180" s="80">
        <f t="shared" si="228"/>
        <v>15.933171401553532</v>
      </c>
      <c r="BB180" s="80">
        <f t="shared" si="204"/>
        <v>375.64505453840405</v>
      </c>
      <c r="BC180" s="80">
        <f t="shared" si="205"/>
        <v>129.2609246468283</v>
      </c>
      <c r="BD180" s="80">
        <f t="shared" si="206"/>
        <v>107.14013621002235</v>
      </c>
      <c r="BE180" s="80">
        <f t="shared" si="207"/>
        <v>75.913563063298412</v>
      </c>
      <c r="BF180" s="80">
        <f t="shared" si="208"/>
        <v>475.29584802515126</v>
      </c>
      <c r="BG180" s="80">
        <f t="shared" si="209"/>
        <v>239.26002769026081</v>
      </c>
      <c r="BH180" s="49">
        <f t="shared" si="210"/>
        <v>0</v>
      </c>
      <c r="BI180" s="79">
        <f t="shared" si="211"/>
        <v>-58662.222184455823</v>
      </c>
      <c r="BJ180" s="79">
        <f t="shared" si="179"/>
        <v>61400</v>
      </c>
      <c r="BK180" s="44">
        <f t="shared" si="212"/>
        <v>4.6670202961892393E-2</v>
      </c>
      <c r="BL180" s="79">
        <f t="shared" si="229"/>
        <v>2777.3152669246961</v>
      </c>
      <c r="BM180" s="49">
        <f t="shared" si="213"/>
        <v>64177.315266924699</v>
      </c>
      <c r="BN180" s="44">
        <f t="shared" si="214"/>
        <v>9.4014390814029847E-2</v>
      </c>
      <c r="BO180" s="49">
        <f t="shared" si="180"/>
        <v>3279.8149326148769</v>
      </c>
      <c r="BP180" s="49">
        <f t="shared" si="181"/>
        <v>64679.81493261487</v>
      </c>
      <c r="BQ180" s="44">
        <f t="shared" si="182"/>
        <v>0.10258037496836558</v>
      </c>
      <c r="BS180" s="49">
        <f t="shared" si="183"/>
        <v>58662.222184455823</v>
      </c>
      <c r="BT180" s="49">
        <f t="shared" si="159"/>
        <v>59.389999000000003</v>
      </c>
      <c r="BU180" s="49">
        <f t="shared" si="160"/>
        <v>41.240001999999997</v>
      </c>
      <c r="BV180" s="49">
        <f t="shared" si="184"/>
        <v>356.33750216880981</v>
      </c>
      <c r="BW180" s="18">
        <f t="shared" si="185"/>
        <v>966</v>
      </c>
      <c r="BX180" s="19">
        <f t="shared" si="215"/>
        <v>0.77844036697247709</v>
      </c>
      <c r="BY180" s="49">
        <f t="shared" si="216"/>
        <v>277.38749595434416</v>
      </c>
      <c r="BZ180" s="19">
        <f t="shared" si="186"/>
        <v>0.37099327961038137</v>
      </c>
      <c r="CA180" s="19">
        <f t="shared" si="187"/>
        <v>0</v>
      </c>
      <c r="CB180" s="19">
        <f t="shared" si="188"/>
        <v>0</v>
      </c>
      <c r="CC180" s="19">
        <f t="shared" si="189"/>
        <v>0</v>
      </c>
      <c r="CD180" s="19">
        <f t="shared" si="190"/>
        <v>6.9671692378332937</v>
      </c>
      <c r="CE180" s="19">
        <f t="shared" si="191"/>
        <v>2.770618293242328</v>
      </c>
      <c r="CF180" s="49">
        <f t="shared" si="192"/>
        <v>-22.033290505067271</v>
      </c>
      <c r="CG180" s="49">
        <f t="shared" si="193"/>
        <v>0</v>
      </c>
      <c r="CH180" s="49">
        <f t="shared" si="194"/>
        <v>0</v>
      </c>
      <c r="CI180" s="49">
        <f t="shared" si="195"/>
        <v>0</v>
      </c>
      <c r="CJ180" s="49">
        <f t="shared" si="196"/>
        <v>-238.34685265910775</v>
      </c>
      <c r="CK180" s="49">
        <f t="shared" si="197"/>
        <v>-114.26030395455018</v>
      </c>
    </row>
    <row r="181" spans="2:89" ht="12.75" customHeight="1" x14ac:dyDescent="0.2">
      <c r="B181" s="77">
        <v>40266</v>
      </c>
      <c r="C181" s="49">
        <v>60.02</v>
      </c>
      <c r="D181" s="49">
        <v>50.91</v>
      </c>
      <c r="E181" s="49">
        <v>49.07</v>
      </c>
      <c r="F181" s="49">
        <v>60.619999</v>
      </c>
      <c r="G181" s="49">
        <v>35.130001</v>
      </c>
      <c r="H181" s="49">
        <v>43.16</v>
      </c>
      <c r="J181" s="78">
        <f>IF(inter=Weekly_2,J180+$C$5,IF(inter=Bi_weekly_2,0,IF(inter=Monthly_2,0,IF(inter=Quarterly_2,0,IF(inter=Yearly_2,0,IF(inter=None_2,0,0))))))</f>
        <v>0</v>
      </c>
      <c r="K181" s="79">
        <f t="shared" si="198"/>
        <v>0</v>
      </c>
      <c r="L181" s="79">
        <f t="shared" si="199"/>
        <v>0</v>
      </c>
      <c r="M181" s="79">
        <f t="shared" si="200"/>
        <v>0</v>
      </c>
      <c r="N181" s="79">
        <f t="shared" si="201"/>
        <v>0</v>
      </c>
      <c r="O181" s="79">
        <f t="shared" si="202"/>
        <v>0</v>
      </c>
      <c r="P181" s="79">
        <f t="shared" si="203"/>
        <v>0</v>
      </c>
      <c r="Q181" s="79"/>
      <c r="R181" s="80">
        <f t="shared" si="161"/>
        <v>0</v>
      </c>
      <c r="S181" s="80">
        <f t="shared" si="162"/>
        <v>0</v>
      </c>
      <c r="T181" s="80">
        <f t="shared" si="163"/>
        <v>0</v>
      </c>
      <c r="U181" s="80">
        <f t="shared" si="164"/>
        <v>0</v>
      </c>
      <c r="V181" s="80">
        <f t="shared" si="165"/>
        <v>0</v>
      </c>
      <c r="W181" s="80">
        <f t="shared" si="166"/>
        <v>0</v>
      </c>
      <c r="X181" s="80">
        <f t="shared" si="217"/>
        <v>361.8454346160201</v>
      </c>
      <c r="Y181" s="80">
        <f t="shared" si="218"/>
        <v>122.16474819597086</v>
      </c>
      <c r="Z181" s="80">
        <f t="shared" si="219"/>
        <v>101.4247367334297</v>
      </c>
      <c r="AA181" s="80">
        <f t="shared" si="220"/>
        <v>71.585608401305649</v>
      </c>
      <c r="AB181" s="80">
        <f t="shared" si="221"/>
        <v>448.69922387311374</v>
      </c>
      <c r="AC181" s="80">
        <f t="shared" si="222"/>
        <v>223.32685628870729</v>
      </c>
      <c r="AD181" s="80">
        <v>0.23599999999999999</v>
      </c>
      <c r="AE181" s="80">
        <v>0.307</v>
      </c>
      <c r="AF181" s="80">
        <v>1.2E-2</v>
      </c>
      <c r="AG181" s="80">
        <v>2.9000000000000001E-2</v>
      </c>
      <c r="AH181" s="80">
        <v>1.0999999999999999E-2</v>
      </c>
      <c r="AI181" s="80"/>
      <c r="AJ181" s="45">
        <f t="shared" si="167"/>
        <v>85.395522569380745</v>
      </c>
      <c r="AK181" s="45">
        <f t="shared" si="168"/>
        <v>37.504577696163054</v>
      </c>
      <c r="AL181" s="45">
        <f t="shared" si="169"/>
        <v>1.2170968408011564</v>
      </c>
      <c r="AM181" s="45">
        <f t="shared" si="170"/>
        <v>2.0759826436378641</v>
      </c>
      <c r="AN181" s="45">
        <f t="shared" si="171"/>
        <v>4.9356914626042512</v>
      </c>
      <c r="AO181" s="45">
        <f t="shared" si="172"/>
        <v>0</v>
      </c>
      <c r="AP181" s="80">
        <f t="shared" si="173"/>
        <v>1.42278444800701</v>
      </c>
      <c r="AQ181" s="80">
        <f t="shared" si="174"/>
        <v>0.73668390681915252</v>
      </c>
      <c r="AR181" s="80">
        <f t="shared" si="175"/>
        <v>2.4803277782782889E-2</v>
      </c>
      <c r="AS181" s="80">
        <f t="shared" si="176"/>
        <v>3.4245837642423324E-2</v>
      </c>
      <c r="AT181" s="80">
        <f t="shared" si="177"/>
        <v>0.14049790270726867</v>
      </c>
      <c r="AU181" s="80">
        <f t="shared" si="178"/>
        <v>0</v>
      </c>
      <c r="AV181" s="80">
        <f t="shared" si="223"/>
        <v>15.22240437039096</v>
      </c>
      <c r="AW181" s="80">
        <f t="shared" si="224"/>
        <v>7.8328603576765987</v>
      </c>
      <c r="AX181" s="80">
        <f t="shared" si="225"/>
        <v>5.7402027543754404</v>
      </c>
      <c r="AY181" s="80">
        <f t="shared" si="226"/>
        <v>4.3622004996351826</v>
      </c>
      <c r="AZ181" s="80">
        <f t="shared" si="227"/>
        <v>26.737122054744763</v>
      </c>
      <c r="BA181" s="80">
        <f t="shared" si="228"/>
        <v>15.933171401553532</v>
      </c>
      <c r="BB181" s="80">
        <f t="shared" si="204"/>
        <v>377.06783898641106</v>
      </c>
      <c r="BC181" s="80">
        <f t="shared" si="205"/>
        <v>129.99760855364747</v>
      </c>
      <c r="BD181" s="80">
        <f t="shared" si="206"/>
        <v>107.16493948780514</v>
      </c>
      <c r="BE181" s="80">
        <f t="shared" si="207"/>
        <v>75.947808900940828</v>
      </c>
      <c r="BF181" s="80">
        <f t="shared" si="208"/>
        <v>475.4363459278585</v>
      </c>
      <c r="BG181" s="80">
        <f t="shared" si="209"/>
        <v>239.26002769026081</v>
      </c>
      <c r="BH181" s="49">
        <f t="shared" si="210"/>
        <v>131.12887121258706</v>
      </c>
      <c r="BI181" s="79">
        <f t="shared" si="211"/>
        <v>-58662.222184455823</v>
      </c>
      <c r="BJ181" s="79">
        <f t="shared" si="179"/>
        <v>62655.392958303659</v>
      </c>
      <c r="BK181" s="44">
        <f t="shared" si="212"/>
        <v>6.807056782287968E-2</v>
      </c>
      <c r="BL181" s="79">
        <f t="shared" si="229"/>
        <v>2908.4441381372831</v>
      </c>
      <c r="BM181" s="49">
        <f t="shared" si="213"/>
        <v>65563.837096440941</v>
      </c>
      <c r="BN181" s="44">
        <f t="shared" si="214"/>
        <v>0.11765007623277346</v>
      </c>
      <c r="BO181" s="49">
        <f t="shared" si="180"/>
        <v>3485.4787724144244</v>
      </c>
      <c r="BP181" s="49">
        <f t="shared" si="181"/>
        <v>66140.871730718078</v>
      </c>
      <c r="BQ181" s="44">
        <f t="shared" si="182"/>
        <v>0.12748663906298341</v>
      </c>
      <c r="BS181" s="49">
        <f t="shared" si="183"/>
        <v>58662.222184455823</v>
      </c>
      <c r="BT181" s="49">
        <f t="shared" si="159"/>
        <v>60.02</v>
      </c>
      <c r="BU181" s="49">
        <f t="shared" si="160"/>
        <v>43.16</v>
      </c>
      <c r="BV181" s="49">
        <f t="shared" si="184"/>
        <v>-131.12887121258706</v>
      </c>
      <c r="BW181" s="18">
        <f t="shared" si="185"/>
        <v>973</v>
      </c>
      <c r="BX181" s="19">
        <f t="shared" si="215"/>
        <v>0.77683486238532107</v>
      </c>
      <c r="BY181" s="49">
        <f t="shared" si="216"/>
        <v>-101.86547862317255</v>
      </c>
      <c r="BZ181" s="19">
        <f t="shared" si="186"/>
        <v>0</v>
      </c>
      <c r="CA181" s="19">
        <f t="shared" si="187"/>
        <v>0</v>
      </c>
      <c r="CB181" s="19">
        <f t="shared" si="188"/>
        <v>0</v>
      </c>
      <c r="CC181" s="19">
        <f t="shared" si="189"/>
        <v>0</v>
      </c>
      <c r="CD181" s="19">
        <f t="shared" si="190"/>
        <v>0</v>
      </c>
      <c r="CE181" s="19">
        <f t="shared" si="191"/>
        <v>0</v>
      </c>
      <c r="CF181" s="49">
        <f t="shared" si="192"/>
        <v>0</v>
      </c>
      <c r="CG181" s="49">
        <f t="shared" si="193"/>
        <v>0</v>
      </c>
      <c r="CH181" s="49">
        <f t="shared" si="194"/>
        <v>0</v>
      </c>
      <c r="CI181" s="49">
        <f t="shared" si="195"/>
        <v>0</v>
      </c>
      <c r="CJ181" s="49">
        <f t="shared" si="196"/>
        <v>0</v>
      </c>
      <c r="CK181" s="49">
        <f t="shared" si="197"/>
        <v>0</v>
      </c>
    </row>
    <row r="182" spans="2:89" ht="12.75" customHeight="1" x14ac:dyDescent="0.2">
      <c r="B182" s="77">
        <v>40273</v>
      </c>
      <c r="C182" s="49">
        <v>61</v>
      </c>
      <c r="D182" s="49">
        <v>51.66</v>
      </c>
      <c r="E182" s="49">
        <v>50.130001</v>
      </c>
      <c r="F182" s="49">
        <v>62.52</v>
      </c>
      <c r="G182" s="49">
        <v>35.299999</v>
      </c>
      <c r="H182" s="49">
        <v>43.68</v>
      </c>
      <c r="J182" s="78">
        <f>IF(inter=Weekly_2,J181+$C$5,IF(inter=Bi_weekly_2,J180+$C$5,IF(inter=Monthly_2,J178+$C$5,IF(inter=Quarterly_2,0,IF(inter=Yearly_2,0,IF(inter=None_2,0,0))))))</f>
        <v>62000</v>
      </c>
      <c r="K182" s="79">
        <f t="shared" si="198"/>
        <v>372.57151157722546</v>
      </c>
      <c r="L182" s="79">
        <f t="shared" si="199"/>
        <v>111.0308918038545</v>
      </c>
      <c r="M182" s="79">
        <f t="shared" si="200"/>
        <v>124.42215387156739</v>
      </c>
      <c r="N182" s="79">
        <f t="shared" si="201"/>
        <v>135.53223724962936</v>
      </c>
      <c r="O182" s="79">
        <f t="shared" si="202"/>
        <v>339.08215402169117</v>
      </c>
      <c r="P182" s="79">
        <f t="shared" si="203"/>
        <v>454.91708269073388</v>
      </c>
      <c r="Q182" s="79"/>
      <c r="R182" s="80">
        <f t="shared" si="161"/>
        <v>-6.1077296979873026</v>
      </c>
      <c r="S182" s="80">
        <f t="shared" si="162"/>
        <v>-2.1492623268264519</v>
      </c>
      <c r="T182" s="80">
        <f t="shared" si="163"/>
        <v>-2.4819898541707071</v>
      </c>
      <c r="U182" s="80">
        <f t="shared" si="164"/>
        <v>-2.1678220929243337</v>
      </c>
      <c r="V182" s="80">
        <f t="shared" si="165"/>
        <v>-9.6057270149410243</v>
      </c>
      <c r="W182" s="80">
        <f t="shared" si="166"/>
        <v>-10.414768376619365</v>
      </c>
      <c r="X182" s="80">
        <f t="shared" si="217"/>
        <v>355.73770491803282</v>
      </c>
      <c r="Y182" s="80">
        <f t="shared" si="218"/>
        <v>120.01548586914441</v>
      </c>
      <c r="Z182" s="80">
        <f t="shared" si="219"/>
        <v>98.942746879258991</v>
      </c>
      <c r="AA182" s="80">
        <f t="shared" si="220"/>
        <v>69.417786308381309</v>
      </c>
      <c r="AB182" s="80">
        <f t="shared" si="221"/>
        <v>439.09349685817273</v>
      </c>
      <c r="AC182" s="80">
        <f t="shared" si="222"/>
        <v>212.91208791208791</v>
      </c>
      <c r="AD182" s="80"/>
      <c r="AE182" s="80"/>
      <c r="AF182" s="80"/>
      <c r="AG182" s="80"/>
      <c r="AH182" s="80"/>
      <c r="AI182" s="80"/>
      <c r="AJ182" s="45">
        <f t="shared" si="167"/>
        <v>0</v>
      </c>
      <c r="AK182" s="45">
        <f t="shared" si="168"/>
        <v>0</v>
      </c>
      <c r="AL182" s="45">
        <f t="shared" si="169"/>
        <v>0</v>
      </c>
      <c r="AM182" s="45">
        <f t="shared" si="170"/>
        <v>0</v>
      </c>
      <c r="AN182" s="45">
        <f t="shared" si="171"/>
        <v>0</v>
      </c>
      <c r="AO182" s="45">
        <f t="shared" si="172"/>
        <v>0</v>
      </c>
      <c r="AP182" s="80">
        <f t="shared" si="173"/>
        <v>0</v>
      </c>
      <c r="AQ182" s="80">
        <f t="shared" si="174"/>
        <v>0</v>
      </c>
      <c r="AR182" s="80">
        <f t="shared" si="175"/>
        <v>0</v>
      </c>
      <c r="AS182" s="80">
        <f t="shared" si="176"/>
        <v>0</v>
      </c>
      <c r="AT182" s="80">
        <f t="shared" si="177"/>
        <v>0</v>
      </c>
      <c r="AU182" s="80">
        <f t="shared" si="178"/>
        <v>0</v>
      </c>
      <c r="AV182" s="80">
        <f t="shared" si="223"/>
        <v>15.22240437039096</v>
      </c>
      <c r="AW182" s="80">
        <f t="shared" si="224"/>
        <v>7.8328603576765987</v>
      </c>
      <c r="AX182" s="80">
        <f t="shared" si="225"/>
        <v>5.7402027543754404</v>
      </c>
      <c r="AY182" s="80">
        <f t="shared" si="226"/>
        <v>4.3622004996351826</v>
      </c>
      <c r="AZ182" s="80">
        <f t="shared" si="227"/>
        <v>26.737122054744763</v>
      </c>
      <c r="BA182" s="80">
        <f t="shared" si="228"/>
        <v>15.933171401553532</v>
      </c>
      <c r="BB182" s="80">
        <f t="shared" si="204"/>
        <v>370.96010928842378</v>
      </c>
      <c r="BC182" s="80">
        <f t="shared" si="205"/>
        <v>127.84834622682101</v>
      </c>
      <c r="BD182" s="80">
        <f t="shared" si="206"/>
        <v>104.68294963363444</v>
      </c>
      <c r="BE182" s="80">
        <f t="shared" si="207"/>
        <v>73.779986808016488</v>
      </c>
      <c r="BF182" s="80">
        <f t="shared" si="208"/>
        <v>465.83061891291749</v>
      </c>
      <c r="BG182" s="80">
        <f t="shared" si="209"/>
        <v>228.84525931364144</v>
      </c>
      <c r="BH182" s="49">
        <f t="shared" si="210"/>
        <v>0</v>
      </c>
      <c r="BI182" s="79">
        <f t="shared" si="211"/>
        <v>-57124.666153241116</v>
      </c>
      <c r="BJ182" s="79">
        <f t="shared" si="179"/>
        <v>62000</v>
      </c>
      <c r="BK182" s="44">
        <f t="shared" si="212"/>
        <v>8.5345511406236252E-2</v>
      </c>
      <c r="BL182" s="79">
        <f t="shared" si="229"/>
        <v>2908.4441381372831</v>
      </c>
      <c r="BM182" s="49">
        <f t="shared" si="213"/>
        <v>64908.444138137282</v>
      </c>
      <c r="BN182" s="44">
        <f t="shared" si="214"/>
        <v>0.1362594918982214</v>
      </c>
      <c r="BO182" s="49">
        <f t="shared" si="180"/>
        <v>3533.4746863408832</v>
      </c>
      <c r="BP182" s="49">
        <f t="shared" si="181"/>
        <v>65533.47468634088</v>
      </c>
      <c r="BQ182" s="44">
        <f t="shared" si="182"/>
        <v>0.1472010096399079</v>
      </c>
      <c r="BS182" s="49">
        <f t="shared" si="183"/>
        <v>57124.666153241116</v>
      </c>
      <c r="BT182" s="49">
        <f t="shared" si="159"/>
        <v>61</v>
      </c>
      <c r="BU182" s="49">
        <f t="shared" si="160"/>
        <v>43.68</v>
      </c>
      <c r="BV182" s="49">
        <f t="shared" si="184"/>
        <v>-1537.5560312147018</v>
      </c>
      <c r="BW182" s="18">
        <f t="shared" si="185"/>
        <v>980</v>
      </c>
      <c r="BX182" s="19">
        <f t="shared" si="215"/>
        <v>0.77522935779816515</v>
      </c>
      <c r="BY182" s="49">
        <f t="shared" si="216"/>
        <v>-1191.9585746572689</v>
      </c>
      <c r="BZ182" s="19">
        <f t="shared" si="186"/>
        <v>0</v>
      </c>
      <c r="CA182" s="19">
        <f t="shared" si="187"/>
        <v>0</v>
      </c>
      <c r="CB182" s="19">
        <f t="shared" si="188"/>
        <v>0</v>
      </c>
      <c r="CC182" s="19">
        <f t="shared" si="189"/>
        <v>0</v>
      </c>
      <c r="CD182" s="19">
        <f t="shared" si="190"/>
        <v>0</v>
      </c>
      <c r="CE182" s="19">
        <f t="shared" si="191"/>
        <v>0</v>
      </c>
      <c r="CF182" s="49">
        <f t="shared" si="192"/>
        <v>0</v>
      </c>
      <c r="CG182" s="49">
        <f t="shared" si="193"/>
        <v>0</v>
      </c>
      <c r="CH182" s="49">
        <f t="shared" si="194"/>
        <v>0</v>
      </c>
      <c r="CI182" s="49">
        <f t="shared" si="195"/>
        <v>0</v>
      </c>
      <c r="CJ182" s="49">
        <f t="shared" si="196"/>
        <v>0</v>
      </c>
      <c r="CK182" s="49">
        <f t="shared" si="197"/>
        <v>0</v>
      </c>
    </row>
    <row r="183" spans="2:89" ht="12.75" customHeight="1" x14ac:dyDescent="0.2">
      <c r="B183" s="77">
        <v>40280</v>
      </c>
      <c r="C183" s="49">
        <v>61.060001</v>
      </c>
      <c r="D183" s="49">
        <v>51.439999</v>
      </c>
      <c r="E183" s="49">
        <v>49.91</v>
      </c>
      <c r="F183" s="49">
        <v>63.290000999999997</v>
      </c>
      <c r="G183" s="49">
        <v>35.040000999999997</v>
      </c>
      <c r="H183" s="49">
        <v>42.549999</v>
      </c>
      <c r="J183" s="78">
        <f>IF(inter=Weekly_2,J182+$C$5,IF(inter=Bi_weekly_2,0,IF(inter=Monthly_2,0,IF(inter=Quarterly_2,0,IF(inter=Yearly_2,0,IF(inter=None_2,0,0))))))</f>
        <v>0</v>
      </c>
      <c r="K183" s="79">
        <f t="shared" si="198"/>
        <v>0</v>
      </c>
      <c r="L183" s="79">
        <f t="shared" si="199"/>
        <v>0</v>
      </c>
      <c r="M183" s="79">
        <f t="shared" si="200"/>
        <v>0</v>
      </c>
      <c r="N183" s="79">
        <f t="shared" si="201"/>
        <v>0</v>
      </c>
      <c r="O183" s="79">
        <f t="shared" si="202"/>
        <v>0</v>
      </c>
      <c r="P183" s="79">
        <f t="shared" si="203"/>
        <v>0</v>
      </c>
      <c r="Q183" s="79"/>
      <c r="R183" s="80">
        <f t="shared" si="161"/>
        <v>0</v>
      </c>
      <c r="S183" s="80">
        <f t="shared" si="162"/>
        <v>0</v>
      </c>
      <c r="T183" s="80">
        <f t="shared" si="163"/>
        <v>0</v>
      </c>
      <c r="U183" s="80">
        <f t="shared" si="164"/>
        <v>0</v>
      </c>
      <c r="V183" s="80">
        <f t="shared" si="165"/>
        <v>0</v>
      </c>
      <c r="W183" s="80">
        <f t="shared" si="166"/>
        <v>0</v>
      </c>
      <c r="X183" s="80">
        <f t="shared" si="217"/>
        <v>355.73770491803282</v>
      </c>
      <c r="Y183" s="80">
        <f t="shared" si="218"/>
        <v>120.01548586914441</v>
      </c>
      <c r="Z183" s="80">
        <f t="shared" si="219"/>
        <v>98.942746879258991</v>
      </c>
      <c r="AA183" s="80">
        <f t="shared" si="220"/>
        <v>69.417786308381309</v>
      </c>
      <c r="AB183" s="80">
        <f t="shared" si="221"/>
        <v>439.09349685817273</v>
      </c>
      <c r="AC183" s="80">
        <f t="shared" si="222"/>
        <v>212.91208791208791</v>
      </c>
      <c r="AD183" s="80"/>
      <c r="AE183" s="80"/>
      <c r="AF183" s="80"/>
      <c r="AG183" s="80"/>
      <c r="AH183" s="80"/>
      <c r="AI183" s="80"/>
      <c r="AJ183" s="45">
        <f t="shared" si="167"/>
        <v>0</v>
      </c>
      <c r="AK183" s="45">
        <f t="shared" si="168"/>
        <v>0</v>
      </c>
      <c r="AL183" s="45">
        <f t="shared" si="169"/>
        <v>0</v>
      </c>
      <c r="AM183" s="45">
        <f t="shared" si="170"/>
        <v>0</v>
      </c>
      <c r="AN183" s="45">
        <f t="shared" si="171"/>
        <v>0</v>
      </c>
      <c r="AO183" s="45">
        <f t="shared" si="172"/>
        <v>0</v>
      </c>
      <c r="AP183" s="80">
        <f t="shared" si="173"/>
        <v>0</v>
      </c>
      <c r="AQ183" s="80">
        <f t="shared" si="174"/>
        <v>0</v>
      </c>
      <c r="AR183" s="80">
        <f t="shared" si="175"/>
        <v>0</v>
      </c>
      <c r="AS183" s="80">
        <f t="shared" si="176"/>
        <v>0</v>
      </c>
      <c r="AT183" s="80">
        <f t="shared" si="177"/>
        <v>0</v>
      </c>
      <c r="AU183" s="80">
        <f t="shared" si="178"/>
        <v>0</v>
      </c>
      <c r="AV183" s="80">
        <f t="shared" si="223"/>
        <v>15.22240437039096</v>
      </c>
      <c r="AW183" s="80">
        <f t="shared" si="224"/>
        <v>7.8328603576765987</v>
      </c>
      <c r="AX183" s="80">
        <f t="shared" si="225"/>
        <v>5.7402027543754404</v>
      </c>
      <c r="AY183" s="80">
        <f t="shared" si="226"/>
        <v>4.3622004996351826</v>
      </c>
      <c r="AZ183" s="80">
        <f t="shared" si="227"/>
        <v>26.737122054744763</v>
      </c>
      <c r="BA183" s="80">
        <f t="shared" si="228"/>
        <v>15.933171401553532</v>
      </c>
      <c r="BB183" s="80">
        <f t="shared" si="204"/>
        <v>370.96010928842378</v>
      </c>
      <c r="BC183" s="80">
        <f t="shared" si="205"/>
        <v>127.84834622682101</v>
      </c>
      <c r="BD183" s="80">
        <f t="shared" si="206"/>
        <v>104.68294963363444</v>
      </c>
      <c r="BE183" s="80">
        <f t="shared" si="207"/>
        <v>73.779986808016488</v>
      </c>
      <c r="BF183" s="80">
        <f t="shared" si="208"/>
        <v>465.83061891291749</v>
      </c>
      <c r="BG183" s="80">
        <f t="shared" si="209"/>
        <v>228.84525931364144</v>
      </c>
      <c r="BH183" s="49">
        <f t="shared" si="210"/>
        <v>0</v>
      </c>
      <c r="BI183" s="79">
        <f t="shared" si="211"/>
        <v>-57124.666153241116</v>
      </c>
      <c r="BJ183" s="79">
        <f t="shared" si="179"/>
        <v>61671.871049496272</v>
      </c>
      <c r="BK183" s="44">
        <f t="shared" si="212"/>
        <v>7.9601426187015933E-2</v>
      </c>
      <c r="BL183" s="79">
        <f t="shared" si="229"/>
        <v>2908.4441381372831</v>
      </c>
      <c r="BM183" s="49">
        <f t="shared" si="213"/>
        <v>64580.315187633554</v>
      </c>
      <c r="BN183" s="44">
        <f t="shared" si="214"/>
        <v>0.13051540667900108</v>
      </c>
      <c r="BO183" s="49">
        <f t="shared" si="180"/>
        <v>3509.8047592377998</v>
      </c>
      <c r="BP183" s="49">
        <f t="shared" si="181"/>
        <v>65181.675808734064</v>
      </c>
      <c r="BQ183" s="44">
        <f t="shared" si="182"/>
        <v>0.14104256878945121</v>
      </c>
      <c r="BS183" s="49">
        <f t="shared" si="183"/>
        <v>57124.666153241116</v>
      </c>
      <c r="BT183" s="49">
        <f t="shared" si="159"/>
        <v>61.060001</v>
      </c>
      <c r="BU183" s="49">
        <f t="shared" si="160"/>
        <v>42.549999</v>
      </c>
      <c r="BV183" s="49">
        <f t="shared" si="184"/>
        <v>0</v>
      </c>
      <c r="BW183" s="18">
        <f t="shared" si="185"/>
        <v>987</v>
      </c>
      <c r="BX183" s="19">
        <f t="shared" si="215"/>
        <v>0.77362385321100913</v>
      </c>
      <c r="BY183" s="49">
        <f t="shared" si="216"/>
        <v>0</v>
      </c>
      <c r="BZ183" s="19">
        <f t="shared" si="186"/>
        <v>0</v>
      </c>
      <c r="CA183" s="19">
        <f t="shared" si="187"/>
        <v>0</v>
      </c>
      <c r="CB183" s="19">
        <f t="shared" si="188"/>
        <v>0</v>
      </c>
      <c r="CC183" s="19">
        <f t="shared" si="189"/>
        <v>0</v>
      </c>
      <c r="CD183" s="19">
        <f t="shared" si="190"/>
        <v>0</v>
      </c>
      <c r="CE183" s="19">
        <f t="shared" si="191"/>
        <v>0</v>
      </c>
      <c r="CF183" s="49">
        <f t="shared" si="192"/>
        <v>0</v>
      </c>
      <c r="CG183" s="49">
        <f t="shared" si="193"/>
        <v>0</v>
      </c>
      <c r="CH183" s="49">
        <f t="shared" si="194"/>
        <v>0</v>
      </c>
      <c r="CI183" s="49">
        <f t="shared" si="195"/>
        <v>0</v>
      </c>
      <c r="CJ183" s="49">
        <f t="shared" si="196"/>
        <v>0</v>
      </c>
      <c r="CK183" s="49">
        <f t="shared" si="197"/>
        <v>0</v>
      </c>
    </row>
    <row r="184" spans="2:89" ht="12.75" customHeight="1" x14ac:dyDescent="0.2">
      <c r="B184" s="77">
        <v>40287</v>
      </c>
      <c r="C184" s="49">
        <v>62.470001000000003</v>
      </c>
      <c r="D184" s="49">
        <v>52.549999</v>
      </c>
      <c r="E184" s="49">
        <v>52.169998</v>
      </c>
      <c r="F184" s="49">
        <v>66.050003000000004</v>
      </c>
      <c r="G184" s="49">
        <v>34.860000999999997</v>
      </c>
      <c r="H184" s="49">
        <v>43.080002</v>
      </c>
      <c r="J184" s="78">
        <f>IF(inter=Weekly_2,J183+$C$5,IF(inter=Bi_weekly_2,J182+$C$5,IF(inter=Monthly_2,0,IF(inter=Quarterly_2,0,IF(inter=Yearly_2,0,IF(inter=None_2,0,0))))))</f>
        <v>62600</v>
      </c>
      <c r="K184" s="79">
        <f t="shared" si="198"/>
        <v>312.9347819672148</v>
      </c>
      <c r="L184" s="79">
        <f t="shared" si="199"/>
        <v>46.81366240805346</v>
      </c>
      <c r="M184" s="79">
        <f t="shared" si="200"/>
        <v>153.84290680544746</v>
      </c>
      <c r="N184" s="79">
        <f t="shared" si="201"/>
        <v>203.0449939219443</v>
      </c>
      <c r="O184" s="79">
        <f t="shared" si="202"/>
        <v>-343.20026043060352</v>
      </c>
      <c r="P184" s="79">
        <f t="shared" si="203"/>
        <v>-217.74682692307761</v>
      </c>
      <c r="Q184" s="79"/>
      <c r="R184" s="80">
        <f t="shared" si="161"/>
        <v>-5.0093609245694548</v>
      </c>
      <c r="S184" s="80">
        <f t="shared" si="162"/>
        <v>-0.89084040530720965</v>
      </c>
      <c r="T184" s="80">
        <f t="shared" si="163"/>
        <v>-2.9488769925858049</v>
      </c>
      <c r="U184" s="80">
        <f t="shared" si="164"/>
        <v>-3.0741102906830191</v>
      </c>
      <c r="V184" s="80">
        <f t="shared" si="165"/>
        <v>9.8451018527108918</v>
      </c>
      <c r="W184" s="80">
        <f t="shared" si="166"/>
        <v>5.0544757849147173</v>
      </c>
      <c r="X184" s="80">
        <f t="shared" si="217"/>
        <v>350.72834399346334</v>
      </c>
      <c r="Y184" s="80">
        <f t="shared" si="218"/>
        <v>119.1246454638372</v>
      </c>
      <c r="Z184" s="80">
        <f t="shared" si="219"/>
        <v>95.993869886673181</v>
      </c>
      <c r="AA184" s="80">
        <f t="shared" si="220"/>
        <v>66.343676017698286</v>
      </c>
      <c r="AB184" s="80">
        <f t="shared" si="221"/>
        <v>448.93859871088364</v>
      </c>
      <c r="AC184" s="80">
        <f t="shared" si="222"/>
        <v>217.96656369700264</v>
      </c>
      <c r="AD184" s="80"/>
      <c r="AE184" s="80"/>
      <c r="AF184" s="80"/>
      <c r="AG184" s="80"/>
      <c r="AH184" s="80"/>
      <c r="AI184" s="80"/>
      <c r="AJ184" s="45">
        <f t="shared" si="167"/>
        <v>0</v>
      </c>
      <c r="AK184" s="45">
        <f t="shared" si="168"/>
        <v>0</v>
      </c>
      <c r="AL184" s="45">
        <f t="shared" si="169"/>
        <v>0</v>
      </c>
      <c r="AM184" s="45">
        <f t="shared" si="170"/>
        <v>0</v>
      </c>
      <c r="AN184" s="45">
        <f t="shared" si="171"/>
        <v>0</v>
      </c>
      <c r="AO184" s="45">
        <f t="shared" si="172"/>
        <v>0</v>
      </c>
      <c r="AP184" s="80">
        <f t="shared" si="173"/>
        <v>0</v>
      </c>
      <c r="AQ184" s="80">
        <f t="shared" si="174"/>
        <v>0</v>
      </c>
      <c r="AR184" s="80">
        <f t="shared" si="175"/>
        <v>0</v>
      </c>
      <c r="AS184" s="80">
        <f t="shared" si="176"/>
        <v>0</v>
      </c>
      <c r="AT184" s="80">
        <f t="shared" si="177"/>
        <v>0</v>
      </c>
      <c r="AU184" s="80">
        <f t="shared" si="178"/>
        <v>0</v>
      </c>
      <c r="AV184" s="80">
        <f t="shared" si="223"/>
        <v>15.22240437039096</v>
      </c>
      <c r="AW184" s="80">
        <f t="shared" si="224"/>
        <v>7.8328603576765987</v>
      </c>
      <c r="AX184" s="80">
        <f t="shared" si="225"/>
        <v>5.7402027543754404</v>
      </c>
      <c r="AY184" s="80">
        <f t="shared" si="226"/>
        <v>4.3622004996351826</v>
      </c>
      <c r="AZ184" s="80">
        <f t="shared" si="227"/>
        <v>26.737122054744763</v>
      </c>
      <c r="BA184" s="80">
        <f t="shared" si="228"/>
        <v>15.933171401553532</v>
      </c>
      <c r="BB184" s="80">
        <f t="shared" si="204"/>
        <v>365.9507483638543</v>
      </c>
      <c r="BC184" s="80">
        <f t="shared" si="205"/>
        <v>126.95750582151379</v>
      </c>
      <c r="BD184" s="80">
        <f t="shared" si="206"/>
        <v>101.73407264104863</v>
      </c>
      <c r="BE184" s="80">
        <f t="shared" si="207"/>
        <v>70.705876517333465</v>
      </c>
      <c r="BF184" s="80">
        <f t="shared" si="208"/>
        <v>475.6757207656284</v>
      </c>
      <c r="BG184" s="80">
        <f t="shared" si="209"/>
        <v>233.89973509855616</v>
      </c>
      <c r="BH184" s="49">
        <f t="shared" si="210"/>
        <v>0</v>
      </c>
      <c r="BI184" s="79">
        <f t="shared" si="211"/>
        <v>-56968.976895492131</v>
      </c>
      <c r="BJ184" s="79">
        <f t="shared" si="179"/>
        <v>62600</v>
      </c>
      <c r="BK184" s="44">
        <f t="shared" si="212"/>
        <v>9.8843676179015905E-2</v>
      </c>
      <c r="BL184" s="79">
        <f t="shared" si="229"/>
        <v>2908.4441381372831</v>
      </c>
      <c r="BM184" s="49">
        <f t="shared" si="213"/>
        <v>65508.444138137282</v>
      </c>
      <c r="BN184" s="44">
        <f t="shared" si="214"/>
        <v>0.14989679836291514</v>
      </c>
      <c r="BO184" s="49">
        <f t="shared" si="180"/>
        <v>3568.6072999174321</v>
      </c>
      <c r="BP184" s="49">
        <f t="shared" si="181"/>
        <v>66168.607299917436</v>
      </c>
      <c r="BQ184" s="44">
        <f t="shared" si="182"/>
        <v>0.16148491522503106</v>
      </c>
      <c r="BS184" s="49">
        <f t="shared" si="183"/>
        <v>56968.976895492131</v>
      </c>
      <c r="BT184" s="49">
        <f t="shared" si="159"/>
        <v>62.470001000000003</v>
      </c>
      <c r="BU184" s="49">
        <f t="shared" si="160"/>
        <v>43.080002</v>
      </c>
      <c r="BV184" s="49">
        <f t="shared" si="184"/>
        <v>-155.68925774897889</v>
      </c>
      <c r="BW184" s="18">
        <f t="shared" si="185"/>
        <v>994</v>
      </c>
      <c r="BX184" s="19">
        <f t="shared" si="215"/>
        <v>0.77201834862385321</v>
      </c>
      <c r="BY184" s="49">
        <f t="shared" si="216"/>
        <v>-120.19496366584012</v>
      </c>
      <c r="BZ184" s="19">
        <f t="shared" si="186"/>
        <v>0</v>
      </c>
      <c r="CA184" s="19">
        <f t="shared" si="187"/>
        <v>0</v>
      </c>
      <c r="CB184" s="19">
        <f t="shared" si="188"/>
        <v>0</v>
      </c>
      <c r="CC184" s="19">
        <f t="shared" si="189"/>
        <v>0</v>
      </c>
      <c r="CD184" s="19">
        <f t="shared" si="190"/>
        <v>9.8451018527108918</v>
      </c>
      <c r="CE184" s="19">
        <f t="shared" si="191"/>
        <v>5.0544757849147173</v>
      </c>
      <c r="CF184" s="49">
        <f t="shared" si="192"/>
        <v>0</v>
      </c>
      <c r="CG184" s="49">
        <f t="shared" si="193"/>
        <v>0</v>
      </c>
      <c r="CH184" s="49">
        <f t="shared" si="194"/>
        <v>0</v>
      </c>
      <c r="CI184" s="49">
        <f t="shared" si="195"/>
        <v>0</v>
      </c>
      <c r="CJ184" s="49">
        <f t="shared" si="196"/>
        <v>-343.20026043060352</v>
      </c>
      <c r="CK184" s="49">
        <f t="shared" si="197"/>
        <v>-217.74682692307761</v>
      </c>
    </row>
    <row r="185" spans="2:89" ht="12.75" customHeight="1" x14ac:dyDescent="0.2">
      <c r="B185" s="77">
        <v>40294</v>
      </c>
      <c r="C185" s="49">
        <v>60.889999000000003</v>
      </c>
      <c r="D185" s="49">
        <v>51.369999</v>
      </c>
      <c r="E185" s="49">
        <v>50.5</v>
      </c>
      <c r="F185" s="49">
        <v>63.759998000000003</v>
      </c>
      <c r="G185" s="49">
        <v>33.659999999999997</v>
      </c>
      <c r="H185" s="49">
        <v>42.060001</v>
      </c>
      <c r="J185" s="78">
        <f>IF(inter=Weekly_2,J184+$C$5,IF(inter=Bi_weekly_2,0,IF(inter=Monthly_2,0,IF(inter=Quarterly_2,J172+$C$5,IF(inter=Yearly_2,0,IF(inter=None_2,0,0))))))</f>
        <v>0</v>
      </c>
      <c r="K185" s="79">
        <f t="shared" si="198"/>
        <v>0</v>
      </c>
      <c r="L185" s="79">
        <f t="shared" si="199"/>
        <v>0</v>
      </c>
      <c r="M185" s="79">
        <f t="shared" si="200"/>
        <v>0</v>
      </c>
      <c r="N185" s="79">
        <f t="shared" si="201"/>
        <v>0</v>
      </c>
      <c r="O185" s="79">
        <f t="shared" si="202"/>
        <v>0</v>
      </c>
      <c r="P185" s="79">
        <f t="shared" si="203"/>
        <v>0</v>
      </c>
      <c r="Q185" s="79"/>
      <c r="R185" s="80">
        <f t="shared" si="161"/>
        <v>0</v>
      </c>
      <c r="S185" s="80">
        <f t="shared" si="162"/>
        <v>0</v>
      </c>
      <c r="T185" s="80">
        <f t="shared" si="163"/>
        <v>0</v>
      </c>
      <c r="U185" s="80">
        <f t="shared" si="164"/>
        <v>0</v>
      </c>
      <c r="V185" s="80">
        <f t="shared" si="165"/>
        <v>0</v>
      </c>
      <c r="W185" s="80">
        <f t="shared" si="166"/>
        <v>0</v>
      </c>
      <c r="X185" s="80">
        <f t="shared" si="217"/>
        <v>350.72834399346334</v>
      </c>
      <c r="Y185" s="80">
        <f t="shared" si="218"/>
        <v>119.1246454638372</v>
      </c>
      <c r="Z185" s="80">
        <f t="shared" si="219"/>
        <v>95.993869886673181</v>
      </c>
      <c r="AA185" s="80">
        <f t="shared" si="220"/>
        <v>66.343676017698286</v>
      </c>
      <c r="AB185" s="80">
        <f t="shared" si="221"/>
        <v>448.93859871088364</v>
      </c>
      <c r="AC185" s="80">
        <f t="shared" si="222"/>
        <v>217.96656369700264</v>
      </c>
      <c r="AD185" s="80"/>
      <c r="AE185" s="80"/>
      <c r="AF185" s="80"/>
      <c r="AG185" s="80"/>
      <c r="AH185" s="80"/>
      <c r="AI185" s="80"/>
      <c r="AJ185" s="45">
        <f t="shared" si="167"/>
        <v>0</v>
      </c>
      <c r="AK185" s="45">
        <f t="shared" si="168"/>
        <v>0</v>
      </c>
      <c r="AL185" s="45">
        <f t="shared" si="169"/>
        <v>0</v>
      </c>
      <c r="AM185" s="45">
        <f t="shared" si="170"/>
        <v>0</v>
      </c>
      <c r="AN185" s="45">
        <f t="shared" si="171"/>
        <v>0</v>
      </c>
      <c r="AO185" s="45">
        <f t="shared" si="172"/>
        <v>0</v>
      </c>
      <c r="AP185" s="80">
        <f t="shared" si="173"/>
        <v>0</v>
      </c>
      <c r="AQ185" s="80">
        <f t="shared" si="174"/>
        <v>0</v>
      </c>
      <c r="AR185" s="80">
        <f t="shared" si="175"/>
        <v>0</v>
      </c>
      <c r="AS185" s="80">
        <f t="shared" si="176"/>
        <v>0</v>
      </c>
      <c r="AT185" s="80">
        <f t="shared" si="177"/>
        <v>0</v>
      </c>
      <c r="AU185" s="80">
        <f t="shared" si="178"/>
        <v>0</v>
      </c>
      <c r="AV185" s="80">
        <f t="shared" si="223"/>
        <v>15.22240437039096</v>
      </c>
      <c r="AW185" s="80">
        <f t="shared" si="224"/>
        <v>7.8328603576765987</v>
      </c>
      <c r="AX185" s="80">
        <f t="shared" si="225"/>
        <v>5.7402027543754404</v>
      </c>
      <c r="AY185" s="80">
        <f t="shared" si="226"/>
        <v>4.3622004996351826</v>
      </c>
      <c r="AZ185" s="80">
        <f t="shared" si="227"/>
        <v>26.737122054744763</v>
      </c>
      <c r="BA185" s="80">
        <f t="shared" si="228"/>
        <v>15.933171401553532</v>
      </c>
      <c r="BB185" s="80">
        <f t="shared" si="204"/>
        <v>365.9507483638543</v>
      </c>
      <c r="BC185" s="80">
        <f t="shared" si="205"/>
        <v>126.95750582151379</v>
      </c>
      <c r="BD185" s="80">
        <f t="shared" si="206"/>
        <v>101.73407264104863</v>
      </c>
      <c r="BE185" s="80">
        <f t="shared" si="207"/>
        <v>70.705876517333465</v>
      </c>
      <c r="BF185" s="80">
        <f t="shared" si="208"/>
        <v>475.6757207656284</v>
      </c>
      <c r="BG185" s="80">
        <f t="shared" si="209"/>
        <v>233.89973509855616</v>
      </c>
      <c r="BH185" s="49">
        <f t="shared" si="210"/>
        <v>0</v>
      </c>
      <c r="BI185" s="79">
        <f t="shared" si="211"/>
        <v>-56968.976895492131</v>
      </c>
      <c r="BJ185" s="79">
        <f t="shared" si="179"/>
        <v>60831.991632535224</v>
      </c>
      <c r="BK185" s="44">
        <f t="shared" si="212"/>
        <v>6.7809094485401733E-2</v>
      </c>
      <c r="BL185" s="79">
        <f t="shared" si="229"/>
        <v>2908.4441381372831</v>
      </c>
      <c r="BM185" s="49">
        <f t="shared" si="213"/>
        <v>63740.435770672506</v>
      </c>
      <c r="BN185" s="44">
        <f t="shared" si="214"/>
        <v>0.11886221666930075</v>
      </c>
      <c r="BO185" s="49">
        <f t="shared" si="180"/>
        <v>3467.4010833052071</v>
      </c>
      <c r="BP185" s="49">
        <f t="shared" si="181"/>
        <v>64299.39271584044</v>
      </c>
      <c r="BQ185" s="44">
        <f t="shared" si="182"/>
        <v>0.12867381897687458</v>
      </c>
      <c r="BS185" s="49">
        <f t="shared" si="183"/>
        <v>56968.976895492131</v>
      </c>
      <c r="BT185" s="49">
        <f t="shared" si="159"/>
        <v>60.889999000000003</v>
      </c>
      <c r="BU185" s="49">
        <f t="shared" si="160"/>
        <v>42.060001</v>
      </c>
      <c r="BV185" s="49">
        <f t="shared" si="184"/>
        <v>0</v>
      </c>
      <c r="BW185" s="18">
        <f t="shared" si="185"/>
        <v>1001</v>
      </c>
      <c r="BX185" s="19">
        <f t="shared" si="215"/>
        <v>0.7704128440366973</v>
      </c>
      <c r="BY185" s="49">
        <f t="shared" si="216"/>
        <v>0</v>
      </c>
      <c r="BZ185" s="19">
        <f t="shared" si="186"/>
        <v>0</v>
      </c>
      <c r="CA185" s="19">
        <f t="shared" si="187"/>
        <v>0</v>
      </c>
      <c r="CB185" s="19">
        <f t="shared" si="188"/>
        <v>0</v>
      </c>
      <c r="CC185" s="19">
        <f t="shared" si="189"/>
        <v>0</v>
      </c>
      <c r="CD185" s="19">
        <f t="shared" si="190"/>
        <v>0</v>
      </c>
      <c r="CE185" s="19">
        <f t="shared" si="191"/>
        <v>0</v>
      </c>
      <c r="CF185" s="49">
        <f t="shared" si="192"/>
        <v>0</v>
      </c>
      <c r="CG185" s="49">
        <f t="shared" si="193"/>
        <v>0</v>
      </c>
      <c r="CH185" s="49">
        <f t="shared" si="194"/>
        <v>0</v>
      </c>
      <c r="CI185" s="49">
        <f t="shared" si="195"/>
        <v>0</v>
      </c>
      <c r="CJ185" s="49">
        <f t="shared" si="196"/>
        <v>0</v>
      </c>
      <c r="CK185" s="49">
        <f t="shared" si="197"/>
        <v>0</v>
      </c>
    </row>
    <row r="186" spans="2:89" ht="12.75" customHeight="1" x14ac:dyDescent="0.2">
      <c r="B186" s="77">
        <v>40301</v>
      </c>
      <c r="C186" s="49">
        <v>56.619999</v>
      </c>
      <c r="D186" s="49">
        <v>48.209999000000003</v>
      </c>
      <c r="E186" s="49">
        <v>46.580002</v>
      </c>
      <c r="F186" s="49">
        <v>58.32</v>
      </c>
      <c r="G186" s="49">
        <v>30.360001</v>
      </c>
      <c r="H186" s="49">
        <v>38.409999999999997</v>
      </c>
      <c r="J186" s="78">
        <f>IF(inter=Weekly_2,J185+$C$5,IF(inter=Bi_weekly_2,J184+$C$5,IF(inter=Monthly_2,J182+$C$5,IF(inter=Quarterly_2,0,IF(inter=Yearly_2,0,IF(inter=None_2,0,0))))))</f>
        <v>63200</v>
      </c>
      <c r="K186" s="79">
        <f t="shared" si="198"/>
        <v>-2261.7615138184483</v>
      </c>
      <c r="L186" s="79">
        <f t="shared" si="199"/>
        <v>-577.00096131305418</v>
      </c>
      <c r="M186" s="79">
        <f t="shared" si="200"/>
        <v>-584.60534869102321</v>
      </c>
      <c r="N186" s="79">
        <f t="shared" si="201"/>
        <v>-554.83681464783604</v>
      </c>
      <c r="O186" s="79">
        <f t="shared" si="202"/>
        <v>-2170.223694198974</v>
      </c>
      <c r="P186" s="79">
        <f t="shared" si="203"/>
        <v>-1107.9042883981292</v>
      </c>
      <c r="Q186" s="79"/>
      <c r="R186" s="80">
        <f t="shared" si="161"/>
        <v>39.946336166810042</v>
      </c>
      <c r="S186" s="80">
        <f t="shared" si="162"/>
        <v>11.968491459895159</v>
      </c>
      <c r="T186" s="80">
        <f t="shared" si="163"/>
        <v>12.550565126446822</v>
      </c>
      <c r="U186" s="80">
        <f t="shared" si="164"/>
        <v>9.5136628026034984</v>
      </c>
      <c r="V186" s="80">
        <f t="shared" si="165"/>
        <v>71.48299152555937</v>
      </c>
      <c r="W186" s="80">
        <f t="shared" si="166"/>
        <v>28.844162676337653</v>
      </c>
      <c r="X186" s="80">
        <f t="shared" si="217"/>
        <v>390.6746801602734</v>
      </c>
      <c r="Y186" s="80">
        <f t="shared" si="218"/>
        <v>131.09313692373235</v>
      </c>
      <c r="Z186" s="80">
        <f t="shared" si="219"/>
        <v>108.54443501312001</v>
      </c>
      <c r="AA186" s="80">
        <f t="shared" si="220"/>
        <v>75.857338820301777</v>
      </c>
      <c r="AB186" s="80">
        <f t="shared" si="221"/>
        <v>520.42159023644297</v>
      </c>
      <c r="AC186" s="80">
        <f t="shared" si="222"/>
        <v>246.81072637334029</v>
      </c>
      <c r="AD186" s="80"/>
      <c r="AE186" s="80"/>
      <c r="AF186" s="80"/>
      <c r="AG186" s="80"/>
      <c r="AH186" s="80"/>
      <c r="AI186" s="80"/>
      <c r="AJ186" s="45">
        <f t="shared" si="167"/>
        <v>0</v>
      </c>
      <c r="AK186" s="45">
        <f t="shared" si="168"/>
        <v>0</v>
      </c>
      <c r="AL186" s="45">
        <f t="shared" si="169"/>
        <v>0</v>
      </c>
      <c r="AM186" s="45">
        <f t="shared" si="170"/>
        <v>0</v>
      </c>
      <c r="AN186" s="45">
        <f t="shared" si="171"/>
        <v>0</v>
      </c>
      <c r="AO186" s="45">
        <f t="shared" si="172"/>
        <v>0</v>
      </c>
      <c r="AP186" s="80">
        <f t="shared" si="173"/>
        <v>0</v>
      </c>
      <c r="AQ186" s="80">
        <f t="shared" si="174"/>
        <v>0</v>
      </c>
      <c r="AR186" s="80">
        <f t="shared" si="175"/>
        <v>0</v>
      </c>
      <c r="AS186" s="80">
        <f t="shared" si="176"/>
        <v>0</v>
      </c>
      <c r="AT186" s="80">
        <f t="shared" si="177"/>
        <v>0</v>
      </c>
      <c r="AU186" s="80">
        <f t="shared" si="178"/>
        <v>0</v>
      </c>
      <c r="AV186" s="80">
        <f t="shared" si="223"/>
        <v>15.22240437039096</v>
      </c>
      <c r="AW186" s="80">
        <f t="shared" si="224"/>
        <v>7.8328603576765987</v>
      </c>
      <c r="AX186" s="80">
        <f t="shared" si="225"/>
        <v>5.7402027543754404</v>
      </c>
      <c r="AY186" s="80">
        <f t="shared" si="226"/>
        <v>4.3622004996351826</v>
      </c>
      <c r="AZ186" s="80">
        <f t="shared" si="227"/>
        <v>26.737122054744763</v>
      </c>
      <c r="BA186" s="80">
        <f t="shared" si="228"/>
        <v>15.933171401553532</v>
      </c>
      <c r="BB186" s="80">
        <f t="shared" si="204"/>
        <v>405.89708453066436</v>
      </c>
      <c r="BC186" s="80">
        <f t="shared" si="205"/>
        <v>138.92599728140894</v>
      </c>
      <c r="BD186" s="80">
        <f t="shared" si="206"/>
        <v>114.28463776749545</v>
      </c>
      <c r="BE186" s="80">
        <f t="shared" si="207"/>
        <v>80.219539319936956</v>
      </c>
      <c r="BF186" s="80">
        <f t="shared" si="208"/>
        <v>547.15871229118773</v>
      </c>
      <c r="BG186" s="80">
        <f t="shared" si="209"/>
        <v>262.74389777489381</v>
      </c>
      <c r="BH186" s="49">
        <f t="shared" si="210"/>
        <v>0</v>
      </c>
      <c r="BI186" s="79">
        <f t="shared" si="211"/>
        <v>-64225.309516559602</v>
      </c>
      <c r="BJ186" s="79">
        <f t="shared" si="179"/>
        <v>63200</v>
      </c>
      <c r="BK186" s="44">
        <f t="shared" si="212"/>
        <v>-1.5964259639655642E-2</v>
      </c>
      <c r="BL186" s="79">
        <f t="shared" si="229"/>
        <v>2908.4441381372831</v>
      </c>
      <c r="BM186" s="49">
        <f t="shared" si="213"/>
        <v>66108.444138137289</v>
      </c>
      <c r="BN186" s="44">
        <f t="shared" si="214"/>
        <v>2.9320755878835314E-2</v>
      </c>
      <c r="BO186" s="49">
        <f t="shared" si="180"/>
        <v>3185.0290650106417</v>
      </c>
      <c r="BP186" s="49">
        <f t="shared" si="181"/>
        <v>66385.029065010633</v>
      </c>
      <c r="BQ186" s="44">
        <f t="shared" si="182"/>
        <v>3.3627234570106301E-2</v>
      </c>
      <c r="BS186" s="49">
        <f t="shared" si="183"/>
        <v>64225.309516559602</v>
      </c>
      <c r="BT186" s="49">
        <f t="shared" si="159"/>
        <v>56.619999</v>
      </c>
      <c r="BU186" s="49">
        <f t="shared" si="160"/>
        <v>38.409999999999997</v>
      </c>
      <c r="BV186" s="49">
        <f t="shared" si="184"/>
        <v>7256.332621067465</v>
      </c>
      <c r="BW186" s="18">
        <f t="shared" si="185"/>
        <v>1008</v>
      </c>
      <c r="BX186" s="19">
        <f t="shared" si="215"/>
        <v>0.76880733944954127</v>
      </c>
      <c r="BY186" s="49">
        <f t="shared" si="216"/>
        <v>5578.7217765637943</v>
      </c>
      <c r="BZ186" s="19">
        <f t="shared" si="186"/>
        <v>39.946336166810042</v>
      </c>
      <c r="CA186" s="19">
        <f t="shared" si="187"/>
        <v>11.968491459895159</v>
      </c>
      <c r="CB186" s="19">
        <f t="shared" si="188"/>
        <v>12.550565126446822</v>
      </c>
      <c r="CC186" s="19">
        <f t="shared" si="189"/>
        <v>9.5136628026034984</v>
      </c>
      <c r="CD186" s="19">
        <f t="shared" si="190"/>
        <v>71.48299152555937</v>
      </c>
      <c r="CE186" s="19">
        <f t="shared" si="191"/>
        <v>28.844162676337653</v>
      </c>
      <c r="CF186" s="49">
        <f t="shared" si="192"/>
        <v>-2261.7615138184483</v>
      </c>
      <c r="CG186" s="49">
        <f t="shared" si="193"/>
        <v>-577.00096131305418</v>
      </c>
      <c r="CH186" s="49">
        <f t="shared" si="194"/>
        <v>-584.60534869102321</v>
      </c>
      <c r="CI186" s="49">
        <f t="shared" si="195"/>
        <v>-554.83681464783604</v>
      </c>
      <c r="CJ186" s="49">
        <f t="shared" si="196"/>
        <v>-2170.223694198974</v>
      </c>
      <c r="CK186" s="49">
        <f t="shared" si="197"/>
        <v>-1107.9042883981292</v>
      </c>
    </row>
    <row r="187" spans="2:89" ht="12.75" customHeight="1" x14ac:dyDescent="0.2">
      <c r="B187" s="77">
        <v>40308</v>
      </c>
      <c r="C187" s="49">
        <v>58.330002</v>
      </c>
      <c r="D187" s="49">
        <v>49.330002</v>
      </c>
      <c r="E187" s="49">
        <v>48.240001999999997</v>
      </c>
      <c r="F187" s="49">
        <v>61.59</v>
      </c>
      <c r="G187" s="49">
        <v>30.950001</v>
      </c>
      <c r="H187" s="49">
        <v>39.669998</v>
      </c>
      <c r="J187" s="78">
        <f>IF(inter=Weekly_2,J186+$C$5,IF(inter=Bi_weekly_2,0,IF(inter=Monthly_2,0,IF(inter=Quarterly_2,0,IF(inter=Yearly_2,0,IF(inter=None_2,0,0))))))</f>
        <v>0</v>
      </c>
      <c r="K187" s="79">
        <f t="shared" si="198"/>
        <v>0</v>
      </c>
      <c r="L187" s="79">
        <f t="shared" si="199"/>
        <v>0</v>
      </c>
      <c r="M187" s="79">
        <f t="shared" si="200"/>
        <v>0</v>
      </c>
      <c r="N187" s="79">
        <f t="shared" si="201"/>
        <v>0</v>
      </c>
      <c r="O187" s="79">
        <f t="shared" si="202"/>
        <v>0</v>
      </c>
      <c r="P187" s="79">
        <f t="shared" si="203"/>
        <v>0</v>
      </c>
      <c r="Q187" s="79"/>
      <c r="R187" s="80">
        <f t="shared" si="161"/>
        <v>0</v>
      </c>
      <c r="S187" s="80">
        <f t="shared" si="162"/>
        <v>0</v>
      </c>
      <c r="T187" s="80">
        <f t="shared" si="163"/>
        <v>0</v>
      </c>
      <c r="U187" s="80">
        <f t="shared" si="164"/>
        <v>0</v>
      </c>
      <c r="V187" s="80">
        <f t="shared" si="165"/>
        <v>0</v>
      </c>
      <c r="W187" s="80">
        <f t="shared" si="166"/>
        <v>0</v>
      </c>
      <c r="X187" s="80">
        <f t="shared" si="217"/>
        <v>390.6746801602734</v>
      </c>
      <c r="Y187" s="80">
        <f t="shared" si="218"/>
        <v>131.09313692373235</v>
      </c>
      <c r="Z187" s="80">
        <f t="shared" si="219"/>
        <v>108.54443501312001</v>
      </c>
      <c r="AA187" s="80">
        <f t="shared" si="220"/>
        <v>75.857338820301777</v>
      </c>
      <c r="AB187" s="80">
        <f t="shared" si="221"/>
        <v>520.42159023644297</v>
      </c>
      <c r="AC187" s="80">
        <f t="shared" si="222"/>
        <v>246.81072637334029</v>
      </c>
      <c r="AD187" s="80"/>
      <c r="AE187" s="80"/>
      <c r="AF187" s="80"/>
      <c r="AG187" s="80"/>
      <c r="AH187" s="80"/>
      <c r="AI187" s="80"/>
      <c r="AJ187" s="45">
        <f t="shared" si="167"/>
        <v>0</v>
      </c>
      <c r="AK187" s="45">
        <f t="shared" si="168"/>
        <v>0</v>
      </c>
      <c r="AL187" s="45">
        <f t="shared" si="169"/>
        <v>0</v>
      </c>
      <c r="AM187" s="45">
        <f t="shared" si="170"/>
        <v>0</v>
      </c>
      <c r="AN187" s="45">
        <f t="shared" si="171"/>
        <v>0</v>
      </c>
      <c r="AO187" s="45">
        <f t="shared" si="172"/>
        <v>0</v>
      </c>
      <c r="AP187" s="80">
        <f t="shared" si="173"/>
        <v>0</v>
      </c>
      <c r="AQ187" s="80">
        <f t="shared" si="174"/>
        <v>0</v>
      </c>
      <c r="AR187" s="80">
        <f t="shared" si="175"/>
        <v>0</v>
      </c>
      <c r="AS187" s="80">
        <f t="shared" si="176"/>
        <v>0</v>
      </c>
      <c r="AT187" s="80">
        <f t="shared" si="177"/>
        <v>0</v>
      </c>
      <c r="AU187" s="80">
        <f t="shared" si="178"/>
        <v>0</v>
      </c>
      <c r="AV187" s="80">
        <f t="shared" si="223"/>
        <v>15.22240437039096</v>
      </c>
      <c r="AW187" s="80">
        <f t="shared" si="224"/>
        <v>7.8328603576765987</v>
      </c>
      <c r="AX187" s="80">
        <f t="shared" si="225"/>
        <v>5.7402027543754404</v>
      </c>
      <c r="AY187" s="80">
        <f t="shared" si="226"/>
        <v>4.3622004996351826</v>
      </c>
      <c r="AZ187" s="80">
        <f t="shared" si="227"/>
        <v>26.737122054744763</v>
      </c>
      <c r="BA187" s="80">
        <f t="shared" si="228"/>
        <v>15.933171401553532</v>
      </c>
      <c r="BB187" s="80">
        <f t="shared" si="204"/>
        <v>405.89708453066436</v>
      </c>
      <c r="BC187" s="80">
        <f t="shared" si="205"/>
        <v>138.92599728140894</v>
      </c>
      <c r="BD187" s="80">
        <f t="shared" si="206"/>
        <v>114.28463776749545</v>
      </c>
      <c r="BE187" s="80">
        <f t="shared" si="207"/>
        <v>80.219539319936956</v>
      </c>
      <c r="BF187" s="80">
        <f t="shared" si="208"/>
        <v>547.15871229118773</v>
      </c>
      <c r="BG187" s="80">
        <f t="shared" si="209"/>
        <v>262.74389777489381</v>
      </c>
      <c r="BH187" s="49">
        <f t="shared" si="210"/>
        <v>0</v>
      </c>
      <c r="BI187" s="79">
        <f t="shared" si="211"/>
        <v>-64225.309516559602</v>
      </c>
      <c r="BJ187" s="79">
        <f t="shared" si="179"/>
        <v>65061.146601644723</v>
      </c>
      <c r="BK187" s="44">
        <f t="shared" si="212"/>
        <v>1.3014138684214638E-2</v>
      </c>
      <c r="BL187" s="79">
        <f t="shared" si="229"/>
        <v>2908.4441381372831</v>
      </c>
      <c r="BM187" s="49">
        <f t="shared" si="213"/>
        <v>67969.590739782012</v>
      </c>
      <c r="BN187" s="44">
        <f t="shared" si="214"/>
        <v>5.8299154202705594E-2</v>
      </c>
      <c r="BO187" s="49">
        <f t="shared" si="180"/>
        <v>3279.476047568387</v>
      </c>
      <c r="BP187" s="49">
        <f t="shared" si="181"/>
        <v>68340.62264921311</v>
      </c>
      <c r="BQ187" s="44">
        <f t="shared" si="182"/>
        <v>6.4076189957362972E-2</v>
      </c>
      <c r="BS187" s="49">
        <f t="shared" si="183"/>
        <v>64225.309516559602</v>
      </c>
      <c r="BT187" s="49">
        <f t="shared" si="159"/>
        <v>58.330002</v>
      </c>
      <c r="BU187" s="49">
        <f t="shared" si="160"/>
        <v>39.669998</v>
      </c>
      <c r="BV187" s="49">
        <f t="shared" si="184"/>
        <v>0</v>
      </c>
      <c r="BW187" s="18">
        <f t="shared" si="185"/>
        <v>1015</v>
      </c>
      <c r="BX187" s="19">
        <f t="shared" si="215"/>
        <v>0.76720183486238536</v>
      </c>
      <c r="BY187" s="49">
        <f t="shared" si="216"/>
        <v>0</v>
      </c>
      <c r="BZ187" s="19">
        <f t="shared" si="186"/>
        <v>0</v>
      </c>
      <c r="CA187" s="19">
        <f t="shared" si="187"/>
        <v>0</v>
      </c>
      <c r="CB187" s="19">
        <f t="shared" si="188"/>
        <v>0</v>
      </c>
      <c r="CC187" s="19">
        <f t="shared" si="189"/>
        <v>0</v>
      </c>
      <c r="CD187" s="19">
        <f t="shared" si="190"/>
        <v>0</v>
      </c>
      <c r="CE187" s="19">
        <f t="shared" si="191"/>
        <v>0</v>
      </c>
      <c r="CF187" s="49">
        <f t="shared" si="192"/>
        <v>0</v>
      </c>
      <c r="CG187" s="49">
        <f t="shared" si="193"/>
        <v>0</v>
      </c>
      <c r="CH187" s="49">
        <f t="shared" si="194"/>
        <v>0</v>
      </c>
      <c r="CI187" s="49">
        <f t="shared" si="195"/>
        <v>0</v>
      </c>
      <c r="CJ187" s="49">
        <f t="shared" si="196"/>
        <v>0</v>
      </c>
      <c r="CK187" s="49">
        <f t="shared" si="197"/>
        <v>0</v>
      </c>
    </row>
    <row r="188" spans="2:89" ht="12.75" customHeight="1" x14ac:dyDescent="0.2">
      <c r="B188" s="77">
        <v>40315</v>
      </c>
      <c r="C188" s="49">
        <v>55.709999000000003</v>
      </c>
      <c r="D188" s="49">
        <v>47.220001000000003</v>
      </c>
      <c r="E188" s="49">
        <v>45.810001</v>
      </c>
      <c r="F188" s="49">
        <v>57.650002000000001</v>
      </c>
      <c r="G188" s="49">
        <v>29.969999000000001</v>
      </c>
      <c r="H188" s="49">
        <v>37.409999999999997</v>
      </c>
      <c r="J188" s="78">
        <f>IF(inter=Weekly_2,J187+$C$5,IF(inter=Bi_weekly_2,J186+$C$5,IF(inter=Monthly_2,0,IF(inter=Quarterly_2,0,IF(inter=Yearly_2,0,IF(inter=None_2,0,0))))))</f>
        <v>63800</v>
      </c>
      <c r="K188" s="79">
        <f t="shared" si="198"/>
        <v>-565.51395894584857</v>
      </c>
      <c r="L188" s="79">
        <f t="shared" si="199"/>
        <v>-189.78194336822162</v>
      </c>
      <c r="M188" s="79">
        <f t="shared" si="200"/>
        <v>-131.57932350453757</v>
      </c>
      <c r="N188" s="79">
        <f t="shared" si="201"/>
        <v>-92.824265294924771</v>
      </c>
      <c r="O188" s="79">
        <f t="shared" si="202"/>
        <v>-352.96546103539367</v>
      </c>
      <c r="P188" s="79">
        <f t="shared" si="203"/>
        <v>-336.81072637334</v>
      </c>
      <c r="Q188" s="79"/>
      <c r="R188" s="80">
        <f t="shared" si="161"/>
        <v>10.151031575962666</v>
      </c>
      <c r="S188" s="80">
        <f t="shared" si="162"/>
        <v>4.0191007909597802</v>
      </c>
      <c r="T188" s="80">
        <f t="shared" si="163"/>
        <v>2.8722837946355333</v>
      </c>
      <c r="U188" s="80">
        <f t="shared" si="164"/>
        <v>1.6101346413643622</v>
      </c>
      <c r="V188" s="80">
        <f t="shared" si="165"/>
        <v>11.777293053476367</v>
      </c>
      <c r="W188" s="80">
        <f t="shared" si="166"/>
        <v>9.0032271150318106</v>
      </c>
      <c r="X188" s="80">
        <f t="shared" si="217"/>
        <v>400.82571173623609</v>
      </c>
      <c r="Y188" s="80">
        <f t="shared" si="218"/>
        <v>135.11223771469213</v>
      </c>
      <c r="Z188" s="80">
        <f t="shared" si="219"/>
        <v>111.41671880775554</v>
      </c>
      <c r="AA188" s="80">
        <f t="shared" si="220"/>
        <v>77.467473461666145</v>
      </c>
      <c r="AB188" s="80">
        <f t="shared" si="221"/>
        <v>532.19888328991931</v>
      </c>
      <c r="AC188" s="80">
        <f t="shared" si="222"/>
        <v>255.81395348837211</v>
      </c>
      <c r="AD188" s="80"/>
      <c r="AE188" s="80"/>
      <c r="AF188" s="80"/>
      <c r="AG188" s="80"/>
      <c r="AH188" s="80"/>
      <c r="AI188" s="80"/>
      <c r="AJ188" s="45">
        <f t="shared" si="167"/>
        <v>0</v>
      </c>
      <c r="AK188" s="45">
        <f t="shared" si="168"/>
        <v>0</v>
      </c>
      <c r="AL188" s="45">
        <f t="shared" si="169"/>
        <v>0</v>
      </c>
      <c r="AM188" s="45">
        <f t="shared" si="170"/>
        <v>0</v>
      </c>
      <c r="AN188" s="45">
        <f t="shared" si="171"/>
        <v>0</v>
      </c>
      <c r="AO188" s="45">
        <f t="shared" si="172"/>
        <v>0</v>
      </c>
      <c r="AP188" s="80">
        <f t="shared" si="173"/>
        <v>0</v>
      </c>
      <c r="AQ188" s="80">
        <f t="shared" si="174"/>
        <v>0</v>
      </c>
      <c r="AR188" s="80">
        <f t="shared" si="175"/>
        <v>0</v>
      </c>
      <c r="AS188" s="80">
        <f t="shared" si="176"/>
        <v>0</v>
      </c>
      <c r="AT188" s="80">
        <f t="shared" si="177"/>
        <v>0</v>
      </c>
      <c r="AU188" s="80">
        <f t="shared" si="178"/>
        <v>0</v>
      </c>
      <c r="AV188" s="80">
        <f t="shared" si="223"/>
        <v>15.22240437039096</v>
      </c>
      <c r="AW188" s="80">
        <f t="shared" si="224"/>
        <v>7.8328603576765987</v>
      </c>
      <c r="AX188" s="80">
        <f t="shared" si="225"/>
        <v>5.7402027543754404</v>
      </c>
      <c r="AY188" s="80">
        <f t="shared" si="226"/>
        <v>4.3622004996351826</v>
      </c>
      <c r="AZ188" s="80">
        <f t="shared" si="227"/>
        <v>26.737122054744763</v>
      </c>
      <c r="BA188" s="80">
        <f t="shared" si="228"/>
        <v>15.933171401553532</v>
      </c>
      <c r="BB188" s="80">
        <f t="shared" si="204"/>
        <v>416.04811610662705</v>
      </c>
      <c r="BC188" s="80">
        <f t="shared" si="205"/>
        <v>142.94509807236872</v>
      </c>
      <c r="BD188" s="80">
        <f t="shared" si="206"/>
        <v>117.15692156213099</v>
      </c>
      <c r="BE188" s="80">
        <f t="shared" si="207"/>
        <v>81.829673961301324</v>
      </c>
      <c r="BF188" s="80">
        <f t="shared" si="208"/>
        <v>558.93600534466407</v>
      </c>
      <c r="BG188" s="80">
        <f t="shared" si="209"/>
        <v>271.74712488992566</v>
      </c>
      <c r="BH188" s="49">
        <f t="shared" si="210"/>
        <v>0</v>
      </c>
      <c r="BI188" s="79">
        <f t="shared" si="211"/>
        <v>-65894.785195081873</v>
      </c>
      <c r="BJ188" s="79">
        <f t="shared" si="179"/>
        <v>63800</v>
      </c>
      <c r="BK188" s="44">
        <f t="shared" si="212"/>
        <v>-3.1789847844260311E-2</v>
      </c>
      <c r="BL188" s="79">
        <f t="shared" si="229"/>
        <v>2908.4441381372831</v>
      </c>
      <c r="BM188" s="49">
        <f t="shared" si="213"/>
        <v>66708.444138137289</v>
      </c>
      <c r="BN188" s="44">
        <f t="shared" si="214"/>
        <v>1.2347850298723539E-2</v>
      </c>
      <c r="BO188" s="49">
        <f t="shared" si="180"/>
        <v>3129.7188309966327</v>
      </c>
      <c r="BP188" s="49">
        <f t="shared" si="181"/>
        <v>66929.718830996644</v>
      </c>
      <c r="BQ188" s="44">
        <f t="shared" si="182"/>
        <v>1.5705850362071061E-2</v>
      </c>
      <c r="BS188" s="49">
        <f t="shared" si="183"/>
        <v>65894.785195081873</v>
      </c>
      <c r="BT188" s="49">
        <f t="shared" si="159"/>
        <v>55.709999000000003</v>
      </c>
      <c r="BU188" s="49">
        <f t="shared" si="160"/>
        <v>37.409999999999997</v>
      </c>
      <c r="BV188" s="49">
        <f t="shared" si="184"/>
        <v>1669.4756785222662</v>
      </c>
      <c r="BW188" s="18">
        <f t="shared" si="185"/>
        <v>1022</v>
      </c>
      <c r="BX188" s="19">
        <f t="shared" si="215"/>
        <v>0.76559633027522933</v>
      </c>
      <c r="BY188" s="49">
        <f t="shared" si="216"/>
        <v>1278.1444529603955</v>
      </c>
      <c r="BZ188" s="19">
        <f t="shared" si="186"/>
        <v>10.151031575962666</v>
      </c>
      <c r="CA188" s="19">
        <f t="shared" si="187"/>
        <v>4.0191007909597802</v>
      </c>
      <c r="CB188" s="19">
        <f t="shared" si="188"/>
        <v>2.8722837946355333</v>
      </c>
      <c r="CC188" s="19">
        <f t="shared" si="189"/>
        <v>1.6101346413643622</v>
      </c>
      <c r="CD188" s="19">
        <f t="shared" si="190"/>
        <v>11.777293053476367</v>
      </c>
      <c r="CE188" s="19">
        <f t="shared" si="191"/>
        <v>9.0032271150318106</v>
      </c>
      <c r="CF188" s="49">
        <f t="shared" si="192"/>
        <v>-565.51395894584857</v>
      </c>
      <c r="CG188" s="49">
        <f t="shared" si="193"/>
        <v>-189.78194336822162</v>
      </c>
      <c r="CH188" s="49">
        <f t="shared" si="194"/>
        <v>-131.57932350453757</v>
      </c>
      <c r="CI188" s="49">
        <f t="shared" si="195"/>
        <v>-92.824265294924771</v>
      </c>
      <c r="CJ188" s="49">
        <f t="shared" si="196"/>
        <v>-352.96546103539367</v>
      </c>
      <c r="CK188" s="49">
        <f t="shared" si="197"/>
        <v>-336.81072637334</v>
      </c>
    </row>
    <row r="189" spans="2:89" ht="12.75" customHeight="1" x14ac:dyDescent="0.2">
      <c r="B189" s="77">
        <v>40322</v>
      </c>
      <c r="C189" s="49">
        <v>56.09</v>
      </c>
      <c r="D189" s="49">
        <v>47.380001</v>
      </c>
      <c r="E189" s="49">
        <v>46.740001999999997</v>
      </c>
      <c r="F189" s="49">
        <v>58.689999</v>
      </c>
      <c r="G189" s="49">
        <v>29.780000999999999</v>
      </c>
      <c r="H189" s="49">
        <v>38.200001</v>
      </c>
      <c r="J189" s="78">
        <f>IF(inter=Weekly_2,J188+$C$5,IF(inter=Bi_weekly_2,0,IF(inter=Monthly_2,0,IF(inter=Quarterly_2,0,IF(inter=Yearly_2,0,IF(inter=None_2,0,0))))))</f>
        <v>0</v>
      </c>
      <c r="K189" s="79">
        <f t="shared" si="198"/>
        <v>0</v>
      </c>
      <c r="L189" s="79">
        <f t="shared" si="199"/>
        <v>0</v>
      </c>
      <c r="M189" s="79">
        <f t="shared" si="200"/>
        <v>0</v>
      </c>
      <c r="N189" s="79">
        <f t="shared" si="201"/>
        <v>0</v>
      </c>
      <c r="O189" s="79">
        <f t="shared" si="202"/>
        <v>0</v>
      </c>
      <c r="P189" s="79">
        <f t="shared" si="203"/>
        <v>0</v>
      </c>
      <c r="Q189" s="79"/>
      <c r="R189" s="80">
        <f t="shared" si="161"/>
        <v>0</v>
      </c>
      <c r="S189" s="80">
        <f t="shared" si="162"/>
        <v>0</v>
      </c>
      <c r="T189" s="80">
        <f t="shared" si="163"/>
        <v>0</v>
      </c>
      <c r="U189" s="80">
        <f t="shared" si="164"/>
        <v>0</v>
      </c>
      <c r="V189" s="80">
        <f t="shared" si="165"/>
        <v>0</v>
      </c>
      <c r="W189" s="80">
        <f t="shared" si="166"/>
        <v>0</v>
      </c>
      <c r="X189" s="80">
        <f t="shared" si="217"/>
        <v>400.82571173623609</v>
      </c>
      <c r="Y189" s="80">
        <f t="shared" si="218"/>
        <v>135.11223771469213</v>
      </c>
      <c r="Z189" s="80">
        <f t="shared" si="219"/>
        <v>111.41671880775554</v>
      </c>
      <c r="AA189" s="80">
        <f t="shared" si="220"/>
        <v>77.467473461666145</v>
      </c>
      <c r="AB189" s="80">
        <f t="shared" si="221"/>
        <v>532.19888328991931</v>
      </c>
      <c r="AC189" s="80">
        <f t="shared" si="222"/>
        <v>255.81395348837211</v>
      </c>
      <c r="AD189" s="80"/>
      <c r="AE189" s="80"/>
      <c r="AF189" s="80"/>
      <c r="AG189" s="80"/>
      <c r="AH189" s="80"/>
      <c r="AI189" s="80"/>
      <c r="AJ189" s="45">
        <f t="shared" si="167"/>
        <v>0</v>
      </c>
      <c r="AK189" s="45">
        <f t="shared" si="168"/>
        <v>0</v>
      </c>
      <c r="AL189" s="45">
        <f t="shared" si="169"/>
        <v>0</v>
      </c>
      <c r="AM189" s="45">
        <f t="shared" si="170"/>
        <v>0</v>
      </c>
      <c r="AN189" s="45">
        <f t="shared" si="171"/>
        <v>0</v>
      </c>
      <c r="AO189" s="45">
        <f t="shared" si="172"/>
        <v>0</v>
      </c>
      <c r="AP189" s="80">
        <f t="shared" si="173"/>
        <v>0</v>
      </c>
      <c r="AQ189" s="80">
        <f t="shared" si="174"/>
        <v>0</v>
      </c>
      <c r="AR189" s="80">
        <f t="shared" si="175"/>
        <v>0</v>
      </c>
      <c r="AS189" s="80">
        <f t="shared" si="176"/>
        <v>0</v>
      </c>
      <c r="AT189" s="80">
        <f t="shared" si="177"/>
        <v>0</v>
      </c>
      <c r="AU189" s="80">
        <f t="shared" si="178"/>
        <v>0</v>
      </c>
      <c r="AV189" s="80">
        <f t="shared" si="223"/>
        <v>15.22240437039096</v>
      </c>
      <c r="AW189" s="80">
        <f t="shared" si="224"/>
        <v>7.8328603576765987</v>
      </c>
      <c r="AX189" s="80">
        <f t="shared" si="225"/>
        <v>5.7402027543754404</v>
      </c>
      <c r="AY189" s="80">
        <f t="shared" si="226"/>
        <v>4.3622004996351826</v>
      </c>
      <c r="AZ189" s="80">
        <f t="shared" si="227"/>
        <v>26.737122054744763</v>
      </c>
      <c r="BA189" s="80">
        <f t="shared" si="228"/>
        <v>15.933171401553532</v>
      </c>
      <c r="BB189" s="80">
        <f t="shared" si="204"/>
        <v>416.04811610662705</v>
      </c>
      <c r="BC189" s="80">
        <f t="shared" si="205"/>
        <v>142.94509807236872</v>
      </c>
      <c r="BD189" s="80">
        <f t="shared" si="206"/>
        <v>117.15692156213099</v>
      </c>
      <c r="BE189" s="80">
        <f t="shared" si="207"/>
        <v>81.829673961301324</v>
      </c>
      <c r="BF189" s="80">
        <f t="shared" si="208"/>
        <v>558.93600534466407</v>
      </c>
      <c r="BG189" s="80">
        <f t="shared" si="209"/>
        <v>271.74712488992566</v>
      </c>
      <c r="BH189" s="49">
        <f t="shared" si="210"/>
        <v>0</v>
      </c>
      <c r="BI189" s="79">
        <f t="shared" si="211"/>
        <v>-65894.785195081873</v>
      </c>
      <c r="BJ189" s="79">
        <f t="shared" si="179"/>
        <v>64259.092284867933</v>
      </c>
      <c r="BK189" s="44">
        <f t="shared" si="212"/>
        <v>-2.4822797515333894E-2</v>
      </c>
      <c r="BL189" s="79">
        <f t="shared" si="229"/>
        <v>2908.4441381372831</v>
      </c>
      <c r="BM189" s="49">
        <f t="shared" si="213"/>
        <v>67167.536423005222</v>
      </c>
      <c r="BN189" s="44">
        <f t="shared" si="214"/>
        <v>1.9314900627650067E-2</v>
      </c>
      <c r="BO189" s="49">
        <f t="shared" si="180"/>
        <v>3154.1389088960459</v>
      </c>
      <c r="BP189" s="49">
        <f t="shared" si="181"/>
        <v>67413.231193763975</v>
      </c>
      <c r="BQ189" s="44">
        <f t="shared" si="182"/>
        <v>2.3043492655552944E-2</v>
      </c>
      <c r="BS189" s="49">
        <f t="shared" si="183"/>
        <v>65894.785195081873</v>
      </c>
      <c r="BT189" s="49">
        <f t="shared" si="159"/>
        <v>56.09</v>
      </c>
      <c r="BU189" s="49">
        <f t="shared" si="160"/>
        <v>38.200001</v>
      </c>
      <c r="BV189" s="49">
        <f t="shared" si="184"/>
        <v>0</v>
      </c>
      <c r="BW189" s="18">
        <f t="shared" si="185"/>
        <v>1029</v>
      </c>
      <c r="BX189" s="19">
        <f t="shared" si="215"/>
        <v>0.76399082568807342</v>
      </c>
      <c r="BY189" s="49">
        <f t="shared" si="216"/>
        <v>0</v>
      </c>
      <c r="BZ189" s="19">
        <f t="shared" si="186"/>
        <v>0</v>
      </c>
      <c r="CA189" s="19">
        <f t="shared" si="187"/>
        <v>0</v>
      </c>
      <c r="CB189" s="19">
        <f t="shared" si="188"/>
        <v>0</v>
      </c>
      <c r="CC189" s="19">
        <f t="shared" si="189"/>
        <v>0</v>
      </c>
      <c r="CD189" s="19">
        <f t="shared" si="190"/>
        <v>0</v>
      </c>
      <c r="CE189" s="19">
        <f t="shared" si="191"/>
        <v>0</v>
      </c>
      <c r="CF189" s="49">
        <f t="shared" si="192"/>
        <v>0</v>
      </c>
      <c r="CG189" s="49">
        <f t="shared" si="193"/>
        <v>0</v>
      </c>
      <c r="CH189" s="49">
        <f t="shared" si="194"/>
        <v>0</v>
      </c>
      <c r="CI189" s="49">
        <f t="shared" si="195"/>
        <v>0</v>
      </c>
      <c r="CJ189" s="49">
        <f t="shared" si="196"/>
        <v>0</v>
      </c>
      <c r="CK189" s="49">
        <f t="shared" si="197"/>
        <v>0</v>
      </c>
    </row>
    <row r="190" spans="2:89" ht="12.75" customHeight="1" x14ac:dyDescent="0.2">
      <c r="B190" s="77">
        <v>40330</v>
      </c>
      <c r="C190" s="49">
        <v>54.669998</v>
      </c>
      <c r="D190" s="49">
        <v>46.119999</v>
      </c>
      <c r="E190" s="49">
        <v>45.139999000000003</v>
      </c>
      <c r="F190" s="49">
        <v>55.799999</v>
      </c>
      <c r="G190" s="49">
        <v>28.950001</v>
      </c>
      <c r="H190" s="49">
        <v>37.409999999999997</v>
      </c>
      <c r="J190" s="78">
        <f>IF(inter=Weekly_2,J189+$C$5,IF(inter=Bi_weekly_2,J188+$C$5,IF(inter=Monthly_2,J186+$C$5,IF(inter=Quarterly_2,0,IF(inter=Yearly_2,0,IF(inter=None_2,0,0))))))</f>
        <v>64400</v>
      </c>
      <c r="K190" s="79">
        <f t="shared" si="198"/>
        <v>-626.85914103139658</v>
      </c>
      <c r="L190" s="79">
        <f t="shared" si="199"/>
        <v>-208.623731710637</v>
      </c>
      <c r="M190" s="79">
        <f t="shared" si="200"/>
        <v>-122.64942443463315</v>
      </c>
      <c r="N190" s="79">
        <f t="shared" si="201"/>
        <v>-185.31505830650258</v>
      </c>
      <c r="O190" s="79">
        <f t="shared" si="202"/>
        <v>-692.84179655795197</v>
      </c>
      <c r="P190" s="79">
        <f t="shared" si="203"/>
        <v>-90</v>
      </c>
      <c r="Q190" s="79"/>
      <c r="R190" s="80">
        <f t="shared" si="161"/>
        <v>11.466236765389977</v>
      </c>
      <c r="S190" s="80">
        <f t="shared" si="162"/>
        <v>4.5234981837410055</v>
      </c>
      <c r="T190" s="80">
        <f t="shared" si="163"/>
        <v>2.7170896577696677</v>
      </c>
      <c r="U190" s="80">
        <f t="shared" si="164"/>
        <v>3.3210584521068287</v>
      </c>
      <c r="V190" s="80">
        <f t="shared" si="165"/>
        <v>23.932358294493735</v>
      </c>
      <c r="W190" s="80">
        <f t="shared" si="166"/>
        <v>2.4057738572574179</v>
      </c>
      <c r="X190" s="80">
        <f t="shared" si="217"/>
        <v>412.29194850162605</v>
      </c>
      <c r="Y190" s="80">
        <f t="shared" si="218"/>
        <v>139.63573589843313</v>
      </c>
      <c r="Z190" s="80">
        <f t="shared" si="219"/>
        <v>114.13380846552521</v>
      </c>
      <c r="AA190" s="80">
        <f t="shared" si="220"/>
        <v>80.788531913772971</v>
      </c>
      <c r="AB190" s="80">
        <f t="shared" si="221"/>
        <v>556.13124158441303</v>
      </c>
      <c r="AC190" s="80">
        <f t="shared" si="222"/>
        <v>258.21972734562951</v>
      </c>
      <c r="AD190" s="80"/>
      <c r="AE190" s="80"/>
      <c r="AF190" s="80"/>
      <c r="AG190" s="80"/>
      <c r="AH190" s="80"/>
      <c r="AI190" s="80"/>
      <c r="AJ190" s="45">
        <f t="shared" si="167"/>
        <v>0</v>
      </c>
      <c r="AK190" s="45">
        <f t="shared" si="168"/>
        <v>0</v>
      </c>
      <c r="AL190" s="45">
        <f t="shared" si="169"/>
        <v>0</v>
      </c>
      <c r="AM190" s="45">
        <f t="shared" si="170"/>
        <v>0</v>
      </c>
      <c r="AN190" s="45">
        <f t="shared" si="171"/>
        <v>0</v>
      </c>
      <c r="AO190" s="45">
        <f t="shared" si="172"/>
        <v>0</v>
      </c>
      <c r="AP190" s="80">
        <f t="shared" si="173"/>
        <v>0</v>
      </c>
      <c r="AQ190" s="80">
        <f t="shared" si="174"/>
        <v>0</v>
      </c>
      <c r="AR190" s="80">
        <f t="shared" si="175"/>
        <v>0</v>
      </c>
      <c r="AS190" s="80">
        <f t="shared" si="176"/>
        <v>0</v>
      </c>
      <c r="AT190" s="80">
        <f t="shared" si="177"/>
        <v>0</v>
      </c>
      <c r="AU190" s="80">
        <f t="shared" si="178"/>
        <v>0</v>
      </c>
      <c r="AV190" s="80">
        <f t="shared" si="223"/>
        <v>15.22240437039096</v>
      </c>
      <c r="AW190" s="80">
        <f t="shared" si="224"/>
        <v>7.8328603576765987</v>
      </c>
      <c r="AX190" s="80">
        <f t="shared" si="225"/>
        <v>5.7402027543754404</v>
      </c>
      <c r="AY190" s="80">
        <f t="shared" si="226"/>
        <v>4.3622004996351826</v>
      </c>
      <c r="AZ190" s="80">
        <f t="shared" si="227"/>
        <v>26.737122054744763</v>
      </c>
      <c r="BA190" s="80">
        <f t="shared" si="228"/>
        <v>15.933171401553532</v>
      </c>
      <c r="BB190" s="80">
        <f t="shared" si="204"/>
        <v>427.51435287201701</v>
      </c>
      <c r="BC190" s="80">
        <f t="shared" si="205"/>
        <v>147.46859625610972</v>
      </c>
      <c r="BD190" s="80">
        <f t="shared" si="206"/>
        <v>119.87401121990065</v>
      </c>
      <c r="BE190" s="80">
        <f t="shared" si="207"/>
        <v>85.15073241340815</v>
      </c>
      <c r="BF190" s="80">
        <f t="shared" si="208"/>
        <v>582.86836363915779</v>
      </c>
      <c r="BG190" s="80">
        <f t="shared" si="209"/>
        <v>274.15289874718303</v>
      </c>
      <c r="BH190" s="49">
        <f t="shared" si="210"/>
        <v>0</v>
      </c>
      <c r="BI190" s="79">
        <f t="shared" si="211"/>
        <v>-67821.074347123009</v>
      </c>
      <c r="BJ190" s="79">
        <f t="shared" si="179"/>
        <v>64400</v>
      </c>
      <c r="BK190" s="44">
        <f t="shared" si="212"/>
        <v>-5.0442644562266992E-2</v>
      </c>
      <c r="BL190" s="79">
        <f t="shared" si="229"/>
        <v>2908.4441381372831</v>
      </c>
      <c r="BM190" s="49">
        <f t="shared" si="213"/>
        <v>67308.444138137289</v>
      </c>
      <c r="BN190" s="44">
        <f t="shared" si="214"/>
        <v>-7.5585680987884096E-3</v>
      </c>
      <c r="BO190" s="49">
        <f t="shared" si="180"/>
        <v>3066.0835108114975</v>
      </c>
      <c r="BP190" s="49">
        <f t="shared" si="181"/>
        <v>67466.083510811499</v>
      </c>
      <c r="BQ190" s="44">
        <f t="shared" si="182"/>
        <v>-5.2342260828041054E-3</v>
      </c>
      <c r="BS190" s="49">
        <f t="shared" si="183"/>
        <v>67821.074347123009</v>
      </c>
      <c r="BT190" s="49">
        <f t="shared" si="159"/>
        <v>54.669998</v>
      </c>
      <c r="BU190" s="49">
        <f t="shared" si="160"/>
        <v>37.409999999999997</v>
      </c>
      <c r="BV190" s="49">
        <f t="shared" si="184"/>
        <v>1926.2891520411213</v>
      </c>
      <c r="BW190" s="18">
        <f t="shared" si="185"/>
        <v>1037</v>
      </c>
      <c r="BX190" s="19">
        <f t="shared" si="215"/>
        <v>0.76215596330275226</v>
      </c>
      <c r="BY190" s="49">
        <f t="shared" si="216"/>
        <v>1468.1327642735425</v>
      </c>
      <c r="BZ190" s="19">
        <f t="shared" si="186"/>
        <v>11.466236765389977</v>
      </c>
      <c r="CA190" s="19">
        <f t="shared" si="187"/>
        <v>4.5234981837410055</v>
      </c>
      <c r="CB190" s="19">
        <f t="shared" si="188"/>
        <v>2.7170896577696677</v>
      </c>
      <c r="CC190" s="19">
        <f t="shared" si="189"/>
        <v>3.3210584521068287</v>
      </c>
      <c r="CD190" s="19">
        <f t="shared" si="190"/>
        <v>23.932358294493735</v>
      </c>
      <c r="CE190" s="19">
        <f t="shared" si="191"/>
        <v>2.4057738572574179</v>
      </c>
      <c r="CF190" s="49">
        <f t="shared" si="192"/>
        <v>-626.85914103139658</v>
      </c>
      <c r="CG190" s="49">
        <f t="shared" si="193"/>
        <v>-208.623731710637</v>
      </c>
      <c r="CH190" s="49">
        <f t="shared" si="194"/>
        <v>-122.64942443463315</v>
      </c>
      <c r="CI190" s="49">
        <f t="shared" si="195"/>
        <v>-185.31505830650258</v>
      </c>
      <c r="CJ190" s="49">
        <f t="shared" si="196"/>
        <v>-692.84179655795197</v>
      </c>
      <c r="CK190" s="49">
        <f t="shared" si="197"/>
        <v>-90</v>
      </c>
    </row>
    <row r="191" spans="2:89" ht="12.75" customHeight="1" x14ac:dyDescent="0.2">
      <c r="B191" s="77">
        <v>40336</v>
      </c>
      <c r="C191" s="49">
        <v>55.990001999999997</v>
      </c>
      <c r="D191" s="49">
        <v>47.48</v>
      </c>
      <c r="E191" s="49">
        <v>46.759998000000003</v>
      </c>
      <c r="F191" s="49">
        <v>57.5</v>
      </c>
      <c r="G191" s="49">
        <v>30.190000999999999</v>
      </c>
      <c r="H191" s="49">
        <v>38.869999</v>
      </c>
      <c r="J191" s="78">
        <f>IF(inter=Weekly_2,J190+$C$5,IF(inter=Bi_weekly_2,0,IF(inter=Monthly_2,0,IF(inter=Quarterly_2,0,IF(inter=Yearly_2,0,IF(inter=None_2,0,0))))))</f>
        <v>0</v>
      </c>
      <c r="K191" s="79">
        <f t="shared" si="198"/>
        <v>0</v>
      </c>
      <c r="L191" s="79">
        <f t="shared" si="199"/>
        <v>0</v>
      </c>
      <c r="M191" s="79">
        <f t="shared" si="200"/>
        <v>0</v>
      </c>
      <c r="N191" s="79">
        <f t="shared" si="201"/>
        <v>0</v>
      </c>
      <c r="O191" s="79">
        <f t="shared" si="202"/>
        <v>0</v>
      </c>
      <c r="P191" s="79">
        <f t="shared" si="203"/>
        <v>0</v>
      </c>
      <c r="Q191" s="79"/>
      <c r="R191" s="80">
        <f t="shared" si="161"/>
        <v>0</v>
      </c>
      <c r="S191" s="80">
        <f t="shared" si="162"/>
        <v>0</v>
      </c>
      <c r="T191" s="80">
        <f t="shared" si="163"/>
        <v>0</v>
      </c>
      <c r="U191" s="80">
        <f t="shared" si="164"/>
        <v>0</v>
      </c>
      <c r="V191" s="80">
        <f t="shared" si="165"/>
        <v>0</v>
      </c>
      <c r="W191" s="80">
        <f t="shared" si="166"/>
        <v>0</v>
      </c>
      <c r="X191" s="80">
        <f t="shared" si="217"/>
        <v>412.29194850162605</v>
      </c>
      <c r="Y191" s="80">
        <f t="shared" si="218"/>
        <v>139.63573589843313</v>
      </c>
      <c r="Z191" s="80">
        <f t="shared" si="219"/>
        <v>114.13380846552521</v>
      </c>
      <c r="AA191" s="80">
        <f t="shared" si="220"/>
        <v>80.788531913772971</v>
      </c>
      <c r="AB191" s="80">
        <f t="shared" si="221"/>
        <v>556.13124158441303</v>
      </c>
      <c r="AC191" s="80">
        <f t="shared" si="222"/>
        <v>258.21972734562951</v>
      </c>
      <c r="AD191" s="80"/>
      <c r="AE191" s="80"/>
      <c r="AF191" s="80"/>
      <c r="AG191" s="80"/>
      <c r="AH191" s="80"/>
      <c r="AI191" s="80"/>
      <c r="AJ191" s="45">
        <f t="shared" si="167"/>
        <v>0</v>
      </c>
      <c r="AK191" s="45">
        <f t="shared" si="168"/>
        <v>0</v>
      </c>
      <c r="AL191" s="45">
        <f t="shared" si="169"/>
        <v>0</v>
      </c>
      <c r="AM191" s="45">
        <f t="shared" si="170"/>
        <v>0</v>
      </c>
      <c r="AN191" s="45">
        <f t="shared" si="171"/>
        <v>0</v>
      </c>
      <c r="AO191" s="45">
        <f t="shared" si="172"/>
        <v>0</v>
      </c>
      <c r="AP191" s="80">
        <f t="shared" si="173"/>
        <v>0</v>
      </c>
      <c r="AQ191" s="80">
        <f t="shared" si="174"/>
        <v>0</v>
      </c>
      <c r="AR191" s="80">
        <f t="shared" si="175"/>
        <v>0</v>
      </c>
      <c r="AS191" s="80">
        <f t="shared" si="176"/>
        <v>0</v>
      </c>
      <c r="AT191" s="80">
        <f t="shared" si="177"/>
        <v>0</v>
      </c>
      <c r="AU191" s="80">
        <f t="shared" si="178"/>
        <v>0</v>
      </c>
      <c r="AV191" s="80">
        <f t="shared" si="223"/>
        <v>15.22240437039096</v>
      </c>
      <c r="AW191" s="80">
        <f t="shared" si="224"/>
        <v>7.8328603576765987</v>
      </c>
      <c r="AX191" s="80">
        <f t="shared" si="225"/>
        <v>5.7402027543754404</v>
      </c>
      <c r="AY191" s="80">
        <f t="shared" si="226"/>
        <v>4.3622004996351826</v>
      </c>
      <c r="AZ191" s="80">
        <f t="shared" si="227"/>
        <v>26.737122054744763</v>
      </c>
      <c r="BA191" s="80">
        <f t="shared" si="228"/>
        <v>15.933171401553532</v>
      </c>
      <c r="BB191" s="80">
        <f t="shared" si="204"/>
        <v>427.51435287201701</v>
      </c>
      <c r="BC191" s="80">
        <f t="shared" si="205"/>
        <v>147.46859625610972</v>
      </c>
      <c r="BD191" s="80">
        <f t="shared" si="206"/>
        <v>119.87401121990065</v>
      </c>
      <c r="BE191" s="80">
        <f t="shared" si="207"/>
        <v>85.15073241340815</v>
      </c>
      <c r="BF191" s="80">
        <f t="shared" si="208"/>
        <v>582.86836363915779</v>
      </c>
      <c r="BG191" s="80">
        <f t="shared" si="209"/>
        <v>274.15289874718303</v>
      </c>
      <c r="BH191" s="49">
        <f t="shared" si="210"/>
        <v>0</v>
      </c>
      <c r="BI191" s="79">
        <f t="shared" si="211"/>
        <v>-67821.074347123009</v>
      </c>
      <c r="BJ191" s="79">
        <f t="shared" si="179"/>
        <v>66522.972285539392</v>
      </c>
      <c r="BK191" s="44">
        <f t="shared" si="212"/>
        <v>-1.9140098768410052E-2</v>
      </c>
      <c r="BL191" s="79">
        <f t="shared" si="229"/>
        <v>2908.4441381372831</v>
      </c>
      <c r="BM191" s="49">
        <f t="shared" si="213"/>
        <v>69431.416423676681</v>
      </c>
      <c r="BN191" s="44">
        <f t="shared" si="214"/>
        <v>2.374397769506853E-2</v>
      </c>
      <c r="BO191" s="49">
        <f t="shared" si="180"/>
        <v>3169.9611569837771</v>
      </c>
      <c r="BP191" s="49">
        <f t="shared" si="181"/>
        <v>69692.933442523179</v>
      </c>
      <c r="BQ191" s="44">
        <f t="shared" si="182"/>
        <v>2.759996230404127E-2</v>
      </c>
      <c r="BS191" s="49">
        <f t="shared" si="183"/>
        <v>67821.074347123009</v>
      </c>
      <c r="BT191" s="49">
        <f t="shared" si="159"/>
        <v>55.990001999999997</v>
      </c>
      <c r="BU191" s="49">
        <f t="shared" si="160"/>
        <v>38.869999</v>
      </c>
      <c r="BV191" s="49">
        <f t="shared" si="184"/>
        <v>0</v>
      </c>
      <c r="BW191" s="18">
        <f t="shared" si="185"/>
        <v>1043</v>
      </c>
      <c r="BX191" s="19">
        <f t="shared" si="215"/>
        <v>0.76077981651376148</v>
      </c>
      <c r="BY191" s="49">
        <f t="shared" si="216"/>
        <v>0</v>
      </c>
      <c r="BZ191" s="19">
        <f t="shared" si="186"/>
        <v>0</v>
      </c>
      <c r="CA191" s="19">
        <f t="shared" si="187"/>
        <v>0</v>
      </c>
      <c r="CB191" s="19">
        <f t="shared" si="188"/>
        <v>0</v>
      </c>
      <c r="CC191" s="19">
        <f t="shared" si="189"/>
        <v>0</v>
      </c>
      <c r="CD191" s="19">
        <f t="shared" si="190"/>
        <v>0</v>
      </c>
      <c r="CE191" s="19">
        <f t="shared" si="191"/>
        <v>0</v>
      </c>
      <c r="CF191" s="49">
        <f t="shared" si="192"/>
        <v>0</v>
      </c>
      <c r="CG191" s="49">
        <f t="shared" si="193"/>
        <v>0</v>
      </c>
      <c r="CH191" s="49">
        <f t="shared" si="194"/>
        <v>0</v>
      </c>
      <c r="CI191" s="49">
        <f t="shared" si="195"/>
        <v>0</v>
      </c>
      <c r="CJ191" s="49">
        <f t="shared" si="196"/>
        <v>0</v>
      </c>
      <c r="CK191" s="49">
        <f t="shared" si="197"/>
        <v>0</v>
      </c>
    </row>
    <row r="192" spans="2:89" ht="12.75" customHeight="1" x14ac:dyDescent="0.2">
      <c r="B192" s="77">
        <v>40343</v>
      </c>
      <c r="C192" s="49">
        <v>57.34</v>
      </c>
      <c r="D192" s="49">
        <v>48.580002</v>
      </c>
      <c r="E192" s="49">
        <v>47.91</v>
      </c>
      <c r="F192" s="49">
        <v>58.939999</v>
      </c>
      <c r="G192" s="49">
        <v>31.24</v>
      </c>
      <c r="H192" s="49">
        <v>40.060001</v>
      </c>
      <c r="J192" s="78">
        <f>IF(inter=Weekly_2,J191+$C$5,IF(inter=Bi_weekly_2,J190+$C$5,IF(inter=Monthly_2,0,IF(inter=Quarterly_2,0,IF(inter=Yearly_2,0,IF(inter=None_2,0,0))))))</f>
        <v>65000</v>
      </c>
      <c r="K192" s="79">
        <f t="shared" si="198"/>
        <v>890.82032708323823</v>
      </c>
      <c r="L192" s="79">
        <f t="shared" si="199"/>
        <v>283.50432921735319</v>
      </c>
      <c r="M192" s="79">
        <f t="shared" si="200"/>
        <v>268.15076358331225</v>
      </c>
      <c r="N192" s="79">
        <f t="shared" si="201"/>
        <v>211.67599020924717</v>
      </c>
      <c r="O192" s="79">
        <f t="shared" si="202"/>
        <v>1123.5399870970614</v>
      </c>
      <c r="P192" s="79">
        <f t="shared" si="203"/>
        <v>594.28253568564469</v>
      </c>
      <c r="Q192" s="79"/>
      <c r="R192" s="80">
        <f t="shared" si="161"/>
        <v>-15.535757361061007</v>
      </c>
      <c r="S192" s="80">
        <f t="shared" si="162"/>
        <v>-5.8358237452800674</v>
      </c>
      <c r="T192" s="80">
        <f t="shared" si="163"/>
        <v>-5.5969685573640637</v>
      </c>
      <c r="U192" s="80">
        <f t="shared" si="164"/>
        <v>-3.5913809603092659</v>
      </c>
      <c r="V192" s="80">
        <f t="shared" si="165"/>
        <v>-35.964788319368161</v>
      </c>
      <c r="W192" s="80">
        <f t="shared" si="166"/>
        <v>-14.834810805063253</v>
      </c>
      <c r="X192" s="80">
        <f t="shared" si="217"/>
        <v>396.75619114056502</v>
      </c>
      <c r="Y192" s="80">
        <f t="shared" si="218"/>
        <v>133.79991215315306</v>
      </c>
      <c r="Z192" s="80">
        <f t="shared" si="219"/>
        <v>108.53683990816114</v>
      </c>
      <c r="AA192" s="80">
        <f t="shared" si="220"/>
        <v>77.197150953463705</v>
      </c>
      <c r="AB192" s="80">
        <f t="shared" si="221"/>
        <v>520.16645326504488</v>
      </c>
      <c r="AC192" s="80">
        <f t="shared" si="222"/>
        <v>243.38491654056625</v>
      </c>
      <c r="AD192" s="80"/>
      <c r="AE192" s="80"/>
      <c r="AF192" s="80"/>
      <c r="AG192" s="80"/>
      <c r="AH192" s="80"/>
      <c r="AI192" s="80"/>
      <c r="AJ192" s="45">
        <f t="shared" si="167"/>
        <v>0</v>
      </c>
      <c r="AK192" s="45">
        <f t="shared" si="168"/>
        <v>0</v>
      </c>
      <c r="AL192" s="45">
        <f t="shared" si="169"/>
        <v>0</v>
      </c>
      <c r="AM192" s="45">
        <f t="shared" si="170"/>
        <v>0</v>
      </c>
      <c r="AN192" s="45">
        <f t="shared" si="171"/>
        <v>0</v>
      </c>
      <c r="AO192" s="45">
        <f t="shared" si="172"/>
        <v>0</v>
      </c>
      <c r="AP192" s="80">
        <f t="shared" si="173"/>
        <v>0</v>
      </c>
      <c r="AQ192" s="80">
        <f t="shared" si="174"/>
        <v>0</v>
      </c>
      <c r="AR192" s="80">
        <f t="shared" si="175"/>
        <v>0</v>
      </c>
      <c r="AS192" s="80">
        <f t="shared" si="176"/>
        <v>0</v>
      </c>
      <c r="AT192" s="80">
        <f t="shared" si="177"/>
        <v>0</v>
      </c>
      <c r="AU192" s="80">
        <f t="shared" si="178"/>
        <v>0</v>
      </c>
      <c r="AV192" s="80">
        <f t="shared" si="223"/>
        <v>15.22240437039096</v>
      </c>
      <c r="AW192" s="80">
        <f t="shared" si="224"/>
        <v>7.8328603576765987</v>
      </c>
      <c r="AX192" s="80">
        <f t="shared" si="225"/>
        <v>5.7402027543754404</v>
      </c>
      <c r="AY192" s="80">
        <f t="shared" si="226"/>
        <v>4.3622004996351826</v>
      </c>
      <c r="AZ192" s="80">
        <f t="shared" si="227"/>
        <v>26.737122054744763</v>
      </c>
      <c r="BA192" s="80">
        <f t="shared" si="228"/>
        <v>15.933171401553532</v>
      </c>
      <c r="BB192" s="80">
        <f t="shared" si="204"/>
        <v>411.97859551095598</v>
      </c>
      <c r="BC192" s="80">
        <f t="shared" si="205"/>
        <v>141.63277251082965</v>
      </c>
      <c r="BD192" s="80">
        <f t="shared" si="206"/>
        <v>114.27704266253659</v>
      </c>
      <c r="BE192" s="80">
        <f t="shared" si="207"/>
        <v>81.559351453098884</v>
      </c>
      <c r="BF192" s="80">
        <f t="shared" si="208"/>
        <v>546.90357531978964</v>
      </c>
      <c r="BG192" s="80">
        <f t="shared" si="209"/>
        <v>259.3180879421198</v>
      </c>
      <c r="BH192" s="49">
        <f t="shared" si="210"/>
        <v>0</v>
      </c>
      <c r="BI192" s="79">
        <f t="shared" si="211"/>
        <v>-64449.100414247165</v>
      </c>
      <c r="BJ192" s="79">
        <f t="shared" si="179"/>
        <v>65000</v>
      </c>
      <c r="BK192" s="44">
        <f t="shared" si="212"/>
        <v>8.5478242863270548E-3</v>
      </c>
      <c r="BL192" s="79">
        <f t="shared" si="229"/>
        <v>2908.4441381372831</v>
      </c>
      <c r="BM192" s="49">
        <f t="shared" si="213"/>
        <v>67908.444138137289</v>
      </c>
      <c r="BN192" s="44">
        <f t="shared" si="214"/>
        <v>5.367559363366059E-2</v>
      </c>
      <c r="BO192" s="49">
        <f t="shared" si="180"/>
        <v>3259.0448007579243</v>
      </c>
      <c r="BP192" s="49">
        <f t="shared" si="181"/>
        <v>68259.044800757925</v>
      </c>
      <c r="BQ192" s="44">
        <f t="shared" si="182"/>
        <v>5.9115555717959012E-2</v>
      </c>
      <c r="BS192" s="49">
        <f t="shared" si="183"/>
        <v>64449.100414247165</v>
      </c>
      <c r="BT192" s="49">
        <f t="shared" si="159"/>
        <v>57.34</v>
      </c>
      <c r="BU192" s="49">
        <f t="shared" si="160"/>
        <v>40.060001</v>
      </c>
      <c r="BV192" s="49">
        <f t="shared" si="184"/>
        <v>-3371.9739328758569</v>
      </c>
      <c r="BW192" s="18">
        <f t="shared" si="185"/>
        <v>1050</v>
      </c>
      <c r="BX192" s="19">
        <f t="shared" si="215"/>
        <v>0.75917431192660545</v>
      </c>
      <c r="BY192" s="49">
        <f t="shared" si="216"/>
        <v>-2559.9159903254786</v>
      </c>
      <c r="BZ192" s="19">
        <f t="shared" si="186"/>
        <v>0</v>
      </c>
      <c r="CA192" s="19">
        <f t="shared" si="187"/>
        <v>0</v>
      </c>
      <c r="CB192" s="19">
        <f t="shared" si="188"/>
        <v>0</v>
      </c>
      <c r="CC192" s="19">
        <f t="shared" si="189"/>
        <v>0</v>
      </c>
      <c r="CD192" s="19">
        <f t="shared" si="190"/>
        <v>0</v>
      </c>
      <c r="CE192" s="19">
        <f t="shared" si="191"/>
        <v>0</v>
      </c>
      <c r="CF192" s="49">
        <f t="shared" si="192"/>
        <v>0</v>
      </c>
      <c r="CG192" s="49">
        <f t="shared" si="193"/>
        <v>0</v>
      </c>
      <c r="CH192" s="49">
        <f t="shared" si="194"/>
        <v>0</v>
      </c>
      <c r="CI192" s="49">
        <f t="shared" si="195"/>
        <v>0</v>
      </c>
      <c r="CJ192" s="49">
        <f t="shared" si="196"/>
        <v>0</v>
      </c>
      <c r="CK192" s="49">
        <f t="shared" si="197"/>
        <v>0</v>
      </c>
    </row>
    <row r="193" spans="2:89" ht="12.75" customHeight="1" x14ac:dyDescent="0.2">
      <c r="B193" s="77">
        <v>40350</v>
      </c>
      <c r="C193" s="49">
        <v>55.049999</v>
      </c>
      <c r="D193" s="49">
        <v>46.59</v>
      </c>
      <c r="E193" s="49">
        <v>46.049999</v>
      </c>
      <c r="F193" s="49">
        <v>56.970001000000003</v>
      </c>
      <c r="G193" s="49">
        <v>30.690000999999999</v>
      </c>
      <c r="H193" s="49">
        <v>40.049999</v>
      </c>
      <c r="J193" s="78">
        <f>IF(inter=Weekly_2,J192+$C$5,IF(inter=Bi_weekly_2,0,IF(inter=Monthly_2,0,IF(inter=Quarterly_2,0,IF(inter=Yearly_2,0,IF(inter=None_2,0,0))))))</f>
        <v>0</v>
      </c>
      <c r="K193" s="79">
        <f t="shared" si="198"/>
        <v>0</v>
      </c>
      <c r="L193" s="79">
        <f t="shared" si="199"/>
        <v>0</v>
      </c>
      <c r="M193" s="79">
        <f t="shared" si="200"/>
        <v>0</v>
      </c>
      <c r="N193" s="79">
        <f t="shared" si="201"/>
        <v>0</v>
      </c>
      <c r="O193" s="79">
        <f t="shared" si="202"/>
        <v>0</v>
      </c>
      <c r="P193" s="79">
        <f t="shared" si="203"/>
        <v>0</v>
      </c>
      <c r="Q193" s="79"/>
      <c r="R193" s="80">
        <f t="shared" si="161"/>
        <v>0</v>
      </c>
      <c r="S193" s="80">
        <f t="shared" si="162"/>
        <v>0</v>
      </c>
      <c r="T193" s="80">
        <f t="shared" si="163"/>
        <v>0</v>
      </c>
      <c r="U193" s="80">
        <f t="shared" si="164"/>
        <v>0</v>
      </c>
      <c r="V193" s="80">
        <f t="shared" si="165"/>
        <v>0</v>
      </c>
      <c r="W193" s="80">
        <f t="shared" si="166"/>
        <v>0</v>
      </c>
      <c r="X193" s="80">
        <f t="shared" si="217"/>
        <v>396.75619114056502</v>
      </c>
      <c r="Y193" s="80">
        <f t="shared" si="218"/>
        <v>133.79991215315306</v>
      </c>
      <c r="Z193" s="80">
        <f t="shared" si="219"/>
        <v>108.53683990816114</v>
      </c>
      <c r="AA193" s="80">
        <f t="shared" si="220"/>
        <v>77.197150953463705</v>
      </c>
      <c r="AB193" s="80">
        <f t="shared" si="221"/>
        <v>520.16645326504488</v>
      </c>
      <c r="AC193" s="80">
        <f t="shared" si="222"/>
        <v>243.38491654056625</v>
      </c>
      <c r="AD193" s="80"/>
      <c r="AE193" s="80"/>
      <c r="AF193" s="80"/>
      <c r="AG193" s="80"/>
      <c r="AH193" s="80"/>
      <c r="AI193" s="80"/>
      <c r="AJ193" s="45">
        <f t="shared" si="167"/>
        <v>0</v>
      </c>
      <c r="AK193" s="45">
        <f t="shared" si="168"/>
        <v>0</v>
      </c>
      <c r="AL193" s="45">
        <f t="shared" si="169"/>
        <v>0</v>
      </c>
      <c r="AM193" s="45">
        <f t="shared" si="170"/>
        <v>0</v>
      </c>
      <c r="AN193" s="45">
        <f t="shared" si="171"/>
        <v>0</v>
      </c>
      <c r="AO193" s="45">
        <f t="shared" si="172"/>
        <v>0</v>
      </c>
      <c r="AP193" s="80">
        <f t="shared" si="173"/>
        <v>0</v>
      </c>
      <c r="AQ193" s="80">
        <f t="shared" si="174"/>
        <v>0</v>
      </c>
      <c r="AR193" s="80">
        <f t="shared" si="175"/>
        <v>0</v>
      </c>
      <c r="AS193" s="80">
        <f t="shared" si="176"/>
        <v>0</v>
      </c>
      <c r="AT193" s="80">
        <f t="shared" si="177"/>
        <v>0</v>
      </c>
      <c r="AU193" s="80">
        <f t="shared" si="178"/>
        <v>0</v>
      </c>
      <c r="AV193" s="80">
        <f t="shared" si="223"/>
        <v>15.22240437039096</v>
      </c>
      <c r="AW193" s="80">
        <f t="shared" si="224"/>
        <v>7.8328603576765987</v>
      </c>
      <c r="AX193" s="80">
        <f t="shared" si="225"/>
        <v>5.7402027543754404</v>
      </c>
      <c r="AY193" s="80">
        <f t="shared" si="226"/>
        <v>4.3622004996351826</v>
      </c>
      <c r="AZ193" s="80">
        <f t="shared" si="227"/>
        <v>26.737122054744763</v>
      </c>
      <c r="BA193" s="80">
        <f t="shared" si="228"/>
        <v>15.933171401553532</v>
      </c>
      <c r="BB193" s="80">
        <f t="shared" si="204"/>
        <v>411.97859551095598</v>
      </c>
      <c r="BC193" s="80">
        <f t="shared" si="205"/>
        <v>141.63277251082965</v>
      </c>
      <c r="BD193" s="80">
        <f t="shared" si="206"/>
        <v>114.27704266253659</v>
      </c>
      <c r="BE193" s="80">
        <f t="shared" si="207"/>
        <v>81.559351453098884</v>
      </c>
      <c r="BF193" s="80">
        <f t="shared" si="208"/>
        <v>546.90357531978964</v>
      </c>
      <c r="BG193" s="80">
        <f t="shared" si="209"/>
        <v>259.3180879421198</v>
      </c>
      <c r="BH193" s="49">
        <f t="shared" si="210"/>
        <v>0</v>
      </c>
      <c r="BI193" s="79">
        <f t="shared" si="211"/>
        <v>-64449.100414247165</v>
      </c>
      <c r="BJ193" s="79">
        <f t="shared" si="179"/>
        <v>63182.683603932717</v>
      </c>
      <c r="BK193" s="44">
        <f t="shared" si="212"/>
        <v>-1.9649875672034911E-2</v>
      </c>
      <c r="BL193" s="79">
        <f t="shared" si="229"/>
        <v>2908.4441381372831</v>
      </c>
      <c r="BM193" s="49">
        <f t="shared" si="213"/>
        <v>66091.127742070006</v>
      </c>
      <c r="BN193" s="44">
        <f t="shared" si="214"/>
        <v>2.5477893675298846E-2</v>
      </c>
      <c r="BO193" s="49">
        <f t="shared" si="180"/>
        <v>3174.4630086532607</v>
      </c>
      <c r="BP193" s="49">
        <f t="shared" si="181"/>
        <v>66357.146612585988</v>
      </c>
      <c r="BQ193" s="44">
        <f t="shared" si="182"/>
        <v>2.9605474491883443E-2</v>
      </c>
      <c r="BS193" s="49">
        <f t="shared" si="183"/>
        <v>64449.100414247165</v>
      </c>
      <c r="BT193" s="49">
        <f t="shared" si="159"/>
        <v>55.049999</v>
      </c>
      <c r="BU193" s="49">
        <f t="shared" si="160"/>
        <v>40.049999</v>
      </c>
      <c r="BV193" s="49">
        <f t="shared" si="184"/>
        <v>0</v>
      </c>
      <c r="BW193" s="18">
        <f t="shared" si="185"/>
        <v>1057</v>
      </c>
      <c r="BX193" s="19">
        <f t="shared" si="215"/>
        <v>0.75756880733944953</v>
      </c>
      <c r="BY193" s="49">
        <f t="shared" si="216"/>
        <v>0</v>
      </c>
      <c r="BZ193" s="19">
        <f t="shared" si="186"/>
        <v>0</v>
      </c>
      <c r="CA193" s="19">
        <f t="shared" si="187"/>
        <v>0</v>
      </c>
      <c r="CB193" s="19">
        <f t="shared" si="188"/>
        <v>0</v>
      </c>
      <c r="CC193" s="19">
        <f t="shared" si="189"/>
        <v>0</v>
      </c>
      <c r="CD193" s="19">
        <f t="shared" si="190"/>
        <v>0</v>
      </c>
      <c r="CE193" s="19">
        <f t="shared" si="191"/>
        <v>0</v>
      </c>
      <c r="CF193" s="49">
        <f t="shared" si="192"/>
        <v>0</v>
      </c>
      <c r="CG193" s="49">
        <f t="shared" si="193"/>
        <v>0</v>
      </c>
      <c r="CH193" s="49">
        <f t="shared" si="194"/>
        <v>0</v>
      </c>
      <c r="CI193" s="49">
        <f t="shared" si="195"/>
        <v>0</v>
      </c>
      <c r="CJ193" s="49">
        <f t="shared" si="196"/>
        <v>0</v>
      </c>
      <c r="CK193" s="49">
        <f t="shared" si="197"/>
        <v>0</v>
      </c>
    </row>
    <row r="194" spans="2:89" ht="12.75" customHeight="1" x14ac:dyDescent="0.2">
      <c r="B194" s="77">
        <v>40357</v>
      </c>
      <c r="C194" s="49">
        <v>52.080002</v>
      </c>
      <c r="D194" s="49">
        <v>44.169998</v>
      </c>
      <c r="E194" s="49">
        <v>43.169998</v>
      </c>
      <c r="F194" s="49">
        <v>52.990001999999997</v>
      </c>
      <c r="G194" s="49">
        <v>29.52</v>
      </c>
      <c r="H194" s="49">
        <v>38.299999</v>
      </c>
      <c r="J194" s="78">
        <f>IF(inter=Weekly_2,J193+$C$5,IF(inter=Bi_weekly_2,J192+$C$5,IF(inter=Monthly_2,J190+$C$5,IF(inter=Quarterly_2,0,IF(inter=Yearly_2,0,IF(inter=None_2,0,0))))))</f>
        <v>65600</v>
      </c>
      <c r="K194" s="79">
        <f t="shared" si="198"/>
        <v>-2296.9367718869908</v>
      </c>
      <c r="L194" s="79">
        <f t="shared" si="199"/>
        <v>-650.05814779505363</v>
      </c>
      <c r="M194" s="79">
        <f t="shared" si="200"/>
        <v>-562.46483823836297</v>
      </c>
      <c r="N194" s="79">
        <f t="shared" si="201"/>
        <v>-501.32281658165675</v>
      </c>
      <c r="O194" s="79">
        <f t="shared" si="202"/>
        <v>-1044.6862996158761</v>
      </c>
      <c r="P194" s="79">
        <f t="shared" si="203"/>
        <v>-518.35793988122896</v>
      </c>
      <c r="Q194" s="79"/>
      <c r="R194" s="80">
        <f t="shared" si="161"/>
        <v>44.104006983083273</v>
      </c>
      <c r="S194" s="80">
        <f t="shared" si="162"/>
        <v>14.717187621223204</v>
      </c>
      <c r="T194" s="80">
        <f t="shared" si="163"/>
        <v>13.029067970731965</v>
      </c>
      <c r="U194" s="80">
        <f t="shared" si="164"/>
        <v>9.4607057493913054</v>
      </c>
      <c r="V194" s="80">
        <f t="shared" si="165"/>
        <v>35.389102290510706</v>
      </c>
      <c r="W194" s="80">
        <f t="shared" si="166"/>
        <v>13.534150219722694</v>
      </c>
      <c r="X194" s="80">
        <f t="shared" si="217"/>
        <v>440.86019812364827</v>
      </c>
      <c r="Y194" s="80">
        <f t="shared" si="218"/>
        <v>148.51709977437628</v>
      </c>
      <c r="Z194" s="80">
        <f t="shared" si="219"/>
        <v>121.56590787889311</v>
      </c>
      <c r="AA194" s="80">
        <f t="shared" si="220"/>
        <v>86.657856702855014</v>
      </c>
      <c r="AB194" s="80">
        <f t="shared" si="221"/>
        <v>555.55555555555554</v>
      </c>
      <c r="AC194" s="80">
        <f t="shared" si="222"/>
        <v>256.91906676028896</v>
      </c>
      <c r="AD194" s="80">
        <v>0.26900000000000002</v>
      </c>
      <c r="AE194" s="80">
        <v>0.32700000000000001</v>
      </c>
      <c r="AF194" s="80"/>
      <c r="AG194" s="80"/>
      <c r="AH194" s="80"/>
      <c r="AI194" s="80"/>
      <c r="AJ194" s="45">
        <f t="shared" si="167"/>
        <v>118.5913932952614</v>
      </c>
      <c r="AK194" s="45">
        <f t="shared" si="168"/>
        <v>48.565091626221047</v>
      </c>
      <c r="AL194" s="45">
        <f t="shared" si="169"/>
        <v>0</v>
      </c>
      <c r="AM194" s="45">
        <f t="shared" si="170"/>
        <v>0</v>
      </c>
      <c r="AN194" s="45">
        <f t="shared" si="171"/>
        <v>0</v>
      </c>
      <c r="AO194" s="45">
        <f t="shared" si="172"/>
        <v>0</v>
      </c>
      <c r="AP194" s="80">
        <f t="shared" si="173"/>
        <v>2.2771003982538516</v>
      </c>
      <c r="AQ194" s="80">
        <f t="shared" si="174"/>
        <v>1.0995040485675605</v>
      </c>
      <c r="AR194" s="80">
        <f t="shared" si="175"/>
        <v>0</v>
      </c>
      <c r="AS194" s="80">
        <f t="shared" si="176"/>
        <v>0</v>
      </c>
      <c r="AT194" s="80">
        <f t="shared" si="177"/>
        <v>0</v>
      </c>
      <c r="AU194" s="80">
        <f t="shared" si="178"/>
        <v>0</v>
      </c>
      <c r="AV194" s="80">
        <f t="shared" si="223"/>
        <v>17.499504768644812</v>
      </c>
      <c r="AW194" s="80">
        <f t="shared" si="224"/>
        <v>8.9323644062441598</v>
      </c>
      <c r="AX194" s="80">
        <f t="shared" si="225"/>
        <v>5.7402027543754404</v>
      </c>
      <c r="AY194" s="80">
        <f t="shared" si="226"/>
        <v>4.3622004996351826</v>
      </c>
      <c r="AZ194" s="80">
        <f t="shared" si="227"/>
        <v>26.737122054744763</v>
      </c>
      <c r="BA194" s="80">
        <f t="shared" si="228"/>
        <v>15.933171401553532</v>
      </c>
      <c r="BB194" s="80">
        <f t="shared" si="204"/>
        <v>458.35970289229306</v>
      </c>
      <c r="BC194" s="80">
        <f t="shared" si="205"/>
        <v>157.44946418062042</v>
      </c>
      <c r="BD194" s="80">
        <f t="shared" si="206"/>
        <v>127.30611063326856</v>
      </c>
      <c r="BE194" s="80">
        <f t="shared" si="207"/>
        <v>91.020057202490193</v>
      </c>
      <c r="BF194" s="80">
        <f t="shared" si="208"/>
        <v>582.2926776103003</v>
      </c>
      <c r="BG194" s="80">
        <f t="shared" si="209"/>
        <v>272.85223816184248</v>
      </c>
      <c r="BH194" s="49">
        <f t="shared" si="210"/>
        <v>167.15648492148244</v>
      </c>
      <c r="BI194" s="79">
        <f t="shared" si="211"/>
        <v>-70022.927228246321</v>
      </c>
      <c r="BJ194" s="79">
        <f t="shared" si="179"/>
        <v>65600</v>
      </c>
      <c r="BK194" s="44">
        <f t="shared" si="212"/>
        <v>-6.3163986473021572E-2</v>
      </c>
      <c r="BL194" s="79">
        <f t="shared" si="229"/>
        <v>3075.6006230587654</v>
      </c>
      <c r="BM194" s="49">
        <f t="shared" si="213"/>
        <v>68675.600623058766</v>
      </c>
      <c r="BN194" s="44">
        <f t="shared" si="214"/>
        <v>-1.9241220818944305E-2</v>
      </c>
      <c r="BO194" s="49">
        <f t="shared" si="180"/>
        <v>3184.3946077375531</v>
      </c>
      <c r="BP194" s="49">
        <f t="shared" si="181"/>
        <v>68784.394607737544</v>
      </c>
      <c r="BQ194" s="44">
        <f t="shared" si="182"/>
        <v>-1.7687529921045164E-2</v>
      </c>
      <c r="BS194" s="49">
        <f t="shared" si="183"/>
        <v>70022.927228246321</v>
      </c>
      <c r="BT194" s="49">
        <f t="shared" si="159"/>
        <v>52.080002</v>
      </c>
      <c r="BU194" s="49">
        <f t="shared" si="160"/>
        <v>38.299999</v>
      </c>
      <c r="BV194" s="49">
        <f t="shared" si="184"/>
        <v>5406.6703290776859</v>
      </c>
      <c r="BW194" s="18">
        <f t="shared" si="185"/>
        <v>1064</v>
      </c>
      <c r="BX194" s="19">
        <f t="shared" si="215"/>
        <v>0.75596330275229362</v>
      </c>
      <c r="BY194" s="49">
        <f t="shared" si="216"/>
        <v>4087.2443588623978</v>
      </c>
      <c r="BZ194" s="19">
        <f t="shared" si="186"/>
        <v>44.104006983083273</v>
      </c>
      <c r="CA194" s="19">
        <f t="shared" si="187"/>
        <v>14.717187621223204</v>
      </c>
      <c r="CB194" s="19">
        <f t="shared" si="188"/>
        <v>13.029067970731965</v>
      </c>
      <c r="CC194" s="19">
        <f t="shared" si="189"/>
        <v>9.4607057493913054</v>
      </c>
      <c r="CD194" s="19">
        <f t="shared" si="190"/>
        <v>35.389102290510706</v>
      </c>
      <c r="CE194" s="19">
        <f t="shared" si="191"/>
        <v>13.534150219722694</v>
      </c>
      <c r="CF194" s="49">
        <f t="shared" si="192"/>
        <v>-2296.9367718869908</v>
      </c>
      <c r="CG194" s="49">
        <f t="shared" si="193"/>
        <v>-650.05814779505363</v>
      </c>
      <c r="CH194" s="49">
        <f t="shared" si="194"/>
        <v>-562.46483823836297</v>
      </c>
      <c r="CI194" s="49">
        <f t="shared" si="195"/>
        <v>-501.32281658165675</v>
      </c>
      <c r="CJ194" s="49">
        <f t="shared" si="196"/>
        <v>-1044.6862996158761</v>
      </c>
      <c r="CK194" s="49">
        <f t="shared" si="197"/>
        <v>-518.35793988122896</v>
      </c>
    </row>
    <row r="195" spans="2:89" ht="12.75" customHeight="1" x14ac:dyDescent="0.2">
      <c r="B195" s="77">
        <v>40365</v>
      </c>
      <c r="C195" s="49">
        <v>54.889999000000003</v>
      </c>
      <c r="D195" s="49">
        <v>46.709999000000003</v>
      </c>
      <c r="E195" s="49">
        <v>45.860000999999997</v>
      </c>
      <c r="F195" s="49">
        <v>55.91</v>
      </c>
      <c r="G195" s="49">
        <v>31.450001</v>
      </c>
      <c r="H195" s="49">
        <v>40.479999999999997</v>
      </c>
      <c r="J195" s="78">
        <f>IF(inter=Weekly_2,J194+$C$5,IF(inter=Bi_weekly_2,0,IF(inter=Monthly_2,0,IF(inter=Quarterly_2,0,IF(inter=Yearly_2,0,IF(inter=None_2,0,0))))))</f>
        <v>0</v>
      </c>
      <c r="K195" s="79">
        <f t="shared" si="198"/>
        <v>0</v>
      </c>
      <c r="L195" s="79">
        <f t="shared" si="199"/>
        <v>0</v>
      </c>
      <c r="M195" s="79">
        <f t="shared" si="200"/>
        <v>0</v>
      </c>
      <c r="N195" s="79">
        <f t="shared" si="201"/>
        <v>0</v>
      </c>
      <c r="O195" s="79">
        <f t="shared" si="202"/>
        <v>0</v>
      </c>
      <c r="P195" s="79">
        <f t="shared" si="203"/>
        <v>0</v>
      </c>
      <c r="Q195" s="79"/>
      <c r="R195" s="80">
        <f t="shared" si="161"/>
        <v>0</v>
      </c>
      <c r="S195" s="80">
        <f t="shared" si="162"/>
        <v>0</v>
      </c>
      <c r="T195" s="80">
        <f t="shared" si="163"/>
        <v>0</v>
      </c>
      <c r="U195" s="80">
        <f t="shared" si="164"/>
        <v>0</v>
      </c>
      <c r="V195" s="80">
        <f t="shared" si="165"/>
        <v>0</v>
      </c>
      <c r="W195" s="80">
        <f t="shared" si="166"/>
        <v>0</v>
      </c>
      <c r="X195" s="80">
        <f t="shared" si="217"/>
        <v>440.86019812364827</v>
      </c>
      <c r="Y195" s="80">
        <f t="shared" si="218"/>
        <v>148.51709977437628</v>
      </c>
      <c r="Z195" s="80">
        <f t="shared" si="219"/>
        <v>121.56590787889311</v>
      </c>
      <c r="AA195" s="80">
        <f t="shared" si="220"/>
        <v>86.657856702855014</v>
      </c>
      <c r="AB195" s="80">
        <f t="shared" si="221"/>
        <v>555.55555555555554</v>
      </c>
      <c r="AC195" s="80">
        <f t="shared" si="222"/>
        <v>256.91906676028896</v>
      </c>
      <c r="AD195" s="80"/>
      <c r="AE195" s="80"/>
      <c r="AF195" s="80"/>
      <c r="AG195" s="80"/>
      <c r="AH195" s="80"/>
      <c r="AI195" s="80"/>
      <c r="AJ195" s="45">
        <f t="shared" si="167"/>
        <v>0</v>
      </c>
      <c r="AK195" s="45">
        <f t="shared" si="168"/>
        <v>0</v>
      </c>
      <c r="AL195" s="45">
        <f t="shared" si="169"/>
        <v>0</v>
      </c>
      <c r="AM195" s="45">
        <f t="shared" si="170"/>
        <v>0</v>
      </c>
      <c r="AN195" s="45">
        <f t="shared" si="171"/>
        <v>0</v>
      </c>
      <c r="AO195" s="45">
        <f t="shared" si="172"/>
        <v>0</v>
      </c>
      <c r="AP195" s="80">
        <f t="shared" si="173"/>
        <v>0</v>
      </c>
      <c r="AQ195" s="80">
        <f t="shared" si="174"/>
        <v>0</v>
      </c>
      <c r="AR195" s="80">
        <f t="shared" si="175"/>
        <v>0</v>
      </c>
      <c r="AS195" s="80">
        <f t="shared" si="176"/>
        <v>0</v>
      </c>
      <c r="AT195" s="80">
        <f t="shared" si="177"/>
        <v>0</v>
      </c>
      <c r="AU195" s="80">
        <f t="shared" si="178"/>
        <v>0</v>
      </c>
      <c r="AV195" s="80">
        <f t="shared" si="223"/>
        <v>17.499504768644812</v>
      </c>
      <c r="AW195" s="80">
        <f t="shared" si="224"/>
        <v>8.9323644062441598</v>
      </c>
      <c r="AX195" s="80">
        <f t="shared" si="225"/>
        <v>5.7402027543754404</v>
      </c>
      <c r="AY195" s="80">
        <f t="shared" si="226"/>
        <v>4.3622004996351826</v>
      </c>
      <c r="AZ195" s="80">
        <f t="shared" si="227"/>
        <v>26.737122054744763</v>
      </c>
      <c r="BA195" s="80">
        <f t="shared" si="228"/>
        <v>15.933171401553532</v>
      </c>
      <c r="BB195" s="80">
        <f t="shared" si="204"/>
        <v>458.35970289229306</v>
      </c>
      <c r="BC195" s="80">
        <f t="shared" si="205"/>
        <v>157.44946418062042</v>
      </c>
      <c r="BD195" s="80">
        <f t="shared" si="206"/>
        <v>127.30611063326856</v>
      </c>
      <c r="BE195" s="80">
        <f t="shared" si="207"/>
        <v>91.020057202490193</v>
      </c>
      <c r="BF195" s="80">
        <f t="shared" si="208"/>
        <v>582.2926776103003</v>
      </c>
      <c r="BG195" s="80">
        <f t="shared" si="209"/>
        <v>272.85223816184248</v>
      </c>
      <c r="BH195" s="49">
        <f t="shared" si="210"/>
        <v>0</v>
      </c>
      <c r="BI195" s="79">
        <f t="shared" si="211"/>
        <v>-70022.927228246321</v>
      </c>
      <c r="BJ195" s="79">
        <f t="shared" si="179"/>
        <v>69428.409441473719</v>
      </c>
      <c r="BK195" s="44">
        <f t="shared" si="212"/>
        <v>-8.4903303861422197E-3</v>
      </c>
      <c r="BL195" s="79">
        <f t="shared" si="229"/>
        <v>3075.6006230587654</v>
      </c>
      <c r="BM195" s="49">
        <f t="shared" si="213"/>
        <v>72504.010064532486</v>
      </c>
      <c r="BN195" s="44">
        <f t="shared" si="214"/>
        <v>3.5432435267935158E-2</v>
      </c>
      <c r="BO195" s="49">
        <f t="shared" si="180"/>
        <v>3370.7721594189043</v>
      </c>
      <c r="BP195" s="49">
        <f t="shared" si="181"/>
        <v>72799.181600892625</v>
      </c>
      <c r="BQ195" s="44">
        <f t="shared" si="182"/>
        <v>3.9647790838518437E-2</v>
      </c>
      <c r="BS195" s="49">
        <f t="shared" si="183"/>
        <v>70022.927228246321</v>
      </c>
      <c r="BT195" s="49">
        <f t="shared" si="159"/>
        <v>54.889999000000003</v>
      </c>
      <c r="BU195" s="49">
        <f t="shared" si="160"/>
        <v>40.479999999999997</v>
      </c>
      <c r="BV195" s="49">
        <f t="shared" si="184"/>
        <v>0</v>
      </c>
      <c r="BW195" s="18">
        <f t="shared" si="185"/>
        <v>1072</v>
      </c>
      <c r="BX195" s="19">
        <f t="shared" si="215"/>
        <v>0.75412844036697246</v>
      </c>
      <c r="BY195" s="49">
        <f t="shared" si="216"/>
        <v>0</v>
      </c>
      <c r="BZ195" s="19">
        <f t="shared" si="186"/>
        <v>0</v>
      </c>
      <c r="CA195" s="19">
        <f t="shared" si="187"/>
        <v>0</v>
      </c>
      <c r="CB195" s="19">
        <f t="shared" si="188"/>
        <v>0</v>
      </c>
      <c r="CC195" s="19">
        <f t="shared" si="189"/>
        <v>0</v>
      </c>
      <c r="CD195" s="19">
        <f t="shared" si="190"/>
        <v>0</v>
      </c>
      <c r="CE195" s="19">
        <f t="shared" si="191"/>
        <v>0</v>
      </c>
      <c r="CF195" s="49">
        <f t="shared" si="192"/>
        <v>0</v>
      </c>
      <c r="CG195" s="49">
        <f t="shared" si="193"/>
        <v>0</v>
      </c>
      <c r="CH195" s="49">
        <f t="shared" si="194"/>
        <v>0</v>
      </c>
      <c r="CI195" s="49">
        <f t="shared" si="195"/>
        <v>0</v>
      </c>
      <c r="CJ195" s="49">
        <f t="shared" si="196"/>
        <v>0</v>
      </c>
      <c r="CK195" s="49">
        <f t="shared" si="197"/>
        <v>0</v>
      </c>
    </row>
    <row r="196" spans="2:89" ht="12.75" customHeight="1" x14ac:dyDescent="0.2">
      <c r="B196" s="77">
        <v>40371</v>
      </c>
      <c r="C196" s="49">
        <v>54.23</v>
      </c>
      <c r="D196" s="49">
        <v>45.93</v>
      </c>
      <c r="E196" s="49">
        <v>44.84</v>
      </c>
      <c r="F196" s="49">
        <v>54.540000999999997</v>
      </c>
      <c r="G196" s="49">
        <v>31.120000999999998</v>
      </c>
      <c r="H196" s="49">
        <v>39.369999</v>
      </c>
      <c r="J196" s="78">
        <f>IF(inter=Weekly_2,J195+$C$5,IF(inter=Bi_weekly_2,J194+$C$5,IF(inter=Monthly_2,0,IF(inter=Quarterly_2,0,IF(inter=Yearly_2,0,IF(inter=None_2,0,0))))))</f>
        <v>66200</v>
      </c>
      <c r="K196" s="79">
        <f t="shared" si="198"/>
        <v>737.84854424544392</v>
      </c>
      <c r="L196" s="79">
        <f t="shared" si="199"/>
        <v>201.3903926371022</v>
      </c>
      <c r="M196" s="79">
        <f t="shared" si="200"/>
        <v>155.01530928956799</v>
      </c>
      <c r="N196" s="79">
        <f t="shared" si="201"/>
        <v>92.319591231568666</v>
      </c>
      <c r="O196" s="79">
        <f t="shared" si="202"/>
        <v>738.88944444444496</v>
      </c>
      <c r="P196" s="79">
        <f t="shared" si="203"/>
        <v>184.90340143351023</v>
      </c>
      <c r="Q196" s="79"/>
      <c r="R196" s="80">
        <f t="shared" si="161"/>
        <v>-13.605910828792991</v>
      </c>
      <c r="S196" s="80">
        <f t="shared" si="162"/>
        <v>-4.3847244205770126</v>
      </c>
      <c r="T196" s="80">
        <f t="shared" si="163"/>
        <v>-3.4570764783578944</v>
      </c>
      <c r="U196" s="80">
        <f t="shared" si="164"/>
        <v>-1.6926950777204546</v>
      </c>
      <c r="V196" s="80">
        <f t="shared" si="165"/>
        <v>-23.743233313020941</v>
      </c>
      <c r="W196" s="80">
        <f t="shared" si="166"/>
        <v>-4.6965559088154976</v>
      </c>
      <c r="X196" s="80">
        <f t="shared" si="217"/>
        <v>427.25428729485526</v>
      </c>
      <c r="Y196" s="80">
        <f t="shared" si="218"/>
        <v>144.13237535379926</v>
      </c>
      <c r="Z196" s="80">
        <f t="shared" si="219"/>
        <v>118.10883140053522</v>
      </c>
      <c r="AA196" s="80">
        <f t="shared" si="220"/>
        <v>84.965161625134556</v>
      </c>
      <c r="AB196" s="80">
        <f t="shared" si="221"/>
        <v>531.81232224253461</v>
      </c>
      <c r="AC196" s="80">
        <f t="shared" si="222"/>
        <v>252.22251085147346</v>
      </c>
      <c r="AD196" s="80"/>
      <c r="AE196" s="80"/>
      <c r="AF196" s="80"/>
      <c r="AG196" s="80"/>
      <c r="AH196" s="80"/>
      <c r="AI196" s="80"/>
      <c r="AJ196" s="45">
        <f t="shared" si="167"/>
        <v>0</v>
      </c>
      <c r="AK196" s="45">
        <f t="shared" si="168"/>
        <v>0</v>
      </c>
      <c r="AL196" s="45">
        <f t="shared" si="169"/>
        <v>0</v>
      </c>
      <c r="AM196" s="45">
        <f t="shared" si="170"/>
        <v>0</v>
      </c>
      <c r="AN196" s="45">
        <f t="shared" si="171"/>
        <v>0</v>
      </c>
      <c r="AO196" s="45">
        <f t="shared" si="172"/>
        <v>0</v>
      </c>
      <c r="AP196" s="80">
        <f t="shared" si="173"/>
        <v>0</v>
      </c>
      <c r="AQ196" s="80">
        <f t="shared" si="174"/>
        <v>0</v>
      </c>
      <c r="AR196" s="80">
        <f t="shared" si="175"/>
        <v>0</v>
      </c>
      <c r="AS196" s="80">
        <f t="shared" si="176"/>
        <v>0</v>
      </c>
      <c r="AT196" s="80">
        <f t="shared" si="177"/>
        <v>0</v>
      </c>
      <c r="AU196" s="80">
        <f t="shared" si="178"/>
        <v>0</v>
      </c>
      <c r="AV196" s="80">
        <f t="shared" si="223"/>
        <v>17.499504768644812</v>
      </c>
      <c r="AW196" s="80">
        <f t="shared" si="224"/>
        <v>8.9323644062441598</v>
      </c>
      <c r="AX196" s="80">
        <f t="shared" si="225"/>
        <v>5.7402027543754404</v>
      </c>
      <c r="AY196" s="80">
        <f t="shared" si="226"/>
        <v>4.3622004996351826</v>
      </c>
      <c r="AZ196" s="80">
        <f t="shared" si="227"/>
        <v>26.737122054744763</v>
      </c>
      <c r="BA196" s="80">
        <f t="shared" si="228"/>
        <v>15.933171401553532</v>
      </c>
      <c r="BB196" s="80">
        <f t="shared" si="204"/>
        <v>444.7537920635001</v>
      </c>
      <c r="BC196" s="80">
        <f t="shared" si="205"/>
        <v>153.06473976004341</v>
      </c>
      <c r="BD196" s="80">
        <f t="shared" si="206"/>
        <v>123.84903415491067</v>
      </c>
      <c r="BE196" s="80">
        <f t="shared" si="207"/>
        <v>89.327362124769735</v>
      </c>
      <c r="BF196" s="80">
        <f t="shared" si="208"/>
        <v>558.54944429727936</v>
      </c>
      <c r="BG196" s="80">
        <f t="shared" si="209"/>
        <v>268.15568225302701</v>
      </c>
      <c r="BH196" s="49">
        <f t="shared" si="210"/>
        <v>0</v>
      </c>
      <c r="BI196" s="79">
        <f t="shared" si="211"/>
        <v>-67912.560544964697</v>
      </c>
      <c r="BJ196" s="79">
        <f t="shared" si="179"/>
        <v>66200</v>
      </c>
      <c r="BK196" s="44">
        <f t="shared" si="212"/>
        <v>-2.5217139969723523E-2</v>
      </c>
      <c r="BL196" s="79">
        <f t="shared" si="229"/>
        <v>3075.6006230587654</v>
      </c>
      <c r="BM196" s="49">
        <f t="shared" si="213"/>
        <v>69275.600623058766</v>
      </c>
      <c r="BN196" s="44">
        <f t="shared" si="214"/>
        <v>2.0070515191245031E-2</v>
      </c>
      <c r="BO196" s="49">
        <f t="shared" si="180"/>
        <v>3313.914959127671</v>
      </c>
      <c r="BP196" s="49">
        <f t="shared" si="181"/>
        <v>69513.914959127665</v>
      </c>
      <c r="BQ196" s="44">
        <f t="shared" si="182"/>
        <v>2.3579650087007353E-2</v>
      </c>
      <c r="BS196" s="49">
        <f t="shared" si="183"/>
        <v>67912.560544964697</v>
      </c>
      <c r="BT196" s="49">
        <f t="shared" si="159"/>
        <v>54.23</v>
      </c>
      <c r="BU196" s="49">
        <f t="shared" si="160"/>
        <v>39.369999</v>
      </c>
      <c r="BV196" s="49">
        <f t="shared" si="184"/>
        <v>-2110.366683281638</v>
      </c>
      <c r="BW196" s="18">
        <f t="shared" si="185"/>
        <v>1078</v>
      </c>
      <c r="BX196" s="19">
        <f t="shared" si="215"/>
        <v>0.75275229357798168</v>
      </c>
      <c r="BY196" s="49">
        <f t="shared" si="216"/>
        <v>-1588.583361130811</v>
      </c>
      <c r="BZ196" s="19">
        <f t="shared" si="186"/>
        <v>0</v>
      </c>
      <c r="CA196" s="19">
        <f t="shared" si="187"/>
        <v>0</v>
      </c>
      <c r="CB196" s="19">
        <f t="shared" si="188"/>
        <v>0</v>
      </c>
      <c r="CC196" s="19">
        <f t="shared" si="189"/>
        <v>0</v>
      </c>
      <c r="CD196" s="19">
        <f t="shared" si="190"/>
        <v>0</v>
      </c>
      <c r="CE196" s="19">
        <f t="shared" si="191"/>
        <v>0</v>
      </c>
      <c r="CF196" s="49">
        <f t="shared" si="192"/>
        <v>0</v>
      </c>
      <c r="CG196" s="49">
        <f t="shared" si="193"/>
        <v>0</v>
      </c>
      <c r="CH196" s="49">
        <f t="shared" si="194"/>
        <v>0</v>
      </c>
      <c r="CI196" s="49">
        <f t="shared" si="195"/>
        <v>0</v>
      </c>
      <c r="CJ196" s="49">
        <f t="shared" si="196"/>
        <v>0</v>
      </c>
      <c r="CK196" s="49">
        <f t="shared" si="197"/>
        <v>0</v>
      </c>
    </row>
    <row r="197" spans="2:89" ht="12.75" customHeight="1" x14ac:dyDescent="0.2">
      <c r="B197" s="77">
        <v>40378</v>
      </c>
      <c r="C197" s="49">
        <v>56.259998000000003</v>
      </c>
      <c r="D197" s="49">
        <v>47.43</v>
      </c>
      <c r="E197" s="49">
        <v>46.889999000000003</v>
      </c>
      <c r="F197" s="49">
        <v>57.790000999999997</v>
      </c>
      <c r="G197" s="49">
        <v>32.389999000000003</v>
      </c>
      <c r="H197" s="49">
        <v>41.650002000000001</v>
      </c>
      <c r="J197" s="78">
        <f>IF(inter=Weekly_2,J196+$C$5,IF(inter=Bi_weekly_2,0,IF(inter=Monthly_2,0,IF(inter=Quarterly_2,0,IF(inter=Yearly_2,0,IF(inter=None_2,0,0))))))</f>
        <v>0</v>
      </c>
      <c r="K197" s="79">
        <f t="shared" si="198"/>
        <v>0</v>
      </c>
      <c r="L197" s="79">
        <f t="shared" si="199"/>
        <v>0</v>
      </c>
      <c r="M197" s="79">
        <f t="shared" si="200"/>
        <v>0</v>
      </c>
      <c r="N197" s="79">
        <f t="shared" si="201"/>
        <v>0</v>
      </c>
      <c r="O197" s="79">
        <f t="shared" si="202"/>
        <v>0</v>
      </c>
      <c r="P197" s="79">
        <f t="shared" si="203"/>
        <v>0</v>
      </c>
      <c r="Q197" s="79"/>
      <c r="R197" s="80">
        <f t="shared" si="161"/>
        <v>0</v>
      </c>
      <c r="S197" s="80">
        <f t="shared" si="162"/>
        <v>0</v>
      </c>
      <c r="T197" s="80">
        <f t="shared" si="163"/>
        <v>0</v>
      </c>
      <c r="U197" s="80">
        <f t="shared" si="164"/>
        <v>0</v>
      </c>
      <c r="V197" s="80">
        <f t="shared" si="165"/>
        <v>0</v>
      </c>
      <c r="W197" s="80">
        <f t="shared" si="166"/>
        <v>0</v>
      </c>
      <c r="X197" s="80">
        <f t="shared" si="217"/>
        <v>427.25428729485526</v>
      </c>
      <c r="Y197" s="80">
        <f t="shared" si="218"/>
        <v>144.13237535379926</v>
      </c>
      <c r="Z197" s="80">
        <f t="shared" si="219"/>
        <v>118.10883140053522</v>
      </c>
      <c r="AA197" s="80">
        <f t="shared" si="220"/>
        <v>84.965161625134556</v>
      </c>
      <c r="AB197" s="80">
        <f t="shared" si="221"/>
        <v>531.81232224253461</v>
      </c>
      <c r="AC197" s="80">
        <f t="shared" si="222"/>
        <v>252.22251085147346</v>
      </c>
      <c r="AD197" s="80"/>
      <c r="AE197" s="80"/>
      <c r="AF197" s="80"/>
      <c r="AG197" s="80"/>
      <c r="AH197" s="80"/>
      <c r="AI197" s="80"/>
      <c r="AJ197" s="45">
        <f t="shared" si="167"/>
        <v>0</v>
      </c>
      <c r="AK197" s="45">
        <f t="shared" si="168"/>
        <v>0</v>
      </c>
      <c r="AL197" s="45">
        <f t="shared" si="169"/>
        <v>0</v>
      </c>
      <c r="AM197" s="45">
        <f t="shared" si="170"/>
        <v>0</v>
      </c>
      <c r="AN197" s="45">
        <f t="shared" si="171"/>
        <v>0</v>
      </c>
      <c r="AO197" s="45">
        <f t="shared" si="172"/>
        <v>0</v>
      </c>
      <c r="AP197" s="80">
        <f t="shared" si="173"/>
        <v>0</v>
      </c>
      <c r="AQ197" s="80">
        <f t="shared" si="174"/>
        <v>0</v>
      </c>
      <c r="AR197" s="80">
        <f t="shared" si="175"/>
        <v>0</v>
      </c>
      <c r="AS197" s="80">
        <f t="shared" si="176"/>
        <v>0</v>
      </c>
      <c r="AT197" s="80">
        <f t="shared" si="177"/>
        <v>0</v>
      </c>
      <c r="AU197" s="80">
        <f t="shared" si="178"/>
        <v>0</v>
      </c>
      <c r="AV197" s="80">
        <f t="shared" si="223"/>
        <v>17.499504768644812</v>
      </c>
      <c r="AW197" s="80">
        <f t="shared" si="224"/>
        <v>8.9323644062441598</v>
      </c>
      <c r="AX197" s="80">
        <f t="shared" si="225"/>
        <v>5.7402027543754404</v>
      </c>
      <c r="AY197" s="80">
        <f t="shared" si="226"/>
        <v>4.3622004996351826</v>
      </c>
      <c r="AZ197" s="80">
        <f t="shared" si="227"/>
        <v>26.737122054744763</v>
      </c>
      <c r="BA197" s="80">
        <f t="shared" si="228"/>
        <v>15.933171401553532</v>
      </c>
      <c r="BB197" s="80">
        <f t="shared" si="204"/>
        <v>444.7537920635001</v>
      </c>
      <c r="BC197" s="80">
        <f t="shared" si="205"/>
        <v>153.06473976004341</v>
      </c>
      <c r="BD197" s="80">
        <f t="shared" si="206"/>
        <v>123.84903415491067</v>
      </c>
      <c r="BE197" s="80">
        <f t="shared" si="207"/>
        <v>89.327362124769735</v>
      </c>
      <c r="BF197" s="80">
        <f t="shared" si="208"/>
        <v>558.54944429727936</v>
      </c>
      <c r="BG197" s="80">
        <f t="shared" si="209"/>
        <v>268.15568225302701</v>
      </c>
      <c r="BH197" s="49">
        <f t="shared" si="210"/>
        <v>0</v>
      </c>
      <c r="BI197" s="79">
        <f t="shared" si="211"/>
        <v>-67912.560544964697</v>
      </c>
      <c r="BJ197" s="79">
        <f t="shared" si="179"/>
        <v>69052.252340306906</v>
      </c>
      <c r="BK197" s="44">
        <f t="shared" si="212"/>
        <v>1.6781752686053197E-2</v>
      </c>
      <c r="BL197" s="79">
        <f t="shared" si="229"/>
        <v>3075.6006230587654</v>
      </c>
      <c r="BM197" s="49">
        <f t="shared" si="213"/>
        <v>72127.852963365673</v>
      </c>
      <c r="BN197" s="44">
        <f t="shared" si="214"/>
        <v>6.2069407847021862E-2</v>
      </c>
      <c r="BO197" s="49">
        <f t="shared" si="180"/>
        <v>3459.0657970787956</v>
      </c>
      <c r="BP197" s="49">
        <f t="shared" si="181"/>
        <v>72511.318137385693</v>
      </c>
      <c r="BQ197" s="44">
        <f t="shared" si="182"/>
        <v>6.7715862213385103E-2</v>
      </c>
      <c r="BS197" s="49">
        <f t="shared" si="183"/>
        <v>67912.560544964697</v>
      </c>
      <c r="BT197" s="49">
        <f t="shared" si="159"/>
        <v>56.259998000000003</v>
      </c>
      <c r="BU197" s="49">
        <f t="shared" si="160"/>
        <v>41.650002000000001</v>
      </c>
      <c r="BV197" s="49">
        <f t="shared" si="184"/>
        <v>0</v>
      </c>
      <c r="BW197" s="18">
        <f t="shared" si="185"/>
        <v>1085</v>
      </c>
      <c r="BX197" s="19">
        <f t="shared" si="215"/>
        <v>0.75114678899082565</v>
      </c>
      <c r="BY197" s="49">
        <f t="shared" si="216"/>
        <v>0</v>
      </c>
      <c r="BZ197" s="19">
        <f t="shared" si="186"/>
        <v>0</v>
      </c>
      <c r="CA197" s="19">
        <f t="shared" si="187"/>
        <v>0</v>
      </c>
      <c r="CB197" s="19">
        <f t="shared" si="188"/>
        <v>0</v>
      </c>
      <c r="CC197" s="19">
        <f t="shared" si="189"/>
        <v>0</v>
      </c>
      <c r="CD197" s="19">
        <f t="shared" si="190"/>
        <v>0</v>
      </c>
      <c r="CE197" s="19">
        <f t="shared" si="191"/>
        <v>0</v>
      </c>
      <c r="CF197" s="49">
        <f t="shared" si="192"/>
        <v>0</v>
      </c>
      <c r="CG197" s="49">
        <f t="shared" si="193"/>
        <v>0</v>
      </c>
      <c r="CH197" s="49">
        <f t="shared" si="194"/>
        <v>0</v>
      </c>
      <c r="CI197" s="49">
        <f t="shared" si="195"/>
        <v>0</v>
      </c>
      <c r="CJ197" s="49">
        <f t="shared" si="196"/>
        <v>0</v>
      </c>
      <c r="CK197" s="49">
        <f t="shared" si="197"/>
        <v>0</v>
      </c>
    </row>
    <row r="198" spans="2:89" ht="12.75" customHeight="1" x14ac:dyDescent="0.2">
      <c r="B198" s="77">
        <v>40385</v>
      </c>
      <c r="C198" s="49">
        <v>56.25</v>
      </c>
      <c r="D198" s="49">
        <v>47.599997999999999</v>
      </c>
      <c r="E198" s="49">
        <v>46.759998000000003</v>
      </c>
      <c r="F198" s="49">
        <v>57.919998</v>
      </c>
      <c r="G198" s="49">
        <v>32.650002000000001</v>
      </c>
      <c r="H198" s="49">
        <v>41.869999</v>
      </c>
      <c r="J198" s="78">
        <f>IF(inter=Weekly_2,J197+$C$5,IF(inter=Bi_weekly_2,J196+$C$5,IF(inter=Monthly_2,J194+$C$5,IF(inter=Quarterly_2,J185+$C$5,IF(inter=Yearly_2,J146+$C$5,IF(inter=None_2,0,0))))))</f>
        <v>66800</v>
      </c>
      <c r="K198" s="79">
        <f t="shared" si="198"/>
        <v>653.05366033560858</v>
      </c>
      <c r="L198" s="79">
        <f t="shared" si="199"/>
        <v>180.70077857609431</v>
      </c>
      <c r="M198" s="79">
        <f t="shared" si="200"/>
        <v>178.76872007136444</v>
      </c>
      <c r="N198" s="79">
        <f t="shared" si="201"/>
        <v>245.18199139747048</v>
      </c>
      <c r="O198" s="79">
        <f t="shared" si="202"/>
        <v>663.67338484340144</v>
      </c>
      <c r="P198" s="79">
        <f t="shared" si="203"/>
        <v>540.55627712868227</v>
      </c>
      <c r="Q198" s="79"/>
      <c r="R198" s="80">
        <f t="shared" si="161"/>
        <v>-11.60984285041082</v>
      </c>
      <c r="S198" s="80">
        <f t="shared" si="162"/>
        <v>-3.7962350035412671</v>
      </c>
      <c r="T198" s="80">
        <f t="shared" si="163"/>
        <v>-3.8231122266379147</v>
      </c>
      <c r="U198" s="80">
        <f t="shared" si="164"/>
        <v>-4.2331146385307283</v>
      </c>
      <c r="V198" s="80">
        <f t="shared" si="165"/>
        <v>-20.326901812851386</v>
      </c>
      <c r="W198" s="80">
        <f t="shared" si="166"/>
        <v>-12.910348460449743</v>
      </c>
      <c r="X198" s="80">
        <f t="shared" si="217"/>
        <v>415.64444444444445</v>
      </c>
      <c r="Y198" s="80">
        <f t="shared" si="218"/>
        <v>140.33614035025801</v>
      </c>
      <c r="Z198" s="80">
        <f t="shared" si="219"/>
        <v>114.28571917389731</v>
      </c>
      <c r="AA198" s="80">
        <f t="shared" si="220"/>
        <v>80.732046986603834</v>
      </c>
      <c r="AB198" s="80">
        <f t="shared" si="221"/>
        <v>511.48542042968324</v>
      </c>
      <c r="AC198" s="80">
        <f t="shared" si="222"/>
        <v>239.31216239102372</v>
      </c>
      <c r="AD198" s="80"/>
      <c r="AE198" s="80"/>
      <c r="AF198" s="80"/>
      <c r="AG198" s="80"/>
      <c r="AH198" s="80"/>
      <c r="AI198" s="80"/>
      <c r="AJ198" s="45">
        <f t="shared" si="167"/>
        <v>0</v>
      </c>
      <c r="AK198" s="45">
        <f t="shared" si="168"/>
        <v>0</v>
      </c>
      <c r="AL198" s="45">
        <f t="shared" si="169"/>
        <v>0</v>
      </c>
      <c r="AM198" s="45">
        <f t="shared" si="170"/>
        <v>0</v>
      </c>
      <c r="AN198" s="45">
        <f t="shared" si="171"/>
        <v>0</v>
      </c>
      <c r="AO198" s="45">
        <f t="shared" si="172"/>
        <v>0</v>
      </c>
      <c r="AP198" s="80">
        <f t="shared" si="173"/>
        <v>0</v>
      </c>
      <c r="AQ198" s="80">
        <f t="shared" si="174"/>
        <v>0</v>
      </c>
      <c r="AR198" s="80">
        <f t="shared" si="175"/>
        <v>0</v>
      </c>
      <c r="AS198" s="80">
        <f t="shared" si="176"/>
        <v>0</v>
      </c>
      <c r="AT198" s="80">
        <f t="shared" si="177"/>
        <v>0</v>
      </c>
      <c r="AU198" s="80">
        <f t="shared" si="178"/>
        <v>0</v>
      </c>
      <c r="AV198" s="80">
        <f t="shared" si="223"/>
        <v>17.499504768644812</v>
      </c>
      <c r="AW198" s="80">
        <f t="shared" si="224"/>
        <v>8.9323644062441598</v>
      </c>
      <c r="AX198" s="80">
        <f t="shared" si="225"/>
        <v>5.7402027543754404</v>
      </c>
      <c r="AY198" s="80">
        <f t="shared" si="226"/>
        <v>4.3622004996351826</v>
      </c>
      <c r="AZ198" s="80">
        <f t="shared" si="227"/>
        <v>26.737122054744763</v>
      </c>
      <c r="BA198" s="80">
        <f t="shared" si="228"/>
        <v>15.933171401553532</v>
      </c>
      <c r="BB198" s="80">
        <f t="shared" si="204"/>
        <v>433.14394921308929</v>
      </c>
      <c r="BC198" s="80">
        <f t="shared" si="205"/>
        <v>149.26850475650215</v>
      </c>
      <c r="BD198" s="80">
        <f t="shared" si="206"/>
        <v>120.02592192827275</v>
      </c>
      <c r="BE198" s="80">
        <f t="shared" si="207"/>
        <v>85.094247486239013</v>
      </c>
      <c r="BF198" s="80">
        <f t="shared" si="208"/>
        <v>538.222542484428</v>
      </c>
      <c r="BG198" s="80">
        <f t="shared" si="209"/>
        <v>255.24533379257724</v>
      </c>
      <c r="BH198" s="49">
        <f t="shared" si="210"/>
        <v>0</v>
      </c>
      <c r="BI198" s="79">
        <f t="shared" si="211"/>
        <v>-65450.625732612054</v>
      </c>
      <c r="BJ198" s="79">
        <f t="shared" si="179"/>
        <v>66800</v>
      </c>
      <c r="BK198" s="44">
        <f t="shared" si="212"/>
        <v>2.0616674818367597E-2</v>
      </c>
      <c r="BL198" s="79">
        <f t="shared" si="229"/>
        <v>3075.6006230587654</v>
      </c>
      <c r="BM198" s="49">
        <f t="shared" si="213"/>
        <v>69875.600623058766</v>
      </c>
      <c r="BN198" s="44">
        <f t="shared" si="214"/>
        <v>6.7607831719199041E-2</v>
      </c>
      <c r="BO198" s="49">
        <f t="shared" si="180"/>
        <v>3470.6871438489579</v>
      </c>
      <c r="BP198" s="49">
        <f t="shared" si="181"/>
        <v>70270.687143848962</v>
      </c>
      <c r="BQ198" s="44">
        <f t="shared" si="182"/>
        <v>7.3644237274804514E-2</v>
      </c>
      <c r="BS198" s="49">
        <f t="shared" si="183"/>
        <v>65450.625732612054</v>
      </c>
      <c r="BT198" s="49">
        <f t="shared" si="159"/>
        <v>56.25</v>
      </c>
      <c r="BU198" s="49">
        <f t="shared" si="160"/>
        <v>41.869999</v>
      </c>
      <c r="BV198" s="49">
        <f t="shared" si="184"/>
        <v>-2461.9348123526215</v>
      </c>
      <c r="BW198" s="18">
        <f t="shared" si="185"/>
        <v>1092</v>
      </c>
      <c r="BX198" s="19">
        <f t="shared" si="215"/>
        <v>0.74954128440366974</v>
      </c>
      <c r="BY198" s="49">
        <f t="shared" si="216"/>
        <v>-1845.3217813688916</v>
      </c>
      <c r="BZ198" s="19">
        <f t="shared" si="186"/>
        <v>0</v>
      </c>
      <c r="CA198" s="19">
        <f t="shared" si="187"/>
        <v>0</v>
      </c>
      <c r="CB198" s="19">
        <f t="shared" si="188"/>
        <v>0</v>
      </c>
      <c r="CC198" s="19">
        <f t="shared" si="189"/>
        <v>0</v>
      </c>
      <c r="CD198" s="19">
        <f t="shared" si="190"/>
        <v>0</v>
      </c>
      <c r="CE198" s="19">
        <f t="shared" si="191"/>
        <v>0</v>
      </c>
      <c r="CF198" s="49">
        <f t="shared" si="192"/>
        <v>0</v>
      </c>
      <c r="CG198" s="49">
        <f t="shared" si="193"/>
        <v>0</v>
      </c>
      <c r="CH198" s="49">
        <f t="shared" si="194"/>
        <v>0</v>
      </c>
      <c r="CI198" s="49">
        <f t="shared" si="195"/>
        <v>0</v>
      </c>
      <c r="CJ198" s="49">
        <f t="shared" si="196"/>
        <v>0</v>
      </c>
      <c r="CK198" s="49">
        <f t="shared" si="197"/>
        <v>0</v>
      </c>
    </row>
    <row r="199" spans="2:89" ht="12.75" customHeight="1" x14ac:dyDescent="0.2">
      <c r="B199" s="77">
        <v>40392</v>
      </c>
      <c r="C199" s="49">
        <v>57.27</v>
      </c>
      <c r="D199" s="49">
        <v>48.459999000000003</v>
      </c>
      <c r="E199" s="49">
        <v>47.389999000000003</v>
      </c>
      <c r="F199" s="49">
        <v>58.150002000000001</v>
      </c>
      <c r="G199" s="49">
        <v>33.759998000000003</v>
      </c>
      <c r="H199" s="49">
        <v>42.639999000000003</v>
      </c>
      <c r="J199" s="78">
        <f>IF(inter=Weekly_2,J198+$C$5,IF(inter=Bi_weekly_2,0,IF(inter=Monthly_2,0,IF(inter=Quarterly_2,0,IF(inter=Yearly_2,0,IF(inter=None_2,0,0))))))</f>
        <v>0</v>
      </c>
      <c r="K199" s="79">
        <f t="shared" si="198"/>
        <v>0</v>
      </c>
      <c r="L199" s="79">
        <f t="shared" si="199"/>
        <v>0</v>
      </c>
      <c r="M199" s="79">
        <f t="shared" si="200"/>
        <v>0</v>
      </c>
      <c r="N199" s="79">
        <f t="shared" si="201"/>
        <v>0</v>
      </c>
      <c r="O199" s="79">
        <f t="shared" si="202"/>
        <v>0</v>
      </c>
      <c r="P199" s="79">
        <f t="shared" si="203"/>
        <v>0</v>
      </c>
      <c r="Q199" s="79"/>
      <c r="R199" s="80">
        <f t="shared" si="161"/>
        <v>0</v>
      </c>
      <c r="S199" s="80">
        <f t="shared" si="162"/>
        <v>0</v>
      </c>
      <c r="T199" s="80">
        <f t="shared" si="163"/>
        <v>0</v>
      </c>
      <c r="U199" s="80">
        <f t="shared" si="164"/>
        <v>0</v>
      </c>
      <c r="V199" s="80">
        <f t="shared" si="165"/>
        <v>0</v>
      </c>
      <c r="W199" s="80">
        <f t="shared" si="166"/>
        <v>0</v>
      </c>
      <c r="X199" s="80">
        <f t="shared" si="217"/>
        <v>415.64444444444445</v>
      </c>
      <c r="Y199" s="80">
        <f t="shared" si="218"/>
        <v>140.33614035025801</v>
      </c>
      <c r="Z199" s="80">
        <f t="shared" si="219"/>
        <v>114.28571917389731</v>
      </c>
      <c r="AA199" s="80">
        <f t="shared" si="220"/>
        <v>80.732046986603834</v>
      </c>
      <c r="AB199" s="80">
        <f t="shared" si="221"/>
        <v>511.48542042968324</v>
      </c>
      <c r="AC199" s="80">
        <f t="shared" si="222"/>
        <v>239.31216239102372</v>
      </c>
      <c r="AD199" s="80"/>
      <c r="AE199" s="80"/>
      <c r="AF199" s="80"/>
      <c r="AG199" s="80"/>
      <c r="AH199" s="80"/>
      <c r="AI199" s="80"/>
      <c r="AJ199" s="45">
        <f t="shared" si="167"/>
        <v>0</v>
      </c>
      <c r="AK199" s="45">
        <f t="shared" si="168"/>
        <v>0</v>
      </c>
      <c r="AL199" s="45">
        <f t="shared" si="169"/>
        <v>0</v>
      </c>
      <c r="AM199" s="45">
        <f t="shared" si="170"/>
        <v>0</v>
      </c>
      <c r="AN199" s="45">
        <f t="shared" si="171"/>
        <v>0</v>
      </c>
      <c r="AO199" s="45">
        <f t="shared" si="172"/>
        <v>0</v>
      </c>
      <c r="AP199" s="80">
        <f t="shared" si="173"/>
        <v>0</v>
      </c>
      <c r="AQ199" s="80">
        <f t="shared" si="174"/>
        <v>0</v>
      </c>
      <c r="AR199" s="80">
        <f t="shared" si="175"/>
        <v>0</v>
      </c>
      <c r="AS199" s="80">
        <f t="shared" si="176"/>
        <v>0</v>
      </c>
      <c r="AT199" s="80">
        <f t="shared" si="177"/>
        <v>0</v>
      </c>
      <c r="AU199" s="80">
        <f t="shared" si="178"/>
        <v>0</v>
      </c>
      <c r="AV199" s="80">
        <f t="shared" si="223"/>
        <v>17.499504768644812</v>
      </c>
      <c r="AW199" s="80">
        <f t="shared" si="224"/>
        <v>8.9323644062441598</v>
      </c>
      <c r="AX199" s="80">
        <f t="shared" si="225"/>
        <v>5.7402027543754404</v>
      </c>
      <c r="AY199" s="80">
        <f t="shared" si="226"/>
        <v>4.3622004996351826</v>
      </c>
      <c r="AZ199" s="80">
        <f t="shared" si="227"/>
        <v>26.737122054744763</v>
      </c>
      <c r="BA199" s="80">
        <f t="shared" si="228"/>
        <v>15.933171401553532</v>
      </c>
      <c r="BB199" s="80">
        <f t="shared" si="204"/>
        <v>433.14394921308929</v>
      </c>
      <c r="BC199" s="80">
        <f t="shared" si="205"/>
        <v>149.26850475650215</v>
      </c>
      <c r="BD199" s="80">
        <f t="shared" si="206"/>
        <v>120.02592192827275</v>
      </c>
      <c r="BE199" s="80">
        <f t="shared" si="207"/>
        <v>85.094247486239013</v>
      </c>
      <c r="BF199" s="80">
        <f t="shared" si="208"/>
        <v>538.222542484428</v>
      </c>
      <c r="BG199" s="80">
        <f t="shared" si="209"/>
        <v>255.24533379257724</v>
      </c>
      <c r="BH199" s="49">
        <f t="shared" si="210"/>
        <v>0</v>
      </c>
      <c r="BI199" s="79">
        <f t="shared" si="211"/>
        <v>-65450.625732612054</v>
      </c>
      <c r="BJ199" s="79">
        <f t="shared" si="179"/>
        <v>68187.232501247432</v>
      </c>
      <c r="BK199" s="44">
        <f t="shared" si="212"/>
        <v>4.1811773959432363E-2</v>
      </c>
      <c r="BL199" s="79">
        <f t="shared" si="229"/>
        <v>3075.6006230587654</v>
      </c>
      <c r="BM199" s="49">
        <f t="shared" si="213"/>
        <v>71262.833124306198</v>
      </c>
      <c r="BN199" s="44">
        <f t="shared" si="214"/>
        <v>8.8802930860263807E-2</v>
      </c>
      <c r="BO199" s="49">
        <f t="shared" si="180"/>
        <v>3542.7847785853628</v>
      </c>
      <c r="BP199" s="49">
        <f t="shared" si="181"/>
        <v>71730.017279832799</v>
      </c>
      <c r="BQ199" s="44">
        <f t="shared" si="182"/>
        <v>9.5940894024056922E-2</v>
      </c>
      <c r="BS199" s="49">
        <f t="shared" si="183"/>
        <v>65450.625732612054</v>
      </c>
      <c r="BT199" s="49">
        <f t="shared" si="159"/>
        <v>57.27</v>
      </c>
      <c r="BU199" s="49">
        <f t="shared" si="160"/>
        <v>42.639999000000003</v>
      </c>
      <c r="BV199" s="49">
        <f t="shared" si="184"/>
        <v>0</v>
      </c>
      <c r="BW199" s="18">
        <f t="shared" si="185"/>
        <v>1099</v>
      </c>
      <c r="BX199" s="19">
        <f t="shared" si="215"/>
        <v>0.74793577981651371</v>
      </c>
      <c r="BY199" s="49">
        <f t="shared" si="216"/>
        <v>0</v>
      </c>
      <c r="BZ199" s="19">
        <f t="shared" si="186"/>
        <v>0</v>
      </c>
      <c r="CA199" s="19">
        <f t="shared" si="187"/>
        <v>0</v>
      </c>
      <c r="CB199" s="19">
        <f t="shared" si="188"/>
        <v>0</v>
      </c>
      <c r="CC199" s="19">
        <f t="shared" si="189"/>
        <v>0</v>
      </c>
      <c r="CD199" s="19">
        <f t="shared" si="190"/>
        <v>0</v>
      </c>
      <c r="CE199" s="19">
        <f t="shared" si="191"/>
        <v>0</v>
      </c>
      <c r="CF199" s="49">
        <f t="shared" si="192"/>
        <v>0</v>
      </c>
      <c r="CG199" s="49">
        <f t="shared" si="193"/>
        <v>0</v>
      </c>
      <c r="CH199" s="49">
        <f t="shared" si="194"/>
        <v>0</v>
      </c>
      <c r="CI199" s="49">
        <f t="shared" si="195"/>
        <v>0</v>
      </c>
      <c r="CJ199" s="49">
        <f t="shared" si="196"/>
        <v>0</v>
      </c>
      <c r="CK199" s="49">
        <f t="shared" si="197"/>
        <v>0</v>
      </c>
    </row>
    <row r="200" spans="2:89" ht="12.75" customHeight="1" x14ac:dyDescent="0.2">
      <c r="B200" s="77">
        <v>40399</v>
      </c>
      <c r="C200" s="49">
        <v>55</v>
      </c>
      <c r="D200" s="49">
        <v>46.799999</v>
      </c>
      <c r="E200" s="49">
        <v>45.259998000000003</v>
      </c>
      <c r="F200" s="49">
        <v>54.869999</v>
      </c>
      <c r="G200" s="49">
        <v>31.889999</v>
      </c>
      <c r="H200" s="49">
        <v>41.310001</v>
      </c>
      <c r="J200" s="78">
        <f>IF(inter=Weekly_2,J199+$C$5,IF(inter=Bi_weekly_2,J198+$C$5,IF(inter=Monthly_2,0,IF(inter=Quarterly_2,0,IF(inter=Yearly_2,0,IF(inter=None_2,0,0))))))</f>
        <v>67400</v>
      </c>
      <c r="K200" s="79">
        <f t="shared" si="198"/>
        <v>-729.55555555555475</v>
      </c>
      <c r="L200" s="79">
        <f t="shared" si="199"/>
        <v>-172.26877194406552</v>
      </c>
      <c r="M200" s="79">
        <f t="shared" si="200"/>
        <v>-219.42857876084599</v>
      </c>
      <c r="N200" s="79">
        <f t="shared" si="201"/>
        <v>-288.23266257709474</v>
      </c>
      <c r="O200" s="79">
        <f t="shared" si="202"/>
        <v>-538.73045398282193</v>
      </c>
      <c r="P200" s="79">
        <f t="shared" si="203"/>
        <v>-224.01433231464762</v>
      </c>
      <c r="Q200" s="79"/>
      <c r="R200" s="80">
        <f t="shared" si="161"/>
        <v>13.26464646464645</v>
      </c>
      <c r="S200" s="80">
        <f t="shared" si="162"/>
        <v>3.6809567441244075</v>
      </c>
      <c r="T200" s="80">
        <f t="shared" si="163"/>
        <v>4.8481791528326177</v>
      </c>
      <c r="U200" s="80">
        <f t="shared" si="164"/>
        <v>5.2530101663952049</v>
      </c>
      <c r="V200" s="80">
        <f t="shared" si="165"/>
        <v>16.893398271439956</v>
      </c>
      <c r="W200" s="80">
        <f t="shared" si="166"/>
        <v>5.4227626940664466</v>
      </c>
      <c r="X200" s="80">
        <f t="shared" si="217"/>
        <v>428.90909090909088</v>
      </c>
      <c r="Y200" s="80">
        <f t="shared" si="218"/>
        <v>144.01709709438242</v>
      </c>
      <c r="Z200" s="80">
        <f t="shared" si="219"/>
        <v>119.13389832672992</v>
      </c>
      <c r="AA200" s="80">
        <f t="shared" si="220"/>
        <v>85.985057152999033</v>
      </c>
      <c r="AB200" s="80">
        <f t="shared" si="221"/>
        <v>528.37881870112324</v>
      </c>
      <c r="AC200" s="80">
        <f t="shared" si="222"/>
        <v>244.73492508509017</v>
      </c>
      <c r="AD200" s="80"/>
      <c r="AE200" s="80"/>
      <c r="AF200" s="80"/>
      <c r="AG200" s="80"/>
      <c r="AH200" s="80"/>
      <c r="AI200" s="80"/>
      <c r="AJ200" s="45">
        <f t="shared" si="167"/>
        <v>0</v>
      </c>
      <c r="AK200" s="45">
        <f t="shared" si="168"/>
        <v>0</v>
      </c>
      <c r="AL200" s="45">
        <f t="shared" si="169"/>
        <v>0</v>
      </c>
      <c r="AM200" s="45">
        <f t="shared" si="170"/>
        <v>0</v>
      </c>
      <c r="AN200" s="45">
        <f t="shared" si="171"/>
        <v>0</v>
      </c>
      <c r="AO200" s="45">
        <f t="shared" si="172"/>
        <v>0</v>
      </c>
      <c r="AP200" s="80">
        <f t="shared" si="173"/>
        <v>0</v>
      </c>
      <c r="AQ200" s="80">
        <f t="shared" si="174"/>
        <v>0</v>
      </c>
      <c r="AR200" s="80">
        <f t="shared" si="175"/>
        <v>0</v>
      </c>
      <c r="AS200" s="80">
        <f t="shared" si="176"/>
        <v>0</v>
      </c>
      <c r="AT200" s="80">
        <f t="shared" si="177"/>
        <v>0</v>
      </c>
      <c r="AU200" s="80">
        <f t="shared" si="178"/>
        <v>0</v>
      </c>
      <c r="AV200" s="80">
        <f t="shared" si="223"/>
        <v>17.499504768644812</v>
      </c>
      <c r="AW200" s="80">
        <f t="shared" si="224"/>
        <v>8.9323644062441598</v>
      </c>
      <c r="AX200" s="80">
        <f t="shared" si="225"/>
        <v>5.7402027543754404</v>
      </c>
      <c r="AY200" s="80">
        <f t="shared" si="226"/>
        <v>4.3622004996351826</v>
      </c>
      <c r="AZ200" s="80">
        <f t="shared" si="227"/>
        <v>26.737122054744763</v>
      </c>
      <c r="BA200" s="80">
        <f t="shared" si="228"/>
        <v>15.933171401553532</v>
      </c>
      <c r="BB200" s="80">
        <f t="shared" si="204"/>
        <v>446.40859567773566</v>
      </c>
      <c r="BC200" s="80">
        <f t="shared" si="205"/>
        <v>152.94946150062657</v>
      </c>
      <c r="BD200" s="80">
        <f t="shared" si="206"/>
        <v>124.87410108110537</v>
      </c>
      <c r="BE200" s="80">
        <f t="shared" si="207"/>
        <v>90.347257652634212</v>
      </c>
      <c r="BF200" s="80">
        <f t="shared" si="208"/>
        <v>555.115940755868</v>
      </c>
      <c r="BG200" s="80">
        <f t="shared" si="209"/>
        <v>260.66809648664372</v>
      </c>
      <c r="BH200" s="49">
        <f t="shared" si="210"/>
        <v>0</v>
      </c>
      <c r="BI200" s="79">
        <f t="shared" si="211"/>
        <v>-67622.856087747088</v>
      </c>
      <c r="BJ200" s="79">
        <f t="shared" si="179"/>
        <v>67400</v>
      </c>
      <c r="BK200" s="44">
        <f t="shared" si="212"/>
        <v>-3.295573429461629E-3</v>
      </c>
      <c r="BL200" s="79">
        <f t="shared" si="229"/>
        <v>3075.6006230587654</v>
      </c>
      <c r="BM200" s="49">
        <f t="shared" si="213"/>
        <v>70475.600623058766</v>
      </c>
      <c r="BN200" s="44">
        <f t="shared" si="214"/>
        <v>4.2186099498813912E-2</v>
      </c>
      <c r="BO200" s="49">
        <f t="shared" si="180"/>
        <v>3390.5090319107721</v>
      </c>
      <c r="BP200" s="49">
        <f t="shared" si="181"/>
        <v>70790.509031910769</v>
      </c>
      <c r="BQ200" s="44">
        <f t="shared" si="182"/>
        <v>4.6842933401886278E-2</v>
      </c>
      <c r="BS200" s="49">
        <f t="shared" si="183"/>
        <v>67622.856087747088</v>
      </c>
      <c r="BT200" s="49">
        <f t="shared" si="159"/>
        <v>55</v>
      </c>
      <c r="BU200" s="49">
        <f t="shared" si="160"/>
        <v>41.310001</v>
      </c>
      <c r="BV200" s="49">
        <f t="shared" si="184"/>
        <v>2172.2303551350305</v>
      </c>
      <c r="BW200" s="18">
        <f t="shared" si="185"/>
        <v>1106</v>
      </c>
      <c r="BX200" s="19">
        <f t="shared" si="215"/>
        <v>0.7463302752293578</v>
      </c>
      <c r="BY200" s="49">
        <f t="shared" si="216"/>
        <v>1621.201278809493</v>
      </c>
      <c r="BZ200" s="19">
        <f t="shared" si="186"/>
        <v>13.26464646464645</v>
      </c>
      <c r="CA200" s="19">
        <f t="shared" si="187"/>
        <v>3.6809567441244075</v>
      </c>
      <c r="CB200" s="19">
        <f t="shared" si="188"/>
        <v>4.8481791528326177</v>
      </c>
      <c r="CC200" s="19">
        <f t="shared" si="189"/>
        <v>5.2530101663952049</v>
      </c>
      <c r="CD200" s="19">
        <f t="shared" si="190"/>
        <v>16.893398271439956</v>
      </c>
      <c r="CE200" s="19">
        <f t="shared" si="191"/>
        <v>5.4227626940664466</v>
      </c>
      <c r="CF200" s="49">
        <f t="shared" si="192"/>
        <v>-729.55555555555475</v>
      </c>
      <c r="CG200" s="49">
        <f t="shared" si="193"/>
        <v>-172.26877194406552</v>
      </c>
      <c r="CH200" s="49">
        <f t="shared" si="194"/>
        <v>-219.42857876084599</v>
      </c>
      <c r="CI200" s="49">
        <f t="shared" si="195"/>
        <v>-288.23266257709474</v>
      </c>
      <c r="CJ200" s="49">
        <f t="shared" si="196"/>
        <v>-538.73045398282193</v>
      </c>
      <c r="CK200" s="49">
        <f t="shared" si="197"/>
        <v>-224.01433231464762</v>
      </c>
    </row>
    <row r="201" spans="2:89" ht="12.75" customHeight="1" x14ac:dyDescent="0.2">
      <c r="B201" s="77">
        <v>40406</v>
      </c>
      <c r="C201" s="49">
        <v>54.689999</v>
      </c>
      <c r="D201" s="49">
        <v>46.240001999999997</v>
      </c>
      <c r="E201" s="49">
        <v>45.09</v>
      </c>
      <c r="F201" s="49">
        <v>54.810001</v>
      </c>
      <c r="G201" s="49">
        <v>31.709999</v>
      </c>
      <c r="H201" s="49">
        <v>41.68</v>
      </c>
      <c r="J201" s="78">
        <f>IF(inter=Weekly_2,J200+$C$5,IF(inter=Bi_weekly_2,0,IF(inter=Monthly_2,0,IF(inter=Quarterly_2,0,IF(inter=Yearly_2,0,IF(inter=None_2,0,0))))))</f>
        <v>0</v>
      </c>
      <c r="K201" s="79">
        <f t="shared" si="198"/>
        <v>0</v>
      </c>
      <c r="L201" s="79">
        <f t="shared" si="199"/>
        <v>0</v>
      </c>
      <c r="M201" s="79">
        <f t="shared" si="200"/>
        <v>0</v>
      </c>
      <c r="N201" s="79">
        <f t="shared" si="201"/>
        <v>0</v>
      </c>
      <c r="O201" s="79">
        <f t="shared" si="202"/>
        <v>0</v>
      </c>
      <c r="P201" s="79">
        <f t="shared" si="203"/>
        <v>0</v>
      </c>
      <c r="Q201" s="79"/>
      <c r="R201" s="80">
        <f t="shared" si="161"/>
        <v>0</v>
      </c>
      <c r="S201" s="80">
        <f t="shared" si="162"/>
        <v>0</v>
      </c>
      <c r="T201" s="80">
        <f t="shared" si="163"/>
        <v>0</v>
      </c>
      <c r="U201" s="80">
        <f t="shared" si="164"/>
        <v>0</v>
      </c>
      <c r="V201" s="80">
        <f t="shared" si="165"/>
        <v>0</v>
      </c>
      <c r="W201" s="80">
        <f t="shared" si="166"/>
        <v>0</v>
      </c>
      <c r="X201" s="80">
        <f t="shared" si="217"/>
        <v>428.90909090909088</v>
      </c>
      <c r="Y201" s="80">
        <f t="shared" si="218"/>
        <v>144.01709709438242</v>
      </c>
      <c r="Z201" s="80">
        <f t="shared" si="219"/>
        <v>119.13389832672992</v>
      </c>
      <c r="AA201" s="80">
        <f t="shared" si="220"/>
        <v>85.985057152999033</v>
      </c>
      <c r="AB201" s="80">
        <f t="shared" si="221"/>
        <v>528.37881870112324</v>
      </c>
      <c r="AC201" s="80">
        <f t="shared" si="222"/>
        <v>244.73492508509017</v>
      </c>
      <c r="AD201" s="80"/>
      <c r="AE201" s="80"/>
      <c r="AF201" s="80"/>
      <c r="AG201" s="80"/>
      <c r="AH201" s="80"/>
      <c r="AI201" s="80"/>
      <c r="AJ201" s="45">
        <f t="shared" si="167"/>
        <v>0</v>
      </c>
      <c r="AK201" s="45">
        <f t="shared" si="168"/>
        <v>0</v>
      </c>
      <c r="AL201" s="45">
        <f t="shared" si="169"/>
        <v>0</v>
      </c>
      <c r="AM201" s="45">
        <f t="shared" si="170"/>
        <v>0</v>
      </c>
      <c r="AN201" s="45">
        <f t="shared" si="171"/>
        <v>0</v>
      </c>
      <c r="AO201" s="45">
        <f t="shared" si="172"/>
        <v>0</v>
      </c>
      <c r="AP201" s="80">
        <f t="shared" si="173"/>
        <v>0</v>
      </c>
      <c r="AQ201" s="80">
        <f t="shared" si="174"/>
        <v>0</v>
      </c>
      <c r="AR201" s="80">
        <f t="shared" si="175"/>
        <v>0</v>
      </c>
      <c r="AS201" s="80">
        <f t="shared" si="176"/>
        <v>0</v>
      </c>
      <c r="AT201" s="80">
        <f t="shared" si="177"/>
        <v>0</v>
      </c>
      <c r="AU201" s="80">
        <f t="shared" si="178"/>
        <v>0</v>
      </c>
      <c r="AV201" s="80">
        <f t="shared" si="223"/>
        <v>17.499504768644812</v>
      </c>
      <c r="AW201" s="80">
        <f t="shared" si="224"/>
        <v>8.9323644062441598</v>
      </c>
      <c r="AX201" s="80">
        <f t="shared" si="225"/>
        <v>5.7402027543754404</v>
      </c>
      <c r="AY201" s="80">
        <f t="shared" si="226"/>
        <v>4.3622004996351826</v>
      </c>
      <c r="AZ201" s="80">
        <f t="shared" si="227"/>
        <v>26.737122054744763</v>
      </c>
      <c r="BA201" s="80">
        <f t="shared" si="228"/>
        <v>15.933171401553532</v>
      </c>
      <c r="BB201" s="80">
        <f t="shared" si="204"/>
        <v>446.40859567773566</v>
      </c>
      <c r="BC201" s="80">
        <f t="shared" si="205"/>
        <v>152.94946150062657</v>
      </c>
      <c r="BD201" s="80">
        <f t="shared" si="206"/>
        <v>124.87410108110537</v>
      </c>
      <c r="BE201" s="80">
        <f t="shared" si="207"/>
        <v>90.347257652634212</v>
      </c>
      <c r="BF201" s="80">
        <f t="shared" si="208"/>
        <v>555.115940755868</v>
      </c>
      <c r="BG201" s="80">
        <f t="shared" si="209"/>
        <v>260.66809648664372</v>
      </c>
      <c r="BH201" s="49">
        <f t="shared" si="210"/>
        <v>0</v>
      </c>
      <c r="BI201" s="79">
        <f t="shared" si="211"/>
        <v>-67622.856087747088</v>
      </c>
      <c r="BJ201" s="79">
        <f t="shared" si="179"/>
        <v>67156.420644861064</v>
      </c>
      <c r="BK201" s="44">
        <f t="shared" si="212"/>
        <v>-6.8976004545087122E-3</v>
      </c>
      <c r="BL201" s="79">
        <f t="shared" si="229"/>
        <v>3075.6006230587654</v>
      </c>
      <c r="BM201" s="49">
        <f t="shared" si="213"/>
        <v>70232.02126791983</v>
      </c>
      <c r="BN201" s="44">
        <f t="shared" si="214"/>
        <v>3.8584072473766939E-2</v>
      </c>
      <c r="BO201" s="49">
        <f t="shared" si="180"/>
        <v>3379.9270998847178</v>
      </c>
      <c r="BP201" s="49">
        <f t="shared" si="181"/>
        <v>70536.347744745784</v>
      </c>
      <c r="BQ201" s="44">
        <f t="shared" si="182"/>
        <v>4.3084421829479691E-2</v>
      </c>
      <c r="BS201" s="49">
        <f t="shared" si="183"/>
        <v>67622.856087747088</v>
      </c>
      <c r="BT201" s="49">
        <f t="shared" si="159"/>
        <v>54.689999</v>
      </c>
      <c r="BU201" s="49">
        <f t="shared" si="160"/>
        <v>41.68</v>
      </c>
      <c r="BV201" s="49">
        <f t="shared" si="184"/>
        <v>0</v>
      </c>
      <c r="BW201" s="18">
        <f t="shared" si="185"/>
        <v>1113</v>
      </c>
      <c r="BX201" s="19">
        <f t="shared" si="215"/>
        <v>0.74472477064220188</v>
      </c>
      <c r="BY201" s="49">
        <f t="shared" si="216"/>
        <v>0</v>
      </c>
      <c r="BZ201" s="19">
        <f t="shared" si="186"/>
        <v>0</v>
      </c>
      <c r="CA201" s="19">
        <f t="shared" si="187"/>
        <v>0</v>
      </c>
      <c r="CB201" s="19">
        <f t="shared" si="188"/>
        <v>0</v>
      </c>
      <c r="CC201" s="19">
        <f t="shared" si="189"/>
        <v>0</v>
      </c>
      <c r="CD201" s="19">
        <f t="shared" si="190"/>
        <v>0</v>
      </c>
      <c r="CE201" s="19">
        <f t="shared" si="191"/>
        <v>0</v>
      </c>
      <c r="CF201" s="49">
        <f t="shared" si="192"/>
        <v>0</v>
      </c>
      <c r="CG201" s="49">
        <f t="shared" si="193"/>
        <v>0</v>
      </c>
      <c r="CH201" s="49">
        <f t="shared" si="194"/>
        <v>0</v>
      </c>
      <c r="CI201" s="49">
        <f t="shared" si="195"/>
        <v>0</v>
      </c>
      <c r="CJ201" s="49">
        <f t="shared" si="196"/>
        <v>0</v>
      </c>
      <c r="CK201" s="49">
        <f t="shared" si="197"/>
        <v>0</v>
      </c>
    </row>
    <row r="202" spans="2:89" ht="12.75" customHeight="1" x14ac:dyDescent="0.2">
      <c r="B202" s="77">
        <v>40413</v>
      </c>
      <c r="C202" s="49">
        <v>54.380001</v>
      </c>
      <c r="D202" s="49">
        <v>46.150002000000001</v>
      </c>
      <c r="E202" s="49">
        <v>45.099997999999999</v>
      </c>
      <c r="F202" s="49">
        <v>55.130001</v>
      </c>
      <c r="G202" s="49">
        <v>31.809999000000001</v>
      </c>
      <c r="H202" s="49">
        <v>41.209999000000003</v>
      </c>
      <c r="J202" s="78">
        <f>IF(inter=Weekly_2,J201+$C$5,IF(inter=Bi_weekly_2,J200+$C$5,IF(inter=Monthly_2,J198+$C$5,IF(inter=Quarterly_2,0,IF(inter=Yearly_2,0,IF(inter=None_2,0,0))))))</f>
        <v>68000</v>
      </c>
      <c r="K202" s="79">
        <f t="shared" si="198"/>
        <v>-475.92320745454708</v>
      </c>
      <c r="L202" s="79">
        <f t="shared" si="199"/>
        <v>-153.61068106005678</v>
      </c>
      <c r="M202" s="79">
        <f t="shared" si="200"/>
        <v>-67.061423732277035</v>
      </c>
      <c r="N202" s="79">
        <f t="shared" si="201"/>
        <v>-19.643713170105912</v>
      </c>
      <c r="O202" s="79">
        <f t="shared" si="202"/>
        <v>-192.27030549608753</v>
      </c>
      <c r="P202" s="79">
        <f t="shared" si="203"/>
        <v>-114.47398197835901</v>
      </c>
      <c r="Q202" s="79"/>
      <c r="R202" s="80">
        <f t="shared" si="161"/>
        <v>8.7518057871044732</v>
      </c>
      <c r="S202" s="80">
        <f t="shared" si="162"/>
        <v>3.3285086544537261</v>
      </c>
      <c r="T202" s="80">
        <f t="shared" si="163"/>
        <v>1.4869495943719784</v>
      </c>
      <c r="U202" s="80">
        <f t="shared" si="164"/>
        <v>0.35631621283855791</v>
      </c>
      <c r="V202" s="80">
        <f t="shared" si="165"/>
        <v>6.0443354775360891</v>
      </c>
      <c r="W202" s="80">
        <f t="shared" si="166"/>
        <v>2.7778205473472348</v>
      </c>
      <c r="X202" s="80">
        <f t="shared" si="217"/>
        <v>437.66089669619532</v>
      </c>
      <c r="Y202" s="80">
        <f t="shared" si="218"/>
        <v>147.34560574883614</v>
      </c>
      <c r="Z202" s="80">
        <f t="shared" si="219"/>
        <v>120.6208479211019</v>
      </c>
      <c r="AA202" s="80">
        <f t="shared" si="220"/>
        <v>86.341373365837597</v>
      </c>
      <c r="AB202" s="80">
        <f t="shared" si="221"/>
        <v>534.42315417865927</v>
      </c>
      <c r="AC202" s="80">
        <f t="shared" si="222"/>
        <v>247.5127456324374</v>
      </c>
      <c r="AD202" s="80"/>
      <c r="AE202" s="80"/>
      <c r="AF202" s="80"/>
      <c r="AG202" s="80"/>
      <c r="AH202" s="80"/>
      <c r="AI202" s="80"/>
      <c r="AJ202" s="45">
        <f t="shared" si="167"/>
        <v>0</v>
      </c>
      <c r="AK202" s="45">
        <f t="shared" si="168"/>
        <v>0</v>
      </c>
      <c r="AL202" s="45">
        <f t="shared" si="169"/>
        <v>0</v>
      </c>
      <c r="AM202" s="45">
        <f t="shared" si="170"/>
        <v>0</v>
      </c>
      <c r="AN202" s="45">
        <f t="shared" si="171"/>
        <v>0</v>
      </c>
      <c r="AO202" s="45">
        <f t="shared" si="172"/>
        <v>0</v>
      </c>
      <c r="AP202" s="80">
        <f t="shared" si="173"/>
        <v>0</v>
      </c>
      <c r="AQ202" s="80">
        <f t="shared" si="174"/>
        <v>0</v>
      </c>
      <c r="AR202" s="80">
        <f t="shared" si="175"/>
        <v>0</v>
      </c>
      <c r="AS202" s="80">
        <f t="shared" si="176"/>
        <v>0</v>
      </c>
      <c r="AT202" s="80">
        <f t="shared" si="177"/>
        <v>0</v>
      </c>
      <c r="AU202" s="80">
        <f t="shared" si="178"/>
        <v>0</v>
      </c>
      <c r="AV202" s="80">
        <f t="shared" si="223"/>
        <v>17.499504768644812</v>
      </c>
      <c r="AW202" s="80">
        <f t="shared" si="224"/>
        <v>8.9323644062441598</v>
      </c>
      <c r="AX202" s="80">
        <f t="shared" si="225"/>
        <v>5.7402027543754404</v>
      </c>
      <c r="AY202" s="80">
        <f t="shared" si="226"/>
        <v>4.3622004996351826</v>
      </c>
      <c r="AZ202" s="80">
        <f t="shared" si="227"/>
        <v>26.737122054744763</v>
      </c>
      <c r="BA202" s="80">
        <f t="shared" si="228"/>
        <v>15.933171401553532</v>
      </c>
      <c r="BB202" s="80">
        <f t="shared" si="204"/>
        <v>455.16040146484011</v>
      </c>
      <c r="BC202" s="80">
        <f t="shared" si="205"/>
        <v>156.27797015508028</v>
      </c>
      <c r="BD202" s="80">
        <f t="shared" si="206"/>
        <v>126.36105067547734</v>
      </c>
      <c r="BE202" s="80">
        <f t="shared" si="207"/>
        <v>90.703573865472777</v>
      </c>
      <c r="BF202" s="80">
        <f t="shared" si="208"/>
        <v>561.16027623340403</v>
      </c>
      <c r="BG202" s="80">
        <f t="shared" si="209"/>
        <v>263.44591703399095</v>
      </c>
      <c r="BH202" s="49">
        <f t="shared" si="210"/>
        <v>0</v>
      </c>
      <c r="BI202" s="79">
        <f t="shared" si="211"/>
        <v>-68645.839400638521</v>
      </c>
      <c r="BJ202" s="79">
        <f t="shared" si="179"/>
        <v>68000</v>
      </c>
      <c r="BK202" s="44">
        <f t="shared" si="212"/>
        <v>-9.4082817877599867E-3</v>
      </c>
      <c r="BL202" s="79">
        <f t="shared" si="229"/>
        <v>3075.6006230587654</v>
      </c>
      <c r="BM202" s="49">
        <f t="shared" si="213"/>
        <v>71075.600623058766</v>
      </c>
      <c r="BN202" s="44">
        <f t="shared" si="214"/>
        <v>3.5395608002393386E-2</v>
      </c>
      <c r="BO202" s="49">
        <f t="shared" si="180"/>
        <v>3370.3367760294796</v>
      </c>
      <c r="BP202" s="49">
        <f t="shared" si="181"/>
        <v>71370.336776029464</v>
      </c>
      <c r="BQ202" s="44">
        <f t="shared" si="182"/>
        <v>3.9689184358136176E-2</v>
      </c>
      <c r="BS202" s="49">
        <f t="shared" si="183"/>
        <v>68645.839400638521</v>
      </c>
      <c r="BT202" s="49">
        <f t="shared" si="159"/>
        <v>54.380001</v>
      </c>
      <c r="BU202" s="49">
        <f t="shared" si="160"/>
        <v>41.209999000000003</v>
      </c>
      <c r="BV202" s="49">
        <f t="shared" si="184"/>
        <v>1022.9833128914333</v>
      </c>
      <c r="BW202" s="18">
        <f t="shared" si="185"/>
        <v>1120</v>
      </c>
      <c r="BX202" s="19">
        <f t="shared" si="215"/>
        <v>0.74311926605504586</v>
      </c>
      <c r="BY202" s="49">
        <f t="shared" si="216"/>
        <v>760.1986086624413</v>
      </c>
      <c r="BZ202" s="19">
        <f t="shared" si="186"/>
        <v>8.7518057871044732</v>
      </c>
      <c r="CA202" s="19">
        <f t="shared" si="187"/>
        <v>3.3285086544537261</v>
      </c>
      <c r="CB202" s="19">
        <f t="shared" si="188"/>
        <v>1.4869495943719784</v>
      </c>
      <c r="CC202" s="19">
        <f t="shared" si="189"/>
        <v>0.35631621283855791</v>
      </c>
      <c r="CD202" s="19">
        <f t="shared" si="190"/>
        <v>6.0443354775360891</v>
      </c>
      <c r="CE202" s="19">
        <f t="shared" si="191"/>
        <v>2.7778205473472348</v>
      </c>
      <c r="CF202" s="49">
        <f t="shared" si="192"/>
        <v>-475.92320745454708</v>
      </c>
      <c r="CG202" s="49">
        <f t="shared" si="193"/>
        <v>-153.61068106005678</v>
      </c>
      <c r="CH202" s="49">
        <f t="shared" si="194"/>
        <v>-67.061423732277035</v>
      </c>
      <c r="CI202" s="49">
        <f t="shared" si="195"/>
        <v>-19.643713170105912</v>
      </c>
      <c r="CJ202" s="49">
        <f t="shared" si="196"/>
        <v>-192.27030549608753</v>
      </c>
      <c r="CK202" s="49">
        <f t="shared" si="197"/>
        <v>-114.47398197835901</v>
      </c>
    </row>
    <row r="203" spans="2:89" ht="12.75" customHeight="1" x14ac:dyDescent="0.2">
      <c r="B203" s="77">
        <v>40420</v>
      </c>
      <c r="C203" s="49">
        <v>56.490001999999997</v>
      </c>
      <c r="D203" s="49">
        <v>47.919998</v>
      </c>
      <c r="E203" s="49">
        <v>47.060001</v>
      </c>
      <c r="F203" s="49">
        <v>57.490001999999997</v>
      </c>
      <c r="G203" s="49">
        <v>33.07</v>
      </c>
      <c r="H203" s="49">
        <v>42.650002000000001</v>
      </c>
      <c r="J203" s="78">
        <f>IF(inter=Weekly_2,J202+$C$5,IF(inter=Bi_weekly_2,0,IF(inter=Monthly_2,0,IF(inter=Quarterly_2,0,IF(inter=Yearly_2,0,IF(inter=None_2,0,0))))))</f>
        <v>0</v>
      </c>
      <c r="K203" s="79">
        <f t="shared" si="198"/>
        <v>0</v>
      </c>
      <c r="L203" s="79">
        <f t="shared" si="199"/>
        <v>0</v>
      </c>
      <c r="M203" s="79">
        <f t="shared" si="200"/>
        <v>0</v>
      </c>
      <c r="N203" s="79">
        <f t="shared" si="201"/>
        <v>0</v>
      </c>
      <c r="O203" s="79">
        <f t="shared" si="202"/>
        <v>0</v>
      </c>
      <c r="P203" s="79">
        <f t="shared" si="203"/>
        <v>0</v>
      </c>
      <c r="Q203" s="79"/>
      <c r="R203" s="80">
        <f t="shared" si="161"/>
        <v>0</v>
      </c>
      <c r="S203" s="80">
        <f t="shared" si="162"/>
        <v>0</v>
      </c>
      <c r="T203" s="80">
        <f t="shared" si="163"/>
        <v>0</v>
      </c>
      <c r="U203" s="80">
        <f t="shared" si="164"/>
        <v>0</v>
      </c>
      <c r="V203" s="80">
        <f t="shared" si="165"/>
        <v>0</v>
      </c>
      <c r="W203" s="80">
        <f t="shared" si="166"/>
        <v>0</v>
      </c>
      <c r="X203" s="80">
        <f t="shared" si="217"/>
        <v>437.66089669619532</v>
      </c>
      <c r="Y203" s="80">
        <f t="shared" si="218"/>
        <v>147.34560574883614</v>
      </c>
      <c r="Z203" s="80">
        <f t="shared" si="219"/>
        <v>120.6208479211019</v>
      </c>
      <c r="AA203" s="80">
        <f t="shared" si="220"/>
        <v>86.341373365837597</v>
      </c>
      <c r="AB203" s="80">
        <f t="shared" si="221"/>
        <v>534.42315417865927</v>
      </c>
      <c r="AC203" s="80">
        <f t="shared" si="222"/>
        <v>247.5127456324374</v>
      </c>
      <c r="AD203" s="80"/>
      <c r="AE203" s="80"/>
      <c r="AF203" s="80"/>
      <c r="AG203" s="80"/>
      <c r="AH203" s="80"/>
      <c r="AI203" s="80"/>
      <c r="AJ203" s="45">
        <f t="shared" si="167"/>
        <v>0</v>
      </c>
      <c r="AK203" s="45">
        <f t="shared" si="168"/>
        <v>0</v>
      </c>
      <c r="AL203" s="45">
        <f t="shared" si="169"/>
        <v>0</v>
      </c>
      <c r="AM203" s="45">
        <f t="shared" si="170"/>
        <v>0</v>
      </c>
      <c r="AN203" s="45">
        <f t="shared" si="171"/>
        <v>0</v>
      </c>
      <c r="AO203" s="45">
        <f t="shared" si="172"/>
        <v>0</v>
      </c>
      <c r="AP203" s="80">
        <f t="shared" si="173"/>
        <v>0</v>
      </c>
      <c r="AQ203" s="80">
        <f t="shared" si="174"/>
        <v>0</v>
      </c>
      <c r="AR203" s="80">
        <f t="shared" si="175"/>
        <v>0</v>
      </c>
      <c r="AS203" s="80">
        <f t="shared" si="176"/>
        <v>0</v>
      </c>
      <c r="AT203" s="80">
        <f t="shared" si="177"/>
        <v>0</v>
      </c>
      <c r="AU203" s="80">
        <f t="shared" si="178"/>
        <v>0</v>
      </c>
      <c r="AV203" s="80">
        <f t="shared" si="223"/>
        <v>17.499504768644812</v>
      </c>
      <c r="AW203" s="80">
        <f t="shared" si="224"/>
        <v>8.9323644062441598</v>
      </c>
      <c r="AX203" s="80">
        <f t="shared" si="225"/>
        <v>5.7402027543754404</v>
      </c>
      <c r="AY203" s="80">
        <f t="shared" si="226"/>
        <v>4.3622004996351826</v>
      </c>
      <c r="AZ203" s="80">
        <f t="shared" si="227"/>
        <v>26.737122054744763</v>
      </c>
      <c r="BA203" s="80">
        <f t="shared" si="228"/>
        <v>15.933171401553532</v>
      </c>
      <c r="BB203" s="80">
        <f t="shared" si="204"/>
        <v>455.16040146484011</v>
      </c>
      <c r="BC203" s="80">
        <f t="shared" si="205"/>
        <v>156.27797015508028</v>
      </c>
      <c r="BD203" s="80">
        <f t="shared" si="206"/>
        <v>126.36105067547734</v>
      </c>
      <c r="BE203" s="80">
        <f t="shared" si="207"/>
        <v>90.703573865472777</v>
      </c>
      <c r="BF203" s="80">
        <f t="shared" si="208"/>
        <v>561.16027623340403</v>
      </c>
      <c r="BG203" s="80">
        <f t="shared" si="209"/>
        <v>263.44591703399095</v>
      </c>
      <c r="BH203" s="49">
        <f t="shared" si="210"/>
        <v>0</v>
      </c>
      <c r="BI203" s="79">
        <f t="shared" si="211"/>
        <v>-68645.839400638521</v>
      </c>
      <c r="BJ203" s="79">
        <f t="shared" si="179"/>
        <v>70654.241818692739</v>
      </c>
      <c r="BK203" s="44">
        <f t="shared" si="212"/>
        <v>2.9257452972969888E-2</v>
      </c>
      <c r="BL203" s="79">
        <f t="shared" si="229"/>
        <v>3075.6006230587654</v>
      </c>
      <c r="BM203" s="49">
        <f t="shared" si="213"/>
        <v>73729.842441751505</v>
      </c>
      <c r="BN203" s="44">
        <f t="shared" si="214"/>
        <v>7.4061342763122928E-2</v>
      </c>
      <c r="BO203" s="49">
        <f t="shared" si="180"/>
        <v>3501.249225164795</v>
      </c>
      <c r="BP203" s="49">
        <f t="shared" si="181"/>
        <v>74155.491043857546</v>
      </c>
      <c r="BQ203" s="44">
        <f t="shared" si="182"/>
        <v>8.0261989529518019E-2</v>
      </c>
      <c r="BS203" s="49">
        <f t="shared" si="183"/>
        <v>68645.839400638521</v>
      </c>
      <c r="BT203" s="49">
        <f t="shared" si="159"/>
        <v>56.490001999999997</v>
      </c>
      <c r="BU203" s="49">
        <f t="shared" si="160"/>
        <v>42.650002000000001</v>
      </c>
      <c r="BV203" s="49">
        <f t="shared" si="184"/>
        <v>0</v>
      </c>
      <c r="BW203" s="18">
        <f t="shared" si="185"/>
        <v>1127</v>
      </c>
      <c r="BX203" s="19">
        <f t="shared" si="215"/>
        <v>0.74151376146788994</v>
      </c>
      <c r="BY203" s="49">
        <f t="shared" si="216"/>
        <v>0</v>
      </c>
      <c r="BZ203" s="19">
        <f t="shared" si="186"/>
        <v>0</v>
      </c>
      <c r="CA203" s="19">
        <f t="shared" si="187"/>
        <v>0</v>
      </c>
      <c r="CB203" s="19">
        <f t="shared" si="188"/>
        <v>0</v>
      </c>
      <c r="CC203" s="19">
        <f t="shared" si="189"/>
        <v>0</v>
      </c>
      <c r="CD203" s="19">
        <f t="shared" si="190"/>
        <v>0</v>
      </c>
      <c r="CE203" s="19">
        <f t="shared" si="191"/>
        <v>0</v>
      </c>
      <c r="CF203" s="49">
        <f t="shared" si="192"/>
        <v>0</v>
      </c>
      <c r="CG203" s="49">
        <f t="shared" si="193"/>
        <v>0</v>
      </c>
      <c r="CH203" s="49">
        <f t="shared" si="194"/>
        <v>0</v>
      </c>
      <c r="CI203" s="49">
        <f t="shared" si="195"/>
        <v>0</v>
      </c>
      <c r="CJ203" s="49">
        <f t="shared" si="196"/>
        <v>0</v>
      </c>
      <c r="CK203" s="49">
        <f t="shared" si="197"/>
        <v>0</v>
      </c>
    </row>
    <row r="204" spans="2:89" ht="12.75" customHeight="1" x14ac:dyDescent="0.2">
      <c r="B204" s="77">
        <v>40428</v>
      </c>
      <c r="C204" s="49">
        <v>56.689999</v>
      </c>
      <c r="D204" s="49">
        <v>48.16</v>
      </c>
      <c r="E204" s="49">
        <v>46.790000999999997</v>
      </c>
      <c r="F204" s="49">
        <v>56.950001</v>
      </c>
      <c r="G204" s="49">
        <v>33.259998000000003</v>
      </c>
      <c r="H204" s="49">
        <v>42.93</v>
      </c>
      <c r="J204" s="78">
        <f>IF(inter=Weekly_2,J203+$C$5,IF(inter=Bi_weekly_2,J202+$C$5,IF(inter=Monthly_2,0,IF(inter=Quarterly_2,0,IF(inter=Yearly_2,0,IF(inter=None_2,0,0))))))</f>
        <v>68600</v>
      </c>
      <c r="K204" s="79">
        <f t="shared" si="198"/>
        <v>800.99579604641622</v>
      </c>
      <c r="L204" s="79">
        <f t="shared" si="199"/>
        <v>236.16437286394739</v>
      </c>
      <c r="M204" s="79">
        <f t="shared" si="200"/>
        <v>155.84959484920546</v>
      </c>
      <c r="N204" s="79">
        <f t="shared" si="201"/>
        <v>115.14129952582334</v>
      </c>
      <c r="O204" s="79">
        <f t="shared" si="202"/>
        <v>624.91303913589945</v>
      </c>
      <c r="P204" s="79">
        <f t="shared" si="203"/>
        <v>335.72217000053752</v>
      </c>
      <c r="Q204" s="79"/>
      <c r="R204" s="80">
        <f t="shared" si="161"/>
        <v>-14.129402190436027</v>
      </c>
      <c r="S204" s="80">
        <f t="shared" si="162"/>
        <v>-4.9037452837198385</v>
      </c>
      <c r="T204" s="80">
        <f t="shared" si="163"/>
        <v>-3.3308311929552099</v>
      </c>
      <c r="U204" s="80">
        <f t="shared" si="164"/>
        <v>-2.0217962687274289</v>
      </c>
      <c r="V204" s="80">
        <f t="shared" si="165"/>
        <v>-18.788727501904823</v>
      </c>
      <c r="W204" s="80">
        <f t="shared" si="166"/>
        <v>-7.8202229210467626</v>
      </c>
      <c r="X204" s="80">
        <f t="shared" si="217"/>
        <v>423.53149450575927</v>
      </c>
      <c r="Y204" s="80">
        <f t="shared" si="218"/>
        <v>142.44186046511629</v>
      </c>
      <c r="Z204" s="80">
        <f t="shared" si="219"/>
        <v>117.29001672814668</v>
      </c>
      <c r="AA204" s="80">
        <f t="shared" si="220"/>
        <v>84.319577097110169</v>
      </c>
      <c r="AB204" s="80">
        <f t="shared" si="221"/>
        <v>515.6344266767544</v>
      </c>
      <c r="AC204" s="80">
        <f t="shared" si="222"/>
        <v>239.69252271139064</v>
      </c>
      <c r="AD204" s="80"/>
      <c r="AE204" s="80"/>
      <c r="AF204" s="80"/>
      <c r="AG204" s="80"/>
      <c r="AH204" s="80"/>
      <c r="AI204" s="80"/>
      <c r="AJ204" s="45">
        <f t="shared" si="167"/>
        <v>0</v>
      </c>
      <c r="AK204" s="45">
        <f t="shared" si="168"/>
        <v>0</v>
      </c>
      <c r="AL204" s="45">
        <f t="shared" si="169"/>
        <v>0</v>
      </c>
      <c r="AM204" s="45">
        <f t="shared" si="170"/>
        <v>0</v>
      </c>
      <c r="AN204" s="45">
        <f t="shared" si="171"/>
        <v>0</v>
      </c>
      <c r="AO204" s="45">
        <f t="shared" si="172"/>
        <v>0</v>
      </c>
      <c r="AP204" s="80">
        <f t="shared" si="173"/>
        <v>0</v>
      </c>
      <c r="AQ204" s="80">
        <f t="shared" si="174"/>
        <v>0</v>
      </c>
      <c r="AR204" s="80">
        <f t="shared" si="175"/>
        <v>0</v>
      </c>
      <c r="AS204" s="80">
        <f t="shared" si="176"/>
        <v>0</v>
      </c>
      <c r="AT204" s="80">
        <f t="shared" si="177"/>
        <v>0</v>
      </c>
      <c r="AU204" s="80">
        <f t="shared" si="178"/>
        <v>0</v>
      </c>
      <c r="AV204" s="80">
        <f t="shared" si="223"/>
        <v>17.499504768644812</v>
      </c>
      <c r="AW204" s="80">
        <f t="shared" si="224"/>
        <v>8.9323644062441598</v>
      </c>
      <c r="AX204" s="80">
        <f t="shared" si="225"/>
        <v>5.7402027543754404</v>
      </c>
      <c r="AY204" s="80">
        <f t="shared" si="226"/>
        <v>4.3622004996351826</v>
      </c>
      <c r="AZ204" s="80">
        <f t="shared" si="227"/>
        <v>26.737122054744763</v>
      </c>
      <c r="BA204" s="80">
        <f t="shared" si="228"/>
        <v>15.933171401553532</v>
      </c>
      <c r="BB204" s="80">
        <f t="shared" si="204"/>
        <v>441.03099927440405</v>
      </c>
      <c r="BC204" s="80">
        <f t="shared" si="205"/>
        <v>151.37422487136044</v>
      </c>
      <c r="BD204" s="80">
        <f t="shared" si="206"/>
        <v>123.03021948252213</v>
      </c>
      <c r="BE204" s="80">
        <f t="shared" si="207"/>
        <v>88.681777596745349</v>
      </c>
      <c r="BF204" s="80">
        <f t="shared" si="208"/>
        <v>542.37154873149916</v>
      </c>
      <c r="BG204" s="80">
        <f t="shared" si="209"/>
        <v>255.62569411294416</v>
      </c>
      <c r="BH204" s="49">
        <f t="shared" si="210"/>
        <v>0</v>
      </c>
      <c r="BI204" s="79">
        <f t="shared" si="211"/>
        <v>-66377.053128216692</v>
      </c>
      <c r="BJ204" s="79">
        <f t="shared" si="179"/>
        <v>68600</v>
      </c>
      <c r="BK204" s="44">
        <f t="shared" si="212"/>
        <v>3.3489689087121244E-2</v>
      </c>
      <c r="BL204" s="79">
        <f t="shared" si="229"/>
        <v>3075.6006230587654</v>
      </c>
      <c r="BM204" s="49">
        <f t="shared" si="213"/>
        <v>71675.600623058766</v>
      </c>
      <c r="BN204" s="44">
        <f t="shared" si="214"/>
        <v>7.9824988382765083E-2</v>
      </c>
      <c r="BO204" s="49">
        <f t="shared" si="180"/>
        <v>3512.528667408802</v>
      </c>
      <c r="BP204" s="49">
        <f t="shared" si="181"/>
        <v>72112.528667408798</v>
      </c>
      <c r="BQ204" s="44">
        <f t="shared" si="182"/>
        <v>8.6407504836245375E-2</v>
      </c>
      <c r="BS204" s="49">
        <f t="shared" si="183"/>
        <v>66377.053128216692</v>
      </c>
      <c r="BT204" s="49">
        <f t="shared" si="159"/>
        <v>56.689999</v>
      </c>
      <c r="BU204" s="49">
        <f t="shared" si="160"/>
        <v>42.93</v>
      </c>
      <c r="BV204" s="49">
        <f t="shared" si="184"/>
        <v>-2268.7862724218294</v>
      </c>
      <c r="BW204" s="18">
        <f t="shared" si="185"/>
        <v>1135</v>
      </c>
      <c r="BX204" s="19">
        <f t="shared" si="215"/>
        <v>0.73967889908256879</v>
      </c>
      <c r="BY204" s="49">
        <f t="shared" si="216"/>
        <v>-1678.1733322386237</v>
      </c>
      <c r="BZ204" s="19">
        <f t="shared" si="186"/>
        <v>0</v>
      </c>
      <c r="CA204" s="19">
        <f t="shared" si="187"/>
        <v>0</v>
      </c>
      <c r="CB204" s="19">
        <f t="shared" si="188"/>
        <v>0</v>
      </c>
      <c r="CC204" s="19">
        <f t="shared" si="189"/>
        <v>0</v>
      </c>
      <c r="CD204" s="19">
        <f t="shared" si="190"/>
        <v>0</v>
      </c>
      <c r="CE204" s="19">
        <f t="shared" si="191"/>
        <v>0</v>
      </c>
      <c r="CF204" s="49">
        <f t="shared" si="192"/>
        <v>0</v>
      </c>
      <c r="CG204" s="49">
        <f t="shared" si="193"/>
        <v>0</v>
      </c>
      <c r="CH204" s="49">
        <f t="shared" si="194"/>
        <v>0</v>
      </c>
      <c r="CI204" s="49">
        <f t="shared" si="195"/>
        <v>0</v>
      </c>
      <c r="CJ204" s="49">
        <f t="shared" si="196"/>
        <v>0</v>
      </c>
      <c r="CK204" s="49">
        <f t="shared" si="197"/>
        <v>0</v>
      </c>
    </row>
    <row r="205" spans="2:89" ht="12.75" customHeight="1" x14ac:dyDescent="0.2">
      <c r="B205" s="77">
        <v>40434</v>
      </c>
      <c r="C205" s="49">
        <v>57.599997999999999</v>
      </c>
      <c r="D205" s="49">
        <v>48.59</v>
      </c>
      <c r="E205" s="49">
        <v>47.470001000000003</v>
      </c>
      <c r="F205" s="49">
        <v>58.029998999999997</v>
      </c>
      <c r="G205" s="49">
        <v>33.68</v>
      </c>
      <c r="H205" s="49">
        <v>43.66</v>
      </c>
      <c r="J205" s="78">
        <f>IF(inter=Weekly_2,J204+$C$5,IF(inter=Bi_weekly_2,0,IF(inter=Monthly_2,0,IF(inter=Quarterly_2,0,IF(inter=Yearly_2,0,IF(inter=None_2,0,0))))))</f>
        <v>0</v>
      </c>
      <c r="K205" s="79">
        <f t="shared" si="198"/>
        <v>0</v>
      </c>
      <c r="L205" s="79">
        <f t="shared" si="199"/>
        <v>0</v>
      </c>
      <c r="M205" s="79">
        <f t="shared" si="200"/>
        <v>0</v>
      </c>
      <c r="N205" s="79">
        <f t="shared" si="201"/>
        <v>0</v>
      </c>
      <c r="O205" s="79">
        <f t="shared" si="202"/>
        <v>0</v>
      </c>
      <c r="P205" s="79">
        <f t="shared" si="203"/>
        <v>0</v>
      </c>
      <c r="Q205" s="79"/>
      <c r="R205" s="80">
        <f t="shared" si="161"/>
        <v>0</v>
      </c>
      <c r="S205" s="80">
        <f t="shared" si="162"/>
        <v>0</v>
      </c>
      <c r="T205" s="80">
        <f t="shared" si="163"/>
        <v>0</v>
      </c>
      <c r="U205" s="80">
        <f t="shared" si="164"/>
        <v>0</v>
      </c>
      <c r="V205" s="80">
        <f t="shared" si="165"/>
        <v>0</v>
      </c>
      <c r="W205" s="80">
        <f t="shared" si="166"/>
        <v>0</v>
      </c>
      <c r="X205" s="80">
        <f t="shared" si="217"/>
        <v>423.53149450575927</v>
      </c>
      <c r="Y205" s="80">
        <f t="shared" si="218"/>
        <v>142.44186046511629</v>
      </c>
      <c r="Z205" s="80">
        <f t="shared" si="219"/>
        <v>117.29001672814668</v>
      </c>
      <c r="AA205" s="80">
        <f t="shared" si="220"/>
        <v>84.319577097110169</v>
      </c>
      <c r="AB205" s="80">
        <f t="shared" si="221"/>
        <v>515.6344266767544</v>
      </c>
      <c r="AC205" s="80">
        <f t="shared" si="222"/>
        <v>239.69252271139064</v>
      </c>
      <c r="AD205" s="80"/>
      <c r="AE205" s="80"/>
      <c r="AF205" s="80"/>
      <c r="AG205" s="80"/>
      <c r="AH205" s="80"/>
      <c r="AI205" s="80"/>
      <c r="AJ205" s="45">
        <f t="shared" si="167"/>
        <v>0</v>
      </c>
      <c r="AK205" s="45">
        <f t="shared" si="168"/>
        <v>0</v>
      </c>
      <c r="AL205" s="45">
        <f t="shared" si="169"/>
        <v>0</v>
      </c>
      <c r="AM205" s="45">
        <f t="shared" si="170"/>
        <v>0</v>
      </c>
      <c r="AN205" s="45">
        <f t="shared" si="171"/>
        <v>0</v>
      </c>
      <c r="AO205" s="45">
        <f t="shared" si="172"/>
        <v>0</v>
      </c>
      <c r="AP205" s="80">
        <f t="shared" si="173"/>
        <v>0</v>
      </c>
      <c r="AQ205" s="80">
        <f t="shared" si="174"/>
        <v>0</v>
      </c>
      <c r="AR205" s="80">
        <f t="shared" si="175"/>
        <v>0</v>
      </c>
      <c r="AS205" s="80">
        <f t="shared" si="176"/>
        <v>0</v>
      </c>
      <c r="AT205" s="80">
        <f t="shared" si="177"/>
        <v>0</v>
      </c>
      <c r="AU205" s="80">
        <f t="shared" si="178"/>
        <v>0</v>
      </c>
      <c r="AV205" s="80">
        <f t="shared" si="223"/>
        <v>17.499504768644812</v>
      </c>
      <c r="AW205" s="80">
        <f t="shared" si="224"/>
        <v>8.9323644062441598</v>
      </c>
      <c r="AX205" s="80">
        <f t="shared" si="225"/>
        <v>5.7402027543754404</v>
      </c>
      <c r="AY205" s="80">
        <f t="shared" si="226"/>
        <v>4.3622004996351826</v>
      </c>
      <c r="AZ205" s="80">
        <f t="shared" si="227"/>
        <v>26.737122054744763</v>
      </c>
      <c r="BA205" s="80">
        <f t="shared" si="228"/>
        <v>15.933171401553532</v>
      </c>
      <c r="BB205" s="80">
        <f t="shared" si="204"/>
        <v>441.03099927440405</v>
      </c>
      <c r="BC205" s="80">
        <f t="shared" si="205"/>
        <v>151.37422487136044</v>
      </c>
      <c r="BD205" s="80">
        <f t="shared" si="206"/>
        <v>123.03021948252213</v>
      </c>
      <c r="BE205" s="80">
        <f t="shared" si="207"/>
        <v>88.681777596745349</v>
      </c>
      <c r="BF205" s="80">
        <f t="shared" si="208"/>
        <v>542.37154873149916</v>
      </c>
      <c r="BG205" s="80">
        <f t="shared" si="209"/>
        <v>255.62569411294416</v>
      </c>
      <c r="BH205" s="49">
        <f t="shared" si="210"/>
        <v>0</v>
      </c>
      <c r="BI205" s="79">
        <f t="shared" si="211"/>
        <v>-66377.053128216692</v>
      </c>
      <c r="BJ205" s="79">
        <f t="shared" si="179"/>
        <v>69609.02845452202</v>
      </c>
      <c r="BK205" s="44">
        <f t="shared" si="212"/>
        <v>4.8691154156276006E-2</v>
      </c>
      <c r="BL205" s="79">
        <f t="shared" si="229"/>
        <v>3075.6006230587654</v>
      </c>
      <c r="BM205" s="49">
        <f t="shared" si="213"/>
        <v>72684.629077580787</v>
      </c>
      <c r="BN205" s="44">
        <f t="shared" si="214"/>
        <v>9.5026453451919846E-2</v>
      </c>
      <c r="BO205" s="49">
        <f t="shared" si="180"/>
        <v>3563.7694814920005</v>
      </c>
      <c r="BP205" s="49">
        <f t="shared" si="181"/>
        <v>73172.797936014016</v>
      </c>
      <c r="BQ205" s="44">
        <f t="shared" si="182"/>
        <v>0.10238093569279694</v>
      </c>
      <c r="BS205" s="49">
        <f t="shared" si="183"/>
        <v>66377.053128216692</v>
      </c>
      <c r="BT205" s="49">
        <f t="shared" si="159"/>
        <v>57.599997999999999</v>
      </c>
      <c r="BU205" s="49">
        <f t="shared" si="160"/>
        <v>43.66</v>
      </c>
      <c r="BV205" s="49">
        <f t="shared" si="184"/>
        <v>0</v>
      </c>
      <c r="BW205" s="18">
        <f t="shared" si="185"/>
        <v>1141</v>
      </c>
      <c r="BX205" s="19">
        <f t="shared" si="215"/>
        <v>0.738302752293578</v>
      </c>
      <c r="BY205" s="49">
        <f t="shared" si="216"/>
        <v>0</v>
      </c>
      <c r="BZ205" s="19">
        <f t="shared" si="186"/>
        <v>0</v>
      </c>
      <c r="CA205" s="19">
        <f t="shared" si="187"/>
        <v>0</v>
      </c>
      <c r="CB205" s="19">
        <f t="shared" si="188"/>
        <v>0</v>
      </c>
      <c r="CC205" s="19">
        <f t="shared" si="189"/>
        <v>0</v>
      </c>
      <c r="CD205" s="19">
        <f t="shared" si="190"/>
        <v>0</v>
      </c>
      <c r="CE205" s="19">
        <f t="shared" si="191"/>
        <v>0</v>
      </c>
      <c r="CF205" s="49">
        <f t="shared" si="192"/>
        <v>0</v>
      </c>
      <c r="CG205" s="49">
        <f t="shared" si="193"/>
        <v>0</v>
      </c>
      <c r="CH205" s="49">
        <f t="shared" si="194"/>
        <v>0</v>
      </c>
      <c r="CI205" s="49">
        <f t="shared" si="195"/>
        <v>0</v>
      </c>
      <c r="CJ205" s="49">
        <f t="shared" si="196"/>
        <v>0</v>
      </c>
      <c r="CK205" s="49">
        <f t="shared" si="197"/>
        <v>0</v>
      </c>
    </row>
    <row r="206" spans="2:89" ht="12.75" customHeight="1" x14ac:dyDescent="0.2">
      <c r="B206" s="77">
        <v>40441</v>
      </c>
      <c r="C206" s="49">
        <v>58.52</v>
      </c>
      <c r="D206" s="49">
        <v>48.970001000000003</v>
      </c>
      <c r="E206" s="49">
        <v>48.25</v>
      </c>
      <c r="F206" s="49">
        <v>59.299999</v>
      </c>
      <c r="G206" s="49">
        <v>34.849997999999999</v>
      </c>
      <c r="H206" s="49">
        <v>44.869999</v>
      </c>
      <c r="J206" s="78">
        <f>IF(inter=Weekly_2,J205+$C$5,IF(inter=Bi_weekly_2,J204+$C$5,IF(inter=Monthly_2,J202+$C$5,IF(inter=Quarterly_2,0,IF(inter=Yearly_2,0,IF(inter=None_2,0,0))))))</f>
        <v>69200</v>
      </c>
      <c r="K206" s="79">
        <f t="shared" si="198"/>
        <v>565.06305847703334</v>
      </c>
      <c r="L206" s="79">
        <f t="shared" si="199"/>
        <v>55.378049418605769</v>
      </c>
      <c r="M206" s="79">
        <f t="shared" si="200"/>
        <v>123.243307133077</v>
      </c>
      <c r="N206" s="79">
        <f t="shared" si="201"/>
        <v>156.15083753905492</v>
      </c>
      <c r="O206" s="79">
        <f t="shared" si="202"/>
        <v>669.85873841603825</v>
      </c>
      <c r="P206" s="79">
        <f t="shared" si="203"/>
        <v>375.00325436757521</v>
      </c>
      <c r="Q206" s="79"/>
      <c r="R206" s="80">
        <f t="shared" si="161"/>
        <v>-9.6558964196348818</v>
      </c>
      <c r="S206" s="80">
        <f t="shared" si="162"/>
        <v>-1.1308566119613876</v>
      </c>
      <c r="T206" s="80">
        <f t="shared" si="163"/>
        <v>-2.5542654328098857</v>
      </c>
      <c r="U206" s="80">
        <f t="shared" si="164"/>
        <v>-2.633235078790725</v>
      </c>
      <c r="V206" s="80">
        <f t="shared" si="165"/>
        <v>-19.221198762078501</v>
      </c>
      <c r="W206" s="80">
        <f t="shared" si="166"/>
        <v>-8.357549871297639</v>
      </c>
      <c r="X206" s="80">
        <f t="shared" si="217"/>
        <v>413.8755980861244</v>
      </c>
      <c r="Y206" s="80">
        <f t="shared" si="218"/>
        <v>141.31100385315492</v>
      </c>
      <c r="Z206" s="80">
        <f t="shared" si="219"/>
        <v>114.7357512953368</v>
      </c>
      <c r="AA206" s="80">
        <f t="shared" si="220"/>
        <v>81.686342018319451</v>
      </c>
      <c r="AB206" s="80">
        <f t="shared" si="221"/>
        <v>496.41322791467587</v>
      </c>
      <c r="AC206" s="80">
        <f t="shared" si="222"/>
        <v>231.334972840093</v>
      </c>
      <c r="AD206" s="80">
        <v>0.29699999999999999</v>
      </c>
      <c r="AE206" s="80">
        <v>0.35299999999999998</v>
      </c>
      <c r="AF206" s="80"/>
      <c r="AG206" s="80"/>
      <c r="AH206" s="80"/>
      <c r="AI206" s="80"/>
      <c r="AJ206" s="45">
        <f t="shared" si="167"/>
        <v>122.92105263157895</v>
      </c>
      <c r="AK206" s="45">
        <f t="shared" si="168"/>
        <v>49.882784360163683</v>
      </c>
      <c r="AL206" s="45">
        <f t="shared" si="169"/>
        <v>0</v>
      </c>
      <c r="AM206" s="45">
        <f t="shared" si="170"/>
        <v>0</v>
      </c>
      <c r="AN206" s="45">
        <f t="shared" si="171"/>
        <v>0</v>
      </c>
      <c r="AO206" s="45">
        <f t="shared" si="172"/>
        <v>0</v>
      </c>
      <c r="AP206" s="80">
        <f t="shared" si="173"/>
        <v>2.1004964564521349</v>
      </c>
      <c r="AQ206" s="80">
        <f t="shared" si="174"/>
        <v>1.0186396434862985</v>
      </c>
      <c r="AR206" s="80">
        <f t="shared" si="175"/>
        <v>0</v>
      </c>
      <c r="AS206" s="80">
        <f t="shared" si="176"/>
        <v>0</v>
      </c>
      <c r="AT206" s="80">
        <f t="shared" si="177"/>
        <v>0</v>
      </c>
      <c r="AU206" s="80">
        <f t="shared" si="178"/>
        <v>0</v>
      </c>
      <c r="AV206" s="80">
        <f t="shared" si="223"/>
        <v>19.600001225096946</v>
      </c>
      <c r="AW206" s="80">
        <f t="shared" si="224"/>
        <v>9.951004049730459</v>
      </c>
      <c r="AX206" s="80">
        <f t="shared" si="225"/>
        <v>5.7402027543754404</v>
      </c>
      <c r="AY206" s="80">
        <f t="shared" si="226"/>
        <v>4.3622004996351826</v>
      </c>
      <c r="AZ206" s="80">
        <f t="shared" si="227"/>
        <v>26.737122054744763</v>
      </c>
      <c r="BA206" s="80">
        <f t="shared" si="228"/>
        <v>15.933171401553532</v>
      </c>
      <c r="BB206" s="80">
        <f t="shared" si="204"/>
        <v>433.47559931122134</v>
      </c>
      <c r="BC206" s="80">
        <f t="shared" si="205"/>
        <v>151.26200790288539</v>
      </c>
      <c r="BD206" s="80">
        <f t="shared" si="206"/>
        <v>120.47595404971224</v>
      </c>
      <c r="BE206" s="80">
        <f t="shared" si="207"/>
        <v>86.04854251795463</v>
      </c>
      <c r="BF206" s="80">
        <f t="shared" si="208"/>
        <v>523.15034996942063</v>
      </c>
      <c r="BG206" s="80">
        <f t="shared" si="209"/>
        <v>247.26814424164652</v>
      </c>
      <c r="BH206" s="49">
        <f t="shared" si="210"/>
        <v>172.80383699174263</v>
      </c>
      <c r="BI206" s="79">
        <f t="shared" si="211"/>
        <v>-64432.355882865319</v>
      </c>
      <c r="BJ206" s="79">
        <f t="shared" si="179"/>
        <v>69200</v>
      </c>
      <c r="BK206" s="44">
        <f t="shared" si="212"/>
        <v>7.3994564560110332E-2</v>
      </c>
      <c r="BL206" s="79">
        <f t="shared" si="229"/>
        <v>3248.4044600505081</v>
      </c>
      <c r="BM206" s="49">
        <f t="shared" si="213"/>
        <v>72448.404460050515</v>
      </c>
      <c r="BN206" s="44">
        <f t="shared" si="214"/>
        <v>0.12441029770443213</v>
      </c>
      <c r="BO206" s="49">
        <f t="shared" si="180"/>
        <v>3816.6460531119051</v>
      </c>
      <c r="BP206" s="49">
        <f t="shared" si="181"/>
        <v>73016.646053111894</v>
      </c>
      <c r="BQ206" s="44">
        <f t="shared" si="182"/>
        <v>0.13322949398051454</v>
      </c>
      <c r="BS206" s="49">
        <f t="shared" si="183"/>
        <v>64432.355882865319</v>
      </c>
      <c r="BT206" s="49">
        <f t="shared" si="159"/>
        <v>58.52</v>
      </c>
      <c r="BU206" s="49">
        <f t="shared" si="160"/>
        <v>44.869999</v>
      </c>
      <c r="BV206" s="49">
        <f t="shared" si="184"/>
        <v>-2117.5010823431271</v>
      </c>
      <c r="BW206" s="18">
        <f t="shared" si="185"/>
        <v>1148</v>
      </c>
      <c r="BX206" s="19">
        <f t="shared" si="215"/>
        <v>0.73669724770642198</v>
      </c>
      <c r="BY206" s="49">
        <f t="shared" si="216"/>
        <v>-1559.9572193775514</v>
      </c>
      <c r="BZ206" s="19">
        <f t="shared" si="186"/>
        <v>0</v>
      </c>
      <c r="CA206" s="19">
        <f t="shared" si="187"/>
        <v>0</v>
      </c>
      <c r="CB206" s="19">
        <f t="shared" si="188"/>
        <v>0</v>
      </c>
      <c r="CC206" s="19">
        <f t="shared" si="189"/>
        <v>0</v>
      </c>
      <c r="CD206" s="19">
        <f t="shared" si="190"/>
        <v>0</v>
      </c>
      <c r="CE206" s="19">
        <f t="shared" si="191"/>
        <v>0</v>
      </c>
      <c r="CF206" s="49">
        <f t="shared" si="192"/>
        <v>0</v>
      </c>
      <c r="CG206" s="49">
        <f t="shared" si="193"/>
        <v>0</v>
      </c>
      <c r="CH206" s="49">
        <f t="shared" si="194"/>
        <v>0</v>
      </c>
      <c r="CI206" s="49">
        <f t="shared" si="195"/>
        <v>0</v>
      </c>
      <c r="CJ206" s="49">
        <f t="shared" si="196"/>
        <v>0</v>
      </c>
      <c r="CK206" s="49">
        <f t="shared" si="197"/>
        <v>0</v>
      </c>
    </row>
    <row r="207" spans="2:89" ht="12.75" customHeight="1" x14ac:dyDescent="0.2">
      <c r="B207" s="77">
        <v>40448</v>
      </c>
      <c r="C207" s="49">
        <v>58.630001</v>
      </c>
      <c r="D207" s="49">
        <v>49.009998000000003</v>
      </c>
      <c r="E207" s="49">
        <v>48.650002000000001</v>
      </c>
      <c r="F207" s="49">
        <v>59.939999</v>
      </c>
      <c r="G207" s="49">
        <v>34.909999999999997</v>
      </c>
      <c r="H207" s="49">
        <v>46.169998</v>
      </c>
      <c r="J207" s="78">
        <f>IF(inter=Weekly_2,J206+$C$5,IF(inter=Bi_weekly_2,0,IF(inter=Monthly_2,0,IF(inter=Quarterly_2,0,IF(inter=Yearly_2,0,IF(inter=None_2,0,0))))))</f>
        <v>0</v>
      </c>
      <c r="K207" s="79">
        <f t="shared" si="198"/>
        <v>0</v>
      </c>
      <c r="L207" s="79">
        <f t="shared" si="199"/>
        <v>0</v>
      </c>
      <c r="M207" s="79">
        <f t="shared" si="200"/>
        <v>0</v>
      </c>
      <c r="N207" s="79">
        <f t="shared" si="201"/>
        <v>0</v>
      </c>
      <c r="O207" s="79">
        <f t="shared" si="202"/>
        <v>0</v>
      </c>
      <c r="P207" s="79">
        <f t="shared" si="203"/>
        <v>0</v>
      </c>
      <c r="Q207" s="79"/>
      <c r="R207" s="80">
        <f t="shared" si="161"/>
        <v>0</v>
      </c>
      <c r="S207" s="80">
        <f t="shared" si="162"/>
        <v>0</v>
      </c>
      <c r="T207" s="80">
        <f t="shared" si="163"/>
        <v>0</v>
      </c>
      <c r="U207" s="80">
        <f t="shared" si="164"/>
        <v>0</v>
      </c>
      <c r="V207" s="80">
        <f t="shared" si="165"/>
        <v>0</v>
      </c>
      <c r="W207" s="80">
        <f t="shared" si="166"/>
        <v>0</v>
      </c>
      <c r="X207" s="80">
        <f t="shared" si="217"/>
        <v>413.8755980861244</v>
      </c>
      <c r="Y207" s="80">
        <f t="shared" si="218"/>
        <v>141.31100385315492</v>
      </c>
      <c r="Z207" s="80">
        <f t="shared" si="219"/>
        <v>114.7357512953368</v>
      </c>
      <c r="AA207" s="80">
        <f t="shared" si="220"/>
        <v>81.686342018319451</v>
      </c>
      <c r="AB207" s="80">
        <f t="shared" si="221"/>
        <v>496.41322791467587</v>
      </c>
      <c r="AC207" s="80">
        <f t="shared" si="222"/>
        <v>231.334972840093</v>
      </c>
      <c r="AD207" s="80"/>
      <c r="AE207" s="80"/>
      <c r="AF207" s="80"/>
      <c r="AG207" s="80"/>
      <c r="AH207" s="80"/>
      <c r="AI207" s="80"/>
      <c r="AJ207" s="45">
        <f t="shared" si="167"/>
        <v>0</v>
      </c>
      <c r="AK207" s="45">
        <f t="shared" si="168"/>
        <v>0</v>
      </c>
      <c r="AL207" s="45">
        <f t="shared" si="169"/>
        <v>0</v>
      </c>
      <c r="AM207" s="45">
        <f t="shared" si="170"/>
        <v>0</v>
      </c>
      <c r="AN207" s="45">
        <f t="shared" si="171"/>
        <v>0</v>
      </c>
      <c r="AO207" s="45">
        <f t="shared" si="172"/>
        <v>0</v>
      </c>
      <c r="AP207" s="80">
        <f t="shared" si="173"/>
        <v>0</v>
      </c>
      <c r="AQ207" s="80">
        <f t="shared" si="174"/>
        <v>0</v>
      </c>
      <c r="AR207" s="80">
        <f t="shared" si="175"/>
        <v>0</v>
      </c>
      <c r="AS207" s="80">
        <f t="shared" si="176"/>
        <v>0</v>
      </c>
      <c r="AT207" s="80">
        <f t="shared" si="177"/>
        <v>0</v>
      </c>
      <c r="AU207" s="80">
        <f t="shared" si="178"/>
        <v>0</v>
      </c>
      <c r="AV207" s="80">
        <f t="shared" si="223"/>
        <v>19.600001225096946</v>
      </c>
      <c r="AW207" s="80">
        <f t="shared" si="224"/>
        <v>9.951004049730459</v>
      </c>
      <c r="AX207" s="80">
        <f t="shared" si="225"/>
        <v>5.7402027543754404</v>
      </c>
      <c r="AY207" s="80">
        <f t="shared" si="226"/>
        <v>4.3622004996351826</v>
      </c>
      <c r="AZ207" s="80">
        <f t="shared" si="227"/>
        <v>26.737122054744763</v>
      </c>
      <c r="BA207" s="80">
        <f t="shared" si="228"/>
        <v>15.933171401553532</v>
      </c>
      <c r="BB207" s="80">
        <f t="shared" si="204"/>
        <v>433.47559931122134</v>
      </c>
      <c r="BC207" s="80">
        <f t="shared" si="205"/>
        <v>151.26200790288539</v>
      </c>
      <c r="BD207" s="80">
        <f t="shared" si="206"/>
        <v>120.47595404971224</v>
      </c>
      <c r="BE207" s="80">
        <f t="shared" si="207"/>
        <v>86.04854251795463</v>
      </c>
      <c r="BF207" s="80">
        <f t="shared" si="208"/>
        <v>523.15034996942063</v>
      </c>
      <c r="BG207" s="80">
        <f t="shared" si="209"/>
        <v>247.26814424164652</v>
      </c>
      <c r="BH207" s="49">
        <f t="shared" si="210"/>
        <v>0</v>
      </c>
      <c r="BI207" s="79">
        <f t="shared" si="211"/>
        <v>-64432.355882865319</v>
      </c>
      <c r="BJ207" s="79">
        <f t="shared" si="179"/>
        <v>69679.873554626029</v>
      </c>
      <c r="BK207" s="44">
        <f t="shared" si="212"/>
        <v>8.144227538878801E-2</v>
      </c>
      <c r="BL207" s="79">
        <f t="shared" si="229"/>
        <v>3248.4044600505081</v>
      </c>
      <c r="BM207" s="49">
        <f t="shared" si="213"/>
        <v>72928.278014676544</v>
      </c>
      <c r="BN207" s="44">
        <f t="shared" si="214"/>
        <v>0.13185800853310981</v>
      </c>
      <c r="BO207" s="49">
        <f t="shared" si="180"/>
        <v>3846.6053717439436</v>
      </c>
      <c r="BP207" s="49">
        <f t="shared" si="181"/>
        <v>73526.478926369979</v>
      </c>
      <c r="BQ207" s="44">
        <f t="shared" si="182"/>
        <v>0.14114217800816253</v>
      </c>
      <c r="BS207" s="49">
        <f t="shared" si="183"/>
        <v>64432.355882865319</v>
      </c>
      <c r="BT207" s="49">
        <f t="shared" si="159"/>
        <v>58.630001</v>
      </c>
      <c r="BU207" s="49">
        <f t="shared" si="160"/>
        <v>46.169998</v>
      </c>
      <c r="BV207" s="49">
        <f t="shared" si="184"/>
        <v>0</v>
      </c>
      <c r="BW207" s="18">
        <f t="shared" si="185"/>
        <v>1155</v>
      </c>
      <c r="BX207" s="19">
        <f t="shared" si="215"/>
        <v>0.73509174311926606</v>
      </c>
      <c r="BY207" s="49">
        <f t="shared" si="216"/>
        <v>0</v>
      </c>
      <c r="BZ207" s="19">
        <f t="shared" si="186"/>
        <v>0</v>
      </c>
      <c r="CA207" s="19">
        <f t="shared" si="187"/>
        <v>0</v>
      </c>
      <c r="CB207" s="19">
        <f t="shared" si="188"/>
        <v>0</v>
      </c>
      <c r="CC207" s="19">
        <f t="shared" si="189"/>
        <v>0</v>
      </c>
      <c r="CD207" s="19">
        <f t="shared" si="190"/>
        <v>0</v>
      </c>
      <c r="CE207" s="19">
        <f t="shared" si="191"/>
        <v>0</v>
      </c>
      <c r="CF207" s="49">
        <f t="shared" si="192"/>
        <v>0</v>
      </c>
      <c r="CG207" s="49">
        <f t="shared" si="193"/>
        <v>0</v>
      </c>
      <c r="CH207" s="49">
        <f t="shared" si="194"/>
        <v>0</v>
      </c>
      <c r="CI207" s="49">
        <f t="shared" si="195"/>
        <v>0</v>
      </c>
      <c r="CJ207" s="49">
        <f t="shared" si="196"/>
        <v>0</v>
      </c>
      <c r="CK207" s="49">
        <f t="shared" si="197"/>
        <v>0</v>
      </c>
    </row>
    <row r="208" spans="2:89" ht="12.75" customHeight="1" x14ac:dyDescent="0.2">
      <c r="B208" s="77">
        <v>40455</v>
      </c>
      <c r="C208" s="49">
        <v>59.580002</v>
      </c>
      <c r="D208" s="49">
        <v>49.869999</v>
      </c>
      <c r="E208" s="49">
        <v>49.490001999999997</v>
      </c>
      <c r="F208" s="49">
        <v>61.169998</v>
      </c>
      <c r="G208" s="49">
        <v>35.82</v>
      </c>
      <c r="H208" s="49">
        <v>46.939999</v>
      </c>
      <c r="J208" s="78">
        <f>IF(inter=Weekly_2,J207+$C$5,IF(inter=Bi_weekly_2,J206+$C$5,IF(inter=Monthly_2,0,IF(inter=Quarterly_2,0,IF(inter=Yearly_2,0,IF(inter=None_2,0,0))))))</f>
        <v>69800</v>
      </c>
      <c r="K208" s="79">
        <f t="shared" si="198"/>
        <v>228.70896172248831</v>
      </c>
      <c r="L208" s="79">
        <f t="shared" si="199"/>
        <v>67.179620845831778</v>
      </c>
      <c r="M208" s="79">
        <f t="shared" si="200"/>
        <v>94.272561077720638</v>
      </c>
      <c r="N208" s="79">
        <f t="shared" si="201"/>
        <v>110.75337788791603</v>
      </c>
      <c r="O208" s="79">
        <f t="shared" si="202"/>
        <v>331.52182390369126</v>
      </c>
      <c r="P208" s="79">
        <f t="shared" si="203"/>
        <v>388.86339377899276</v>
      </c>
      <c r="Q208" s="79"/>
      <c r="R208" s="80">
        <f t="shared" si="161"/>
        <v>-3.8386867077058557</v>
      </c>
      <c r="S208" s="80">
        <f t="shared" si="162"/>
        <v>-1.3470948905740259</v>
      </c>
      <c r="T208" s="80">
        <f t="shared" si="163"/>
        <v>-1.9048809308538852</v>
      </c>
      <c r="U208" s="80">
        <f t="shared" si="164"/>
        <v>-1.8105833171339327</v>
      </c>
      <c r="V208" s="80">
        <f t="shared" si="165"/>
        <v>-9.2552156310354903</v>
      </c>
      <c r="W208" s="80">
        <f t="shared" si="166"/>
        <v>-8.284265063128629</v>
      </c>
      <c r="X208" s="80">
        <f t="shared" si="217"/>
        <v>410.03691137841855</v>
      </c>
      <c r="Y208" s="80">
        <f t="shared" si="218"/>
        <v>139.96390896258089</v>
      </c>
      <c r="Z208" s="80">
        <f t="shared" si="219"/>
        <v>112.83087036448291</v>
      </c>
      <c r="AA208" s="80">
        <f t="shared" si="220"/>
        <v>79.875758701185518</v>
      </c>
      <c r="AB208" s="80">
        <f t="shared" si="221"/>
        <v>487.1580122836404</v>
      </c>
      <c r="AC208" s="80">
        <f t="shared" si="222"/>
        <v>223.05070777696437</v>
      </c>
      <c r="AD208" s="80"/>
      <c r="AE208" s="80"/>
      <c r="AF208" s="80"/>
      <c r="AG208" s="80"/>
      <c r="AH208" s="80"/>
      <c r="AI208" s="80"/>
      <c r="AJ208" s="45">
        <f t="shared" si="167"/>
        <v>0</v>
      </c>
      <c r="AK208" s="45">
        <f t="shared" si="168"/>
        <v>0</v>
      </c>
      <c r="AL208" s="45">
        <f t="shared" si="169"/>
        <v>0</v>
      </c>
      <c r="AM208" s="45">
        <f t="shared" si="170"/>
        <v>0</v>
      </c>
      <c r="AN208" s="45">
        <f t="shared" si="171"/>
        <v>0</v>
      </c>
      <c r="AO208" s="45">
        <f t="shared" si="172"/>
        <v>0</v>
      </c>
      <c r="AP208" s="80">
        <f t="shared" si="173"/>
        <v>0</v>
      </c>
      <c r="AQ208" s="80">
        <f t="shared" si="174"/>
        <v>0</v>
      </c>
      <c r="AR208" s="80">
        <f t="shared" si="175"/>
        <v>0</v>
      </c>
      <c r="AS208" s="80">
        <f t="shared" si="176"/>
        <v>0</v>
      </c>
      <c r="AT208" s="80">
        <f t="shared" si="177"/>
        <v>0</v>
      </c>
      <c r="AU208" s="80">
        <f t="shared" si="178"/>
        <v>0</v>
      </c>
      <c r="AV208" s="80">
        <f t="shared" si="223"/>
        <v>19.600001225096946</v>
      </c>
      <c r="AW208" s="80">
        <f t="shared" si="224"/>
        <v>9.951004049730459</v>
      </c>
      <c r="AX208" s="80">
        <f t="shared" si="225"/>
        <v>5.7402027543754404</v>
      </c>
      <c r="AY208" s="80">
        <f t="shared" si="226"/>
        <v>4.3622004996351826</v>
      </c>
      <c r="AZ208" s="80">
        <f t="shared" si="227"/>
        <v>26.737122054744763</v>
      </c>
      <c r="BA208" s="80">
        <f t="shared" si="228"/>
        <v>15.933171401553532</v>
      </c>
      <c r="BB208" s="80">
        <f t="shared" si="204"/>
        <v>429.6369126035155</v>
      </c>
      <c r="BC208" s="80">
        <f t="shared" si="205"/>
        <v>149.91491301231136</v>
      </c>
      <c r="BD208" s="80">
        <f t="shared" si="206"/>
        <v>118.57107311885835</v>
      </c>
      <c r="BE208" s="80">
        <f t="shared" si="207"/>
        <v>84.237959200820697</v>
      </c>
      <c r="BF208" s="80">
        <f t="shared" si="208"/>
        <v>513.89513433838522</v>
      </c>
      <c r="BG208" s="80">
        <f t="shared" si="209"/>
        <v>238.9838791785179</v>
      </c>
      <c r="BH208" s="49">
        <f t="shared" si="210"/>
        <v>0</v>
      </c>
      <c r="BI208" s="79">
        <f t="shared" si="211"/>
        <v>-63211.056143648682</v>
      </c>
      <c r="BJ208" s="79">
        <f t="shared" si="179"/>
        <v>69800</v>
      </c>
      <c r="BK208" s="44">
        <f t="shared" si="212"/>
        <v>0.1042372056144385</v>
      </c>
      <c r="BL208" s="79">
        <f t="shared" si="229"/>
        <v>3248.4044600505081</v>
      </c>
      <c r="BM208" s="49">
        <f t="shared" si="213"/>
        <v>73048.404460050515</v>
      </c>
      <c r="BN208" s="44">
        <f t="shared" si="214"/>
        <v>0.15562702028022146</v>
      </c>
      <c r="BO208" s="49">
        <f t="shared" si="180"/>
        <v>3920.569877489771</v>
      </c>
      <c r="BP208" s="49">
        <f t="shared" si="181"/>
        <v>73720.569877489776</v>
      </c>
      <c r="BQ208" s="44">
        <f t="shared" si="182"/>
        <v>0.16626068879402944</v>
      </c>
      <c r="BS208" s="49">
        <f t="shared" si="183"/>
        <v>63211.056143648682</v>
      </c>
      <c r="BT208" s="49">
        <f t="shared" si="159"/>
        <v>59.580002</v>
      </c>
      <c r="BU208" s="49">
        <f t="shared" si="160"/>
        <v>46.939999</v>
      </c>
      <c r="BV208" s="49">
        <f t="shared" si="184"/>
        <v>-1221.2997392166408</v>
      </c>
      <c r="BW208" s="18">
        <f t="shared" si="185"/>
        <v>1162</v>
      </c>
      <c r="BX208" s="19">
        <f t="shared" si="215"/>
        <v>0.73348623853211015</v>
      </c>
      <c r="BY208" s="49">
        <f t="shared" si="216"/>
        <v>-895.80655183826093</v>
      </c>
      <c r="BZ208" s="19">
        <f t="shared" si="186"/>
        <v>0</v>
      </c>
      <c r="CA208" s="19">
        <f t="shared" si="187"/>
        <v>0</v>
      </c>
      <c r="CB208" s="19">
        <f t="shared" si="188"/>
        <v>0</v>
      </c>
      <c r="CC208" s="19">
        <f t="shared" si="189"/>
        <v>0</v>
      </c>
      <c r="CD208" s="19">
        <f t="shared" si="190"/>
        <v>0</v>
      </c>
      <c r="CE208" s="19">
        <f t="shared" si="191"/>
        <v>0</v>
      </c>
      <c r="CF208" s="49">
        <f t="shared" si="192"/>
        <v>0</v>
      </c>
      <c r="CG208" s="49">
        <f t="shared" si="193"/>
        <v>0</v>
      </c>
      <c r="CH208" s="49">
        <f t="shared" si="194"/>
        <v>0</v>
      </c>
      <c r="CI208" s="49">
        <f t="shared" si="195"/>
        <v>0</v>
      </c>
      <c r="CJ208" s="49">
        <f t="shared" si="196"/>
        <v>0</v>
      </c>
      <c r="CK208" s="49">
        <f t="shared" si="197"/>
        <v>0</v>
      </c>
    </row>
    <row r="209" spans="2:89" ht="12.75" customHeight="1" x14ac:dyDescent="0.2">
      <c r="B209" s="77">
        <v>40462</v>
      </c>
      <c r="C209" s="49">
        <v>60.240001999999997</v>
      </c>
      <c r="D209" s="49">
        <v>49.830002</v>
      </c>
      <c r="E209" s="49">
        <v>50.040000999999997</v>
      </c>
      <c r="F209" s="49">
        <v>61.810001</v>
      </c>
      <c r="G209" s="49">
        <v>36.279998999999997</v>
      </c>
      <c r="H209" s="49">
        <v>47.419998</v>
      </c>
      <c r="J209" s="78">
        <f>IF(inter=Weekly_2,J208+$C$5,IF(inter=Bi_weekly_2,0,IF(inter=Monthly_2,0,IF(inter=Quarterly_2,0,IF(inter=Yearly_2,0,IF(inter=None_2,0,0))))))</f>
        <v>0</v>
      </c>
      <c r="K209" s="79">
        <f t="shared" si="198"/>
        <v>0</v>
      </c>
      <c r="L209" s="79">
        <f t="shared" si="199"/>
        <v>0</v>
      </c>
      <c r="M209" s="79">
        <f t="shared" si="200"/>
        <v>0</v>
      </c>
      <c r="N209" s="79">
        <f t="shared" si="201"/>
        <v>0</v>
      </c>
      <c r="O209" s="79">
        <f t="shared" si="202"/>
        <v>0</v>
      </c>
      <c r="P209" s="79">
        <f t="shared" si="203"/>
        <v>0</v>
      </c>
      <c r="Q209" s="79"/>
      <c r="R209" s="80">
        <f t="shared" si="161"/>
        <v>0</v>
      </c>
      <c r="S209" s="80">
        <f t="shared" si="162"/>
        <v>0</v>
      </c>
      <c r="T209" s="80">
        <f t="shared" si="163"/>
        <v>0</v>
      </c>
      <c r="U209" s="80">
        <f t="shared" si="164"/>
        <v>0</v>
      </c>
      <c r="V209" s="80">
        <f t="shared" si="165"/>
        <v>0</v>
      </c>
      <c r="W209" s="80">
        <f t="shared" si="166"/>
        <v>0</v>
      </c>
      <c r="X209" s="80">
        <f t="shared" si="217"/>
        <v>410.03691137841855</v>
      </c>
      <c r="Y209" s="80">
        <f t="shared" si="218"/>
        <v>139.96390896258089</v>
      </c>
      <c r="Z209" s="80">
        <f t="shared" si="219"/>
        <v>112.83087036448291</v>
      </c>
      <c r="AA209" s="80">
        <f t="shared" si="220"/>
        <v>79.875758701185518</v>
      </c>
      <c r="AB209" s="80">
        <f t="shared" si="221"/>
        <v>487.1580122836404</v>
      </c>
      <c r="AC209" s="80">
        <f t="shared" si="222"/>
        <v>223.05070777696437</v>
      </c>
      <c r="AD209" s="80"/>
      <c r="AE209" s="80"/>
      <c r="AF209" s="80"/>
      <c r="AG209" s="80"/>
      <c r="AH209" s="80"/>
      <c r="AI209" s="80"/>
      <c r="AJ209" s="45">
        <f t="shared" si="167"/>
        <v>0</v>
      </c>
      <c r="AK209" s="45">
        <f t="shared" si="168"/>
        <v>0</v>
      </c>
      <c r="AL209" s="45">
        <f t="shared" si="169"/>
        <v>0</v>
      </c>
      <c r="AM209" s="45">
        <f t="shared" si="170"/>
        <v>0</v>
      </c>
      <c r="AN209" s="45">
        <f t="shared" si="171"/>
        <v>0</v>
      </c>
      <c r="AO209" s="45">
        <f t="shared" si="172"/>
        <v>0</v>
      </c>
      <c r="AP209" s="80">
        <f t="shared" si="173"/>
        <v>0</v>
      </c>
      <c r="AQ209" s="80">
        <f t="shared" si="174"/>
        <v>0</v>
      </c>
      <c r="AR209" s="80">
        <f t="shared" si="175"/>
        <v>0</v>
      </c>
      <c r="AS209" s="80">
        <f t="shared" si="176"/>
        <v>0</v>
      </c>
      <c r="AT209" s="80">
        <f t="shared" si="177"/>
        <v>0</v>
      </c>
      <c r="AU209" s="80">
        <f t="shared" si="178"/>
        <v>0</v>
      </c>
      <c r="AV209" s="80">
        <f t="shared" si="223"/>
        <v>19.600001225096946</v>
      </c>
      <c r="AW209" s="80">
        <f t="shared" si="224"/>
        <v>9.951004049730459</v>
      </c>
      <c r="AX209" s="80">
        <f t="shared" si="225"/>
        <v>5.7402027543754404</v>
      </c>
      <c r="AY209" s="80">
        <f t="shared" si="226"/>
        <v>4.3622004996351826</v>
      </c>
      <c r="AZ209" s="80">
        <f t="shared" si="227"/>
        <v>26.737122054744763</v>
      </c>
      <c r="BA209" s="80">
        <f t="shared" si="228"/>
        <v>15.933171401553532</v>
      </c>
      <c r="BB209" s="80">
        <f t="shared" si="204"/>
        <v>429.6369126035155</v>
      </c>
      <c r="BC209" s="80">
        <f t="shared" si="205"/>
        <v>149.91491301231136</v>
      </c>
      <c r="BD209" s="80">
        <f t="shared" si="206"/>
        <v>118.57107311885835</v>
      </c>
      <c r="BE209" s="80">
        <f t="shared" si="207"/>
        <v>84.237959200820697</v>
      </c>
      <c r="BF209" s="80">
        <f t="shared" si="208"/>
        <v>513.89513433838522</v>
      </c>
      <c r="BG209" s="80">
        <f t="shared" si="209"/>
        <v>238.9838791785179</v>
      </c>
      <c r="BH209" s="49">
        <f t="shared" si="210"/>
        <v>0</v>
      </c>
      <c r="BI209" s="79">
        <f t="shared" si="211"/>
        <v>-63211.056143648682</v>
      </c>
      <c r="BJ209" s="79">
        <f t="shared" si="179"/>
        <v>70509.360131283305</v>
      </c>
      <c r="BK209" s="44">
        <f t="shared" si="212"/>
        <v>0.11545929514370146</v>
      </c>
      <c r="BL209" s="79">
        <f t="shared" si="229"/>
        <v>3248.4044600505081</v>
      </c>
      <c r="BM209" s="49">
        <f t="shared" si="213"/>
        <v>73757.76459133382</v>
      </c>
      <c r="BN209" s="44">
        <f t="shared" si="214"/>
        <v>0.16684910980948464</v>
      </c>
      <c r="BO209" s="49">
        <f t="shared" si="180"/>
        <v>3959.0037509180643</v>
      </c>
      <c r="BP209" s="49">
        <f t="shared" si="181"/>
        <v>74468.363882201375</v>
      </c>
      <c r="BQ209" s="44">
        <f t="shared" si="182"/>
        <v>0.17809080286477386</v>
      </c>
      <c r="BS209" s="49">
        <f t="shared" si="183"/>
        <v>63211.056143648682</v>
      </c>
      <c r="BT209" s="49">
        <f t="shared" si="159"/>
        <v>60.240001999999997</v>
      </c>
      <c r="BU209" s="49">
        <f t="shared" si="160"/>
        <v>47.419998</v>
      </c>
      <c r="BV209" s="49">
        <f t="shared" si="184"/>
        <v>0</v>
      </c>
      <c r="BW209" s="18">
        <f t="shared" si="185"/>
        <v>1169</v>
      </c>
      <c r="BX209" s="19">
        <f t="shared" si="215"/>
        <v>0.73188073394495412</v>
      </c>
      <c r="BY209" s="49">
        <f t="shared" si="216"/>
        <v>0</v>
      </c>
      <c r="BZ209" s="19">
        <f t="shared" si="186"/>
        <v>0</v>
      </c>
      <c r="CA209" s="19">
        <f t="shared" si="187"/>
        <v>0</v>
      </c>
      <c r="CB209" s="19">
        <f t="shared" si="188"/>
        <v>0</v>
      </c>
      <c r="CC209" s="19">
        <f t="shared" si="189"/>
        <v>0</v>
      </c>
      <c r="CD209" s="19">
        <f t="shared" si="190"/>
        <v>0</v>
      </c>
      <c r="CE209" s="19">
        <f t="shared" si="191"/>
        <v>0</v>
      </c>
      <c r="CF209" s="49">
        <f t="shared" si="192"/>
        <v>0</v>
      </c>
      <c r="CG209" s="49">
        <f t="shared" si="193"/>
        <v>0</v>
      </c>
      <c r="CH209" s="49">
        <f t="shared" si="194"/>
        <v>0</v>
      </c>
      <c r="CI209" s="49">
        <f t="shared" si="195"/>
        <v>0</v>
      </c>
      <c r="CJ209" s="49">
        <f t="shared" si="196"/>
        <v>0</v>
      </c>
      <c r="CK209" s="49">
        <f t="shared" si="197"/>
        <v>0</v>
      </c>
    </row>
    <row r="210" spans="2:89" ht="12.75" customHeight="1" x14ac:dyDescent="0.2">
      <c r="B210" s="77">
        <v>40469</v>
      </c>
      <c r="C210" s="49">
        <v>60.57</v>
      </c>
      <c r="D210" s="49">
        <v>50.119999</v>
      </c>
      <c r="E210" s="49">
        <v>50.189999</v>
      </c>
      <c r="F210" s="49">
        <v>62.18</v>
      </c>
      <c r="G210" s="49">
        <v>36.090000000000003</v>
      </c>
      <c r="H210" s="49">
        <v>46.779998999999997</v>
      </c>
      <c r="J210" s="78">
        <f>IF(inter=Weekly_2,J209+$C$5,IF(inter=Bi_weekly_2,J208+$C$5,IF(inter=Monthly_2,J206+$C$5,IF(inter=Quarterly_2,0,IF(inter=Yearly_2,0,IF(inter=None_2,0,0))))))</f>
        <v>70400</v>
      </c>
      <c r="K210" s="79">
        <f t="shared" si="198"/>
        <v>195.93572219081034</v>
      </c>
      <c r="L210" s="79">
        <f t="shared" si="199"/>
        <v>-25.009022759354593</v>
      </c>
      <c r="M210" s="79">
        <f t="shared" si="200"/>
        <v>30.981270762526947</v>
      </c>
      <c r="N210" s="79">
        <f t="shared" si="201"/>
        <v>38.674676039714541</v>
      </c>
      <c r="O210" s="79">
        <f t="shared" si="202"/>
        <v>-18.46733668341767</v>
      </c>
      <c r="P210" s="79">
        <f t="shared" si="203"/>
        <v>-125.6881132443159</v>
      </c>
      <c r="Q210" s="79"/>
      <c r="R210" s="80">
        <f t="shared" si="161"/>
        <v>-3.2348641603237631</v>
      </c>
      <c r="S210" s="80">
        <f t="shared" si="162"/>
        <v>0.49898290619188945</v>
      </c>
      <c r="T210" s="80">
        <f t="shared" si="163"/>
        <v>-0.61727976449106814</v>
      </c>
      <c r="U210" s="80">
        <f t="shared" si="164"/>
        <v>-0.62197935091210266</v>
      </c>
      <c r="V210" s="80">
        <f t="shared" si="165"/>
        <v>0.51170231874252337</v>
      </c>
      <c r="W210" s="80">
        <f t="shared" si="166"/>
        <v>2.6867917043845151</v>
      </c>
      <c r="X210" s="80">
        <f t="shared" si="217"/>
        <v>406.8020472180948</v>
      </c>
      <c r="Y210" s="80">
        <f t="shared" si="218"/>
        <v>140.46289186877277</v>
      </c>
      <c r="Z210" s="80">
        <f t="shared" si="219"/>
        <v>112.21359059999183</v>
      </c>
      <c r="AA210" s="80">
        <f t="shared" si="220"/>
        <v>79.253779350273419</v>
      </c>
      <c r="AB210" s="80">
        <f t="shared" si="221"/>
        <v>487.66971460238295</v>
      </c>
      <c r="AC210" s="80">
        <f t="shared" si="222"/>
        <v>225.73749948134889</v>
      </c>
      <c r="AD210" s="80"/>
      <c r="AE210" s="80"/>
      <c r="AF210" s="80"/>
      <c r="AG210" s="80"/>
      <c r="AH210" s="80"/>
      <c r="AI210" s="80"/>
      <c r="AJ210" s="45">
        <f t="shared" si="167"/>
        <v>0</v>
      </c>
      <c r="AK210" s="45">
        <f t="shared" si="168"/>
        <v>0</v>
      </c>
      <c r="AL210" s="45">
        <f t="shared" si="169"/>
        <v>0</v>
      </c>
      <c r="AM210" s="45">
        <f t="shared" si="170"/>
        <v>0</v>
      </c>
      <c r="AN210" s="45">
        <f t="shared" si="171"/>
        <v>0</v>
      </c>
      <c r="AO210" s="45">
        <f t="shared" si="172"/>
        <v>0</v>
      </c>
      <c r="AP210" s="80">
        <f t="shared" si="173"/>
        <v>0</v>
      </c>
      <c r="AQ210" s="80">
        <f t="shared" si="174"/>
        <v>0</v>
      </c>
      <c r="AR210" s="80">
        <f t="shared" si="175"/>
        <v>0</v>
      </c>
      <c r="AS210" s="80">
        <f t="shared" si="176"/>
        <v>0</v>
      </c>
      <c r="AT210" s="80">
        <f t="shared" si="177"/>
        <v>0</v>
      </c>
      <c r="AU210" s="80">
        <f t="shared" si="178"/>
        <v>0</v>
      </c>
      <c r="AV210" s="80">
        <f t="shared" si="223"/>
        <v>19.600001225096946</v>
      </c>
      <c r="AW210" s="80">
        <f t="shared" si="224"/>
        <v>9.951004049730459</v>
      </c>
      <c r="AX210" s="80">
        <f t="shared" si="225"/>
        <v>5.7402027543754404</v>
      </c>
      <c r="AY210" s="80">
        <f t="shared" si="226"/>
        <v>4.3622004996351826</v>
      </c>
      <c r="AZ210" s="80">
        <f t="shared" si="227"/>
        <v>26.737122054744763</v>
      </c>
      <c r="BA210" s="80">
        <f t="shared" si="228"/>
        <v>15.933171401553532</v>
      </c>
      <c r="BB210" s="80">
        <f t="shared" si="204"/>
        <v>426.40204844319175</v>
      </c>
      <c r="BC210" s="80">
        <f t="shared" si="205"/>
        <v>150.41389591850324</v>
      </c>
      <c r="BD210" s="80">
        <f t="shared" si="206"/>
        <v>117.95379335436728</v>
      </c>
      <c r="BE210" s="80">
        <f t="shared" si="207"/>
        <v>83.615979849908598</v>
      </c>
      <c r="BF210" s="80">
        <f t="shared" si="208"/>
        <v>514.40683665712777</v>
      </c>
      <c r="BG210" s="80">
        <f t="shared" si="209"/>
        <v>241.67067088290241</v>
      </c>
      <c r="BH210" s="49">
        <f t="shared" si="210"/>
        <v>0</v>
      </c>
      <c r="BI210" s="79">
        <f t="shared" si="211"/>
        <v>-63114.628947342724</v>
      </c>
      <c r="BJ210" s="79">
        <f t="shared" si="179"/>
        <v>70400</v>
      </c>
      <c r="BK210" s="44">
        <f t="shared" si="212"/>
        <v>0.11543078322991573</v>
      </c>
      <c r="BL210" s="79">
        <f t="shared" si="229"/>
        <v>3248.4044600505081</v>
      </c>
      <c r="BM210" s="49">
        <f t="shared" si="213"/>
        <v>73648.404460050515</v>
      </c>
      <c r="BN210" s="44">
        <f t="shared" si="214"/>
        <v>0.16689911179698513</v>
      </c>
      <c r="BO210" s="49">
        <f t="shared" si="180"/>
        <v>3955.5552619820664</v>
      </c>
      <c r="BP210" s="49">
        <f t="shared" si="181"/>
        <v>74355.555261982081</v>
      </c>
      <c r="BQ210" s="44">
        <f t="shared" si="182"/>
        <v>0.17810334152511298</v>
      </c>
      <c r="BS210" s="49">
        <f t="shared" si="183"/>
        <v>63114.628947342724</v>
      </c>
      <c r="BT210" s="49">
        <f t="shared" si="159"/>
        <v>60.57</v>
      </c>
      <c r="BU210" s="49">
        <f t="shared" si="160"/>
        <v>46.779998999999997</v>
      </c>
      <c r="BV210" s="49">
        <f t="shared" si="184"/>
        <v>-96.427196305963662</v>
      </c>
      <c r="BW210" s="18">
        <f t="shared" si="185"/>
        <v>1176</v>
      </c>
      <c r="BX210" s="19">
        <f t="shared" si="215"/>
        <v>0.73027522935779821</v>
      </c>
      <c r="BY210" s="49">
        <f t="shared" si="216"/>
        <v>-70.418392898667051</v>
      </c>
      <c r="BZ210" s="19">
        <f t="shared" si="186"/>
        <v>0</v>
      </c>
      <c r="CA210" s="19">
        <f t="shared" si="187"/>
        <v>0.49898290619188945</v>
      </c>
      <c r="CB210" s="19">
        <f t="shared" si="188"/>
        <v>0</v>
      </c>
      <c r="CC210" s="19">
        <f t="shared" si="189"/>
        <v>0</v>
      </c>
      <c r="CD210" s="19">
        <f t="shared" si="190"/>
        <v>0.51170231874252337</v>
      </c>
      <c r="CE210" s="19">
        <f t="shared" si="191"/>
        <v>2.6867917043845151</v>
      </c>
      <c r="CF210" s="49">
        <f t="shared" si="192"/>
        <v>0</v>
      </c>
      <c r="CG210" s="49">
        <f t="shared" si="193"/>
        <v>-25.009022759354593</v>
      </c>
      <c r="CH210" s="49">
        <f t="shared" si="194"/>
        <v>0</v>
      </c>
      <c r="CI210" s="49">
        <f t="shared" si="195"/>
        <v>0</v>
      </c>
      <c r="CJ210" s="49">
        <f t="shared" si="196"/>
        <v>-18.46733668341767</v>
      </c>
      <c r="CK210" s="49">
        <f t="shared" si="197"/>
        <v>-125.6881132443159</v>
      </c>
    </row>
    <row r="211" spans="2:89" ht="12.75" customHeight="1" x14ac:dyDescent="0.2">
      <c r="B211" s="77">
        <v>40476</v>
      </c>
      <c r="C211" s="49">
        <v>60.720001000000003</v>
      </c>
      <c r="D211" s="49">
        <v>50.029998999999997</v>
      </c>
      <c r="E211" s="49">
        <v>50.119999</v>
      </c>
      <c r="F211" s="49">
        <v>61.849997999999999</v>
      </c>
      <c r="G211" s="49">
        <v>35.919998</v>
      </c>
      <c r="H211" s="49">
        <v>46.869999</v>
      </c>
      <c r="J211" s="78">
        <f>IF(inter=Weekly_2,J210+$C$5,IF(inter=Bi_weekly_2,0,IF(inter=Monthly_2,0,IF(inter=Quarterly_2,J198+$C$5,IF(inter=Yearly_2,0,IF(inter=None_2,0,0))))))</f>
        <v>0</v>
      </c>
      <c r="K211" s="79">
        <f t="shared" si="198"/>
        <v>0</v>
      </c>
      <c r="L211" s="79">
        <f t="shared" si="199"/>
        <v>0</v>
      </c>
      <c r="M211" s="79">
        <f t="shared" si="200"/>
        <v>0</v>
      </c>
      <c r="N211" s="79">
        <f t="shared" si="201"/>
        <v>0</v>
      </c>
      <c r="O211" s="79">
        <f t="shared" si="202"/>
        <v>0</v>
      </c>
      <c r="P211" s="79">
        <f t="shared" si="203"/>
        <v>0</v>
      </c>
      <c r="Q211" s="79"/>
      <c r="R211" s="80">
        <f t="shared" si="161"/>
        <v>0</v>
      </c>
      <c r="S211" s="80">
        <f t="shared" si="162"/>
        <v>0</v>
      </c>
      <c r="T211" s="80">
        <f t="shared" si="163"/>
        <v>0</v>
      </c>
      <c r="U211" s="80">
        <f t="shared" si="164"/>
        <v>0</v>
      </c>
      <c r="V211" s="80">
        <f t="shared" si="165"/>
        <v>0</v>
      </c>
      <c r="W211" s="80">
        <f t="shared" si="166"/>
        <v>0</v>
      </c>
      <c r="X211" s="80">
        <f t="shared" si="217"/>
        <v>406.8020472180948</v>
      </c>
      <c r="Y211" s="80">
        <f t="shared" si="218"/>
        <v>140.46289186877277</v>
      </c>
      <c r="Z211" s="80">
        <f t="shared" si="219"/>
        <v>112.21359059999183</v>
      </c>
      <c r="AA211" s="80">
        <f t="shared" si="220"/>
        <v>79.253779350273419</v>
      </c>
      <c r="AB211" s="80">
        <f t="shared" si="221"/>
        <v>487.66971460238295</v>
      </c>
      <c r="AC211" s="80">
        <f t="shared" si="222"/>
        <v>225.73749948134889</v>
      </c>
      <c r="AD211" s="80"/>
      <c r="AE211" s="80"/>
      <c r="AF211" s="80"/>
      <c r="AG211" s="80"/>
      <c r="AH211" s="80"/>
      <c r="AI211" s="80"/>
      <c r="AJ211" s="45">
        <f t="shared" si="167"/>
        <v>0</v>
      </c>
      <c r="AK211" s="45">
        <f t="shared" si="168"/>
        <v>0</v>
      </c>
      <c r="AL211" s="45">
        <f t="shared" si="169"/>
        <v>0</v>
      </c>
      <c r="AM211" s="45">
        <f t="shared" si="170"/>
        <v>0</v>
      </c>
      <c r="AN211" s="45">
        <f t="shared" si="171"/>
        <v>0</v>
      </c>
      <c r="AO211" s="45">
        <f t="shared" si="172"/>
        <v>0</v>
      </c>
      <c r="AP211" s="80">
        <f t="shared" si="173"/>
        <v>0</v>
      </c>
      <c r="AQ211" s="80">
        <f t="shared" si="174"/>
        <v>0</v>
      </c>
      <c r="AR211" s="80">
        <f t="shared" si="175"/>
        <v>0</v>
      </c>
      <c r="AS211" s="80">
        <f t="shared" si="176"/>
        <v>0</v>
      </c>
      <c r="AT211" s="80">
        <f t="shared" si="177"/>
        <v>0</v>
      </c>
      <c r="AU211" s="80">
        <f t="shared" si="178"/>
        <v>0</v>
      </c>
      <c r="AV211" s="80">
        <f t="shared" si="223"/>
        <v>19.600001225096946</v>
      </c>
      <c r="AW211" s="80">
        <f t="shared" si="224"/>
        <v>9.951004049730459</v>
      </c>
      <c r="AX211" s="80">
        <f t="shared" si="225"/>
        <v>5.7402027543754404</v>
      </c>
      <c r="AY211" s="80">
        <f t="shared" si="226"/>
        <v>4.3622004996351826</v>
      </c>
      <c r="AZ211" s="80">
        <f t="shared" si="227"/>
        <v>26.737122054744763</v>
      </c>
      <c r="BA211" s="80">
        <f t="shared" si="228"/>
        <v>15.933171401553532</v>
      </c>
      <c r="BB211" s="80">
        <f t="shared" si="204"/>
        <v>426.40204844319175</v>
      </c>
      <c r="BC211" s="80">
        <f t="shared" si="205"/>
        <v>150.41389591850324</v>
      </c>
      <c r="BD211" s="80">
        <f t="shared" si="206"/>
        <v>117.95379335436728</v>
      </c>
      <c r="BE211" s="80">
        <f t="shared" si="207"/>
        <v>83.615979849908598</v>
      </c>
      <c r="BF211" s="80">
        <f t="shared" si="208"/>
        <v>514.40683665712777</v>
      </c>
      <c r="BG211" s="80">
        <f t="shared" si="209"/>
        <v>241.67067088290241</v>
      </c>
      <c r="BH211" s="49">
        <f t="shared" si="210"/>
        <v>0</v>
      </c>
      <c r="BI211" s="79">
        <f t="shared" si="211"/>
        <v>-63114.628947342724</v>
      </c>
      <c r="BJ211" s="79">
        <f t="shared" si="179"/>
        <v>70351.78174471292</v>
      </c>
      <c r="BK211" s="44">
        <f t="shared" si="212"/>
        <v>0.11466680416371045</v>
      </c>
      <c r="BL211" s="79">
        <f t="shared" si="229"/>
        <v>3248.4044600505081</v>
      </c>
      <c r="BM211" s="49">
        <f t="shared" si="213"/>
        <v>73600.186204763435</v>
      </c>
      <c r="BN211" s="44">
        <f t="shared" si="214"/>
        <v>0.16613513273078007</v>
      </c>
      <c r="BO211" s="49">
        <f t="shared" si="180"/>
        <v>3952.6469635218582</v>
      </c>
      <c r="BP211" s="49">
        <f t="shared" si="181"/>
        <v>74304.428708234773</v>
      </c>
      <c r="BQ211" s="44">
        <f t="shared" si="182"/>
        <v>0.17729328283349055</v>
      </c>
      <c r="BS211" s="49">
        <f t="shared" si="183"/>
        <v>63114.628947342724</v>
      </c>
      <c r="BT211" s="49">
        <f t="shared" si="159"/>
        <v>60.720001000000003</v>
      </c>
      <c r="BU211" s="49">
        <f t="shared" si="160"/>
        <v>46.869999</v>
      </c>
      <c r="BV211" s="49">
        <f t="shared" si="184"/>
        <v>0</v>
      </c>
      <c r="BW211" s="18">
        <f t="shared" si="185"/>
        <v>1183</v>
      </c>
      <c r="BX211" s="19">
        <f t="shared" si="215"/>
        <v>0.72866972477064218</v>
      </c>
      <c r="BY211" s="49">
        <f t="shared" si="216"/>
        <v>0</v>
      </c>
      <c r="BZ211" s="19">
        <f t="shared" si="186"/>
        <v>0</v>
      </c>
      <c r="CA211" s="19">
        <f t="shared" si="187"/>
        <v>0</v>
      </c>
      <c r="CB211" s="19">
        <f t="shared" si="188"/>
        <v>0</v>
      </c>
      <c r="CC211" s="19">
        <f t="shared" si="189"/>
        <v>0</v>
      </c>
      <c r="CD211" s="19">
        <f t="shared" si="190"/>
        <v>0</v>
      </c>
      <c r="CE211" s="19">
        <f t="shared" si="191"/>
        <v>0</v>
      </c>
      <c r="CF211" s="49">
        <f t="shared" si="192"/>
        <v>0</v>
      </c>
      <c r="CG211" s="49">
        <f t="shared" si="193"/>
        <v>0</v>
      </c>
      <c r="CH211" s="49">
        <f t="shared" si="194"/>
        <v>0</v>
      </c>
      <c r="CI211" s="49">
        <f t="shared" si="195"/>
        <v>0</v>
      </c>
      <c r="CJ211" s="49">
        <f t="shared" si="196"/>
        <v>0</v>
      </c>
      <c r="CK211" s="49">
        <f t="shared" si="197"/>
        <v>0</v>
      </c>
    </row>
    <row r="212" spans="2:89" ht="12.75" customHeight="1" x14ac:dyDescent="0.2">
      <c r="B212" s="77">
        <v>40483</v>
      </c>
      <c r="C212" s="49">
        <v>62.939999</v>
      </c>
      <c r="D212" s="49">
        <v>51.880001</v>
      </c>
      <c r="E212" s="49">
        <v>51.970001000000003</v>
      </c>
      <c r="F212" s="49">
        <v>64.849997999999999</v>
      </c>
      <c r="G212" s="49">
        <v>37.310001</v>
      </c>
      <c r="H212" s="49">
        <v>49.240001999999997</v>
      </c>
      <c r="J212" s="78">
        <f>IF(inter=Weekly_2,J211+$C$5,IF(inter=Bi_weekly_2,J210+$C$5,IF(inter=Monthly_2,0,IF(inter=Quarterly_2,0,IF(inter=Yearly_2,0,IF(inter=None_2,0,0))))))</f>
        <v>71000</v>
      </c>
      <c r="K212" s="79">
        <f t="shared" si="198"/>
        <v>754.12044510483975</v>
      </c>
      <c r="L212" s="79">
        <f t="shared" si="199"/>
        <v>187.21497061482296</v>
      </c>
      <c r="M212" s="79">
        <f t="shared" si="200"/>
        <v>151.74041569516612</v>
      </c>
      <c r="N212" s="79">
        <f t="shared" si="201"/>
        <v>169.60743235767131</v>
      </c>
      <c r="O212" s="79">
        <f t="shared" si="202"/>
        <v>444.95753948462152</v>
      </c>
      <c r="P212" s="79">
        <f t="shared" si="203"/>
        <v>465.31492593661824</v>
      </c>
      <c r="Q212" s="79"/>
      <c r="R212" s="80">
        <f t="shared" si="161"/>
        <v>-11.981577011223653</v>
      </c>
      <c r="S212" s="80">
        <f t="shared" si="162"/>
        <v>-3.6086154010448643</v>
      </c>
      <c r="T212" s="80">
        <f t="shared" si="163"/>
        <v>-2.9197693433788103</v>
      </c>
      <c r="U212" s="80">
        <f t="shared" si="164"/>
        <v>-2.6153806875625705</v>
      </c>
      <c r="V212" s="80">
        <f t="shared" si="165"/>
        <v>-11.925958926793422</v>
      </c>
      <c r="W212" s="80">
        <f t="shared" si="166"/>
        <v>-9.4499371859614918</v>
      </c>
      <c r="X212" s="80">
        <f t="shared" si="217"/>
        <v>394.82047020687116</v>
      </c>
      <c r="Y212" s="80">
        <f t="shared" si="218"/>
        <v>136.85427646772791</v>
      </c>
      <c r="Z212" s="80">
        <f t="shared" si="219"/>
        <v>109.29382125661303</v>
      </c>
      <c r="AA212" s="80">
        <f t="shared" si="220"/>
        <v>76.638398662710841</v>
      </c>
      <c r="AB212" s="80">
        <f t="shared" si="221"/>
        <v>475.74375567558951</v>
      </c>
      <c r="AC212" s="80">
        <f t="shared" si="222"/>
        <v>216.2875622953874</v>
      </c>
      <c r="AD212" s="80"/>
      <c r="AE212" s="80"/>
      <c r="AF212" s="80"/>
      <c r="AG212" s="80"/>
      <c r="AH212" s="80"/>
      <c r="AI212" s="80"/>
      <c r="AJ212" s="45">
        <f t="shared" si="167"/>
        <v>0</v>
      </c>
      <c r="AK212" s="45">
        <f t="shared" si="168"/>
        <v>0</v>
      </c>
      <c r="AL212" s="45">
        <f t="shared" si="169"/>
        <v>0</v>
      </c>
      <c r="AM212" s="45">
        <f t="shared" si="170"/>
        <v>0</v>
      </c>
      <c r="AN212" s="45">
        <f t="shared" si="171"/>
        <v>0</v>
      </c>
      <c r="AO212" s="45">
        <f t="shared" si="172"/>
        <v>0</v>
      </c>
      <c r="AP212" s="80">
        <f t="shared" si="173"/>
        <v>0</v>
      </c>
      <c r="AQ212" s="80">
        <f t="shared" si="174"/>
        <v>0</v>
      </c>
      <c r="AR212" s="80">
        <f t="shared" si="175"/>
        <v>0</v>
      </c>
      <c r="AS212" s="80">
        <f t="shared" si="176"/>
        <v>0</v>
      </c>
      <c r="AT212" s="80">
        <f t="shared" si="177"/>
        <v>0</v>
      </c>
      <c r="AU212" s="80">
        <f t="shared" si="178"/>
        <v>0</v>
      </c>
      <c r="AV212" s="80">
        <f t="shared" si="223"/>
        <v>19.600001225096946</v>
      </c>
      <c r="AW212" s="80">
        <f t="shared" si="224"/>
        <v>9.951004049730459</v>
      </c>
      <c r="AX212" s="80">
        <f t="shared" si="225"/>
        <v>5.7402027543754404</v>
      </c>
      <c r="AY212" s="80">
        <f t="shared" si="226"/>
        <v>4.3622004996351826</v>
      </c>
      <c r="AZ212" s="80">
        <f t="shared" si="227"/>
        <v>26.737122054744763</v>
      </c>
      <c r="BA212" s="80">
        <f t="shared" si="228"/>
        <v>15.933171401553532</v>
      </c>
      <c r="BB212" s="80">
        <f t="shared" si="204"/>
        <v>414.42047143196811</v>
      </c>
      <c r="BC212" s="80">
        <f t="shared" si="205"/>
        <v>146.80528051745839</v>
      </c>
      <c r="BD212" s="80">
        <f t="shared" si="206"/>
        <v>115.03402401098847</v>
      </c>
      <c r="BE212" s="80">
        <f t="shared" si="207"/>
        <v>81.00059916234602</v>
      </c>
      <c r="BF212" s="80">
        <f t="shared" si="208"/>
        <v>502.48087773033427</v>
      </c>
      <c r="BG212" s="80">
        <f t="shared" si="209"/>
        <v>232.22073369694093</v>
      </c>
      <c r="BH212" s="49">
        <f t="shared" si="210"/>
        <v>0</v>
      </c>
      <c r="BI212" s="79">
        <f t="shared" si="211"/>
        <v>-60941.673218148979</v>
      </c>
      <c r="BJ212" s="79">
        <f t="shared" si="179"/>
        <v>71000</v>
      </c>
      <c r="BK212" s="44">
        <f t="shared" si="212"/>
        <v>0.16504841844177598</v>
      </c>
      <c r="BL212" s="79">
        <f t="shared" si="229"/>
        <v>3248.4044600505081</v>
      </c>
      <c r="BM212" s="49">
        <f t="shared" si="213"/>
        <v>74248.404460050515</v>
      </c>
      <c r="BN212" s="44">
        <f t="shared" si="214"/>
        <v>0.2183519181409459</v>
      </c>
      <c r="BO212" s="49">
        <f t="shared" si="180"/>
        <v>4113.2006363991441</v>
      </c>
      <c r="BP212" s="49">
        <f t="shared" si="181"/>
        <v>75113.200636399139</v>
      </c>
      <c r="BQ212" s="44">
        <f t="shared" si="182"/>
        <v>0.23254247331741706</v>
      </c>
      <c r="BS212" s="49">
        <f t="shared" si="183"/>
        <v>60941.673218148979</v>
      </c>
      <c r="BT212" s="49">
        <f t="shared" si="159"/>
        <v>62.939999</v>
      </c>
      <c r="BU212" s="49">
        <f t="shared" si="160"/>
        <v>49.240001999999997</v>
      </c>
      <c r="BV212" s="49">
        <f t="shared" si="184"/>
        <v>-2172.9557291937399</v>
      </c>
      <c r="BW212" s="18">
        <f t="shared" si="185"/>
        <v>1190</v>
      </c>
      <c r="BX212" s="19">
        <f t="shared" si="215"/>
        <v>0.72706422018348627</v>
      </c>
      <c r="BY212" s="49">
        <f t="shared" si="216"/>
        <v>-1579.8783627394853</v>
      </c>
      <c r="BZ212" s="19">
        <f t="shared" si="186"/>
        <v>0</v>
      </c>
      <c r="CA212" s="19">
        <f t="shared" si="187"/>
        <v>0</v>
      </c>
      <c r="CB212" s="19">
        <f t="shared" si="188"/>
        <v>0</v>
      </c>
      <c r="CC212" s="19">
        <f t="shared" si="189"/>
        <v>0</v>
      </c>
      <c r="CD212" s="19">
        <f t="shared" si="190"/>
        <v>0</v>
      </c>
      <c r="CE212" s="19">
        <f t="shared" si="191"/>
        <v>0</v>
      </c>
      <c r="CF212" s="49">
        <f t="shared" si="192"/>
        <v>0</v>
      </c>
      <c r="CG212" s="49">
        <f t="shared" si="193"/>
        <v>0</v>
      </c>
      <c r="CH212" s="49">
        <f t="shared" si="194"/>
        <v>0</v>
      </c>
      <c r="CI212" s="49">
        <f t="shared" si="195"/>
        <v>0</v>
      </c>
      <c r="CJ212" s="49">
        <f t="shared" si="196"/>
        <v>0</v>
      </c>
      <c r="CK212" s="49">
        <f t="shared" si="197"/>
        <v>0</v>
      </c>
    </row>
    <row r="213" spans="2:89" ht="12.75" customHeight="1" x14ac:dyDescent="0.2">
      <c r="B213" s="77">
        <v>40490</v>
      </c>
      <c r="C213" s="49">
        <v>61.68</v>
      </c>
      <c r="D213" s="49">
        <v>50.849997999999999</v>
      </c>
      <c r="E213" s="49">
        <v>50.650002000000001</v>
      </c>
      <c r="F213" s="49">
        <v>63.130001</v>
      </c>
      <c r="G213" s="49">
        <v>36.209999000000003</v>
      </c>
      <c r="H213" s="49">
        <v>47.220001000000003</v>
      </c>
      <c r="J213" s="78">
        <f>IF(inter=Weekly_2,J212+$C$5,IF(inter=Bi_weekly_2,0,IF(inter=Monthly_2,0,IF(inter=Quarterly_2,0,IF(inter=Yearly_2,0,IF(inter=None_2,0,0))))))</f>
        <v>0</v>
      </c>
      <c r="K213" s="79">
        <f t="shared" si="198"/>
        <v>0</v>
      </c>
      <c r="L213" s="79">
        <f t="shared" si="199"/>
        <v>0</v>
      </c>
      <c r="M213" s="79">
        <f t="shared" si="200"/>
        <v>0</v>
      </c>
      <c r="N213" s="79">
        <f t="shared" si="201"/>
        <v>0</v>
      </c>
      <c r="O213" s="79">
        <f t="shared" si="202"/>
        <v>0</v>
      </c>
      <c r="P213" s="79">
        <f t="shared" si="203"/>
        <v>0</v>
      </c>
      <c r="Q213" s="79"/>
      <c r="R213" s="80">
        <f t="shared" si="161"/>
        <v>0</v>
      </c>
      <c r="S213" s="80">
        <f t="shared" si="162"/>
        <v>0</v>
      </c>
      <c r="T213" s="80">
        <f t="shared" si="163"/>
        <v>0</v>
      </c>
      <c r="U213" s="80">
        <f t="shared" si="164"/>
        <v>0</v>
      </c>
      <c r="V213" s="80">
        <f t="shared" si="165"/>
        <v>0</v>
      </c>
      <c r="W213" s="80">
        <f t="shared" si="166"/>
        <v>0</v>
      </c>
      <c r="X213" s="80">
        <f t="shared" si="217"/>
        <v>394.82047020687116</v>
      </c>
      <c r="Y213" s="80">
        <f t="shared" si="218"/>
        <v>136.85427646772791</v>
      </c>
      <c r="Z213" s="80">
        <f t="shared" si="219"/>
        <v>109.29382125661303</v>
      </c>
      <c r="AA213" s="80">
        <f t="shared" si="220"/>
        <v>76.638398662710841</v>
      </c>
      <c r="AB213" s="80">
        <f t="shared" si="221"/>
        <v>475.74375567558951</v>
      </c>
      <c r="AC213" s="80">
        <f t="shared" si="222"/>
        <v>216.2875622953874</v>
      </c>
      <c r="AD213" s="80"/>
      <c r="AE213" s="80"/>
      <c r="AF213" s="80"/>
      <c r="AG213" s="80"/>
      <c r="AH213" s="80"/>
      <c r="AI213" s="80"/>
      <c r="AJ213" s="45">
        <f t="shared" si="167"/>
        <v>0</v>
      </c>
      <c r="AK213" s="45">
        <f t="shared" si="168"/>
        <v>0</v>
      </c>
      <c r="AL213" s="45">
        <f t="shared" si="169"/>
        <v>0</v>
      </c>
      <c r="AM213" s="45">
        <f t="shared" si="170"/>
        <v>0</v>
      </c>
      <c r="AN213" s="45">
        <f t="shared" si="171"/>
        <v>0</v>
      </c>
      <c r="AO213" s="45">
        <f t="shared" si="172"/>
        <v>0</v>
      </c>
      <c r="AP213" s="80">
        <f t="shared" si="173"/>
        <v>0</v>
      </c>
      <c r="AQ213" s="80">
        <f t="shared" si="174"/>
        <v>0</v>
      </c>
      <c r="AR213" s="80">
        <f t="shared" si="175"/>
        <v>0</v>
      </c>
      <c r="AS213" s="80">
        <f t="shared" si="176"/>
        <v>0</v>
      </c>
      <c r="AT213" s="80">
        <f t="shared" si="177"/>
        <v>0</v>
      </c>
      <c r="AU213" s="80">
        <f t="shared" si="178"/>
        <v>0</v>
      </c>
      <c r="AV213" s="80">
        <f t="shared" si="223"/>
        <v>19.600001225096946</v>
      </c>
      <c r="AW213" s="80">
        <f t="shared" si="224"/>
        <v>9.951004049730459</v>
      </c>
      <c r="AX213" s="80">
        <f t="shared" si="225"/>
        <v>5.7402027543754404</v>
      </c>
      <c r="AY213" s="80">
        <f t="shared" si="226"/>
        <v>4.3622004996351826</v>
      </c>
      <c r="AZ213" s="80">
        <f t="shared" si="227"/>
        <v>26.737122054744763</v>
      </c>
      <c r="BA213" s="80">
        <f t="shared" si="228"/>
        <v>15.933171401553532</v>
      </c>
      <c r="BB213" s="80">
        <f t="shared" si="204"/>
        <v>414.42047143196811</v>
      </c>
      <c r="BC213" s="80">
        <f t="shared" si="205"/>
        <v>146.80528051745839</v>
      </c>
      <c r="BD213" s="80">
        <f t="shared" si="206"/>
        <v>115.03402401098847</v>
      </c>
      <c r="BE213" s="80">
        <f t="shared" si="207"/>
        <v>81.00059916234602</v>
      </c>
      <c r="BF213" s="80">
        <f t="shared" si="208"/>
        <v>502.48087773033427</v>
      </c>
      <c r="BG213" s="80">
        <f t="shared" si="209"/>
        <v>232.22073369694093</v>
      </c>
      <c r="BH213" s="49">
        <f t="shared" si="210"/>
        <v>0</v>
      </c>
      <c r="BI213" s="79">
        <f t="shared" si="211"/>
        <v>-60941.673218148979</v>
      </c>
      <c r="BJ213" s="79">
        <f t="shared" si="179"/>
        <v>69125.260561630756</v>
      </c>
      <c r="BK213" s="44">
        <f t="shared" si="212"/>
        <v>0.13428557030568422</v>
      </c>
      <c r="BL213" s="79">
        <f t="shared" si="229"/>
        <v>3248.4044600505081</v>
      </c>
      <c r="BM213" s="49">
        <f t="shared" si="213"/>
        <v>72373.66502168127</v>
      </c>
      <c r="BN213" s="44">
        <f t="shared" si="214"/>
        <v>0.18758907000485414</v>
      </c>
      <c r="BO213" s="49">
        <f t="shared" si="180"/>
        <v>4001.5791468641719</v>
      </c>
      <c r="BP213" s="49">
        <f t="shared" si="181"/>
        <v>73126.839708494925</v>
      </c>
      <c r="BQ213" s="44">
        <f t="shared" si="182"/>
        <v>0.19994801335249668</v>
      </c>
      <c r="BS213" s="49">
        <f t="shared" si="183"/>
        <v>60941.673218148979</v>
      </c>
      <c r="BT213" s="49">
        <f t="shared" si="159"/>
        <v>61.68</v>
      </c>
      <c r="BU213" s="49">
        <f t="shared" si="160"/>
        <v>47.220001000000003</v>
      </c>
      <c r="BV213" s="49">
        <f t="shared" si="184"/>
        <v>0</v>
      </c>
      <c r="BW213" s="18">
        <f t="shared" si="185"/>
        <v>1197</v>
      </c>
      <c r="BX213" s="19">
        <f t="shared" si="215"/>
        <v>0.72545871559633024</v>
      </c>
      <c r="BY213" s="49">
        <f t="shared" si="216"/>
        <v>0</v>
      </c>
      <c r="BZ213" s="19">
        <f t="shared" si="186"/>
        <v>0</v>
      </c>
      <c r="CA213" s="19">
        <f t="shared" si="187"/>
        <v>0</v>
      </c>
      <c r="CB213" s="19">
        <f t="shared" si="188"/>
        <v>0</v>
      </c>
      <c r="CC213" s="19">
        <f t="shared" si="189"/>
        <v>0</v>
      </c>
      <c r="CD213" s="19">
        <f t="shared" si="190"/>
        <v>0</v>
      </c>
      <c r="CE213" s="19">
        <f t="shared" si="191"/>
        <v>0</v>
      </c>
      <c r="CF213" s="49">
        <f t="shared" si="192"/>
        <v>0</v>
      </c>
      <c r="CG213" s="49">
        <f t="shared" si="193"/>
        <v>0</v>
      </c>
      <c r="CH213" s="49">
        <f t="shared" si="194"/>
        <v>0</v>
      </c>
      <c r="CI213" s="49">
        <f t="shared" si="195"/>
        <v>0</v>
      </c>
      <c r="CJ213" s="49">
        <f t="shared" si="196"/>
        <v>0</v>
      </c>
      <c r="CK213" s="49">
        <f t="shared" si="197"/>
        <v>0</v>
      </c>
    </row>
    <row r="214" spans="2:89" ht="12.75" customHeight="1" x14ac:dyDescent="0.2">
      <c r="B214" s="77">
        <v>40497</v>
      </c>
      <c r="C214" s="49">
        <v>61.810001</v>
      </c>
      <c r="D214" s="49">
        <v>50.75</v>
      </c>
      <c r="E214" s="49">
        <v>50.720001000000003</v>
      </c>
      <c r="F214" s="49">
        <v>63.310001</v>
      </c>
      <c r="G214" s="49">
        <v>36.470001000000003</v>
      </c>
      <c r="H214" s="49">
        <v>47.209999000000003</v>
      </c>
      <c r="J214" s="78">
        <f>IF(inter=Weekly_2,J213+$C$5,IF(inter=Bi_weekly_2,J212+$C$5,IF(inter=Monthly_2,J210+$C$5,IF(inter=Quarterly_2,0,IF(inter=Yearly_2,0,IF(inter=None_2,0,0))))))</f>
        <v>71600</v>
      </c>
      <c r="K214" s="79">
        <f t="shared" si="198"/>
        <v>-656.14634169282363</v>
      </c>
      <c r="L214" s="79">
        <f t="shared" si="199"/>
        <v>-214.64546926280855</v>
      </c>
      <c r="M214" s="79">
        <f t="shared" si="200"/>
        <v>-184.61727657076517</v>
      </c>
      <c r="N214" s="79">
        <f t="shared" si="201"/>
        <v>-160.02290402537892</v>
      </c>
      <c r="O214" s="79">
        <f t="shared" si="202"/>
        <v>-549.62475476749387</v>
      </c>
      <c r="P214" s="79">
        <f t="shared" si="203"/>
        <v>-529.0644003223224</v>
      </c>
      <c r="Q214" s="79"/>
      <c r="R214" s="80">
        <f t="shared" si="161"/>
        <v>10.615536823771022</v>
      </c>
      <c r="S214" s="80">
        <f t="shared" si="162"/>
        <v>4.2294673746366218</v>
      </c>
      <c r="T214" s="80">
        <f t="shared" si="163"/>
        <v>3.6399304599927977</v>
      </c>
      <c r="U214" s="80">
        <f t="shared" si="164"/>
        <v>2.5276086162971141</v>
      </c>
      <c r="V214" s="80">
        <f t="shared" si="165"/>
        <v>15.070598840057444</v>
      </c>
      <c r="W214" s="80">
        <f t="shared" si="166"/>
        <v>11.206617486315185</v>
      </c>
      <c r="X214" s="80">
        <f t="shared" si="217"/>
        <v>405.4360070306422</v>
      </c>
      <c r="Y214" s="80">
        <f t="shared" si="218"/>
        <v>141.08374384236453</v>
      </c>
      <c r="Z214" s="80">
        <f t="shared" si="219"/>
        <v>112.93375171660583</v>
      </c>
      <c r="AA214" s="80">
        <f t="shared" si="220"/>
        <v>79.166007279007957</v>
      </c>
      <c r="AB214" s="80">
        <f t="shared" si="221"/>
        <v>490.81435451564698</v>
      </c>
      <c r="AC214" s="80">
        <f t="shared" si="222"/>
        <v>227.4941797817026</v>
      </c>
      <c r="AD214" s="80"/>
      <c r="AE214" s="80"/>
      <c r="AF214" s="80"/>
      <c r="AG214" s="80"/>
      <c r="AH214" s="80"/>
      <c r="AI214" s="80"/>
      <c r="AJ214" s="45">
        <f t="shared" si="167"/>
        <v>0</v>
      </c>
      <c r="AK214" s="45">
        <f t="shared" si="168"/>
        <v>0</v>
      </c>
      <c r="AL214" s="45">
        <f t="shared" si="169"/>
        <v>0</v>
      </c>
      <c r="AM214" s="45">
        <f t="shared" si="170"/>
        <v>0</v>
      </c>
      <c r="AN214" s="45">
        <f t="shared" si="171"/>
        <v>0</v>
      </c>
      <c r="AO214" s="45">
        <f t="shared" si="172"/>
        <v>0</v>
      </c>
      <c r="AP214" s="80">
        <f t="shared" si="173"/>
        <v>0</v>
      </c>
      <c r="AQ214" s="80">
        <f t="shared" si="174"/>
        <v>0</v>
      </c>
      <c r="AR214" s="80">
        <f t="shared" si="175"/>
        <v>0</v>
      </c>
      <c r="AS214" s="80">
        <f t="shared" si="176"/>
        <v>0</v>
      </c>
      <c r="AT214" s="80">
        <f t="shared" si="177"/>
        <v>0</v>
      </c>
      <c r="AU214" s="80">
        <f t="shared" si="178"/>
        <v>0</v>
      </c>
      <c r="AV214" s="80">
        <f t="shared" si="223"/>
        <v>19.600001225096946</v>
      </c>
      <c r="AW214" s="80">
        <f t="shared" si="224"/>
        <v>9.951004049730459</v>
      </c>
      <c r="AX214" s="80">
        <f t="shared" si="225"/>
        <v>5.7402027543754404</v>
      </c>
      <c r="AY214" s="80">
        <f t="shared" si="226"/>
        <v>4.3622004996351826</v>
      </c>
      <c r="AZ214" s="80">
        <f t="shared" si="227"/>
        <v>26.737122054744763</v>
      </c>
      <c r="BA214" s="80">
        <f t="shared" si="228"/>
        <v>15.933171401553532</v>
      </c>
      <c r="BB214" s="80">
        <f t="shared" si="204"/>
        <v>425.03600825573915</v>
      </c>
      <c r="BC214" s="80">
        <f t="shared" si="205"/>
        <v>151.034747892095</v>
      </c>
      <c r="BD214" s="80">
        <f t="shared" si="206"/>
        <v>118.67395447098127</v>
      </c>
      <c r="BE214" s="80">
        <f t="shared" si="207"/>
        <v>83.528207778643136</v>
      </c>
      <c r="BF214" s="80">
        <f t="shared" si="208"/>
        <v>517.55147657039174</v>
      </c>
      <c r="BG214" s="80">
        <f t="shared" si="209"/>
        <v>243.42735118325612</v>
      </c>
      <c r="BH214" s="49">
        <f t="shared" si="210"/>
        <v>0</v>
      </c>
      <c r="BI214" s="79">
        <f t="shared" si="211"/>
        <v>-63235.79436479057</v>
      </c>
      <c r="BJ214" s="79">
        <f t="shared" si="179"/>
        <v>71600</v>
      </c>
      <c r="BK214" s="44">
        <f t="shared" si="212"/>
        <v>0.13227011250872467</v>
      </c>
      <c r="BL214" s="79">
        <f t="shared" si="229"/>
        <v>3248.4044600505081</v>
      </c>
      <c r="BM214" s="49">
        <f t="shared" si="213"/>
        <v>74848.404460050515</v>
      </c>
      <c r="BN214" s="44">
        <f t="shared" si="214"/>
        <v>0.18363982317150751</v>
      </c>
      <c r="BO214" s="49">
        <f t="shared" si="180"/>
        <v>4011.1114322911276</v>
      </c>
      <c r="BP214" s="49">
        <f t="shared" si="181"/>
        <v>75611.111432291131</v>
      </c>
      <c r="BQ214" s="44">
        <f t="shared" si="182"/>
        <v>0.1957011403400839</v>
      </c>
      <c r="BS214" s="49">
        <f t="shared" si="183"/>
        <v>63235.79436479057</v>
      </c>
      <c r="BT214" s="49">
        <f t="shared" si="159"/>
        <v>61.810001</v>
      </c>
      <c r="BU214" s="49">
        <f t="shared" si="160"/>
        <v>47.209999000000003</v>
      </c>
      <c r="BV214" s="49">
        <f t="shared" si="184"/>
        <v>2294.1211466415925</v>
      </c>
      <c r="BW214" s="18">
        <f t="shared" si="185"/>
        <v>1204</v>
      </c>
      <c r="BX214" s="19">
        <f t="shared" si="215"/>
        <v>0.72385321100917432</v>
      </c>
      <c r="BY214" s="49">
        <f t="shared" si="216"/>
        <v>1660.6069584405657</v>
      </c>
      <c r="BZ214" s="19">
        <f t="shared" si="186"/>
        <v>10.615536823771022</v>
      </c>
      <c r="CA214" s="19">
        <f t="shared" si="187"/>
        <v>4.2294673746366218</v>
      </c>
      <c r="CB214" s="19">
        <f t="shared" si="188"/>
        <v>3.6399304599927977</v>
      </c>
      <c r="CC214" s="19">
        <f t="shared" si="189"/>
        <v>2.5276086162971141</v>
      </c>
      <c r="CD214" s="19">
        <f t="shared" si="190"/>
        <v>15.070598840057444</v>
      </c>
      <c r="CE214" s="19">
        <f t="shared" si="191"/>
        <v>11.206617486315185</v>
      </c>
      <c r="CF214" s="49">
        <f t="shared" si="192"/>
        <v>-656.14634169282363</v>
      </c>
      <c r="CG214" s="49">
        <f t="shared" si="193"/>
        <v>-214.64546926280855</v>
      </c>
      <c r="CH214" s="49">
        <f t="shared" si="194"/>
        <v>-184.61727657076517</v>
      </c>
      <c r="CI214" s="49">
        <f t="shared" si="195"/>
        <v>-160.02290402537892</v>
      </c>
      <c r="CJ214" s="49">
        <f t="shared" si="196"/>
        <v>-549.62475476749387</v>
      </c>
      <c r="CK214" s="49">
        <f t="shared" si="197"/>
        <v>-529.0644003223224</v>
      </c>
    </row>
    <row r="215" spans="2:89" ht="12.75" customHeight="1" x14ac:dyDescent="0.2">
      <c r="B215" s="77">
        <v>40504</v>
      </c>
      <c r="C215" s="49">
        <v>61.5</v>
      </c>
      <c r="D215" s="49">
        <v>50.009998000000003</v>
      </c>
      <c r="E215" s="49">
        <v>50.709999000000003</v>
      </c>
      <c r="F215" s="49">
        <v>63.82</v>
      </c>
      <c r="G215" s="49">
        <v>34.990001999999997</v>
      </c>
      <c r="H215" s="49">
        <v>45.599997999999999</v>
      </c>
      <c r="J215" s="78">
        <f>IF(inter=Weekly_2,J214+$C$5,IF(inter=Bi_weekly_2,0,IF(inter=Monthly_2,0,IF(inter=Quarterly_2,0,IF(inter=Yearly_2,0,IF(inter=None_2,0,0))))))</f>
        <v>0</v>
      </c>
      <c r="K215" s="79">
        <f t="shared" si="198"/>
        <v>0</v>
      </c>
      <c r="L215" s="79">
        <f t="shared" si="199"/>
        <v>0</v>
      </c>
      <c r="M215" s="79">
        <f t="shared" si="200"/>
        <v>0</v>
      </c>
      <c r="N215" s="79">
        <f t="shared" si="201"/>
        <v>0</v>
      </c>
      <c r="O215" s="79">
        <f t="shared" si="202"/>
        <v>0</v>
      </c>
      <c r="P215" s="79">
        <f t="shared" si="203"/>
        <v>0</v>
      </c>
      <c r="Q215" s="79"/>
      <c r="R215" s="80">
        <f t="shared" si="161"/>
        <v>0</v>
      </c>
      <c r="S215" s="80">
        <f t="shared" si="162"/>
        <v>0</v>
      </c>
      <c r="T215" s="80">
        <f t="shared" si="163"/>
        <v>0</v>
      </c>
      <c r="U215" s="80">
        <f t="shared" si="164"/>
        <v>0</v>
      </c>
      <c r="V215" s="80">
        <f t="shared" si="165"/>
        <v>0</v>
      </c>
      <c r="W215" s="80">
        <f t="shared" si="166"/>
        <v>0</v>
      </c>
      <c r="X215" s="80">
        <f t="shared" si="217"/>
        <v>405.4360070306422</v>
      </c>
      <c r="Y215" s="80">
        <f t="shared" si="218"/>
        <v>141.08374384236453</v>
      </c>
      <c r="Z215" s="80">
        <f t="shared" si="219"/>
        <v>112.93375171660583</v>
      </c>
      <c r="AA215" s="80">
        <f t="shared" si="220"/>
        <v>79.166007279007957</v>
      </c>
      <c r="AB215" s="80">
        <f t="shared" si="221"/>
        <v>490.81435451564698</v>
      </c>
      <c r="AC215" s="80">
        <f t="shared" si="222"/>
        <v>227.4941797817026</v>
      </c>
      <c r="AD215" s="80"/>
      <c r="AE215" s="80"/>
      <c r="AF215" s="80"/>
      <c r="AG215" s="80"/>
      <c r="AH215" s="80"/>
      <c r="AI215" s="80"/>
      <c r="AJ215" s="45">
        <f t="shared" si="167"/>
        <v>0</v>
      </c>
      <c r="AK215" s="45">
        <f t="shared" si="168"/>
        <v>0</v>
      </c>
      <c r="AL215" s="45">
        <f t="shared" si="169"/>
        <v>0</v>
      </c>
      <c r="AM215" s="45">
        <f t="shared" si="170"/>
        <v>0</v>
      </c>
      <c r="AN215" s="45">
        <f t="shared" si="171"/>
        <v>0</v>
      </c>
      <c r="AO215" s="45">
        <f t="shared" si="172"/>
        <v>0</v>
      </c>
      <c r="AP215" s="80">
        <f t="shared" si="173"/>
        <v>0</v>
      </c>
      <c r="AQ215" s="80">
        <f t="shared" si="174"/>
        <v>0</v>
      </c>
      <c r="AR215" s="80">
        <f t="shared" si="175"/>
        <v>0</v>
      </c>
      <c r="AS215" s="80">
        <f t="shared" si="176"/>
        <v>0</v>
      </c>
      <c r="AT215" s="80">
        <f t="shared" si="177"/>
        <v>0</v>
      </c>
      <c r="AU215" s="80">
        <f t="shared" si="178"/>
        <v>0</v>
      </c>
      <c r="AV215" s="80">
        <f t="shared" si="223"/>
        <v>19.600001225096946</v>
      </c>
      <c r="AW215" s="80">
        <f t="shared" si="224"/>
        <v>9.951004049730459</v>
      </c>
      <c r="AX215" s="80">
        <f t="shared" si="225"/>
        <v>5.7402027543754404</v>
      </c>
      <c r="AY215" s="80">
        <f t="shared" si="226"/>
        <v>4.3622004996351826</v>
      </c>
      <c r="AZ215" s="80">
        <f t="shared" si="227"/>
        <v>26.737122054744763</v>
      </c>
      <c r="BA215" s="80">
        <f t="shared" si="228"/>
        <v>15.933171401553532</v>
      </c>
      <c r="BB215" s="80">
        <f t="shared" si="204"/>
        <v>425.03600825573915</v>
      </c>
      <c r="BC215" s="80">
        <f t="shared" si="205"/>
        <v>151.034747892095</v>
      </c>
      <c r="BD215" s="80">
        <f t="shared" si="206"/>
        <v>118.67395447098127</v>
      </c>
      <c r="BE215" s="80">
        <f t="shared" si="207"/>
        <v>83.528207778643136</v>
      </c>
      <c r="BF215" s="80">
        <f t="shared" si="208"/>
        <v>517.55147657039174</v>
      </c>
      <c r="BG215" s="80">
        <f t="shared" si="209"/>
        <v>243.42735118325612</v>
      </c>
      <c r="BH215" s="49">
        <f t="shared" si="210"/>
        <v>0</v>
      </c>
      <c r="BI215" s="79">
        <f t="shared" si="211"/>
        <v>-63235.79436479057</v>
      </c>
      <c r="BJ215" s="79">
        <f t="shared" si="179"/>
        <v>70316.486590123764</v>
      </c>
      <c r="BK215" s="44">
        <f t="shared" si="212"/>
        <v>0.11197285171253735</v>
      </c>
      <c r="BL215" s="79">
        <f t="shared" si="229"/>
        <v>3248.4044600505081</v>
      </c>
      <c r="BM215" s="49">
        <f t="shared" si="213"/>
        <v>73564.891050174279</v>
      </c>
      <c r="BN215" s="44">
        <f t="shared" si="214"/>
        <v>0.16334256237531997</v>
      </c>
      <c r="BO215" s="49">
        <f t="shared" si="180"/>
        <v>3934.6156180036287</v>
      </c>
      <c r="BP215" s="49">
        <f t="shared" si="181"/>
        <v>74251.102208127384</v>
      </c>
      <c r="BQ215" s="44">
        <f t="shared" si="182"/>
        <v>0.17419418786443042</v>
      </c>
      <c r="BS215" s="49">
        <f t="shared" si="183"/>
        <v>63235.79436479057</v>
      </c>
      <c r="BT215" s="49">
        <f t="shared" si="159"/>
        <v>61.5</v>
      </c>
      <c r="BU215" s="49">
        <f t="shared" si="160"/>
        <v>45.599997999999999</v>
      </c>
      <c r="BV215" s="49">
        <f t="shared" si="184"/>
        <v>0</v>
      </c>
      <c r="BW215" s="18">
        <f t="shared" si="185"/>
        <v>1211</v>
      </c>
      <c r="BX215" s="19">
        <f t="shared" si="215"/>
        <v>0.7222477064220183</v>
      </c>
      <c r="BY215" s="49">
        <f t="shared" si="216"/>
        <v>0</v>
      </c>
      <c r="BZ215" s="19">
        <f t="shared" si="186"/>
        <v>0</v>
      </c>
      <c r="CA215" s="19">
        <f t="shared" si="187"/>
        <v>0</v>
      </c>
      <c r="CB215" s="19">
        <f t="shared" si="188"/>
        <v>0</v>
      </c>
      <c r="CC215" s="19">
        <f t="shared" si="189"/>
        <v>0</v>
      </c>
      <c r="CD215" s="19">
        <f t="shared" si="190"/>
        <v>0</v>
      </c>
      <c r="CE215" s="19">
        <f t="shared" si="191"/>
        <v>0</v>
      </c>
      <c r="CF215" s="49">
        <f t="shared" si="192"/>
        <v>0</v>
      </c>
      <c r="CG215" s="49">
        <f t="shared" si="193"/>
        <v>0</v>
      </c>
      <c r="CH215" s="49">
        <f t="shared" si="194"/>
        <v>0</v>
      </c>
      <c r="CI215" s="49">
        <f t="shared" si="195"/>
        <v>0</v>
      </c>
      <c r="CJ215" s="49">
        <f t="shared" si="196"/>
        <v>0</v>
      </c>
      <c r="CK215" s="49">
        <f t="shared" si="197"/>
        <v>0</v>
      </c>
    </row>
    <row r="216" spans="2:89" ht="12.75" customHeight="1" x14ac:dyDescent="0.2">
      <c r="B216" s="77">
        <v>40511</v>
      </c>
      <c r="C216" s="49">
        <v>63.34</v>
      </c>
      <c r="D216" s="49">
        <v>51.650002000000001</v>
      </c>
      <c r="E216" s="49">
        <v>52.5</v>
      </c>
      <c r="F216" s="49">
        <v>65.75</v>
      </c>
      <c r="G216" s="49">
        <v>36.209999000000003</v>
      </c>
      <c r="H216" s="49">
        <v>47.810001</v>
      </c>
      <c r="J216" s="78">
        <f>IF(inter=Weekly_2,J215+$C$5,IF(inter=Bi_weekly_2,J214+$C$5,IF(inter=Monthly_2,0,IF(inter=Quarterly_2,0,IF(inter=Yearly_2,0,IF(inter=None_2,0,0))))))</f>
        <v>72200</v>
      </c>
      <c r="K216" s="79">
        <f t="shared" si="198"/>
        <v>410.31668532087861</v>
      </c>
      <c r="L216" s="79">
        <f t="shared" si="199"/>
        <v>66.975651625615683</v>
      </c>
      <c r="M216" s="79">
        <f t="shared" si="200"/>
        <v>153.02196512180581</v>
      </c>
      <c r="N216" s="79">
        <f t="shared" si="201"/>
        <v>151.16497859477204</v>
      </c>
      <c r="O216" s="79">
        <f t="shared" si="202"/>
        <v>-277.61271380277685</v>
      </c>
      <c r="P216" s="79">
        <f t="shared" si="203"/>
        <v>46.496962857381732</v>
      </c>
      <c r="Q216" s="79"/>
      <c r="R216" s="80">
        <f t="shared" si="161"/>
        <v>-6.4780026100549195</v>
      </c>
      <c r="S216" s="80">
        <f t="shared" si="162"/>
        <v>-1.2967211816490478</v>
      </c>
      <c r="T216" s="80">
        <f t="shared" si="163"/>
        <v>-2.9147040975582059</v>
      </c>
      <c r="U216" s="80">
        <f t="shared" si="164"/>
        <v>-2.2990871269166848</v>
      </c>
      <c r="V216" s="80">
        <f t="shared" si="165"/>
        <v>7.6667418246207859</v>
      </c>
      <c r="W216" s="80">
        <f t="shared" si="166"/>
        <v>-0.97253632890285302</v>
      </c>
      <c r="X216" s="80">
        <f t="shared" si="217"/>
        <v>398.95800442058726</v>
      </c>
      <c r="Y216" s="80">
        <f t="shared" si="218"/>
        <v>139.78702266071548</v>
      </c>
      <c r="Z216" s="80">
        <f t="shared" si="219"/>
        <v>110.01904761904763</v>
      </c>
      <c r="AA216" s="80">
        <f t="shared" si="220"/>
        <v>76.866920152091268</v>
      </c>
      <c r="AB216" s="80">
        <f t="shared" si="221"/>
        <v>498.48109634026775</v>
      </c>
      <c r="AC216" s="80">
        <f t="shared" si="222"/>
        <v>226.52164345279974</v>
      </c>
      <c r="AD216" s="80"/>
      <c r="AE216" s="80"/>
      <c r="AF216" s="80"/>
      <c r="AG216" s="80"/>
      <c r="AH216" s="80"/>
      <c r="AI216" s="80"/>
      <c r="AJ216" s="45">
        <f t="shared" si="167"/>
        <v>0</v>
      </c>
      <c r="AK216" s="45">
        <f t="shared" si="168"/>
        <v>0</v>
      </c>
      <c r="AL216" s="45">
        <f t="shared" si="169"/>
        <v>0</v>
      </c>
      <c r="AM216" s="45">
        <f t="shared" si="170"/>
        <v>0</v>
      </c>
      <c r="AN216" s="45">
        <f t="shared" si="171"/>
        <v>0</v>
      </c>
      <c r="AO216" s="45">
        <f t="shared" si="172"/>
        <v>0</v>
      </c>
      <c r="AP216" s="80">
        <f t="shared" si="173"/>
        <v>0</v>
      </c>
      <c r="AQ216" s="80">
        <f t="shared" si="174"/>
        <v>0</v>
      </c>
      <c r="AR216" s="80">
        <f t="shared" si="175"/>
        <v>0</v>
      </c>
      <c r="AS216" s="80">
        <f t="shared" si="176"/>
        <v>0</v>
      </c>
      <c r="AT216" s="80">
        <f t="shared" si="177"/>
        <v>0</v>
      </c>
      <c r="AU216" s="80">
        <f t="shared" si="178"/>
        <v>0</v>
      </c>
      <c r="AV216" s="80">
        <f t="shared" si="223"/>
        <v>19.600001225096946</v>
      </c>
      <c r="AW216" s="80">
        <f t="shared" si="224"/>
        <v>9.951004049730459</v>
      </c>
      <c r="AX216" s="80">
        <f t="shared" si="225"/>
        <v>5.7402027543754404</v>
      </c>
      <c r="AY216" s="80">
        <f t="shared" si="226"/>
        <v>4.3622004996351826</v>
      </c>
      <c r="AZ216" s="80">
        <f t="shared" si="227"/>
        <v>26.737122054744763</v>
      </c>
      <c r="BA216" s="80">
        <f t="shared" si="228"/>
        <v>15.933171401553532</v>
      </c>
      <c r="BB216" s="80">
        <f t="shared" si="204"/>
        <v>418.5580056456842</v>
      </c>
      <c r="BC216" s="80">
        <f t="shared" si="205"/>
        <v>149.73802671044595</v>
      </c>
      <c r="BD216" s="80">
        <f t="shared" si="206"/>
        <v>115.75925037342307</v>
      </c>
      <c r="BE216" s="80">
        <f t="shared" si="207"/>
        <v>81.229120651726447</v>
      </c>
      <c r="BF216" s="80">
        <f t="shared" si="208"/>
        <v>525.21821839501251</v>
      </c>
      <c r="BG216" s="80">
        <f t="shared" si="209"/>
        <v>242.45481485435326</v>
      </c>
      <c r="BH216" s="49">
        <f t="shared" si="210"/>
        <v>0</v>
      </c>
      <c r="BI216" s="79">
        <f t="shared" si="211"/>
        <v>-62685.43083507289</v>
      </c>
      <c r="BJ216" s="79">
        <f t="shared" si="179"/>
        <v>72200</v>
      </c>
      <c r="BK216" s="44">
        <f t="shared" si="212"/>
        <v>0.15178278330670181</v>
      </c>
      <c r="BL216" s="79">
        <f t="shared" si="229"/>
        <v>3248.4044600505081</v>
      </c>
      <c r="BM216" s="49">
        <f t="shared" si="213"/>
        <v>75448.404460050515</v>
      </c>
      <c r="BN216" s="44">
        <f t="shared" si="214"/>
        <v>0.20360350810314065</v>
      </c>
      <c r="BO216" s="49">
        <f t="shared" si="180"/>
        <v>4073.5248876305823</v>
      </c>
      <c r="BP216" s="49">
        <f t="shared" si="181"/>
        <v>76273.524887630585</v>
      </c>
      <c r="BQ216" s="44">
        <f t="shared" si="182"/>
        <v>0.21676638210094379</v>
      </c>
      <c r="BS216" s="49">
        <f t="shared" si="183"/>
        <v>62685.43083507289</v>
      </c>
      <c r="BT216" s="49">
        <f t="shared" ref="BT216:BT279" si="230">C216</f>
        <v>63.34</v>
      </c>
      <c r="BU216" s="49">
        <f t="shared" ref="BU216:BU279" si="231">H216</f>
        <v>47.810001</v>
      </c>
      <c r="BV216" s="49">
        <f t="shared" si="184"/>
        <v>-550.36352971767701</v>
      </c>
      <c r="BW216" s="18">
        <f t="shared" si="185"/>
        <v>1218</v>
      </c>
      <c r="BX216" s="19">
        <f t="shared" si="215"/>
        <v>0.72064220183486238</v>
      </c>
      <c r="BY216" s="49">
        <f t="shared" si="216"/>
        <v>-396.61518586535345</v>
      </c>
      <c r="BZ216" s="19">
        <f t="shared" si="186"/>
        <v>0</v>
      </c>
      <c r="CA216" s="19">
        <f t="shared" si="187"/>
        <v>0</v>
      </c>
      <c r="CB216" s="19">
        <f t="shared" si="188"/>
        <v>0</v>
      </c>
      <c r="CC216" s="19">
        <f t="shared" si="189"/>
        <v>0</v>
      </c>
      <c r="CD216" s="19">
        <f t="shared" si="190"/>
        <v>7.6667418246207859</v>
      </c>
      <c r="CE216" s="19">
        <f t="shared" si="191"/>
        <v>0</v>
      </c>
      <c r="CF216" s="49">
        <f t="shared" si="192"/>
        <v>0</v>
      </c>
      <c r="CG216" s="49">
        <f t="shared" si="193"/>
        <v>0</v>
      </c>
      <c r="CH216" s="49">
        <f t="shared" si="194"/>
        <v>0</v>
      </c>
      <c r="CI216" s="49">
        <f t="shared" si="195"/>
        <v>0</v>
      </c>
      <c r="CJ216" s="49">
        <f t="shared" si="196"/>
        <v>-277.61271380277685</v>
      </c>
      <c r="CK216" s="49">
        <f t="shared" si="197"/>
        <v>0</v>
      </c>
    </row>
    <row r="217" spans="2:89" ht="12.75" customHeight="1" x14ac:dyDescent="0.2">
      <c r="B217" s="77">
        <v>40518</v>
      </c>
      <c r="C217" s="49">
        <v>64.209998999999996</v>
      </c>
      <c r="D217" s="49">
        <v>52.59</v>
      </c>
      <c r="E217" s="49">
        <v>53.16</v>
      </c>
      <c r="F217" s="49">
        <v>67.169998000000007</v>
      </c>
      <c r="G217" s="49">
        <v>36.369999</v>
      </c>
      <c r="H217" s="49">
        <v>47.380001</v>
      </c>
      <c r="J217" s="78">
        <f>IF(inter=Weekly_2,J216+$C$5,IF(inter=Bi_weekly_2,0,IF(inter=Monthly_2,0,IF(inter=Quarterly_2,0,IF(inter=Yearly_2,0,IF(inter=None_2,0,0))))))</f>
        <v>0</v>
      </c>
      <c r="K217" s="79">
        <f t="shared" si="198"/>
        <v>0</v>
      </c>
      <c r="L217" s="79">
        <f t="shared" si="199"/>
        <v>0</v>
      </c>
      <c r="M217" s="79">
        <f t="shared" si="200"/>
        <v>0</v>
      </c>
      <c r="N217" s="79">
        <f t="shared" si="201"/>
        <v>0</v>
      </c>
      <c r="O217" s="79">
        <f t="shared" si="202"/>
        <v>0</v>
      </c>
      <c r="P217" s="79">
        <f t="shared" si="203"/>
        <v>0</v>
      </c>
      <c r="Q217" s="79"/>
      <c r="R217" s="80">
        <f t="shared" si="161"/>
        <v>0</v>
      </c>
      <c r="S217" s="80">
        <f t="shared" si="162"/>
        <v>0</v>
      </c>
      <c r="T217" s="80">
        <f t="shared" si="163"/>
        <v>0</v>
      </c>
      <c r="U217" s="80">
        <f t="shared" si="164"/>
        <v>0</v>
      </c>
      <c r="V217" s="80">
        <f t="shared" si="165"/>
        <v>0</v>
      </c>
      <c r="W217" s="80">
        <f t="shared" si="166"/>
        <v>0</v>
      </c>
      <c r="X217" s="80">
        <f t="shared" si="217"/>
        <v>398.95800442058726</v>
      </c>
      <c r="Y217" s="80">
        <f t="shared" si="218"/>
        <v>139.78702266071548</v>
      </c>
      <c r="Z217" s="80">
        <f t="shared" si="219"/>
        <v>110.01904761904763</v>
      </c>
      <c r="AA217" s="80">
        <f t="shared" si="220"/>
        <v>76.866920152091268</v>
      </c>
      <c r="AB217" s="80">
        <f t="shared" si="221"/>
        <v>498.48109634026775</v>
      </c>
      <c r="AC217" s="80">
        <f t="shared" si="222"/>
        <v>226.52164345279974</v>
      </c>
      <c r="AD217" s="80"/>
      <c r="AE217" s="80"/>
      <c r="AF217" s="80"/>
      <c r="AG217" s="80"/>
      <c r="AH217" s="80"/>
      <c r="AI217" s="80"/>
      <c r="AJ217" s="45">
        <f t="shared" si="167"/>
        <v>0</v>
      </c>
      <c r="AK217" s="45">
        <f t="shared" si="168"/>
        <v>0</v>
      </c>
      <c r="AL217" s="45">
        <f t="shared" si="169"/>
        <v>0</v>
      </c>
      <c r="AM217" s="45">
        <f t="shared" si="170"/>
        <v>0</v>
      </c>
      <c r="AN217" s="45">
        <f t="shared" si="171"/>
        <v>0</v>
      </c>
      <c r="AO217" s="45">
        <f t="shared" si="172"/>
        <v>0</v>
      </c>
      <c r="AP217" s="80">
        <f t="shared" si="173"/>
        <v>0</v>
      </c>
      <c r="AQ217" s="80">
        <f t="shared" si="174"/>
        <v>0</v>
      </c>
      <c r="AR217" s="80">
        <f t="shared" si="175"/>
        <v>0</v>
      </c>
      <c r="AS217" s="80">
        <f t="shared" si="176"/>
        <v>0</v>
      </c>
      <c r="AT217" s="80">
        <f t="shared" si="177"/>
        <v>0</v>
      </c>
      <c r="AU217" s="80">
        <f t="shared" si="178"/>
        <v>0</v>
      </c>
      <c r="AV217" s="80">
        <f t="shared" si="223"/>
        <v>19.600001225096946</v>
      </c>
      <c r="AW217" s="80">
        <f t="shared" si="224"/>
        <v>9.951004049730459</v>
      </c>
      <c r="AX217" s="80">
        <f t="shared" si="225"/>
        <v>5.7402027543754404</v>
      </c>
      <c r="AY217" s="80">
        <f t="shared" si="226"/>
        <v>4.3622004996351826</v>
      </c>
      <c r="AZ217" s="80">
        <f t="shared" si="227"/>
        <v>26.737122054744763</v>
      </c>
      <c r="BA217" s="80">
        <f t="shared" si="228"/>
        <v>15.933171401553532</v>
      </c>
      <c r="BB217" s="80">
        <f t="shared" si="204"/>
        <v>418.5580056456842</v>
      </c>
      <c r="BC217" s="80">
        <f t="shared" si="205"/>
        <v>149.73802671044595</v>
      </c>
      <c r="BD217" s="80">
        <f t="shared" si="206"/>
        <v>115.75925037342307</v>
      </c>
      <c r="BE217" s="80">
        <f t="shared" si="207"/>
        <v>81.229120651726447</v>
      </c>
      <c r="BF217" s="80">
        <f t="shared" si="208"/>
        <v>525.21821839501251</v>
      </c>
      <c r="BG217" s="80">
        <f t="shared" si="209"/>
        <v>242.45481485435326</v>
      </c>
      <c r="BH217" s="49">
        <f t="shared" si="210"/>
        <v>0</v>
      </c>
      <c r="BI217" s="79">
        <f t="shared" si="211"/>
        <v>-62685.43083507289</v>
      </c>
      <c r="BJ217" s="79">
        <f t="shared" si="179"/>
        <v>72842.608699655364</v>
      </c>
      <c r="BK217" s="44">
        <f t="shared" si="212"/>
        <v>0.1620341079142662</v>
      </c>
      <c r="BL217" s="79">
        <f t="shared" si="229"/>
        <v>3248.4044600505081</v>
      </c>
      <c r="BM217" s="49">
        <f t="shared" si="213"/>
        <v>76091.013159705879</v>
      </c>
      <c r="BN217" s="44">
        <f t="shared" si="214"/>
        <v>0.21385483271070505</v>
      </c>
      <c r="BO217" s="49">
        <f t="shared" si="180"/>
        <v>4107.3403186302139</v>
      </c>
      <c r="BP217" s="49">
        <f t="shared" si="181"/>
        <v>76949.949018285581</v>
      </c>
      <c r="BQ217" s="44">
        <f t="shared" si="182"/>
        <v>0.22755715312451197</v>
      </c>
      <c r="BS217" s="49">
        <f t="shared" si="183"/>
        <v>62685.43083507289</v>
      </c>
      <c r="BT217" s="49">
        <f t="shared" si="230"/>
        <v>64.209998999999996</v>
      </c>
      <c r="BU217" s="49">
        <f t="shared" si="231"/>
        <v>47.380001</v>
      </c>
      <c r="BV217" s="49">
        <f t="shared" si="184"/>
        <v>0</v>
      </c>
      <c r="BW217" s="18">
        <f t="shared" si="185"/>
        <v>1225</v>
      </c>
      <c r="BX217" s="19">
        <f t="shared" si="215"/>
        <v>0.71903669724770647</v>
      </c>
      <c r="BY217" s="49">
        <f t="shared" si="216"/>
        <v>0</v>
      </c>
      <c r="BZ217" s="19">
        <f t="shared" si="186"/>
        <v>0</v>
      </c>
      <c r="CA217" s="19">
        <f t="shared" si="187"/>
        <v>0</v>
      </c>
      <c r="CB217" s="19">
        <f t="shared" si="188"/>
        <v>0</v>
      </c>
      <c r="CC217" s="19">
        <f t="shared" si="189"/>
        <v>0</v>
      </c>
      <c r="CD217" s="19">
        <f t="shared" si="190"/>
        <v>0</v>
      </c>
      <c r="CE217" s="19">
        <f t="shared" si="191"/>
        <v>0</v>
      </c>
      <c r="CF217" s="49">
        <f t="shared" si="192"/>
        <v>0</v>
      </c>
      <c r="CG217" s="49">
        <f t="shared" si="193"/>
        <v>0</v>
      </c>
      <c r="CH217" s="49">
        <f t="shared" si="194"/>
        <v>0</v>
      </c>
      <c r="CI217" s="49">
        <f t="shared" si="195"/>
        <v>0</v>
      </c>
      <c r="CJ217" s="49">
        <f t="shared" si="196"/>
        <v>0</v>
      </c>
      <c r="CK217" s="49">
        <f t="shared" si="197"/>
        <v>0</v>
      </c>
    </row>
    <row r="218" spans="2:89" ht="12.75" customHeight="1" x14ac:dyDescent="0.2">
      <c r="B218" s="77">
        <v>40525</v>
      </c>
      <c r="C218" s="49">
        <v>64.470000999999996</v>
      </c>
      <c r="D218" s="49">
        <v>52.77</v>
      </c>
      <c r="E218" s="49">
        <v>53.25</v>
      </c>
      <c r="F218" s="49">
        <v>67.099997999999999</v>
      </c>
      <c r="G218" s="49">
        <v>36.32</v>
      </c>
      <c r="H218" s="49">
        <v>47.209999000000003</v>
      </c>
      <c r="J218" s="78">
        <f>IF(inter=Weekly_2,J217+$C$5,IF(inter=Bi_weekly_2,J216+$C$5,IF(inter=Monthly_2,J214+$C$5,IF(inter=Quarterly_2,0,IF(inter=Yearly_2,0,IF(inter=None_2,0,0))))))</f>
        <v>72800</v>
      </c>
      <c r="K218" s="79">
        <f t="shared" si="198"/>
        <v>240.82294395326244</v>
      </c>
      <c r="L218" s="79">
        <f t="shared" si="199"/>
        <v>96.561185805956484</v>
      </c>
      <c r="M218" s="79">
        <f t="shared" si="200"/>
        <v>34.514285714286416</v>
      </c>
      <c r="N218" s="79">
        <f t="shared" si="201"/>
        <v>61.77018847148247</v>
      </c>
      <c r="O218" s="79">
        <f t="shared" si="202"/>
        <v>-95.166580921475543</v>
      </c>
      <c r="P218" s="79">
        <f t="shared" si="203"/>
        <v>-225.91343911496733</v>
      </c>
      <c r="Q218" s="79"/>
      <c r="R218" s="80">
        <f t="shared" si="161"/>
        <v>-3.7354264032547859</v>
      </c>
      <c r="S218" s="80">
        <f t="shared" si="162"/>
        <v>-1.8298500247480856</v>
      </c>
      <c r="T218" s="80">
        <f t="shared" si="163"/>
        <v>-0.64815560026828956</v>
      </c>
      <c r="U218" s="80">
        <f t="shared" si="164"/>
        <v>-0.92056915518063753</v>
      </c>
      <c r="V218" s="80">
        <f t="shared" si="165"/>
        <v>2.6202252456353397</v>
      </c>
      <c r="W218" s="80">
        <f t="shared" si="166"/>
        <v>4.785287945355968</v>
      </c>
      <c r="X218" s="80">
        <f t="shared" si="217"/>
        <v>395.22257801733247</v>
      </c>
      <c r="Y218" s="80">
        <f t="shared" si="218"/>
        <v>137.9571726359674</v>
      </c>
      <c r="Z218" s="80">
        <f t="shared" si="219"/>
        <v>109.37089201877933</v>
      </c>
      <c r="AA218" s="80">
        <f t="shared" si="220"/>
        <v>75.946350996910624</v>
      </c>
      <c r="AB218" s="80">
        <f t="shared" si="221"/>
        <v>501.10132158590312</v>
      </c>
      <c r="AC218" s="80">
        <f t="shared" si="222"/>
        <v>231.30693139815571</v>
      </c>
      <c r="AD218" s="80"/>
      <c r="AE218" s="80"/>
      <c r="AF218" s="80"/>
      <c r="AG218" s="80"/>
      <c r="AH218" s="80"/>
      <c r="AI218" s="80"/>
      <c r="AJ218" s="45">
        <f t="shared" si="167"/>
        <v>0</v>
      </c>
      <c r="AK218" s="45">
        <f t="shared" si="168"/>
        <v>0</v>
      </c>
      <c r="AL218" s="45">
        <f t="shared" si="169"/>
        <v>0</v>
      </c>
      <c r="AM218" s="45">
        <f t="shared" si="170"/>
        <v>0</v>
      </c>
      <c r="AN218" s="45">
        <f t="shared" si="171"/>
        <v>0</v>
      </c>
      <c r="AO218" s="45">
        <f t="shared" si="172"/>
        <v>0</v>
      </c>
      <c r="AP218" s="80">
        <f t="shared" si="173"/>
        <v>0</v>
      </c>
      <c r="AQ218" s="80">
        <f t="shared" si="174"/>
        <v>0</v>
      </c>
      <c r="AR218" s="80">
        <f t="shared" si="175"/>
        <v>0</v>
      </c>
      <c r="AS218" s="80">
        <f t="shared" si="176"/>
        <v>0</v>
      </c>
      <c r="AT218" s="80">
        <f t="shared" si="177"/>
        <v>0</v>
      </c>
      <c r="AU218" s="80">
        <f t="shared" si="178"/>
        <v>0</v>
      </c>
      <c r="AV218" s="80">
        <f t="shared" si="223"/>
        <v>19.600001225096946</v>
      </c>
      <c r="AW218" s="80">
        <f t="shared" si="224"/>
        <v>9.951004049730459</v>
      </c>
      <c r="AX218" s="80">
        <f t="shared" si="225"/>
        <v>5.7402027543754404</v>
      </c>
      <c r="AY218" s="80">
        <f t="shared" si="226"/>
        <v>4.3622004996351826</v>
      </c>
      <c r="AZ218" s="80">
        <f t="shared" si="227"/>
        <v>26.737122054744763</v>
      </c>
      <c r="BA218" s="80">
        <f t="shared" si="228"/>
        <v>15.933171401553532</v>
      </c>
      <c r="BB218" s="80">
        <f t="shared" si="204"/>
        <v>414.82257924242941</v>
      </c>
      <c r="BC218" s="80">
        <f t="shared" si="205"/>
        <v>147.90817668569787</v>
      </c>
      <c r="BD218" s="80">
        <f t="shared" si="206"/>
        <v>115.11109477315478</v>
      </c>
      <c r="BE218" s="80">
        <f t="shared" si="207"/>
        <v>80.308551496545803</v>
      </c>
      <c r="BF218" s="80">
        <f t="shared" si="208"/>
        <v>527.83844364064794</v>
      </c>
      <c r="BG218" s="80">
        <f t="shared" si="209"/>
        <v>247.24010279970923</v>
      </c>
      <c r="BH218" s="49">
        <f t="shared" si="210"/>
        <v>0</v>
      </c>
      <c r="BI218" s="79">
        <f t="shared" si="211"/>
        <v>-62572.842251164344</v>
      </c>
      <c r="BJ218" s="79">
        <f t="shared" si="179"/>
        <v>72800</v>
      </c>
      <c r="BK218" s="44">
        <f t="shared" si="212"/>
        <v>0.1634440338794958</v>
      </c>
      <c r="BL218" s="79">
        <f t="shared" si="229"/>
        <v>3248.4044600505081</v>
      </c>
      <c r="BM218" s="49">
        <f t="shared" si="213"/>
        <v>76048.404460050515</v>
      </c>
      <c r="BN218" s="44">
        <f t="shared" si="214"/>
        <v>0.2153580007568765</v>
      </c>
      <c r="BO218" s="49">
        <f t="shared" si="180"/>
        <v>4110.3933027203902</v>
      </c>
      <c r="BP218" s="49">
        <f t="shared" si="181"/>
        <v>76910.393302720389</v>
      </c>
      <c r="BQ218" s="44">
        <f t="shared" si="182"/>
        <v>0.22913376691449971</v>
      </c>
      <c r="BS218" s="49">
        <f t="shared" si="183"/>
        <v>62572.842251164344</v>
      </c>
      <c r="BT218" s="49">
        <f t="shared" si="230"/>
        <v>64.470000999999996</v>
      </c>
      <c r="BU218" s="49">
        <f t="shared" si="231"/>
        <v>47.209999000000003</v>
      </c>
      <c r="BV218" s="49">
        <f t="shared" si="184"/>
        <v>-112.58858390854493</v>
      </c>
      <c r="BW218" s="18">
        <f t="shared" si="185"/>
        <v>1232</v>
      </c>
      <c r="BX218" s="19">
        <f t="shared" si="215"/>
        <v>0.71743119266055044</v>
      </c>
      <c r="BY218" s="49">
        <f t="shared" si="216"/>
        <v>-80.774562033469849</v>
      </c>
      <c r="BZ218" s="19">
        <f t="shared" si="186"/>
        <v>0</v>
      </c>
      <c r="CA218" s="19">
        <f t="shared" si="187"/>
        <v>0</v>
      </c>
      <c r="CB218" s="19">
        <f t="shared" si="188"/>
        <v>0</v>
      </c>
      <c r="CC218" s="19">
        <f t="shared" si="189"/>
        <v>0</v>
      </c>
      <c r="CD218" s="19">
        <f t="shared" si="190"/>
        <v>2.6202252456353397</v>
      </c>
      <c r="CE218" s="19">
        <f t="shared" si="191"/>
        <v>4.785287945355968</v>
      </c>
      <c r="CF218" s="49">
        <f t="shared" si="192"/>
        <v>0</v>
      </c>
      <c r="CG218" s="49">
        <f t="shared" si="193"/>
        <v>0</v>
      </c>
      <c r="CH218" s="49">
        <f t="shared" si="194"/>
        <v>0</v>
      </c>
      <c r="CI218" s="49">
        <f t="shared" si="195"/>
        <v>0</v>
      </c>
      <c r="CJ218" s="49">
        <f t="shared" si="196"/>
        <v>-95.166580921475543</v>
      </c>
      <c r="CK218" s="49">
        <f t="shared" si="197"/>
        <v>-225.91343911496733</v>
      </c>
    </row>
    <row r="219" spans="2:89" ht="12.75" customHeight="1" x14ac:dyDescent="0.2">
      <c r="B219" s="77">
        <v>40532</v>
      </c>
      <c r="C219" s="49">
        <v>64.839995999999999</v>
      </c>
      <c r="D219" s="49">
        <v>53.540000999999997</v>
      </c>
      <c r="E219" s="49">
        <v>53.939999</v>
      </c>
      <c r="F219" s="49">
        <v>68.25</v>
      </c>
      <c r="G219" s="49">
        <v>35.840000000000003</v>
      </c>
      <c r="H219" s="49">
        <v>46.98</v>
      </c>
      <c r="J219" s="78">
        <f>IF(inter=Weekly_2,J218+$C$5,IF(inter=Bi_weekly_2,0,IF(inter=Monthly_2,0,IF(inter=Quarterly_2,0,IF(inter=Yearly_2,0,IF(inter=None_2,0,0))))))</f>
        <v>0</v>
      </c>
      <c r="K219" s="79">
        <f t="shared" si="198"/>
        <v>0</v>
      </c>
      <c r="L219" s="79">
        <f t="shared" si="199"/>
        <v>0</v>
      </c>
      <c r="M219" s="79">
        <f t="shared" si="200"/>
        <v>0</v>
      </c>
      <c r="N219" s="79">
        <f t="shared" si="201"/>
        <v>0</v>
      </c>
      <c r="O219" s="79">
        <f t="shared" si="202"/>
        <v>0</v>
      </c>
      <c r="P219" s="79">
        <f t="shared" si="203"/>
        <v>0</v>
      </c>
      <c r="Q219" s="79"/>
      <c r="R219" s="80">
        <f t="shared" si="161"/>
        <v>0</v>
      </c>
      <c r="S219" s="80">
        <f t="shared" si="162"/>
        <v>0</v>
      </c>
      <c r="T219" s="80">
        <f t="shared" si="163"/>
        <v>0</v>
      </c>
      <c r="U219" s="80">
        <f t="shared" si="164"/>
        <v>0</v>
      </c>
      <c r="V219" s="80">
        <f t="shared" si="165"/>
        <v>0</v>
      </c>
      <c r="W219" s="80">
        <f t="shared" si="166"/>
        <v>0</v>
      </c>
      <c r="X219" s="80">
        <f t="shared" si="217"/>
        <v>395.22257801733247</v>
      </c>
      <c r="Y219" s="80">
        <f t="shared" si="218"/>
        <v>137.9571726359674</v>
      </c>
      <c r="Z219" s="80">
        <f t="shared" si="219"/>
        <v>109.37089201877933</v>
      </c>
      <c r="AA219" s="80">
        <f t="shared" si="220"/>
        <v>75.946350996910624</v>
      </c>
      <c r="AB219" s="80">
        <f t="shared" si="221"/>
        <v>501.10132158590312</v>
      </c>
      <c r="AC219" s="80">
        <f t="shared" si="222"/>
        <v>231.30693139815571</v>
      </c>
      <c r="AD219" s="80">
        <v>0.34599999999999997</v>
      </c>
      <c r="AE219" s="80">
        <v>0.317</v>
      </c>
      <c r="AF219" s="80">
        <v>1.0009999999999999</v>
      </c>
      <c r="AG219" s="80">
        <v>1.27</v>
      </c>
      <c r="AH219" s="80">
        <v>0.88600000000000001</v>
      </c>
      <c r="AI219" s="80">
        <v>0.81499999999999995</v>
      </c>
      <c r="AJ219" s="45">
        <f t="shared" si="167"/>
        <v>136.74701199399703</v>
      </c>
      <c r="AK219" s="45">
        <f t="shared" si="168"/>
        <v>43.732423725601663</v>
      </c>
      <c r="AL219" s="45">
        <f t="shared" si="169"/>
        <v>109.4802629107981</v>
      </c>
      <c r="AM219" s="45">
        <f t="shared" si="170"/>
        <v>96.451865766076494</v>
      </c>
      <c r="AN219" s="45">
        <f t="shared" si="171"/>
        <v>443.97577092511017</v>
      </c>
      <c r="AO219" s="45">
        <f t="shared" si="172"/>
        <v>188.5151490894969</v>
      </c>
      <c r="AP219" s="80">
        <f t="shared" si="173"/>
        <v>2.108991678438676</v>
      </c>
      <c r="AQ219" s="80">
        <f t="shared" si="174"/>
        <v>0.81681776071692014</v>
      </c>
      <c r="AR219" s="80">
        <f t="shared" si="175"/>
        <v>2.0296674998232409</v>
      </c>
      <c r="AS219" s="80">
        <f t="shared" si="176"/>
        <v>1.4132141504187032</v>
      </c>
      <c r="AT219" s="80">
        <f t="shared" si="177"/>
        <v>12.387716822687224</v>
      </c>
      <c r="AU219" s="80">
        <f t="shared" si="178"/>
        <v>4.0126681372817563</v>
      </c>
      <c r="AV219" s="80">
        <f t="shared" si="223"/>
        <v>21.708992903535623</v>
      </c>
      <c r="AW219" s="80">
        <f t="shared" si="224"/>
        <v>10.76782181044738</v>
      </c>
      <c r="AX219" s="80">
        <f t="shared" si="225"/>
        <v>7.7698702541986808</v>
      </c>
      <c r="AY219" s="80">
        <f t="shared" si="226"/>
        <v>5.7754146500538859</v>
      </c>
      <c r="AZ219" s="80">
        <f t="shared" si="227"/>
        <v>39.124838877431984</v>
      </c>
      <c r="BA219" s="80">
        <f t="shared" si="228"/>
        <v>19.945839538835287</v>
      </c>
      <c r="BB219" s="80">
        <f t="shared" si="204"/>
        <v>416.93157092086807</v>
      </c>
      <c r="BC219" s="80">
        <f t="shared" si="205"/>
        <v>148.72499444641477</v>
      </c>
      <c r="BD219" s="80">
        <f t="shared" si="206"/>
        <v>117.14076227297801</v>
      </c>
      <c r="BE219" s="80">
        <f t="shared" si="207"/>
        <v>81.721765646964514</v>
      </c>
      <c r="BF219" s="80">
        <f t="shared" si="208"/>
        <v>540.22616046333508</v>
      </c>
      <c r="BG219" s="80">
        <f t="shared" si="209"/>
        <v>251.252770936991</v>
      </c>
      <c r="BH219" s="49">
        <f t="shared" si="210"/>
        <v>1018.9024844110804</v>
      </c>
      <c r="BI219" s="79">
        <f t="shared" si="211"/>
        <v>-62572.842251164344</v>
      </c>
      <c r="BJ219" s="79">
        <f t="shared" si="179"/>
        <v>72921.532803025737</v>
      </c>
      <c r="BK219" s="44">
        <f t="shared" si="212"/>
        <v>0.16538629506906921</v>
      </c>
      <c r="BL219" s="79">
        <f t="shared" si="229"/>
        <v>4267.3069444615885</v>
      </c>
      <c r="BM219" s="49">
        <f t="shared" si="213"/>
        <v>77188.83974748732</v>
      </c>
      <c r="BN219" s="44">
        <f t="shared" si="214"/>
        <v>0.2335837237128382</v>
      </c>
      <c r="BO219" s="49">
        <f t="shared" si="180"/>
        <v>5136.6888140378805</v>
      </c>
      <c r="BP219" s="49">
        <f t="shared" si="181"/>
        <v>78058.221617063609</v>
      </c>
      <c r="BQ219" s="44">
        <f t="shared" si="182"/>
        <v>0.24747764059912303</v>
      </c>
      <c r="BS219" s="49">
        <f t="shared" si="183"/>
        <v>62572.842251164344</v>
      </c>
      <c r="BT219" s="49">
        <f t="shared" si="230"/>
        <v>64.839995999999999</v>
      </c>
      <c r="BU219" s="49">
        <f t="shared" si="231"/>
        <v>46.98</v>
      </c>
      <c r="BV219" s="49">
        <f t="shared" si="184"/>
        <v>-1018.9024844110804</v>
      </c>
      <c r="BW219" s="18">
        <f t="shared" si="185"/>
        <v>1239</v>
      </c>
      <c r="BX219" s="19">
        <f t="shared" si="215"/>
        <v>0.71582568807339453</v>
      </c>
      <c r="BY219" s="49">
        <f t="shared" si="216"/>
        <v>-729.35657198325282</v>
      </c>
      <c r="BZ219" s="19">
        <f t="shared" si="186"/>
        <v>0</v>
      </c>
      <c r="CA219" s="19">
        <f t="shared" si="187"/>
        <v>0</v>
      </c>
      <c r="CB219" s="19">
        <f t="shared" si="188"/>
        <v>0</v>
      </c>
      <c r="CC219" s="19">
        <f t="shared" si="189"/>
        <v>0</v>
      </c>
      <c r="CD219" s="19">
        <f t="shared" si="190"/>
        <v>0</v>
      </c>
      <c r="CE219" s="19">
        <f t="shared" si="191"/>
        <v>0</v>
      </c>
      <c r="CF219" s="49">
        <f t="shared" si="192"/>
        <v>0</v>
      </c>
      <c r="CG219" s="49">
        <f t="shared" si="193"/>
        <v>0</v>
      </c>
      <c r="CH219" s="49">
        <f t="shared" si="194"/>
        <v>0</v>
      </c>
      <c r="CI219" s="49">
        <f t="shared" si="195"/>
        <v>0</v>
      </c>
      <c r="CJ219" s="49">
        <f t="shared" si="196"/>
        <v>0</v>
      </c>
      <c r="CK219" s="49">
        <f t="shared" si="197"/>
        <v>0</v>
      </c>
    </row>
    <row r="220" spans="2:89" ht="12.75" customHeight="1" x14ac:dyDescent="0.2">
      <c r="B220" s="77">
        <v>40539</v>
      </c>
      <c r="C220" s="49">
        <v>64.930000000000007</v>
      </c>
      <c r="D220" s="49">
        <v>53.330002</v>
      </c>
      <c r="E220" s="49">
        <v>53.009998000000003</v>
      </c>
      <c r="F220" s="49">
        <v>66.860000999999997</v>
      </c>
      <c r="G220" s="49">
        <v>36.150002000000001</v>
      </c>
      <c r="H220" s="49">
        <v>48.150002000000001</v>
      </c>
      <c r="J220" s="78">
        <f>IF(inter=Weekly_2,J219+$C$5,IF(inter=Bi_weekly_2,J218+$C$5,IF(inter=Monthly_2,0,IF(inter=Quarterly_2,0,IF(inter=Yearly_2,0,IF(inter=None_2,0,0))))))</f>
        <v>73400</v>
      </c>
      <c r="K220" s="79">
        <f t="shared" si="198"/>
        <v>-28.198009334599192</v>
      </c>
      <c r="L220" s="79">
        <f t="shared" si="199"/>
        <v>17.256292590486737</v>
      </c>
      <c r="M220" s="79">
        <f t="shared" si="200"/>
        <v>-74.249232826291518</v>
      </c>
      <c r="N220" s="79">
        <f t="shared" si="201"/>
        <v>-60.226896400205987</v>
      </c>
      <c r="O220" s="79">
        <f t="shared" si="202"/>
        <v>-235.18622246696032</v>
      </c>
      <c r="P220" s="79">
        <f t="shared" si="203"/>
        <v>127.42920943506033</v>
      </c>
      <c r="Q220" s="79"/>
      <c r="R220" s="80">
        <f t="shared" si="161"/>
        <v>0.43428321784381935</v>
      </c>
      <c r="S220" s="80">
        <f t="shared" si="162"/>
        <v>-0.32357569741862635</v>
      </c>
      <c r="T220" s="80">
        <f t="shared" si="163"/>
        <v>1.4006646977479893</v>
      </c>
      <c r="U220" s="80">
        <f t="shared" si="164"/>
        <v>0.90079113819047041</v>
      </c>
      <c r="V220" s="80">
        <f t="shared" si="165"/>
        <v>6.5058425852081641</v>
      </c>
      <c r="W220" s="80">
        <f t="shared" si="166"/>
        <v>-2.6465047589210968</v>
      </c>
      <c r="X220" s="80">
        <f t="shared" si="217"/>
        <v>395.65686123517628</v>
      </c>
      <c r="Y220" s="80">
        <f t="shared" si="218"/>
        <v>137.63359693854878</v>
      </c>
      <c r="Z220" s="80">
        <f t="shared" si="219"/>
        <v>110.77155671652731</v>
      </c>
      <c r="AA220" s="80">
        <f t="shared" si="220"/>
        <v>76.847142135101095</v>
      </c>
      <c r="AB220" s="80">
        <f t="shared" si="221"/>
        <v>507.60716417111126</v>
      </c>
      <c r="AC220" s="80">
        <f t="shared" si="222"/>
        <v>228.66042663923463</v>
      </c>
      <c r="AD220" s="80"/>
      <c r="AE220" s="80"/>
      <c r="AF220" s="80"/>
      <c r="AG220" s="80"/>
      <c r="AH220" s="80"/>
      <c r="AI220" s="80"/>
      <c r="AJ220" s="45">
        <f t="shared" si="167"/>
        <v>0</v>
      </c>
      <c r="AK220" s="45">
        <f t="shared" si="168"/>
        <v>0</v>
      </c>
      <c r="AL220" s="45">
        <f t="shared" si="169"/>
        <v>0</v>
      </c>
      <c r="AM220" s="45">
        <f t="shared" si="170"/>
        <v>0</v>
      </c>
      <c r="AN220" s="45">
        <f t="shared" si="171"/>
        <v>0</v>
      </c>
      <c r="AO220" s="45">
        <f t="shared" si="172"/>
        <v>0</v>
      </c>
      <c r="AP220" s="80">
        <f t="shared" si="173"/>
        <v>0</v>
      </c>
      <c r="AQ220" s="80">
        <f t="shared" si="174"/>
        <v>0</v>
      </c>
      <c r="AR220" s="80">
        <f t="shared" si="175"/>
        <v>0</v>
      </c>
      <c r="AS220" s="80">
        <f t="shared" si="176"/>
        <v>0</v>
      </c>
      <c r="AT220" s="80">
        <f t="shared" si="177"/>
        <v>0</v>
      </c>
      <c r="AU220" s="80">
        <f t="shared" si="178"/>
        <v>0</v>
      </c>
      <c r="AV220" s="80">
        <f t="shared" si="223"/>
        <v>21.708992903535623</v>
      </c>
      <c r="AW220" s="80">
        <f t="shared" si="224"/>
        <v>10.76782181044738</v>
      </c>
      <c r="AX220" s="80">
        <f t="shared" si="225"/>
        <v>7.7698702541986808</v>
      </c>
      <c r="AY220" s="80">
        <f t="shared" si="226"/>
        <v>5.7754146500538859</v>
      </c>
      <c r="AZ220" s="80">
        <f t="shared" si="227"/>
        <v>39.124838877431984</v>
      </c>
      <c r="BA220" s="80">
        <f t="shared" si="228"/>
        <v>19.945839538835287</v>
      </c>
      <c r="BB220" s="80">
        <f t="shared" si="204"/>
        <v>417.36585413871188</v>
      </c>
      <c r="BC220" s="80">
        <f t="shared" si="205"/>
        <v>148.40141874899615</v>
      </c>
      <c r="BD220" s="80">
        <f t="shared" si="206"/>
        <v>118.54142697072599</v>
      </c>
      <c r="BE220" s="80">
        <f t="shared" si="207"/>
        <v>82.622556785154984</v>
      </c>
      <c r="BF220" s="80">
        <f t="shared" si="208"/>
        <v>546.73200304854322</v>
      </c>
      <c r="BG220" s="80">
        <f t="shared" si="209"/>
        <v>248.60626617806992</v>
      </c>
      <c r="BH220" s="49">
        <f t="shared" si="210"/>
        <v>0</v>
      </c>
      <c r="BI220" s="79">
        <f t="shared" si="211"/>
        <v>-62826.017110166853</v>
      </c>
      <c r="BJ220" s="79">
        <f t="shared" si="179"/>
        <v>73400</v>
      </c>
      <c r="BK220" s="44">
        <f t="shared" si="212"/>
        <v>0.16830579712368876</v>
      </c>
      <c r="BL220" s="79">
        <f t="shared" si="229"/>
        <v>4267.3069444615885</v>
      </c>
      <c r="BM220" s="49">
        <f t="shared" si="213"/>
        <v>77667.306944461583</v>
      </c>
      <c r="BN220" s="44">
        <f t="shared" si="214"/>
        <v>0.23622840531606815</v>
      </c>
      <c r="BO220" s="49">
        <f t="shared" si="180"/>
        <v>5156.5931211821626</v>
      </c>
      <c r="BP220" s="49">
        <f t="shared" si="181"/>
        <v>78556.593121182159</v>
      </c>
      <c r="BQ220" s="44">
        <f t="shared" si="182"/>
        <v>0.25038314912485027</v>
      </c>
      <c r="BS220" s="49">
        <f t="shared" si="183"/>
        <v>62826.017110166853</v>
      </c>
      <c r="BT220" s="49">
        <f t="shared" si="230"/>
        <v>64.930000000000007</v>
      </c>
      <c r="BU220" s="49">
        <f t="shared" si="231"/>
        <v>48.150002000000001</v>
      </c>
      <c r="BV220" s="49">
        <f t="shared" si="184"/>
        <v>253.17485900250995</v>
      </c>
      <c r="BW220" s="18">
        <f t="shared" si="185"/>
        <v>1246</v>
      </c>
      <c r="BX220" s="19">
        <f t="shared" si="215"/>
        <v>0.7142201834862385</v>
      </c>
      <c r="BY220" s="49">
        <f t="shared" si="216"/>
        <v>180.82259425087523</v>
      </c>
      <c r="BZ220" s="19">
        <f t="shared" si="186"/>
        <v>0.43428321784381935</v>
      </c>
      <c r="CA220" s="19">
        <f t="shared" si="187"/>
        <v>0</v>
      </c>
      <c r="CB220" s="19">
        <f t="shared" si="188"/>
        <v>1.4006646977479893</v>
      </c>
      <c r="CC220" s="19">
        <f t="shared" si="189"/>
        <v>0.90079113819047041</v>
      </c>
      <c r="CD220" s="19">
        <f t="shared" si="190"/>
        <v>6.5058425852081641</v>
      </c>
      <c r="CE220" s="19">
        <f t="shared" si="191"/>
        <v>0</v>
      </c>
      <c r="CF220" s="49">
        <f t="shared" si="192"/>
        <v>-28.198009334599192</v>
      </c>
      <c r="CG220" s="49">
        <f t="shared" si="193"/>
        <v>0</v>
      </c>
      <c r="CH220" s="49">
        <f t="shared" si="194"/>
        <v>-74.249232826291518</v>
      </c>
      <c r="CI220" s="49">
        <f t="shared" si="195"/>
        <v>-60.226896400205987</v>
      </c>
      <c r="CJ220" s="49">
        <f t="shared" si="196"/>
        <v>-235.18622246696032</v>
      </c>
      <c r="CK220" s="49">
        <f t="shared" si="197"/>
        <v>0</v>
      </c>
    </row>
    <row r="221" spans="2:89" ht="12.75" customHeight="1" x14ac:dyDescent="0.2">
      <c r="B221" s="77">
        <v>40546</v>
      </c>
      <c r="C221" s="49">
        <v>65.529999000000004</v>
      </c>
      <c r="D221" s="49">
        <v>54</v>
      </c>
      <c r="E221" s="49">
        <v>53.32</v>
      </c>
      <c r="F221" s="49">
        <v>67.010002</v>
      </c>
      <c r="G221" s="49">
        <v>35.689999</v>
      </c>
      <c r="H221" s="49">
        <v>47.75</v>
      </c>
      <c r="J221" s="78">
        <f>IF(inter=Weekly_2,J220+$C$5,IF(inter=Bi_weekly_2,0,IF(inter=Monthly_2,0,IF(inter=Quarterly_2,0,IF(inter=Yearly_2,0,IF(inter=None_2,0,0))))))</f>
        <v>0</v>
      </c>
      <c r="K221" s="79">
        <f t="shared" si="198"/>
        <v>0</v>
      </c>
      <c r="L221" s="79">
        <f t="shared" si="199"/>
        <v>0</v>
      </c>
      <c r="M221" s="79">
        <f t="shared" si="200"/>
        <v>0</v>
      </c>
      <c r="N221" s="79">
        <f t="shared" si="201"/>
        <v>0</v>
      </c>
      <c r="O221" s="79">
        <f t="shared" si="202"/>
        <v>0</v>
      </c>
      <c r="P221" s="79">
        <f t="shared" si="203"/>
        <v>0</v>
      </c>
      <c r="Q221" s="79"/>
      <c r="R221" s="80">
        <f t="shared" si="161"/>
        <v>0</v>
      </c>
      <c r="S221" s="80">
        <f t="shared" si="162"/>
        <v>0</v>
      </c>
      <c r="T221" s="80">
        <f t="shared" si="163"/>
        <v>0</v>
      </c>
      <c r="U221" s="80">
        <f t="shared" si="164"/>
        <v>0</v>
      </c>
      <c r="V221" s="80">
        <f t="shared" si="165"/>
        <v>0</v>
      </c>
      <c r="W221" s="80">
        <f t="shared" si="166"/>
        <v>0</v>
      </c>
      <c r="X221" s="80">
        <f t="shared" si="217"/>
        <v>395.65686123517628</v>
      </c>
      <c r="Y221" s="80">
        <f t="shared" si="218"/>
        <v>137.63359693854878</v>
      </c>
      <c r="Z221" s="80">
        <f t="shared" si="219"/>
        <v>110.77155671652731</v>
      </c>
      <c r="AA221" s="80">
        <f t="shared" si="220"/>
        <v>76.847142135101095</v>
      </c>
      <c r="AB221" s="80">
        <f t="shared" si="221"/>
        <v>507.60716417111126</v>
      </c>
      <c r="AC221" s="80">
        <f t="shared" si="222"/>
        <v>228.66042663923463</v>
      </c>
      <c r="AD221" s="80"/>
      <c r="AE221" s="80"/>
      <c r="AF221" s="80"/>
      <c r="AG221" s="80"/>
      <c r="AH221" s="80"/>
      <c r="AI221" s="80"/>
      <c r="AJ221" s="45">
        <f t="shared" si="167"/>
        <v>0</v>
      </c>
      <c r="AK221" s="45">
        <f t="shared" si="168"/>
        <v>0</v>
      </c>
      <c r="AL221" s="45">
        <f t="shared" si="169"/>
        <v>0</v>
      </c>
      <c r="AM221" s="45">
        <f t="shared" si="170"/>
        <v>0</v>
      </c>
      <c r="AN221" s="45">
        <f t="shared" si="171"/>
        <v>0</v>
      </c>
      <c r="AO221" s="45">
        <f t="shared" si="172"/>
        <v>0</v>
      </c>
      <c r="AP221" s="80">
        <f t="shared" si="173"/>
        <v>0</v>
      </c>
      <c r="AQ221" s="80">
        <f t="shared" si="174"/>
        <v>0</v>
      </c>
      <c r="AR221" s="80">
        <f t="shared" si="175"/>
        <v>0</v>
      </c>
      <c r="AS221" s="80">
        <f t="shared" si="176"/>
        <v>0</v>
      </c>
      <c r="AT221" s="80">
        <f t="shared" si="177"/>
        <v>0</v>
      </c>
      <c r="AU221" s="80">
        <f t="shared" si="178"/>
        <v>0</v>
      </c>
      <c r="AV221" s="80">
        <f t="shared" si="223"/>
        <v>21.708992903535623</v>
      </c>
      <c r="AW221" s="80">
        <f t="shared" si="224"/>
        <v>10.76782181044738</v>
      </c>
      <c r="AX221" s="80">
        <f t="shared" si="225"/>
        <v>7.7698702541986808</v>
      </c>
      <c r="AY221" s="80">
        <f t="shared" si="226"/>
        <v>5.7754146500538859</v>
      </c>
      <c r="AZ221" s="80">
        <f t="shared" si="227"/>
        <v>39.124838877431984</v>
      </c>
      <c r="BA221" s="80">
        <f t="shared" si="228"/>
        <v>19.945839538835287</v>
      </c>
      <c r="BB221" s="80">
        <f t="shared" si="204"/>
        <v>417.36585413871188</v>
      </c>
      <c r="BC221" s="80">
        <f t="shared" si="205"/>
        <v>148.40141874899615</v>
      </c>
      <c r="BD221" s="80">
        <f t="shared" si="206"/>
        <v>118.54142697072599</v>
      </c>
      <c r="BE221" s="80">
        <f t="shared" si="207"/>
        <v>82.622556785154984</v>
      </c>
      <c r="BF221" s="80">
        <f t="shared" si="208"/>
        <v>546.73200304854322</v>
      </c>
      <c r="BG221" s="80">
        <f t="shared" si="209"/>
        <v>248.60626617806992</v>
      </c>
      <c r="BH221" s="49">
        <f t="shared" si="210"/>
        <v>0</v>
      </c>
      <c r="BI221" s="79">
        <f t="shared" si="211"/>
        <v>-62826.017110166853</v>
      </c>
      <c r="BJ221" s="79">
        <f t="shared" si="179"/>
        <v>73450.509061741774</v>
      </c>
      <c r="BK221" s="44">
        <f t="shared" si="212"/>
        <v>0.16910974848118476</v>
      </c>
      <c r="BL221" s="79">
        <f t="shared" si="229"/>
        <v>4267.3069444615885</v>
      </c>
      <c r="BM221" s="49">
        <f t="shared" si="213"/>
        <v>77717.816006203357</v>
      </c>
      <c r="BN221" s="44">
        <f t="shared" si="214"/>
        <v>0.23703235667356393</v>
      </c>
      <c r="BO221" s="49">
        <f t="shared" si="180"/>
        <v>5154.131988618763</v>
      </c>
      <c r="BP221" s="49">
        <f t="shared" si="181"/>
        <v>78604.641050360544</v>
      </c>
      <c r="BQ221" s="44">
        <f t="shared" si="182"/>
        <v>0.25114792670249186</v>
      </c>
      <c r="BS221" s="49">
        <f t="shared" si="183"/>
        <v>62826.017110166853</v>
      </c>
      <c r="BT221" s="49">
        <f t="shared" si="230"/>
        <v>65.529999000000004</v>
      </c>
      <c r="BU221" s="49">
        <f t="shared" si="231"/>
        <v>47.75</v>
      </c>
      <c r="BV221" s="49">
        <f t="shared" si="184"/>
        <v>0</v>
      </c>
      <c r="BW221" s="18">
        <f t="shared" si="185"/>
        <v>1253</v>
      </c>
      <c r="BX221" s="19">
        <f t="shared" si="215"/>
        <v>0.71261467889908259</v>
      </c>
      <c r="BY221" s="49">
        <f t="shared" si="216"/>
        <v>0</v>
      </c>
      <c r="BZ221" s="19">
        <f t="shared" si="186"/>
        <v>0</v>
      </c>
      <c r="CA221" s="19">
        <f t="shared" si="187"/>
        <v>0</v>
      </c>
      <c r="CB221" s="19">
        <f t="shared" si="188"/>
        <v>0</v>
      </c>
      <c r="CC221" s="19">
        <f t="shared" si="189"/>
        <v>0</v>
      </c>
      <c r="CD221" s="19">
        <f t="shared" si="190"/>
        <v>0</v>
      </c>
      <c r="CE221" s="19">
        <f t="shared" si="191"/>
        <v>0</v>
      </c>
      <c r="CF221" s="49">
        <f t="shared" si="192"/>
        <v>0</v>
      </c>
      <c r="CG221" s="49">
        <f t="shared" si="193"/>
        <v>0</v>
      </c>
      <c r="CH221" s="49">
        <f t="shared" si="194"/>
        <v>0</v>
      </c>
      <c r="CI221" s="49">
        <f t="shared" si="195"/>
        <v>0</v>
      </c>
      <c r="CJ221" s="49">
        <f t="shared" si="196"/>
        <v>0</v>
      </c>
      <c r="CK221" s="49">
        <f t="shared" si="197"/>
        <v>0</v>
      </c>
    </row>
    <row r="222" spans="2:89" ht="12.75" customHeight="1" x14ac:dyDescent="0.2">
      <c r="B222" s="77">
        <v>40553</v>
      </c>
      <c r="C222" s="49">
        <v>66.760002</v>
      </c>
      <c r="D222" s="49">
        <v>54.900002000000001</v>
      </c>
      <c r="E222" s="49">
        <v>54.369999</v>
      </c>
      <c r="F222" s="49">
        <v>68.519997000000004</v>
      </c>
      <c r="G222" s="49">
        <v>36.939999</v>
      </c>
      <c r="H222" s="49">
        <v>48.459999000000003</v>
      </c>
      <c r="J222" s="78">
        <f>IF(inter=Weekly_2,J221+$C$5,IF(inter=Bi_weekly_2,J220+$C$5,IF(inter=Monthly_2,J218+$C$5,IF(inter=Quarterly_2,0,IF(inter=Yearly_2,0,IF(inter=None_2,0,0))))))</f>
        <v>74000</v>
      </c>
      <c r="K222" s="79">
        <f t="shared" si="198"/>
        <v>514.05284737409238</v>
      </c>
      <c r="L222" s="79">
        <f t="shared" si="199"/>
        <v>156.08474719352216</v>
      </c>
      <c r="M222" s="79">
        <f t="shared" si="200"/>
        <v>102.64942790603345</v>
      </c>
      <c r="N222" s="79">
        <f t="shared" si="201"/>
        <v>85.565948555699833</v>
      </c>
      <c r="O222" s="79">
        <f t="shared" si="202"/>
        <v>251.00813687368645</v>
      </c>
      <c r="P222" s="79">
        <f t="shared" si="203"/>
        <v>-19.115953723116036</v>
      </c>
      <c r="Q222" s="79"/>
      <c r="R222" s="80">
        <f t="shared" si="161"/>
        <v>-7.7000124621639818</v>
      </c>
      <c r="S222" s="80">
        <f t="shared" si="162"/>
        <v>-2.8430736157991792</v>
      </c>
      <c r="T222" s="80">
        <f t="shared" si="163"/>
        <v>-1.8879792126910551</v>
      </c>
      <c r="U222" s="80">
        <f t="shared" si="164"/>
        <v>-1.2487733844427902</v>
      </c>
      <c r="V222" s="80">
        <f t="shared" si="165"/>
        <v>-6.7950228388930505</v>
      </c>
      <c r="W222" s="80">
        <f t="shared" si="166"/>
        <v>0.39446871889361851</v>
      </c>
      <c r="X222" s="80">
        <f t="shared" si="217"/>
        <v>387.95684877301233</v>
      </c>
      <c r="Y222" s="80">
        <f t="shared" si="218"/>
        <v>134.79052332274961</v>
      </c>
      <c r="Z222" s="80">
        <f t="shared" si="219"/>
        <v>108.88357750383626</v>
      </c>
      <c r="AA222" s="80">
        <f t="shared" si="220"/>
        <v>75.59836875065831</v>
      </c>
      <c r="AB222" s="80">
        <f t="shared" si="221"/>
        <v>500.81214133221823</v>
      </c>
      <c r="AC222" s="80">
        <f t="shared" si="222"/>
        <v>229.05489535812825</v>
      </c>
      <c r="AD222" s="80"/>
      <c r="AE222" s="80"/>
      <c r="AF222" s="80"/>
      <c r="AG222" s="80"/>
      <c r="AH222" s="80"/>
      <c r="AI222" s="80"/>
      <c r="AJ222" s="45">
        <f t="shared" si="167"/>
        <v>0</v>
      </c>
      <c r="AK222" s="45">
        <f t="shared" si="168"/>
        <v>0</v>
      </c>
      <c r="AL222" s="45">
        <f t="shared" si="169"/>
        <v>0</v>
      </c>
      <c r="AM222" s="45">
        <f t="shared" si="170"/>
        <v>0</v>
      </c>
      <c r="AN222" s="45">
        <f t="shared" si="171"/>
        <v>0</v>
      </c>
      <c r="AO222" s="45">
        <f t="shared" si="172"/>
        <v>0</v>
      </c>
      <c r="AP222" s="80">
        <f t="shared" si="173"/>
        <v>0</v>
      </c>
      <c r="AQ222" s="80">
        <f t="shared" si="174"/>
        <v>0</v>
      </c>
      <c r="AR222" s="80">
        <f t="shared" si="175"/>
        <v>0</v>
      </c>
      <c r="AS222" s="80">
        <f t="shared" si="176"/>
        <v>0</v>
      </c>
      <c r="AT222" s="80">
        <f t="shared" si="177"/>
        <v>0</v>
      </c>
      <c r="AU222" s="80">
        <f t="shared" si="178"/>
        <v>0</v>
      </c>
      <c r="AV222" s="80">
        <f t="shared" si="223"/>
        <v>21.708992903535623</v>
      </c>
      <c r="AW222" s="80">
        <f t="shared" si="224"/>
        <v>10.76782181044738</v>
      </c>
      <c r="AX222" s="80">
        <f t="shared" si="225"/>
        <v>7.7698702541986808</v>
      </c>
      <c r="AY222" s="80">
        <f t="shared" si="226"/>
        <v>5.7754146500538859</v>
      </c>
      <c r="AZ222" s="80">
        <f t="shared" si="227"/>
        <v>39.124838877431984</v>
      </c>
      <c r="BA222" s="80">
        <f t="shared" si="228"/>
        <v>19.945839538835287</v>
      </c>
      <c r="BB222" s="80">
        <f t="shared" si="204"/>
        <v>409.66584167654793</v>
      </c>
      <c r="BC222" s="80">
        <f t="shared" si="205"/>
        <v>145.55834513319698</v>
      </c>
      <c r="BD222" s="80">
        <f t="shared" si="206"/>
        <v>116.65344775803494</v>
      </c>
      <c r="BE222" s="80">
        <f t="shared" si="207"/>
        <v>81.373783400712199</v>
      </c>
      <c r="BF222" s="80">
        <f t="shared" si="208"/>
        <v>539.93698020965019</v>
      </c>
      <c r="BG222" s="80">
        <f t="shared" si="209"/>
        <v>249.00073489696354</v>
      </c>
      <c r="BH222" s="49">
        <f t="shared" si="210"/>
        <v>0</v>
      </c>
      <c r="BI222" s="79">
        <f t="shared" si="211"/>
        <v>-61735.771955986937</v>
      </c>
      <c r="BJ222" s="79">
        <f t="shared" si="179"/>
        <v>74000</v>
      </c>
      <c r="BK222" s="44">
        <f t="shared" si="212"/>
        <v>0.19865675370118563</v>
      </c>
      <c r="BL222" s="79">
        <f t="shared" si="229"/>
        <v>4267.3069444615885</v>
      </c>
      <c r="BM222" s="49">
        <f t="shared" si="213"/>
        <v>78267.306944461583</v>
      </c>
      <c r="BN222" s="44">
        <f t="shared" si="214"/>
        <v>0.26777886571598097</v>
      </c>
      <c r="BO222" s="49">
        <f t="shared" si="180"/>
        <v>5270.4719541472059</v>
      </c>
      <c r="BP222" s="49">
        <f t="shared" si="181"/>
        <v>79270.4719541472</v>
      </c>
      <c r="BQ222" s="44">
        <f t="shared" si="182"/>
        <v>0.2840281969853915</v>
      </c>
      <c r="BS222" s="49">
        <f t="shared" si="183"/>
        <v>61735.771955986937</v>
      </c>
      <c r="BT222" s="49">
        <f t="shared" si="230"/>
        <v>66.760002</v>
      </c>
      <c r="BU222" s="49">
        <f t="shared" si="231"/>
        <v>48.459999000000003</v>
      </c>
      <c r="BV222" s="49">
        <f t="shared" si="184"/>
        <v>-1090.2451541799182</v>
      </c>
      <c r="BW222" s="18">
        <f t="shared" si="185"/>
        <v>1260</v>
      </c>
      <c r="BX222" s="19">
        <f t="shared" si="215"/>
        <v>0.71100917431192656</v>
      </c>
      <c r="BY222" s="49">
        <f t="shared" si="216"/>
        <v>-775.17430687104275</v>
      </c>
      <c r="BZ222" s="19">
        <f t="shared" si="186"/>
        <v>0</v>
      </c>
      <c r="CA222" s="19">
        <f t="shared" si="187"/>
        <v>0</v>
      </c>
      <c r="CB222" s="19">
        <f t="shared" si="188"/>
        <v>0</v>
      </c>
      <c r="CC222" s="19">
        <f t="shared" si="189"/>
        <v>0</v>
      </c>
      <c r="CD222" s="19">
        <f t="shared" si="190"/>
        <v>0</v>
      </c>
      <c r="CE222" s="19">
        <f t="shared" si="191"/>
        <v>0.39446871889361851</v>
      </c>
      <c r="CF222" s="49">
        <f t="shared" si="192"/>
        <v>0</v>
      </c>
      <c r="CG222" s="49">
        <f t="shared" si="193"/>
        <v>0</v>
      </c>
      <c r="CH222" s="49">
        <f t="shared" si="194"/>
        <v>0</v>
      </c>
      <c r="CI222" s="49">
        <f t="shared" si="195"/>
        <v>0</v>
      </c>
      <c r="CJ222" s="49">
        <f t="shared" si="196"/>
        <v>0</v>
      </c>
      <c r="CK222" s="49">
        <f t="shared" si="197"/>
        <v>-19.115953723116036</v>
      </c>
    </row>
    <row r="223" spans="2:89" ht="12.75" customHeight="1" x14ac:dyDescent="0.2">
      <c r="B223" s="77">
        <v>40561</v>
      </c>
      <c r="C223" s="49">
        <v>66.040001000000004</v>
      </c>
      <c r="D223" s="49">
        <v>54.720001000000003</v>
      </c>
      <c r="E223" s="49">
        <v>53.630001</v>
      </c>
      <c r="F223" s="49">
        <v>66.559997999999993</v>
      </c>
      <c r="G223" s="49">
        <v>36.869999</v>
      </c>
      <c r="H223" s="49">
        <v>47.16</v>
      </c>
      <c r="J223" s="78">
        <f>IF(inter=Weekly_2,J222+$C$5,IF(inter=Bi_weekly_2,0,IF(inter=Monthly_2,0,IF(inter=Quarterly_2,0,IF(inter=Yearly_2,0,IF(inter=None_2,0,0))))))</f>
        <v>0</v>
      </c>
      <c r="K223" s="79">
        <f t="shared" si="198"/>
        <v>0</v>
      </c>
      <c r="L223" s="79">
        <f t="shared" si="199"/>
        <v>0</v>
      </c>
      <c r="M223" s="79">
        <f t="shared" si="200"/>
        <v>0</v>
      </c>
      <c r="N223" s="79">
        <f t="shared" si="201"/>
        <v>0</v>
      </c>
      <c r="O223" s="79">
        <f t="shared" si="202"/>
        <v>0</v>
      </c>
      <c r="P223" s="79">
        <f t="shared" si="203"/>
        <v>0</v>
      </c>
      <c r="Q223" s="79"/>
      <c r="R223" s="80">
        <f t="shared" si="161"/>
        <v>0</v>
      </c>
      <c r="S223" s="80">
        <f t="shared" si="162"/>
        <v>0</v>
      </c>
      <c r="T223" s="80">
        <f t="shared" si="163"/>
        <v>0</v>
      </c>
      <c r="U223" s="80">
        <f t="shared" si="164"/>
        <v>0</v>
      </c>
      <c r="V223" s="80">
        <f t="shared" si="165"/>
        <v>0</v>
      </c>
      <c r="W223" s="80">
        <f t="shared" si="166"/>
        <v>0</v>
      </c>
      <c r="X223" s="80">
        <f t="shared" si="217"/>
        <v>387.95684877301233</v>
      </c>
      <c r="Y223" s="80">
        <f t="shared" si="218"/>
        <v>134.79052332274961</v>
      </c>
      <c r="Z223" s="80">
        <f t="shared" si="219"/>
        <v>108.88357750383626</v>
      </c>
      <c r="AA223" s="80">
        <f t="shared" si="220"/>
        <v>75.59836875065831</v>
      </c>
      <c r="AB223" s="80">
        <f t="shared" si="221"/>
        <v>500.81214133221823</v>
      </c>
      <c r="AC223" s="80">
        <f t="shared" si="222"/>
        <v>229.05489535812825</v>
      </c>
      <c r="AD223" s="80"/>
      <c r="AE223" s="80"/>
      <c r="AF223" s="80"/>
      <c r="AG223" s="80"/>
      <c r="AH223" s="80"/>
      <c r="AI223" s="80"/>
      <c r="AJ223" s="45">
        <f t="shared" si="167"/>
        <v>0</v>
      </c>
      <c r="AK223" s="45">
        <f t="shared" si="168"/>
        <v>0</v>
      </c>
      <c r="AL223" s="45">
        <f t="shared" si="169"/>
        <v>0</v>
      </c>
      <c r="AM223" s="45">
        <f t="shared" si="170"/>
        <v>0</v>
      </c>
      <c r="AN223" s="45">
        <f t="shared" si="171"/>
        <v>0</v>
      </c>
      <c r="AO223" s="45">
        <f t="shared" si="172"/>
        <v>0</v>
      </c>
      <c r="AP223" s="80">
        <f t="shared" si="173"/>
        <v>0</v>
      </c>
      <c r="AQ223" s="80">
        <f t="shared" si="174"/>
        <v>0</v>
      </c>
      <c r="AR223" s="80">
        <f t="shared" si="175"/>
        <v>0</v>
      </c>
      <c r="AS223" s="80">
        <f t="shared" si="176"/>
        <v>0</v>
      </c>
      <c r="AT223" s="80">
        <f t="shared" si="177"/>
        <v>0</v>
      </c>
      <c r="AU223" s="80">
        <f t="shared" si="178"/>
        <v>0</v>
      </c>
      <c r="AV223" s="80">
        <f t="shared" si="223"/>
        <v>21.708992903535623</v>
      </c>
      <c r="AW223" s="80">
        <f t="shared" si="224"/>
        <v>10.76782181044738</v>
      </c>
      <c r="AX223" s="80">
        <f t="shared" si="225"/>
        <v>7.7698702541986808</v>
      </c>
      <c r="AY223" s="80">
        <f t="shared" si="226"/>
        <v>5.7754146500538859</v>
      </c>
      <c r="AZ223" s="80">
        <f t="shared" si="227"/>
        <v>39.124838877431984</v>
      </c>
      <c r="BA223" s="80">
        <f t="shared" si="228"/>
        <v>19.945839538835287</v>
      </c>
      <c r="BB223" s="80">
        <f t="shared" si="204"/>
        <v>409.66584167654793</v>
      </c>
      <c r="BC223" s="80">
        <f t="shared" si="205"/>
        <v>145.55834513319698</v>
      </c>
      <c r="BD223" s="80">
        <f t="shared" si="206"/>
        <v>116.65344775803494</v>
      </c>
      <c r="BE223" s="80">
        <f t="shared" si="207"/>
        <v>81.373783400712199</v>
      </c>
      <c r="BF223" s="80">
        <f t="shared" si="208"/>
        <v>539.93698020965019</v>
      </c>
      <c r="BG223" s="80">
        <f t="shared" si="209"/>
        <v>249.00073489696354</v>
      </c>
      <c r="BH223" s="49">
        <f t="shared" si="210"/>
        <v>0</v>
      </c>
      <c r="BI223" s="79">
        <f t="shared" si="211"/>
        <v>-61735.771955986937</v>
      </c>
      <c r="BJ223" s="79">
        <f t="shared" si="179"/>
        <v>73134.833910395435</v>
      </c>
      <c r="BK223" s="44">
        <f t="shared" si="212"/>
        <v>0.18464273780418905</v>
      </c>
      <c r="BL223" s="79">
        <f t="shared" si="229"/>
        <v>4267.3069444615885</v>
      </c>
      <c r="BM223" s="49">
        <f t="shared" si="213"/>
        <v>77402.140854857018</v>
      </c>
      <c r="BN223" s="44">
        <f t="shared" si="214"/>
        <v>0.25376484981898417</v>
      </c>
      <c r="BO223" s="49">
        <f t="shared" si="180"/>
        <v>5207.165433290842</v>
      </c>
      <c r="BP223" s="49">
        <f t="shared" si="181"/>
        <v>78341.999343686271</v>
      </c>
      <c r="BQ223" s="44">
        <f t="shared" si="182"/>
        <v>0.26898873799680278</v>
      </c>
      <c r="BS223" s="49">
        <f t="shared" si="183"/>
        <v>61735.771955986937</v>
      </c>
      <c r="BT223" s="49">
        <f t="shared" si="230"/>
        <v>66.040001000000004</v>
      </c>
      <c r="BU223" s="49">
        <f t="shared" si="231"/>
        <v>47.16</v>
      </c>
      <c r="BV223" s="49">
        <f t="shared" si="184"/>
        <v>0</v>
      </c>
      <c r="BW223" s="18">
        <f t="shared" si="185"/>
        <v>1268</v>
      </c>
      <c r="BX223" s="19">
        <f t="shared" si="215"/>
        <v>0.70917431192660552</v>
      </c>
      <c r="BY223" s="49">
        <f t="shared" si="216"/>
        <v>0</v>
      </c>
      <c r="BZ223" s="19">
        <f t="shared" si="186"/>
        <v>0</v>
      </c>
      <c r="CA223" s="19">
        <f t="shared" si="187"/>
        <v>0</v>
      </c>
      <c r="CB223" s="19">
        <f t="shared" si="188"/>
        <v>0</v>
      </c>
      <c r="CC223" s="19">
        <f t="shared" si="189"/>
        <v>0</v>
      </c>
      <c r="CD223" s="19">
        <f t="shared" si="190"/>
        <v>0</v>
      </c>
      <c r="CE223" s="19">
        <f t="shared" si="191"/>
        <v>0</v>
      </c>
      <c r="CF223" s="49">
        <f t="shared" si="192"/>
        <v>0</v>
      </c>
      <c r="CG223" s="49">
        <f t="shared" si="193"/>
        <v>0</v>
      </c>
      <c r="CH223" s="49">
        <f t="shared" si="194"/>
        <v>0</v>
      </c>
      <c r="CI223" s="49">
        <f t="shared" si="195"/>
        <v>0</v>
      </c>
      <c r="CJ223" s="49">
        <f t="shared" si="196"/>
        <v>0</v>
      </c>
      <c r="CK223" s="49">
        <f t="shared" si="197"/>
        <v>0</v>
      </c>
    </row>
    <row r="224" spans="2:89" ht="12.75" customHeight="1" x14ac:dyDescent="0.2">
      <c r="B224" s="77">
        <v>40567</v>
      </c>
      <c r="C224" s="49">
        <v>65.830001999999993</v>
      </c>
      <c r="D224" s="49">
        <v>54.43</v>
      </c>
      <c r="E224" s="49">
        <v>53.91</v>
      </c>
      <c r="F224" s="49">
        <v>66.919998000000007</v>
      </c>
      <c r="G224" s="49">
        <v>36.580002</v>
      </c>
      <c r="H224" s="49">
        <v>46.009998000000003</v>
      </c>
      <c r="J224" s="78">
        <f>IF(inter=Weekly_2,J223+$C$5,IF(inter=Bi_weekly_2,J222+$C$5,IF(inter=Monthly_2,0,IF(inter=Quarterly_2,J211+$C$5,IF(inter=Yearly_2,0,IF(inter=None_2,0,0))))))</f>
        <v>74600</v>
      </c>
      <c r="K224" s="79">
        <f t="shared" si="198"/>
        <v>-570.79986935890338</v>
      </c>
      <c r="L224" s="79">
        <f t="shared" si="199"/>
        <v>-123.35181554273913</v>
      </c>
      <c r="M224" s="79">
        <f t="shared" si="200"/>
        <v>-98.086336768187721</v>
      </c>
      <c r="N224" s="79">
        <f t="shared" si="201"/>
        <v>-162.95731440268355</v>
      </c>
      <c r="O224" s="79">
        <f t="shared" si="202"/>
        <v>-330.29086844317499</v>
      </c>
      <c r="P224" s="79">
        <f t="shared" si="203"/>
        <v>-651.18472268231017</v>
      </c>
      <c r="Q224" s="79"/>
      <c r="R224" s="80">
        <f t="shared" si="161"/>
        <v>8.6708165276814579</v>
      </c>
      <c r="S224" s="80">
        <f t="shared" si="162"/>
        <v>2.266246840763166</v>
      </c>
      <c r="T224" s="80">
        <f t="shared" si="163"/>
        <v>1.8194460539452371</v>
      </c>
      <c r="U224" s="80">
        <f t="shared" si="164"/>
        <v>2.4351063848310863</v>
      </c>
      <c r="V224" s="80">
        <f t="shared" si="165"/>
        <v>9.0292742040630554</v>
      </c>
      <c r="W224" s="80">
        <f t="shared" si="166"/>
        <v>14.153113475082311</v>
      </c>
      <c r="X224" s="80">
        <f t="shared" si="217"/>
        <v>396.62766530069376</v>
      </c>
      <c r="Y224" s="80">
        <f t="shared" si="218"/>
        <v>137.05677016351277</v>
      </c>
      <c r="Z224" s="80">
        <f t="shared" si="219"/>
        <v>110.70302355778151</v>
      </c>
      <c r="AA224" s="80">
        <f t="shared" si="220"/>
        <v>78.033475135489397</v>
      </c>
      <c r="AB224" s="80">
        <f t="shared" si="221"/>
        <v>509.84141553628126</v>
      </c>
      <c r="AC224" s="80">
        <f t="shared" si="222"/>
        <v>243.20800883321056</v>
      </c>
      <c r="AD224" s="80"/>
      <c r="AE224" s="80"/>
      <c r="AF224" s="80"/>
      <c r="AG224" s="80"/>
      <c r="AH224" s="80"/>
      <c r="AI224" s="80"/>
      <c r="AJ224" s="45">
        <f t="shared" si="167"/>
        <v>0</v>
      </c>
      <c r="AK224" s="45">
        <f t="shared" si="168"/>
        <v>0</v>
      </c>
      <c r="AL224" s="45">
        <f t="shared" si="169"/>
        <v>0</v>
      </c>
      <c r="AM224" s="45">
        <f t="shared" si="170"/>
        <v>0</v>
      </c>
      <c r="AN224" s="45">
        <f t="shared" si="171"/>
        <v>0</v>
      </c>
      <c r="AO224" s="45">
        <f t="shared" si="172"/>
        <v>0</v>
      </c>
      <c r="AP224" s="80">
        <f t="shared" si="173"/>
        <v>0</v>
      </c>
      <c r="AQ224" s="80">
        <f t="shared" si="174"/>
        <v>0</v>
      </c>
      <c r="AR224" s="80">
        <f t="shared" si="175"/>
        <v>0</v>
      </c>
      <c r="AS224" s="80">
        <f t="shared" si="176"/>
        <v>0</v>
      </c>
      <c r="AT224" s="80">
        <f t="shared" si="177"/>
        <v>0</v>
      </c>
      <c r="AU224" s="80">
        <f t="shared" si="178"/>
        <v>0</v>
      </c>
      <c r="AV224" s="80">
        <f t="shared" si="223"/>
        <v>21.708992903535623</v>
      </c>
      <c r="AW224" s="80">
        <f t="shared" si="224"/>
        <v>10.76782181044738</v>
      </c>
      <c r="AX224" s="80">
        <f t="shared" si="225"/>
        <v>7.7698702541986808</v>
      </c>
      <c r="AY224" s="80">
        <f t="shared" si="226"/>
        <v>5.7754146500538859</v>
      </c>
      <c r="AZ224" s="80">
        <f t="shared" si="227"/>
        <v>39.124838877431984</v>
      </c>
      <c r="BA224" s="80">
        <f t="shared" si="228"/>
        <v>19.945839538835287</v>
      </c>
      <c r="BB224" s="80">
        <f t="shared" si="204"/>
        <v>418.33665820422937</v>
      </c>
      <c r="BC224" s="80">
        <f t="shared" si="205"/>
        <v>147.82459197396014</v>
      </c>
      <c r="BD224" s="80">
        <f t="shared" si="206"/>
        <v>118.47289381198019</v>
      </c>
      <c r="BE224" s="80">
        <f t="shared" si="207"/>
        <v>83.808889785543286</v>
      </c>
      <c r="BF224" s="80">
        <f t="shared" si="208"/>
        <v>548.96625441371327</v>
      </c>
      <c r="BG224" s="80">
        <f t="shared" si="209"/>
        <v>263.15384837204584</v>
      </c>
      <c r="BH224" s="49">
        <f t="shared" si="210"/>
        <v>0</v>
      </c>
      <c r="BI224" s="79">
        <f t="shared" si="211"/>
        <v>-63672.442883184929</v>
      </c>
      <c r="BJ224" s="79">
        <f t="shared" si="179"/>
        <v>74600</v>
      </c>
      <c r="BK224" s="44">
        <f t="shared" si="212"/>
        <v>0.17162145226409864</v>
      </c>
      <c r="BL224" s="79">
        <f t="shared" si="229"/>
        <v>4267.3069444615885</v>
      </c>
      <c r="BM224" s="49">
        <f t="shared" si="213"/>
        <v>78867.306944461583</v>
      </c>
      <c r="BN224" s="44">
        <f t="shared" si="214"/>
        <v>0.23864113536767451</v>
      </c>
      <c r="BO224" s="49">
        <f t="shared" si="180"/>
        <v>5169.4547513112866</v>
      </c>
      <c r="BP224" s="49">
        <f t="shared" si="181"/>
        <v>79769.454751311278</v>
      </c>
      <c r="BQ224" s="44">
        <f t="shared" si="182"/>
        <v>0.25280971075129521</v>
      </c>
      <c r="BS224" s="49">
        <f t="shared" si="183"/>
        <v>63672.442883184929</v>
      </c>
      <c r="BT224" s="49">
        <f t="shared" si="230"/>
        <v>65.830001999999993</v>
      </c>
      <c r="BU224" s="49">
        <f t="shared" si="231"/>
        <v>46.009998000000003</v>
      </c>
      <c r="BV224" s="49">
        <f t="shared" si="184"/>
        <v>1936.6709271979989</v>
      </c>
      <c r="BW224" s="18">
        <f t="shared" si="185"/>
        <v>1274</v>
      </c>
      <c r="BX224" s="19">
        <f t="shared" si="215"/>
        <v>0.70779816513761473</v>
      </c>
      <c r="BY224" s="49">
        <f t="shared" si="216"/>
        <v>1370.7721287461068</v>
      </c>
      <c r="BZ224" s="19">
        <f t="shared" si="186"/>
        <v>8.6708165276814579</v>
      </c>
      <c r="CA224" s="19">
        <f t="shared" si="187"/>
        <v>2.266246840763166</v>
      </c>
      <c r="CB224" s="19">
        <f t="shared" si="188"/>
        <v>1.8194460539452371</v>
      </c>
      <c r="CC224" s="19">
        <f t="shared" si="189"/>
        <v>2.4351063848310863</v>
      </c>
      <c r="CD224" s="19">
        <f t="shared" si="190"/>
        <v>9.0292742040630554</v>
      </c>
      <c r="CE224" s="19">
        <f t="shared" si="191"/>
        <v>14.153113475082311</v>
      </c>
      <c r="CF224" s="49">
        <f t="shared" si="192"/>
        <v>-570.79986935890338</v>
      </c>
      <c r="CG224" s="49">
        <f t="shared" si="193"/>
        <v>-123.35181554273913</v>
      </c>
      <c r="CH224" s="49">
        <f t="shared" si="194"/>
        <v>-98.086336768187721</v>
      </c>
      <c r="CI224" s="49">
        <f t="shared" si="195"/>
        <v>-162.95731440268355</v>
      </c>
      <c r="CJ224" s="49">
        <f t="shared" si="196"/>
        <v>-330.29086844317499</v>
      </c>
      <c r="CK224" s="49">
        <f t="shared" si="197"/>
        <v>-651.18472268231017</v>
      </c>
    </row>
    <row r="225" spans="2:89" ht="12.75" customHeight="1" x14ac:dyDescent="0.2">
      <c r="B225" s="77">
        <v>40574</v>
      </c>
      <c r="C225" s="49">
        <v>67.610000999999997</v>
      </c>
      <c r="D225" s="49">
        <v>55.869999</v>
      </c>
      <c r="E225" s="49">
        <v>55.400002000000001</v>
      </c>
      <c r="F225" s="49">
        <v>68.550003000000004</v>
      </c>
      <c r="G225" s="49">
        <v>37.779998999999997</v>
      </c>
      <c r="H225" s="49">
        <v>47.060001</v>
      </c>
      <c r="J225" s="78">
        <f>IF(inter=Weekly_2,J224+$C$5,IF(inter=Bi_weekly_2,0,IF(inter=Monthly_2,0,IF(inter=Quarterly_2,0,IF(inter=Yearly_2,0,IF(inter=None_2,0,0))))))</f>
        <v>0</v>
      </c>
      <c r="K225" s="79">
        <f t="shared" si="198"/>
        <v>0</v>
      </c>
      <c r="L225" s="79">
        <f t="shared" si="199"/>
        <v>0</v>
      </c>
      <c r="M225" s="79">
        <f t="shared" si="200"/>
        <v>0</v>
      </c>
      <c r="N225" s="79">
        <f t="shared" si="201"/>
        <v>0</v>
      </c>
      <c r="O225" s="79">
        <f t="shared" si="202"/>
        <v>0</v>
      </c>
      <c r="P225" s="79">
        <f t="shared" si="203"/>
        <v>0</v>
      </c>
      <c r="Q225" s="79"/>
      <c r="R225" s="80">
        <f t="shared" si="161"/>
        <v>0</v>
      </c>
      <c r="S225" s="80">
        <f t="shared" si="162"/>
        <v>0</v>
      </c>
      <c r="T225" s="80">
        <f t="shared" si="163"/>
        <v>0</v>
      </c>
      <c r="U225" s="80">
        <f t="shared" si="164"/>
        <v>0</v>
      </c>
      <c r="V225" s="80">
        <f t="shared" si="165"/>
        <v>0</v>
      </c>
      <c r="W225" s="80">
        <f t="shared" si="166"/>
        <v>0</v>
      </c>
      <c r="X225" s="80">
        <f t="shared" si="217"/>
        <v>396.62766530069376</v>
      </c>
      <c r="Y225" s="80">
        <f t="shared" si="218"/>
        <v>137.05677016351277</v>
      </c>
      <c r="Z225" s="80">
        <f t="shared" si="219"/>
        <v>110.70302355778151</v>
      </c>
      <c r="AA225" s="80">
        <f t="shared" si="220"/>
        <v>78.033475135489397</v>
      </c>
      <c r="AB225" s="80">
        <f t="shared" si="221"/>
        <v>509.84141553628126</v>
      </c>
      <c r="AC225" s="80">
        <f t="shared" si="222"/>
        <v>243.20800883321056</v>
      </c>
      <c r="AD225" s="80"/>
      <c r="AE225" s="80"/>
      <c r="AF225" s="80"/>
      <c r="AG225" s="80"/>
      <c r="AH225" s="80"/>
      <c r="AI225" s="80"/>
      <c r="AJ225" s="45">
        <f t="shared" si="167"/>
        <v>0</v>
      </c>
      <c r="AK225" s="45">
        <f t="shared" si="168"/>
        <v>0</v>
      </c>
      <c r="AL225" s="45">
        <f t="shared" si="169"/>
        <v>0</v>
      </c>
      <c r="AM225" s="45">
        <f t="shared" si="170"/>
        <v>0</v>
      </c>
      <c r="AN225" s="45">
        <f t="shared" si="171"/>
        <v>0</v>
      </c>
      <c r="AO225" s="45">
        <f t="shared" si="172"/>
        <v>0</v>
      </c>
      <c r="AP225" s="80">
        <f t="shared" si="173"/>
        <v>0</v>
      </c>
      <c r="AQ225" s="80">
        <f t="shared" si="174"/>
        <v>0</v>
      </c>
      <c r="AR225" s="80">
        <f t="shared" si="175"/>
        <v>0</v>
      </c>
      <c r="AS225" s="80">
        <f t="shared" si="176"/>
        <v>0</v>
      </c>
      <c r="AT225" s="80">
        <f t="shared" si="177"/>
        <v>0</v>
      </c>
      <c r="AU225" s="80">
        <f t="shared" si="178"/>
        <v>0</v>
      </c>
      <c r="AV225" s="80">
        <f t="shared" si="223"/>
        <v>21.708992903535623</v>
      </c>
      <c r="AW225" s="80">
        <f t="shared" si="224"/>
        <v>10.76782181044738</v>
      </c>
      <c r="AX225" s="80">
        <f t="shared" si="225"/>
        <v>7.7698702541986808</v>
      </c>
      <c r="AY225" s="80">
        <f t="shared" si="226"/>
        <v>5.7754146500538859</v>
      </c>
      <c r="AZ225" s="80">
        <f t="shared" si="227"/>
        <v>39.124838877431984</v>
      </c>
      <c r="BA225" s="80">
        <f t="shared" si="228"/>
        <v>19.945839538835287</v>
      </c>
      <c r="BB225" s="80">
        <f t="shared" si="204"/>
        <v>418.33665820422937</v>
      </c>
      <c r="BC225" s="80">
        <f t="shared" si="205"/>
        <v>147.82459197396014</v>
      </c>
      <c r="BD225" s="80">
        <f t="shared" si="206"/>
        <v>118.47289381198019</v>
      </c>
      <c r="BE225" s="80">
        <f t="shared" si="207"/>
        <v>83.808889785543286</v>
      </c>
      <c r="BF225" s="80">
        <f t="shared" si="208"/>
        <v>548.96625441371327</v>
      </c>
      <c r="BG225" s="80">
        <f t="shared" si="209"/>
        <v>263.15384837204584</v>
      </c>
      <c r="BH225" s="49">
        <f t="shared" si="210"/>
        <v>0</v>
      </c>
      <c r="BI225" s="79">
        <f t="shared" si="211"/>
        <v>-63672.442883184929</v>
      </c>
      <c r="BJ225" s="79">
        <f t="shared" si="179"/>
        <v>76662.678448749808</v>
      </c>
      <c r="BK225" s="44">
        <f t="shared" si="212"/>
        <v>0.20401660400241117</v>
      </c>
      <c r="BL225" s="79">
        <f t="shared" si="229"/>
        <v>4267.3069444615885</v>
      </c>
      <c r="BM225" s="49">
        <f t="shared" si="213"/>
        <v>80929.985393211391</v>
      </c>
      <c r="BN225" s="44">
        <f t="shared" si="214"/>
        <v>0.27103628710598682</v>
      </c>
      <c r="BO225" s="49">
        <f t="shared" si="180"/>
        <v>5312.4863472166644</v>
      </c>
      <c r="BP225" s="49">
        <f t="shared" si="181"/>
        <v>81975.16479596647</v>
      </c>
      <c r="BQ225" s="44">
        <f t="shared" si="182"/>
        <v>0.28745122825521507</v>
      </c>
      <c r="BS225" s="49">
        <f t="shared" si="183"/>
        <v>63672.442883184929</v>
      </c>
      <c r="BT225" s="49">
        <f t="shared" si="230"/>
        <v>67.610000999999997</v>
      </c>
      <c r="BU225" s="49">
        <f t="shared" si="231"/>
        <v>47.060001</v>
      </c>
      <c r="BV225" s="49">
        <f t="shared" si="184"/>
        <v>0</v>
      </c>
      <c r="BW225" s="18">
        <f t="shared" si="185"/>
        <v>1281</v>
      </c>
      <c r="BX225" s="19">
        <f t="shared" si="215"/>
        <v>0.70619266055045871</v>
      </c>
      <c r="BY225" s="49">
        <f t="shared" si="216"/>
        <v>0</v>
      </c>
      <c r="BZ225" s="19">
        <f t="shared" si="186"/>
        <v>0</v>
      </c>
      <c r="CA225" s="19">
        <f t="shared" si="187"/>
        <v>0</v>
      </c>
      <c r="CB225" s="19">
        <f t="shared" si="188"/>
        <v>0</v>
      </c>
      <c r="CC225" s="19">
        <f t="shared" si="189"/>
        <v>0</v>
      </c>
      <c r="CD225" s="19">
        <f t="shared" si="190"/>
        <v>0</v>
      </c>
      <c r="CE225" s="19">
        <f t="shared" si="191"/>
        <v>0</v>
      </c>
      <c r="CF225" s="49">
        <f t="shared" si="192"/>
        <v>0</v>
      </c>
      <c r="CG225" s="49">
        <f t="shared" si="193"/>
        <v>0</v>
      </c>
      <c r="CH225" s="49">
        <f t="shared" si="194"/>
        <v>0</v>
      </c>
      <c r="CI225" s="49">
        <f t="shared" si="195"/>
        <v>0</v>
      </c>
      <c r="CJ225" s="49">
        <f t="shared" si="196"/>
        <v>0</v>
      </c>
      <c r="CK225" s="49">
        <f t="shared" si="197"/>
        <v>0</v>
      </c>
    </row>
    <row r="226" spans="2:89" ht="12.75" customHeight="1" x14ac:dyDescent="0.2">
      <c r="B226" s="77">
        <v>40581</v>
      </c>
      <c r="C226" s="49">
        <v>68.75</v>
      </c>
      <c r="D226" s="49">
        <v>56.709999000000003</v>
      </c>
      <c r="E226" s="49">
        <v>56.27</v>
      </c>
      <c r="F226" s="49">
        <v>70.230002999999996</v>
      </c>
      <c r="G226" s="49">
        <v>37.770000000000003</v>
      </c>
      <c r="H226" s="49">
        <v>45.93</v>
      </c>
      <c r="J226" s="78">
        <f>IF(inter=Weekly_2,J225+$C$5,IF(inter=Bi_weekly_2,J224+$C$5,IF(inter=Monthly_2,J222+$C$5,IF(inter=Quarterly_2,0,IF(inter=Yearly_2,0,IF(inter=None_2,0,0))))))</f>
        <v>75200</v>
      </c>
      <c r="K226" s="79">
        <f t="shared" si="198"/>
        <v>948.1519894226949</v>
      </c>
      <c r="L226" s="79">
        <f t="shared" si="199"/>
        <v>252.48929891603893</v>
      </c>
      <c r="M226" s="79">
        <f t="shared" si="200"/>
        <v>213.25913559636592</v>
      </c>
      <c r="N226" s="79">
        <f t="shared" si="201"/>
        <v>216.2911928658441</v>
      </c>
      <c r="O226" s="79">
        <f t="shared" si="202"/>
        <v>456.7102648053442</v>
      </c>
      <c r="P226" s="79">
        <f t="shared" si="203"/>
        <v>-109.45615429063946</v>
      </c>
      <c r="Q226" s="79"/>
      <c r="R226" s="80">
        <f t="shared" si="161"/>
        <v>-13.791301664330108</v>
      </c>
      <c r="S226" s="80">
        <f t="shared" si="162"/>
        <v>-4.4522888973431112</v>
      </c>
      <c r="T226" s="80">
        <f t="shared" si="163"/>
        <v>-3.7899259924714039</v>
      </c>
      <c r="U226" s="80">
        <f t="shared" si="164"/>
        <v>-3.0797548572772255</v>
      </c>
      <c r="V226" s="80">
        <f t="shared" si="165"/>
        <v>-12.091878866967015</v>
      </c>
      <c r="W226" s="80">
        <f t="shared" si="166"/>
        <v>2.3831080838371319</v>
      </c>
      <c r="X226" s="80">
        <f t="shared" si="217"/>
        <v>382.83636363636367</v>
      </c>
      <c r="Y226" s="80">
        <f t="shared" si="218"/>
        <v>132.60448126616964</v>
      </c>
      <c r="Z226" s="80">
        <f t="shared" si="219"/>
        <v>106.9130975653101</v>
      </c>
      <c r="AA226" s="80">
        <f t="shared" si="220"/>
        <v>74.953720278212174</v>
      </c>
      <c r="AB226" s="80">
        <f t="shared" si="221"/>
        <v>497.74953666931424</v>
      </c>
      <c r="AC226" s="80">
        <f t="shared" si="222"/>
        <v>245.59111691704769</v>
      </c>
      <c r="AD226" s="80"/>
      <c r="AE226" s="80"/>
      <c r="AF226" s="80"/>
      <c r="AG226" s="80"/>
      <c r="AH226" s="80"/>
      <c r="AI226" s="80"/>
      <c r="AJ226" s="45">
        <f t="shared" si="167"/>
        <v>0</v>
      </c>
      <c r="AK226" s="45">
        <f t="shared" si="168"/>
        <v>0</v>
      </c>
      <c r="AL226" s="45">
        <f t="shared" si="169"/>
        <v>0</v>
      </c>
      <c r="AM226" s="45">
        <f t="shared" si="170"/>
        <v>0</v>
      </c>
      <c r="AN226" s="45">
        <f t="shared" si="171"/>
        <v>0</v>
      </c>
      <c r="AO226" s="45">
        <f t="shared" si="172"/>
        <v>0</v>
      </c>
      <c r="AP226" s="80">
        <f t="shared" si="173"/>
        <v>0</v>
      </c>
      <c r="AQ226" s="80">
        <f t="shared" si="174"/>
        <v>0</v>
      </c>
      <c r="AR226" s="80">
        <f t="shared" si="175"/>
        <v>0</v>
      </c>
      <c r="AS226" s="80">
        <f t="shared" si="176"/>
        <v>0</v>
      </c>
      <c r="AT226" s="80">
        <f t="shared" si="177"/>
        <v>0</v>
      </c>
      <c r="AU226" s="80">
        <f t="shared" si="178"/>
        <v>0</v>
      </c>
      <c r="AV226" s="80">
        <f t="shared" si="223"/>
        <v>21.708992903535623</v>
      </c>
      <c r="AW226" s="80">
        <f t="shared" si="224"/>
        <v>10.76782181044738</v>
      </c>
      <c r="AX226" s="80">
        <f t="shared" si="225"/>
        <v>7.7698702541986808</v>
      </c>
      <c r="AY226" s="80">
        <f t="shared" si="226"/>
        <v>5.7754146500538859</v>
      </c>
      <c r="AZ226" s="80">
        <f t="shared" si="227"/>
        <v>39.124838877431984</v>
      </c>
      <c r="BA226" s="80">
        <f t="shared" si="228"/>
        <v>19.945839538835287</v>
      </c>
      <c r="BB226" s="80">
        <f t="shared" si="204"/>
        <v>404.54535653989927</v>
      </c>
      <c r="BC226" s="80">
        <f t="shared" si="205"/>
        <v>143.37230307661702</v>
      </c>
      <c r="BD226" s="80">
        <f t="shared" si="206"/>
        <v>114.68296781950878</v>
      </c>
      <c r="BE226" s="80">
        <f t="shared" si="207"/>
        <v>80.729134928266063</v>
      </c>
      <c r="BF226" s="80">
        <f t="shared" si="208"/>
        <v>536.87437554674625</v>
      </c>
      <c r="BG226" s="80">
        <f t="shared" si="209"/>
        <v>265.536956455883</v>
      </c>
      <c r="BH226" s="49">
        <f t="shared" si="210"/>
        <v>0</v>
      </c>
      <c r="BI226" s="79">
        <f t="shared" si="211"/>
        <v>-61694.997155869285</v>
      </c>
      <c r="BJ226" s="79">
        <f t="shared" si="179"/>
        <v>75200</v>
      </c>
      <c r="BK226" s="44">
        <f t="shared" si="212"/>
        <v>0.21889948077979504</v>
      </c>
      <c r="BL226" s="79">
        <f t="shared" si="229"/>
        <v>4267.3069444615885</v>
      </c>
      <c r="BM226" s="49">
        <f t="shared" si="213"/>
        <v>79467.306944461583</v>
      </c>
      <c r="BN226" s="44">
        <f t="shared" si="214"/>
        <v>0.28806727624431949</v>
      </c>
      <c r="BO226" s="49">
        <f t="shared" si="180"/>
        <v>5339.8119880433223</v>
      </c>
      <c r="BP226" s="49">
        <f t="shared" si="181"/>
        <v>80539.811988043322</v>
      </c>
      <c r="BQ226" s="44">
        <f t="shared" si="182"/>
        <v>0.30545126348840834</v>
      </c>
      <c r="BS226" s="49">
        <f t="shared" si="183"/>
        <v>61694.997155869285</v>
      </c>
      <c r="BT226" s="49">
        <f t="shared" si="230"/>
        <v>68.75</v>
      </c>
      <c r="BU226" s="49">
        <f t="shared" si="231"/>
        <v>45.93</v>
      </c>
      <c r="BV226" s="49">
        <f t="shared" si="184"/>
        <v>-1977.4457273156486</v>
      </c>
      <c r="BW226" s="18">
        <f t="shared" si="185"/>
        <v>1288</v>
      </c>
      <c r="BX226" s="19">
        <f t="shared" si="215"/>
        <v>0.70458715596330279</v>
      </c>
      <c r="BY226" s="49">
        <f t="shared" si="216"/>
        <v>-1393.2828610811175</v>
      </c>
      <c r="BZ226" s="19">
        <f t="shared" si="186"/>
        <v>0</v>
      </c>
      <c r="CA226" s="19">
        <f t="shared" si="187"/>
        <v>0</v>
      </c>
      <c r="CB226" s="19">
        <f t="shared" si="188"/>
        <v>0</v>
      </c>
      <c r="CC226" s="19">
        <f t="shared" si="189"/>
        <v>0</v>
      </c>
      <c r="CD226" s="19">
        <f t="shared" si="190"/>
        <v>0</v>
      </c>
      <c r="CE226" s="19">
        <f t="shared" si="191"/>
        <v>2.3831080838371319</v>
      </c>
      <c r="CF226" s="49">
        <f t="shared" si="192"/>
        <v>0</v>
      </c>
      <c r="CG226" s="49">
        <f t="shared" si="193"/>
        <v>0</v>
      </c>
      <c r="CH226" s="49">
        <f t="shared" si="194"/>
        <v>0</v>
      </c>
      <c r="CI226" s="49">
        <f t="shared" si="195"/>
        <v>0</v>
      </c>
      <c r="CJ226" s="49">
        <f t="shared" si="196"/>
        <v>0</v>
      </c>
      <c r="CK226" s="49">
        <f t="shared" si="197"/>
        <v>-109.45615429063946</v>
      </c>
    </row>
    <row r="227" spans="2:89" ht="12.75" customHeight="1" x14ac:dyDescent="0.2">
      <c r="B227" s="77">
        <v>40588</v>
      </c>
      <c r="C227" s="49">
        <v>69.540001000000004</v>
      </c>
      <c r="D227" s="49">
        <v>57.5</v>
      </c>
      <c r="E227" s="49">
        <v>57.169998</v>
      </c>
      <c r="F227" s="49">
        <v>71.319999999999993</v>
      </c>
      <c r="G227" s="49">
        <v>38.490001999999997</v>
      </c>
      <c r="H227" s="49">
        <v>46.900002000000001</v>
      </c>
      <c r="J227" s="78">
        <f>IF(inter=Weekly_2,J226+$C$5,IF(inter=Bi_weekly_2,0,IF(inter=Monthly_2,0,IF(inter=Quarterly_2,0,IF(inter=Yearly_2,0,IF(inter=None_2,0,0))))))</f>
        <v>0</v>
      </c>
      <c r="K227" s="79">
        <f t="shared" si="198"/>
        <v>0</v>
      </c>
      <c r="L227" s="79">
        <f t="shared" si="199"/>
        <v>0</v>
      </c>
      <c r="M227" s="79">
        <f t="shared" si="200"/>
        <v>0</v>
      </c>
      <c r="N227" s="79">
        <f t="shared" si="201"/>
        <v>0</v>
      </c>
      <c r="O227" s="79">
        <f t="shared" si="202"/>
        <v>0</v>
      </c>
      <c r="P227" s="79">
        <f t="shared" si="203"/>
        <v>0</v>
      </c>
      <c r="Q227" s="79"/>
      <c r="R227" s="80">
        <f t="shared" si="161"/>
        <v>0</v>
      </c>
      <c r="S227" s="80">
        <f t="shared" si="162"/>
        <v>0</v>
      </c>
      <c r="T227" s="80">
        <f t="shared" si="163"/>
        <v>0</v>
      </c>
      <c r="U227" s="80">
        <f t="shared" si="164"/>
        <v>0</v>
      </c>
      <c r="V227" s="80">
        <f t="shared" si="165"/>
        <v>0</v>
      </c>
      <c r="W227" s="80">
        <f t="shared" si="166"/>
        <v>0</v>
      </c>
      <c r="X227" s="80">
        <f t="shared" si="217"/>
        <v>382.83636363636367</v>
      </c>
      <c r="Y227" s="80">
        <f t="shared" si="218"/>
        <v>132.60448126616964</v>
      </c>
      <c r="Z227" s="80">
        <f t="shared" si="219"/>
        <v>106.9130975653101</v>
      </c>
      <c r="AA227" s="80">
        <f t="shared" si="220"/>
        <v>74.953720278212174</v>
      </c>
      <c r="AB227" s="80">
        <f t="shared" si="221"/>
        <v>497.74953666931424</v>
      </c>
      <c r="AC227" s="80">
        <f t="shared" si="222"/>
        <v>245.59111691704769</v>
      </c>
      <c r="AD227" s="80"/>
      <c r="AE227" s="80"/>
      <c r="AF227" s="80"/>
      <c r="AG227" s="80"/>
      <c r="AH227" s="80"/>
      <c r="AI227" s="80"/>
      <c r="AJ227" s="45">
        <f t="shared" si="167"/>
        <v>0</v>
      </c>
      <c r="AK227" s="45">
        <f t="shared" si="168"/>
        <v>0</v>
      </c>
      <c r="AL227" s="45">
        <f t="shared" si="169"/>
        <v>0</v>
      </c>
      <c r="AM227" s="45">
        <f t="shared" si="170"/>
        <v>0</v>
      </c>
      <c r="AN227" s="45">
        <f t="shared" si="171"/>
        <v>0</v>
      </c>
      <c r="AO227" s="45">
        <f t="shared" si="172"/>
        <v>0</v>
      </c>
      <c r="AP227" s="80">
        <f t="shared" si="173"/>
        <v>0</v>
      </c>
      <c r="AQ227" s="80">
        <f t="shared" si="174"/>
        <v>0</v>
      </c>
      <c r="AR227" s="80">
        <f t="shared" si="175"/>
        <v>0</v>
      </c>
      <c r="AS227" s="80">
        <f t="shared" si="176"/>
        <v>0</v>
      </c>
      <c r="AT227" s="80">
        <f t="shared" si="177"/>
        <v>0</v>
      </c>
      <c r="AU227" s="80">
        <f t="shared" si="178"/>
        <v>0</v>
      </c>
      <c r="AV227" s="80">
        <f t="shared" si="223"/>
        <v>21.708992903535623</v>
      </c>
      <c r="AW227" s="80">
        <f t="shared" si="224"/>
        <v>10.76782181044738</v>
      </c>
      <c r="AX227" s="80">
        <f t="shared" si="225"/>
        <v>7.7698702541986808</v>
      </c>
      <c r="AY227" s="80">
        <f t="shared" si="226"/>
        <v>5.7754146500538859</v>
      </c>
      <c r="AZ227" s="80">
        <f t="shared" si="227"/>
        <v>39.124838877431984</v>
      </c>
      <c r="BA227" s="80">
        <f t="shared" si="228"/>
        <v>19.945839538835287</v>
      </c>
      <c r="BB227" s="80">
        <f t="shared" si="204"/>
        <v>404.54535653989927</v>
      </c>
      <c r="BC227" s="80">
        <f t="shared" si="205"/>
        <v>143.37230307661702</v>
      </c>
      <c r="BD227" s="80">
        <f t="shared" si="206"/>
        <v>114.68296781950878</v>
      </c>
      <c r="BE227" s="80">
        <f t="shared" si="207"/>
        <v>80.729134928266063</v>
      </c>
      <c r="BF227" s="80">
        <f t="shared" si="208"/>
        <v>536.87437554674625</v>
      </c>
      <c r="BG227" s="80">
        <f t="shared" si="209"/>
        <v>265.536956455883</v>
      </c>
      <c r="BH227" s="49">
        <f t="shared" si="210"/>
        <v>0</v>
      </c>
      <c r="BI227" s="79">
        <f t="shared" si="211"/>
        <v>-61694.997155869285</v>
      </c>
      <c r="BJ227" s="79">
        <f t="shared" si="179"/>
        <v>76381.724223631274</v>
      </c>
      <c r="BK227" s="44">
        <f t="shared" si="212"/>
        <v>0.23805377655917082</v>
      </c>
      <c r="BL227" s="79">
        <f t="shared" si="229"/>
        <v>4267.3069444615885</v>
      </c>
      <c r="BM227" s="49">
        <f t="shared" si="213"/>
        <v>80649.031168092857</v>
      </c>
      <c r="BN227" s="44">
        <f t="shared" si="214"/>
        <v>0.30722157202369527</v>
      </c>
      <c r="BO227" s="49">
        <f t="shared" si="180"/>
        <v>5426.274222961315</v>
      </c>
      <c r="BP227" s="49">
        <f t="shared" si="181"/>
        <v>81807.998446592595</v>
      </c>
      <c r="BQ227" s="44">
        <f t="shared" si="182"/>
        <v>0.32600700572055841</v>
      </c>
      <c r="BS227" s="49">
        <f t="shared" si="183"/>
        <v>61694.997155869285</v>
      </c>
      <c r="BT227" s="49">
        <f t="shared" si="230"/>
        <v>69.540001000000004</v>
      </c>
      <c r="BU227" s="49">
        <f t="shared" si="231"/>
        <v>46.900002000000001</v>
      </c>
      <c r="BV227" s="49">
        <f t="shared" si="184"/>
        <v>0</v>
      </c>
      <c r="BW227" s="18">
        <f t="shared" si="185"/>
        <v>1295</v>
      </c>
      <c r="BX227" s="19">
        <f t="shared" si="215"/>
        <v>0.70298165137614677</v>
      </c>
      <c r="BY227" s="49">
        <f t="shared" si="216"/>
        <v>0</v>
      </c>
      <c r="BZ227" s="19">
        <f t="shared" si="186"/>
        <v>0</v>
      </c>
      <c r="CA227" s="19">
        <f t="shared" si="187"/>
        <v>0</v>
      </c>
      <c r="CB227" s="19">
        <f t="shared" si="188"/>
        <v>0</v>
      </c>
      <c r="CC227" s="19">
        <f t="shared" si="189"/>
        <v>0</v>
      </c>
      <c r="CD227" s="19">
        <f t="shared" si="190"/>
        <v>0</v>
      </c>
      <c r="CE227" s="19">
        <f t="shared" si="191"/>
        <v>0</v>
      </c>
      <c r="CF227" s="49">
        <f t="shared" si="192"/>
        <v>0</v>
      </c>
      <c r="CG227" s="49">
        <f t="shared" si="193"/>
        <v>0</v>
      </c>
      <c r="CH227" s="49">
        <f t="shared" si="194"/>
        <v>0</v>
      </c>
      <c r="CI227" s="49">
        <f t="shared" si="195"/>
        <v>0</v>
      </c>
      <c r="CJ227" s="49">
        <f t="shared" si="196"/>
        <v>0</v>
      </c>
      <c r="CK227" s="49">
        <f t="shared" si="197"/>
        <v>0</v>
      </c>
    </row>
    <row r="228" spans="2:89" ht="12.75" customHeight="1" x14ac:dyDescent="0.2">
      <c r="B228" s="77">
        <v>40596</v>
      </c>
      <c r="C228" s="49">
        <v>68.339995999999999</v>
      </c>
      <c r="D228" s="49">
        <v>56.610000999999997</v>
      </c>
      <c r="E228" s="49">
        <v>56.040000999999997</v>
      </c>
      <c r="F228" s="49">
        <v>70.150002000000001</v>
      </c>
      <c r="G228" s="49">
        <v>37.900002000000001</v>
      </c>
      <c r="H228" s="49">
        <v>46.009998000000003</v>
      </c>
      <c r="J228" s="78">
        <f>IF(inter=Weekly_2,J227+$C$5,IF(inter=Bi_weekly_2,J226+$C$5,IF(inter=Monthly_2,0,IF(inter=Quarterly_2,0,IF(inter=Yearly_2,0,IF(inter=None_2,0,0))))))</f>
        <v>75800</v>
      </c>
      <c r="K228" s="79">
        <f t="shared" si="198"/>
        <v>-366.96444043636075</v>
      </c>
      <c r="L228" s="79">
        <f t="shared" si="199"/>
        <v>-73.260182917655584</v>
      </c>
      <c r="M228" s="79">
        <f t="shared" si="200"/>
        <v>-72.589905526924667</v>
      </c>
      <c r="N228" s="79">
        <f t="shared" si="201"/>
        <v>-47.996372575976238</v>
      </c>
      <c r="O228" s="79">
        <f t="shared" si="202"/>
        <v>-85.291564733917767</v>
      </c>
      <c r="P228" s="79">
        <f t="shared" si="203"/>
        <v>-70.353201828869715</v>
      </c>
      <c r="Q228" s="79"/>
      <c r="R228" s="80">
        <f t="shared" si="161"/>
        <v>5.3696877658049722</v>
      </c>
      <c r="S228" s="80">
        <f t="shared" si="162"/>
        <v>1.2941208553883543</v>
      </c>
      <c r="T228" s="80">
        <f t="shared" si="163"/>
        <v>1.2953230590935334</v>
      </c>
      <c r="U228" s="80">
        <f t="shared" si="164"/>
        <v>0.68419631087075716</v>
      </c>
      <c r="V228" s="80">
        <f t="shared" si="165"/>
        <v>2.2504369454628992</v>
      </c>
      <c r="W228" s="80">
        <f t="shared" si="166"/>
        <v>1.5290850877426621</v>
      </c>
      <c r="X228" s="80">
        <f t="shared" si="217"/>
        <v>388.20605140216867</v>
      </c>
      <c r="Y228" s="80">
        <f t="shared" si="218"/>
        <v>133.89860212155799</v>
      </c>
      <c r="Z228" s="80">
        <f t="shared" si="219"/>
        <v>108.20842062440363</v>
      </c>
      <c r="AA228" s="80">
        <f t="shared" si="220"/>
        <v>75.637916589082934</v>
      </c>
      <c r="AB228" s="80">
        <f t="shared" si="221"/>
        <v>499.99997361477716</v>
      </c>
      <c r="AC228" s="80">
        <f t="shared" si="222"/>
        <v>247.12020200479034</v>
      </c>
      <c r="AD228" s="80"/>
      <c r="AE228" s="80"/>
      <c r="AF228" s="80"/>
      <c r="AG228" s="80"/>
      <c r="AH228" s="80"/>
      <c r="AI228" s="80"/>
      <c r="AJ228" s="45">
        <f t="shared" si="167"/>
        <v>0</v>
      </c>
      <c r="AK228" s="45">
        <f t="shared" si="168"/>
        <v>0</v>
      </c>
      <c r="AL228" s="45">
        <f t="shared" si="169"/>
        <v>0</v>
      </c>
      <c r="AM228" s="45">
        <f t="shared" si="170"/>
        <v>0</v>
      </c>
      <c r="AN228" s="45">
        <f t="shared" si="171"/>
        <v>0</v>
      </c>
      <c r="AO228" s="45">
        <f t="shared" si="172"/>
        <v>0</v>
      </c>
      <c r="AP228" s="80">
        <f t="shared" si="173"/>
        <v>0</v>
      </c>
      <c r="AQ228" s="80">
        <f t="shared" si="174"/>
        <v>0</v>
      </c>
      <c r="AR228" s="80">
        <f t="shared" si="175"/>
        <v>0</v>
      </c>
      <c r="AS228" s="80">
        <f t="shared" si="176"/>
        <v>0</v>
      </c>
      <c r="AT228" s="80">
        <f t="shared" si="177"/>
        <v>0</v>
      </c>
      <c r="AU228" s="80">
        <f t="shared" si="178"/>
        <v>0</v>
      </c>
      <c r="AV228" s="80">
        <f t="shared" si="223"/>
        <v>21.708992903535623</v>
      </c>
      <c r="AW228" s="80">
        <f t="shared" si="224"/>
        <v>10.76782181044738</v>
      </c>
      <c r="AX228" s="80">
        <f t="shared" si="225"/>
        <v>7.7698702541986808</v>
      </c>
      <c r="AY228" s="80">
        <f t="shared" si="226"/>
        <v>5.7754146500538859</v>
      </c>
      <c r="AZ228" s="80">
        <f t="shared" si="227"/>
        <v>39.124838877431984</v>
      </c>
      <c r="BA228" s="80">
        <f t="shared" si="228"/>
        <v>19.945839538835287</v>
      </c>
      <c r="BB228" s="80">
        <f t="shared" si="204"/>
        <v>409.91504430570427</v>
      </c>
      <c r="BC228" s="80">
        <f t="shared" si="205"/>
        <v>144.66642393200536</v>
      </c>
      <c r="BD228" s="80">
        <f t="shared" si="206"/>
        <v>115.97829087860231</v>
      </c>
      <c r="BE228" s="80">
        <f t="shared" si="207"/>
        <v>81.413331239136824</v>
      </c>
      <c r="BF228" s="80">
        <f t="shared" si="208"/>
        <v>539.12481249220912</v>
      </c>
      <c r="BG228" s="80">
        <f t="shared" si="209"/>
        <v>267.0660415436256</v>
      </c>
      <c r="BH228" s="49">
        <f t="shared" si="210"/>
        <v>0</v>
      </c>
      <c r="BI228" s="79">
        <f t="shared" si="211"/>
        <v>-62411.452823888983</v>
      </c>
      <c r="BJ228" s="79">
        <f t="shared" si="179"/>
        <v>75800</v>
      </c>
      <c r="BK228" s="44">
        <f t="shared" si="212"/>
        <v>0.21452067802187647</v>
      </c>
      <c r="BL228" s="79">
        <f t="shared" si="229"/>
        <v>4267.3069444615885</v>
      </c>
      <c r="BM228" s="49">
        <f t="shared" si="213"/>
        <v>80067.306944461583</v>
      </c>
      <c r="BN228" s="44">
        <f t="shared" si="214"/>
        <v>0.2828944580154773</v>
      </c>
      <c r="BO228" s="49">
        <f t="shared" si="180"/>
        <v>5334.2672867106576</v>
      </c>
      <c r="BP228" s="49">
        <f t="shared" si="181"/>
        <v>81134.267286710645</v>
      </c>
      <c r="BQ228" s="44">
        <f t="shared" si="182"/>
        <v>0.29999004374490701</v>
      </c>
      <c r="BS228" s="49">
        <f t="shared" si="183"/>
        <v>62411.452823888983</v>
      </c>
      <c r="BT228" s="49">
        <f t="shared" si="230"/>
        <v>68.339995999999999</v>
      </c>
      <c r="BU228" s="49">
        <f t="shared" si="231"/>
        <v>46.009998000000003</v>
      </c>
      <c r="BV228" s="49">
        <f t="shared" si="184"/>
        <v>716.45566801970472</v>
      </c>
      <c r="BW228" s="18">
        <f t="shared" si="185"/>
        <v>1303</v>
      </c>
      <c r="BX228" s="19">
        <f t="shared" si="215"/>
        <v>0.70114678899082572</v>
      </c>
      <c r="BY228" s="49">
        <f t="shared" si="216"/>
        <v>502.34059108629299</v>
      </c>
      <c r="BZ228" s="19">
        <f t="shared" si="186"/>
        <v>5.3696877658049722</v>
      </c>
      <c r="CA228" s="19">
        <f t="shared" si="187"/>
        <v>1.2941208553883543</v>
      </c>
      <c r="CB228" s="19">
        <f t="shared" si="188"/>
        <v>1.2953230590935334</v>
      </c>
      <c r="CC228" s="19">
        <f t="shared" si="189"/>
        <v>0.68419631087075716</v>
      </c>
      <c r="CD228" s="19">
        <f t="shared" si="190"/>
        <v>2.2504369454628992</v>
      </c>
      <c r="CE228" s="19">
        <f t="shared" si="191"/>
        <v>1.5290850877426621</v>
      </c>
      <c r="CF228" s="49">
        <f t="shared" si="192"/>
        <v>-366.96444043636075</v>
      </c>
      <c r="CG228" s="49">
        <f t="shared" si="193"/>
        <v>-73.260182917655584</v>
      </c>
      <c r="CH228" s="49">
        <f t="shared" si="194"/>
        <v>-72.589905526924667</v>
      </c>
      <c r="CI228" s="49">
        <f t="shared" si="195"/>
        <v>-47.996372575976238</v>
      </c>
      <c r="CJ228" s="49">
        <f t="shared" si="196"/>
        <v>-85.291564733917767</v>
      </c>
      <c r="CK228" s="49">
        <f t="shared" si="197"/>
        <v>-70.353201828869715</v>
      </c>
    </row>
    <row r="229" spans="2:89" ht="12.75" customHeight="1" x14ac:dyDescent="0.2">
      <c r="B229" s="77">
        <v>40602</v>
      </c>
      <c r="C229" s="49">
        <v>68.459998999999996</v>
      </c>
      <c r="D229" s="49">
        <v>56.639999000000003</v>
      </c>
      <c r="E229" s="49">
        <v>55.939999</v>
      </c>
      <c r="F229" s="49">
        <v>70.230002999999996</v>
      </c>
      <c r="G229" s="49">
        <v>38.060001</v>
      </c>
      <c r="H229" s="49">
        <v>47.389999000000003</v>
      </c>
      <c r="J229" s="78">
        <f>IF(inter=Weekly_2,J228+$C$5,IF(inter=Bi_weekly_2,0,IF(inter=Monthly_2,0,IF(inter=Quarterly_2,0,IF(inter=Yearly_2,0,IF(inter=None_2,0,0))))))</f>
        <v>0</v>
      </c>
      <c r="K229" s="79">
        <f t="shared" si="198"/>
        <v>0</v>
      </c>
      <c r="L229" s="79">
        <f t="shared" si="199"/>
        <v>0</v>
      </c>
      <c r="M229" s="79">
        <f t="shared" si="200"/>
        <v>0</v>
      </c>
      <c r="N229" s="79">
        <f t="shared" si="201"/>
        <v>0</v>
      </c>
      <c r="O229" s="79">
        <f t="shared" si="202"/>
        <v>0</v>
      </c>
      <c r="P229" s="79">
        <f t="shared" si="203"/>
        <v>0</v>
      </c>
      <c r="Q229" s="79"/>
      <c r="R229" s="80">
        <f t="shared" si="161"/>
        <v>0</v>
      </c>
      <c r="S229" s="80">
        <f t="shared" si="162"/>
        <v>0</v>
      </c>
      <c r="T229" s="80">
        <f t="shared" si="163"/>
        <v>0</v>
      </c>
      <c r="U229" s="80">
        <f t="shared" si="164"/>
        <v>0</v>
      </c>
      <c r="V229" s="80">
        <f t="shared" si="165"/>
        <v>0</v>
      </c>
      <c r="W229" s="80">
        <f t="shared" si="166"/>
        <v>0</v>
      </c>
      <c r="X229" s="80">
        <f t="shared" si="217"/>
        <v>388.20605140216867</v>
      </c>
      <c r="Y229" s="80">
        <f t="shared" si="218"/>
        <v>133.89860212155799</v>
      </c>
      <c r="Z229" s="80">
        <f t="shared" si="219"/>
        <v>108.20842062440363</v>
      </c>
      <c r="AA229" s="80">
        <f t="shared" si="220"/>
        <v>75.637916589082934</v>
      </c>
      <c r="AB229" s="80">
        <f t="shared" si="221"/>
        <v>499.99997361477716</v>
      </c>
      <c r="AC229" s="80">
        <f t="shared" si="222"/>
        <v>247.12020200479034</v>
      </c>
      <c r="AD229" s="80"/>
      <c r="AE229" s="80"/>
      <c r="AF229" s="80"/>
      <c r="AG229" s="80"/>
      <c r="AH229" s="80"/>
      <c r="AI229" s="80"/>
      <c r="AJ229" s="45">
        <f t="shared" si="167"/>
        <v>0</v>
      </c>
      <c r="AK229" s="45">
        <f t="shared" si="168"/>
        <v>0</v>
      </c>
      <c r="AL229" s="45">
        <f t="shared" si="169"/>
        <v>0</v>
      </c>
      <c r="AM229" s="45">
        <f t="shared" si="170"/>
        <v>0</v>
      </c>
      <c r="AN229" s="45">
        <f t="shared" si="171"/>
        <v>0</v>
      </c>
      <c r="AO229" s="45">
        <f t="shared" si="172"/>
        <v>0</v>
      </c>
      <c r="AP229" s="80">
        <f t="shared" si="173"/>
        <v>0</v>
      </c>
      <c r="AQ229" s="80">
        <f t="shared" si="174"/>
        <v>0</v>
      </c>
      <c r="AR229" s="80">
        <f t="shared" si="175"/>
        <v>0</v>
      </c>
      <c r="AS229" s="80">
        <f t="shared" si="176"/>
        <v>0</v>
      </c>
      <c r="AT229" s="80">
        <f t="shared" si="177"/>
        <v>0</v>
      </c>
      <c r="AU229" s="80">
        <f t="shared" si="178"/>
        <v>0</v>
      </c>
      <c r="AV229" s="80">
        <f t="shared" si="223"/>
        <v>21.708992903535623</v>
      </c>
      <c r="AW229" s="80">
        <f t="shared" si="224"/>
        <v>10.76782181044738</v>
      </c>
      <c r="AX229" s="80">
        <f t="shared" si="225"/>
        <v>7.7698702541986808</v>
      </c>
      <c r="AY229" s="80">
        <f t="shared" si="226"/>
        <v>5.7754146500538859</v>
      </c>
      <c r="AZ229" s="80">
        <f t="shared" si="227"/>
        <v>39.124838877431984</v>
      </c>
      <c r="BA229" s="80">
        <f t="shared" si="228"/>
        <v>19.945839538835287</v>
      </c>
      <c r="BB229" s="80">
        <f t="shared" si="204"/>
        <v>409.91504430570427</v>
      </c>
      <c r="BC229" s="80">
        <f t="shared" si="205"/>
        <v>144.66642393200536</v>
      </c>
      <c r="BD229" s="80">
        <f t="shared" si="206"/>
        <v>115.97829087860231</v>
      </c>
      <c r="BE229" s="80">
        <f t="shared" si="207"/>
        <v>81.413331239136824</v>
      </c>
      <c r="BF229" s="80">
        <f t="shared" si="208"/>
        <v>539.12481249220912</v>
      </c>
      <c r="BG229" s="80">
        <f t="shared" si="209"/>
        <v>267.0660415436256</v>
      </c>
      <c r="BH229" s="49">
        <f t="shared" si="210"/>
        <v>0</v>
      </c>
      <c r="BI229" s="79">
        <f t="shared" si="211"/>
        <v>-62411.452823888983</v>
      </c>
      <c r="BJ229" s="79">
        <f t="shared" si="179"/>
        <v>76266.858253203827</v>
      </c>
      <c r="BK229" s="44">
        <f t="shared" si="212"/>
        <v>0.22200100786648358</v>
      </c>
      <c r="BL229" s="79">
        <f t="shared" si="229"/>
        <v>4267.3069444615885</v>
      </c>
      <c r="BM229" s="49">
        <f t="shared" si="213"/>
        <v>80534.16519766541</v>
      </c>
      <c r="BN229" s="44">
        <f t="shared" si="214"/>
        <v>0.29037478786008442</v>
      </c>
      <c r="BO229" s="49">
        <f t="shared" si="180"/>
        <v>5370.6656940919711</v>
      </c>
      <c r="BP229" s="49">
        <f t="shared" si="181"/>
        <v>81637.523947295791</v>
      </c>
      <c r="BQ229" s="44">
        <f t="shared" si="182"/>
        <v>0.30805357436011671</v>
      </c>
      <c r="BS229" s="49">
        <f t="shared" si="183"/>
        <v>62411.452823888983</v>
      </c>
      <c r="BT229" s="49">
        <f t="shared" si="230"/>
        <v>68.459998999999996</v>
      </c>
      <c r="BU229" s="49">
        <f t="shared" si="231"/>
        <v>47.389999000000003</v>
      </c>
      <c r="BV229" s="49">
        <f t="shared" si="184"/>
        <v>0</v>
      </c>
      <c r="BW229" s="18">
        <f t="shared" si="185"/>
        <v>1309</v>
      </c>
      <c r="BX229" s="19">
        <f t="shared" si="215"/>
        <v>0.69977064220183482</v>
      </c>
      <c r="BY229" s="49">
        <f t="shared" si="216"/>
        <v>0</v>
      </c>
      <c r="BZ229" s="19">
        <f t="shared" si="186"/>
        <v>0</v>
      </c>
      <c r="CA229" s="19">
        <f t="shared" si="187"/>
        <v>0</v>
      </c>
      <c r="CB229" s="19">
        <f t="shared" si="188"/>
        <v>0</v>
      </c>
      <c r="CC229" s="19">
        <f t="shared" si="189"/>
        <v>0</v>
      </c>
      <c r="CD229" s="19">
        <f t="shared" si="190"/>
        <v>0</v>
      </c>
      <c r="CE229" s="19">
        <f t="shared" si="191"/>
        <v>0</v>
      </c>
      <c r="CF229" s="49">
        <f t="shared" si="192"/>
        <v>0</v>
      </c>
      <c r="CG229" s="49">
        <f t="shared" si="193"/>
        <v>0</v>
      </c>
      <c r="CH229" s="49">
        <f t="shared" si="194"/>
        <v>0</v>
      </c>
      <c r="CI229" s="49">
        <f t="shared" si="195"/>
        <v>0</v>
      </c>
      <c r="CJ229" s="49">
        <f t="shared" si="196"/>
        <v>0</v>
      </c>
      <c r="CK229" s="49">
        <f t="shared" si="197"/>
        <v>0</v>
      </c>
    </row>
    <row r="230" spans="2:89" ht="12.75" customHeight="1" x14ac:dyDescent="0.2">
      <c r="B230" s="77">
        <v>40609</v>
      </c>
      <c r="C230" s="49">
        <v>67.489998</v>
      </c>
      <c r="D230" s="49">
        <v>56.119999</v>
      </c>
      <c r="E230" s="49">
        <v>55.400002000000001</v>
      </c>
      <c r="F230" s="49">
        <v>68.830001999999993</v>
      </c>
      <c r="G230" s="49">
        <v>36.880001</v>
      </c>
      <c r="H230" s="49">
        <v>46.369999</v>
      </c>
      <c r="J230" s="78">
        <f>IF(inter=Weekly_2,J229+$C$5,IF(inter=Bi_weekly_2,J228+$C$5,IF(inter=Monthly_2,J226+$C$5,IF(inter=Quarterly_2,0,IF(inter=Yearly_2,0,IF(inter=None_2,0,0))))))</f>
        <v>76400</v>
      </c>
      <c r="K230" s="79">
        <f t="shared" si="198"/>
        <v>-539.97436727973763</v>
      </c>
      <c r="L230" s="79">
        <f t="shared" si="199"/>
        <v>-125.61058283676812</v>
      </c>
      <c r="M230" s="79">
        <f t="shared" si="200"/>
        <v>-117.25328099119724</v>
      </c>
      <c r="N230" s="79">
        <f t="shared" si="201"/>
        <v>-141.84204989759019</v>
      </c>
      <c r="O230" s="79">
        <f t="shared" si="202"/>
        <v>-660.00047308704598</v>
      </c>
      <c r="P230" s="79">
        <f t="shared" si="203"/>
        <v>-1.0364801580744825</v>
      </c>
      <c r="Q230" s="79"/>
      <c r="R230" s="80">
        <f t="shared" si="161"/>
        <v>8.0008057976196358</v>
      </c>
      <c r="S230" s="80">
        <f t="shared" si="162"/>
        <v>2.2382499122419461</v>
      </c>
      <c r="T230" s="80">
        <f t="shared" si="163"/>
        <v>2.1164851400401981</v>
      </c>
      <c r="U230" s="80">
        <f t="shared" si="164"/>
        <v>2.0607590552967032</v>
      </c>
      <c r="V230" s="80">
        <f t="shared" si="165"/>
        <v>17.895890867439128</v>
      </c>
      <c r="W230" s="80">
        <f t="shared" si="166"/>
        <v>2.2352386897279908E-2</v>
      </c>
      <c r="X230" s="80">
        <f t="shared" si="217"/>
        <v>396.20685719978832</v>
      </c>
      <c r="Y230" s="80">
        <f t="shared" si="218"/>
        <v>136.13685203379993</v>
      </c>
      <c r="Z230" s="80">
        <f t="shared" si="219"/>
        <v>110.32490576444383</v>
      </c>
      <c r="AA230" s="80">
        <f t="shared" si="220"/>
        <v>77.698675644379634</v>
      </c>
      <c r="AB230" s="80">
        <f t="shared" si="221"/>
        <v>517.89586448221633</v>
      </c>
      <c r="AC230" s="80">
        <f t="shared" si="222"/>
        <v>247.14255439168761</v>
      </c>
      <c r="AD230" s="80"/>
      <c r="AE230" s="80"/>
      <c r="AF230" s="80"/>
      <c r="AG230" s="80"/>
      <c r="AH230" s="80"/>
      <c r="AI230" s="80"/>
      <c r="AJ230" s="45">
        <f t="shared" si="167"/>
        <v>0</v>
      </c>
      <c r="AK230" s="45">
        <f t="shared" si="168"/>
        <v>0</v>
      </c>
      <c r="AL230" s="45">
        <f t="shared" si="169"/>
        <v>0</v>
      </c>
      <c r="AM230" s="45">
        <f t="shared" si="170"/>
        <v>0</v>
      </c>
      <c r="AN230" s="45">
        <f t="shared" si="171"/>
        <v>0</v>
      </c>
      <c r="AO230" s="45">
        <f t="shared" si="172"/>
        <v>0</v>
      </c>
      <c r="AP230" s="80">
        <f t="shared" si="173"/>
        <v>0</v>
      </c>
      <c r="AQ230" s="80">
        <f t="shared" si="174"/>
        <v>0</v>
      </c>
      <c r="AR230" s="80">
        <f t="shared" si="175"/>
        <v>0</v>
      </c>
      <c r="AS230" s="80">
        <f t="shared" si="176"/>
        <v>0</v>
      </c>
      <c r="AT230" s="80">
        <f t="shared" si="177"/>
        <v>0</v>
      </c>
      <c r="AU230" s="80">
        <f t="shared" si="178"/>
        <v>0</v>
      </c>
      <c r="AV230" s="80">
        <f t="shared" si="223"/>
        <v>21.708992903535623</v>
      </c>
      <c r="AW230" s="80">
        <f t="shared" si="224"/>
        <v>10.76782181044738</v>
      </c>
      <c r="AX230" s="80">
        <f t="shared" si="225"/>
        <v>7.7698702541986808</v>
      </c>
      <c r="AY230" s="80">
        <f t="shared" si="226"/>
        <v>5.7754146500538859</v>
      </c>
      <c r="AZ230" s="80">
        <f t="shared" si="227"/>
        <v>39.124838877431984</v>
      </c>
      <c r="BA230" s="80">
        <f t="shared" si="228"/>
        <v>19.945839538835287</v>
      </c>
      <c r="BB230" s="80">
        <f t="shared" si="204"/>
        <v>417.91585010332392</v>
      </c>
      <c r="BC230" s="80">
        <f t="shared" si="205"/>
        <v>146.9046738442473</v>
      </c>
      <c r="BD230" s="80">
        <f t="shared" si="206"/>
        <v>118.09477601864251</v>
      </c>
      <c r="BE230" s="80">
        <f t="shared" si="207"/>
        <v>83.474090294433523</v>
      </c>
      <c r="BF230" s="80">
        <f t="shared" si="208"/>
        <v>557.02070335964834</v>
      </c>
      <c r="BG230" s="80">
        <f t="shared" si="209"/>
        <v>267.0883939305229</v>
      </c>
      <c r="BH230" s="49">
        <f t="shared" si="210"/>
        <v>0</v>
      </c>
      <c r="BI230" s="79">
        <f t="shared" si="211"/>
        <v>-63997.170058139396</v>
      </c>
      <c r="BJ230" s="79">
        <f t="shared" si="179"/>
        <v>76400</v>
      </c>
      <c r="BK230" s="44">
        <f t="shared" si="212"/>
        <v>0.19380278738252055</v>
      </c>
      <c r="BL230" s="79">
        <f t="shared" si="229"/>
        <v>4267.3069444615885</v>
      </c>
      <c r="BM230" s="49">
        <f t="shared" si="213"/>
        <v>80667.306944461583</v>
      </c>
      <c r="BN230" s="44">
        <f t="shared" si="214"/>
        <v>0.26048240681858115</v>
      </c>
      <c r="BO230" s="49">
        <f t="shared" si="180"/>
        <v>5265.2153228069874</v>
      </c>
      <c r="BP230" s="49">
        <f t="shared" si="181"/>
        <v>81665.215322806995</v>
      </c>
      <c r="BQ230" s="44">
        <f t="shared" si="182"/>
        <v>0.27607541471938113</v>
      </c>
      <c r="BS230" s="49">
        <f t="shared" si="183"/>
        <v>63997.170058139396</v>
      </c>
      <c r="BT230" s="49">
        <f t="shared" si="230"/>
        <v>67.489998</v>
      </c>
      <c r="BU230" s="49">
        <f t="shared" si="231"/>
        <v>46.369999</v>
      </c>
      <c r="BV230" s="49">
        <f t="shared" si="184"/>
        <v>1585.7172342504136</v>
      </c>
      <c r="BW230" s="18">
        <f t="shared" si="185"/>
        <v>1316</v>
      </c>
      <c r="BX230" s="19">
        <f t="shared" si="215"/>
        <v>0.69816513761467891</v>
      </c>
      <c r="BY230" s="49">
        <f t="shared" si="216"/>
        <v>1107.092491068408</v>
      </c>
      <c r="BZ230" s="19">
        <f t="shared" si="186"/>
        <v>8.0008057976196358</v>
      </c>
      <c r="CA230" s="19">
        <f t="shared" si="187"/>
        <v>2.2382499122419461</v>
      </c>
      <c r="CB230" s="19">
        <f t="shared" si="188"/>
        <v>2.1164851400401981</v>
      </c>
      <c r="CC230" s="19">
        <f t="shared" si="189"/>
        <v>2.0607590552967032</v>
      </c>
      <c r="CD230" s="19">
        <f t="shared" si="190"/>
        <v>17.895890867439128</v>
      </c>
      <c r="CE230" s="19">
        <f t="shared" si="191"/>
        <v>2.2352386897279908E-2</v>
      </c>
      <c r="CF230" s="49">
        <f t="shared" si="192"/>
        <v>-539.97436727973763</v>
      </c>
      <c r="CG230" s="49">
        <f t="shared" si="193"/>
        <v>-125.61058283676812</v>
      </c>
      <c r="CH230" s="49">
        <f t="shared" si="194"/>
        <v>-117.25328099119724</v>
      </c>
      <c r="CI230" s="49">
        <f t="shared" si="195"/>
        <v>-141.84204989759019</v>
      </c>
      <c r="CJ230" s="49">
        <f t="shared" si="196"/>
        <v>-660.00047308704598</v>
      </c>
      <c r="CK230" s="49">
        <f t="shared" si="197"/>
        <v>-1.0364801580744825</v>
      </c>
    </row>
    <row r="231" spans="2:89" ht="12.75" customHeight="1" x14ac:dyDescent="0.2">
      <c r="B231" s="77">
        <v>40616</v>
      </c>
      <c r="C231" s="49">
        <v>66.279999000000004</v>
      </c>
      <c r="D231" s="49">
        <v>55.27</v>
      </c>
      <c r="E231" s="49">
        <v>54.720001000000003</v>
      </c>
      <c r="F231" s="49">
        <v>68.080001999999993</v>
      </c>
      <c r="G231" s="49">
        <v>36.009998000000003</v>
      </c>
      <c r="H231" s="49">
        <v>45.740001999999997</v>
      </c>
      <c r="J231" s="78">
        <f>IF(inter=Weekly_2,J230+$C$5,IF(inter=Bi_weekly_2,0,IF(inter=Monthly_2,0,IF(inter=Quarterly_2,0,IF(inter=Yearly_2,0,IF(inter=None_2,0,0))))))</f>
        <v>0</v>
      </c>
      <c r="K231" s="79">
        <f t="shared" si="198"/>
        <v>0</v>
      </c>
      <c r="L231" s="79">
        <f t="shared" si="199"/>
        <v>0</v>
      </c>
      <c r="M231" s="79">
        <f t="shared" si="200"/>
        <v>0</v>
      </c>
      <c r="N231" s="79">
        <f t="shared" si="201"/>
        <v>0</v>
      </c>
      <c r="O231" s="79">
        <f t="shared" si="202"/>
        <v>0</v>
      </c>
      <c r="P231" s="79">
        <f t="shared" si="203"/>
        <v>0</v>
      </c>
      <c r="Q231" s="79"/>
      <c r="R231" s="80">
        <f t="shared" si="161"/>
        <v>0</v>
      </c>
      <c r="S231" s="80">
        <f t="shared" si="162"/>
        <v>0</v>
      </c>
      <c r="T231" s="80">
        <f t="shared" si="163"/>
        <v>0</v>
      </c>
      <c r="U231" s="80">
        <f t="shared" si="164"/>
        <v>0</v>
      </c>
      <c r="V231" s="80">
        <f t="shared" si="165"/>
        <v>0</v>
      </c>
      <c r="W231" s="80">
        <f t="shared" si="166"/>
        <v>0</v>
      </c>
      <c r="X231" s="80">
        <f t="shared" si="217"/>
        <v>396.20685719978832</v>
      </c>
      <c r="Y231" s="80">
        <f t="shared" si="218"/>
        <v>136.13685203379993</v>
      </c>
      <c r="Z231" s="80">
        <f t="shared" si="219"/>
        <v>110.32490576444383</v>
      </c>
      <c r="AA231" s="80">
        <f t="shared" si="220"/>
        <v>77.698675644379634</v>
      </c>
      <c r="AB231" s="80">
        <f t="shared" si="221"/>
        <v>517.89586448221633</v>
      </c>
      <c r="AC231" s="80">
        <f t="shared" si="222"/>
        <v>247.14255439168761</v>
      </c>
      <c r="AD231" s="80"/>
      <c r="AE231" s="80"/>
      <c r="AF231" s="80"/>
      <c r="AG231" s="80"/>
      <c r="AH231" s="80"/>
      <c r="AI231" s="80"/>
      <c r="AJ231" s="45">
        <f t="shared" si="167"/>
        <v>0</v>
      </c>
      <c r="AK231" s="45">
        <f t="shared" si="168"/>
        <v>0</v>
      </c>
      <c r="AL231" s="45">
        <f t="shared" si="169"/>
        <v>0</v>
      </c>
      <c r="AM231" s="45">
        <f t="shared" si="170"/>
        <v>0</v>
      </c>
      <c r="AN231" s="45">
        <f t="shared" si="171"/>
        <v>0</v>
      </c>
      <c r="AO231" s="45">
        <f t="shared" si="172"/>
        <v>0</v>
      </c>
      <c r="AP231" s="80">
        <f t="shared" si="173"/>
        <v>0</v>
      </c>
      <c r="AQ231" s="80">
        <f t="shared" si="174"/>
        <v>0</v>
      </c>
      <c r="AR231" s="80">
        <f t="shared" si="175"/>
        <v>0</v>
      </c>
      <c r="AS231" s="80">
        <f t="shared" si="176"/>
        <v>0</v>
      </c>
      <c r="AT231" s="80">
        <f t="shared" si="177"/>
        <v>0</v>
      </c>
      <c r="AU231" s="80">
        <f t="shared" si="178"/>
        <v>0</v>
      </c>
      <c r="AV231" s="80">
        <f t="shared" si="223"/>
        <v>21.708992903535623</v>
      </c>
      <c r="AW231" s="80">
        <f t="shared" si="224"/>
        <v>10.76782181044738</v>
      </c>
      <c r="AX231" s="80">
        <f t="shared" si="225"/>
        <v>7.7698702541986808</v>
      </c>
      <c r="AY231" s="80">
        <f t="shared" si="226"/>
        <v>5.7754146500538859</v>
      </c>
      <c r="AZ231" s="80">
        <f t="shared" si="227"/>
        <v>39.124838877431984</v>
      </c>
      <c r="BA231" s="80">
        <f t="shared" si="228"/>
        <v>19.945839538835287</v>
      </c>
      <c r="BB231" s="80">
        <f t="shared" si="204"/>
        <v>417.91585010332392</v>
      </c>
      <c r="BC231" s="80">
        <f t="shared" si="205"/>
        <v>146.9046738442473</v>
      </c>
      <c r="BD231" s="80">
        <f t="shared" si="206"/>
        <v>118.09477601864251</v>
      </c>
      <c r="BE231" s="80">
        <f t="shared" si="207"/>
        <v>83.474090294433523</v>
      </c>
      <c r="BF231" s="80">
        <f t="shared" si="208"/>
        <v>557.02070335964834</v>
      </c>
      <c r="BG231" s="80">
        <f t="shared" si="209"/>
        <v>267.0883939305229</v>
      </c>
      <c r="BH231" s="49">
        <f t="shared" si="210"/>
        <v>0</v>
      </c>
      <c r="BI231" s="79">
        <f t="shared" si="211"/>
        <v>-63997.170058139396</v>
      </c>
      <c r="BJ231" s="79">
        <f t="shared" si="179"/>
        <v>75065.308834299009</v>
      </c>
      <c r="BK231" s="44">
        <f t="shared" si="212"/>
        <v>0.17294731573450139</v>
      </c>
      <c r="BL231" s="79">
        <f t="shared" si="229"/>
        <v>4267.3069444615885</v>
      </c>
      <c r="BM231" s="49">
        <f t="shared" si="213"/>
        <v>79332.615778760592</v>
      </c>
      <c r="BN231" s="44">
        <f t="shared" si="214"/>
        <v>0.23962693517056199</v>
      </c>
      <c r="BO231" s="49">
        <f t="shared" si="180"/>
        <v>5173.5751985315492</v>
      </c>
      <c r="BP231" s="49">
        <f t="shared" si="181"/>
        <v>80238.884032830567</v>
      </c>
      <c r="BQ231" s="44">
        <f t="shared" si="182"/>
        <v>0.25378800281225078</v>
      </c>
      <c r="BS231" s="49">
        <f t="shared" si="183"/>
        <v>63997.170058139396</v>
      </c>
      <c r="BT231" s="49">
        <f t="shared" si="230"/>
        <v>66.279999000000004</v>
      </c>
      <c r="BU231" s="49">
        <f t="shared" si="231"/>
        <v>45.740001999999997</v>
      </c>
      <c r="BV231" s="49">
        <f t="shared" si="184"/>
        <v>0</v>
      </c>
      <c r="BW231" s="18">
        <f t="shared" si="185"/>
        <v>1323</v>
      </c>
      <c r="BX231" s="19">
        <f t="shared" si="215"/>
        <v>0.69655963302752288</v>
      </c>
      <c r="BY231" s="49">
        <f t="shared" si="216"/>
        <v>0</v>
      </c>
      <c r="BZ231" s="19">
        <f t="shared" si="186"/>
        <v>0</v>
      </c>
      <c r="CA231" s="19">
        <f t="shared" si="187"/>
        <v>0</v>
      </c>
      <c r="CB231" s="19">
        <f t="shared" si="188"/>
        <v>0</v>
      </c>
      <c r="CC231" s="19">
        <f t="shared" si="189"/>
        <v>0</v>
      </c>
      <c r="CD231" s="19">
        <f t="shared" si="190"/>
        <v>0</v>
      </c>
      <c r="CE231" s="19">
        <f t="shared" si="191"/>
        <v>0</v>
      </c>
      <c r="CF231" s="49">
        <f t="shared" si="192"/>
        <v>0</v>
      </c>
      <c r="CG231" s="49">
        <f t="shared" si="193"/>
        <v>0</v>
      </c>
      <c r="CH231" s="49">
        <f t="shared" si="194"/>
        <v>0</v>
      </c>
      <c r="CI231" s="49">
        <f t="shared" si="195"/>
        <v>0</v>
      </c>
      <c r="CJ231" s="49">
        <f t="shared" si="196"/>
        <v>0</v>
      </c>
      <c r="CK231" s="49">
        <f t="shared" si="197"/>
        <v>0</v>
      </c>
    </row>
    <row r="232" spans="2:89" ht="12.75" customHeight="1" x14ac:dyDescent="0.2">
      <c r="B232" s="77">
        <v>40623</v>
      </c>
      <c r="C232" s="49">
        <v>67.860000999999997</v>
      </c>
      <c r="D232" s="49">
        <v>56.16</v>
      </c>
      <c r="E232" s="49">
        <v>56.139999000000003</v>
      </c>
      <c r="F232" s="49">
        <v>70.040001000000004</v>
      </c>
      <c r="G232" s="49">
        <v>36.849997999999999</v>
      </c>
      <c r="H232" s="49">
        <v>47.790000999999997</v>
      </c>
      <c r="J232" s="78">
        <f>IF(inter=Weekly_2,J231+$C$5,IF(inter=Bi_weekly_2,J230+$C$5,IF(inter=Monthly_2,0,IF(inter=Quarterly_2,0,IF(inter=Yearly_2,0,IF(inter=None_2,0,0))))))</f>
        <v>77000</v>
      </c>
      <c r="K232" s="79">
        <f t="shared" si="198"/>
        <v>-63.402274215510261</v>
      </c>
      <c r="L232" s="79">
        <f t="shared" si="199"/>
        <v>-54.554389781796999</v>
      </c>
      <c r="M232" s="79">
        <f t="shared" si="200"/>
        <v>33.640099290971193</v>
      </c>
      <c r="N232" s="79">
        <f t="shared" si="201"/>
        <v>52.015319831024499</v>
      </c>
      <c r="O232" s="79">
        <f t="shared" si="202"/>
        <v>-165.53842962205817</v>
      </c>
      <c r="P232" s="79">
        <f t="shared" si="203"/>
        <v>260.94292152130402</v>
      </c>
      <c r="Q232" s="79"/>
      <c r="R232" s="80">
        <f t="shared" si="161"/>
        <v>0.93430995109343229</v>
      </c>
      <c r="S232" s="80">
        <f t="shared" si="162"/>
        <v>0.97141007446219729</v>
      </c>
      <c r="T232" s="80">
        <f t="shared" si="163"/>
        <v>-0.59921802440664795</v>
      </c>
      <c r="U232" s="80">
        <f t="shared" si="164"/>
        <v>-0.74265161462554086</v>
      </c>
      <c r="V232" s="80">
        <f t="shared" si="165"/>
        <v>4.4922235714112704</v>
      </c>
      <c r="W232" s="80">
        <f t="shared" si="166"/>
        <v>-5.4601991224336661</v>
      </c>
      <c r="X232" s="80">
        <f t="shared" si="217"/>
        <v>397.14116715088176</v>
      </c>
      <c r="Y232" s="80">
        <f t="shared" si="218"/>
        <v>137.10826210826212</v>
      </c>
      <c r="Z232" s="80">
        <f t="shared" si="219"/>
        <v>109.72568774003717</v>
      </c>
      <c r="AA232" s="80">
        <f t="shared" si="220"/>
        <v>76.95602402975409</v>
      </c>
      <c r="AB232" s="80">
        <f t="shared" si="221"/>
        <v>522.3880880536276</v>
      </c>
      <c r="AC232" s="80">
        <f t="shared" si="222"/>
        <v>241.68235526925395</v>
      </c>
      <c r="AD232" s="80"/>
      <c r="AE232" s="80"/>
      <c r="AF232" s="80"/>
      <c r="AG232" s="80"/>
      <c r="AH232" s="80"/>
      <c r="AI232" s="80"/>
      <c r="AJ232" s="45">
        <f t="shared" si="167"/>
        <v>0</v>
      </c>
      <c r="AK232" s="45">
        <f t="shared" si="168"/>
        <v>0</v>
      </c>
      <c r="AL232" s="45">
        <f t="shared" si="169"/>
        <v>0</v>
      </c>
      <c r="AM232" s="45">
        <f t="shared" si="170"/>
        <v>0</v>
      </c>
      <c r="AN232" s="45">
        <f t="shared" si="171"/>
        <v>0</v>
      </c>
      <c r="AO232" s="45">
        <f t="shared" si="172"/>
        <v>0</v>
      </c>
      <c r="AP232" s="80">
        <f t="shared" si="173"/>
        <v>0</v>
      </c>
      <c r="AQ232" s="80">
        <f t="shared" si="174"/>
        <v>0</v>
      </c>
      <c r="AR232" s="80">
        <f t="shared" si="175"/>
        <v>0</v>
      </c>
      <c r="AS232" s="80">
        <f t="shared" si="176"/>
        <v>0</v>
      </c>
      <c r="AT232" s="80">
        <f t="shared" si="177"/>
        <v>0</v>
      </c>
      <c r="AU232" s="80">
        <f t="shared" si="178"/>
        <v>0</v>
      </c>
      <c r="AV232" s="80">
        <f t="shared" si="223"/>
        <v>21.708992903535623</v>
      </c>
      <c r="AW232" s="80">
        <f t="shared" si="224"/>
        <v>10.76782181044738</v>
      </c>
      <c r="AX232" s="80">
        <f t="shared" si="225"/>
        <v>7.7698702541986808</v>
      </c>
      <c r="AY232" s="80">
        <f t="shared" si="226"/>
        <v>5.7754146500538859</v>
      </c>
      <c r="AZ232" s="80">
        <f t="shared" si="227"/>
        <v>39.124838877431984</v>
      </c>
      <c r="BA232" s="80">
        <f t="shared" si="228"/>
        <v>19.945839538835287</v>
      </c>
      <c r="BB232" s="80">
        <f t="shared" si="204"/>
        <v>418.85016005441736</v>
      </c>
      <c r="BC232" s="80">
        <f t="shared" si="205"/>
        <v>147.8760839187095</v>
      </c>
      <c r="BD232" s="80">
        <f t="shared" si="206"/>
        <v>117.49555799423585</v>
      </c>
      <c r="BE232" s="80">
        <f t="shared" si="207"/>
        <v>82.731438679807979</v>
      </c>
      <c r="BF232" s="80">
        <f t="shared" si="208"/>
        <v>561.51292693105961</v>
      </c>
      <c r="BG232" s="80">
        <f t="shared" si="209"/>
        <v>261.62819480808923</v>
      </c>
      <c r="BH232" s="49">
        <f t="shared" si="210"/>
        <v>0</v>
      </c>
      <c r="BI232" s="79">
        <f t="shared" si="211"/>
        <v>-63934.066811115466</v>
      </c>
      <c r="BJ232" s="79">
        <f t="shared" si="179"/>
        <v>77000</v>
      </c>
      <c r="BK232" s="44">
        <f t="shared" si="212"/>
        <v>0.20436574490851744</v>
      </c>
      <c r="BL232" s="79">
        <f t="shared" si="229"/>
        <v>4267.3069444615885</v>
      </c>
      <c r="BM232" s="49">
        <f t="shared" si="213"/>
        <v>81267.306944461583</v>
      </c>
      <c r="BN232" s="44">
        <f t="shared" si="214"/>
        <v>0.27111117746591695</v>
      </c>
      <c r="BO232" s="49">
        <f t="shared" si="180"/>
        <v>5313.5656350741465</v>
      </c>
      <c r="BP232" s="49">
        <f t="shared" si="181"/>
        <v>82313.565635074148</v>
      </c>
      <c r="BQ232" s="44">
        <f t="shared" si="182"/>
        <v>0.28747582846963926</v>
      </c>
      <c r="BS232" s="49">
        <f t="shared" si="183"/>
        <v>63934.066811115466</v>
      </c>
      <c r="BT232" s="49">
        <f t="shared" si="230"/>
        <v>67.860000999999997</v>
      </c>
      <c r="BU232" s="49">
        <f t="shared" si="231"/>
        <v>47.790000999999997</v>
      </c>
      <c r="BV232" s="49">
        <f t="shared" si="184"/>
        <v>-63.103247023934273</v>
      </c>
      <c r="BW232" s="18">
        <f t="shared" si="185"/>
        <v>1330</v>
      </c>
      <c r="BX232" s="19">
        <f t="shared" si="215"/>
        <v>0.69495412844036697</v>
      </c>
      <c r="BY232" s="49">
        <f t="shared" si="216"/>
        <v>-43.853862037275427</v>
      </c>
      <c r="BZ232" s="19">
        <f t="shared" si="186"/>
        <v>0.93430995109343229</v>
      </c>
      <c r="CA232" s="19">
        <f t="shared" si="187"/>
        <v>0.97141007446219729</v>
      </c>
      <c r="CB232" s="19">
        <f t="shared" si="188"/>
        <v>0</v>
      </c>
      <c r="CC232" s="19">
        <f t="shared" si="189"/>
        <v>0</v>
      </c>
      <c r="CD232" s="19">
        <f t="shared" si="190"/>
        <v>4.4922235714112704</v>
      </c>
      <c r="CE232" s="19">
        <f t="shared" si="191"/>
        <v>0</v>
      </c>
      <c r="CF232" s="49">
        <f t="shared" si="192"/>
        <v>-63.402274215510261</v>
      </c>
      <c r="CG232" s="49">
        <f t="shared" si="193"/>
        <v>-54.554389781796999</v>
      </c>
      <c r="CH232" s="49">
        <f t="shared" si="194"/>
        <v>0</v>
      </c>
      <c r="CI232" s="49">
        <f t="shared" si="195"/>
        <v>0</v>
      </c>
      <c r="CJ232" s="49">
        <f t="shared" si="196"/>
        <v>-165.53842962205817</v>
      </c>
      <c r="CK232" s="49">
        <f t="shared" si="197"/>
        <v>0</v>
      </c>
    </row>
    <row r="233" spans="2:89" ht="12.75" customHeight="1" x14ac:dyDescent="0.2">
      <c r="B233" s="77">
        <v>40630</v>
      </c>
      <c r="C233" s="49">
        <v>69.040001000000004</v>
      </c>
      <c r="D233" s="49">
        <v>57.040000999999997</v>
      </c>
      <c r="E233" s="49">
        <v>57.41</v>
      </c>
      <c r="F233" s="49">
        <v>71.879997000000003</v>
      </c>
      <c r="G233" s="49">
        <v>37.689999</v>
      </c>
      <c r="H233" s="49">
        <v>49.75</v>
      </c>
      <c r="J233" s="78">
        <f>IF(inter=Weekly_2,J232+$C$5,IF(inter=Bi_weekly_2,0,IF(inter=Monthly_2,0,IF(inter=Quarterly_2,0,IF(inter=Yearly_2,0,IF(inter=None_2,0,0))))))</f>
        <v>0</v>
      </c>
      <c r="K233" s="79">
        <f t="shared" si="198"/>
        <v>0</v>
      </c>
      <c r="L233" s="79">
        <f t="shared" si="199"/>
        <v>0</v>
      </c>
      <c r="M233" s="79">
        <f t="shared" si="200"/>
        <v>0</v>
      </c>
      <c r="N233" s="79">
        <f t="shared" si="201"/>
        <v>0</v>
      </c>
      <c r="O233" s="79">
        <f t="shared" si="202"/>
        <v>0</v>
      </c>
      <c r="P233" s="79">
        <f t="shared" si="203"/>
        <v>0</v>
      </c>
      <c r="Q233" s="79"/>
      <c r="R233" s="80">
        <f t="shared" si="161"/>
        <v>0</v>
      </c>
      <c r="S233" s="80">
        <f t="shared" si="162"/>
        <v>0</v>
      </c>
      <c r="T233" s="80">
        <f t="shared" si="163"/>
        <v>0</v>
      </c>
      <c r="U233" s="80">
        <f t="shared" si="164"/>
        <v>0</v>
      </c>
      <c r="V233" s="80">
        <f t="shared" si="165"/>
        <v>0</v>
      </c>
      <c r="W233" s="80">
        <f t="shared" si="166"/>
        <v>0</v>
      </c>
      <c r="X233" s="80">
        <f t="shared" si="217"/>
        <v>397.14116715088176</v>
      </c>
      <c r="Y233" s="80">
        <f t="shared" si="218"/>
        <v>137.10826210826212</v>
      </c>
      <c r="Z233" s="80">
        <f t="shared" si="219"/>
        <v>109.72568774003717</v>
      </c>
      <c r="AA233" s="80">
        <f t="shared" si="220"/>
        <v>76.95602402975409</v>
      </c>
      <c r="AB233" s="80">
        <f t="shared" si="221"/>
        <v>522.3880880536276</v>
      </c>
      <c r="AC233" s="80">
        <f t="shared" si="222"/>
        <v>241.68235526925395</v>
      </c>
      <c r="AD233" s="80">
        <v>0.28299999999999997</v>
      </c>
      <c r="AE233" s="80">
        <v>0.35799999999999998</v>
      </c>
      <c r="AF233" s="80">
        <v>8.0000000000000002E-3</v>
      </c>
      <c r="AG233" s="80">
        <v>8.0000000000000002E-3</v>
      </c>
      <c r="AH233" s="80">
        <v>1.2E-2</v>
      </c>
      <c r="AI233" s="80"/>
      <c r="AJ233" s="45">
        <f t="shared" si="167"/>
        <v>112.39095030369953</v>
      </c>
      <c r="AK233" s="45">
        <f t="shared" si="168"/>
        <v>49.084757834757838</v>
      </c>
      <c r="AL233" s="45">
        <f t="shared" si="169"/>
        <v>0.87780550192029738</v>
      </c>
      <c r="AM233" s="45">
        <f t="shared" si="170"/>
        <v>0.61564819223803269</v>
      </c>
      <c r="AN233" s="45">
        <f t="shared" si="171"/>
        <v>6.2686570566435309</v>
      </c>
      <c r="AO233" s="45">
        <f t="shared" si="172"/>
        <v>0</v>
      </c>
      <c r="AP233" s="80">
        <f t="shared" si="173"/>
        <v>1.6279106123376146</v>
      </c>
      <c r="AQ233" s="80">
        <f t="shared" si="174"/>
        <v>0.860532205017981</v>
      </c>
      <c r="AR233" s="80">
        <f t="shared" si="175"/>
        <v>1.5290114995998911E-2</v>
      </c>
      <c r="AS233" s="80">
        <f t="shared" si="176"/>
        <v>8.5649446011806692E-3</v>
      </c>
      <c r="AT233" s="80">
        <f t="shared" si="177"/>
        <v>0.1663214970274616</v>
      </c>
      <c r="AU233" s="80">
        <f t="shared" si="178"/>
        <v>0</v>
      </c>
      <c r="AV233" s="80">
        <f t="shared" si="223"/>
        <v>23.336903515873239</v>
      </c>
      <c r="AW233" s="80">
        <f t="shared" si="224"/>
        <v>11.62835401546536</v>
      </c>
      <c r="AX233" s="80">
        <f t="shared" si="225"/>
        <v>7.7851603691946796</v>
      </c>
      <c r="AY233" s="80">
        <f t="shared" si="226"/>
        <v>5.7839795946550669</v>
      </c>
      <c r="AZ233" s="80">
        <f t="shared" si="227"/>
        <v>39.291160374459444</v>
      </c>
      <c r="BA233" s="80">
        <f t="shared" si="228"/>
        <v>19.945839538835287</v>
      </c>
      <c r="BB233" s="80">
        <f t="shared" si="204"/>
        <v>420.478070666755</v>
      </c>
      <c r="BC233" s="80">
        <f t="shared" si="205"/>
        <v>148.73661612372749</v>
      </c>
      <c r="BD233" s="80">
        <f t="shared" si="206"/>
        <v>117.51084810923186</v>
      </c>
      <c r="BE233" s="80">
        <f t="shared" si="207"/>
        <v>82.740003624409155</v>
      </c>
      <c r="BF233" s="80">
        <f t="shared" si="208"/>
        <v>561.67924842808702</v>
      </c>
      <c r="BG233" s="80">
        <f t="shared" si="209"/>
        <v>261.62819480808923</v>
      </c>
      <c r="BH233" s="49">
        <f t="shared" si="210"/>
        <v>169.23781888925924</v>
      </c>
      <c r="BI233" s="79">
        <f t="shared" si="211"/>
        <v>-63934.066811115466</v>
      </c>
      <c r="BJ233" s="79">
        <f t="shared" si="179"/>
        <v>78782.73618554628</v>
      </c>
      <c r="BK233" s="44">
        <f t="shared" si="212"/>
        <v>0.23224972405242417</v>
      </c>
      <c r="BL233" s="79">
        <f t="shared" si="229"/>
        <v>4436.5447633508475</v>
      </c>
      <c r="BM233" s="49">
        <f t="shared" si="213"/>
        <v>83219.280948897125</v>
      </c>
      <c r="BN233" s="44">
        <f t="shared" si="214"/>
        <v>0.30164222455545042</v>
      </c>
      <c r="BO233" s="49">
        <f t="shared" si="180"/>
        <v>5610.3489717298962</v>
      </c>
      <c r="BP233" s="49">
        <f t="shared" si="181"/>
        <v>84393.085157276175</v>
      </c>
      <c r="BQ233" s="44">
        <f t="shared" si="182"/>
        <v>0.32000182948793343</v>
      </c>
      <c r="BS233" s="49">
        <f t="shared" si="183"/>
        <v>63934.066811115466</v>
      </c>
      <c r="BT233" s="49">
        <f t="shared" si="230"/>
        <v>69.040001000000004</v>
      </c>
      <c r="BU233" s="49">
        <f t="shared" si="231"/>
        <v>49.75</v>
      </c>
      <c r="BV233" s="49">
        <f t="shared" si="184"/>
        <v>-169.23781888925924</v>
      </c>
      <c r="BW233" s="18">
        <f t="shared" si="185"/>
        <v>1337</v>
      </c>
      <c r="BX233" s="19">
        <f t="shared" si="215"/>
        <v>0.69334862385321105</v>
      </c>
      <c r="BY233" s="49">
        <f t="shared" si="216"/>
        <v>-117.34080883078687</v>
      </c>
      <c r="BZ233" s="19">
        <f t="shared" si="186"/>
        <v>0</v>
      </c>
      <c r="CA233" s="19">
        <f t="shared" si="187"/>
        <v>0</v>
      </c>
      <c r="CB233" s="19">
        <f t="shared" si="188"/>
        <v>0</v>
      </c>
      <c r="CC233" s="19">
        <f t="shared" si="189"/>
        <v>0</v>
      </c>
      <c r="CD233" s="19">
        <f t="shared" si="190"/>
        <v>0</v>
      </c>
      <c r="CE233" s="19">
        <f t="shared" si="191"/>
        <v>0</v>
      </c>
      <c r="CF233" s="49">
        <f t="shared" si="192"/>
        <v>0</v>
      </c>
      <c r="CG233" s="49">
        <f t="shared" si="193"/>
        <v>0</v>
      </c>
      <c r="CH233" s="49">
        <f t="shared" si="194"/>
        <v>0</v>
      </c>
      <c r="CI233" s="49">
        <f t="shared" si="195"/>
        <v>0</v>
      </c>
      <c r="CJ233" s="49">
        <f t="shared" si="196"/>
        <v>0</v>
      </c>
      <c r="CK233" s="49">
        <f t="shared" si="197"/>
        <v>0</v>
      </c>
    </row>
    <row r="234" spans="2:89" ht="12.75" customHeight="1" x14ac:dyDescent="0.2">
      <c r="B234" s="77">
        <v>40637</v>
      </c>
      <c r="C234" s="49">
        <v>68.830001999999993</v>
      </c>
      <c r="D234" s="49">
        <v>57.040000999999997</v>
      </c>
      <c r="E234" s="49">
        <v>57.139999000000003</v>
      </c>
      <c r="F234" s="49">
        <v>71.449996999999996</v>
      </c>
      <c r="G234" s="49">
        <v>38.029998999999997</v>
      </c>
      <c r="H234" s="49">
        <v>50.369999</v>
      </c>
      <c r="J234" s="78">
        <f>IF(inter=Weekly_2,J233+$C$5,IF(inter=Bi_weekly_2,J232+$C$5,IF(inter=Monthly_2,J230+$C$5,IF(inter=Quarterly_2,0,IF(inter=Yearly_2,0,IF(inter=None_2,0,0))))))</f>
        <v>77600</v>
      </c>
      <c r="K234" s="79">
        <f t="shared" si="198"/>
        <v>175.2273292775244</v>
      </c>
      <c r="L234" s="79">
        <f t="shared" si="199"/>
        <v>60.655407763532821</v>
      </c>
      <c r="M234" s="79">
        <f t="shared" si="200"/>
        <v>61.725687740036847</v>
      </c>
      <c r="N234" s="79">
        <f t="shared" si="201"/>
        <v>66.507686057856517</v>
      </c>
      <c r="O234" s="79">
        <f t="shared" si="202"/>
        <v>466.41846629136853</v>
      </c>
      <c r="P234" s="79">
        <f t="shared" si="203"/>
        <v>533.53999322996606</v>
      </c>
      <c r="Q234" s="79"/>
      <c r="R234" s="80">
        <f t="shared" ref="R234:R297" si="232">-((K234)/C234)</f>
        <v>-2.5457986951318761</v>
      </c>
      <c r="S234" s="80">
        <f t="shared" ref="S234:S297" si="233">-((L234)/D234)</f>
        <v>-1.063383707926878</v>
      </c>
      <c r="T234" s="80">
        <f t="shared" ref="T234:T297" si="234">-(M234)/E234</f>
        <v>-1.0802535670334339</v>
      </c>
      <c r="U234" s="80">
        <f t="shared" ref="U234:U297" si="235">-(N234)/F234</f>
        <v>-0.93082839538616802</v>
      </c>
      <c r="V234" s="80">
        <f t="shared" ref="V234:V297" si="236">-(O234)/G234</f>
        <v>-12.264487997787446</v>
      </c>
      <c r="W234" s="80">
        <f t="shared" ref="W234:W297" si="237">-(P234)/H234</f>
        <v>-10.592416196592858</v>
      </c>
      <c r="X234" s="80">
        <f t="shared" si="217"/>
        <v>394.59536845574991</v>
      </c>
      <c r="Y234" s="80">
        <f t="shared" si="218"/>
        <v>136.04487840033525</v>
      </c>
      <c r="Z234" s="80">
        <f t="shared" si="219"/>
        <v>108.64543417300374</v>
      </c>
      <c r="AA234" s="80">
        <f t="shared" si="220"/>
        <v>76.025195634367918</v>
      </c>
      <c r="AB234" s="80">
        <f t="shared" si="221"/>
        <v>510.12360005584014</v>
      </c>
      <c r="AC234" s="80">
        <f t="shared" si="222"/>
        <v>231.08993907266108</v>
      </c>
      <c r="AD234" s="80"/>
      <c r="AE234" s="80"/>
      <c r="AF234" s="80"/>
      <c r="AG234" s="80"/>
      <c r="AH234" s="80"/>
      <c r="AI234" s="80"/>
      <c r="AJ234" s="45">
        <f t="shared" ref="AJ234:AJ297" si="238">(X234*AD234)</f>
        <v>0</v>
      </c>
      <c r="AK234" s="45">
        <f t="shared" ref="AK234:AK297" si="239">(Y234*AE234)</f>
        <v>0</v>
      </c>
      <c r="AL234" s="45">
        <f t="shared" ref="AL234:AL297" si="240">(Z234*AF234)</f>
        <v>0</v>
      </c>
      <c r="AM234" s="45">
        <f t="shared" ref="AM234:AM297" si="241">(AA234*AG234)</f>
        <v>0</v>
      </c>
      <c r="AN234" s="45">
        <f t="shared" ref="AN234:AN297" si="242">(AB234*AH234)</f>
        <v>0</v>
      </c>
      <c r="AO234" s="45">
        <f t="shared" ref="AO234:AO297" si="243">(AC234*AI234)</f>
        <v>0</v>
      </c>
      <c r="AP234" s="80">
        <f t="shared" ref="AP234:AP297" si="244">IF(AJ234&gt;0,AJ234/C234,0)</f>
        <v>0</v>
      </c>
      <c r="AQ234" s="80">
        <f t="shared" ref="AQ234:AQ297" si="245">IF(AK234&gt;0,AK234/D234,0)</f>
        <v>0</v>
      </c>
      <c r="AR234" s="80">
        <f t="shared" ref="AR234:AR297" si="246">IF(AL234&gt;0,AL234/E234,0)</f>
        <v>0</v>
      </c>
      <c r="AS234" s="80">
        <f t="shared" ref="AS234:AS297" si="247">IF(AM234&gt;0,AM234/F234,0)</f>
        <v>0</v>
      </c>
      <c r="AT234" s="80">
        <f t="shared" ref="AT234:AT297" si="248">IF(AN234&gt;0,AN234/G234,0)</f>
        <v>0</v>
      </c>
      <c r="AU234" s="80">
        <f t="shared" ref="AU234:AU297" si="249">IF(AO234&gt;0,AO234/H234,0)</f>
        <v>0</v>
      </c>
      <c r="AV234" s="80">
        <f t="shared" si="223"/>
        <v>23.336903515873239</v>
      </c>
      <c r="AW234" s="80">
        <f t="shared" si="224"/>
        <v>11.62835401546536</v>
      </c>
      <c r="AX234" s="80">
        <f t="shared" si="225"/>
        <v>7.7851603691946796</v>
      </c>
      <c r="AY234" s="80">
        <f t="shared" si="226"/>
        <v>5.7839795946550669</v>
      </c>
      <c r="AZ234" s="80">
        <f t="shared" si="227"/>
        <v>39.291160374459444</v>
      </c>
      <c r="BA234" s="80">
        <f t="shared" si="228"/>
        <v>19.945839538835287</v>
      </c>
      <c r="BB234" s="80">
        <f t="shared" si="204"/>
        <v>417.93227197162315</v>
      </c>
      <c r="BC234" s="80">
        <f t="shared" si="205"/>
        <v>147.67323241580061</v>
      </c>
      <c r="BD234" s="80">
        <f t="shared" si="206"/>
        <v>116.43059454219842</v>
      </c>
      <c r="BE234" s="80">
        <f t="shared" si="207"/>
        <v>81.809175229022983</v>
      </c>
      <c r="BF234" s="80">
        <f t="shared" si="208"/>
        <v>549.41476043029957</v>
      </c>
      <c r="BG234" s="80">
        <f t="shared" si="209"/>
        <v>251.03577861149637</v>
      </c>
      <c r="BH234" s="49">
        <f t="shared" si="210"/>
        <v>0</v>
      </c>
      <c r="BI234" s="79">
        <f t="shared" si="211"/>
        <v>-62569.992240755193</v>
      </c>
      <c r="BJ234" s="79">
        <f t="shared" ref="BJ234:BJ297" si="250">(X234*C234)+(Y234*D234)+(Z234*E234)+(AA234*F234)+(AB234*G234)+(AC234*H234)</f>
        <v>77600</v>
      </c>
      <c r="BK234" s="44">
        <f t="shared" si="212"/>
        <v>0.24021111751800661</v>
      </c>
      <c r="BL234" s="79">
        <f t="shared" si="229"/>
        <v>4436.5447633508475</v>
      </c>
      <c r="BM234" s="49">
        <f t="shared" si="213"/>
        <v>82036.544763350845</v>
      </c>
      <c r="BN234" s="44">
        <f t="shared" si="214"/>
        <v>0.31111642858597066</v>
      </c>
      <c r="BO234" s="49">
        <f t="shared" ref="BO234:BO297" si="251">(C234*AV234)+(D234*AW234)+(E234*AX234)+(F234*AY234)+(G234*AZ234)+(H234*BA234)</f>
        <v>5626.5845281134752</v>
      </c>
      <c r="BP234" s="49">
        <f t="shared" ref="BP234:BP297" si="252">(C234*BB234)+(D234*BC234)+(E234*BD234)+(F234*BE234)+(G234*BF234)+(H234*BG234)</f>
        <v>83226.584528113483</v>
      </c>
      <c r="BQ234" s="44">
        <f t="shared" ref="BQ234:BQ297" si="253">(BP234/ABS(BI234))-1</f>
        <v>0.33013576552601109</v>
      </c>
      <c r="BS234" s="49">
        <f t="shared" ref="BS234:BS297" si="254">ABS(BI234)</f>
        <v>62569.992240755193</v>
      </c>
      <c r="BT234" s="49">
        <f t="shared" si="230"/>
        <v>68.830001999999993</v>
      </c>
      <c r="BU234" s="49">
        <f t="shared" si="231"/>
        <v>50.369999</v>
      </c>
      <c r="BV234" s="49">
        <f t="shared" ref="BV234:BV297" si="255">-(K234+L234+M234+N234+O234+P234+BH234)</f>
        <v>-1364.0745703602852</v>
      </c>
      <c r="BW234" s="18">
        <f t="shared" ref="BW234:BW297" si="256">DATEDIF($B$42,B234,"d")</f>
        <v>1344</v>
      </c>
      <c r="BX234" s="19">
        <f t="shared" si="215"/>
        <v>0.69174311926605503</v>
      </c>
      <c r="BY234" s="49">
        <f t="shared" si="216"/>
        <v>-943.58919821252755</v>
      </c>
      <c r="BZ234" s="19">
        <f t="shared" ref="BZ234:BZ297" si="257">IF(R234&gt;0,R234,0)</f>
        <v>0</v>
      </c>
      <c r="CA234" s="19">
        <f t="shared" ref="CA234:CA297" si="258">IF(S234&gt;0,S234,0)</f>
        <v>0</v>
      </c>
      <c r="CB234" s="19">
        <f t="shared" ref="CB234:CB297" si="259">IF(T234&gt;0,T234,0)</f>
        <v>0</v>
      </c>
      <c r="CC234" s="19">
        <f t="shared" ref="CC234:CC297" si="260">IF(U234&gt;0,U234,0)</f>
        <v>0</v>
      </c>
      <c r="CD234" s="19">
        <f t="shared" ref="CD234:CD297" si="261">IF(V234&gt;0,V234,0)</f>
        <v>0</v>
      </c>
      <c r="CE234" s="19">
        <f t="shared" ref="CE234:CE297" si="262">IF(W234&gt;0,W234,0)</f>
        <v>0</v>
      </c>
      <c r="CF234" s="49">
        <f t="shared" ref="CF234:CF297" si="263">IF(K234&lt;0,K234,0)</f>
        <v>0</v>
      </c>
      <c r="CG234" s="49">
        <f t="shared" ref="CG234:CG297" si="264">IF(L234&lt;0,L234,0)</f>
        <v>0</v>
      </c>
      <c r="CH234" s="49">
        <f t="shared" ref="CH234:CH297" si="265">IF(M234&lt;0,M234,0)</f>
        <v>0</v>
      </c>
      <c r="CI234" s="49">
        <f t="shared" ref="CI234:CI297" si="266">IF(N234&lt;0,N234,0)</f>
        <v>0</v>
      </c>
      <c r="CJ234" s="49">
        <f t="shared" ref="CJ234:CJ297" si="267">IF(O234&lt;0,O234,0)</f>
        <v>0</v>
      </c>
      <c r="CK234" s="49">
        <f t="shared" ref="CK234:CK297" si="268">IF(P234&lt;0,P234,0)</f>
        <v>0</v>
      </c>
    </row>
    <row r="235" spans="2:89" ht="12.75" customHeight="1" x14ac:dyDescent="0.2">
      <c r="B235" s="77">
        <v>40644</v>
      </c>
      <c r="C235" s="49">
        <v>68.410004000000001</v>
      </c>
      <c r="D235" s="49">
        <v>56.599997999999999</v>
      </c>
      <c r="E235" s="49">
        <v>56.93</v>
      </c>
      <c r="F235" s="49">
        <v>70.879997000000003</v>
      </c>
      <c r="G235" s="49">
        <v>37.840000000000003</v>
      </c>
      <c r="H235" s="49">
        <v>49.549999</v>
      </c>
      <c r="J235" s="78">
        <f>IF(inter=Weekly_2,J234+$C$5,IF(inter=Bi_weekly_2,0,IF(inter=Monthly_2,0,IF(inter=Quarterly_2,0,IF(inter=Yearly_2,0,IF(inter=None_2,0,0))))))</f>
        <v>0</v>
      </c>
      <c r="K235" s="79">
        <f t="shared" ref="K235:K298" si="269">IF(J235=0,0,-((J235*$C$36)-(X234*C235)))</f>
        <v>0</v>
      </c>
      <c r="L235" s="79">
        <f t="shared" ref="L235:L298" si="270">IF(J235=0,0,-((J235*$D$36)-(Y234*D235)))</f>
        <v>0</v>
      </c>
      <c r="M235" s="79">
        <f t="shared" ref="M235:M298" si="271">IF(J235=0,0,-((J235*$E$36)-(Z234*E235)))</f>
        <v>0</v>
      </c>
      <c r="N235" s="79">
        <f t="shared" ref="N235:N298" si="272">IF(J235=0,0,-((J235*$F$36)-(AA234*F235)))</f>
        <v>0</v>
      </c>
      <c r="O235" s="79">
        <f t="shared" ref="O235:O298" si="273">IF(J235=0,0,-((J235*$G$36)-(AB234*G235)))</f>
        <v>0</v>
      </c>
      <c r="P235" s="79">
        <f t="shared" ref="P235:P298" si="274">IF(J235=0,0,-((J235*$H$36)-(AC234*H235)))</f>
        <v>0</v>
      </c>
      <c r="Q235" s="79"/>
      <c r="R235" s="80">
        <f t="shared" si="232"/>
        <v>0</v>
      </c>
      <c r="S235" s="80">
        <f t="shared" si="233"/>
        <v>0</v>
      </c>
      <c r="T235" s="80">
        <f t="shared" si="234"/>
        <v>0</v>
      </c>
      <c r="U235" s="80">
        <f t="shared" si="235"/>
        <v>0</v>
      </c>
      <c r="V235" s="80">
        <f t="shared" si="236"/>
        <v>0</v>
      </c>
      <c r="W235" s="80">
        <f t="shared" si="237"/>
        <v>0</v>
      </c>
      <c r="X235" s="80">
        <f t="shared" si="217"/>
        <v>394.59536845574991</v>
      </c>
      <c r="Y235" s="80">
        <f t="shared" si="218"/>
        <v>136.04487840033525</v>
      </c>
      <c r="Z235" s="80">
        <f t="shared" si="219"/>
        <v>108.64543417300374</v>
      </c>
      <c r="AA235" s="80">
        <f t="shared" si="220"/>
        <v>76.025195634367918</v>
      </c>
      <c r="AB235" s="80">
        <f t="shared" si="221"/>
        <v>510.12360005584014</v>
      </c>
      <c r="AC235" s="80">
        <f t="shared" si="222"/>
        <v>231.08993907266108</v>
      </c>
      <c r="AD235" s="80"/>
      <c r="AE235" s="80"/>
      <c r="AF235" s="80"/>
      <c r="AG235" s="80"/>
      <c r="AH235" s="80"/>
      <c r="AI235" s="80"/>
      <c r="AJ235" s="45">
        <f t="shared" si="238"/>
        <v>0</v>
      </c>
      <c r="AK235" s="45">
        <f t="shared" si="239"/>
        <v>0</v>
      </c>
      <c r="AL235" s="45">
        <f t="shared" si="240"/>
        <v>0</v>
      </c>
      <c r="AM235" s="45">
        <f t="shared" si="241"/>
        <v>0</v>
      </c>
      <c r="AN235" s="45">
        <f t="shared" si="242"/>
        <v>0</v>
      </c>
      <c r="AO235" s="45">
        <f t="shared" si="243"/>
        <v>0</v>
      </c>
      <c r="AP235" s="80">
        <f t="shared" si="244"/>
        <v>0</v>
      </c>
      <c r="AQ235" s="80">
        <f t="shared" si="245"/>
        <v>0</v>
      </c>
      <c r="AR235" s="80">
        <f t="shared" si="246"/>
        <v>0</v>
      </c>
      <c r="AS235" s="80">
        <f t="shared" si="247"/>
        <v>0</v>
      </c>
      <c r="AT235" s="80">
        <f t="shared" si="248"/>
        <v>0</v>
      </c>
      <c r="AU235" s="80">
        <f t="shared" si="249"/>
        <v>0</v>
      </c>
      <c r="AV235" s="80">
        <f t="shared" si="223"/>
        <v>23.336903515873239</v>
      </c>
      <c r="AW235" s="80">
        <f t="shared" si="224"/>
        <v>11.62835401546536</v>
      </c>
      <c r="AX235" s="80">
        <f t="shared" si="225"/>
        <v>7.7851603691946796</v>
      </c>
      <c r="AY235" s="80">
        <f t="shared" si="226"/>
        <v>5.7839795946550669</v>
      </c>
      <c r="AZ235" s="80">
        <f t="shared" si="227"/>
        <v>39.291160374459444</v>
      </c>
      <c r="BA235" s="80">
        <f t="shared" si="228"/>
        <v>19.945839538835287</v>
      </c>
      <c r="BB235" s="80">
        <f t="shared" ref="BB235:BB298" si="275">X235+AV235</f>
        <v>417.93227197162315</v>
      </c>
      <c r="BC235" s="80">
        <f t="shared" ref="BC235:BC298" si="276">Y235+AW235</f>
        <v>147.67323241580061</v>
      </c>
      <c r="BD235" s="80">
        <f t="shared" ref="BD235:BD298" si="277">Z235+AX235</f>
        <v>116.43059454219842</v>
      </c>
      <c r="BE235" s="80">
        <f t="shared" ref="BE235:BE298" si="278">AA235+AY235</f>
        <v>81.809175229022983</v>
      </c>
      <c r="BF235" s="80">
        <f t="shared" ref="BF235:BF298" si="279">AB235+AZ235</f>
        <v>549.41476043029957</v>
      </c>
      <c r="BG235" s="80">
        <f t="shared" ref="BG235:BG298" si="280">AC235+BA235</f>
        <v>251.03577861149637</v>
      </c>
      <c r="BH235" s="49">
        <f t="shared" ref="BH235:BH298" si="281">(AJ235+AK235+AL235+AM235+AN235+AO235)</f>
        <v>0</v>
      </c>
      <c r="BI235" s="79">
        <f t="shared" ref="BI235:BI298" si="282">BI234+K235+L235+M235+N235+O235+P235</f>
        <v>-62569.992240755193</v>
      </c>
      <c r="BJ235" s="79">
        <f t="shared" si="250"/>
        <v>77021.844061839482</v>
      </c>
      <c r="BK235" s="44">
        <f t="shared" ref="BK235:BK298" si="283">BJ235/ABS(BI235)-1</f>
        <v>0.23097097032514924</v>
      </c>
      <c r="BL235" s="79">
        <f t="shared" si="229"/>
        <v>4436.5447633508475</v>
      </c>
      <c r="BM235" s="49">
        <f t="shared" ref="BM235:BM298" si="284">BJ235+BL235</f>
        <v>81458.388825190326</v>
      </c>
      <c r="BN235" s="44">
        <f t="shared" ref="BN235:BN298" si="285">BM235/ABS(BI235)-1</f>
        <v>0.30187628139311329</v>
      </c>
      <c r="BO235" s="49">
        <f t="shared" si="251"/>
        <v>5582.9139507955933</v>
      </c>
      <c r="BP235" s="49">
        <f t="shared" si="252"/>
        <v>82604.758012635066</v>
      </c>
      <c r="BQ235" s="44">
        <f t="shared" si="253"/>
        <v>0.32019767071075567</v>
      </c>
      <c r="BS235" s="49">
        <f t="shared" si="254"/>
        <v>62569.992240755193</v>
      </c>
      <c r="BT235" s="49">
        <f t="shared" si="230"/>
        <v>68.410004000000001</v>
      </c>
      <c r="BU235" s="49">
        <f t="shared" si="231"/>
        <v>49.549999</v>
      </c>
      <c r="BV235" s="49">
        <f t="shared" si="255"/>
        <v>0</v>
      </c>
      <c r="BW235" s="18">
        <f t="shared" si="256"/>
        <v>1351</v>
      </c>
      <c r="BX235" s="19">
        <f t="shared" ref="BX235:BX298" si="286">($BW$40-BW235)/$BW$40</f>
        <v>0.69013761467889911</v>
      </c>
      <c r="BY235" s="49">
        <f t="shared" ref="BY235:BY298" si="287">BX235*BV235</f>
        <v>0</v>
      </c>
      <c r="BZ235" s="19">
        <f t="shared" si="257"/>
        <v>0</v>
      </c>
      <c r="CA235" s="19">
        <f t="shared" si="258"/>
        <v>0</v>
      </c>
      <c r="CB235" s="19">
        <f t="shared" si="259"/>
        <v>0</v>
      </c>
      <c r="CC235" s="19">
        <f t="shared" si="260"/>
        <v>0</v>
      </c>
      <c r="CD235" s="19">
        <f t="shared" si="261"/>
        <v>0</v>
      </c>
      <c r="CE235" s="19">
        <f t="shared" si="262"/>
        <v>0</v>
      </c>
      <c r="CF235" s="49">
        <f t="shared" si="263"/>
        <v>0</v>
      </c>
      <c r="CG235" s="49">
        <f t="shared" si="264"/>
        <v>0</v>
      </c>
      <c r="CH235" s="49">
        <f t="shared" si="265"/>
        <v>0</v>
      </c>
      <c r="CI235" s="49">
        <f t="shared" si="266"/>
        <v>0</v>
      </c>
      <c r="CJ235" s="49">
        <f t="shared" si="267"/>
        <v>0</v>
      </c>
      <c r="CK235" s="49">
        <f t="shared" si="268"/>
        <v>0</v>
      </c>
    </row>
    <row r="236" spans="2:89" ht="12.75" customHeight="1" x14ac:dyDescent="0.2">
      <c r="B236" s="77">
        <v>40651</v>
      </c>
      <c r="C236" s="49">
        <v>69.309997999999993</v>
      </c>
      <c r="D236" s="49">
        <v>57.040000999999997</v>
      </c>
      <c r="E236" s="49">
        <v>57.59</v>
      </c>
      <c r="F236" s="49">
        <v>71.459998999999996</v>
      </c>
      <c r="G236" s="49">
        <v>38.560001</v>
      </c>
      <c r="H236" s="49">
        <v>50.709999000000003</v>
      </c>
      <c r="J236" s="78">
        <f>IF(inter=Weekly_2,J235+$C$5,IF(inter=Bi_weekly_2,J234+$C$5,IF(inter=Monthly_2,0,IF(inter=Quarterly_2,0,IF(inter=Yearly_2,0,IF(inter=None_2,0,0))))))</f>
        <v>78200</v>
      </c>
      <c r="K236" s="79">
        <f t="shared" si="269"/>
        <v>-20.595801522715192</v>
      </c>
      <c r="L236" s="79">
        <f t="shared" si="270"/>
        <v>-59.999999999999091</v>
      </c>
      <c r="M236" s="79">
        <f t="shared" si="271"/>
        <v>0.89055402328540367</v>
      </c>
      <c r="N236" s="79">
        <f t="shared" si="272"/>
        <v>-41.239595993265539</v>
      </c>
      <c r="O236" s="79">
        <f t="shared" si="273"/>
        <v>120.36652827679427</v>
      </c>
      <c r="P236" s="79">
        <f t="shared" si="274"/>
        <v>-11.429420715294327</v>
      </c>
      <c r="Q236" s="79"/>
      <c r="R236" s="80">
        <f t="shared" si="232"/>
        <v>0.29715484225977318</v>
      </c>
      <c r="S236" s="80">
        <f t="shared" si="233"/>
        <v>1.0518933896932978</v>
      </c>
      <c r="T236" s="80">
        <f t="shared" si="234"/>
        <v>-1.5463692017457955E-2</v>
      </c>
      <c r="U236" s="80">
        <f t="shared" si="235"/>
        <v>0.57710042779689297</v>
      </c>
      <c r="V236" s="80">
        <f t="shared" si="236"/>
        <v>-3.1215385154371305</v>
      </c>
      <c r="W236" s="80">
        <f t="shared" si="237"/>
        <v>0.22538791048476114</v>
      </c>
      <c r="X236" s="80">
        <f t="shared" ref="X236:X299" si="288">X235+R236</f>
        <v>394.89252329800968</v>
      </c>
      <c r="Y236" s="80">
        <f t="shared" ref="Y236:Y299" si="289">Y235+S236</f>
        <v>137.09677179002855</v>
      </c>
      <c r="Z236" s="80">
        <f t="shared" ref="Z236:Z299" si="290">Z235+T236</f>
        <v>108.62997048098627</v>
      </c>
      <c r="AA236" s="80">
        <f t="shared" ref="AA236:AA299" si="291">AA235+U236</f>
        <v>76.602296062164811</v>
      </c>
      <c r="AB236" s="80">
        <f t="shared" ref="AB236:AB299" si="292">AB235+V236</f>
        <v>507.00206154040302</v>
      </c>
      <c r="AC236" s="80">
        <f t="shared" ref="AC236:AC299" si="293">AC235+W236</f>
        <v>231.31532698314584</v>
      </c>
      <c r="AD236" s="80"/>
      <c r="AE236" s="80"/>
      <c r="AF236" s="80"/>
      <c r="AG236" s="80"/>
      <c r="AH236" s="80"/>
      <c r="AI236" s="80"/>
      <c r="AJ236" s="45">
        <f t="shared" si="238"/>
        <v>0</v>
      </c>
      <c r="AK236" s="45">
        <f t="shared" si="239"/>
        <v>0</v>
      </c>
      <c r="AL236" s="45">
        <f t="shared" si="240"/>
        <v>0</v>
      </c>
      <c r="AM236" s="45">
        <f t="shared" si="241"/>
        <v>0</v>
      </c>
      <c r="AN236" s="45">
        <f t="shared" si="242"/>
        <v>0</v>
      </c>
      <c r="AO236" s="45">
        <f t="shared" si="243"/>
        <v>0</v>
      </c>
      <c r="AP236" s="80">
        <f t="shared" si="244"/>
        <v>0</v>
      </c>
      <c r="AQ236" s="80">
        <f t="shared" si="245"/>
        <v>0</v>
      </c>
      <c r="AR236" s="80">
        <f t="shared" si="246"/>
        <v>0</v>
      </c>
      <c r="AS236" s="80">
        <f t="shared" si="247"/>
        <v>0</v>
      </c>
      <c r="AT236" s="80">
        <f t="shared" si="248"/>
        <v>0</v>
      </c>
      <c r="AU236" s="80">
        <f t="shared" si="249"/>
        <v>0</v>
      </c>
      <c r="AV236" s="80">
        <f t="shared" ref="AV236:AV299" si="294">AP236+AV235+IF(AP236&lt;0,AP236,0)</f>
        <v>23.336903515873239</v>
      </c>
      <c r="AW236" s="80">
        <f t="shared" ref="AW236:AW299" si="295">AQ236+AW235+IF(AQ236&lt;0,AQ236,0)</f>
        <v>11.62835401546536</v>
      </c>
      <c r="AX236" s="80">
        <f t="shared" ref="AX236:AX299" si="296">AR236+AX235+IF(AR236&lt;0,AR236,0)</f>
        <v>7.7851603691946796</v>
      </c>
      <c r="AY236" s="80">
        <f t="shared" ref="AY236:AY299" si="297">AS236+AY235+IF(AS236&lt;0,AS236,0)</f>
        <v>5.7839795946550669</v>
      </c>
      <c r="AZ236" s="80">
        <f t="shared" ref="AZ236:AZ299" si="298">AT236+AZ235+IF(AT236&lt;0,AT236,0)</f>
        <v>39.291160374459444</v>
      </c>
      <c r="BA236" s="80">
        <f t="shared" ref="BA236:BA299" si="299">AU236+BA235+IF(AU236&lt;0,AU236,0)</f>
        <v>19.945839538835287</v>
      </c>
      <c r="BB236" s="80">
        <f t="shared" si="275"/>
        <v>418.22942681388292</v>
      </c>
      <c r="BC236" s="80">
        <f t="shared" si="276"/>
        <v>148.72512580549392</v>
      </c>
      <c r="BD236" s="80">
        <f t="shared" si="277"/>
        <v>116.41513085018096</v>
      </c>
      <c r="BE236" s="80">
        <f t="shared" si="278"/>
        <v>82.386275656819876</v>
      </c>
      <c r="BF236" s="80">
        <f t="shared" si="279"/>
        <v>546.29322191486244</v>
      </c>
      <c r="BG236" s="80">
        <f t="shared" si="280"/>
        <v>251.26116652198112</v>
      </c>
      <c r="BH236" s="49">
        <f t="shared" si="281"/>
        <v>0</v>
      </c>
      <c r="BI236" s="79">
        <f t="shared" si="282"/>
        <v>-62581.999976686384</v>
      </c>
      <c r="BJ236" s="79">
        <f t="shared" si="250"/>
        <v>78200</v>
      </c>
      <c r="BK236" s="44">
        <f t="shared" si="283"/>
        <v>0.24956057698909873</v>
      </c>
      <c r="BL236" s="79">
        <f t="shared" ref="BL236:BL299" si="300">BL235+BH236</f>
        <v>4436.5447633508475</v>
      </c>
      <c r="BM236" s="49">
        <f t="shared" si="284"/>
        <v>82636.544763350845</v>
      </c>
      <c r="BN236" s="44">
        <f t="shared" si="285"/>
        <v>0.32045228331046238</v>
      </c>
      <c r="BO236" s="49">
        <f t="shared" si="251"/>
        <v>5668.9533087926739</v>
      </c>
      <c r="BP236" s="49">
        <f t="shared" si="252"/>
        <v>83868.953308792668</v>
      </c>
      <c r="BQ236" s="44">
        <f t="shared" si="253"/>
        <v>0.34014498322259268</v>
      </c>
      <c r="BS236" s="49">
        <f t="shared" si="254"/>
        <v>62581.999976686384</v>
      </c>
      <c r="BT236" s="49">
        <f t="shared" si="230"/>
        <v>69.309997999999993</v>
      </c>
      <c r="BU236" s="49">
        <f t="shared" si="231"/>
        <v>50.709999000000003</v>
      </c>
      <c r="BV236" s="49">
        <f t="shared" si="255"/>
        <v>12.007735931194475</v>
      </c>
      <c r="BW236" s="18">
        <f t="shared" si="256"/>
        <v>1358</v>
      </c>
      <c r="BX236" s="19">
        <f t="shared" si="286"/>
        <v>0.68853211009174309</v>
      </c>
      <c r="BY236" s="49">
        <f t="shared" si="287"/>
        <v>8.2677117581297725</v>
      </c>
      <c r="BZ236" s="19">
        <f t="shared" si="257"/>
        <v>0.29715484225977318</v>
      </c>
      <c r="CA236" s="19">
        <f t="shared" si="258"/>
        <v>1.0518933896932978</v>
      </c>
      <c r="CB236" s="19">
        <f t="shared" si="259"/>
        <v>0</v>
      </c>
      <c r="CC236" s="19">
        <f t="shared" si="260"/>
        <v>0.57710042779689297</v>
      </c>
      <c r="CD236" s="19">
        <f t="shared" si="261"/>
        <v>0</v>
      </c>
      <c r="CE236" s="19">
        <f t="shared" si="262"/>
        <v>0.22538791048476114</v>
      </c>
      <c r="CF236" s="49">
        <f t="shared" si="263"/>
        <v>-20.595801522715192</v>
      </c>
      <c r="CG236" s="49">
        <f t="shared" si="264"/>
        <v>-59.999999999999091</v>
      </c>
      <c r="CH236" s="49">
        <f t="shared" si="265"/>
        <v>0</v>
      </c>
      <c r="CI236" s="49">
        <f t="shared" si="266"/>
        <v>-41.239595993265539</v>
      </c>
      <c r="CJ236" s="49">
        <f t="shared" si="267"/>
        <v>0</v>
      </c>
      <c r="CK236" s="49">
        <f t="shared" si="268"/>
        <v>-11.429420715294327</v>
      </c>
    </row>
    <row r="237" spans="2:89" ht="12.75" customHeight="1" x14ac:dyDescent="0.2">
      <c r="B237" s="77">
        <v>40658</v>
      </c>
      <c r="C237" s="49">
        <v>70.699996999999996</v>
      </c>
      <c r="D237" s="49">
        <v>58.400002000000001</v>
      </c>
      <c r="E237" s="49">
        <v>58.669998</v>
      </c>
      <c r="F237" s="49">
        <v>73.120002999999997</v>
      </c>
      <c r="G237" s="49">
        <v>39.619999</v>
      </c>
      <c r="H237" s="49">
        <v>50.599997999999999</v>
      </c>
      <c r="J237" s="78">
        <f>IF(inter=Weekly_2,J236+$C$5,IF(inter=Bi_weekly_2,0,IF(inter=Monthly_2,0,IF(inter=Quarterly_2,J224+$C$5,IF(inter=Yearly_2,0,IF(inter=None_2,0,0))))))</f>
        <v>0</v>
      </c>
      <c r="K237" s="79">
        <f t="shared" si="269"/>
        <v>0</v>
      </c>
      <c r="L237" s="79">
        <f t="shared" si="270"/>
        <v>0</v>
      </c>
      <c r="M237" s="79">
        <f t="shared" si="271"/>
        <v>0</v>
      </c>
      <c r="N237" s="79">
        <f t="shared" si="272"/>
        <v>0</v>
      </c>
      <c r="O237" s="79">
        <f t="shared" si="273"/>
        <v>0</v>
      </c>
      <c r="P237" s="79">
        <f t="shared" si="274"/>
        <v>0</v>
      </c>
      <c r="Q237" s="79"/>
      <c r="R237" s="80">
        <f t="shared" si="232"/>
        <v>0</v>
      </c>
      <c r="S237" s="80">
        <f t="shared" si="233"/>
        <v>0</v>
      </c>
      <c r="T237" s="80">
        <f t="shared" si="234"/>
        <v>0</v>
      </c>
      <c r="U237" s="80">
        <f t="shared" si="235"/>
        <v>0</v>
      </c>
      <c r="V237" s="80">
        <f t="shared" si="236"/>
        <v>0</v>
      </c>
      <c r="W237" s="80">
        <f t="shared" si="237"/>
        <v>0</v>
      </c>
      <c r="X237" s="80">
        <f t="shared" si="288"/>
        <v>394.89252329800968</v>
      </c>
      <c r="Y237" s="80">
        <f t="shared" si="289"/>
        <v>137.09677179002855</v>
      </c>
      <c r="Z237" s="80">
        <f t="shared" si="290"/>
        <v>108.62997048098627</v>
      </c>
      <c r="AA237" s="80">
        <f t="shared" si="291"/>
        <v>76.602296062164811</v>
      </c>
      <c r="AB237" s="80">
        <f t="shared" si="292"/>
        <v>507.00206154040302</v>
      </c>
      <c r="AC237" s="80">
        <f t="shared" si="293"/>
        <v>231.31532698314584</v>
      </c>
      <c r="AD237" s="80"/>
      <c r="AE237" s="80"/>
      <c r="AF237" s="80"/>
      <c r="AG237" s="80"/>
      <c r="AH237" s="80"/>
      <c r="AI237" s="80"/>
      <c r="AJ237" s="45">
        <f t="shared" si="238"/>
        <v>0</v>
      </c>
      <c r="AK237" s="45">
        <f t="shared" si="239"/>
        <v>0</v>
      </c>
      <c r="AL237" s="45">
        <f t="shared" si="240"/>
        <v>0</v>
      </c>
      <c r="AM237" s="45">
        <f t="shared" si="241"/>
        <v>0</v>
      </c>
      <c r="AN237" s="45">
        <f t="shared" si="242"/>
        <v>0</v>
      </c>
      <c r="AO237" s="45">
        <f t="shared" si="243"/>
        <v>0</v>
      </c>
      <c r="AP237" s="80">
        <f t="shared" si="244"/>
        <v>0</v>
      </c>
      <c r="AQ237" s="80">
        <f t="shared" si="245"/>
        <v>0</v>
      </c>
      <c r="AR237" s="80">
        <f t="shared" si="246"/>
        <v>0</v>
      </c>
      <c r="AS237" s="80">
        <f t="shared" si="247"/>
        <v>0</v>
      </c>
      <c r="AT237" s="80">
        <f t="shared" si="248"/>
        <v>0</v>
      </c>
      <c r="AU237" s="80">
        <f t="shared" si="249"/>
        <v>0</v>
      </c>
      <c r="AV237" s="80">
        <f t="shared" si="294"/>
        <v>23.336903515873239</v>
      </c>
      <c r="AW237" s="80">
        <f t="shared" si="295"/>
        <v>11.62835401546536</v>
      </c>
      <c r="AX237" s="80">
        <f t="shared" si="296"/>
        <v>7.7851603691946796</v>
      </c>
      <c r="AY237" s="80">
        <f t="shared" si="297"/>
        <v>5.7839795946550669</v>
      </c>
      <c r="AZ237" s="80">
        <f t="shared" si="298"/>
        <v>39.291160374459444</v>
      </c>
      <c r="BA237" s="80">
        <f t="shared" si="299"/>
        <v>19.945839538835287</v>
      </c>
      <c r="BB237" s="80">
        <f t="shared" si="275"/>
        <v>418.22942681388292</v>
      </c>
      <c r="BC237" s="80">
        <f t="shared" si="276"/>
        <v>148.72512580549392</v>
      </c>
      <c r="BD237" s="80">
        <f t="shared" si="277"/>
        <v>116.41513085018096</v>
      </c>
      <c r="BE237" s="80">
        <f t="shared" si="278"/>
        <v>82.386275656819876</v>
      </c>
      <c r="BF237" s="80">
        <f t="shared" si="279"/>
        <v>546.29322191486244</v>
      </c>
      <c r="BG237" s="80">
        <f t="shared" si="280"/>
        <v>251.26116652198112</v>
      </c>
      <c r="BH237" s="49">
        <f t="shared" si="281"/>
        <v>0</v>
      </c>
      <c r="BI237" s="79">
        <f t="shared" si="282"/>
        <v>-62581.999976686384</v>
      </c>
      <c r="BJ237" s="79">
        <f t="shared" si="250"/>
        <v>79691.808481900065</v>
      </c>
      <c r="BK237" s="44">
        <f t="shared" si="283"/>
        <v>0.27339823769754212</v>
      </c>
      <c r="BL237" s="79">
        <f t="shared" si="300"/>
        <v>4436.5447633508475</v>
      </c>
      <c r="BM237" s="49">
        <f t="shared" si="284"/>
        <v>84128.35324525091</v>
      </c>
      <c r="BN237" s="44">
        <f t="shared" si="285"/>
        <v>0.344289944018906</v>
      </c>
      <c r="BO237" s="49">
        <f t="shared" si="251"/>
        <v>5774.6700304431706</v>
      </c>
      <c r="BP237" s="49">
        <f t="shared" si="252"/>
        <v>85466.478512343223</v>
      </c>
      <c r="BQ237" s="44">
        <f t="shared" si="253"/>
        <v>0.36567189518043475</v>
      </c>
      <c r="BS237" s="49">
        <f t="shared" si="254"/>
        <v>62581.999976686384</v>
      </c>
      <c r="BT237" s="49">
        <f t="shared" si="230"/>
        <v>70.699996999999996</v>
      </c>
      <c r="BU237" s="49">
        <f t="shared" si="231"/>
        <v>50.599997999999999</v>
      </c>
      <c r="BV237" s="49">
        <f t="shared" si="255"/>
        <v>0</v>
      </c>
      <c r="BW237" s="18">
        <f t="shared" si="256"/>
        <v>1365</v>
      </c>
      <c r="BX237" s="19">
        <f t="shared" si="286"/>
        <v>0.68692660550458717</v>
      </c>
      <c r="BY237" s="49">
        <f t="shared" si="287"/>
        <v>0</v>
      </c>
      <c r="BZ237" s="19">
        <f t="shared" si="257"/>
        <v>0</v>
      </c>
      <c r="CA237" s="19">
        <f t="shared" si="258"/>
        <v>0</v>
      </c>
      <c r="CB237" s="19">
        <f t="shared" si="259"/>
        <v>0</v>
      </c>
      <c r="CC237" s="19">
        <f t="shared" si="260"/>
        <v>0</v>
      </c>
      <c r="CD237" s="19">
        <f t="shared" si="261"/>
        <v>0</v>
      </c>
      <c r="CE237" s="19">
        <f t="shared" si="262"/>
        <v>0</v>
      </c>
      <c r="CF237" s="49">
        <f t="shared" si="263"/>
        <v>0</v>
      </c>
      <c r="CG237" s="49">
        <f t="shared" si="264"/>
        <v>0</v>
      </c>
      <c r="CH237" s="49">
        <f t="shared" si="265"/>
        <v>0</v>
      </c>
      <c r="CI237" s="49">
        <f t="shared" si="266"/>
        <v>0</v>
      </c>
      <c r="CJ237" s="49">
        <f t="shared" si="267"/>
        <v>0</v>
      </c>
      <c r="CK237" s="49">
        <f t="shared" si="268"/>
        <v>0</v>
      </c>
    </row>
    <row r="238" spans="2:89" ht="12.75" customHeight="1" x14ac:dyDescent="0.2">
      <c r="B238" s="77">
        <v>40665</v>
      </c>
      <c r="C238" s="49">
        <v>69.410004000000001</v>
      </c>
      <c r="D238" s="49">
        <v>57.360000999999997</v>
      </c>
      <c r="E238" s="49">
        <v>57.689999</v>
      </c>
      <c r="F238" s="49">
        <v>70.930000000000007</v>
      </c>
      <c r="G238" s="49">
        <v>38.259998000000003</v>
      </c>
      <c r="H238" s="49">
        <v>48.740001999999997</v>
      </c>
      <c r="J238" s="78">
        <f>IF(inter=Weekly_2,J237+$C$5,IF(inter=Bi_weekly_2,J236+$C$5,IF(inter=Monthly_2,J234+$C$5,IF(inter=Quarterly_2,0,IF(inter=Yearly_2,0,IF(inter=None_2,0,0))))))</f>
        <v>78800</v>
      </c>
      <c r="K238" s="79">
        <f t="shared" si="269"/>
        <v>-170.50837831505487</v>
      </c>
      <c r="L238" s="79">
        <f t="shared" si="270"/>
        <v>-16.129033027190417</v>
      </c>
      <c r="M238" s="79">
        <f t="shared" si="271"/>
        <v>-37.137111581871977</v>
      </c>
      <c r="N238" s="79">
        <f t="shared" si="272"/>
        <v>-82.59914031065</v>
      </c>
      <c r="O238" s="79">
        <f t="shared" si="273"/>
        <v>-302.10213946830117</v>
      </c>
      <c r="P238" s="79">
        <f t="shared" si="274"/>
        <v>-545.69050021081785</v>
      </c>
      <c r="Q238" s="79"/>
      <c r="R238" s="80">
        <f t="shared" si="232"/>
        <v>2.4565389495591279</v>
      </c>
      <c r="S238" s="80">
        <f t="shared" si="233"/>
        <v>0.28118955275454788</v>
      </c>
      <c r="T238" s="80">
        <f t="shared" si="234"/>
        <v>0.64373569467165315</v>
      </c>
      <c r="U238" s="80">
        <f t="shared" si="235"/>
        <v>1.1645162880396165</v>
      </c>
      <c r="V238" s="80">
        <f t="shared" si="236"/>
        <v>7.8960312404695143</v>
      </c>
      <c r="W238" s="80">
        <f t="shared" si="237"/>
        <v>11.195947431656197</v>
      </c>
      <c r="X238" s="80">
        <f t="shared" si="288"/>
        <v>397.34906224756878</v>
      </c>
      <c r="Y238" s="80">
        <f t="shared" si="289"/>
        <v>137.3779613427831</v>
      </c>
      <c r="Z238" s="80">
        <f t="shared" si="290"/>
        <v>109.27370617565792</v>
      </c>
      <c r="AA238" s="80">
        <f t="shared" si="291"/>
        <v>77.766812350204432</v>
      </c>
      <c r="AB238" s="80">
        <f t="shared" si="292"/>
        <v>514.8980927808725</v>
      </c>
      <c r="AC238" s="80">
        <f t="shared" si="293"/>
        <v>242.51127441480205</v>
      </c>
      <c r="AD238" s="80"/>
      <c r="AE238" s="80"/>
      <c r="AF238" s="80"/>
      <c r="AG238" s="80"/>
      <c r="AH238" s="80"/>
      <c r="AI238" s="80"/>
      <c r="AJ238" s="45">
        <f t="shared" si="238"/>
        <v>0</v>
      </c>
      <c r="AK238" s="45">
        <f t="shared" si="239"/>
        <v>0</v>
      </c>
      <c r="AL238" s="45">
        <f t="shared" si="240"/>
        <v>0</v>
      </c>
      <c r="AM238" s="45">
        <f t="shared" si="241"/>
        <v>0</v>
      </c>
      <c r="AN238" s="45">
        <f t="shared" si="242"/>
        <v>0</v>
      </c>
      <c r="AO238" s="45">
        <f t="shared" si="243"/>
        <v>0</v>
      </c>
      <c r="AP238" s="80">
        <f t="shared" si="244"/>
        <v>0</v>
      </c>
      <c r="AQ238" s="80">
        <f t="shared" si="245"/>
        <v>0</v>
      </c>
      <c r="AR238" s="80">
        <f t="shared" si="246"/>
        <v>0</v>
      </c>
      <c r="AS238" s="80">
        <f t="shared" si="247"/>
        <v>0</v>
      </c>
      <c r="AT238" s="80">
        <f t="shared" si="248"/>
        <v>0</v>
      </c>
      <c r="AU238" s="80">
        <f t="shared" si="249"/>
        <v>0</v>
      </c>
      <c r="AV238" s="80">
        <f t="shared" si="294"/>
        <v>23.336903515873239</v>
      </c>
      <c r="AW238" s="80">
        <f t="shared" si="295"/>
        <v>11.62835401546536</v>
      </c>
      <c r="AX238" s="80">
        <f t="shared" si="296"/>
        <v>7.7851603691946796</v>
      </c>
      <c r="AY238" s="80">
        <f t="shared" si="297"/>
        <v>5.7839795946550669</v>
      </c>
      <c r="AZ238" s="80">
        <f t="shared" si="298"/>
        <v>39.291160374459444</v>
      </c>
      <c r="BA238" s="80">
        <f t="shared" si="299"/>
        <v>19.945839538835287</v>
      </c>
      <c r="BB238" s="80">
        <f t="shared" si="275"/>
        <v>420.68596576344203</v>
      </c>
      <c r="BC238" s="80">
        <f t="shared" si="276"/>
        <v>149.00631535824846</v>
      </c>
      <c r="BD238" s="80">
        <f t="shared" si="277"/>
        <v>117.05886654485261</v>
      </c>
      <c r="BE238" s="80">
        <f t="shared" si="278"/>
        <v>83.550791944859498</v>
      </c>
      <c r="BF238" s="80">
        <f t="shared" si="279"/>
        <v>554.18925315533193</v>
      </c>
      <c r="BG238" s="80">
        <f t="shared" si="280"/>
        <v>262.4571139536373</v>
      </c>
      <c r="BH238" s="49">
        <f t="shared" si="281"/>
        <v>0</v>
      </c>
      <c r="BI238" s="79">
        <f t="shared" si="282"/>
        <v>-63736.166279600271</v>
      </c>
      <c r="BJ238" s="79">
        <f t="shared" si="250"/>
        <v>78800</v>
      </c>
      <c r="BK238" s="44">
        <f t="shared" si="283"/>
        <v>0.2363467180363048</v>
      </c>
      <c r="BL238" s="79">
        <f t="shared" si="300"/>
        <v>4436.5447633508475</v>
      </c>
      <c r="BM238" s="49">
        <f t="shared" si="284"/>
        <v>83236.544763350845</v>
      </c>
      <c r="BN238" s="44">
        <f t="shared" si="285"/>
        <v>0.30595468196511155</v>
      </c>
      <c r="BO238" s="49">
        <f t="shared" si="251"/>
        <v>5621.6405072613961</v>
      </c>
      <c r="BP238" s="49">
        <f t="shared" si="252"/>
        <v>84421.640507261385</v>
      </c>
      <c r="BQ238" s="44">
        <f t="shared" si="253"/>
        <v>0.32454845396438303</v>
      </c>
      <c r="BS238" s="49">
        <f t="shared" si="254"/>
        <v>63736.166279600271</v>
      </c>
      <c r="BT238" s="49">
        <f t="shared" si="230"/>
        <v>69.410004000000001</v>
      </c>
      <c r="BU238" s="49">
        <f t="shared" si="231"/>
        <v>48.740001999999997</v>
      </c>
      <c r="BV238" s="49">
        <f t="shared" si="255"/>
        <v>1154.1663029138863</v>
      </c>
      <c r="BW238" s="18">
        <f t="shared" si="256"/>
        <v>1372</v>
      </c>
      <c r="BX238" s="19">
        <f t="shared" si="286"/>
        <v>0.68532110091743115</v>
      </c>
      <c r="BY238" s="49">
        <f t="shared" si="287"/>
        <v>790.97452135474589</v>
      </c>
      <c r="BZ238" s="19">
        <f t="shared" si="257"/>
        <v>2.4565389495591279</v>
      </c>
      <c r="CA238" s="19">
        <f t="shared" si="258"/>
        <v>0.28118955275454788</v>
      </c>
      <c r="CB238" s="19">
        <f t="shared" si="259"/>
        <v>0.64373569467165315</v>
      </c>
      <c r="CC238" s="19">
        <f t="shared" si="260"/>
        <v>1.1645162880396165</v>
      </c>
      <c r="CD238" s="19">
        <f t="shared" si="261"/>
        <v>7.8960312404695143</v>
      </c>
      <c r="CE238" s="19">
        <f t="shared" si="262"/>
        <v>11.195947431656197</v>
      </c>
      <c r="CF238" s="49">
        <f t="shared" si="263"/>
        <v>-170.50837831505487</v>
      </c>
      <c r="CG238" s="49">
        <f t="shared" si="264"/>
        <v>-16.129033027190417</v>
      </c>
      <c r="CH238" s="49">
        <f t="shared" si="265"/>
        <v>-37.137111581871977</v>
      </c>
      <c r="CI238" s="49">
        <f t="shared" si="266"/>
        <v>-82.59914031065</v>
      </c>
      <c r="CJ238" s="49">
        <f t="shared" si="267"/>
        <v>-302.10213946830117</v>
      </c>
      <c r="CK238" s="49">
        <f t="shared" si="268"/>
        <v>-545.69050021081785</v>
      </c>
    </row>
    <row r="239" spans="2:89" ht="12.75" customHeight="1" x14ac:dyDescent="0.2">
      <c r="B239" s="77">
        <v>40672</v>
      </c>
      <c r="C239" s="49">
        <v>69.370002999999997</v>
      </c>
      <c r="D239" s="49">
        <v>57.209999000000003</v>
      </c>
      <c r="E239" s="49">
        <v>57.740001999999997</v>
      </c>
      <c r="F239" s="49">
        <v>71.050003000000004</v>
      </c>
      <c r="G239" s="49">
        <v>37.639999000000003</v>
      </c>
      <c r="H239" s="49">
        <v>47.419998</v>
      </c>
      <c r="J239" s="78">
        <f>IF(inter=Weekly_2,J238+$C$5,IF(inter=Bi_weekly_2,0,IF(inter=Monthly_2,0,IF(inter=Quarterly_2,0,IF(inter=Yearly_2,0,IF(inter=None_2,0,0))))))</f>
        <v>0</v>
      </c>
      <c r="K239" s="79">
        <f t="shared" si="269"/>
        <v>0</v>
      </c>
      <c r="L239" s="79">
        <f t="shared" si="270"/>
        <v>0</v>
      </c>
      <c r="M239" s="79">
        <f t="shared" si="271"/>
        <v>0</v>
      </c>
      <c r="N239" s="79">
        <f t="shared" si="272"/>
        <v>0</v>
      </c>
      <c r="O239" s="79">
        <f t="shared" si="273"/>
        <v>0</v>
      </c>
      <c r="P239" s="79">
        <f t="shared" si="274"/>
        <v>0</v>
      </c>
      <c r="Q239" s="79"/>
      <c r="R239" s="80">
        <f t="shared" si="232"/>
        <v>0</v>
      </c>
      <c r="S239" s="80">
        <f t="shared" si="233"/>
        <v>0</v>
      </c>
      <c r="T239" s="80">
        <f t="shared" si="234"/>
        <v>0</v>
      </c>
      <c r="U239" s="80">
        <f t="shared" si="235"/>
        <v>0</v>
      </c>
      <c r="V239" s="80">
        <f t="shared" si="236"/>
        <v>0</v>
      </c>
      <c r="W239" s="80">
        <f t="shared" si="237"/>
        <v>0</v>
      </c>
      <c r="X239" s="80">
        <f t="shared" si="288"/>
        <v>397.34906224756878</v>
      </c>
      <c r="Y239" s="80">
        <f t="shared" si="289"/>
        <v>137.3779613427831</v>
      </c>
      <c r="Z239" s="80">
        <f t="shared" si="290"/>
        <v>109.27370617565792</v>
      </c>
      <c r="AA239" s="80">
        <f t="shared" si="291"/>
        <v>77.766812350204432</v>
      </c>
      <c r="AB239" s="80">
        <f t="shared" si="292"/>
        <v>514.8980927808725</v>
      </c>
      <c r="AC239" s="80">
        <f t="shared" si="293"/>
        <v>242.51127441480205</v>
      </c>
      <c r="AD239" s="80"/>
      <c r="AE239" s="80"/>
      <c r="AF239" s="80"/>
      <c r="AG239" s="80"/>
      <c r="AH239" s="80"/>
      <c r="AI239" s="80"/>
      <c r="AJ239" s="45">
        <f t="shared" si="238"/>
        <v>0</v>
      </c>
      <c r="AK239" s="45">
        <f t="shared" si="239"/>
        <v>0</v>
      </c>
      <c r="AL239" s="45">
        <f t="shared" si="240"/>
        <v>0</v>
      </c>
      <c r="AM239" s="45">
        <f t="shared" si="241"/>
        <v>0</v>
      </c>
      <c r="AN239" s="45">
        <f t="shared" si="242"/>
        <v>0</v>
      </c>
      <c r="AO239" s="45">
        <f t="shared" si="243"/>
        <v>0</v>
      </c>
      <c r="AP239" s="80">
        <f t="shared" si="244"/>
        <v>0</v>
      </c>
      <c r="AQ239" s="80">
        <f t="shared" si="245"/>
        <v>0</v>
      </c>
      <c r="AR239" s="80">
        <f t="shared" si="246"/>
        <v>0</v>
      </c>
      <c r="AS239" s="80">
        <f t="shared" si="247"/>
        <v>0</v>
      </c>
      <c r="AT239" s="80">
        <f t="shared" si="248"/>
        <v>0</v>
      </c>
      <c r="AU239" s="80">
        <f t="shared" si="249"/>
        <v>0</v>
      </c>
      <c r="AV239" s="80">
        <f t="shared" si="294"/>
        <v>23.336903515873239</v>
      </c>
      <c r="AW239" s="80">
        <f t="shared" si="295"/>
        <v>11.62835401546536</v>
      </c>
      <c r="AX239" s="80">
        <f t="shared" si="296"/>
        <v>7.7851603691946796</v>
      </c>
      <c r="AY239" s="80">
        <f t="shared" si="297"/>
        <v>5.7839795946550669</v>
      </c>
      <c r="AZ239" s="80">
        <f t="shared" si="298"/>
        <v>39.291160374459444</v>
      </c>
      <c r="BA239" s="80">
        <f t="shared" si="299"/>
        <v>19.945839538835287</v>
      </c>
      <c r="BB239" s="80">
        <f t="shared" si="275"/>
        <v>420.68596576344203</v>
      </c>
      <c r="BC239" s="80">
        <f t="shared" si="276"/>
        <v>149.00631535824846</v>
      </c>
      <c r="BD239" s="80">
        <f t="shared" si="277"/>
        <v>117.05886654485261</v>
      </c>
      <c r="BE239" s="80">
        <f t="shared" si="278"/>
        <v>83.550791944859498</v>
      </c>
      <c r="BF239" s="80">
        <f t="shared" si="279"/>
        <v>554.18925315533193</v>
      </c>
      <c r="BG239" s="80">
        <f t="shared" si="280"/>
        <v>262.4571139536373</v>
      </c>
      <c r="BH239" s="49">
        <f t="shared" si="281"/>
        <v>0</v>
      </c>
      <c r="BI239" s="79">
        <f t="shared" si="282"/>
        <v>-63736.166279600271</v>
      </c>
      <c r="BJ239" s="79">
        <f t="shared" si="250"/>
        <v>78138.942780217374</v>
      </c>
      <c r="BK239" s="44">
        <f t="shared" si="283"/>
        <v>0.2259749423495987</v>
      </c>
      <c r="BL239" s="79">
        <f t="shared" si="300"/>
        <v>4436.5447633508475</v>
      </c>
      <c r="BM239" s="49">
        <f t="shared" si="284"/>
        <v>82575.487543568219</v>
      </c>
      <c r="BN239" s="44">
        <f t="shared" si="285"/>
        <v>0.29558290627840544</v>
      </c>
      <c r="BO239" s="49">
        <f t="shared" si="251"/>
        <v>5569.3570395864426</v>
      </c>
      <c r="BP239" s="49">
        <f t="shared" si="252"/>
        <v>83708.299819803797</v>
      </c>
      <c r="BQ239" s="44">
        <f t="shared" si="253"/>
        <v>0.31335636744433293</v>
      </c>
      <c r="BS239" s="49">
        <f t="shared" si="254"/>
        <v>63736.166279600271</v>
      </c>
      <c r="BT239" s="49">
        <f t="shared" si="230"/>
        <v>69.370002999999997</v>
      </c>
      <c r="BU239" s="49">
        <f t="shared" si="231"/>
        <v>47.419998</v>
      </c>
      <c r="BV239" s="49">
        <f t="shared" si="255"/>
        <v>0</v>
      </c>
      <c r="BW239" s="18">
        <f t="shared" si="256"/>
        <v>1379</v>
      </c>
      <c r="BX239" s="19">
        <f t="shared" si="286"/>
        <v>0.68371559633027523</v>
      </c>
      <c r="BY239" s="49">
        <f t="shared" si="287"/>
        <v>0</v>
      </c>
      <c r="BZ239" s="19">
        <f t="shared" si="257"/>
        <v>0</v>
      </c>
      <c r="CA239" s="19">
        <f t="shared" si="258"/>
        <v>0</v>
      </c>
      <c r="CB239" s="19">
        <f t="shared" si="259"/>
        <v>0</v>
      </c>
      <c r="CC239" s="19">
        <f t="shared" si="260"/>
        <v>0</v>
      </c>
      <c r="CD239" s="19">
        <f t="shared" si="261"/>
        <v>0</v>
      </c>
      <c r="CE239" s="19">
        <f t="shared" si="262"/>
        <v>0</v>
      </c>
      <c r="CF239" s="49">
        <f t="shared" si="263"/>
        <v>0</v>
      </c>
      <c r="CG239" s="49">
        <f t="shared" si="264"/>
        <v>0</v>
      </c>
      <c r="CH239" s="49">
        <f t="shared" si="265"/>
        <v>0</v>
      </c>
      <c r="CI239" s="49">
        <f t="shared" si="266"/>
        <v>0</v>
      </c>
      <c r="CJ239" s="49">
        <f t="shared" si="267"/>
        <v>0</v>
      </c>
      <c r="CK239" s="49">
        <f t="shared" si="268"/>
        <v>0</v>
      </c>
    </row>
    <row r="240" spans="2:89" ht="12.75" customHeight="1" x14ac:dyDescent="0.2">
      <c r="B240" s="77">
        <v>40679</v>
      </c>
      <c r="C240" s="49">
        <v>69.139999000000003</v>
      </c>
      <c r="D240" s="49">
        <v>57.080002</v>
      </c>
      <c r="E240" s="49">
        <v>57.720001000000003</v>
      </c>
      <c r="F240" s="49">
        <v>70.5</v>
      </c>
      <c r="G240" s="49">
        <v>37.57</v>
      </c>
      <c r="H240" s="49">
        <v>47.709999000000003</v>
      </c>
      <c r="J240" s="78">
        <f>IF(inter=Weekly_2,J239+$C$5,IF(inter=Bi_weekly_2,J238+$C$5,IF(inter=Monthly_2,0,IF(inter=Quarterly_2,0,IF(inter=Yearly_2,0,IF(inter=None_2,0,0))))))</f>
        <v>79400</v>
      </c>
      <c r="K240" s="79">
        <f t="shared" si="269"/>
        <v>-317.28623355215677</v>
      </c>
      <c r="L240" s="79">
        <f t="shared" si="270"/>
        <v>-98.46569179801827</v>
      </c>
      <c r="M240" s="79">
        <f t="shared" si="271"/>
        <v>-44.721570267318384</v>
      </c>
      <c r="N240" s="79">
        <f t="shared" si="272"/>
        <v>-75.439729310588518</v>
      </c>
      <c r="O240" s="79">
        <f t="shared" si="273"/>
        <v>-505.27865422262039</v>
      </c>
      <c r="P240" s="79">
        <f t="shared" si="274"/>
        <v>-339.78734018106843</v>
      </c>
      <c r="Q240" s="79"/>
      <c r="R240" s="80">
        <f t="shared" si="232"/>
        <v>4.5890401813884427</v>
      </c>
      <c r="S240" s="80">
        <f t="shared" si="233"/>
        <v>1.7250470978963572</v>
      </c>
      <c r="T240" s="80">
        <f t="shared" si="234"/>
        <v>0.77480196625981312</v>
      </c>
      <c r="U240" s="80">
        <f t="shared" si="235"/>
        <v>1.0700670824196954</v>
      </c>
      <c r="V240" s="80">
        <f t="shared" si="236"/>
        <v>13.448992659638552</v>
      </c>
      <c r="W240" s="80">
        <f t="shared" si="237"/>
        <v>7.1219314043806294</v>
      </c>
      <c r="X240" s="80">
        <f t="shared" si="288"/>
        <v>401.93810242895722</v>
      </c>
      <c r="Y240" s="80">
        <f t="shared" si="289"/>
        <v>139.10300844067945</v>
      </c>
      <c r="Z240" s="80">
        <f t="shared" si="290"/>
        <v>110.04850814191774</v>
      </c>
      <c r="AA240" s="80">
        <f t="shared" si="291"/>
        <v>78.83687943262413</v>
      </c>
      <c r="AB240" s="80">
        <f t="shared" si="292"/>
        <v>528.34708544051102</v>
      </c>
      <c r="AC240" s="80">
        <f t="shared" si="293"/>
        <v>249.63320581918268</v>
      </c>
      <c r="AD240" s="80"/>
      <c r="AE240" s="80"/>
      <c r="AF240" s="80"/>
      <c r="AG240" s="80"/>
      <c r="AH240" s="80"/>
      <c r="AI240" s="80"/>
      <c r="AJ240" s="45">
        <f t="shared" si="238"/>
        <v>0</v>
      </c>
      <c r="AK240" s="45">
        <f t="shared" si="239"/>
        <v>0</v>
      </c>
      <c r="AL240" s="45">
        <f t="shared" si="240"/>
        <v>0</v>
      </c>
      <c r="AM240" s="45">
        <f t="shared" si="241"/>
        <v>0</v>
      </c>
      <c r="AN240" s="45">
        <f t="shared" si="242"/>
        <v>0</v>
      </c>
      <c r="AO240" s="45">
        <f t="shared" si="243"/>
        <v>0</v>
      </c>
      <c r="AP240" s="80">
        <f t="shared" si="244"/>
        <v>0</v>
      </c>
      <c r="AQ240" s="80">
        <f t="shared" si="245"/>
        <v>0</v>
      </c>
      <c r="AR240" s="80">
        <f t="shared" si="246"/>
        <v>0</v>
      </c>
      <c r="AS240" s="80">
        <f t="shared" si="247"/>
        <v>0</v>
      </c>
      <c r="AT240" s="80">
        <f t="shared" si="248"/>
        <v>0</v>
      </c>
      <c r="AU240" s="80">
        <f t="shared" si="249"/>
        <v>0</v>
      </c>
      <c r="AV240" s="80">
        <f t="shared" si="294"/>
        <v>23.336903515873239</v>
      </c>
      <c r="AW240" s="80">
        <f t="shared" si="295"/>
        <v>11.62835401546536</v>
      </c>
      <c r="AX240" s="80">
        <f t="shared" si="296"/>
        <v>7.7851603691946796</v>
      </c>
      <c r="AY240" s="80">
        <f t="shared" si="297"/>
        <v>5.7839795946550669</v>
      </c>
      <c r="AZ240" s="80">
        <f t="shared" si="298"/>
        <v>39.291160374459444</v>
      </c>
      <c r="BA240" s="80">
        <f t="shared" si="299"/>
        <v>19.945839538835287</v>
      </c>
      <c r="BB240" s="80">
        <f t="shared" si="275"/>
        <v>425.27500594483047</v>
      </c>
      <c r="BC240" s="80">
        <f t="shared" si="276"/>
        <v>150.73136245614481</v>
      </c>
      <c r="BD240" s="80">
        <f t="shared" si="277"/>
        <v>117.83366851111242</v>
      </c>
      <c r="BE240" s="80">
        <f t="shared" si="278"/>
        <v>84.620859027279195</v>
      </c>
      <c r="BF240" s="80">
        <f t="shared" si="279"/>
        <v>567.63824581497045</v>
      </c>
      <c r="BG240" s="80">
        <f t="shared" si="280"/>
        <v>269.57904535801799</v>
      </c>
      <c r="BH240" s="49">
        <f t="shared" si="281"/>
        <v>0</v>
      </c>
      <c r="BI240" s="79">
        <f t="shared" si="282"/>
        <v>-65117.145498932034</v>
      </c>
      <c r="BJ240" s="79">
        <f t="shared" si="250"/>
        <v>79400</v>
      </c>
      <c r="BK240" s="44">
        <f t="shared" si="283"/>
        <v>0.2193409184575239</v>
      </c>
      <c r="BL240" s="79">
        <f t="shared" si="300"/>
        <v>4436.5447633508475</v>
      </c>
      <c r="BM240" s="49">
        <f t="shared" si="284"/>
        <v>83836.544763350845</v>
      </c>
      <c r="BN240" s="44">
        <f t="shared" si="285"/>
        <v>0.28747266362782775</v>
      </c>
      <c r="BO240" s="49">
        <f t="shared" si="251"/>
        <v>5562.1748616487366</v>
      </c>
      <c r="BP240" s="49">
        <f t="shared" si="252"/>
        <v>84962.174861648731</v>
      </c>
      <c r="BQ240" s="44">
        <f t="shared" si="253"/>
        <v>0.30475889584321791</v>
      </c>
      <c r="BS240" s="49">
        <f t="shared" si="254"/>
        <v>65117.145498932034</v>
      </c>
      <c r="BT240" s="49">
        <f t="shared" si="230"/>
        <v>69.139999000000003</v>
      </c>
      <c r="BU240" s="49">
        <f t="shared" si="231"/>
        <v>47.709999000000003</v>
      </c>
      <c r="BV240" s="49">
        <f t="shared" si="255"/>
        <v>1380.9792193317708</v>
      </c>
      <c r="BW240" s="18">
        <f t="shared" si="256"/>
        <v>1386</v>
      </c>
      <c r="BX240" s="19">
        <f t="shared" si="286"/>
        <v>0.68211009174311932</v>
      </c>
      <c r="BY240" s="49">
        <f t="shared" si="287"/>
        <v>941.97986199373543</v>
      </c>
      <c r="BZ240" s="19">
        <f t="shared" si="257"/>
        <v>4.5890401813884427</v>
      </c>
      <c r="CA240" s="19">
        <f t="shared" si="258"/>
        <v>1.7250470978963572</v>
      </c>
      <c r="CB240" s="19">
        <f t="shared" si="259"/>
        <v>0.77480196625981312</v>
      </c>
      <c r="CC240" s="19">
        <f t="shared" si="260"/>
        <v>1.0700670824196954</v>
      </c>
      <c r="CD240" s="19">
        <f t="shared" si="261"/>
        <v>13.448992659638552</v>
      </c>
      <c r="CE240" s="19">
        <f t="shared" si="262"/>
        <v>7.1219314043806294</v>
      </c>
      <c r="CF240" s="49">
        <f t="shared" si="263"/>
        <v>-317.28623355215677</v>
      </c>
      <c r="CG240" s="49">
        <f t="shared" si="264"/>
        <v>-98.46569179801827</v>
      </c>
      <c r="CH240" s="49">
        <f t="shared" si="265"/>
        <v>-44.721570267318384</v>
      </c>
      <c r="CI240" s="49">
        <f t="shared" si="266"/>
        <v>-75.439729310588518</v>
      </c>
      <c r="CJ240" s="49">
        <f t="shared" si="267"/>
        <v>-505.27865422262039</v>
      </c>
      <c r="CK240" s="49">
        <f t="shared" si="268"/>
        <v>-339.78734018106843</v>
      </c>
    </row>
    <row r="241" spans="2:89" ht="12.75" customHeight="1" x14ac:dyDescent="0.2">
      <c r="B241" s="77">
        <v>40686</v>
      </c>
      <c r="C241" s="49">
        <v>69.199996999999996</v>
      </c>
      <c r="D241" s="49">
        <v>57.029998999999997</v>
      </c>
      <c r="E241" s="49">
        <v>57.740001999999997</v>
      </c>
      <c r="F241" s="49">
        <v>70.75</v>
      </c>
      <c r="G241" s="49">
        <v>37.799999</v>
      </c>
      <c r="H241" s="49">
        <v>48.299999</v>
      </c>
      <c r="J241" s="78">
        <f>IF(inter=Weekly_2,J240+$C$5,IF(inter=Bi_weekly_2,0,IF(inter=Monthly_2,0,IF(inter=Quarterly_2,0,IF(inter=Yearly_2,0,IF(inter=None_2,0,0))))))</f>
        <v>0</v>
      </c>
      <c r="K241" s="79">
        <f t="shared" si="269"/>
        <v>0</v>
      </c>
      <c r="L241" s="79">
        <f t="shared" si="270"/>
        <v>0</v>
      </c>
      <c r="M241" s="79">
        <f t="shared" si="271"/>
        <v>0</v>
      </c>
      <c r="N241" s="79">
        <f t="shared" si="272"/>
        <v>0</v>
      </c>
      <c r="O241" s="79">
        <f t="shared" si="273"/>
        <v>0</v>
      </c>
      <c r="P241" s="79">
        <f t="shared" si="274"/>
        <v>0</v>
      </c>
      <c r="Q241" s="79"/>
      <c r="R241" s="80">
        <f t="shared" si="232"/>
        <v>0</v>
      </c>
      <c r="S241" s="80">
        <f t="shared" si="233"/>
        <v>0</v>
      </c>
      <c r="T241" s="80">
        <f t="shared" si="234"/>
        <v>0</v>
      </c>
      <c r="U241" s="80">
        <f t="shared" si="235"/>
        <v>0</v>
      </c>
      <c r="V241" s="80">
        <f t="shared" si="236"/>
        <v>0</v>
      </c>
      <c r="W241" s="80">
        <f t="shared" si="237"/>
        <v>0</v>
      </c>
      <c r="X241" s="80">
        <f t="shared" si="288"/>
        <v>401.93810242895722</v>
      </c>
      <c r="Y241" s="80">
        <f t="shared" si="289"/>
        <v>139.10300844067945</v>
      </c>
      <c r="Z241" s="80">
        <f t="shared" si="290"/>
        <v>110.04850814191774</v>
      </c>
      <c r="AA241" s="80">
        <f t="shared" si="291"/>
        <v>78.83687943262413</v>
      </c>
      <c r="AB241" s="80">
        <f t="shared" si="292"/>
        <v>528.34708544051102</v>
      </c>
      <c r="AC241" s="80">
        <f t="shared" si="293"/>
        <v>249.63320581918268</v>
      </c>
      <c r="AD241" s="80"/>
      <c r="AE241" s="80"/>
      <c r="AF241" s="80"/>
      <c r="AG241" s="80"/>
      <c r="AH241" s="80"/>
      <c r="AI241" s="80"/>
      <c r="AJ241" s="45">
        <f t="shared" si="238"/>
        <v>0</v>
      </c>
      <c r="AK241" s="45">
        <f t="shared" si="239"/>
        <v>0</v>
      </c>
      <c r="AL241" s="45">
        <f t="shared" si="240"/>
        <v>0</v>
      </c>
      <c r="AM241" s="45">
        <f t="shared" si="241"/>
        <v>0</v>
      </c>
      <c r="AN241" s="45">
        <f t="shared" si="242"/>
        <v>0</v>
      </c>
      <c r="AO241" s="45">
        <f t="shared" si="243"/>
        <v>0</v>
      </c>
      <c r="AP241" s="80">
        <f t="shared" si="244"/>
        <v>0</v>
      </c>
      <c r="AQ241" s="80">
        <f t="shared" si="245"/>
        <v>0</v>
      </c>
      <c r="AR241" s="80">
        <f t="shared" si="246"/>
        <v>0</v>
      </c>
      <c r="AS241" s="80">
        <f t="shared" si="247"/>
        <v>0</v>
      </c>
      <c r="AT241" s="80">
        <f t="shared" si="248"/>
        <v>0</v>
      </c>
      <c r="AU241" s="80">
        <f t="shared" si="249"/>
        <v>0</v>
      </c>
      <c r="AV241" s="80">
        <f t="shared" si="294"/>
        <v>23.336903515873239</v>
      </c>
      <c r="AW241" s="80">
        <f t="shared" si="295"/>
        <v>11.62835401546536</v>
      </c>
      <c r="AX241" s="80">
        <f t="shared" si="296"/>
        <v>7.7851603691946796</v>
      </c>
      <c r="AY241" s="80">
        <f t="shared" si="297"/>
        <v>5.7839795946550669</v>
      </c>
      <c r="AZ241" s="80">
        <f t="shared" si="298"/>
        <v>39.291160374459444</v>
      </c>
      <c r="BA241" s="80">
        <f t="shared" si="299"/>
        <v>19.945839538835287</v>
      </c>
      <c r="BB241" s="80">
        <f t="shared" si="275"/>
        <v>425.27500594483047</v>
      </c>
      <c r="BC241" s="80">
        <f t="shared" si="276"/>
        <v>150.73136245614481</v>
      </c>
      <c r="BD241" s="80">
        <f t="shared" si="277"/>
        <v>117.83366851111242</v>
      </c>
      <c r="BE241" s="80">
        <f t="shared" si="278"/>
        <v>84.620859027279195</v>
      </c>
      <c r="BF241" s="80">
        <f t="shared" si="279"/>
        <v>567.63824581497045</v>
      </c>
      <c r="BG241" s="80">
        <f t="shared" si="280"/>
        <v>269.57904535801799</v>
      </c>
      <c r="BH241" s="49">
        <f t="shared" si="281"/>
        <v>0</v>
      </c>
      <c r="BI241" s="79">
        <f t="shared" si="282"/>
        <v>-65117.145498932034</v>
      </c>
      <c r="BJ241" s="79">
        <f t="shared" si="250"/>
        <v>79707.873107345513</v>
      </c>
      <c r="BK241" s="44">
        <f t="shared" si="283"/>
        <v>0.22406890683887215</v>
      </c>
      <c r="BL241" s="79">
        <f t="shared" si="300"/>
        <v>4436.5447633508475</v>
      </c>
      <c r="BM241" s="49">
        <f t="shared" si="284"/>
        <v>84144.417870696358</v>
      </c>
      <c r="BN241" s="44">
        <f t="shared" si="285"/>
        <v>0.292200652009176</v>
      </c>
      <c r="BO241" s="49">
        <f t="shared" si="251"/>
        <v>5585.4002554141316</v>
      </c>
      <c r="BP241" s="49">
        <f t="shared" si="252"/>
        <v>85293.273362759661</v>
      </c>
      <c r="BQ241" s="44">
        <f t="shared" si="253"/>
        <v>0.30984355516871553</v>
      </c>
      <c r="BS241" s="49">
        <f t="shared" si="254"/>
        <v>65117.145498932034</v>
      </c>
      <c r="BT241" s="49">
        <f t="shared" si="230"/>
        <v>69.199996999999996</v>
      </c>
      <c r="BU241" s="49">
        <f t="shared" si="231"/>
        <v>48.299999</v>
      </c>
      <c r="BV241" s="49">
        <f t="shared" si="255"/>
        <v>0</v>
      </c>
      <c r="BW241" s="18">
        <f t="shared" si="256"/>
        <v>1393</v>
      </c>
      <c r="BX241" s="19">
        <f t="shared" si="286"/>
        <v>0.68050458715596329</v>
      </c>
      <c r="BY241" s="49">
        <f t="shared" si="287"/>
        <v>0</v>
      </c>
      <c r="BZ241" s="19">
        <f t="shared" si="257"/>
        <v>0</v>
      </c>
      <c r="CA241" s="19">
        <f t="shared" si="258"/>
        <v>0</v>
      </c>
      <c r="CB241" s="19">
        <f t="shared" si="259"/>
        <v>0</v>
      </c>
      <c r="CC241" s="19">
        <f t="shared" si="260"/>
        <v>0</v>
      </c>
      <c r="CD241" s="19">
        <f t="shared" si="261"/>
        <v>0</v>
      </c>
      <c r="CE241" s="19">
        <f t="shared" si="262"/>
        <v>0</v>
      </c>
      <c r="CF241" s="49">
        <f t="shared" si="263"/>
        <v>0</v>
      </c>
      <c r="CG241" s="49">
        <f t="shared" si="264"/>
        <v>0</v>
      </c>
      <c r="CH241" s="49">
        <f t="shared" si="265"/>
        <v>0</v>
      </c>
      <c r="CI241" s="49">
        <f t="shared" si="266"/>
        <v>0</v>
      </c>
      <c r="CJ241" s="49">
        <f t="shared" si="267"/>
        <v>0</v>
      </c>
      <c r="CK241" s="49">
        <f t="shared" si="268"/>
        <v>0</v>
      </c>
    </row>
    <row r="242" spans="2:89" ht="12.75" customHeight="1" x14ac:dyDescent="0.2">
      <c r="B242" s="77">
        <v>40694</v>
      </c>
      <c r="C242" s="49">
        <v>67.529999000000004</v>
      </c>
      <c r="D242" s="49">
        <v>55.66</v>
      </c>
      <c r="E242" s="49">
        <v>56.060001</v>
      </c>
      <c r="F242" s="49">
        <v>68.569999999999993</v>
      </c>
      <c r="G242" s="49">
        <v>37.889999000000003</v>
      </c>
      <c r="H242" s="49">
        <v>48.52</v>
      </c>
      <c r="J242" s="78">
        <f>IF(inter=Weekly_2,J241+$C$5,IF(inter=Bi_weekly_2,J240+$C$5,IF(inter=Monthly_2,J238+$C$5,IF(inter=Quarterly_2,0,IF(inter=Yearly_2,0,IF(inter=None_2,0,0))))))</f>
        <v>80000</v>
      </c>
      <c r="K242" s="79">
        <f t="shared" si="269"/>
        <v>-857.1203449106215</v>
      </c>
      <c r="L242" s="79">
        <f t="shared" si="270"/>
        <v>-257.52655019178292</v>
      </c>
      <c r="M242" s="79">
        <f t="shared" si="271"/>
        <v>-230.68052351558345</v>
      </c>
      <c r="N242" s="79">
        <f t="shared" si="272"/>
        <v>-194.15517730496504</v>
      </c>
      <c r="O242" s="79">
        <f t="shared" si="273"/>
        <v>19.070538993877562</v>
      </c>
      <c r="P242" s="79">
        <f t="shared" si="274"/>
        <v>112.20314634674469</v>
      </c>
      <c r="Q242" s="79"/>
      <c r="R242" s="80">
        <f t="shared" si="232"/>
        <v>12.69243828821353</v>
      </c>
      <c r="S242" s="80">
        <f t="shared" si="233"/>
        <v>4.626779557883272</v>
      </c>
      <c r="T242" s="80">
        <f t="shared" si="234"/>
        <v>4.1148861826738719</v>
      </c>
      <c r="U242" s="80">
        <f t="shared" si="235"/>
        <v>2.8314886583777898</v>
      </c>
      <c r="V242" s="80">
        <f t="shared" si="236"/>
        <v>-0.50331326200028559</v>
      </c>
      <c r="W242" s="80">
        <f t="shared" si="237"/>
        <v>-2.3125133212437072</v>
      </c>
      <c r="X242" s="80">
        <f t="shared" si="288"/>
        <v>414.63054071717073</v>
      </c>
      <c r="Y242" s="80">
        <f t="shared" si="289"/>
        <v>143.72978799856273</v>
      </c>
      <c r="Z242" s="80">
        <f t="shared" si="290"/>
        <v>114.16339432459161</v>
      </c>
      <c r="AA242" s="80">
        <f t="shared" si="291"/>
        <v>81.668368091001923</v>
      </c>
      <c r="AB242" s="80">
        <f t="shared" si="292"/>
        <v>527.84377217851079</v>
      </c>
      <c r="AC242" s="80">
        <f t="shared" si="293"/>
        <v>247.32069249793898</v>
      </c>
      <c r="AD242" s="80"/>
      <c r="AE242" s="80"/>
      <c r="AF242" s="80"/>
      <c r="AG242" s="80"/>
      <c r="AH242" s="80"/>
      <c r="AI242" s="80"/>
      <c r="AJ242" s="45">
        <f t="shared" si="238"/>
        <v>0</v>
      </c>
      <c r="AK242" s="45">
        <f t="shared" si="239"/>
        <v>0</v>
      </c>
      <c r="AL242" s="45">
        <f t="shared" si="240"/>
        <v>0</v>
      </c>
      <c r="AM242" s="45">
        <f t="shared" si="241"/>
        <v>0</v>
      </c>
      <c r="AN242" s="45">
        <f t="shared" si="242"/>
        <v>0</v>
      </c>
      <c r="AO242" s="45">
        <f t="shared" si="243"/>
        <v>0</v>
      </c>
      <c r="AP242" s="80">
        <f t="shared" si="244"/>
        <v>0</v>
      </c>
      <c r="AQ242" s="80">
        <f t="shared" si="245"/>
        <v>0</v>
      </c>
      <c r="AR242" s="80">
        <f t="shared" si="246"/>
        <v>0</v>
      </c>
      <c r="AS242" s="80">
        <f t="shared" si="247"/>
        <v>0</v>
      </c>
      <c r="AT242" s="80">
        <f t="shared" si="248"/>
        <v>0</v>
      </c>
      <c r="AU242" s="80">
        <f t="shared" si="249"/>
        <v>0</v>
      </c>
      <c r="AV242" s="80">
        <f t="shared" si="294"/>
        <v>23.336903515873239</v>
      </c>
      <c r="AW242" s="80">
        <f t="shared" si="295"/>
        <v>11.62835401546536</v>
      </c>
      <c r="AX242" s="80">
        <f t="shared" si="296"/>
        <v>7.7851603691946796</v>
      </c>
      <c r="AY242" s="80">
        <f t="shared" si="297"/>
        <v>5.7839795946550669</v>
      </c>
      <c r="AZ242" s="80">
        <f t="shared" si="298"/>
        <v>39.291160374459444</v>
      </c>
      <c r="BA242" s="80">
        <f t="shared" si="299"/>
        <v>19.945839538835287</v>
      </c>
      <c r="BB242" s="80">
        <f t="shared" si="275"/>
        <v>437.96744423304398</v>
      </c>
      <c r="BC242" s="80">
        <f t="shared" si="276"/>
        <v>155.35814201402809</v>
      </c>
      <c r="BD242" s="80">
        <f t="shared" si="277"/>
        <v>121.94855469378629</v>
      </c>
      <c r="BE242" s="80">
        <f t="shared" si="278"/>
        <v>87.452347685656989</v>
      </c>
      <c r="BF242" s="80">
        <f t="shared" si="279"/>
        <v>567.13493255297021</v>
      </c>
      <c r="BG242" s="80">
        <f t="shared" si="280"/>
        <v>267.26653203677427</v>
      </c>
      <c r="BH242" s="49">
        <f t="shared" si="281"/>
        <v>0</v>
      </c>
      <c r="BI242" s="79">
        <f t="shared" si="282"/>
        <v>-66525.354409514373</v>
      </c>
      <c r="BJ242" s="79">
        <f t="shared" si="250"/>
        <v>80000</v>
      </c>
      <c r="BK242" s="44">
        <f t="shared" si="283"/>
        <v>0.2025490237532428</v>
      </c>
      <c r="BL242" s="79">
        <f t="shared" si="300"/>
        <v>4436.5447633508475</v>
      </c>
      <c r="BM242" s="49">
        <f t="shared" si="284"/>
        <v>84436.544763350845</v>
      </c>
      <c r="BN242" s="44">
        <f t="shared" si="285"/>
        <v>0.26923855592830681</v>
      </c>
      <c r="BO242" s="49">
        <f t="shared" si="251"/>
        <v>5512.7329961999267</v>
      </c>
      <c r="BP242" s="49">
        <f t="shared" si="252"/>
        <v>85512.732996199935</v>
      </c>
      <c r="BQ242" s="44">
        <f t="shared" si="253"/>
        <v>0.28541566978814936</v>
      </c>
      <c r="BS242" s="49">
        <f t="shared" si="254"/>
        <v>66525.354409514373</v>
      </c>
      <c r="BT242" s="49">
        <f t="shared" si="230"/>
        <v>67.529999000000004</v>
      </c>
      <c r="BU242" s="49">
        <f t="shared" si="231"/>
        <v>48.52</v>
      </c>
      <c r="BV242" s="49">
        <f t="shared" si="255"/>
        <v>1408.2089105823306</v>
      </c>
      <c r="BW242" s="18">
        <f t="shared" si="256"/>
        <v>1401</v>
      </c>
      <c r="BX242" s="19">
        <f t="shared" si="286"/>
        <v>0.67866972477064225</v>
      </c>
      <c r="BY242" s="49">
        <f t="shared" si="287"/>
        <v>955.70875376447634</v>
      </c>
      <c r="BZ242" s="19">
        <f t="shared" si="257"/>
        <v>12.69243828821353</v>
      </c>
      <c r="CA242" s="19">
        <f t="shared" si="258"/>
        <v>4.626779557883272</v>
      </c>
      <c r="CB242" s="19">
        <f t="shared" si="259"/>
        <v>4.1148861826738719</v>
      </c>
      <c r="CC242" s="19">
        <f t="shared" si="260"/>
        <v>2.8314886583777898</v>
      </c>
      <c r="CD242" s="19">
        <f t="shared" si="261"/>
        <v>0</v>
      </c>
      <c r="CE242" s="19">
        <f t="shared" si="262"/>
        <v>0</v>
      </c>
      <c r="CF242" s="49">
        <f t="shared" si="263"/>
        <v>-857.1203449106215</v>
      </c>
      <c r="CG242" s="49">
        <f t="shared" si="264"/>
        <v>-257.52655019178292</v>
      </c>
      <c r="CH242" s="49">
        <f t="shared" si="265"/>
        <v>-230.68052351558345</v>
      </c>
      <c r="CI242" s="49">
        <f t="shared" si="266"/>
        <v>-194.15517730496504</v>
      </c>
      <c r="CJ242" s="49">
        <f t="shared" si="267"/>
        <v>0</v>
      </c>
      <c r="CK242" s="49">
        <f t="shared" si="268"/>
        <v>0</v>
      </c>
    </row>
    <row r="243" spans="2:89" ht="12.75" customHeight="1" x14ac:dyDescent="0.2">
      <c r="B243" s="77">
        <v>40700</v>
      </c>
      <c r="C243" s="49">
        <v>65.889999000000003</v>
      </c>
      <c r="D243" s="49">
        <v>54.549999</v>
      </c>
      <c r="E243" s="49">
        <v>54.529998999999997</v>
      </c>
      <c r="F243" s="49">
        <v>66.639999000000003</v>
      </c>
      <c r="G243" s="49">
        <v>36.700001</v>
      </c>
      <c r="H243" s="49">
        <v>47.220001000000003</v>
      </c>
      <c r="J243" s="78">
        <f>IF(inter=Weekly_2,J242+$C$5,IF(inter=Bi_weekly_2,0,IF(inter=Monthly_2,0,IF(inter=Quarterly_2,0,IF(inter=Yearly_2,0,IF(inter=None_2,0,0))))))</f>
        <v>0</v>
      </c>
      <c r="K243" s="79">
        <f t="shared" si="269"/>
        <v>0</v>
      </c>
      <c r="L243" s="79">
        <f t="shared" si="270"/>
        <v>0</v>
      </c>
      <c r="M243" s="79">
        <f t="shared" si="271"/>
        <v>0</v>
      </c>
      <c r="N243" s="79">
        <f t="shared" si="272"/>
        <v>0</v>
      </c>
      <c r="O243" s="79">
        <f t="shared" si="273"/>
        <v>0</v>
      </c>
      <c r="P243" s="79">
        <f t="shared" si="274"/>
        <v>0</v>
      </c>
      <c r="Q243" s="79"/>
      <c r="R243" s="80">
        <f t="shared" si="232"/>
        <v>0</v>
      </c>
      <c r="S243" s="80">
        <f t="shared" si="233"/>
        <v>0</v>
      </c>
      <c r="T243" s="80">
        <f t="shared" si="234"/>
        <v>0</v>
      </c>
      <c r="U243" s="80">
        <f t="shared" si="235"/>
        <v>0</v>
      </c>
      <c r="V243" s="80">
        <f t="shared" si="236"/>
        <v>0</v>
      </c>
      <c r="W243" s="80">
        <f t="shared" si="237"/>
        <v>0</v>
      </c>
      <c r="X243" s="80">
        <f t="shared" si="288"/>
        <v>414.63054071717073</v>
      </c>
      <c r="Y243" s="80">
        <f t="shared" si="289"/>
        <v>143.72978799856273</v>
      </c>
      <c r="Z243" s="80">
        <f t="shared" si="290"/>
        <v>114.16339432459161</v>
      </c>
      <c r="AA243" s="80">
        <f t="shared" si="291"/>
        <v>81.668368091001923</v>
      </c>
      <c r="AB243" s="80">
        <f t="shared" si="292"/>
        <v>527.84377217851079</v>
      </c>
      <c r="AC243" s="80">
        <f t="shared" si="293"/>
        <v>247.32069249793898</v>
      </c>
      <c r="AD243" s="80"/>
      <c r="AE243" s="80"/>
      <c r="AF243" s="80"/>
      <c r="AG243" s="80"/>
      <c r="AH243" s="80"/>
      <c r="AI243" s="80"/>
      <c r="AJ243" s="45">
        <f t="shared" si="238"/>
        <v>0</v>
      </c>
      <c r="AK243" s="45">
        <f t="shared" si="239"/>
        <v>0</v>
      </c>
      <c r="AL243" s="45">
        <f t="shared" si="240"/>
        <v>0</v>
      </c>
      <c r="AM243" s="45">
        <f t="shared" si="241"/>
        <v>0</v>
      </c>
      <c r="AN243" s="45">
        <f t="shared" si="242"/>
        <v>0</v>
      </c>
      <c r="AO243" s="45">
        <f t="shared" si="243"/>
        <v>0</v>
      </c>
      <c r="AP243" s="80">
        <f t="shared" si="244"/>
        <v>0</v>
      </c>
      <c r="AQ243" s="80">
        <f t="shared" si="245"/>
        <v>0</v>
      </c>
      <c r="AR243" s="80">
        <f t="shared" si="246"/>
        <v>0</v>
      </c>
      <c r="AS243" s="80">
        <f t="shared" si="247"/>
        <v>0</v>
      </c>
      <c r="AT243" s="80">
        <f t="shared" si="248"/>
        <v>0</v>
      </c>
      <c r="AU243" s="80">
        <f t="shared" si="249"/>
        <v>0</v>
      </c>
      <c r="AV243" s="80">
        <f t="shared" si="294"/>
        <v>23.336903515873239</v>
      </c>
      <c r="AW243" s="80">
        <f t="shared" si="295"/>
        <v>11.62835401546536</v>
      </c>
      <c r="AX243" s="80">
        <f t="shared" si="296"/>
        <v>7.7851603691946796</v>
      </c>
      <c r="AY243" s="80">
        <f t="shared" si="297"/>
        <v>5.7839795946550669</v>
      </c>
      <c r="AZ243" s="80">
        <f t="shared" si="298"/>
        <v>39.291160374459444</v>
      </c>
      <c r="BA243" s="80">
        <f t="shared" si="299"/>
        <v>19.945839538835287</v>
      </c>
      <c r="BB243" s="80">
        <f t="shared" si="275"/>
        <v>437.96744423304398</v>
      </c>
      <c r="BC243" s="80">
        <f t="shared" si="276"/>
        <v>155.35814201402809</v>
      </c>
      <c r="BD243" s="80">
        <f t="shared" si="277"/>
        <v>121.94855469378629</v>
      </c>
      <c r="BE243" s="80">
        <f t="shared" si="278"/>
        <v>87.452347685656989</v>
      </c>
      <c r="BF243" s="80">
        <f t="shared" si="279"/>
        <v>567.13493255297021</v>
      </c>
      <c r="BG243" s="80">
        <f t="shared" si="280"/>
        <v>267.26653203677427</v>
      </c>
      <c r="BH243" s="49">
        <f t="shared" si="281"/>
        <v>0</v>
      </c>
      <c r="BI243" s="79">
        <f t="shared" si="282"/>
        <v>-66525.354409514373</v>
      </c>
      <c r="BJ243" s="79">
        <f t="shared" si="250"/>
        <v>77878.525764956721</v>
      </c>
      <c r="BK243" s="44">
        <f t="shared" si="283"/>
        <v>0.17065931412488089</v>
      </c>
      <c r="BL243" s="79">
        <f t="shared" si="300"/>
        <v>4436.5447633508475</v>
      </c>
      <c r="BM243" s="49">
        <f t="shared" si="284"/>
        <v>82315.070528307566</v>
      </c>
      <c r="BN243" s="44">
        <f t="shared" si="285"/>
        <v>0.2373488462999449</v>
      </c>
      <c r="BO243" s="49">
        <f t="shared" si="251"/>
        <v>5365.7926187935891</v>
      </c>
      <c r="BP243" s="49">
        <f t="shared" si="252"/>
        <v>83244.318383750317</v>
      </c>
      <c r="BQ243" s="44">
        <f t="shared" si="253"/>
        <v>0.25131717256728847</v>
      </c>
      <c r="BS243" s="49">
        <f t="shared" si="254"/>
        <v>66525.354409514373</v>
      </c>
      <c r="BT243" s="49">
        <f t="shared" si="230"/>
        <v>65.889999000000003</v>
      </c>
      <c r="BU243" s="49">
        <f t="shared" si="231"/>
        <v>47.220001000000003</v>
      </c>
      <c r="BV243" s="49">
        <f t="shared" si="255"/>
        <v>0</v>
      </c>
      <c r="BW243" s="18">
        <f t="shared" si="256"/>
        <v>1407</v>
      </c>
      <c r="BX243" s="19">
        <f t="shared" si="286"/>
        <v>0.67729357798165135</v>
      </c>
      <c r="BY243" s="49">
        <f t="shared" si="287"/>
        <v>0</v>
      </c>
      <c r="BZ243" s="19">
        <f t="shared" si="257"/>
        <v>0</v>
      </c>
      <c r="CA243" s="19">
        <f t="shared" si="258"/>
        <v>0</v>
      </c>
      <c r="CB243" s="19">
        <f t="shared" si="259"/>
        <v>0</v>
      </c>
      <c r="CC243" s="19">
        <f t="shared" si="260"/>
        <v>0</v>
      </c>
      <c r="CD243" s="19">
        <f t="shared" si="261"/>
        <v>0</v>
      </c>
      <c r="CE243" s="19">
        <f t="shared" si="262"/>
        <v>0</v>
      </c>
      <c r="CF243" s="49">
        <f t="shared" si="263"/>
        <v>0</v>
      </c>
      <c r="CG243" s="49">
        <f t="shared" si="264"/>
        <v>0</v>
      </c>
      <c r="CH243" s="49">
        <f t="shared" si="265"/>
        <v>0</v>
      </c>
      <c r="CI243" s="49">
        <f t="shared" si="266"/>
        <v>0</v>
      </c>
      <c r="CJ243" s="49">
        <f t="shared" si="267"/>
        <v>0</v>
      </c>
      <c r="CK243" s="49">
        <f t="shared" si="268"/>
        <v>0</v>
      </c>
    </row>
    <row r="244" spans="2:89" ht="12.75" customHeight="1" x14ac:dyDescent="0.2">
      <c r="B244" s="77">
        <v>40707</v>
      </c>
      <c r="C244" s="49">
        <v>65.919998000000007</v>
      </c>
      <c r="D244" s="49">
        <v>54.790000999999997</v>
      </c>
      <c r="E244" s="49">
        <v>54.619999</v>
      </c>
      <c r="F244" s="49">
        <v>67.129997000000003</v>
      </c>
      <c r="G244" s="49">
        <v>36.439999</v>
      </c>
      <c r="H244" s="49">
        <v>46.57</v>
      </c>
      <c r="J244" s="78">
        <f>IF(inter=Weekly_2,J243+$C$5,IF(inter=Bi_weekly_2,J242+$C$5,IF(inter=Monthly_2,0,IF(inter=Quarterly_2,0,IF(inter=Yearly_2,0,IF(inter=None_2,0,0))))))</f>
        <v>80600</v>
      </c>
      <c r="K244" s="79">
        <f t="shared" si="269"/>
        <v>-877.55558518518228</v>
      </c>
      <c r="L244" s="79">
        <f t="shared" si="270"/>
        <v>-185.04477182896062</v>
      </c>
      <c r="M244" s="79">
        <f t="shared" si="271"/>
        <v>-212.39551615420078</v>
      </c>
      <c r="N244" s="79">
        <f t="shared" si="272"/>
        <v>-159.60269505614542</v>
      </c>
      <c r="O244" s="79">
        <f t="shared" si="273"/>
        <v>-915.37346965883989</v>
      </c>
      <c r="P244" s="79">
        <f t="shared" si="274"/>
        <v>-572.27535037098096</v>
      </c>
      <c r="Q244" s="79"/>
      <c r="R244" s="80">
        <f t="shared" si="232"/>
        <v>13.312433431584482</v>
      </c>
      <c r="S244" s="80">
        <f t="shared" si="233"/>
        <v>3.3773456552585324</v>
      </c>
      <c r="T244" s="80">
        <f t="shared" si="234"/>
        <v>3.8886034427463239</v>
      </c>
      <c r="U244" s="80">
        <f t="shared" si="235"/>
        <v>2.3775167911320692</v>
      </c>
      <c r="V244" s="80">
        <f t="shared" si="236"/>
        <v>25.120019066379225</v>
      </c>
      <c r="W244" s="80">
        <f t="shared" si="237"/>
        <v>12.288497968026217</v>
      </c>
      <c r="X244" s="80">
        <f t="shared" si="288"/>
        <v>427.94297414875524</v>
      </c>
      <c r="Y244" s="80">
        <f t="shared" si="289"/>
        <v>147.10713365382125</v>
      </c>
      <c r="Z244" s="80">
        <f t="shared" si="290"/>
        <v>118.05199776733794</v>
      </c>
      <c r="AA244" s="80">
        <f t="shared" si="291"/>
        <v>84.04588488213399</v>
      </c>
      <c r="AB244" s="80">
        <f t="shared" si="292"/>
        <v>552.96379124488999</v>
      </c>
      <c r="AC244" s="80">
        <f t="shared" si="293"/>
        <v>259.60919046596518</v>
      </c>
      <c r="AD244" s="80"/>
      <c r="AE244" s="80"/>
      <c r="AF244" s="80"/>
      <c r="AG244" s="80"/>
      <c r="AH244" s="80"/>
      <c r="AI244" s="80"/>
      <c r="AJ244" s="45">
        <f t="shared" si="238"/>
        <v>0</v>
      </c>
      <c r="AK244" s="45">
        <f t="shared" si="239"/>
        <v>0</v>
      </c>
      <c r="AL244" s="45">
        <f t="shared" si="240"/>
        <v>0</v>
      </c>
      <c r="AM244" s="45">
        <f t="shared" si="241"/>
        <v>0</v>
      </c>
      <c r="AN244" s="45">
        <f t="shared" si="242"/>
        <v>0</v>
      </c>
      <c r="AO244" s="45">
        <f t="shared" si="243"/>
        <v>0</v>
      </c>
      <c r="AP244" s="80">
        <f t="shared" si="244"/>
        <v>0</v>
      </c>
      <c r="AQ244" s="80">
        <f t="shared" si="245"/>
        <v>0</v>
      </c>
      <c r="AR244" s="80">
        <f t="shared" si="246"/>
        <v>0</v>
      </c>
      <c r="AS244" s="80">
        <f t="shared" si="247"/>
        <v>0</v>
      </c>
      <c r="AT244" s="80">
        <f t="shared" si="248"/>
        <v>0</v>
      </c>
      <c r="AU244" s="80">
        <f t="shared" si="249"/>
        <v>0</v>
      </c>
      <c r="AV244" s="80">
        <f t="shared" si="294"/>
        <v>23.336903515873239</v>
      </c>
      <c r="AW244" s="80">
        <f t="shared" si="295"/>
        <v>11.62835401546536</v>
      </c>
      <c r="AX244" s="80">
        <f t="shared" si="296"/>
        <v>7.7851603691946796</v>
      </c>
      <c r="AY244" s="80">
        <f t="shared" si="297"/>
        <v>5.7839795946550669</v>
      </c>
      <c r="AZ244" s="80">
        <f t="shared" si="298"/>
        <v>39.291160374459444</v>
      </c>
      <c r="BA244" s="80">
        <f t="shared" si="299"/>
        <v>19.945839538835287</v>
      </c>
      <c r="BB244" s="80">
        <f t="shared" si="275"/>
        <v>451.27987766462849</v>
      </c>
      <c r="BC244" s="80">
        <f t="shared" si="276"/>
        <v>158.73548766928661</v>
      </c>
      <c r="BD244" s="80">
        <f t="shared" si="277"/>
        <v>125.83715813653262</v>
      </c>
      <c r="BE244" s="80">
        <f t="shared" si="278"/>
        <v>89.829864476789055</v>
      </c>
      <c r="BF244" s="80">
        <f t="shared" si="279"/>
        <v>592.25495161934941</v>
      </c>
      <c r="BG244" s="80">
        <f t="shared" si="280"/>
        <v>279.55503000480047</v>
      </c>
      <c r="BH244" s="49">
        <f t="shared" si="281"/>
        <v>0</v>
      </c>
      <c r="BI244" s="79">
        <f t="shared" si="282"/>
        <v>-69447.601797768686</v>
      </c>
      <c r="BJ244" s="79">
        <f t="shared" si="250"/>
        <v>80600</v>
      </c>
      <c r="BK244" s="44">
        <f t="shared" si="283"/>
        <v>0.16058723287100807</v>
      </c>
      <c r="BL244" s="79">
        <f t="shared" si="300"/>
        <v>4436.5447633508475</v>
      </c>
      <c r="BM244" s="49">
        <f t="shared" si="284"/>
        <v>85036.544763350845</v>
      </c>
      <c r="BN244" s="44">
        <f t="shared" si="285"/>
        <v>0.22447057295048345</v>
      </c>
      <c r="BO244" s="49">
        <f t="shared" si="251"/>
        <v>5349.6377377234676</v>
      </c>
      <c r="BP244" s="49">
        <f t="shared" si="252"/>
        <v>85949.63773772346</v>
      </c>
      <c r="BQ244" s="44">
        <f t="shared" si="253"/>
        <v>0.23761851399863576</v>
      </c>
      <c r="BS244" s="49">
        <f t="shared" si="254"/>
        <v>69447.601797768686</v>
      </c>
      <c r="BT244" s="49">
        <f t="shared" si="230"/>
        <v>65.919998000000007</v>
      </c>
      <c r="BU244" s="49">
        <f t="shared" si="231"/>
        <v>46.57</v>
      </c>
      <c r="BV244" s="49">
        <f t="shared" si="255"/>
        <v>2922.24738825431</v>
      </c>
      <c r="BW244" s="18">
        <f t="shared" si="256"/>
        <v>1414</v>
      </c>
      <c r="BX244" s="19">
        <f t="shared" si="286"/>
        <v>0.67568807339449544</v>
      </c>
      <c r="BY244" s="49">
        <f t="shared" si="287"/>
        <v>1974.5277077516507</v>
      </c>
      <c r="BZ244" s="19">
        <f t="shared" si="257"/>
        <v>13.312433431584482</v>
      </c>
      <c r="CA244" s="19">
        <f t="shared" si="258"/>
        <v>3.3773456552585324</v>
      </c>
      <c r="CB244" s="19">
        <f t="shared" si="259"/>
        <v>3.8886034427463239</v>
      </c>
      <c r="CC244" s="19">
        <f t="shared" si="260"/>
        <v>2.3775167911320692</v>
      </c>
      <c r="CD244" s="19">
        <f t="shared" si="261"/>
        <v>25.120019066379225</v>
      </c>
      <c r="CE244" s="19">
        <f t="shared" si="262"/>
        <v>12.288497968026217</v>
      </c>
      <c r="CF244" s="49">
        <f t="shared" si="263"/>
        <v>-877.55558518518228</v>
      </c>
      <c r="CG244" s="49">
        <f t="shared" si="264"/>
        <v>-185.04477182896062</v>
      </c>
      <c r="CH244" s="49">
        <f t="shared" si="265"/>
        <v>-212.39551615420078</v>
      </c>
      <c r="CI244" s="49">
        <f t="shared" si="266"/>
        <v>-159.60269505614542</v>
      </c>
      <c r="CJ244" s="49">
        <f t="shared" si="267"/>
        <v>-915.37346965883989</v>
      </c>
      <c r="CK244" s="49">
        <f t="shared" si="268"/>
        <v>-572.27535037098096</v>
      </c>
    </row>
    <row r="245" spans="2:89" ht="12.75" customHeight="1" x14ac:dyDescent="0.2">
      <c r="B245" s="77">
        <v>40714</v>
      </c>
      <c r="C245" s="49">
        <v>65.720000999999996</v>
      </c>
      <c r="D245" s="49">
        <v>54.130001</v>
      </c>
      <c r="E245" s="49">
        <v>54.810001</v>
      </c>
      <c r="F245" s="49">
        <v>67.809997999999993</v>
      </c>
      <c r="G245" s="49">
        <v>36.110000999999997</v>
      </c>
      <c r="H245" s="49">
        <v>46.639999000000003</v>
      </c>
      <c r="J245" s="78">
        <f>IF(inter=Weekly_2,J244+$C$5,IF(inter=Bi_weekly_2,0,IF(inter=Monthly_2,0,IF(inter=Quarterly_2,0,IF(inter=Yearly_2,0,IF(inter=None_2,0,0))))))</f>
        <v>0</v>
      </c>
      <c r="K245" s="79">
        <f t="shared" si="269"/>
        <v>0</v>
      </c>
      <c r="L245" s="79">
        <f t="shared" si="270"/>
        <v>0</v>
      </c>
      <c r="M245" s="79">
        <f t="shared" si="271"/>
        <v>0</v>
      </c>
      <c r="N245" s="79">
        <f t="shared" si="272"/>
        <v>0</v>
      </c>
      <c r="O245" s="79">
        <f t="shared" si="273"/>
        <v>0</v>
      </c>
      <c r="P245" s="79">
        <f t="shared" si="274"/>
        <v>0</v>
      </c>
      <c r="Q245" s="79"/>
      <c r="R245" s="80">
        <f t="shared" si="232"/>
        <v>0</v>
      </c>
      <c r="S245" s="80">
        <f t="shared" si="233"/>
        <v>0</v>
      </c>
      <c r="T245" s="80">
        <f t="shared" si="234"/>
        <v>0</v>
      </c>
      <c r="U245" s="80">
        <f t="shared" si="235"/>
        <v>0</v>
      </c>
      <c r="V245" s="80">
        <f t="shared" si="236"/>
        <v>0</v>
      </c>
      <c r="W245" s="80">
        <f t="shared" si="237"/>
        <v>0</v>
      </c>
      <c r="X245" s="80">
        <f t="shared" si="288"/>
        <v>427.94297414875524</v>
      </c>
      <c r="Y245" s="80">
        <f t="shared" si="289"/>
        <v>147.10713365382125</v>
      </c>
      <c r="Z245" s="80">
        <f t="shared" si="290"/>
        <v>118.05199776733794</v>
      </c>
      <c r="AA245" s="80">
        <f t="shared" si="291"/>
        <v>84.04588488213399</v>
      </c>
      <c r="AB245" s="80">
        <f t="shared" si="292"/>
        <v>552.96379124488999</v>
      </c>
      <c r="AC245" s="80">
        <f t="shared" si="293"/>
        <v>259.60919046596518</v>
      </c>
      <c r="AD245" s="80">
        <v>0.28299999999999997</v>
      </c>
      <c r="AE245" s="80">
        <v>0.32</v>
      </c>
      <c r="AF245" s="80"/>
      <c r="AG245" s="80"/>
      <c r="AH245" s="80"/>
      <c r="AI245" s="80"/>
      <c r="AJ245" s="45">
        <f t="shared" si="238"/>
        <v>121.10786168409773</v>
      </c>
      <c r="AK245" s="45">
        <f t="shared" si="239"/>
        <v>47.074282769222798</v>
      </c>
      <c r="AL245" s="45">
        <f t="shared" si="240"/>
        <v>0</v>
      </c>
      <c r="AM245" s="45">
        <f t="shared" si="241"/>
        <v>0</v>
      </c>
      <c r="AN245" s="45">
        <f t="shared" si="242"/>
        <v>0</v>
      </c>
      <c r="AO245" s="45">
        <f t="shared" si="243"/>
        <v>0</v>
      </c>
      <c r="AP245" s="80">
        <f t="shared" si="244"/>
        <v>1.8427854510242283</v>
      </c>
      <c r="AQ245" s="80">
        <f t="shared" si="245"/>
        <v>0.86965235358526594</v>
      </c>
      <c r="AR245" s="80">
        <f t="shared" si="246"/>
        <v>0</v>
      </c>
      <c r="AS245" s="80">
        <f t="shared" si="247"/>
        <v>0</v>
      </c>
      <c r="AT245" s="80">
        <f t="shared" si="248"/>
        <v>0</v>
      </c>
      <c r="AU245" s="80">
        <f t="shared" si="249"/>
        <v>0</v>
      </c>
      <c r="AV245" s="80">
        <f t="shared" si="294"/>
        <v>25.179688966897466</v>
      </c>
      <c r="AW245" s="80">
        <f t="shared" si="295"/>
        <v>12.498006369050627</v>
      </c>
      <c r="AX245" s="80">
        <f t="shared" si="296"/>
        <v>7.7851603691946796</v>
      </c>
      <c r="AY245" s="80">
        <f t="shared" si="297"/>
        <v>5.7839795946550669</v>
      </c>
      <c r="AZ245" s="80">
        <f t="shared" si="298"/>
        <v>39.291160374459444</v>
      </c>
      <c r="BA245" s="80">
        <f t="shared" si="299"/>
        <v>19.945839538835287</v>
      </c>
      <c r="BB245" s="80">
        <f t="shared" si="275"/>
        <v>453.1226631156527</v>
      </c>
      <c r="BC245" s="80">
        <f t="shared" si="276"/>
        <v>159.60514002287186</v>
      </c>
      <c r="BD245" s="80">
        <f t="shared" si="277"/>
        <v>125.83715813653262</v>
      </c>
      <c r="BE245" s="80">
        <f t="shared" si="278"/>
        <v>89.829864476789055</v>
      </c>
      <c r="BF245" s="80">
        <f t="shared" si="279"/>
        <v>592.25495161934941</v>
      </c>
      <c r="BG245" s="80">
        <f t="shared" si="280"/>
        <v>279.55503000480047</v>
      </c>
      <c r="BH245" s="49">
        <f t="shared" si="281"/>
        <v>168.18214445332052</v>
      </c>
      <c r="BI245" s="79">
        <f t="shared" si="282"/>
        <v>-69447.601797768686</v>
      </c>
      <c r="BJ245" s="79">
        <f t="shared" si="250"/>
        <v>80332.598820773361</v>
      </c>
      <c r="BK245" s="44">
        <f t="shared" si="283"/>
        <v>0.15673683095208624</v>
      </c>
      <c r="BL245" s="79">
        <f t="shared" si="300"/>
        <v>4604.7269078041681</v>
      </c>
      <c r="BM245" s="49">
        <f t="shared" si="284"/>
        <v>84937.325728577533</v>
      </c>
      <c r="BN245" s="44">
        <f t="shared" si="285"/>
        <v>0.22304188380636814</v>
      </c>
      <c r="BO245" s="49">
        <f t="shared" si="251"/>
        <v>5499.320350263557</v>
      </c>
      <c r="BP245" s="49">
        <f t="shared" si="252"/>
        <v>85831.919171036905</v>
      </c>
      <c r="BQ245" s="44">
        <f t="shared" si="253"/>
        <v>0.2359234437062252</v>
      </c>
      <c r="BS245" s="49">
        <f t="shared" si="254"/>
        <v>69447.601797768686</v>
      </c>
      <c r="BT245" s="49">
        <f t="shared" si="230"/>
        <v>65.720000999999996</v>
      </c>
      <c r="BU245" s="49">
        <f t="shared" si="231"/>
        <v>46.639999000000003</v>
      </c>
      <c r="BV245" s="49">
        <f t="shared" si="255"/>
        <v>-168.18214445332052</v>
      </c>
      <c r="BW245" s="18">
        <f t="shared" si="256"/>
        <v>1421</v>
      </c>
      <c r="BX245" s="19">
        <f t="shared" si="286"/>
        <v>0.67408256880733941</v>
      </c>
      <c r="BY245" s="49">
        <f t="shared" si="287"/>
        <v>-113.36865196062132</v>
      </c>
      <c r="BZ245" s="19">
        <f t="shared" si="257"/>
        <v>0</v>
      </c>
      <c r="CA245" s="19">
        <f t="shared" si="258"/>
        <v>0</v>
      </c>
      <c r="CB245" s="19">
        <f t="shared" si="259"/>
        <v>0</v>
      </c>
      <c r="CC245" s="19">
        <f t="shared" si="260"/>
        <v>0</v>
      </c>
      <c r="CD245" s="19">
        <f t="shared" si="261"/>
        <v>0</v>
      </c>
      <c r="CE245" s="19">
        <f t="shared" si="262"/>
        <v>0</v>
      </c>
      <c r="CF245" s="49">
        <f t="shared" si="263"/>
        <v>0</v>
      </c>
      <c r="CG245" s="49">
        <f t="shared" si="264"/>
        <v>0</v>
      </c>
      <c r="CH245" s="49">
        <f t="shared" si="265"/>
        <v>0</v>
      </c>
      <c r="CI245" s="49">
        <f t="shared" si="266"/>
        <v>0</v>
      </c>
      <c r="CJ245" s="49">
        <f t="shared" si="267"/>
        <v>0</v>
      </c>
      <c r="CK245" s="49">
        <f t="shared" si="268"/>
        <v>0</v>
      </c>
    </row>
    <row r="246" spans="2:89" ht="12.75" customHeight="1" x14ac:dyDescent="0.2">
      <c r="B246" s="77">
        <v>40721</v>
      </c>
      <c r="C246" s="49">
        <v>69.379997000000003</v>
      </c>
      <c r="D246" s="49">
        <v>56.869999</v>
      </c>
      <c r="E246" s="49">
        <v>57.599997999999999</v>
      </c>
      <c r="F246" s="49">
        <v>71.199996999999996</v>
      </c>
      <c r="G246" s="49">
        <v>38.479999999999997</v>
      </c>
      <c r="H246" s="49">
        <v>49.18</v>
      </c>
      <c r="J246" s="78">
        <f>IF(inter=Weekly_2,J245+$C$5,IF(inter=Bi_weekly_2,J244+$C$5,IF(inter=Monthly_2,J242+$C$5,IF(inter=Quarterly_2,0,IF(inter=Yearly_2,0,IF(inter=None_2,0,0))))))</f>
        <v>81200</v>
      </c>
      <c r="K246" s="79">
        <f t="shared" si="269"/>
        <v>1270.6822626117173</v>
      </c>
      <c r="L246" s="79">
        <f t="shared" si="270"/>
        <v>245.98254378568163</v>
      </c>
      <c r="M246" s="79">
        <f t="shared" si="271"/>
        <v>303.79483529466961</v>
      </c>
      <c r="N246" s="79">
        <f t="shared" si="272"/>
        <v>300.06675147028454</v>
      </c>
      <c r="O246" s="79">
        <f t="shared" si="273"/>
        <v>978.04668710336409</v>
      </c>
      <c r="P246" s="79">
        <f t="shared" si="274"/>
        <v>587.5799871161671</v>
      </c>
      <c r="Q246" s="79"/>
      <c r="R246" s="80">
        <f t="shared" si="232"/>
        <v>-18.314821527186247</v>
      </c>
      <c r="S246" s="80">
        <f t="shared" si="233"/>
        <v>-4.325348129260238</v>
      </c>
      <c r="T246" s="80">
        <f t="shared" si="234"/>
        <v>-5.2742160736649613</v>
      </c>
      <c r="U246" s="80">
        <f t="shared" si="235"/>
        <v>-4.214420844291392</v>
      </c>
      <c r="V246" s="80">
        <f t="shared" si="236"/>
        <v>-25.417013698112374</v>
      </c>
      <c r="W246" s="80">
        <f t="shared" si="237"/>
        <v>-11.94753938829132</v>
      </c>
      <c r="X246" s="80">
        <f t="shared" si="288"/>
        <v>409.62815262156897</v>
      </c>
      <c r="Y246" s="80">
        <f t="shared" si="289"/>
        <v>142.781785524561</v>
      </c>
      <c r="Z246" s="80">
        <f t="shared" si="290"/>
        <v>112.77778169367298</v>
      </c>
      <c r="AA246" s="80">
        <f t="shared" si="291"/>
        <v>79.831464037842593</v>
      </c>
      <c r="AB246" s="80">
        <f t="shared" si="292"/>
        <v>527.54677754677766</v>
      </c>
      <c r="AC246" s="80">
        <f t="shared" si="293"/>
        <v>247.66165107767387</v>
      </c>
      <c r="AD246" s="80"/>
      <c r="AE246" s="80"/>
      <c r="AF246" s="80"/>
      <c r="AG246" s="80"/>
      <c r="AH246" s="80"/>
      <c r="AI246" s="80"/>
      <c r="AJ246" s="45">
        <f t="shared" si="238"/>
        <v>0</v>
      </c>
      <c r="AK246" s="45">
        <f t="shared" si="239"/>
        <v>0</v>
      </c>
      <c r="AL246" s="45">
        <f t="shared" si="240"/>
        <v>0</v>
      </c>
      <c r="AM246" s="45">
        <f t="shared" si="241"/>
        <v>0</v>
      </c>
      <c r="AN246" s="45">
        <f t="shared" si="242"/>
        <v>0</v>
      </c>
      <c r="AO246" s="45">
        <f t="shared" si="243"/>
        <v>0</v>
      </c>
      <c r="AP246" s="80">
        <f t="shared" si="244"/>
        <v>0</v>
      </c>
      <c r="AQ246" s="80">
        <f t="shared" si="245"/>
        <v>0</v>
      </c>
      <c r="AR246" s="80">
        <f t="shared" si="246"/>
        <v>0</v>
      </c>
      <c r="AS246" s="80">
        <f t="shared" si="247"/>
        <v>0</v>
      </c>
      <c r="AT246" s="80">
        <f t="shared" si="248"/>
        <v>0</v>
      </c>
      <c r="AU246" s="80">
        <f t="shared" si="249"/>
        <v>0</v>
      </c>
      <c r="AV246" s="80">
        <f t="shared" si="294"/>
        <v>25.179688966897466</v>
      </c>
      <c r="AW246" s="80">
        <f t="shared" si="295"/>
        <v>12.498006369050627</v>
      </c>
      <c r="AX246" s="80">
        <f t="shared" si="296"/>
        <v>7.7851603691946796</v>
      </c>
      <c r="AY246" s="80">
        <f t="shared" si="297"/>
        <v>5.7839795946550669</v>
      </c>
      <c r="AZ246" s="80">
        <f t="shared" si="298"/>
        <v>39.291160374459444</v>
      </c>
      <c r="BA246" s="80">
        <f t="shared" si="299"/>
        <v>19.945839538835287</v>
      </c>
      <c r="BB246" s="80">
        <f t="shared" si="275"/>
        <v>434.80784158846643</v>
      </c>
      <c r="BC246" s="80">
        <f t="shared" si="276"/>
        <v>155.27979189361162</v>
      </c>
      <c r="BD246" s="80">
        <f t="shared" si="277"/>
        <v>120.56294206286766</v>
      </c>
      <c r="BE246" s="80">
        <f t="shared" si="278"/>
        <v>85.615443632497659</v>
      </c>
      <c r="BF246" s="80">
        <f t="shared" si="279"/>
        <v>566.83793792123708</v>
      </c>
      <c r="BG246" s="80">
        <f t="shared" si="280"/>
        <v>267.60749061650915</v>
      </c>
      <c r="BH246" s="49">
        <f t="shared" si="281"/>
        <v>0</v>
      </c>
      <c r="BI246" s="79">
        <f t="shared" si="282"/>
        <v>-65761.448730386808</v>
      </c>
      <c r="BJ246" s="79">
        <f t="shared" si="250"/>
        <v>81200</v>
      </c>
      <c r="BK246" s="44">
        <f t="shared" si="283"/>
        <v>0.23476598474752586</v>
      </c>
      <c r="BL246" s="79">
        <f t="shared" si="300"/>
        <v>4604.7269078041681</v>
      </c>
      <c r="BM246" s="49">
        <f t="shared" si="284"/>
        <v>85804.726907804172</v>
      </c>
      <c r="BN246" s="44">
        <f t="shared" si="285"/>
        <v>0.30478766153087866</v>
      </c>
      <c r="BO246" s="49">
        <f t="shared" si="251"/>
        <v>5810.8331459060946</v>
      </c>
      <c r="BP246" s="49">
        <f t="shared" si="252"/>
        <v>87010.833145906101</v>
      </c>
      <c r="BQ246" s="44">
        <f t="shared" si="253"/>
        <v>0.32312828907767743</v>
      </c>
      <c r="BS246" s="49">
        <f t="shared" si="254"/>
        <v>65761.448730386808</v>
      </c>
      <c r="BT246" s="49">
        <f t="shared" si="230"/>
        <v>69.379997000000003</v>
      </c>
      <c r="BU246" s="49">
        <f t="shared" si="231"/>
        <v>49.18</v>
      </c>
      <c r="BV246" s="49">
        <f t="shared" si="255"/>
        <v>-3686.1530673818843</v>
      </c>
      <c r="BW246" s="18">
        <f t="shared" si="256"/>
        <v>1428</v>
      </c>
      <c r="BX246" s="19">
        <f t="shared" si="286"/>
        <v>0.6724770642201835</v>
      </c>
      <c r="BY246" s="49">
        <f t="shared" si="287"/>
        <v>-2478.8533930191938</v>
      </c>
      <c r="BZ246" s="19">
        <f t="shared" si="257"/>
        <v>0</v>
      </c>
      <c r="CA246" s="19">
        <f t="shared" si="258"/>
        <v>0</v>
      </c>
      <c r="CB246" s="19">
        <f t="shared" si="259"/>
        <v>0</v>
      </c>
      <c r="CC246" s="19">
        <f t="shared" si="260"/>
        <v>0</v>
      </c>
      <c r="CD246" s="19">
        <f t="shared" si="261"/>
        <v>0</v>
      </c>
      <c r="CE246" s="19">
        <f t="shared" si="262"/>
        <v>0</v>
      </c>
      <c r="CF246" s="49">
        <f t="shared" si="263"/>
        <v>0</v>
      </c>
      <c r="CG246" s="49">
        <f t="shared" si="264"/>
        <v>0</v>
      </c>
      <c r="CH246" s="49">
        <f t="shared" si="265"/>
        <v>0</v>
      </c>
      <c r="CI246" s="49">
        <f t="shared" si="266"/>
        <v>0</v>
      </c>
      <c r="CJ246" s="49">
        <f t="shared" si="267"/>
        <v>0</v>
      </c>
      <c r="CK246" s="49">
        <f t="shared" si="268"/>
        <v>0</v>
      </c>
    </row>
    <row r="247" spans="2:89" ht="12.75" customHeight="1" x14ac:dyDescent="0.2">
      <c r="B247" s="77">
        <v>40729</v>
      </c>
      <c r="C247" s="49">
        <v>69.760002</v>
      </c>
      <c r="D247" s="49">
        <v>56.73</v>
      </c>
      <c r="E247" s="49">
        <v>57.599997999999999</v>
      </c>
      <c r="F247" s="49">
        <v>72.050003000000004</v>
      </c>
      <c r="G247" s="49">
        <v>37.849997999999999</v>
      </c>
      <c r="H247" s="49">
        <v>49</v>
      </c>
      <c r="J247" s="78">
        <f>IF(inter=Weekly_2,J246+$C$5,IF(inter=Bi_weekly_2,0,IF(inter=Monthly_2,0,IF(inter=Quarterly_2,0,IF(inter=Yearly_2,0,IF(inter=None_2,0,0))))))</f>
        <v>0</v>
      </c>
      <c r="K247" s="79">
        <f t="shared" si="269"/>
        <v>0</v>
      </c>
      <c r="L247" s="79">
        <f t="shared" si="270"/>
        <v>0</v>
      </c>
      <c r="M247" s="79">
        <f t="shared" si="271"/>
        <v>0</v>
      </c>
      <c r="N247" s="79">
        <f t="shared" si="272"/>
        <v>0</v>
      </c>
      <c r="O247" s="79">
        <f t="shared" si="273"/>
        <v>0</v>
      </c>
      <c r="P247" s="79">
        <f t="shared" si="274"/>
        <v>0</v>
      </c>
      <c r="Q247" s="79"/>
      <c r="R247" s="80">
        <f t="shared" si="232"/>
        <v>0</v>
      </c>
      <c r="S247" s="80">
        <f t="shared" si="233"/>
        <v>0</v>
      </c>
      <c r="T247" s="80">
        <f t="shared" si="234"/>
        <v>0</v>
      </c>
      <c r="U247" s="80">
        <f t="shared" si="235"/>
        <v>0</v>
      </c>
      <c r="V247" s="80">
        <f t="shared" si="236"/>
        <v>0</v>
      </c>
      <c r="W247" s="80">
        <f t="shared" si="237"/>
        <v>0</v>
      </c>
      <c r="X247" s="80">
        <f t="shared" si="288"/>
        <v>409.62815262156897</v>
      </c>
      <c r="Y247" s="80">
        <f t="shared" si="289"/>
        <v>142.781785524561</v>
      </c>
      <c r="Z247" s="80">
        <f t="shared" si="290"/>
        <v>112.77778169367298</v>
      </c>
      <c r="AA247" s="80">
        <f t="shared" si="291"/>
        <v>79.831464037842593</v>
      </c>
      <c r="AB247" s="80">
        <f t="shared" si="292"/>
        <v>527.54677754677766</v>
      </c>
      <c r="AC247" s="80">
        <f t="shared" si="293"/>
        <v>247.66165107767387</v>
      </c>
      <c r="AD247" s="80"/>
      <c r="AE247" s="80"/>
      <c r="AF247" s="80"/>
      <c r="AG247" s="80"/>
      <c r="AH247" s="80"/>
      <c r="AI247" s="80"/>
      <c r="AJ247" s="45">
        <f t="shared" si="238"/>
        <v>0</v>
      </c>
      <c r="AK247" s="45">
        <f t="shared" si="239"/>
        <v>0</v>
      </c>
      <c r="AL247" s="45">
        <f t="shared" si="240"/>
        <v>0</v>
      </c>
      <c r="AM247" s="45">
        <f t="shared" si="241"/>
        <v>0</v>
      </c>
      <c r="AN247" s="45">
        <f t="shared" si="242"/>
        <v>0</v>
      </c>
      <c r="AO247" s="45">
        <f t="shared" si="243"/>
        <v>0</v>
      </c>
      <c r="AP247" s="80">
        <f t="shared" si="244"/>
        <v>0</v>
      </c>
      <c r="AQ247" s="80">
        <f t="shared" si="245"/>
        <v>0</v>
      </c>
      <c r="AR247" s="80">
        <f t="shared" si="246"/>
        <v>0</v>
      </c>
      <c r="AS247" s="80">
        <f t="shared" si="247"/>
        <v>0</v>
      </c>
      <c r="AT247" s="80">
        <f t="shared" si="248"/>
        <v>0</v>
      </c>
      <c r="AU247" s="80">
        <f t="shared" si="249"/>
        <v>0</v>
      </c>
      <c r="AV247" s="80">
        <f t="shared" si="294"/>
        <v>25.179688966897466</v>
      </c>
      <c r="AW247" s="80">
        <f t="shared" si="295"/>
        <v>12.498006369050627</v>
      </c>
      <c r="AX247" s="80">
        <f t="shared" si="296"/>
        <v>7.7851603691946796</v>
      </c>
      <c r="AY247" s="80">
        <f t="shared" si="297"/>
        <v>5.7839795946550669</v>
      </c>
      <c r="AZ247" s="80">
        <f t="shared" si="298"/>
        <v>39.291160374459444</v>
      </c>
      <c r="BA247" s="80">
        <f t="shared" si="299"/>
        <v>19.945839538835287</v>
      </c>
      <c r="BB247" s="80">
        <f t="shared" si="275"/>
        <v>434.80784158846643</v>
      </c>
      <c r="BC247" s="80">
        <f t="shared" si="276"/>
        <v>155.27979189361162</v>
      </c>
      <c r="BD247" s="80">
        <f t="shared" si="277"/>
        <v>120.56294206286766</v>
      </c>
      <c r="BE247" s="80">
        <f t="shared" si="278"/>
        <v>85.615443632497659</v>
      </c>
      <c r="BF247" s="80">
        <f t="shared" si="279"/>
        <v>566.83793792123708</v>
      </c>
      <c r="BG247" s="80">
        <f t="shared" si="280"/>
        <v>267.60749061650915</v>
      </c>
      <c r="BH247" s="49">
        <f t="shared" si="281"/>
        <v>0</v>
      </c>
      <c r="BI247" s="79">
        <f t="shared" si="282"/>
        <v>-65761.448730386808</v>
      </c>
      <c r="BJ247" s="79">
        <f t="shared" si="250"/>
        <v>81026.594040224241</v>
      </c>
      <c r="BK247" s="44">
        <f t="shared" si="283"/>
        <v>0.23212909089674261</v>
      </c>
      <c r="BL247" s="79">
        <f t="shared" si="300"/>
        <v>4604.7269078041681</v>
      </c>
      <c r="BM247" s="49">
        <f t="shared" si="284"/>
        <v>85631.320948028413</v>
      </c>
      <c r="BN247" s="44">
        <f t="shared" si="285"/>
        <v>0.30215076768009541</v>
      </c>
      <c r="BO247" s="49">
        <f t="shared" si="251"/>
        <v>5795.2245018424146</v>
      </c>
      <c r="BP247" s="49">
        <f t="shared" si="252"/>
        <v>86821.818542066656</v>
      </c>
      <c r="BQ247" s="44">
        <f t="shared" si="253"/>
        <v>0.32025404272987612</v>
      </c>
      <c r="BS247" s="49">
        <f t="shared" si="254"/>
        <v>65761.448730386808</v>
      </c>
      <c r="BT247" s="49">
        <f t="shared" si="230"/>
        <v>69.760002</v>
      </c>
      <c r="BU247" s="49">
        <f t="shared" si="231"/>
        <v>49</v>
      </c>
      <c r="BV247" s="49">
        <f t="shared" si="255"/>
        <v>0</v>
      </c>
      <c r="BW247" s="18">
        <f t="shared" si="256"/>
        <v>1436</v>
      </c>
      <c r="BX247" s="19">
        <f t="shared" si="286"/>
        <v>0.67064220183486234</v>
      </c>
      <c r="BY247" s="49">
        <f t="shared" si="287"/>
        <v>0</v>
      </c>
      <c r="BZ247" s="19">
        <f t="shared" si="257"/>
        <v>0</v>
      </c>
      <c r="CA247" s="19">
        <f t="shared" si="258"/>
        <v>0</v>
      </c>
      <c r="CB247" s="19">
        <f t="shared" si="259"/>
        <v>0</v>
      </c>
      <c r="CC247" s="19">
        <f t="shared" si="260"/>
        <v>0</v>
      </c>
      <c r="CD247" s="19">
        <f t="shared" si="261"/>
        <v>0</v>
      </c>
      <c r="CE247" s="19">
        <f t="shared" si="262"/>
        <v>0</v>
      </c>
      <c r="CF247" s="49">
        <f t="shared" si="263"/>
        <v>0</v>
      </c>
      <c r="CG247" s="49">
        <f t="shared" si="264"/>
        <v>0</v>
      </c>
      <c r="CH247" s="49">
        <f t="shared" si="265"/>
        <v>0</v>
      </c>
      <c r="CI247" s="49">
        <f t="shared" si="266"/>
        <v>0</v>
      </c>
      <c r="CJ247" s="49">
        <f t="shared" si="267"/>
        <v>0</v>
      </c>
      <c r="CK247" s="49">
        <f t="shared" si="268"/>
        <v>0</v>
      </c>
    </row>
    <row r="248" spans="2:89" ht="12.75" customHeight="1" x14ac:dyDescent="0.2">
      <c r="B248" s="77">
        <v>40735</v>
      </c>
      <c r="C248" s="49">
        <v>68.279999000000004</v>
      </c>
      <c r="D248" s="49">
        <v>55.48</v>
      </c>
      <c r="E248" s="49">
        <v>55.970001000000003</v>
      </c>
      <c r="F248" s="49">
        <v>70.059997999999993</v>
      </c>
      <c r="G248" s="49">
        <v>36.849997999999999</v>
      </c>
      <c r="H248" s="49">
        <v>47.73</v>
      </c>
      <c r="J248" s="78">
        <f>IF(inter=Weekly_2,J247+$C$5,IF(inter=Bi_weekly_2,J246+$C$5,IF(inter=Monthly_2,0,IF(inter=Quarterly_2,0,IF(inter=Yearly_2,0,IF(inter=None_2,0,0))))))</f>
        <v>81800</v>
      </c>
      <c r="K248" s="79">
        <f t="shared" si="269"/>
        <v>-660.59014862742333</v>
      </c>
      <c r="L248" s="79">
        <f t="shared" si="270"/>
        <v>-258.46653909735596</v>
      </c>
      <c r="M248" s="79">
        <f t="shared" si="271"/>
        <v>-231.82744582734176</v>
      </c>
      <c r="N248" s="79">
        <f t="shared" si="272"/>
        <v>-133.00778917167736</v>
      </c>
      <c r="O248" s="79">
        <f t="shared" si="273"/>
        <v>-1009.9023024948001</v>
      </c>
      <c r="P248" s="79">
        <f t="shared" si="274"/>
        <v>-449.10939406262696</v>
      </c>
      <c r="Q248" s="79"/>
      <c r="R248" s="80">
        <f t="shared" si="232"/>
        <v>9.674724052462615</v>
      </c>
      <c r="S248" s="80">
        <f t="shared" si="233"/>
        <v>4.6587335814231432</v>
      </c>
      <c r="T248" s="80">
        <f t="shared" si="234"/>
        <v>4.1419946700973211</v>
      </c>
      <c r="U248" s="80">
        <f t="shared" si="235"/>
        <v>1.8984840560754423</v>
      </c>
      <c r="V248" s="80">
        <f t="shared" si="236"/>
        <v>27.405762749154018</v>
      </c>
      <c r="W248" s="80">
        <f t="shared" si="237"/>
        <v>9.4093734352111245</v>
      </c>
      <c r="X248" s="80">
        <f t="shared" si="288"/>
        <v>419.30287667403161</v>
      </c>
      <c r="Y248" s="80">
        <f t="shared" si="289"/>
        <v>147.44051910598415</v>
      </c>
      <c r="Z248" s="80">
        <f t="shared" si="290"/>
        <v>116.9197763637703</v>
      </c>
      <c r="AA248" s="80">
        <f t="shared" si="291"/>
        <v>81.72994809391804</v>
      </c>
      <c r="AB248" s="80">
        <f t="shared" si="292"/>
        <v>554.95254029593173</v>
      </c>
      <c r="AC248" s="80">
        <f t="shared" si="293"/>
        <v>257.071024512885</v>
      </c>
      <c r="AD248" s="80"/>
      <c r="AE248" s="80"/>
      <c r="AF248" s="80"/>
      <c r="AG248" s="80"/>
      <c r="AH248" s="80"/>
      <c r="AI248" s="80"/>
      <c r="AJ248" s="45">
        <f t="shared" si="238"/>
        <v>0</v>
      </c>
      <c r="AK248" s="45">
        <f t="shared" si="239"/>
        <v>0</v>
      </c>
      <c r="AL248" s="45">
        <f t="shared" si="240"/>
        <v>0</v>
      </c>
      <c r="AM248" s="45">
        <f t="shared" si="241"/>
        <v>0</v>
      </c>
      <c r="AN248" s="45">
        <f t="shared" si="242"/>
        <v>0</v>
      </c>
      <c r="AO248" s="45">
        <f t="shared" si="243"/>
        <v>0</v>
      </c>
      <c r="AP248" s="80">
        <f t="shared" si="244"/>
        <v>0</v>
      </c>
      <c r="AQ248" s="80">
        <f t="shared" si="245"/>
        <v>0</v>
      </c>
      <c r="AR248" s="80">
        <f t="shared" si="246"/>
        <v>0</v>
      </c>
      <c r="AS248" s="80">
        <f t="shared" si="247"/>
        <v>0</v>
      </c>
      <c r="AT248" s="80">
        <f t="shared" si="248"/>
        <v>0</v>
      </c>
      <c r="AU248" s="80">
        <f t="shared" si="249"/>
        <v>0</v>
      </c>
      <c r="AV248" s="80">
        <f t="shared" si="294"/>
        <v>25.179688966897466</v>
      </c>
      <c r="AW248" s="80">
        <f t="shared" si="295"/>
        <v>12.498006369050627</v>
      </c>
      <c r="AX248" s="80">
        <f t="shared" si="296"/>
        <v>7.7851603691946796</v>
      </c>
      <c r="AY248" s="80">
        <f t="shared" si="297"/>
        <v>5.7839795946550669</v>
      </c>
      <c r="AZ248" s="80">
        <f t="shared" si="298"/>
        <v>39.291160374459444</v>
      </c>
      <c r="BA248" s="80">
        <f t="shared" si="299"/>
        <v>19.945839538835287</v>
      </c>
      <c r="BB248" s="80">
        <f t="shared" si="275"/>
        <v>444.48256564092907</v>
      </c>
      <c r="BC248" s="80">
        <f t="shared" si="276"/>
        <v>159.93852547503477</v>
      </c>
      <c r="BD248" s="80">
        <f t="shared" si="277"/>
        <v>124.70493673296498</v>
      </c>
      <c r="BE248" s="80">
        <f t="shared" si="278"/>
        <v>87.513927688573105</v>
      </c>
      <c r="BF248" s="80">
        <f t="shared" si="279"/>
        <v>594.24370067039115</v>
      </c>
      <c r="BG248" s="80">
        <f t="shared" si="280"/>
        <v>277.01686405172029</v>
      </c>
      <c r="BH248" s="49">
        <f t="shared" si="281"/>
        <v>0</v>
      </c>
      <c r="BI248" s="79">
        <f t="shared" si="282"/>
        <v>-68504.352349668028</v>
      </c>
      <c r="BJ248" s="79">
        <f t="shared" si="250"/>
        <v>81800</v>
      </c>
      <c r="BK248" s="44">
        <f t="shared" si="283"/>
        <v>0.19408471424511475</v>
      </c>
      <c r="BL248" s="79">
        <f t="shared" si="300"/>
        <v>4604.7269078041681</v>
      </c>
      <c r="BM248" s="49">
        <f t="shared" si="284"/>
        <v>86404.726907804172</v>
      </c>
      <c r="BN248" s="44">
        <f t="shared" si="285"/>
        <v>0.26130273397472514</v>
      </c>
      <c r="BO248" s="49">
        <f t="shared" si="251"/>
        <v>5653.5136657226785</v>
      </c>
      <c r="BP248" s="49">
        <f t="shared" si="252"/>
        <v>87453.513665722683</v>
      </c>
      <c r="BQ248" s="44">
        <f t="shared" si="253"/>
        <v>0.27661251681253907</v>
      </c>
      <c r="BS248" s="49">
        <f t="shared" si="254"/>
        <v>68504.352349668028</v>
      </c>
      <c r="BT248" s="49">
        <f t="shared" si="230"/>
        <v>68.279999000000004</v>
      </c>
      <c r="BU248" s="49">
        <f t="shared" si="231"/>
        <v>47.73</v>
      </c>
      <c r="BV248" s="49">
        <f t="shared" si="255"/>
        <v>2742.9036192812255</v>
      </c>
      <c r="BW248" s="18">
        <f t="shared" si="256"/>
        <v>1442</v>
      </c>
      <c r="BX248" s="19">
        <f t="shared" si="286"/>
        <v>0.66926605504587156</v>
      </c>
      <c r="BY248" s="49">
        <f t="shared" si="287"/>
        <v>1835.732284647389</v>
      </c>
      <c r="BZ248" s="19">
        <f t="shared" si="257"/>
        <v>9.674724052462615</v>
      </c>
      <c r="CA248" s="19">
        <f t="shared" si="258"/>
        <v>4.6587335814231432</v>
      </c>
      <c r="CB248" s="19">
        <f t="shared" si="259"/>
        <v>4.1419946700973211</v>
      </c>
      <c r="CC248" s="19">
        <f t="shared" si="260"/>
        <v>1.8984840560754423</v>
      </c>
      <c r="CD248" s="19">
        <f t="shared" si="261"/>
        <v>27.405762749154018</v>
      </c>
      <c r="CE248" s="19">
        <f t="shared" si="262"/>
        <v>9.4093734352111245</v>
      </c>
      <c r="CF248" s="49">
        <f t="shared" si="263"/>
        <v>-660.59014862742333</v>
      </c>
      <c r="CG248" s="49">
        <f t="shared" si="264"/>
        <v>-258.46653909735596</v>
      </c>
      <c r="CH248" s="49">
        <f t="shared" si="265"/>
        <v>-231.82744582734176</v>
      </c>
      <c r="CI248" s="49">
        <f t="shared" si="266"/>
        <v>-133.00778917167736</v>
      </c>
      <c r="CJ248" s="49">
        <f t="shared" si="267"/>
        <v>-1009.9023024948001</v>
      </c>
      <c r="CK248" s="49">
        <f t="shared" si="268"/>
        <v>-449.10939406262696</v>
      </c>
    </row>
    <row r="249" spans="2:89" ht="12.75" customHeight="1" x14ac:dyDescent="0.2">
      <c r="B249" s="77">
        <v>40742</v>
      </c>
      <c r="C249" s="49">
        <v>69.709998999999996</v>
      </c>
      <c r="D249" s="49">
        <v>56.48</v>
      </c>
      <c r="E249" s="49">
        <v>56.880001</v>
      </c>
      <c r="F249" s="49">
        <v>71.169998000000007</v>
      </c>
      <c r="G249" s="49">
        <v>38.18</v>
      </c>
      <c r="H249" s="49">
        <v>48.68</v>
      </c>
      <c r="J249" s="78">
        <f>IF(inter=Weekly_2,J248+$C$5,IF(inter=Bi_weekly_2,0,IF(inter=Monthly_2,0,IF(inter=Quarterly_2,0,IF(inter=Yearly_2,0,IF(inter=None_2,0,0))))))</f>
        <v>0</v>
      </c>
      <c r="K249" s="79">
        <f t="shared" si="269"/>
        <v>0</v>
      </c>
      <c r="L249" s="79">
        <f t="shared" si="270"/>
        <v>0</v>
      </c>
      <c r="M249" s="79">
        <f t="shared" si="271"/>
        <v>0</v>
      </c>
      <c r="N249" s="79">
        <f t="shared" si="272"/>
        <v>0</v>
      </c>
      <c r="O249" s="79">
        <f t="shared" si="273"/>
        <v>0</v>
      </c>
      <c r="P249" s="79">
        <f t="shared" si="274"/>
        <v>0</v>
      </c>
      <c r="Q249" s="79"/>
      <c r="R249" s="80">
        <f t="shared" si="232"/>
        <v>0</v>
      </c>
      <c r="S249" s="80">
        <f t="shared" si="233"/>
        <v>0</v>
      </c>
      <c r="T249" s="80">
        <f t="shared" si="234"/>
        <v>0</v>
      </c>
      <c r="U249" s="80">
        <f t="shared" si="235"/>
        <v>0</v>
      </c>
      <c r="V249" s="80">
        <f t="shared" si="236"/>
        <v>0</v>
      </c>
      <c r="W249" s="80">
        <f t="shared" si="237"/>
        <v>0</v>
      </c>
      <c r="X249" s="80">
        <f t="shared" si="288"/>
        <v>419.30287667403161</v>
      </c>
      <c r="Y249" s="80">
        <f t="shared" si="289"/>
        <v>147.44051910598415</v>
      </c>
      <c r="Z249" s="80">
        <f t="shared" si="290"/>
        <v>116.9197763637703</v>
      </c>
      <c r="AA249" s="80">
        <f t="shared" si="291"/>
        <v>81.72994809391804</v>
      </c>
      <c r="AB249" s="80">
        <f t="shared" si="292"/>
        <v>554.95254029593173</v>
      </c>
      <c r="AC249" s="80">
        <f t="shared" si="293"/>
        <v>257.071024512885</v>
      </c>
      <c r="AD249" s="80"/>
      <c r="AE249" s="80"/>
      <c r="AF249" s="80"/>
      <c r="AG249" s="80"/>
      <c r="AH249" s="80"/>
      <c r="AI249" s="80"/>
      <c r="AJ249" s="45">
        <f t="shared" si="238"/>
        <v>0</v>
      </c>
      <c r="AK249" s="45">
        <f t="shared" si="239"/>
        <v>0</v>
      </c>
      <c r="AL249" s="45">
        <f t="shared" si="240"/>
        <v>0</v>
      </c>
      <c r="AM249" s="45">
        <f t="shared" si="241"/>
        <v>0</v>
      </c>
      <c r="AN249" s="45">
        <f t="shared" si="242"/>
        <v>0</v>
      </c>
      <c r="AO249" s="45">
        <f t="shared" si="243"/>
        <v>0</v>
      </c>
      <c r="AP249" s="80">
        <f t="shared" si="244"/>
        <v>0</v>
      </c>
      <c r="AQ249" s="80">
        <f t="shared" si="245"/>
        <v>0</v>
      </c>
      <c r="AR249" s="80">
        <f t="shared" si="246"/>
        <v>0</v>
      </c>
      <c r="AS249" s="80">
        <f t="shared" si="247"/>
        <v>0</v>
      </c>
      <c r="AT249" s="80">
        <f t="shared" si="248"/>
        <v>0</v>
      </c>
      <c r="AU249" s="80">
        <f t="shared" si="249"/>
        <v>0</v>
      </c>
      <c r="AV249" s="80">
        <f t="shared" si="294"/>
        <v>25.179688966897466</v>
      </c>
      <c r="AW249" s="80">
        <f t="shared" si="295"/>
        <v>12.498006369050627</v>
      </c>
      <c r="AX249" s="80">
        <f t="shared" si="296"/>
        <v>7.7851603691946796</v>
      </c>
      <c r="AY249" s="80">
        <f t="shared" si="297"/>
        <v>5.7839795946550669</v>
      </c>
      <c r="AZ249" s="80">
        <f t="shared" si="298"/>
        <v>39.291160374459444</v>
      </c>
      <c r="BA249" s="80">
        <f t="shared" si="299"/>
        <v>19.945839538835287</v>
      </c>
      <c r="BB249" s="80">
        <f t="shared" si="275"/>
        <v>444.48256564092907</v>
      </c>
      <c r="BC249" s="80">
        <f t="shared" si="276"/>
        <v>159.93852547503477</v>
      </c>
      <c r="BD249" s="80">
        <f t="shared" si="277"/>
        <v>124.70493673296498</v>
      </c>
      <c r="BE249" s="80">
        <f t="shared" si="278"/>
        <v>87.513927688573105</v>
      </c>
      <c r="BF249" s="80">
        <f t="shared" si="279"/>
        <v>594.24370067039115</v>
      </c>
      <c r="BG249" s="80">
        <f t="shared" si="280"/>
        <v>277.01686405172029</v>
      </c>
      <c r="BH249" s="49">
        <f t="shared" si="281"/>
        <v>0</v>
      </c>
      <c r="BI249" s="79">
        <f t="shared" si="282"/>
        <v>-68504.352349668028</v>
      </c>
      <c r="BJ249" s="79">
        <f t="shared" si="250"/>
        <v>83726.466333411037</v>
      </c>
      <c r="BK249" s="44">
        <f t="shared" si="283"/>
        <v>0.22220652355115322</v>
      </c>
      <c r="BL249" s="79">
        <f t="shared" si="300"/>
        <v>4604.7269078041681</v>
      </c>
      <c r="BM249" s="49">
        <f t="shared" si="284"/>
        <v>88331.193241215209</v>
      </c>
      <c r="BN249" s="44">
        <f t="shared" si="285"/>
        <v>0.28942454328076361</v>
      </c>
      <c r="BO249" s="49">
        <f t="shared" si="251"/>
        <v>5786.7292100426712</v>
      </c>
      <c r="BP249" s="49">
        <f t="shared" si="252"/>
        <v>89513.195543453709</v>
      </c>
      <c r="BQ249" s="44">
        <f t="shared" si="253"/>
        <v>0.30667895503266496</v>
      </c>
      <c r="BS249" s="49">
        <f t="shared" si="254"/>
        <v>68504.352349668028</v>
      </c>
      <c r="BT249" s="49">
        <f t="shared" si="230"/>
        <v>69.709998999999996</v>
      </c>
      <c r="BU249" s="49">
        <f t="shared" si="231"/>
        <v>48.68</v>
      </c>
      <c r="BV249" s="49">
        <f t="shared" si="255"/>
        <v>0</v>
      </c>
      <c r="BW249" s="18">
        <f t="shared" si="256"/>
        <v>1449</v>
      </c>
      <c r="BX249" s="19">
        <f t="shared" si="286"/>
        <v>0.66766055045871564</v>
      </c>
      <c r="BY249" s="49">
        <f t="shared" si="287"/>
        <v>0</v>
      </c>
      <c r="BZ249" s="19">
        <f t="shared" si="257"/>
        <v>0</v>
      </c>
      <c r="CA249" s="19">
        <f t="shared" si="258"/>
        <v>0</v>
      </c>
      <c r="CB249" s="19">
        <f t="shared" si="259"/>
        <v>0</v>
      </c>
      <c r="CC249" s="19">
        <f t="shared" si="260"/>
        <v>0</v>
      </c>
      <c r="CD249" s="19">
        <f t="shared" si="261"/>
        <v>0</v>
      </c>
      <c r="CE249" s="19">
        <f t="shared" si="262"/>
        <v>0</v>
      </c>
      <c r="CF249" s="49">
        <f t="shared" si="263"/>
        <v>0</v>
      </c>
      <c r="CG249" s="49">
        <f t="shared" si="264"/>
        <v>0</v>
      </c>
      <c r="CH249" s="49">
        <f t="shared" si="265"/>
        <v>0</v>
      </c>
      <c r="CI249" s="49">
        <f t="shared" si="266"/>
        <v>0</v>
      </c>
      <c r="CJ249" s="49">
        <f t="shared" si="267"/>
        <v>0</v>
      </c>
      <c r="CK249" s="49">
        <f t="shared" si="268"/>
        <v>0</v>
      </c>
    </row>
    <row r="250" spans="2:89" ht="12.75" customHeight="1" x14ac:dyDescent="0.2">
      <c r="B250" s="77">
        <v>40749</v>
      </c>
      <c r="C250" s="49">
        <v>66.849997999999999</v>
      </c>
      <c r="D250" s="49">
        <v>54.09</v>
      </c>
      <c r="E250" s="49">
        <v>54.389999000000003</v>
      </c>
      <c r="F250" s="49">
        <v>67.75</v>
      </c>
      <c r="G250" s="49">
        <v>37.169998</v>
      </c>
      <c r="H250" s="49">
        <v>48.32</v>
      </c>
      <c r="J250" s="78">
        <f>IF(inter=Weekly_2,J249+$C$5,IF(inter=Bi_weekly_2,J248+$C$5,IF(inter=Monthly_2,J246+$C$5,IF(inter=Quarterly_2,J237+$C$5,IF(inter=Yearly_2,J198+$C$5,IF(inter=None_2,0,0))))))</f>
        <v>82400</v>
      </c>
      <c r="K250" s="79">
        <f t="shared" si="269"/>
        <v>-809.60353294673769</v>
      </c>
      <c r="L250" s="79">
        <f t="shared" si="270"/>
        <v>-264.94232155731697</v>
      </c>
      <c r="M250" s="79">
        <f t="shared" si="271"/>
        <v>-232.73348049430933</v>
      </c>
      <c r="N250" s="79">
        <f t="shared" si="272"/>
        <v>-230.79601663705398</v>
      </c>
      <c r="O250" s="79">
        <f t="shared" si="273"/>
        <v>27.584812894700008</v>
      </c>
      <c r="P250" s="79">
        <f t="shared" si="274"/>
        <v>61.671904462604289</v>
      </c>
      <c r="Q250" s="79"/>
      <c r="R250" s="80">
        <f t="shared" si="232"/>
        <v>12.110748798328126</v>
      </c>
      <c r="S250" s="80">
        <f t="shared" si="233"/>
        <v>4.8981756619951371</v>
      </c>
      <c r="T250" s="80">
        <f t="shared" si="234"/>
        <v>4.2789756347358878</v>
      </c>
      <c r="U250" s="80">
        <f t="shared" si="235"/>
        <v>3.4065832713956308</v>
      </c>
      <c r="V250" s="80">
        <f t="shared" si="236"/>
        <v>-0.74212575676490511</v>
      </c>
      <c r="W250" s="80">
        <f t="shared" si="237"/>
        <v>-1.2763225261300557</v>
      </c>
      <c r="X250" s="80">
        <f t="shared" si="288"/>
        <v>431.41362547235974</v>
      </c>
      <c r="Y250" s="80">
        <f t="shared" si="289"/>
        <v>152.33869476797929</v>
      </c>
      <c r="Z250" s="80">
        <f t="shared" si="290"/>
        <v>121.19875199850618</v>
      </c>
      <c r="AA250" s="80">
        <f t="shared" si="291"/>
        <v>85.136531365313672</v>
      </c>
      <c r="AB250" s="80">
        <f t="shared" si="292"/>
        <v>554.21041453916678</v>
      </c>
      <c r="AC250" s="80">
        <f t="shared" si="293"/>
        <v>255.79470198675494</v>
      </c>
      <c r="AD250" s="80"/>
      <c r="AE250" s="80"/>
      <c r="AF250" s="80"/>
      <c r="AG250" s="80"/>
      <c r="AH250" s="80"/>
      <c r="AI250" s="80"/>
      <c r="AJ250" s="45">
        <f t="shared" si="238"/>
        <v>0</v>
      </c>
      <c r="AK250" s="45">
        <f t="shared" si="239"/>
        <v>0</v>
      </c>
      <c r="AL250" s="45">
        <f t="shared" si="240"/>
        <v>0</v>
      </c>
      <c r="AM250" s="45">
        <f t="shared" si="241"/>
        <v>0</v>
      </c>
      <c r="AN250" s="45">
        <f t="shared" si="242"/>
        <v>0</v>
      </c>
      <c r="AO250" s="45">
        <f t="shared" si="243"/>
        <v>0</v>
      </c>
      <c r="AP250" s="80">
        <f t="shared" si="244"/>
        <v>0</v>
      </c>
      <c r="AQ250" s="80">
        <f t="shared" si="245"/>
        <v>0</v>
      </c>
      <c r="AR250" s="80">
        <f t="shared" si="246"/>
        <v>0</v>
      </c>
      <c r="AS250" s="80">
        <f t="shared" si="247"/>
        <v>0</v>
      </c>
      <c r="AT250" s="80">
        <f t="shared" si="248"/>
        <v>0</v>
      </c>
      <c r="AU250" s="80">
        <f t="shared" si="249"/>
        <v>0</v>
      </c>
      <c r="AV250" s="80">
        <f t="shared" si="294"/>
        <v>25.179688966897466</v>
      </c>
      <c r="AW250" s="80">
        <f t="shared" si="295"/>
        <v>12.498006369050627</v>
      </c>
      <c r="AX250" s="80">
        <f t="shared" si="296"/>
        <v>7.7851603691946796</v>
      </c>
      <c r="AY250" s="80">
        <f t="shared" si="297"/>
        <v>5.7839795946550669</v>
      </c>
      <c r="AZ250" s="80">
        <f t="shared" si="298"/>
        <v>39.291160374459444</v>
      </c>
      <c r="BA250" s="80">
        <f t="shared" si="299"/>
        <v>19.945839538835287</v>
      </c>
      <c r="BB250" s="80">
        <f t="shared" si="275"/>
        <v>456.5933144392572</v>
      </c>
      <c r="BC250" s="80">
        <f t="shared" si="276"/>
        <v>164.83670113702991</v>
      </c>
      <c r="BD250" s="80">
        <f t="shared" si="277"/>
        <v>128.98391236770087</v>
      </c>
      <c r="BE250" s="80">
        <f t="shared" si="278"/>
        <v>90.920510959968738</v>
      </c>
      <c r="BF250" s="80">
        <f t="shared" si="279"/>
        <v>593.5015749136262</v>
      </c>
      <c r="BG250" s="80">
        <f t="shared" si="280"/>
        <v>275.74054152559023</v>
      </c>
      <c r="BH250" s="49">
        <f t="shared" si="281"/>
        <v>0</v>
      </c>
      <c r="BI250" s="79">
        <f t="shared" si="282"/>
        <v>-69953.17098394614</v>
      </c>
      <c r="BJ250" s="79">
        <f t="shared" si="250"/>
        <v>82400</v>
      </c>
      <c r="BK250" s="44">
        <f t="shared" si="283"/>
        <v>0.17793087634169336</v>
      </c>
      <c r="BL250" s="79">
        <f t="shared" si="300"/>
        <v>4604.7269078041681</v>
      </c>
      <c r="BM250" s="49">
        <f t="shared" si="284"/>
        <v>87004.726907804172</v>
      </c>
      <c r="BN250" s="44">
        <f t="shared" si="285"/>
        <v>0.24375672587839192</v>
      </c>
      <c r="BO250" s="49">
        <f t="shared" si="251"/>
        <v>5598.8141228657423</v>
      </c>
      <c r="BP250" s="49">
        <f t="shared" si="252"/>
        <v>87998.814122865733</v>
      </c>
      <c r="BQ250" s="44">
        <f t="shared" si="253"/>
        <v>0.25796747860166303</v>
      </c>
      <c r="BS250" s="49">
        <f t="shared" si="254"/>
        <v>69953.17098394614</v>
      </c>
      <c r="BT250" s="49">
        <f t="shared" si="230"/>
        <v>66.849997999999999</v>
      </c>
      <c r="BU250" s="49">
        <f t="shared" si="231"/>
        <v>48.32</v>
      </c>
      <c r="BV250" s="49">
        <f t="shared" si="255"/>
        <v>1448.8186342781137</v>
      </c>
      <c r="BW250" s="18">
        <f t="shared" si="256"/>
        <v>1456</v>
      </c>
      <c r="BX250" s="19">
        <f t="shared" si="286"/>
        <v>0.66605504587155961</v>
      </c>
      <c r="BY250" s="49">
        <f t="shared" si="287"/>
        <v>964.99296191367932</v>
      </c>
      <c r="BZ250" s="19">
        <f t="shared" si="257"/>
        <v>12.110748798328126</v>
      </c>
      <c r="CA250" s="19">
        <f t="shared" si="258"/>
        <v>4.8981756619951371</v>
      </c>
      <c r="CB250" s="19">
        <f t="shared" si="259"/>
        <v>4.2789756347358878</v>
      </c>
      <c r="CC250" s="19">
        <f t="shared" si="260"/>
        <v>3.4065832713956308</v>
      </c>
      <c r="CD250" s="19">
        <f t="shared" si="261"/>
        <v>0</v>
      </c>
      <c r="CE250" s="19">
        <f t="shared" si="262"/>
        <v>0</v>
      </c>
      <c r="CF250" s="49">
        <f t="shared" si="263"/>
        <v>-809.60353294673769</v>
      </c>
      <c r="CG250" s="49">
        <f t="shared" si="264"/>
        <v>-264.94232155731697</v>
      </c>
      <c r="CH250" s="49">
        <f t="shared" si="265"/>
        <v>-232.73348049430933</v>
      </c>
      <c r="CI250" s="49">
        <f t="shared" si="266"/>
        <v>-230.79601663705398</v>
      </c>
      <c r="CJ250" s="49">
        <f t="shared" si="267"/>
        <v>0</v>
      </c>
      <c r="CK250" s="49">
        <f t="shared" si="268"/>
        <v>0</v>
      </c>
    </row>
    <row r="251" spans="2:89" ht="12.75" customHeight="1" x14ac:dyDescent="0.2">
      <c r="B251" s="77">
        <v>40756</v>
      </c>
      <c r="C251" s="49">
        <v>61.619999</v>
      </c>
      <c r="D251" s="49">
        <v>50.09</v>
      </c>
      <c r="E251" s="49">
        <v>49.110000999999997</v>
      </c>
      <c r="F251" s="49">
        <v>60.77</v>
      </c>
      <c r="G251" s="49">
        <v>34.040000999999997</v>
      </c>
      <c r="H251" s="49">
        <v>43.650002000000001</v>
      </c>
      <c r="J251" s="78">
        <f>IF(inter=Weekly_2,J250+$C$5,IF(inter=Bi_weekly_2,0,IF(inter=Monthly_2,0,IF(inter=Quarterly_2,0,IF(inter=Yearly_2,0,IF(inter=None_2,0,0))))))</f>
        <v>0</v>
      </c>
      <c r="K251" s="79">
        <f t="shared" si="269"/>
        <v>0</v>
      </c>
      <c r="L251" s="79">
        <f t="shared" si="270"/>
        <v>0</v>
      </c>
      <c r="M251" s="79">
        <f t="shared" si="271"/>
        <v>0</v>
      </c>
      <c r="N251" s="79">
        <f t="shared" si="272"/>
        <v>0</v>
      </c>
      <c r="O251" s="79">
        <f t="shared" si="273"/>
        <v>0</v>
      </c>
      <c r="P251" s="79">
        <f t="shared" si="274"/>
        <v>0</v>
      </c>
      <c r="Q251" s="79"/>
      <c r="R251" s="80">
        <f t="shared" si="232"/>
        <v>0</v>
      </c>
      <c r="S251" s="80">
        <f t="shared" si="233"/>
        <v>0</v>
      </c>
      <c r="T251" s="80">
        <f t="shared" si="234"/>
        <v>0</v>
      </c>
      <c r="U251" s="80">
        <f t="shared" si="235"/>
        <v>0</v>
      </c>
      <c r="V251" s="80">
        <f t="shared" si="236"/>
        <v>0</v>
      </c>
      <c r="W251" s="80">
        <f t="shared" si="237"/>
        <v>0</v>
      </c>
      <c r="X251" s="80">
        <f t="shared" si="288"/>
        <v>431.41362547235974</v>
      </c>
      <c r="Y251" s="80">
        <f t="shared" si="289"/>
        <v>152.33869476797929</v>
      </c>
      <c r="Z251" s="80">
        <f t="shared" si="290"/>
        <v>121.19875199850618</v>
      </c>
      <c r="AA251" s="80">
        <f t="shared" si="291"/>
        <v>85.136531365313672</v>
      </c>
      <c r="AB251" s="80">
        <f t="shared" si="292"/>
        <v>554.21041453916678</v>
      </c>
      <c r="AC251" s="80">
        <f t="shared" si="293"/>
        <v>255.79470198675494</v>
      </c>
      <c r="AD251" s="80"/>
      <c r="AE251" s="80"/>
      <c r="AF251" s="80"/>
      <c r="AG251" s="80"/>
      <c r="AH251" s="80"/>
      <c r="AI251" s="80"/>
      <c r="AJ251" s="45">
        <f t="shared" si="238"/>
        <v>0</v>
      </c>
      <c r="AK251" s="45">
        <f t="shared" si="239"/>
        <v>0</v>
      </c>
      <c r="AL251" s="45">
        <f t="shared" si="240"/>
        <v>0</v>
      </c>
      <c r="AM251" s="45">
        <f t="shared" si="241"/>
        <v>0</v>
      </c>
      <c r="AN251" s="45">
        <f t="shared" si="242"/>
        <v>0</v>
      </c>
      <c r="AO251" s="45">
        <f t="shared" si="243"/>
        <v>0</v>
      </c>
      <c r="AP251" s="80">
        <f t="shared" si="244"/>
        <v>0</v>
      </c>
      <c r="AQ251" s="80">
        <f t="shared" si="245"/>
        <v>0</v>
      </c>
      <c r="AR251" s="80">
        <f t="shared" si="246"/>
        <v>0</v>
      </c>
      <c r="AS251" s="80">
        <f t="shared" si="247"/>
        <v>0</v>
      </c>
      <c r="AT251" s="80">
        <f t="shared" si="248"/>
        <v>0</v>
      </c>
      <c r="AU251" s="80">
        <f t="shared" si="249"/>
        <v>0</v>
      </c>
      <c r="AV251" s="80">
        <f t="shared" si="294"/>
        <v>25.179688966897466</v>
      </c>
      <c r="AW251" s="80">
        <f t="shared" si="295"/>
        <v>12.498006369050627</v>
      </c>
      <c r="AX251" s="80">
        <f t="shared" si="296"/>
        <v>7.7851603691946796</v>
      </c>
      <c r="AY251" s="80">
        <f t="shared" si="297"/>
        <v>5.7839795946550669</v>
      </c>
      <c r="AZ251" s="80">
        <f t="shared" si="298"/>
        <v>39.291160374459444</v>
      </c>
      <c r="BA251" s="80">
        <f t="shared" si="299"/>
        <v>19.945839538835287</v>
      </c>
      <c r="BB251" s="80">
        <f t="shared" si="275"/>
        <v>456.5933144392572</v>
      </c>
      <c r="BC251" s="80">
        <f t="shared" si="276"/>
        <v>164.83670113702991</v>
      </c>
      <c r="BD251" s="80">
        <f t="shared" si="277"/>
        <v>128.98391236770087</v>
      </c>
      <c r="BE251" s="80">
        <f t="shared" si="278"/>
        <v>90.920510959968738</v>
      </c>
      <c r="BF251" s="80">
        <f t="shared" si="279"/>
        <v>593.5015749136262</v>
      </c>
      <c r="BG251" s="80">
        <f t="shared" si="280"/>
        <v>275.74054152559023</v>
      </c>
      <c r="BH251" s="49">
        <f t="shared" si="281"/>
        <v>0</v>
      </c>
      <c r="BI251" s="79">
        <f t="shared" si="282"/>
        <v>-69953.17098394614</v>
      </c>
      <c r="BJ251" s="79">
        <f t="shared" si="250"/>
        <v>75370.93255247167</v>
      </c>
      <c r="BK251" s="44">
        <f t="shared" si="283"/>
        <v>7.7448405730869307E-2</v>
      </c>
      <c r="BL251" s="79">
        <f t="shared" si="300"/>
        <v>4604.7269078041681</v>
      </c>
      <c r="BM251" s="49">
        <f t="shared" si="284"/>
        <v>79975.659460275841</v>
      </c>
      <c r="BN251" s="44">
        <f t="shared" si="285"/>
        <v>0.14327425526756765</v>
      </c>
      <c r="BO251" s="49">
        <f t="shared" si="251"/>
        <v>5119.5262956693778</v>
      </c>
      <c r="BP251" s="49">
        <f t="shared" si="252"/>
        <v>80490.458848141046</v>
      </c>
      <c r="BQ251" s="44">
        <f t="shared" si="253"/>
        <v>0.15063345543854134</v>
      </c>
      <c r="BS251" s="49">
        <f t="shared" si="254"/>
        <v>69953.17098394614</v>
      </c>
      <c r="BT251" s="49">
        <f t="shared" si="230"/>
        <v>61.619999</v>
      </c>
      <c r="BU251" s="49">
        <f t="shared" si="231"/>
        <v>43.650002000000001</v>
      </c>
      <c r="BV251" s="49">
        <f t="shared" si="255"/>
        <v>0</v>
      </c>
      <c r="BW251" s="18">
        <f t="shared" si="256"/>
        <v>1463</v>
      </c>
      <c r="BX251" s="19">
        <f t="shared" si="286"/>
        <v>0.6644495412844037</v>
      </c>
      <c r="BY251" s="49">
        <f t="shared" si="287"/>
        <v>0</v>
      </c>
      <c r="BZ251" s="19">
        <f t="shared" si="257"/>
        <v>0</v>
      </c>
      <c r="CA251" s="19">
        <f t="shared" si="258"/>
        <v>0</v>
      </c>
      <c r="CB251" s="19">
        <f t="shared" si="259"/>
        <v>0</v>
      </c>
      <c r="CC251" s="19">
        <f t="shared" si="260"/>
        <v>0</v>
      </c>
      <c r="CD251" s="19">
        <f t="shared" si="261"/>
        <v>0</v>
      </c>
      <c r="CE251" s="19">
        <f t="shared" si="262"/>
        <v>0</v>
      </c>
      <c r="CF251" s="49">
        <f t="shared" si="263"/>
        <v>0</v>
      </c>
      <c r="CG251" s="49">
        <f t="shared" si="264"/>
        <v>0</v>
      </c>
      <c r="CH251" s="49">
        <f t="shared" si="265"/>
        <v>0</v>
      </c>
      <c r="CI251" s="49">
        <f t="shared" si="266"/>
        <v>0</v>
      </c>
      <c r="CJ251" s="49">
        <f t="shared" si="267"/>
        <v>0</v>
      </c>
      <c r="CK251" s="49">
        <f t="shared" si="268"/>
        <v>0</v>
      </c>
    </row>
    <row r="252" spans="2:89" ht="12.75" customHeight="1" x14ac:dyDescent="0.2">
      <c r="B252" s="77">
        <v>40763</v>
      </c>
      <c r="C252" s="49">
        <v>60.700001</v>
      </c>
      <c r="D252" s="49">
        <v>48.98</v>
      </c>
      <c r="E252" s="49">
        <v>48.799999</v>
      </c>
      <c r="F252" s="49">
        <v>59.560001</v>
      </c>
      <c r="G252" s="49">
        <v>33.520000000000003</v>
      </c>
      <c r="H252" s="49">
        <v>42.369999</v>
      </c>
      <c r="J252" s="78">
        <f>IF(inter=Weekly_2,J251+$C$5,IF(inter=Bi_weekly_2,J250+$C$5,IF(inter=Monthly_2,0,IF(inter=Quarterly_2,0,IF(inter=Yearly_2,0,IF(inter=None_2,0,0))))))</f>
        <v>83000</v>
      </c>
      <c r="K252" s="79">
        <f t="shared" si="269"/>
        <v>-2863.1925024141347</v>
      </c>
      <c r="L252" s="79">
        <f t="shared" si="270"/>
        <v>-838.45073026437512</v>
      </c>
      <c r="M252" s="79">
        <f t="shared" si="271"/>
        <v>-725.50102367165073</v>
      </c>
      <c r="N252" s="79">
        <f t="shared" si="272"/>
        <v>-739.26810674538683</v>
      </c>
      <c r="O252" s="79">
        <f t="shared" si="273"/>
        <v>-2172.8669046471296</v>
      </c>
      <c r="P252" s="79">
        <f t="shared" si="274"/>
        <v>-1611.9787326158948</v>
      </c>
      <c r="Q252" s="79"/>
      <c r="R252" s="80">
        <f t="shared" si="232"/>
        <v>47.16956268936692</v>
      </c>
      <c r="S252" s="80">
        <f t="shared" si="233"/>
        <v>17.118226424344122</v>
      </c>
      <c r="T252" s="80">
        <f t="shared" si="234"/>
        <v>14.866824560214658</v>
      </c>
      <c r="U252" s="80">
        <f t="shared" si="235"/>
        <v>12.412157393103248</v>
      </c>
      <c r="V252" s="80">
        <f t="shared" si="236"/>
        <v>64.822998348661372</v>
      </c>
      <c r="W252" s="80">
        <f t="shared" si="237"/>
        <v>38.045286067056431</v>
      </c>
      <c r="X252" s="80">
        <f t="shared" si="288"/>
        <v>478.58318816172664</v>
      </c>
      <c r="Y252" s="80">
        <f t="shared" si="289"/>
        <v>169.45692119232342</v>
      </c>
      <c r="Z252" s="80">
        <f t="shared" si="290"/>
        <v>136.06557655872084</v>
      </c>
      <c r="AA252" s="80">
        <f t="shared" si="291"/>
        <v>97.548688758416915</v>
      </c>
      <c r="AB252" s="80">
        <f t="shared" si="292"/>
        <v>619.03341288782815</v>
      </c>
      <c r="AC252" s="80">
        <f t="shared" si="293"/>
        <v>293.8399880538114</v>
      </c>
      <c r="AD252" s="80"/>
      <c r="AE252" s="80"/>
      <c r="AF252" s="80"/>
      <c r="AG252" s="80"/>
      <c r="AH252" s="80"/>
      <c r="AI252" s="80"/>
      <c r="AJ252" s="45">
        <f t="shared" si="238"/>
        <v>0</v>
      </c>
      <c r="AK252" s="45">
        <f t="shared" si="239"/>
        <v>0</v>
      </c>
      <c r="AL252" s="45">
        <f t="shared" si="240"/>
        <v>0</v>
      </c>
      <c r="AM252" s="45">
        <f t="shared" si="241"/>
        <v>0</v>
      </c>
      <c r="AN252" s="45">
        <f t="shared" si="242"/>
        <v>0</v>
      </c>
      <c r="AO252" s="45">
        <f t="shared" si="243"/>
        <v>0</v>
      </c>
      <c r="AP252" s="80">
        <f t="shared" si="244"/>
        <v>0</v>
      </c>
      <c r="AQ252" s="80">
        <f t="shared" si="245"/>
        <v>0</v>
      </c>
      <c r="AR252" s="80">
        <f t="shared" si="246"/>
        <v>0</v>
      </c>
      <c r="AS252" s="80">
        <f t="shared" si="247"/>
        <v>0</v>
      </c>
      <c r="AT252" s="80">
        <f t="shared" si="248"/>
        <v>0</v>
      </c>
      <c r="AU252" s="80">
        <f t="shared" si="249"/>
        <v>0</v>
      </c>
      <c r="AV252" s="80">
        <f t="shared" si="294"/>
        <v>25.179688966897466</v>
      </c>
      <c r="AW252" s="80">
        <f t="shared" si="295"/>
        <v>12.498006369050627</v>
      </c>
      <c r="AX252" s="80">
        <f t="shared" si="296"/>
        <v>7.7851603691946796</v>
      </c>
      <c r="AY252" s="80">
        <f t="shared" si="297"/>
        <v>5.7839795946550669</v>
      </c>
      <c r="AZ252" s="80">
        <f t="shared" si="298"/>
        <v>39.291160374459444</v>
      </c>
      <c r="BA252" s="80">
        <f t="shared" si="299"/>
        <v>19.945839538835287</v>
      </c>
      <c r="BB252" s="80">
        <f t="shared" si="275"/>
        <v>503.7628771286241</v>
      </c>
      <c r="BC252" s="80">
        <f t="shared" si="276"/>
        <v>181.95492756137403</v>
      </c>
      <c r="BD252" s="80">
        <f t="shared" si="277"/>
        <v>143.85073692791551</v>
      </c>
      <c r="BE252" s="80">
        <f t="shared" si="278"/>
        <v>103.33266835307198</v>
      </c>
      <c r="BF252" s="80">
        <f t="shared" si="279"/>
        <v>658.32457326228757</v>
      </c>
      <c r="BG252" s="80">
        <f t="shared" si="280"/>
        <v>313.78582759264668</v>
      </c>
      <c r="BH252" s="49">
        <f t="shared" si="281"/>
        <v>0</v>
      </c>
      <c r="BI252" s="79">
        <f t="shared" si="282"/>
        <v>-78904.428984304715</v>
      </c>
      <c r="BJ252" s="79">
        <f t="shared" si="250"/>
        <v>83000</v>
      </c>
      <c r="BK252" s="44">
        <f t="shared" si="283"/>
        <v>5.1905464223180209E-2</v>
      </c>
      <c r="BL252" s="79">
        <f t="shared" si="300"/>
        <v>4604.7269078041681</v>
      </c>
      <c r="BM252" s="49">
        <f t="shared" si="284"/>
        <v>87604.726907804172</v>
      </c>
      <c r="BN252" s="44">
        <f t="shared" si="285"/>
        <v>0.11026374609757439</v>
      </c>
      <c r="BO252" s="49">
        <f t="shared" si="251"/>
        <v>5027.1140431661333</v>
      </c>
      <c r="BP252" s="49">
        <f t="shared" si="252"/>
        <v>88027.114043166133</v>
      </c>
      <c r="BQ252" s="44">
        <f t="shared" si="253"/>
        <v>0.11561689472052405</v>
      </c>
      <c r="BS252" s="49">
        <f t="shared" si="254"/>
        <v>78904.428984304715</v>
      </c>
      <c r="BT252" s="49">
        <f t="shared" si="230"/>
        <v>60.700001</v>
      </c>
      <c r="BU252" s="49">
        <f t="shared" si="231"/>
        <v>42.369999</v>
      </c>
      <c r="BV252" s="49">
        <f t="shared" si="255"/>
        <v>8951.2580003585717</v>
      </c>
      <c r="BW252" s="18">
        <f t="shared" si="256"/>
        <v>1470</v>
      </c>
      <c r="BX252" s="19">
        <f t="shared" si="286"/>
        <v>0.66284403669724767</v>
      </c>
      <c r="BY252" s="49">
        <f t="shared" si="287"/>
        <v>5933.287986476209</v>
      </c>
      <c r="BZ252" s="19">
        <f t="shared" si="257"/>
        <v>47.16956268936692</v>
      </c>
      <c r="CA252" s="19">
        <f t="shared" si="258"/>
        <v>17.118226424344122</v>
      </c>
      <c r="CB252" s="19">
        <f t="shared" si="259"/>
        <v>14.866824560214658</v>
      </c>
      <c r="CC252" s="19">
        <f t="shared" si="260"/>
        <v>12.412157393103248</v>
      </c>
      <c r="CD252" s="19">
        <f t="shared" si="261"/>
        <v>64.822998348661372</v>
      </c>
      <c r="CE252" s="19">
        <f t="shared" si="262"/>
        <v>38.045286067056431</v>
      </c>
      <c r="CF252" s="49">
        <f t="shared" si="263"/>
        <v>-2863.1925024141347</v>
      </c>
      <c r="CG252" s="49">
        <f t="shared" si="264"/>
        <v>-838.45073026437512</v>
      </c>
      <c r="CH252" s="49">
        <f t="shared" si="265"/>
        <v>-725.50102367165073</v>
      </c>
      <c r="CI252" s="49">
        <f t="shared" si="266"/>
        <v>-739.26810674538683</v>
      </c>
      <c r="CJ252" s="49">
        <f t="shared" si="267"/>
        <v>-2172.8669046471296</v>
      </c>
      <c r="CK252" s="49">
        <f t="shared" si="268"/>
        <v>-1611.9787326158948</v>
      </c>
    </row>
    <row r="253" spans="2:89" ht="12.75" customHeight="1" x14ac:dyDescent="0.2">
      <c r="B253" s="77">
        <v>40770</v>
      </c>
      <c r="C253" s="49">
        <v>57.650002000000001</v>
      </c>
      <c r="D253" s="49">
        <v>47.139999000000003</v>
      </c>
      <c r="E253" s="49">
        <v>46.209999000000003</v>
      </c>
      <c r="F253" s="49">
        <v>56.330002</v>
      </c>
      <c r="G253" s="49">
        <v>31.799999</v>
      </c>
      <c r="H253" s="49">
        <v>40.740001999999997</v>
      </c>
      <c r="J253" s="78">
        <f>IF(inter=Weekly_2,J252+$C$5,IF(inter=Bi_weekly_2,0,IF(inter=Monthly_2,0,IF(inter=Quarterly_2,0,IF(inter=Yearly_2,0,IF(inter=None_2,0,0))))))</f>
        <v>0</v>
      </c>
      <c r="K253" s="79">
        <f t="shared" si="269"/>
        <v>0</v>
      </c>
      <c r="L253" s="79">
        <f t="shared" si="270"/>
        <v>0</v>
      </c>
      <c r="M253" s="79">
        <f t="shared" si="271"/>
        <v>0</v>
      </c>
      <c r="N253" s="79">
        <f t="shared" si="272"/>
        <v>0</v>
      </c>
      <c r="O253" s="79">
        <f t="shared" si="273"/>
        <v>0</v>
      </c>
      <c r="P253" s="79">
        <f t="shared" si="274"/>
        <v>0</v>
      </c>
      <c r="Q253" s="79"/>
      <c r="R253" s="80">
        <f t="shared" si="232"/>
        <v>0</v>
      </c>
      <c r="S253" s="80">
        <f t="shared" si="233"/>
        <v>0</v>
      </c>
      <c r="T253" s="80">
        <f t="shared" si="234"/>
        <v>0</v>
      </c>
      <c r="U253" s="80">
        <f t="shared" si="235"/>
        <v>0</v>
      </c>
      <c r="V253" s="80">
        <f t="shared" si="236"/>
        <v>0</v>
      </c>
      <c r="W253" s="80">
        <f t="shared" si="237"/>
        <v>0</v>
      </c>
      <c r="X253" s="80">
        <f t="shared" si="288"/>
        <v>478.58318816172664</v>
      </c>
      <c r="Y253" s="80">
        <f t="shared" si="289"/>
        <v>169.45692119232342</v>
      </c>
      <c r="Z253" s="80">
        <f t="shared" si="290"/>
        <v>136.06557655872084</v>
      </c>
      <c r="AA253" s="80">
        <f t="shared" si="291"/>
        <v>97.548688758416915</v>
      </c>
      <c r="AB253" s="80">
        <f t="shared" si="292"/>
        <v>619.03341288782815</v>
      </c>
      <c r="AC253" s="80">
        <f t="shared" si="293"/>
        <v>293.8399880538114</v>
      </c>
      <c r="AD253" s="80"/>
      <c r="AE253" s="80"/>
      <c r="AF253" s="80"/>
      <c r="AG253" s="80"/>
      <c r="AH253" s="80"/>
      <c r="AI253" s="80"/>
      <c r="AJ253" s="45">
        <f t="shared" si="238"/>
        <v>0</v>
      </c>
      <c r="AK253" s="45">
        <f t="shared" si="239"/>
        <v>0</v>
      </c>
      <c r="AL253" s="45">
        <f t="shared" si="240"/>
        <v>0</v>
      </c>
      <c r="AM253" s="45">
        <f t="shared" si="241"/>
        <v>0</v>
      </c>
      <c r="AN253" s="45">
        <f t="shared" si="242"/>
        <v>0</v>
      </c>
      <c r="AO253" s="45">
        <f t="shared" si="243"/>
        <v>0</v>
      </c>
      <c r="AP253" s="80">
        <f t="shared" si="244"/>
        <v>0</v>
      </c>
      <c r="AQ253" s="80">
        <f t="shared" si="245"/>
        <v>0</v>
      </c>
      <c r="AR253" s="80">
        <f t="shared" si="246"/>
        <v>0</v>
      </c>
      <c r="AS253" s="80">
        <f t="shared" si="247"/>
        <v>0</v>
      </c>
      <c r="AT253" s="80">
        <f t="shared" si="248"/>
        <v>0</v>
      </c>
      <c r="AU253" s="80">
        <f t="shared" si="249"/>
        <v>0</v>
      </c>
      <c r="AV253" s="80">
        <f t="shared" si="294"/>
        <v>25.179688966897466</v>
      </c>
      <c r="AW253" s="80">
        <f t="shared" si="295"/>
        <v>12.498006369050627</v>
      </c>
      <c r="AX253" s="80">
        <f t="shared" si="296"/>
        <v>7.7851603691946796</v>
      </c>
      <c r="AY253" s="80">
        <f t="shared" si="297"/>
        <v>5.7839795946550669</v>
      </c>
      <c r="AZ253" s="80">
        <f t="shared" si="298"/>
        <v>39.291160374459444</v>
      </c>
      <c r="BA253" s="80">
        <f t="shared" si="299"/>
        <v>19.945839538835287</v>
      </c>
      <c r="BB253" s="80">
        <f t="shared" si="275"/>
        <v>503.7628771286241</v>
      </c>
      <c r="BC253" s="80">
        <f t="shared" si="276"/>
        <v>181.95492756137403</v>
      </c>
      <c r="BD253" s="80">
        <f t="shared" si="277"/>
        <v>143.85073692791551</v>
      </c>
      <c r="BE253" s="80">
        <f t="shared" si="278"/>
        <v>103.33266835307198</v>
      </c>
      <c r="BF253" s="80">
        <f t="shared" si="279"/>
        <v>658.32457326228757</v>
      </c>
      <c r="BG253" s="80">
        <f t="shared" si="280"/>
        <v>313.78582759264668</v>
      </c>
      <c r="BH253" s="49">
        <f t="shared" si="281"/>
        <v>0</v>
      </c>
      <c r="BI253" s="79">
        <f t="shared" si="282"/>
        <v>-78904.428984304715</v>
      </c>
      <c r="BJ253" s="79">
        <f t="shared" si="250"/>
        <v>79017.332451602822</v>
      </c>
      <c r="BK253" s="44">
        <f t="shared" si="283"/>
        <v>1.4308888455496493E-3</v>
      </c>
      <c r="BL253" s="79">
        <f t="shared" si="300"/>
        <v>4604.7269078041681</v>
      </c>
      <c r="BM253" s="49">
        <f t="shared" si="284"/>
        <v>83622.059359406994</v>
      </c>
      <c r="BN253" s="44">
        <f t="shared" si="285"/>
        <v>5.9789170719943829E-2</v>
      </c>
      <c r="BO253" s="49">
        <f t="shared" si="251"/>
        <v>4788.3813653707402</v>
      </c>
      <c r="BP253" s="49">
        <f t="shared" si="252"/>
        <v>83805.713816973555</v>
      </c>
      <c r="BQ253" s="44">
        <f t="shared" si="253"/>
        <v>6.2116726472271733E-2</v>
      </c>
      <c r="BS253" s="49">
        <f t="shared" si="254"/>
        <v>78904.428984304715</v>
      </c>
      <c r="BT253" s="49">
        <f t="shared" si="230"/>
        <v>57.650002000000001</v>
      </c>
      <c r="BU253" s="49">
        <f t="shared" si="231"/>
        <v>40.740001999999997</v>
      </c>
      <c r="BV253" s="49">
        <f t="shared" si="255"/>
        <v>0</v>
      </c>
      <c r="BW253" s="18">
        <f t="shared" si="256"/>
        <v>1477</v>
      </c>
      <c r="BX253" s="19">
        <f t="shared" si="286"/>
        <v>0.66123853211009176</v>
      </c>
      <c r="BY253" s="49">
        <f t="shared" si="287"/>
        <v>0</v>
      </c>
      <c r="BZ253" s="19">
        <f t="shared" si="257"/>
        <v>0</v>
      </c>
      <c r="CA253" s="19">
        <f t="shared" si="258"/>
        <v>0</v>
      </c>
      <c r="CB253" s="19">
        <f t="shared" si="259"/>
        <v>0</v>
      </c>
      <c r="CC253" s="19">
        <f t="shared" si="260"/>
        <v>0</v>
      </c>
      <c r="CD253" s="19">
        <f t="shared" si="261"/>
        <v>0</v>
      </c>
      <c r="CE253" s="19">
        <f t="shared" si="262"/>
        <v>0</v>
      </c>
      <c r="CF253" s="49">
        <f t="shared" si="263"/>
        <v>0</v>
      </c>
      <c r="CG253" s="49">
        <f t="shared" si="264"/>
        <v>0</v>
      </c>
      <c r="CH253" s="49">
        <f t="shared" si="265"/>
        <v>0</v>
      </c>
      <c r="CI253" s="49">
        <f t="shared" si="266"/>
        <v>0</v>
      </c>
      <c r="CJ253" s="49">
        <f t="shared" si="267"/>
        <v>0</v>
      </c>
      <c r="CK253" s="49">
        <f t="shared" si="268"/>
        <v>0</v>
      </c>
    </row>
    <row r="254" spans="2:89" ht="12.75" customHeight="1" x14ac:dyDescent="0.2">
      <c r="B254" s="77">
        <v>40777</v>
      </c>
      <c r="C254" s="49">
        <v>60.470001000000003</v>
      </c>
      <c r="D254" s="49">
        <v>49.099997999999999</v>
      </c>
      <c r="E254" s="49">
        <v>48.549999</v>
      </c>
      <c r="F254" s="49">
        <v>59.150002000000001</v>
      </c>
      <c r="G254" s="49">
        <v>32.75</v>
      </c>
      <c r="H254" s="49">
        <v>41.599997999999999</v>
      </c>
      <c r="J254" s="78">
        <f>IF(inter=Weekly_2,J253+$C$5,IF(inter=Bi_weekly_2,J252+$C$5,IF(inter=Monthly_2,J250+$C$5,IF(inter=Quarterly_2,0,IF(inter=Yearly_2,0,IF(inter=None_2,0,0))))))</f>
        <v>83600</v>
      </c>
      <c r="K254" s="79">
        <f t="shared" si="269"/>
        <v>-320.07413327719769</v>
      </c>
      <c r="L254" s="79">
        <f t="shared" si="270"/>
        <v>-39.665508370762836</v>
      </c>
      <c r="M254" s="79">
        <f t="shared" si="271"/>
        <v>-82.016394139680415</v>
      </c>
      <c r="N254" s="79">
        <f t="shared" si="272"/>
        <v>-81.994864842262359</v>
      </c>
      <c r="O254" s="79">
        <f t="shared" si="273"/>
        <v>-626.65572792362946</v>
      </c>
      <c r="P254" s="79">
        <f t="shared" si="274"/>
        <v>-316.2570846414219</v>
      </c>
      <c r="Q254" s="79"/>
      <c r="R254" s="80">
        <f t="shared" si="232"/>
        <v>5.2931061350106088</v>
      </c>
      <c r="S254" s="80">
        <f t="shared" si="233"/>
        <v>0.80785152721926456</v>
      </c>
      <c r="T254" s="80">
        <f t="shared" si="234"/>
        <v>1.6893181427188169</v>
      </c>
      <c r="U254" s="80">
        <f t="shared" si="235"/>
        <v>1.3862191389657494</v>
      </c>
      <c r="V254" s="80">
        <f t="shared" si="236"/>
        <v>19.134526043469602</v>
      </c>
      <c r="W254" s="80">
        <f t="shared" si="237"/>
        <v>7.6023341309156294</v>
      </c>
      <c r="X254" s="80">
        <f t="shared" si="288"/>
        <v>483.87629429673723</v>
      </c>
      <c r="Y254" s="80">
        <f t="shared" si="289"/>
        <v>170.26477271954269</v>
      </c>
      <c r="Z254" s="80">
        <f t="shared" si="290"/>
        <v>137.75489470143964</v>
      </c>
      <c r="AA254" s="80">
        <f t="shared" si="291"/>
        <v>98.934907897382658</v>
      </c>
      <c r="AB254" s="80">
        <f t="shared" si="292"/>
        <v>638.16793893129773</v>
      </c>
      <c r="AC254" s="80">
        <f t="shared" si="293"/>
        <v>301.442322184727</v>
      </c>
      <c r="AD254" s="80"/>
      <c r="AE254" s="80"/>
      <c r="AF254" s="80"/>
      <c r="AG254" s="80"/>
      <c r="AH254" s="80"/>
      <c r="AI254" s="80"/>
      <c r="AJ254" s="45">
        <f t="shared" si="238"/>
        <v>0</v>
      </c>
      <c r="AK254" s="45">
        <f t="shared" si="239"/>
        <v>0</v>
      </c>
      <c r="AL254" s="45">
        <f t="shared" si="240"/>
        <v>0</v>
      </c>
      <c r="AM254" s="45">
        <f t="shared" si="241"/>
        <v>0</v>
      </c>
      <c r="AN254" s="45">
        <f t="shared" si="242"/>
        <v>0</v>
      </c>
      <c r="AO254" s="45">
        <f t="shared" si="243"/>
        <v>0</v>
      </c>
      <c r="AP254" s="80">
        <f t="shared" si="244"/>
        <v>0</v>
      </c>
      <c r="AQ254" s="80">
        <f t="shared" si="245"/>
        <v>0</v>
      </c>
      <c r="AR254" s="80">
        <f t="shared" si="246"/>
        <v>0</v>
      </c>
      <c r="AS254" s="80">
        <f t="shared" si="247"/>
        <v>0</v>
      </c>
      <c r="AT254" s="80">
        <f t="shared" si="248"/>
        <v>0</v>
      </c>
      <c r="AU254" s="80">
        <f t="shared" si="249"/>
        <v>0</v>
      </c>
      <c r="AV254" s="80">
        <f t="shared" si="294"/>
        <v>25.179688966897466</v>
      </c>
      <c r="AW254" s="80">
        <f t="shared" si="295"/>
        <v>12.498006369050627</v>
      </c>
      <c r="AX254" s="80">
        <f t="shared" si="296"/>
        <v>7.7851603691946796</v>
      </c>
      <c r="AY254" s="80">
        <f t="shared" si="297"/>
        <v>5.7839795946550669</v>
      </c>
      <c r="AZ254" s="80">
        <f t="shared" si="298"/>
        <v>39.291160374459444</v>
      </c>
      <c r="BA254" s="80">
        <f t="shared" si="299"/>
        <v>19.945839538835287</v>
      </c>
      <c r="BB254" s="80">
        <f t="shared" si="275"/>
        <v>509.05598326363469</v>
      </c>
      <c r="BC254" s="80">
        <f t="shared" si="276"/>
        <v>182.76277908859331</v>
      </c>
      <c r="BD254" s="80">
        <f t="shared" si="277"/>
        <v>145.54005507063431</v>
      </c>
      <c r="BE254" s="80">
        <f t="shared" si="278"/>
        <v>104.71888749203772</v>
      </c>
      <c r="BF254" s="80">
        <f t="shared" si="279"/>
        <v>677.45909930575715</v>
      </c>
      <c r="BG254" s="80">
        <f t="shared" si="280"/>
        <v>321.38816172356229</v>
      </c>
      <c r="BH254" s="49">
        <f t="shared" si="281"/>
        <v>0</v>
      </c>
      <c r="BI254" s="79">
        <f t="shared" si="282"/>
        <v>-80371.092697499655</v>
      </c>
      <c r="BJ254" s="79">
        <f t="shared" si="250"/>
        <v>83600</v>
      </c>
      <c r="BK254" s="44">
        <f t="shared" si="283"/>
        <v>4.0174983244949614E-2</v>
      </c>
      <c r="BL254" s="79">
        <f t="shared" si="300"/>
        <v>4604.7269078041681</v>
      </c>
      <c r="BM254" s="49">
        <f t="shared" si="284"/>
        <v>88204.726907804172</v>
      </c>
      <c r="BN254" s="44">
        <f t="shared" si="285"/>
        <v>9.7468305424049939E-2</v>
      </c>
      <c r="BO254" s="49">
        <f t="shared" si="251"/>
        <v>4972.8922246508155</v>
      </c>
      <c r="BP254" s="49">
        <f t="shared" si="252"/>
        <v>88572.892224650801</v>
      </c>
      <c r="BQ254" s="44">
        <f t="shared" si="253"/>
        <v>0.1020491230350824</v>
      </c>
      <c r="BS254" s="49">
        <f t="shared" si="254"/>
        <v>80371.092697499655</v>
      </c>
      <c r="BT254" s="49">
        <f t="shared" si="230"/>
        <v>60.470001000000003</v>
      </c>
      <c r="BU254" s="49">
        <f t="shared" si="231"/>
        <v>41.599997999999999</v>
      </c>
      <c r="BV254" s="49">
        <f t="shared" si="255"/>
        <v>1466.6637131949547</v>
      </c>
      <c r="BW254" s="18">
        <f t="shared" si="256"/>
        <v>1484</v>
      </c>
      <c r="BX254" s="19">
        <f t="shared" si="286"/>
        <v>0.65963302752293573</v>
      </c>
      <c r="BY254" s="49">
        <f t="shared" si="287"/>
        <v>967.4598254928186</v>
      </c>
      <c r="BZ254" s="19">
        <f t="shared" si="257"/>
        <v>5.2931061350106088</v>
      </c>
      <c r="CA254" s="19">
        <f t="shared" si="258"/>
        <v>0.80785152721926456</v>
      </c>
      <c r="CB254" s="19">
        <f t="shared" si="259"/>
        <v>1.6893181427188169</v>
      </c>
      <c r="CC254" s="19">
        <f t="shared" si="260"/>
        <v>1.3862191389657494</v>
      </c>
      <c r="CD254" s="19">
        <f t="shared" si="261"/>
        <v>19.134526043469602</v>
      </c>
      <c r="CE254" s="19">
        <f t="shared" si="262"/>
        <v>7.6023341309156294</v>
      </c>
      <c r="CF254" s="49">
        <f t="shared" si="263"/>
        <v>-320.07413327719769</v>
      </c>
      <c r="CG254" s="49">
        <f t="shared" si="264"/>
        <v>-39.665508370762836</v>
      </c>
      <c r="CH254" s="49">
        <f t="shared" si="265"/>
        <v>-82.016394139680415</v>
      </c>
      <c r="CI254" s="49">
        <f t="shared" si="266"/>
        <v>-81.994864842262359</v>
      </c>
      <c r="CJ254" s="49">
        <f t="shared" si="267"/>
        <v>-626.65572792362946</v>
      </c>
      <c r="CK254" s="49">
        <f t="shared" si="268"/>
        <v>-316.2570846414219</v>
      </c>
    </row>
    <row r="255" spans="2:89" ht="12.75" customHeight="1" x14ac:dyDescent="0.2">
      <c r="B255" s="77">
        <v>40784</v>
      </c>
      <c r="C255" s="49">
        <v>60.369999</v>
      </c>
      <c r="D255" s="49">
        <v>48.98</v>
      </c>
      <c r="E255" s="49">
        <v>48.59</v>
      </c>
      <c r="F255" s="49">
        <v>58.689999</v>
      </c>
      <c r="G255" s="49">
        <v>32.779998999999997</v>
      </c>
      <c r="H255" s="49">
        <v>42.790000999999997</v>
      </c>
      <c r="J255" s="78">
        <f>IF(inter=Weekly_2,J254+$C$5,IF(inter=Bi_weekly_2,0,IF(inter=Monthly_2,0,IF(inter=Quarterly_2,0,IF(inter=Yearly_2,0,IF(inter=None_2,0,0))))))</f>
        <v>0</v>
      </c>
      <c r="K255" s="79">
        <f t="shared" si="269"/>
        <v>0</v>
      </c>
      <c r="L255" s="79">
        <f t="shared" si="270"/>
        <v>0</v>
      </c>
      <c r="M255" s="79">
        <f t="shared" si="271"/>
        <v>0</v>
      </c>
      <c r="N255" s="79">
        <f t="shared" si="272"/>
        <v>0</v>
      </c>
      <c r="O255" s="79">
        <f t="shared" si="273"/>
        <v>0</v>
      </c>
      <c r="P255" s="79">
        <f t="shared" si="274"/>
        <v>0</v>
      </c>
      <c r="Q255" s="79"/>
      <c r="R255" s="80">
        <f t="shared" si="232"/>
        <v>0</v>
      </c>
      <c r="S255" s="80">
        <f t="shared" si="233"/>
        <v>0</v>
      </c>
      <c r="T255" s="80">
        <f t="shared" si="234"/>
        <v>0</v>
      </c>
      <c r="U255" s="80">
        <f t="shared" si="235"/>
        <v>0</v>
      </c>
      <c r="V255" s="80">
        <f t="shared" si="236"/>
        <v>0</v>
      </c>
      <c r="W255" s="80">
        <f t="shared" si="237"/>
        <v>0</v>
      </c>
      <c r="X255" s="80">
        <f t="shared" si="288"/>
        <v>483.87629429673723</v>
      </c>
      <c r="Y255" s="80">
        <f t="shared" si="289"/>
        <v>170.26477271954269</v>
      </c>
      <c r="Z255" s="80">
        <f t="shared" si="290"/>
        <v>137.75489470143964</v>
      </c>
      <c r="AA255" s="80">
        <f t="shared" si="291"/>
        <v>98.934907897382658</v>
      </c>
      <c r="AB255" s="80">
        <f t="shared" si="292"/>
        <v>638.16793893129773</v>
      </c>
      <c r="AC255" s="80">
        <f t="shared" si="293"/>
        <v>301.442322184727</v>
      </c>
      <c r="AD255" s="80"/>
      <c r="AE255" s="80"/>
      <c r="AF255" s="80"/>
      <c r="AG255" s="80"/>
      <c r="AH255" s="80"/>
      <c r="AI255" s="80"/>
      <c r="AJ255" s="45">
        <f t="shared" si="238"/>
        <v>0</v>
      </c>
      <c r="AK255" s="45">
        <f t="shared" si="239"/>
        <v>0</v>
      </c>
      <c r="AL255" s="45">
        <f t="shared" si="240"/>
        <v>0</v>
      </c>
      <c r="AM255" s="45">
        <f t="shared" si="241"/>
        <v>0</v>
      </c>
      <c r="AN255" s="45">
        <f t="shared" si="242"/>
        <v>0</v>
      </c>
      <c r="AO255" s="45">
        <f t="shared" si="243"/>
        <v>0</v>
      </c>
      <c r="AP255" s="80">
        <f t="shared" si="244"/>
        <v>0</v>
      </c>
      <c r="AQ255" s="80">
        <f t="shared" si="245"/>
        <v>0</v>
      </c>
      <c r="AR255" s="80">
        <f t="shared" si="246"/>
        <v>0</v>
      </c>
      <c r="AS255" s="80">
        <f t="shared" si="247"/>
        <v>0</v>
      </c>
      <c r="AT255" s="80">
        <f t="shared" si="248"/>
        <v>0</v>
      </c>
      <c r="AU255" s="80">
        <f t="shared" si="249"/>
        <v>0</v>
      </c>
      <c r="AV255" s="80">
        <f t="shared" si="294"/>
        <v>25.179688966897466</v>
      </c>
      <c r="AW255" s="80">
        <f t="shared" si="295"/>
        <v>12.498006369050627</v>
      </c>
      <c r="AX255" s="80">
        <f t="shared" si="296"/>
        <v>7.7851603691946796</v>
      </c>
      <c r="AY255" s="80">
        <f t="shared" si="297"/>
        <v>5.7839795946550669</v>
      </c>
      <c r="AZ255" s="80">
        <f t="shared" si="298"/>
        <v>39.291160374459444</v>
      </c>
      <c r="BA255" s="80">
        <f t="shared" si="299"/>
        <v>19.945839538835287</v>
      </c>
      <c r="BB255" s="80">
        <f t="shared" si="275"/>
        <v>509.05598326363469</v>
      </c>
      <c r="BC255" s="80">
        <f t="shared" si="276"/>
        <v>182.76277908859331</v>
      </c>
      <c r="BD255" s="80">
        <f t="shared" si="277"/>
        <v>145.54005507063431</v>
      </c>
      <c r="BE255" s="80">
        <f t="shared" si="278"/>
        <v>104.71888749203772</v>
      </c>
      <c r="BF255" s="80">
        <f t="shared" si="279"/>
        <v>677.45909930575715</v>
      </c>
      <c r="BG255" s="80">
        <f t="shared" si="280"/>
        <v>321.38816172356229</v>
      </c>
      <c r="BH255" s="49">
        <f t="shared" si="281"/>
        <v>0</v>
      </c>
      <c r="BI255" s="79">
        <f t="shared" si="282"/>
        <v>-80371.092697499655</v>
      </c>
      <c r="BJ255" s="79">
        <f t="shared" si="250"/>
        <v>83869.041617453171</v>
      </c>
      <c r="BK255" s="44">
        <f t="shared" si="283"/>
        <v>4.3522475588568588E-2</v>
      </c>
      <c r="BL255" s="79">
        <f t="shared" si="300"/>
        <v>4604.7269078041681</v>
      </c>
      <c r="BM255" s="49">
        <f t="shared" si="284"/>
        <v>88473.768525257343</v>
      </c>
      <c r="BN255" s="44">
        <f t="shared" si="285"/>
        <v>0.10081579776766891</v>
      </c>
      <c r="BO255" s="49">
        <f t="shared" si="251"/>
        <v>4991.4395402697273</v>
      </c>
      <c r="BP255" s="49">
        <f t="shared" si="252"/>
        <v>88860.481157722883</v>
      </c>
      <c r="BQ255" s="44">
        <f t="shared" si="253"/>
        <v>0.10562738635613123</v>
      </c>
      <c r="BS255" s="49">
        <f t="shared" si="254"/>
        <v>80371.092697499655</v>
      </c>
      <c r="BT255" s="49">
        <f t="shared" si="230"/>
        <v>60.369999</v>
      </c>
      <c r="BU255" s="49">
        <f t="shared" si="231"/>
        <v>42.790000999999997</v>
      </c>
      <c r="BV255" s="49">
        <f t="shared" si="255"/>
        <v>0</v>
      </c>
      <c r="BW255" s="18">
        <f t="shared" si="256"/>
        <v>1491</v>
      </c>
      <c r="BX255" s="19">
        <f t="shared" si="286"/>
        <v>0.65802752293577982</v>
      </c>
      <c r="BY255" s="49">
        <f t="shared" si="287"/>
        <v>0</v>
      </c>
      <c r="BZ255" s="19">
        <f t="shared" si="257"/>
        <v>0</v>
      </c>
      <c r="CA255" s="19">
        <f t="shared" si="258"/>
        <v>0</v>
      </c>
      <c r="CB255" s="19">
        <f t="shared" si="259"/>
        <v>0</v>
      </c>
      <c r="CC255" s="19">
        <f t="shared" si="260"/>
        <v>0</v>
      </c>
      <c r="CD255" s="19">
        <f t="shared" si="261"/>
        <v>0</v>
      </c>
      <c r="CE255" s="19">
        <f t="shared" si="262"/>
        <v>0</v>
      </c>
      <c r="CF255" s="49">
        <f t="shared" si="263"/>
        <v>0</v>
      </c>
      <c r="CG255" s="49">
        <f t="shared" si="264"/>
        <v>0</v>
      </c>
      <c r="CH255" s="49">
        <f t="shared" si="265"/>
        <v>0</v>
      </c>
      <c r="CI255" s="49">
        <f t="shared" si="266"/>
        <v>0</v>
      </c>
      <c r="CJ255" s="49">
        <f t="shared" si="267"/>
        <v>0</v>
      </c>
      <c r="CK255" s="49">
        <f t="shared" si="268"/>
        <v>0</v>
      </c>
    </row>
    <row r="256" spans="2:89" ht="12.75" customHeight="1" x14ac:dyDescent="0.2">
      <c r="B256" s="77">
        <v>40792</v>
      </c>
      <c r="C256" s="49">
        <v>59.450001</v>
      </c>
      <c r="D256" s="49">
        <v>48.080002</v>
      </c>
      <c r="E256" s="49">
        <v>47.919998</v>
      </c>
      <c r="F256" s="49">
        <v>58.119999</v>
      </c>
      <c r="G256" s="49">
        <v>30.950001</v>
      </c>
      <c r="H256" s="49">
        <v>41.150002000000001</v>
      </c>
      <c r="J256" s="78">
        <f>IF(inter=Weekly_2,J255+$C$5,IF(inter=Bi_weekly_2,J254+$C$5,IF(inter=Monthly_2,0,IF(inter=Quarterly_2,0,IF(inter=Yearly_2,0,IF(inter=None_2,0,0))))))</f>
        <v>84200</v>
      </c>
      <c r="K256" s="79">
        <f t="shared" si="269"/>
        <v>-703.55382018267483</v>
      </c>
      <c r="L256" s="79">
        <f t="shared" si="270"/>
        <v>-233.66938711484181</v>
      </c>
      <c r="M256" s="79">
        <f t="shared" si="271"/>
        <v>-134.78572141680161</v>
      </c>
      <c r="N256" s="79">
        <f t="shared" si="272"/>
        <v>-143.90325193902845</v>
      </c>
      <c r="O256" s="79">
        <f t="shared" si="273"/>
        <v>-1298.7016519083954</v>
      </c>
      <c r="P256" s="79">
        <f t="shared" si="274"/>
        <v>-225.64783921383969</v>
      </c>
      <c r="Q256" s="79"/>
      <c r="R256" s="80">
        <f t="shared" si="232"/>
        <v>11.834378609727439</v>
      </c>
      <c r="S256" s="80">
        <f t="shared" si="233"/>
        <v>4.860012009043631</v>
      </c>
      <c r="T256" s="80">
        <f t="shared" si="234"/>
        <v>2.8127238531354197</v>
      </c>
      <c r="U256" s="80">
        <f t="shared" si="235"/>
        <v>2.4759679011527247</v>
      </c>
      <c r="V256" s="80">
        <f t="shared" si="236"/>
        <v>41.961279804430227</v>
      </c>
      <c r="W256" s="80">
        <f t="shared" si="237"/>
        <v>5.4835438213062462</v>
      </c>
      <c r="X256" s="80">
        <f t="shared" si="288"/>
        <v>495.71067290646465</v>
      </c>
      <c r="Y256" s="80">
        <f t="shared" si="289"/>
        <v>175.12478472858632</v>
      </c>
      <c r="Z256" s="80">
        <f t="shared" si="290"/>
        <v>140.56761855457506</v>
      </c>
      <c r="AA256" s="80">
        <f t="shared" si="291"/>
        <v>101.41087579853539</v>
      </c>
      <c r="AB256" s="80">
        <f t="shared" si="292"/>
        <v>680.12921873572793</v>
      </c>
      <c r="AC256" s="80">
        <f t="shared" si="293"/>
        <v>306.92586600603323</v>
      </c>
      <c r="AD256" s="80"/>
      <c r="AE256" s="80"/>
      <c r="AF256" s="80"/>
      <c r="AG256" s="80"/>
      <c r="AH256" s="80"/>
      <c r="AI256" s="80"/>
      <c r="AJ256" s="45">
        <f t="shared" si="238"/>
        <v>0</v>
      </c>
      <c r="AK256" s="45">
        <f t="shared" si="239"/>
        <v>0</v>
      </c>
      <c r="AL256" s="45">
        <f t="shared" si="240"/>
        <v>0</v>
      </c>
      <c r="AM256" s="45">
        <f t="shared" si="241"/>
        <v>0</v>
      </c>
      <c r="AN256" s="45">
        <f t="shared" si="242"/>
        <v>0</v>
      </c>
      <c r="AO256" s="45">
        <f t="shared" si="243"/>
        <v>0</v>
      </c>
      <c r="AP256" s="80">
        <f t="shared" si="244"/>
        <v>0</v>
      </c>
      <c r="AQ256" s="80">
        <f t="shared" si="245"/>
        <v>0</v>
      </c>
      <c r="AR256" s="80">
        <f t="shared" si="246"/>
        <v>0</v>
      </c>
      <c r="AS256" s="80">
        <f t="shared" si="247"/>
        <v>0</v>
      </c>
      <c r="AT256" s="80">
        <f t="shared" si="248"/>
        <v>0</v>
      </c>
      <c r="AU256" s="80">
        <f t="shared" si="249"/>
        <v>0</v>
      </c>
      <c r="AV256" s="80">
        <f t="shared" si="294"/>
        <v>25.179688966897466</v>
      </c>
      <c r="AW256" s="80">
        <f t="shared" si="295"/>
        <v>12.498006369050627</v>
      </c>
      <c r="AX256" s="80">
        <f t="shared" si="296"/>
        <v>7.7851603691946796</v>
      </c>
      <c r="AY256" s="80">
        <f t="shared" si="297"/>
        <v>5.7839795946550669</v>
      </c>
      <c r="AZ256" s="80">
        <f t="shared" si="298"/>
        <v>39.291160374459444</v>
      </c>
      <c r="BA256" s="80">
        <f t="shared" si="299"/>
        <v>19.945839538835287</v>
      </c>
      <c r="BB256" s="80">
        <f t="shared" si="275"/>
        <v>520.89036187336217</v>
      </c>
      <c r="BC256" s="80">
        <f t="shared" si="276"/>
        <v>187.62279109763693</v>
      </c>
      <c r="BD256" s="80">
        <f t="shared" si="277"/>
        <v>148.35277892376973</v>
      </c>
      <c r="BE256" s="80">
        <f t="shared" si="278"/>
        <v>107.19485539319045</v>
      </c>
      <c r="BF256" s="80">
        <f t="shared" si="279"/>
        <v>719.42037911018735</v>
      </c>
      <c r="BG256" s="80">
        <f t="shared" si="280"/>
        <v>326.87170554486852</v>
      </c>
      <c r="BH256" s="49">
        <f t="shared" si="281"/>
        <v>0</v>
      </c>
      <c r="BI256" s="79">
        <f t="shared" si="282"/>
        <v>-83111.354369275243</v>
      </c>
      <c r="BJ256" s="79">
        <f t="shared" si="250"/>
        <v>84200</v>
      </c>
      <c r="BK256" s="44">
        <f t="shared" si="283"/>
        <v>1.3098639036583926E-2</v>
      </c>
      <c r="BL256" s="79">
        <f t="shared" si="300"/>
        <v>4604.7269078041681</v>
      </c>
      <c r="BM256" s="49">
        <f t="shared" si="284"/>
        <v>88804.726907804172</v>
      </c>
      <c r="BN256" s="44">
        <f t="shared" si="285"/>
        <v>6.8502945015580963E-2</v>
      </c>
      <c r="BO256" s="49">
        <f t="shared" si="251"/>
        <v>4843.8992528560029</v>
      </c>
      <c r="BP256" s="49">
        <f t="shared" si="252"/>
        <v>89043.89925285599</v>
      </c>
      <c r="BQ256" s="44">
        <f t="shared" si="253"/>
        <v>7.1380678712340995E-2</v>
      </c>
      <c r="BS256" s="49">
        <f t="shared" si="254"/>
        <v>83111.354369275243</v>
      </c>
      <c r="BT256" s="49">
        <f t="shared" si="230"/>
        <v>59.450001</v>
      </c>
      <c r="BU256" s="49">
        <f t="shared" si="231"/>
        <v>41.150002000000001</v>
      </c>
      <c r="BV256" s="49">
        <f t="shared" si="255"/>
        <v>2740.2616717755818</v>
      </c>
      <c r="BW256" s="18">
        <f t="shared" si="256"/>
        <v>1499</v>
      </c>
      <c r="BX256" s="19">
        <f t="shared" si="286"/>
        <v>0.65619266055045866</v>
      </c>
      <c r="BY256" s="49">
        <f t="shared" si="287"/>
        <v>1798.1395970068668</v>
      </c>
      <c r="BZ256" s="19">
        <f t="shared" si="257"/>
        <v>11.834378609727439</v>
      </c>
      <c r="CA256" s="19">
        <f t="shared" si="258"/>
        <v>4.860012009043631</v>
      </c>
      <c r="CB256" s="19">
        <f t="shared" si="259"/>
        <v>2.8127238531354197</v>
      </c>
      <c r="CC256" s="19">
        <f t="shared" si="260"/>
        <v>2.4759679011527247</v>
      </c>
      <c r="CD256" s="19">
        <f t="shared" si="261"/>
        <v>41.961279804430227</v>
      </c>
      <c r="CE256" s="19">
        <f t="shared" si="262"/>
        <v>5.4835438213062462</v>
      </c>
      <c r="CF256" s="49">
        <f t="shared" si="263"/>
        <v>-703.55382018267483</v>
      </c>
      <c r="CG256" s="49">
        <f t="shared" si="264"/>
        <v>-233.66938711484181</v>
      </c>
      <c r="CH256" s="49">
        <f t="shared" si="265"/>
        <v>-134.78572141680161</v>
      </c>
      <c r="CI256" s="49">
        <f t="shared" si="266"/>
        <v>-143.90325193902845</v>
      </c>
      <c r="CJ256" s="49">
        <f t="shared" si="267"/>
        <v>-1298.7016519083954</v>
      </c>
      <c r="CK256" s="49">
        <f t="shared" si="268"/>
        <v>-225.64783921383969</v>
      </c>
    </row>
    <row r="257" spans="2:89" ht="12.75" customHeight="1" x14ac:dyDescent="0.2">
      <c r="B257" s="77">
        <v>40798</v>
      </c>
      <c r="C257" s="49">
        <v>62.700001</v>
      </c>
      <c r="D257" s="49">
        <v>50.459999000000003</v>
      </c>
      <c r="E257" s="49">
        <v>50.279998999999997</v>
      </c>
      <c r="F257" s="49">
        <v>61.369999</v>
      </c>
      <c r="G257" s="49">
        <v>32.169998</v>
      </c>
      <c r="H257" s="49">
        <v>41.529998999999997</v>
      </c>
      <c r="J257" s="78">
        <f>IF(inter=Weekly_2,J256+$C$5,IF(inter=Bi_weekly_2,0,IF(inter=Monthly_2,0,IF(inter=Quarterly_2,0,IF(inter=Yearly_2,0,IF(inter=None_2,0,0))))))</f>
        <v>0</v>
      </c>
      <c r="K257" s="79">
        <f t="shared" si="269"/>
        <v>0</v>
      </c>
      <c r="L257" s="79">
        <f t="shared" si="270"/>
        <v>0</v>
      </c>
      <c r="M257" s="79">
        <f t="shared" si="271"/>
        <v>0</v>
      </c>
      <c r="N257" s="79">
        <f t="shared" si="272"/>
        <v>0</v>
      </c>
      <c r="O257" s="79">
        <f t="shared" si="273"/>
        <v>0</v>
      </c>
      <c r="P257" s="79">
        <f t="shared" si="274"/>
        <v>0</v>
      </c>
      <c r="Q257" s="79"/>
      <c r="R257" s="80">
        <f t="shared" si="232"/>
        <v>0</v>
      </c>
      <c r="S257" s="80">
        <f t="shared" si="233"/>
        <v>0</v>
      </c>
      <c r="T257" s="80">
        <f t="shared" si="234"/>
        <v>0</v>
      </c>
      <c r="U257" s="80">
        <f t="shared" si="235"/>
        <v>0</v>
      </c>
      <c r="V257" s="80">
        <f t="shared" si="236"/>
        <v>0</v>
      </c>
      <c r="W257" s="80">
        <f t="shared" si="237"/>
        <v>0</v>
      </c>
      <c r="X257" s="80">
        <f t="shared" si="288"/>
        <v>495.71067290646465</v>
      </c>
      <c r="Y257" s="80">
        <f t="shared" si="289"/>
        <v>175.12478472858632</v>
      </c>
      <c r="Z257" s="80">
        <f t="shared" si="290"/>
        <v>140.56761855457506</v>
      </c>
      <c r="AA257" s="80">
        <f t="shared" si="291"/>
        <v>101.41087579853539</v>
      </c>
      <c r="AB257" s="80">
        <f t="shared" si="292"/>
        <v>680.12921873572793</v>
      </c>
      <c r="AC257" s="80">
        <f t="shared" si="293"/>
        <v>306.92586600603323</v>
      </c>
      <c r="AD257" s="80"/>
      <c r="AE257" s="80"/>
      <c r="AF257" s="80"/>
      <c r="AG257" s="80"/>
      <c r="AH257" s="80"/>
      <c r="AI257" s="80"/>
      <c r="AJ257" s="45">
        <f t="shared" si="238"/>
        <v>0</v>
      </c>
      <c r="AK257" s="45">
        <f t="shared" si="239"/>
        <v>0</v>
      </c>
      <c r="AL257" s="45">
        <f t="shared" si="240"/>
        <v>0</v>
      </c>
      <c r="AM257" s="45">
        <f t="shared" si="241"/>
        <v>0</v>
      </c>
      <c r="AN257" s="45">
        <f t="shared" si="242"/>
        <v>0</v>
      </c>
      <c r="AO257" s="45">
        <f t="shared" si="243"/>
        <v>0</v>
      </c>
      <c r="AP257" s="80">
        <f t="shared" si="244"/>
        <v>0</v>
      </c>
      <c r="AQ257" s="80">
        <f t="shared" si="245"/>
        <v>0</v>
      </c>
      <c r="AR257" s="80">
        <f t="shared" si="246"/>
        <v>0</v>
      </c>
      <c r="AS257" s="80">
        <f t="shared" si="247"/>
        <v>0</v>
      </c>
      <c r="AT257" s="80">
        <f t="shared" si="248"/>
        <v>0</v>
      </c>
      <c r="AU257" s="80">
        <f t="shared" si="249"/>
        <v>0</v>
      </c>
      <c r="AV257" s="80">
        <f t="shared" si="294"/>
        <v>25.179688966897466</v>
      </c>
      <c r="AW257" s="80">
        <f t="shared" si="295"/>
        <v>12.498006369050627</v>
      </c>
      <c r="AX257" s="80">
        <f t="shared" si="296"/>
        <v>7.7851603691946796</v>
      </c>
      <c r="AY257" s="80">
        <f t="shared" si="297"/>
        <v>5.7839795946550669</v>
      </c>
      <c r="AZ257" s="80">
        <f t="shared" si="298"/>
        <v>39.291160374459444</v>
      </c>
      <c r="BA257" s="80">
        <f t="shared" si="299"/>
        <v>19.945839538835287</v>
      </c>
      <c r="BB257" s="80">
        <f t="shared" si="275"/>
        <v>520.89036187336217</v>
      </c>
      <c r="BC257" s="80">
        <f t="shared" si="276"/>
        <v>187.62279109763693</v>
      </c>
      <c r="BD257" s="80">
        <f t="shared" si="277"/>
        <v>148.35277892376973</v>
      </c>
      <c r="BE257" s="80">
        <f t="shared" si="278"/>
        <v>107.19485539319045</v>
      </c>
      <c r="BF257" s="80">
        <f t="shared" si="279"/>
        <v>719.42037911018735</v>
      </c>
      <c r="BG257" s="80">
        <f t="shared" si="280"/>
        <v>326.87170554486852</v>
      </c>
      <c r="BH257" s="49">
        <f t="shared" si="281"/>
        <v>0</v>
      </c>
      <c r="BI257" s="79">
        <f t="shared" si="282"/>
        <v>-83111.354369275243</v>
      </c>
      <c r="BJ257" s="79">
        <f t="shared" si="250"/>
        <v>87835.567730701965</v>
      </c>
      <c r="BK257" s="44">
        <f t="shared" si="283"/>
        <v>5.6841973004511326E-2</v>
      </c>
      <c r="BL257" s="79">
        <f t="shared" si="300"/>
        <v>4604.7269078041681</v>
      </c>
      <c r="BM257" s="49">
        <f t="shared" si="284"/>
        <v>92440.294638506137</v>
      </c>
      <c r="BN257" s="44">
        <f t="shared" si="285"/>
        <v>0.11224627898350836</v>
      </c>
      <c r="BO257" s="49">
        <f t="shared" si="251"/>
        <v>5048.1638365724284</v>
      </c>
      <c r="BP257" s="49">
        <f t="shared" si="252"/>
        <v>92883.731567274386</v>
      </c>
      <c r="BQ257" s="44">
        <f t="shared" si="253"/>
        <v>0.1175817344352148</v>
      </c>
      <c r="BS257" s="49">
        <f t="shared" si="254"/>
        <v>83111.354369275243</v>
      </c>
      <c r="BT257" s="49">
        <f t="shared" si="230"/>
        <v>62.700001</v>
      </c>
      <c r="BU257" s="49">
        <f t="shared" si="231"/>
        <v>41.529998999999997</v>
      </c>
      <c r="BV257" s="49">
        <f t="shared" si="255"/>
        <v>0</v>
      </c>
      <c r="BW257" s="18">
        <f t="shared" si="256"/>
        <v>1505</v>
      </c>
      <c r="BX257" s="19">
        <f t="shared" si="286"/>
        <v>0.65481651376146788</v>
      </c>
      <c r="BY257" s="49">
        <f t="shared" si="287"/>
        <v>0</v>
      </c>
      <c r="BZ257" s="19">
        <f t="shared" si="257"/>
        <v>0</v>
      </c>
      <c r="CA257" s="19">
        <f t="shared" si="258"/>
        <v>0</v>
      </c>
      <c r="CB257" s="19">
        <f t="shared" si="259"/>
        <v>0</v>
      </c>
      <c r="CC257" s="19">
        <f t="shared" si="260"/>
        <v>0</v>
      </c>
      <c r="CD257" s="19">
        <f t="shared" si="261"/>
        <v>0</v>
      </c>
      <c r="CE257" s="19">
        <f t="shared" si="262"/>
        <v>0</v>
      </c>
      <c r="CF257" s="49">
        <f t="shared" si="263"/>
        <v>0</v>
      </c>
      <c r="CG257" s="49">
        <f t="shared" si="264"/>
        <v>0</v>
      </c>
      <c r="CH257" s="49">
        <f t="shared" si="265"/>
        <v>0</v>
      </c>
      <c r="CI257" s="49">
        <f t="shared" si="266"/>
        <v>0</v>
      </c>
      <c r="CJ257" s="49">
        <f t="shared" si="267"/>
        <v>0</v>
      </c>
      <c r="CK257" s="49">
        <f t="shared" si="268"/>
        <v>0</v>
      </c>
    </row>
    <row r="258" spans="2:89" ht="12.75" customHeight="1" x14ac:dyDescent="0.2">
      <c r="B258" s="77">
        <v>40805</v>
      </c>
      <c r="C258" s="49">
        <v>58</v>
      </c>
      <c r="D258" s="49">
        <v>46.580002</v>
      </c>
      <c r="E258" s="49">
        <v>46.68</v>
      </c>
      <c r="F258" s="49">
        <v>56.02</v>
      </c>
      <c r="G258" s="49">
        <v>29.719999000000001</v>
      </c>
      <c r="H258" s="49">
        <v>36.790000999999997</v>
      </c>
      <c r="J258" s="78">
        <f>IF(inter=Weekly_2,J257+$C$5,IF(inter=Bi_weekly_2,J256+$C$5,IF(inter=Monthly_2,J254+$C$5,IF(inter=Quarterly_2,0,IF(inter=Yearly_2,0,IF(inter=None_2,0,0))))))</f>
        <v>84800</v>
      </c>
      <c r="K258" s="79">
        <f t="shared" si="269"/>
        <v>-928.78097142504703</v>
      </c>
      <c r="L258" s="79">
        <f t="shared" si="270"/>
        <v>-322.68717709288012</v>
      </c>
      <c r="M258" s="79">
        <f t="shared" si="271"/>
        <v>-222.30356587243568</v>
      </c>
      <c r="N258" s="79">
        <f t="shared" si="272"/>
        <v>-254.96273776604812</v>
      </c>
      <c r="O258" s="79">
        <f t="shared" si="273"/>
        <v>-986.56029930338264</v>
      </c>
      <c r="P258" s="79">
        <f t="shared" si="274"/>
        <v>-1428.1970827121731</v>
      </c>
      <c r="Q258" s="79"/>
      <c r="R258" s="80">
        <f t="shared" si="232"/>
        <v>16.013465024569776</v>
      </c>
      <c r="S258" s="80">
        <f t="shared" si="233"/>
        <v>6.9275904516466129</v>
      </c>
      <c r="T258" s="80">
        <f t="shared" si="234"/>
        <v>4.762287186641724</v>
      </c>
      <c r="U258" s="80">
        <f t="shared" si="235"/>
        <v>4.5512805741886488</v>
      </c>
      <c r="V258" s="80">
        <f t="shared" si="236"/>
        <v>33.195165965630842</v>
      </c>
      <c r="W258" s="80">
        <f t="shared" si="237"/>
        <v>38.820251260992713</v>
      </c>
      <c r="X258" s="80">
        <f t="shared" si="288"/>
        <v>511.72413793103442</v>
      </c>
      <c r="Y258" s="80">
        <f t="shared" si="289"/>
        <v>182.05237518023293</v>
      </c>
      <c r="Z258" s="80">
        <f t="shared" si="290"/>
        <v>145.32990574121678</v>
      </c>
      <c r="AA258" s="80">
        <f t="shared" si="291"/>
        <v>105.96215637272404</v>
      </c>
      <c r="AB258" s="80">
        <f t="shared" si="292"/>
        <v>713.32438470135878</v>
      </c>
      <c r="AC258" s="80">
        <f t="shared" si="293"/>
        <v>345.74611726702597</v>
      </c>
      <c r="AD258" s="80">
        <v>0.30599999999999999</v>
      </c>
      <c r="AE258" s="80">
        <v>0.35799999999999998</v>
      </c>
      <c r="AF258" s="80"/>
      <c r="AG258" s="80"/>
      <c r="AH258" s="80"/>
      <c r="AI258" s="80"/>
      <c r="AJ258" s="45">
        <f t="shared" si="238"/>
        <v>156.58758620689653</v>
      </c>
      <c r="AK258" s="45">
        <f t="shared" si="239"/>
        <v>65.174750314523379</v>
      </c>
      <c r="AL258" s="45">
        <f t="shared" si="240"/>
        <v>0</v>
      </c>
      <c r="AM258" s="45">
        <f t="shared" si="241"/>
        <v>0</v>
      </c>
      <c r="AN258" s="45">
        <f t="shared" si="242"/>
        <v>0</v>
      </c>
      <c r="AO258" s="45">
        <f t="shared" si="243"/>
        <v>0</v>
      </c>
      <c r="AP258" s="80">
        <f t="shared" si="244"/>
        <v>2.6997859690844228</v>
      </c>
      <c r="AQ258" s="80">
        <f t="shared" si="245"/>
        <v>1.3992002472332092</v>
      </c>
      <c r="AR258" s="80">
        <f t="shared" si="246"/>
        <v>0</v>
      </c>
      <c r="AS258" s="80">
        <f t="shared" si="247"/>
        <v>0</v>
      </c>
      <c r="AT258" s="80">
        <f t="shared" si="248"/>
        <v>0</v>
      </c>
      <c r="AU258" s="80">
        <f t="shared" si="249"/>
        <v>0</v>
      </c>
      <c r="AV258" s="80">
        <f t="shared" si="294"/>
        <v>27.879474935981889</v>
      </c>
      <c r="AW258" s="80">
        <f t="shared" si="295"/>
        <v>13.897206616283835</v>
      </c>
      <c r="AX258" s="80">
        <f t="shared" si="296"/>
        <v>7.7851603691946796</v>
      </c>
      <c r="AY258" s="80">
        <f t="shared" si="297"/>
        <v>5.7839795946550669</v>
      </c>
      <c r="AZ258" s="80">
        <f t="shared" si="298"/>
        <v>39.291160374459444</v>
      </c>
      <c r="BA258" s="80">
        <f t="shared" si="299"/>
        <v>19.945839538835287</v>
      </c>
      <c r="BB258" s="80">
        <f t="shared" si="275"/>
        <v>539.6036128670163</v>
      </c>
      <c r="BC258" s="80">
        <f t="shared" si="276"/>
        <v>195.94958179651675</v>
      </c>
      <c r="BD258" s="80">
        <f t="shared" si="277"/>
        <v>153.11506611041145</v>
      </c>
      <c r="BE258" s="80">
        <f t="shared" si="278"/>
        <v>111.7461359673791</v>
      </c>
      <c r="BF258" s="80">
        <f t="shared" si="279"/>
        <v>752.6155450758182</v>
      </c>
      <c r="BG258" s="80">
        <f t="shared" si="280"/>
        <v>365.69195680586125</v>
      </c>
      <c r="BH258" s="49">
        <f t="shared" si="281"/>
        <v>221.76233652141991</v>
      </c>
      <c r="BI258" s="79">
        <f t="shared" si="282"/>
        <v>-87254.846203447218</v>
      </c>
      <c r="BJ258" s="79">
        <f t="shared" si="250"/>
        <v>84800</v>
      </c>
      <c r="BK258" s="44">
        <f t="shared" si="283"/>
        <v>-2.8134210422231298E-2</v>
      </c>
      <c r="BL258" s="79">
        <f t="shared" si="300"/>
        <v>4826.4892443255885</v>
      </c>
      <c r="BM258" s="49">
        <f t="shared" si="284"/>
        <v>89626.489244325581</v>
      </c>
      <c r="BN258" s="44">
        <f t="shared" si="285"/>
        <v>2.7180645477828724E-2</v>
      </c>
      <c r="BO258" s="49">
        <f t="shared" si="251"/>
        <v>4853.3119848118122</v>
      </c>
      <c r="BP258" s="49">
        <f t="shared" si="252"/>
        <v>89653.311984811793</v>
      </c>
      <c r="BQ258" s="44">
        <f t="shared" si="253"/>
        <v>2.7488052362985238E-2</v>
      </c>
      <c r="BS258" s="49">
        <f t="shared" si="254"/>
        <v>87254.846203447218</v>
      </c>
      <c r="BT258" s="49">
        <f t="shared" si="230"/>
        <v>58</v>
      </c>
      <c r="BU258" s="49">
        <f t="shared" si="231"/>
        <v>36.790000999999997</v>
      </c>
      <c r="BV258" s="49">
        <f t="shared" si="255"/>
        <v>3921.7294976505468</v>
      </c>
      <c r="BW258" s="18">
        <f t="shared" si="256"/>
        <v>1512</v>
      </c>
      <c r="BX258" s="19">
        <f t="shared" si="286"/>
        <v>0.65321100917431196</v>
      </c>
      <c r="BY258" s="49">
        <f t="shared" si="287"/>
        <v>2561.716882868981</v>
      </c>
      <c r="BZ258" s="19">
        <f t="shared" si="257"/>
        <v>16.013465024569776</v>
      </c>
      <c r="CA258" s="19">
        <f t="shared" si="258"/>
        <v>6.9275904516466129</v>
      </c>
      <c r="CB258" s="19">
        <f t="shared" si="259"/>
        <v>4.762287186641724</v>
      </c>
      <c r="CC258" s="19">
        <f t="shared" si="260"/>
        <v>4.5512805741886488</v>
      </c>
      <c r="CD258" s="19">
        <f t="shared" si="261"/>
        <v>33.195165965630842</v>
      </c>
      <c r="CE258" s="19">
        <f t="shared" si="262"/>
        <v>38.820251260992713</v>
      </c>
      <c r="CF258" s="49">
        <f t="shared" si="263"/>
        <v>-928.78097142504703</v>
      </c>
      <c r="CG258" s="49">
        <f t="shared" si="264"/>
        <v>-322.68717709288012</v>
      </c>
      <c r="CH258" s="49">
        <f t="shared" si="265"/>
        <v>-222.30356587243568</v>
      </c>
      <c r="CI258" s="49">
        <f t="shared" si="266"/>
        <v>-254.96273776604812</v>
      </c>
      <c r="CJ258" s="49">
        <f t="shared" si="267"/>
        <v>-986.56029930338264</v>
      </c>
      <c r="CK258" s="49">
        <f t="shared" si="268"/>
        <v>-1428.1970827121731</v>
      </c>
    </row>
    <row r="259" spans="2:89" ht="12.75" customHeight="1" x14ac:dyDescent="0.2">
      <c r="B259" s="77">
        <v>40812</v>
      </c>
      <c r="C259" s="49">
        <v>57.720001000000003</v>
      </c>
      <c r="D259" s="49">
        <v>47.049999</v>
      </c>
      <c r="E259" s="49">
        <v>46.400002000000001</v>
      </c>
      <c r="F259" s="49">
        <v>55.580002</v>
      </c>
      <c r="G259" s="49">
        <v>30.129999000000002</v>
      </c>
      <c r="H259" s="49">
        <v>35.830002</v>
      </c>
      <c r="J259" s="78">
        <f>IF(inter=Weekly_2,J258+$C$5,IF(inter=Bi_weekly_2,0,IF(inter=Monthly_2,0,IF(inter=Quarterly_2,0,IF(inter=Yearly_2,0,IF(inter=None_2,0,0))))))</f>
        <v>0</v>
      </c>
      <c r="K259" s="79">
        <f t="shared" si="269"/>
        <v>0</v>
      </c>
      <c r="L259" s="79">
        <f t="shared" si="270"/>
        <v>0</v>
      </c>
      <c r="M259" s="79">
        <f t="shared" si="271"/>
        <v>0</v>
      </c>
      <c r="N259" s="79">
        <f t="shared" si="272"/>
        <v>0</v>
      </c>
      <c r="O259" s="79">
        <f t="shared" si="273"/>
        <v>0</v>
      </c>
      <c r="P259" s="79">
        <f t="shared" si="274"/>
        <v>0</v>
      </c>
      <c r="Q259" s="79"/>
      <c r="R259" s="80">
        <f t="shared" si="232"/>
        <v>0</v>
      </c>
      <c r="S259" s="80">
        <f t="shared" si="233"/>
        <v>0</v>
      </c>
      <c r="T259" s="80">
        <f t="shared" si="234"/>
        <v>0</v>
      </c>
      <c r="U259" s="80">
        <f t="shared" si="235"/>
        <v>0</v>
      </c>
      <c r="V259" s="80">
        <f t="shared" si="236"/>
        <v>0</v>
      </c>
      <c r="W259" s="80">
        <f t="shared" si="237"/>
        <v>0</v>
      </c>
      <c r="X259" s="80">
        <f t="shared" si="288"/>
        <v>511.72413793103442</v>
      </c>
      <c r="Y259" s="80">
        <f t="shared" si="289"/>
        <v>182.05237518023293</v>
      </c>
      <c r="Z259" s="80">
        <f t="shared" si="290"/>
        <v>145.32990574121678</v>
      </c>
      <c r="AA259" s="80">
        <f t="shared" si="291"/>
        <v>105.96215637272404</v>
      </c>
      <c r="AB259" s="80">
        <f t="shared" si="292"/>
        <v>713.32438470135878</v>
      </c>
      <c r="AC259" s="80">
        <f t="shared" si="293"/>
        <v>345.74611726702597</v>
      </c>
      <c r="AD259" s="80"/>
      <c r="AE259" s="80"/>
      <c r="AF259" s="80"/>
      <c r="AG259" s="80"/>
      <c r="AH259" s="80"/>
      <c r="AI259" s="80"/>
      <c r="AJ259" s="45">
        <f t="shared" si="238"/>
        <v>0</v>
      </c>
      <c r="AK259" s="45">
        <f t="shared" si="239"/>
        <v>0</v>
      </c>
      <c r="AL259" s="45">
        <f t="shared" si="240"/>
        <v>0</v>
      </c>
      <c r="AM259" s="45">
        <f t="shared" si="241"/>
        <v>0</v>
      </c>
      <c r="AN259" s="45">
        <f t="shared" si="242"/>
        <v>0</v>
      </c>
      <c r="AO259" s="45">
        <f t="shared" si="243"/>
        <v>0</v>
      </c>
      <c r="AP259" s="80">
        <f t="shared" si="244"/>
        <v>0</v>
      </c>
      <c r="AQ259" s="80">
        <f t="shared" si="245"/>
        <v>0</v>
      </c>
      <c r="AR259" s="80">
        <f t="shared" si="246"/>
        <v>0</v>
      </c>
      <c r="AS259" s="80">
        <f t="shared" si="247"/>
        <v>0</v>
      </c>
      <c r="AT259" s="80">
        <f t="shared" si="248"/>
        <v>0</v>
      </c>
      <c r="AU259" s="80">
        <f t="shared" si="249"/>
        <v>0</v>
      </c>
      <c r="AV259" s="80">
        <f t="shared" si="294"/>
        <v>27.879474935981889</v>
      </c>
      <c r="AW259" s="80">
        <f t="shared" si="295"/>
        <v>13.897206616283835</v>
      </c>
      <c r="AX259" s="80">
        <f t="shared" si="296"/>
        <v>7.7851603691946796</v>
      </c>
      <c r="AY259" s="80">
        <f t="shared" si="297"/>
        <v>5.7839795946550669</v>
      </c>
      <c r="AZ259" s="80">
        <f t="shared" si="298"/>
        <v>39.291160374459444</v>
      </c>
      <c r="BA259" s="80">
        <f t="shared" si="299"/>
        <v>19.945839538835287</v>
      </c>
      <c r="BB259" s="80">
        <f t="shared" si="275"/>
        <v>539.6036128670163</v>
      </c>
      <c r="BC259" s="80">
        <f t="shared" si="276"/>
        <v>195.94958179651675</v>
      </c>
      <c r="BD259" s="80">
        <f t="shared" si="277"/>
        <v>153.11506611041145</v>
      </c>
      <c r="BE259" s="80">
        <f t="shared" si="278"/>
        <v>111.7461359673791</v>
      </c>
      <c r="BF259" s="80">
        <f t="shared" si="279"/>
        <v>752.6155450758182</v>
      </c>
      <c r="BG259" s="80">
        <f t="shared" si="280"/>
        <v>365.69195680586125</v>
      </c>
      <c r="BH259" s="49">
        <f t="shared" si="281"/>
        <v>0</v>
      </c>
      <c r="BI259" s="79">
        <f t="shared" si="282"/>
        <v>-87254.846203447218</v>
      </c>
      <c r="BJ259" s="79">
        <f t="shared" si="250"/>
        <v>84615.51367435095</v>
      </c>
      <c r="BK259" s="44">
        <f t="shared" si="283"/>
        <v>-3.0248549438071093E-2</v>
      </c>
      <c r="BL259" s="79">
        <f t="shared" si="300"/>
        <v>4826.4892443255885</v>
      </c>
      <c r="BM259" s="49">
        <f t="shared" si="284"/>
        <v>89442.002918676531</v>
      </c>
      <c r="BN259" s="44">
        <f t="shared" si="285"/>
        <v>2.506630646198893E-2</v>
      </c>
      <c r="BO259" s="49">
        <f t="shared" si="251"/>
        <v>4844.2740260825894</v>
      </c>
      <c r="BP259" s="49">
        <f t="shared" si="252"/>
        <v>89459.787700433531</v>
      </c>
      <c r="BQ259" s="44">
        <f t="shared" si="253"/>
        <v>2.5270132180912563E-2</v>
      </c>
      <c r="BS259" s="49">
        <f t="shared" si="254"/>
        <v>87254.846203447218</v>
      </c>
      <c r="BT259" s="49">
        <f t="shared" si="230"/>
        <v>57.720001000000003</v>
      </c>
      <c r="BU259" s="49">
        <f t="shared" si="231"/>
        <v>35.830002</v>
      </c>
      <c r="BV259" s="49">
        <f t="shared" si="255"/>
        <v>0</v>
      </c>
      <c r="BW259" s="18">
        <f t="shared" si="256"/>
        <v>1519</v>
      </c>
      <c r="BX259" s="19">
        <f t="shared" si="286"/>
        <v>0.65160550458715594</v>
      </c>
      <c r="BY259" s="49">
        <f t="shared" si="287"/>
        <v>0</v>
      </c>
      <c r="BZ259" s="19">
        <f t="shared" si="257"/>
        <v>0</v>
      </c>
      <c r="CA259" s="19">
        <f t="shared" si="258"/>
        <v>0</v>
      </c>
      <c r="CB259" s="19">
        <f t="shared" si="259"/>
        <v>0</v>
      </c>
      <c r="CC259" s="19">
        <f t="shared" si="260"/>
        <v>0</v>
      </c>
      <c r="CD259" s="19">
        <f t="shared" si="261"/>
        <v>0</v>
      </c>
      <c r="CE259" s="19">
        <f t="shared" si="262"/>
        <v>0</v>
      </c>
      <c r="CF259" s="49">
        <f t="shared" si="263"/>
        <v>0</v>
      </c>
      <c r="CG259" s="49">
        <f t="shared" si="264"/>
        <v>0</v>
      </c>
      <c r="CH259" s="49">
        <f t="shared" si="265"/>
        <v>0</v>
      </c>
      <c r="CI259" s="49">
        <f t="shared" si="266"/>
        <v>0</v>
      </c>
      <c r="CJ259" s="49">
        <f t="shared" si="267"/>
        <v>0</v>
      </c>
      <c r="CK259" s="49">
        <f t="shared" si="268"/>
        <v>0</v>
      </c>
    </row>
    <row r="260" spans="2:89" ht="12.75" customHeight="1" x14ac:dyDescent="0.2">
      <c r="B260" s="77">
        <v>40819</v>
      </c>
      <c r="C260" s="49">
        <v>58.970001000000003</v>
      </c>
      <c r="D260" s="49">
        <v>47.759998000000003</v>
      </c>
      <c r="E260" s="49">
        <v>47.09</v>
      </c>
      <c r="F260" s="49">
        <v>56.400002000000001</v>
      </c>
      <c r="G260" s="49">
        <v>30.959999</v>
      </c>
      <c r="H260" s="49">
        <v>37.009998000000003</v>
      </c>
      <c r="J260" s="78">
        <f>IF(inter=Weekly_2,J259+$C$5,IF(inter=Bi_weekly_2,J258+$C$5,IF(inter=Monthly_2,0,IF(inter=Quarterly_2,0,IF(inter=Yearly_2,0,IF(inter=None_2,0,0))))))</f>
        <v>85400</v>
      </c>
      <c r="K260" s="79">
        <f t="shared" si="269"/>
        <v>286.37292551724386</v>
      </c>
      <c r="L260" s="79">
        <f t="shared" si="270"/>
        <v>154.82107450317562</v>
      </c>
      <c r="M260" s="79">
        <f t="shared" si="271"/>
        <v>11.585261353898204</v>
      </c>
      <c r="N260" s="79">
        <f t="shared" si="272"/>
        <v>-1.734168654052155</v>
      </c>
      <c r="O260" s="79">
        <f t="shared" si="273"/>
        <v>734.52223702968331</v>
      </c>
      <c r="P260" s="79">
        <f t="shared" si="274"/>
        <v>-13.936891439601823</v>
      </c>
      <c r="Q260" s="79"/>
      <c r="R260" s="80">
        <f t="shared" si="232"/>
        <v>-4.8562475947260682</v>
      </c>
      <c r="S260" s="80">
        <f t="shared" si="233"/>
        <v>-3.2416474243398339</v>
      </c>
      <c r="T260" s="80">
        <f t="shared" si="234"/>
        <v>-0.24602381299422815</v>
      </c>
      <c r="U260" s="80">
        <f t="shared" si="235"/>
        <v>3.0747670080794591E-2</v>
      </c>
      <c r="V260" s="80">
        <f t="shared" si="236"/>
        <v>-23.724879223338583</v>
      </c>
      <c r="W260" s="80">
        <f t="shared" si="237"/>
        <v>0.37657098602387984</v>
      </c>
      <c r="X260" s="80">
        <f t="shared" si="288"/>
        <v>506.86789033630834</v>
      </c>
      <c r="Y260" s="80">
        <f t="shared" si="289"/>
        <v>178.81072775589308</v>
      </c>
      <c r="Z260" s="80">
        <f t="shared" si="290"/>
        <v>145.08388192822255</v>
      </c>
      <c r="AA260" s="80">
        <f t="shared" si="291"/>
        <v>105.99290404280484</v>
      </c>
      <c r="AB260" s="80">
        <f t="shared" si="292"/>
        <v>689.59950547802021</v>
      </c>
      <c r="AC260" s="80">
        <f t="shared" si="293"/>
        <v>346.12268825304983</v>
      </c>
      <c r="AD260" s="80"/>
      <c r="AE260" s="80"/>
      <c r="AF260" s="80"/>
      <c r="AG260" s="80"/>
      <c r="AH260" s="80"/>
      <c r="AI260" s="80"/>
      <c r="AJ260" s="45">
        <f t="shared" si="238"/>
        <v>0</v>
      </c>
      <c r="AK260" s="45">
        <f t="shared" si="239"/>
        <v>0</v>
      </c>
      <c r="AL260" s="45">
        <f t="shared" si="240"/>
        <v>0</v>
      </c>
      <c r="AM260" s="45">
        <f t="shared" si="241"/>
        <v>0</v>
      </c>
      <c r="AN260" s="45">
        <f t="shared" si="242"/>
        <v>0</v>
      </c>
      <c r="AO260" s="45">
        <f t="shared" si="243"/>
        <v>0</v>
      </c>
      <c r="AP260" s="80">
        <f t="shared" si="244"/>
        <v>0</v>
      </c>
      <c r="AQ260" s="80">
        <f t="shared" si="245"/>
        <v>0</v>
      </c>
      <c r="AR260" s="80">
        <f t="shared" si="246"/>
        <v>0</v>
      </c>
      <c r="AS260" s="80">
        <f t="shared" si="247"/>
        <v>0</v>
      </c>
      <c r="AT260" s="80">
        <f t="shared" si="248"/>
        <v>0</v>
      </c>
      <c r="AU260" s="80">
        <f t="shared" si="249"/>
        <v>0</v>
      </c>
      <c r="AV260" s="80">
        <f t="shared" si="294"/>
        <v>27.879474935981889</v>
      </c>
      <c r="AW260" s="80">
        <f t="shared" si="295"/>
        <v>13.897206616283835</v>
      </c>
      <c r="AX260" s="80">
        <f t="shared" si="296"/>
        <v>7.7851603691946796</v>
      </c>
      <c r="AY260" s="80">
        <f t="shared" si="297"/>
        <v>5.7839795946550669</v>
      </c>
      <c r="AZ260" s="80">
        <f t="shared" si="298"/>
        <v>39.291160374459444</v>
      </c>
      <c r="BA260" s="80">
        <f t="shared" si="299"/>
        <v>19.945839538835287</v>
      </c>
      <c r="BB260" s="80">
        <f t="shared" si="275"/>
        <v>534.74736527229027</v>
      </c>
      <c r="BC260" s="80">
        <f t="shared" si="276"/>
        <v>192.70793437217691</v>
      </c>
      <c r="BD260" s="80">
        <f t="shared" si="277"/>
        <v>152.86904229741722</v>
      </c>
      <c r="BE260" s="80">
        <f t="shared" si="278"/>
        <v>111.7768836374599</v>
      </c>
      <c r="BF260" s="80">
        <f t="shared" si="279"/>
        <v>728.89066585247963</v>
      </c>
      <c r="BG260" s="80">
        <f t="shared" si="280"/>
        <v>366.06852779188512</v>
      </c>
      <c r="BH260" s="49">
        <f t="shared" si="281"/>
        <v>0</v>
      </c>
      <c r="BI260" s="79">
        <f t="shared" si="282"/>
        <v>-86083.215765136847</v>
      </c>
      <c r="BJ260" s="79">
        <f t="shared" si="250"/>
        <v>85400</v>
      </c>
      <c r="BK260" s="44">
        <f t="shared" si="283"/>
        <v>-7.9366896213645122E-3</v>
      </c>
      <c r="BL260" s="79">
        <f t="shared" si="300"/>
        <v>4826.4892443255885</v>
      </c>
      <c r="BM260" s="49">
        <f t="shared" si="284"/>
        <v>90226.489244325581</v>
      </c>
      <c r="BN260" s="44">
        <f t="shared" si="285"/>
        <v>4.8131025802903737E-2</v>
      </c>
      <c r="BO260" s="49">
        <f t="shared" si="251"/>
        <v>4955.2526548882306</v>
      </c>
      <c r="BP260" s="49">
        <f t="shared" si="252"/>
        <v>90355.252654888231</v>
      </c>
      <c r="BQ260" s="44">
        <f t="shared" si="253"/>
        <v>4.9626827387662775E-2</v>
      </c>
      <c r="BS260" s="49">
        <f t="shared" si="254"/>
        <v>86083.215765136847</v>
      </c>
      <c r="BT260" s="49">
        <f t="shared" si="230"/>
        <v>58.970001000000003</v>
      </c>
      <c r="BU260" s="49">
        <f t="shared" si="231"/>
        <v>37.009998000000003</v>
      </c>
      <c r="BV260" s="49">
        <f t="shared" si="255"/>
        <v>-1171.630438310347</v>
      </c>
      <c r="BW260" s="18">
        <f t="shared" si="256"/>
        <v>1526</v>
      </c>
      <c r="BX260" s="19">
        <f t="shared" si="286"/>
        <v>0.65</v>
      </c>
      <c r="BY260" s="49">
        <f t="shared" si="287"/>
        <v>-761.55978490172561</v>
      </c>
      <c r="BZ260" s="19">
        <f t="shared" si="257"/>
        <v>0</v>
      </c>
      <c r="CA260" s="19">
        <f t="shared" si="258"/>
        <v>0</v>
      </c>
      <c r="CB260" s="19">
        <f t="shared" si="259"/>
        <v>0</v>
      </c>
      <c r="CC260" s="19">
        <f t="shared" si="260"/>
        <v>3.0747670080794591E-2</v>
      </c>
      <c r="CD260" s="19">
        <f t="shared" si="261"/>
        <v>0</v>
      </c>
      <c r="CE260" s="19">
        <f t="shared" si="262"/>
        <v>0.37657098602387984</v>
      </c>
      <c r="CF260" s="49">
        <f t="shared" si="263"/>
        <v>0</v>
      </c>
      <c r="CG260" s="49">
        <f t="shared" si="264"/>
        <v>0</v>
      </c>
      <c r="CH260" s="49">
        <f t="shared" si="265"/>
        <v>0</v>
      </c>
      <c r="CI260" s="49">
        <f t="shared" si="266"/>
        <v>-1.734168654052155</v>
      </c>
      <c r="CJ260" s="49">
        <f t="shared" si="267"/>
        <v>0</v>
      </c>
      <c r="CK260" s="49">
        <f t="shared" si="268"/>
        <v>-13.936891439601823</v>
      </c>
    </row>
    <row r="261" spans="2:89" ht="12.75" customHeight="1" x14ac:dyDescent="0.2">
      <c r="B261" s="77">
        <v>40826</v>
      </c>
      <c r="C261" s="49">
        <v>62.669998</v>
      </c>
      <c r="D261" s="49">
        <v>50.290000999999997</v>
      </c>
      <c r="E261" s="49">
        <v>49.959999000000003</v>
      </c>
      <c r="F261" s="49">
        <v>60.66</v>
      </c>
      <c r="G261" s="49">
        <v>32.950001</v>
      </c>
      <c r="H261" s="49">
        <v>40.220001000000003</v>
      </c>
      <c r="J261" s="78">
        <f>IF(inter=Weekly_2,J260+$C$5,IF(inter=Bi_weekly_2,0,IF(inter=Monthly_2,0,IF(inter=Quarterly_2,0,IF(inter=Yearly_2,0,IF(inter=None_2,0,0))))))</f>
        <v>0</v>
      </c>
      <c r="K261" s="79">
        <f t="shared" si="269"/>
        <v>0</v>
      </c>
      <c r="L261" s="79">
        <f t="shared" si="270"/>
        <v>0</v>
      </c>
      <c r="M261" s="79">
        <f t="shared" si="271"/>
        <v>0</v>
      </c>
      <c r="N261" s="79">
        <f t="shared" si="272"/>
        <v>0</v>
      </c>
      <c r="O261" s="79">
        <f t="shared" si="273"/>
        <v>0</v>
      </c>
      <c r="P261" s="79">
        <f t="shared" si="274"/>
        <v>0</v>
      </c>
      <c r="Q261" s="79"/>
      <c r="R261" s="80">
        <f t="shared" si="232"/>
        <v>0</v>
      </c>
      <c r="S261" s="80">
        <f t="shared" si="233"/>
        <v>0</v>
      </c>
      <c r="T261" s="80">
        <f t="shared" si="234"/>
        <v>0</v>
      </c>
      <c r="U261" s="80">
        <f t="shared" si="235"/>
        <v>0</v>
      </c>
      <c r="V261" s="80">
        <f t="shared" si="236"/>
        <v>0</v>
      </c>
      <c r="W261" s="80">
        <f t="shared" si="237"/>
        <v>0</v>
      </c>
      <c r="X261" s="80">
        <f t="shared" si="288"/>
        <v>506.86789033630834</v>
      </c>
      <c r="Y261" s="80">
        <f t="shared" si="289"/>
        <v>178.81072775589308</v>
      </c>
      <c r="Z261" s="80">
        <f t="shared" si="290"/>
        <v>145.08388192822255</v>
      </c>
      <c r="AA261" s="80">
        <f t="shared" si="291"/>
        <v>105.99290404280484</v>
      </c>
      <c r="AB261" s="80">
        <f t="shared" si="292"/>
        <v>689.59950547802021</v>
      </c>
      <c r="AC261" s="80">
        <f t="shared" si="293"/>
        <v>346.12268825304983</v>
      </c>
      <c r="AD261" s="80"/>
      <c r="AE261" s="80"/>
      <c r="AF261" s="80"/>
      <c r="AG261" s="80"/>
      <c r="AH261" s="80"/>
      <c r="AI261" s="80"/>
      <c r="AJ261" s="45">
        <f t="shared" si="238"/>
        <v>0</v>
      </c>
      <c r="AK261" s="45">
        <f t="shared" si="239"/>
        <v>0</v>
      </c>
      <c r="AL261" s="45">
        <f t="shared" si="240"/>
        <v>0</v>
      </c>
      <c r="AM261" s="45">
        <f t="shared" si="241"/>
        <v>0</v>
      </c>
      <c r="AN261" s="45">
        <f t="shared" si="242"/>
        <v>0</v>
      </c>
      <c r="AO261" s="45">
        <f t="shared" si="243"/>
        <v>0</v>
      </c>
      <c r="AP261" s="80">
        <f t="shared" si="244"/>
        <v>0</v>
      </c>
      <c r="AQ261" s="80">
        <f t="shared" si="245"/>
        <v>0</v>
      </c>
      <c r="AR261" s="80">
        <f t="shared" si="246"/>
        <v>0</v>
      </c>
      <c r="AS261" s="80">
        <f t="shared" si="247"/>
        <v>0</v>
      </c>
      <c r="AT261" s="80">
        <f t="shared" si="248"/>
        <v>0</v>
      </c>
      <c r="AU261" s="80">
        <f t="shared" si="249"/>
        <v>0</v>
      </c>
      <c r="AV261" s="80">
        <f t="shared" si="294"/>
        <v>27.879474935981889</v>
      </c>
      <c r="AW261" s="80">
        <f t="shared" si="295"/>
        <v>13.897206616283835</v>
      </c>
      <c r="AX261" s="80">
        <f t="shared" si="296"/>
        <v>7.7851603691946796</v>
      </c>
      <c r="AY261" s="80">
        <f t="shared" si="297"/>
        <v>5.7839795946550669</v>
      </c>
      <c r="AZ261" s="80">
        <f t="shared" si="298"/>
        <v>39.291160374459444</v>
      </c>
      <c r="BA261" s="80">
        <f t="shared" si="299"/>
        <v>19.945839538835287</v>
      </c>
      <c r="BB261" s="80">
        <f t="shared" si="275"/>
        <v>534.74736527229027</v>
      </c>
      <c r="BC261" s="80">
        <f t="shared" si="276"/>
        <v>192.70793437217691</v>
      </c>
      <c r="BD261" s="80">
        <f t="shared" si="277"/>
        <v>152.86904229741722</v>
      </c>
      <c r="BE261" s="80">
        <f t="shared" si="278"/>
        <v>111.7768836374599</v>
      </c>
      <c r="BF261" s="80">
        <f t="shared" si="279"/>
        <v>728.89066585247963</v>
      </c>
      <c r="BG261" s="80">
        <f t="shared" si="280"/>
        <v>366.06852779188512</v>
      </c>
      <c r="BH261" s="49">
        <f t="shared" si="281"/>
        <v>0</v>
      </c>
      <c r="BI261" s="79">
        <f t="shared" si="282"/>
        <v>-86083.215765136847</v>
      </c>
      <c r="BJ261" s="79">
        <f t="shared" si="250"/>
        <v>91079.08076934253</v>
      </c>
      <c r="BK261" s="44">
        <f t="shared" si="283"/>
        <v>5.8035297122682294E-2</v>
      </c>
      <c r="BL261" s="79">
        <f t="shared" si="300"/>
        <v>4826.4892443255885</v>
      </c>
      <c r="BM261" s="49">
        <f t="shared" si="284"/>
        <v>95905.570013668126</v>
      </c>
      <c r="BN261" s="44">
        <f t="shared" si="285"/>
        <v>0.11410301254695066</v>
      </c>
      <c r="BO261" s="49">
        <f t="shared" si="251"/>
        <v>5282.7654394081319</v>
      </c>
      <c r="BP261" s="49">
        <f t="shared" si="252"/>
        <v>96361.846208750663</v>
      </c>
      <c r="BQ261" s="44">
        <f t="shared" si="253"/>
        <v>0.11940342089051681</v>
      </c>
      <c r="BS261" s="49">
        <f t="shared" si="254"/>
        <v>86083.215765136847</v>
      </c>
      <c r="BT261" s="49">
        <f t="shared" si="230"/>
        <v>62.669998</v>
      </c>
      <c r="BU261" s="49">
        <f t="shared" si="231"/>
        <v>40.220001000000003</v>
      </c>
      <c r="BV261" s="49">
        <f t="shared" si="255"/>
        <v>0</v>
      </c>
      <c r="BW261" s="18">
        <f t="shared" si="256"/>
        <v>1533</v>
      </c>
      <c r="BX261" s="19">
        <f t="shared" si="286"/>
        <v>0.648394495412844</v>
      </c>
      <c r="BY261" s="49">
        <f t="shared" si="287"/>
        <v>0</v>
      </c>
      <c r="BZ261" s="19">
        <f t="shared" si="257"/>
        <v>0</v>
      </c>
      <c r="CA261" s="19">
        <f t="shared" si="258"/>
        <v>0</v>
      </c>
      <c r="CB261" s="19">
        <f t="shared" si="259"/>
        <v>0</v>
      </c>
      <c r="CC261" s="19">
        <f t="shared" si="260"/>
        <v>0</v>
      </c>
      <c r="CD261" s="19">
        <f t="shared" si="261"/>
        <v>0</v>
      </c>
      <c r="CE261" s="19">
        <f t="shared" si="262"/>
        <v>0</v>
      </c>
      <c r="CF261" s="49">
        <f t="shared" si="263"/>
        <v>0</v>
      </c>
      <c r="CG261" s="49">
        <f t="shared" si="264"/>
        <v>0</v>
      </c>
      <c r="CH261" s="49">
        <f t="shared" si="265"/>
        <v>0</v>
      </c>
      <c r="CI261" s="49">
        <f t="shared" si="266"/>
        <v>0</v>
      </c>
      <c r="CJ261" s="49">
        <f t="shared" si="267"/>
        <v>0</v>
      </c>
      <c r="CK261" s="49">
        <f t="shared" si="268"/>
        <v>0</v>
      </c>
    </row>
    <row r="262" spans="2:89" ht="12.75" customHeight="1" x14ac:dyDescent="0.2">
      <c r="B262" s="77">
        <v>40833</v>
      </c>
      <c r="C262" s="49">
        <v>63.259998000000003</v>
      </c>
      <c r="D262" s="49">
        <v>51.279998999999997</v>
      </c>
      <c r="E262" s="49">
        <v>50.869999</v>
      </c>
      <c r="F262" s="49">
        <v>61.459999000000003</v>
      </c>
      <c r="G262" s="49">
        <v>32.93</v>
      </c>
      <c r="H262" s="49">
        <v>39.599997999999999</v>
      </c>
      <c r="J262" s="78">
        <f>IF(inter=Weekly_2,J261+$C$5,IF(inter=Bi_weekly_2,J260+$C$5,IF(inter=Monthly_2,J258+$C$5,IF(inter=Quarterly_2,0,IF(inter=Yearly_2,0,IF(inter=None_2,0,0))))))</f>
        <v>86000</v>
      </c>
      <c r="K262" s="79">
        <f t="shared" si="269"/>
        <v>1964.4617289390881</v>
      </c>
      <c r="L262" s="79">
        <f t="shared" si="270"/>
        <v>569.41394051146926</v>
      </c>
      <c r="M262" s="79">
        <f t="shared" si="271"/>
        <v>500.41692860479907</v>
      </c>
      <c r="N262" s="79">
        <f t="shared" si="272"/>
        <v>494.32377647788053</v>
      </c>
      <c r="O262" s="79">
        <f t="shared" si="273"/>
        <v>1208.511715391207</v>
      </c>
      <c r="P262" s="79">
        <f t="shared" si="274"/>
        <v>806.45776257539728</v>
      </c>
      <c r="Q262" s="79"/>
      <c r="R262" s="80">
        <f t="shared" si="232"/>
        <v>-31.053774755716685</v>
      </c>
      <c r="S262" s="80">
        <f t="shared" si="233"/>
        <v>-11.104016217150654</v>
      </c>
      <c r="T262" s="80">
        <f t="shared" si="234"/>
        <v>-9.8371719764492056</v>
      </c>
      <c r="U262" s="80">
        <f t="shared" si="235"/>
        <v>-8.0430163443035614</v>
      </c>
      <c r="V262" s="80">
        <f t="shared" si="236"/>
        <v>-36.699414375681961</v>
      </c>
      <c r="W262" s="80">
        <f t="shared" si="237"/>
        <v>-20.365096043070437</v>
      </c>
      <c r="X262" s="80">
        <f t="shared" si="288"/>
        <v>475.81411558059165</v>
      </c>
      <c r="Y262" s="80">
        <f t="shared" si="289"/>
        <v>167.70671153874244</v>
      </c>
      <c r="Z262" s="80">
        <f t="shared" si="290"/>
        <v>135.24670995177334</v>
      </c>
      <c r="AA262" s="80">
        <f t="shared" si="291"/>
        <v>97.949887698501271</v>
      </c>
      <c r="AB262" s="80">
        <f t="shared" si="292"/>
        <v>652.90009110233825</v>
      </c>
      <c r="AC262" s="80">
        <f t="shared" si="293"/>
        <v>325.75759220997941</v>
      </c>
      <c r="AD262" s="80"/>
      <c r="AE262" s="80"/>
      <c r="AF262" s="80"/>
      <c r="AG262" s="80"/>
      <c r="AH262" s="80"/>
      <c r="AI262" s="80"/>
      <c r="AJ262" s="45">
        <f t="shared" si="238"/>
        <v>0</v>
      </c>
      <c r="AK262" s="45">
        <f t="shared" si="239"/>
        <v>0</v>
      </c>
      <c r="AL262" s="45">
        <f t="shared" si="240"/>
        <v>0</v>
      </c>
      <c r="AM262" s="45">
        <f t="shared" si="241"/>
        <v>0</v>
      </c>
      <c r="AN262" s="45">
        <f t="shared" si="242"/>
        <v>0</v>
      </c>
      <c r="AO262" s="45">
        <f t="shared" si="243"/>
        <v>0</v>
      </c>
      <c r="AP262" s="80">
        <f t="shared" si="244"/>
        <v>0</v>
      </c>
      <c r="AQ262" s="80">
        <f t="shared" si="245"/>
        <v>0</v>
      </c>
      <c r="AR262" s="80">
        <f t="shared" si="246"/>
        <v>0</v>
      </c>
      <c r="AS262" s="80">
        <f t="shared" si="247"/>
        <v>0</v>
      </c>
      <c r="AT262" s="80">
        <f t="shared" si="248"/>
        <v>0</v>
      </c>
      <c r="AU262" s="80">
        <f t="shared" si="249"/>
        <v>0</v>
      </c>
      <c r="AV262" s="80">
        <f t="shared" si="294"/>
        <v>27.879474935981889</v>
      </c>
      <c r="AW262" s="80">
        <f t="shared" si="295"/>
        <v>13.897206616283835</v>
      </c>
      <c r="AX262" s="80">
        <f t="shared" si="296"/>
        <v>7.7851603691946796</v>
      </c>
      <c r="AY262" s="80">
        <f t="shared" si="297"/>
        <v>5.7839795946550669</v>
      </c>
      <c r="AZ262" s="80">
        <f t="shared" si="298"/>
        <v>39.291160374459444</v>
      </c>
      <c r="BA262" s="80">
        <f t="shared" si="299"/>
        <v>19.945839538835287</v>
      </c>
      <c r="BB262" s="80">
        <f t="shared" si="275"/>
        <v>503.69359051657352</v>
      </c>
      <c r="BC262" s="80">
        <f t="shared" si="276"/>
        <v>181.60391815502626</v>
      </c>
      <c r="BD262" s="80">
        <f t="shared" si="277"/>
        <v>143.03187032096801</v>
      </c>
      <c r="BE262" s="80">
        <f t="shared" si="278"/>
        <v>103.73386729315634</v>
      </c>
      <c r="BF262" s="80">
        <f t="shared" si="279"/>
        <v>692.19125147679767</v>
      </c>
      <c r="BG262" s="80">
        <f t="shared" si="280"/>
        <v>345.70343174881469</v>
      </c>
      <c r="BH262" s="49">
        <f t="shared" si="281"/>
        <v>0</v>
      </c>
      <c r="BI262" s="79">
        <f t="shared" si="282"/>
        <v>-80539.629912637014</v>
      </c>
      <c r="BJ262" s="79">
        <f t="shared" si="250"/>
        <v>86000</v>
      </c>
      <c r="BK262" s="44">
        <f t="shared" si="283"/>
        <v>6.7797307900296477E-2</v>
      </c>
      <c r="BL262" s="79">
        <f t="shared" si="300"/>
        <v>4826.4892443255885</v>
      </c>
      <c r="BM262" s="49">
        <f t="shared" si="284"/>
        <v>90826.489244325581</v>
      </c>
      <c r="BN262" s="44">
        <f t="shared" si="285"/>
        <v>0.12772419419914072</v>
      </c>
      <c r="BO262" s="49">
        <f t="shared" si="251"/>
        <v>5311.5318673535339</v>
      </c>
      <c r="BP262" s="49">
        <f t="shared" si="252"/>
        <v>91311.531867353522</v>
      </c>
      <c r="BQ262" s="44">
        <f t="shared" si="253"/>
        <v>0.13374660358386303</v>
      </c>
      <c r="BS262" s="49">
        <f t="shared" si="254"/>
        <v>80539.629912637014</v>
      </c>
      <c r="BT262" s="49">
        <f t="shared" si="230"/>
        <v>63.259998000000003</v>
      </c>
      <c r="BU262" s="49">
        <f t="shared" si="231"/>
        <v>39.599997999999999</v>
      </c>
      <c r="BV262" s="49">
        <f t="shared" si="255"/>
        <v>-5543.5858524998412</v>
      </c>
      <c r="BW262" s="18">
        <f t="shared" si="256"/>
        <v>1540</v>
      </c>
      <c r="BX262" s="19">
        <f t="shared" si="286"/>
        <v>0.64678899082568808</v>
      </c>
      <c r="BY262" s="49">
        <f t="shared" si="287"/>
        <v>-3585.530299093934</v>
      </c>
      <c r="BZ262" s="19">
        <f t="shared" si="257"/>
        <v>0</v>
      </c>
      <c r="CA262" s="19">
        <f t="shared" si="258"/>
        <v>0</v>
      </c>
      <c r="CB262" s="19">
        <f t="shared" si="259"/>
        <v>0</v>
      </c>
      <c r="CC262" s="19">
        <f t="shared" si="260"/>
        <v>0</v>
      </c>
      <c r="CD262" s="19">
        <f t="shared" si="261"/>
        <v>0</v>
      </c>
      <c r="CE262" s="19">
        <f t="shared" si="262"/>
        <v>0</v>
      </c>
      <c r="CF262" s="49">
        <f t="shared" si="263"/>
        <v>0</v>
      </c>
      <c r="CG262" s="49">
        <f t="shared" si="264"/>
        <v>0</v>
      </c>
      <c r="CH262" s="49">
        <f t="shared" si="265"/>
        <v>0</v>
      </c>
      <c r="CI262" s="49">
        <f t="shared" si="266"/>
        <v>0</v>
      </c>
      <c r="CJ262" s="49">
        <f t="shared" si="267"/>
        <v>0</v>
      </c>
      <c r="CK262" s="49">
        <f t="shared" si="268"/>
        <v>0</v>
      </c>
    </row>
    <row r="263" spans="2:89" ht="12.75" customHeight="1" x14ac:dyDescent="0.2">
      <c r="B263" s="77">
        <v>40840</v>
      </c>
      <c r="C263" s="49">
        <v>65.949996999999996</v>
      </c>
      <c r="D263" s="49">
        <v>53.369999</v>
      </c>
      <c r="E263" s="49">
        <v>53.209999000000003</v>
      </c>
      <c r="F263" s="49">
        <v>65.279999000000004</v>
      </c>
      <c r="G263" s="49">
        <v>34.880001</v>
      </c>
      <c r="H263" s="49">
        <v>43.23</v>
      </c>
      <c r="J263" s="78">
        <f>IF(inter=Weekly_2,J262+$C$5,IF(inter=Bi_weekly_2,0,IF(inter=Monthly_2,0,IF(inter=Quarterly_2,J250+$C$5,IF(inter=Yearly_2,0,IF(inter=None_2,0,0))))))</f>
        <v>0</v>
      </c>
      <c r="K263" s="79">
        <f t="shared" si="269"/>
        <v>0</v>
      </c>
      <c r="L263" s="79">
        <f t="shared" si="270"/>
        <v>0</v>
      </c>
      <c r="M263" s="79">
        <f t="shared" si="271"/>
        <v>0</v>
      </c>
      <c r="N263" s="79">
        <f t="shared" si="272"/>
        <v>0</v>
      </c>
      <c r="O263" s="79">
        <f t="shared" si="273"/>
        <v>0</v>
      </c>
      <c r="P263" s="79">
        <f t="shared" si="274"/>
        <v>0</v>
      </c>
      <c r="Q263" s="79"/>
      <c r="R263" s="80">
        <f t="shared" si="232"/>
        <v>0</v>
      </c>
      <c r="S263" s="80">
        <f t="shared" si="233"/>
        <v>0</v>
      </c>
      <c r="T263" s="80">
        <f t="shared" si="234"/>
        <v>0</v>
      </c>
      <c r="U263" s="80">
        <f t="shared" si="235"/>
        <v>0</v>
      </c>
      <c r="V263" s="80">
        <f t="shared" si="236"/>
        <v>0</v>
      </c>
      <c r="W263" s="80">
        <f t="shared" si="237"/>
        <v>0</v>
      </c>
      <c r="X263" s="80">
        <f t="shared" si="288"/>
        <v>475.81411558059165</v>
      </c>
      <c r="Y263" s="80">
        <f t="shared" si="289"/>
        <v>167.70671153874244</v>
      </c>
      <c r="Z263" s="80">
        <f t="shared" si="290"/>
        <v>135.24670995177334</v>
      </c>
      <c r="AA263" s="80">
        <f t="shared" si="291"/>
        <v>97.949887698501271</v>
      </c>
      <c r="AB263" s="80">
        <f t="shared" si="292"/>
        <v>652.90009110233825</v>
      </c>
      <c r="AC263" s="80">
        <f t="shared" si="293"/>
        <v>325.75759220997941</v>
      </c>
      <c r="AD263" s="80"/>
      <c r="AE263" s="80"/>
      <c r="AF263" s="80"/>
      <c r="AG263" s="80"/>
      <c r="AH263" s="80"/>
      <c r="AI263" s="80"/>
      <c r="AJ263" s="45">
        <f t="shared" si="238"/>
        <v>0</v>
      </c>
      <c r="AK263" s="45">
        <f t="shared" si="239"/>
        <v>0</v>
      </c>
      <c r="AL263" s="45">
        <f t="shared" si="240"/>
        <v>0</v>
      </c>
      <c r="AM263" s="45">
        <f t="shared" si="241"/>
        <v>0</v>
      </c>
      <c r="AN263" s="45">
        <f t="shared" si="242"/>
        <v>0</v>
      </c>
      <c r="AO263" s="45">
        <f t="shared" si="243"/>
        <v>0</v>
      </c>
      <c r="AP263" s="80">
        <f t="shared" si="244"/>
        <v>0</v>
      </c>
      <c r="AQ263" s="80">
        <f t="shared" si="245"/>
        <v>0</v>
      </c>
      <c r="AR263" s="80">
        <f t="shared" si="246"/>
        <v>0</v>
      </c>
      <c r="AS263" s="80">
        <f t="shared" si="247"/>
        <v>0</v>
      </c>
      <c r="AT263" s="80">
        <f t="shared" si="248"/>
        <v>0</v>
      </c>
      <c r="AU263" s="80">
        <f t="shared" si="249"/>
        <v>0</v>
      </c>
      <c r="AV263" s="80">
        <f t="shared" si="294"/>
        <v>27.879474935981889</v>
      </c>
      <c r="AW263" s="80">
        <f t="shared" si="295"/>
        <v>13.897206616283835</v>
      </c>
      <c r="AX263" s="80">
        <f t="shared" si="296"/>
        <v>7.7851603691946796</v>
      </c>
      <c r="AY263" s="80">
        <f t="shared" si="297"/>
        <v>5.7839795946550669</v>
      </c>
      <c r="AZ263" s="80">
        <f t="shared" si="298"/>
        <v>39.291160374459444</v>
      </c>
      <c r="BA263" s="80">
        <f t="shared" si="299"/>
        <v>19.945839538835287</v>
      </c>
      <c r="BB263" s="80">
        <f t="shared" si="275"/>
        <v>503.69359051657352</v>
      </c>
      <c r="BC263" s="80">
        <f t="shared" si="276"/>
        <v>181.60391815502626</v>
      </c>
      <c r="BD263" s="80">
        <f t="shared" si="277"/>
        <v>143.03187032096801</v>
      </c>
      <c r="BE263" s="80">
        <f t="shared" si="278"/>
        <v>103.73386729315634</v>
      </c>
      <c r="BF263" s="80">
        <f t="shared" si="279"/>
        <v>692.19125147679767</v>
      </c>
      <c r="BG263" s="80">
        <f t="shared" si="280"/>
        <v>345.70343174881469</v>
      </c>
      <c r="BH263" s="49">
        <f t="shared" si="281"/>
        <v>0</v>
      </c>
      <c r="BI263" s="79">
        <f t="shared" si="282"/>
        <v>-80539.629912637014</v>
      </c>
      <c r="BJ263" s="79">
        <f t="shared" si="250"/>
        <v>90776.748936296135</v>
      </c>
      <c r="BK263" s="44">
        <f t="shared" si="283"/>
        <v>0.12710660621067582</v>
      </c>
      <c r="BL263" s="79">
        <f t="shared" si="300"/>
        <v>4826.4892443255885</v>
      </c>
      <c r="BM263" s="49">
        <f t="shared" si="284"/>
        <v>95603.238180621731</v>
      </c>
      <c r="BN263" s="44">
        <f t="shared" si="285"/>
        <v>0.18703349250952006</v>
      </c>
      <c r="BO263" s="49">
        <f t="shared" si="251"/>
        <v>5604.906105634389</v>
      </c>
      <c r="BP263" s="49">
        <f t="shared" si="252"/>
        <v>96381.655041930513</v>
      </c>
      <c r="BQ263" s="44">
        <f t="shared" si="253"/>
        <v>0.19669850912498199</v>
      </c>
      <c r="BS263" s="49">
        <f t="shared" si="254"/>
        <v>80539.629912637014</v>
      </c>
      <c r="BT263" s="49">
        <f t="shared" si="230"/>
        <v>65.949996999999996</v>
      </c>
      <c r="BU263" s="49">
        <f t="shared" si="231"/>
        <v>43.23</v>
      </c>
      <c r="BV263" s="49">
        <f t="shared" si="255"/>
        <v>0</v>
      </c>
      <c r="BW263" s="18">
        <f t="shared" si="256"/>
        <v>1547</v>
      </c>
      <c r="BX263" s="19">
        <f t="shared" si="286"/>
        <v>0.64518348623853206</v>
      </c>
      <c r="BY263" s="49">
        <f t="shared" si="287"/>
        <v>0</v>
      </c>
      <c r="BZ263" s="19">
        <f t="shared" si="257"/>
        <v>0</v>
      </c>
      <c r="CA263" s="19">
        <f t="shared" si="258"/>
        <v>0</v>
      </c>
      <c r="CB263" s="19">
        <f t="shared" si="259"/>
        <v>0</v>
      </c>
      <c r="CC263" s="19">
        <f t="shared" si="260"/>
        <v>0</v>
      </c>
      <c r="CD263" s="19">
        <f t="shared" si="261"/>
        <v>0</v>
      </c>
      <c r="CE263" s="19">
        <f t="shared" si="262"/>
        <v>0</v>
      </c>
      <c r="CF263" s="49">
        <f t="shared" si="263"/>
        <v>0</v>
      </c>
      <c r="CG263" s="49">
        <f t="shared" si="264"/>
        <v>0</v>
      </c>
      <c r="CH263" s="49">
        <f t="shared" si="265"/>
        <v>0</v>
      </c>
      <c r="CI263" s="49">
        <f t="shared" si="266"/>
        <v>0</v>
      </c>
      <c r="CJ263" s="49">
        <f t="shared" si="267"/>
        <v>0</v>
      </c>
      <c r="CK263" s="49">
        <f t="shared" si="268"/>
        <v>0</v>
      </c>
    </row>
    <row r="264" spans="2:89" ht="12.75" customHeight="1" x14ac:dyDescent="0.2">
      <c r="B264" s="77">
        <v>40847</v>
      </c>
      <c r="C264" s="49">
        <v>64.489998</v>
      </c>
      <c r="D264" s="49">
        <v>51.779998999999997</v>
      </c>
      <c r="E264" s="49">
        <v>52.57</v>
      </c>
      <c r="F264" s="49">
        <v>63.889999000000003</v>
      </c>
      <c r="G264" s="49">
        <v>32.729999999999997</v>
      </c>
      <c r="H264" s="49">
        <v>41.98</v>
      </c>
      <c r="J264" s="78">
        <f>IF(inter=Weekly_2,J263+$C$5,IF(inter=Bi_weekly_2,J262+$C$5,IF(inter=Monthly_2,0,IF(inter=Quarterly_2,0,IF(inter=Yearly_2,0,IF(inter=None_2,0,0))))))</f>
        <v>86600</v>
      </c>
      <c r="K264" s="79">
        <f t="shared" si="269"/>
        <v>375.25136216412648</v>
      </c>
      <c r="L264" s="79">
        <f t="shared" si="270"/>
        <v>23.853355769371774</v>
      </c>
      <c r="M264" s="79">
        <f t="shared" si="271"/>
        <v>181.91954216472459</v>
      </c>
      <c r="N264" s="79">
        <f t="shared" si="272"/>
        <v>196.01822710735814</v>
      </c>
      <c r="O264" s="79">
        <f t="shared" si="273"/>
        <v>-280.58001822046936</v>
      </c>
      <c r="P264" s="79">
        <f t="shared" si="274"/>
        <v>685.30372097493455</v>
      </c>
      <c r="Q264" s="79"/>
      <c r="R264" s="80">
        <f t="shared" si="232"/>
        <v>-5.8187528888452826</v>
      </c>
      <c r="S264" s="80">
        <f t="shared" si="233"/>
        <v>-0.46066736635842298</v>
      </c>
      <c r="T264" s="80">
        <f t="shared" si="234"/>
        <v>-3.4605201096580673</v>
      </c>
      <c r="U264" s="80">
        <f t="shared" si="235"/>
        <v>-3.0680580713009267</v>
      </c>
      <c r="V264" s="80">
        <f t="shared" si="236"/>
        <v>8.572563954184826</v>
      </c>
      <c r="W264" s="80">
        <f t="shared" si="237"/>
        <v>-16.324528846472955</v>
      </c>
      <c r="X264" s="80">
        <f t="shared" si="288"/>
        <v>469.99536269174638</v>
      </c>
      <c r="Y264" s="80">
        <f t="shared" si="289"/>
        <v>167.24604417238402</v>
      </c>
      <c r="Z264" s="80">
        <f t="shared" si="290"/>
        <v>131.78618984211528</v>
      </c>
      <c r="AA264" s="80">
        <f t="shared" si="291"/>
        <v>94.881829627200347</v>
      </c>
      <c r="AB264" s="80">
        <f t="shared" si="292"/>
        <v>661.47265505652308</v>
      </c>
      <c r="AC264" s="80">
        <f t="shared" si="293"/>
        <v>309.43306336350645</v>
      </c>
      <c r="AD264" s="80"/>
      <c r="AE264" s="80"/>
      <c r="AF264" s="80"/>
      <c r="AG264" s="80"/>
      <c r="AH264" s="80"/>
      <c r="AI264" s="80"/>
      <c r="AJ264" s="45">
        <f t="shared" si="238"/>
        <v>0</v>
      </c>
      <c r="AK264" s="45">
        <f t="shared" si="239"/>
        <v>0</v>
      </c>
      <c r="AL264" s="45">
        <f t="shared" si="240"/>
        <v>0</v>
      </c>
      <c r="AM264" s="45">
        <f t="shared" si="241"/>
        <v>0</v>
      </c>
      <c r="AN264" s="45">
        <f t="shared" si="242"/>
        <v>0</v>
      </c>
      <c r="AO264" s="45">
        <f t="shared" si="243"/>
        <v>0</v>
      </c>
      <c r="AP264" s="80">
        <f t="shared" si="244"/>
        <v>0</v>
      </c>
      <c r="AQ264" s="80">
        <f t="shared" si="245"/>
        <v>0</v>
      </c>
      <c r="AR264" s="80">
        <f t="shared" si="246"/>
        <v>0</v>
      </c>
      <c r="AS264" s="80">
        <f t="shared" si="247"/>
        <v>0</v>
      </c>
      <c r="AT264" s="80">
        <f t="shared" si="248"/>
        <v>0</v>
      </c>
      <c r="AU264" s="80">
        <f t="shared" si="249"/>
        <v>0</v>
      </c>
      <c r="AV264" s="80">
        <f t="shared" si="294"/>
        <v>27.879474935981889</v>
      </c>
      <c r="AW264" s="80">
        <f t="shared" si="295"/>
        <v>13.897206616283835</v>
      </c>
      <c r="AX264" s="80">
        <f t="shared" si="296"/>
        <v>7.7851603691946796</v>
      </c>
      <c r="AY264" s="80">
        <f t="shared" si="297"/>
        <v>5.7839795946550669</v>
      </c>
      <c r="AZ264" s="80">
        <f t="shared" si="298"/>
        <v>39.291160374459444</v>
      </c>
      <c r="BA264" s="80">
        <f t="shared" si="299"/>
        <v>19.945839538835287</v>
      </c>
      <c r="BB264" s="80">
        <f t="shared" si="275"/>
        <v>497.87483762772825</v>
      </c>
      <c r="BC264" s="80">
        <f t="shared" si="276"/>
        <v>181.14325078866784</v>
      </c>
      <c r="BD264" s="80">
        <f t="shared" si="277"/>
        <v>139.57135021130995</v>
      </c>
      <c r="BE264" s="80">
        <f t="shared" si="278"/>
        <v>100.66580922185541</v>
      </c>
      <c r="BF264" s="80">
        <f t="shared" si="279"/>
        <v>700.7638154309825</v>
      </c>
      <c r="BG264" s="80">
        <f t="shared" si="280"/>
        <v>329.37890290234174</v>
      </c>
      <c r="BH264" s="49">
        <f t="shared" si="281"/>
        <v>0</v>
      </c>
      <c r="BI264" s="79">
        <f t="shared" si="282"/>
        <v>-79357.863722676964</v>
      </c>
      <c r="BJ264" s="79">
        <f t="shared" si="250"/>
        <v>86600</v>
      </c>
      <c r="BK264" s="44">
        <f t="shared" si="283"/>
        <v>9.1259214116843124E-2</v>
      </c>
      <c r="BL264" s="79">
        <f t="shared" si="300"/>
        <v>4826.4892443255885</v>
      </c>
      <c r="BM264" s="49">
        <f t="shared" si="284"/>
        <v>91426.489244325581</v>
      </c>
      <c r="BN264" s="44">
        <f t="shared" si="285"/>
        <v>0.15207850810883072</v>
      </c>
      <c r="BO264" s="49">
        <f t="shared" si="251"/>
        <v>5419.6749815799521</v>
      </c>
      <c r="BP264" s="49">
        <f t="shared" si="252"/>
        <v>92019.674981579956</v>
      </c>
      <c r="BQ264" s="44">
        <f t="shared" si="253"/>
        <v>0.1595533279871395</v>
      </c>
      <c r="BS264" s="49">
        <f t="shared" si="254"/>
        <v>79357.863722676964</v>
      </c>
      <c r="BT264" s="49">
        <f t="shared" si="230"/>
        <v>64.489998</v>
      </c>
      <c r="BU264" s="49">
        <f t="shared" si="231"/>
        <v>41.98</v>
      </c>
      <c r="BV264" s="49">
        <f t="shared" si="255"/>
        <v>-1181.7661899600462</v>
      </c>
      <c r="BW264" s="18">
        <f t="shared" si="256"/>
        <v>1554</v>
      </c>
      <c r="BX264" s="19">
        <f t="shared" si="286"/>
        <v>0.64357798165137614</v>
      </c>
      <c r="BY264" s="49">
        <f t="shared" si="287"/>
        <v>-760.55869931832331</v>
      </c>
      <c r="BZ264" s="19">
        <f t="shared" si="257"/>
        <v>0</v>
      </c>
      <c r="CA264" s="19">
        <f t="shared" si="258"/>
        <v>0</v>
      </c>
      <c r="CB264" s="19">
        <f t="shared" si="259"/>
        <v>0</v>
      </c>
      <c r="CC264" s="19">
        <f t="shared" si="260"/>
        <v>0</v>
      </c>
      <c r="CD264" s="19">
        <f t="shared" si="261"/>
        <v>8.572563954184826</v>
      </c>
      <c r="CE264" s="19">
        <f t="shared" si="262"/>
        <v>0</v>
      </c>
      <c r="CF264" s="49">
        <f t="shared" si="263"/>
        <v>0</v>
      </c>
      <c r="CG264" s="49">
        <f t="shared" si="264"/>
        <v>0</v>
      </c>
      <c r="CH264" s="49">
        <f t="shared" si="265"/>
        <v>0</v>
      </c>
      <c r="CI264" s="49">
        <f t="shared" si="266"/>
        <v>0</v>
      </c>
      <c r="CJ264" s="49">
        <f t="shared" si="267"/>
        <v>-280.58001822046936</v>
      </c>
      <c r="CK264" s="49">
        <f t="shared" si="268"/>
        <v>0</v>
      </c>
    </row>
    <row r="265" spans="2:89" ht="12.75" customHeight="1" x14ac:dyDescent="0.2">
      <c r="B265" s="77">
        <v>40854</v>
      </c>
      <c r="C265" s="49">
        <v>64.919998000000007</v>
      </c>
      <c r="D265" s="49">
        <v>52.34</v>
      </c>
      <c r="E265" s="49">
        <v>52.560001</v>
      </c>
      <c r="F265" s="49">
        <v>63.950001</v>
      </c>
      <c r="G265" s="49">
        <v>32.770000000000003</v>
      </c>
      <c r="H265" s="49">
        <v>41.599997999999999</v>
      </c>
      <c r="J265" s="78">
        <f>IF(inter=Weekly_2,J264+$C$5,IF(inter=Bi_weekly_2,0,IF(inter=Monthly_2,0,IF(inter=Quarterly_2,0,IF(inter=Yearly_2,0,IF(inter=None_2,0,0))))))</f>
        <v>0</v>
      </c>
      <c r="K265" s="79">
        <f t="shared" si="269"/>
        <v>0</v>
      </c>
      <c r="L265" s="79">
        <f t="shared" si="270"/>
        <v>0</v>
      </c>
      <c r="M265" s="79">
        <f t="shared" si="271"/>
        <v>0</v>
      </c>
      <c r="N265" s="79">
        <f t="shared" si="272"/>
        <v>0</v>
      </c>
      <c r="O265" s="79">
        <f t="shared" si="273"/>
        <v>0</v>
      </c>
      <c r="P265" s="79">
        <f t="shared" si="274"/>
        <v>0</v>
      </c>
      <c r="Q265" s="79"/>
      <c r="R265" s="80">
        <f t="shared" si="232"/>
        <v>0</v>
      </c>
      <c r="S265" s="80">
        <f t="shared" si="233"/>
        <v>0</v>
      </c>
      <c r="T265" s="80">
        <f t="shared" si="234"/>
        <v>0</v>
      </c>
      <c r="U265" s="80">
        <f t="shared" si="235"/>
        <v>0</v>
      </c>
      <c r="V265" s="80">
        <f t="shared" si="236"/>
        <v>0</v>
      </c>
      <c r="W265" s="80">
        <f t="shared" si="237"/>
        <v>0</v>
      </c>
      <c r="X265" s="80">
        <f t="shared" si="288"/>
        <v>469.99536269174638</v>
      </c>
      <c r="Y265" s="80">
        <f t="shared" si="289"/>
        <v>167.24604417238402</v>
      </c>
      <c r="Z265" s="80">
        <f t="shared" si="290"/>
        <v>131.78618984211528</v>
      </c>
      <c r="AA265" s="80">
        <f t="shared" si="291"/>
        <v>94.881829627200347</v>
      </c>
      <c r="AB265" s="80">
        <f t="shared" si="292"/>
        <v>661.47265505652308</v>
      </c>
      <c r="AC265" s="80">
        <f t="shared" si="293"/>
        <v>309.43306336350645</v>
      </c>
      <c r="AD265" s="80"/>
      <c r="AE265" s="80"/>
      <c r="AF265" s="80"/>
      <c r="AG265" s="80"/>
      <c r="AH265" s="80"/>
      <c r="AI265" s="80"/>
      <c r="AJ265" s="45">
        <f t="shared" si="238"/>
        <v>0</v>
      </c>
      <c r="AK265" s="45">
        <f t="shared" si="239"/>
        <v>0</v>
      </c>
      <c r="AL265" s="45">
        <f t="shared" si="240"/>
        <v>0</v>
      </c>
      <c r="AM265" s="45">
        <f t="shared" si="241"/>
        <v>0</v>
      </c>
      <c r="AN265" s="45">
        <f t="shared" si="242"/>
        <v>0</v>
      </c>
      <c r="AO265" s="45">
        <f t="shared" si="243"/>
        <v>0</v>
      </c>
      <c r="AP265" s="80">
        <f t="shared" si="244"/>
        <v>0</v>
      </c>
      <c r="AQ265" s="80">
        <f t="shared" si="245"/>
        <v>0</v>
      </c>
      <c r="AR265" s="80">
        <f t="shared" si="246"/>
        <v>0</v>
      </c>
      <c r="AS265" s="80">
        <f t="shared" si="247"/>
        <v>0</v>
      </c>
      <c r="AT265" s="80">
        <f t="shared" si="248"/>
        <v>0</v>
      </c>
      <c r="AU265" s="80">
        <f t="shared" si="249"/>
        <v>0</v>
      </c>
      <c r="AV265" s="80">
        <f t="shared" si="294"/>
        <v>27.879474935981889</v>
      </c>
      <c r="AW265" s="80">
        <f t="shared" si="295"/>
        <v>13.897206616283835</v>
      </c>
      <c r="AX265" s="80">
        <f t="shared" si="296"/>
        <v>7.7851603691946796</v>
      </c>
      <c r="AY265" s="80">
        <f t="shared" si="297"/>
        <v>5.7839795946550669</v>
      </c>
      <c r="AZ265" s="80">
        <f t="shared" si="298"/>
        <v>39.291160374459444</v>
      </c>
      <c r="BA265" s="80">
        <f t="shared" si="299"/>
        <v>19.945839538835287</v>
      </c>
      <c r="BB265" s="80">
        <f t="shared" si="275"/>
        <v>497.87483762772825</v>
      </c>
      <c r="BC265" s="80">
        <f t="shared" si="276"/>
        <v>181.14325078866784</v>
      </c>
      <c r="BD265" s="80">
        <f t="shared" si="277"/>
        <v>139.57135021130995</v>
      </c>
      <c r="BE265" s="80">
        <f t="shared" si="278"/>
        <v>100.66580922185541</v>
      </c>
      <c r="BF265" s="80">
        <f t="shared" si="279"/>
        <v>700.7638154309825</v>
      </c>
      <c r="BG265" s="80">
        <f t="shared" si="280"/>
        <v>329.37890290234174</v>
      </c>
      <c r="BH265" s="49">
        <f t="shared" si="281"/>
        <v>0</v>
      </c>
      <c r="BI265" s="79">
        <f t="shared" si="282"/>
        <v>-79357.863722676964</v>
      </c>
      <c r="BJ265" s="79">
        <f t="shared" si="250"/>
        <v>86809.005050627107</v>
      </c>
      <c r="BK265" s="44">
        <f t="shared" si="283"/>
        <v>9.3892917203376447E-2</v>
      </c>
      <c r="BL265" s="79">
        <f t="shared" si="300"/>
        <v>4826.4892443255885</v>
      </c>
      <c r="BM265" s="49">
        <f t="shared" si="284"/>
        <v>91635.494294952689</v>
      </c>
      <c r="BN265" s="44">
        <f t="shared" si="285"/>
        <v>0.15471221119536405</v>
      </c>
      <c r="BO265" s="49">
        <f t="shared" si="251"/>
        <v>5433.7069994283993</v>
      </c>
      <c r="BP265" s="49">
        <f t="shared" si="252"/>
        <v>92242.712050055503</v>
      </c>
      <c r="BQ265" s="44">
        <f t="shared" si="253"/>
        <v>0.16236385057447844</v>
      </c>
      <c r="BS265" s="49">
        <f t="shared" si="254"/>
        <v>79357.863722676964</v>
      </c>
      <c r="BT265" s="49">
        <f t="shared" si="230"/>
        <v>64.919998000000007</v>
      </c>
      <c r="BU265" s="49">
        <f t="shared" si="231"/>
        <v>41.599997999999999</v>
      </c>
      <c r="BV265" s="49">
        <f t="shared" si="255"/>
        <v>0</v>
      </c>
      <c r="BW265" s="18">
        <f t="shared" si="256"/>
        <v>1561</v>
      </c>
      <c r="BX265" s="19">
        <f t="shared" si="286"/>
        <v>0.64197247706422023</v>
      </c>
      <c r="BY265" s="49">
        <f t="shared" si="287"/>
        <v>0</v>
      </c>
      <c r="BZ265" s="19">
        <f t="shared" si="257"/>
        <v>0</v>
      </c>
      <c r="CA265" s="19">
        <f t="shared" si="258"/>
        <v>0</v>
      </c>
      <c r="CB265" s="19">
        <f t="shared" si="259"/>
        <v>0</v>
      </c>
      <c r="CC265" s="19">
        <f t="shared" si="260"/>
        <v>0</v>
      </c>
      <c r="CD265" s="19">
        <f t="shared" si="261"/>
        <v>0</v>
      </c>
      <c r="CE265" s="19">
        <f t="shared" si="262"/>
        <v>0</v>
      </c>
      <c r="CF265" s="49">
        <f t="shared" si="263"/>
        <v>0</v>
      </c>
      <c r="CG265" s="49">
        <f t="shared" si="264"/>
        <v>0</v>
      </c>
      <c r="CH265" s="49">
        <f t="shared" si="265"/>
        <v>0</v>
      </c>
      <c r="CI265" s="49">
        <f t="shared" si="266"/>
        <v>0</v>
      </c>
      <c r="CJ265" s="49">
        <f t="shared" si="267"/>
        <v>0</v>
      </c>
      <c r="CK265" s="49">
        <f t="shared" si="268"/>
        <v>0</v>
      </c>
    </row>
    <row r="266" spans="2:89" ht="12.75" customHeight="1" x14ac:dyDescent="0.2">
      <c r="B266" s="77">
        <v>40861</v>
      </c>
      <c r="C266" s="49">
        <v>62.459999000000003</v>
      </c>
      <c r="D266" s="49">
        <v>50.369999</v>
      </c>
      <c r="E266" s="49">
        <v>50.880001</v>
      </c>
      <c r="F266" s="49">
        <v>61.919998</v>
      </c>
      <c r="G266" s="49">
        <v>31.200001</v>
      </c>
      <c r="H266" s="49">
        <v>39.439999</v>
      </c>
      <c r="J266" s="78">
        <f>IF(inter=Weekly_2,J265+$C$5,IF(inter=Bi_weekly_2,J264+$C$5,IF(inter=Monthly_2,J262+$C$5,IF(inter=Quarterly_2,0,IF(inter=Yearly_2,0,IF(inter=None_2,0,0))))))</f>
        <v>87200</v>
      </c>
      <c r="K266" s="79">
        <f t="shared" si="269"/>
        <v>-1164.0901162688788</v>
      </c>
      <c r="L266" s="79">
        <f t="shared" si="270"/>
        <v>-295.81692228306201</v>
      </c>
      <c r="M266" s="79">
        <f t="shared" si="271"/>
        <v>-270.71852904698517</v>
      </c>
      <c r="N266" s="79">
        <f t="shared" si="272"/>
        <v>-228.91729924741503</v>
      </c>
      <c r="O266" s="79">
        <f t="shared" si="273"/>
        <v>-1162.0525007638244</v>
      </c>
      <c r="P266" s="79">
        <f t="shared" si="274"/>
        <v>-875.96029037636981</v>
      </c>
      <c r="Q266" s="79"/>
      <c r="R266" s="80">
        <f t="shared" si="232"/>
        <v>18.637370075348205</v>
      </c>
      <c r="S266" s="80">
        <f t="shared" si="233"/>
        <v>5.8728792566198385</v>
      </c>
      <c r="T266" s="80">
        <f t="shared" si="234"/>
        <v>5.3207257021670493</v>
      </c>
      <c r="U266" s="80">
        <f t="shared" si="235"/>
        <v>3.6969849263789549</v>
      </c>
      <c r="V266" s="80">
        <f t="shared" si="236"/>
        <v>37.245271266620293</v>
      </c>
      <c r="W266" s="80">
        <f t="shared" si="237"/>
        <v>22.209947073689577</v>
      </c>
      <c r="X266" s="80">
        <f t="shared" si="288"/>
        <v>488.63273276709458</v>
      </c>
      <c r="Y266" s="80">
        <f t="shared" si="289"/>
        <v>173.11892342900384</v>
      </c>
      <c r="Z266" s="80">
        <f t="shared" si="290"/>
        <v>137.10691554428232</v>
      </c>
      <c r="AA266" s="80">
        <f t="shared" si="291"/>
        <v>98.578814553579306</v>
      </c>
      <c r="AB266" s="80">
        <f t="shared" si="292"/>
        <v>698.71792632314339</v>
      </c>
      <c r="AC266" s="80">
        <f t="shared" si="293"/>
        <v>331.64301043719604</v>
      </c>
      <c r="AD266" s="80"/>
      <c r="AE266" s="80"/>
      <c r="AF266" s="80"/>
      <c r="AG266" s="80"/>
      <c r="AH266" s="80"/>
      <c r="AI266" s="80"/>
      <c r="AJ266" s="45">
        <f t="shared" si="238"/>
        <v>0</v>
      </c>
      <c r="AK266" s="45">
        <f t="shared" si="239"/>
        <v>0</v>
      </c>
      <c r="AL266" s="45">
        <f t="shared" si="240"/>
        <v>0</v>
      </c>
      <c r="AM266" s="45">
        <f t="shared" si="241"/>
        <v>0</v>
      </c>
      <c r="AN266" s="45">
        <f t="shared" si="242"/>
        <v>0</v>
      </c>
      <c r="AO266" s="45">
        <f t="shared" si="243"/>
        <v>0</v>
      </c>
      <c r="AP266" s="80">
        <f t="shared" si="244"/>
        <v>0</v>
      </c>
      <c r="AQ266" s="80">
        <f t="shared" si="245"/>
        <v>0</v>
      </c>
      <c r="AR266" s="80">
        <f t="shared" si="246"/>
        <v>0</v>
      </c>
      <c r="AS266" s="80">
        <f t="shared" si="247"/>
        <v>0</v>
      </c>
      <c r="AT266" s="80">
        <f t="shared" si="248"/>
        <v>0</v>
      </c>
      <c r="AU266" s="80">
        <f t="shared" si="249"/>
        <v>0</v>
      </c>
      <c r="AV266" s="80">
        <f t="shared" si="294"/>
        <v>27.879474935981889</v>
      </c>
      <c r="AW266" s="80">
        <f t="shared" si="295"/>
        <v>13.897206616283835</v>
      </c>
      <c r="AX266" s="80">
        <f t="shared" si="296"/>
        <v>7.7851603691946796</v>
      </c>
      <c r="AY266" s="80">
        <f t="shared" si="297"/>
        <v>5.7839795946550669</v>
      </c>
      <c r="AZ266" s="80">
        <f t="shared" si="298"/>
        <v>39.291160374459444</v>
      </c>
      <c r="BA266" s="80">
        <f t="shared" si="299"/>
        <v>19.945839538835287</v>
      </c>
      <c r="BB266" s="80">
        <f t="shared" si="275"/>
        <v>516.51220770307646</v>
      </c>
      <c r="BC266" s="80">
        <f t="shared" si="276"/>
        <v>187.01613004528767</v>
      </c>
      <c r="BD266" s="80">
        <f t="shared" si="277"/>
        <v>144.89207591347699</v>
      </c>
      <c r="BE266" s="80">
        <f t="shared" si="278"/>
        <v>104.36279414823437</v>
      </c>
      <c r="BF266" s="80">
        <f t="shared" si="279"/>
        <v>738.00908669760281</v>
      </c>
      <c r="BG266" s="80">
        <f t="shared" si="280"/>
        <v>351.58884997603133</v>
      </c>
      <c r="BH266" s="49">
        <f t="shared" si="281"/>
        <v>0</v>
      </c>
      <c r="BI266" s="79">
        <f t="shared" si="282"/>
        <v>-83355.419380663501</v>
      </c>
      <c r="BJ266" s="79">
        <f t="shared" si="250"/>
        <v>87200</v>
      </c>
      <c r="BK266" s="44">
        <f t="shared" si="283"/>
        <v>4.6122743402912558E-2</v>
      </c>
      <c r="BL266" s="79">
        <f t="shared" si="300"/>
        <v>4826.4892443255885</v>
      </c>
      <c r="BM266" s="49">
        <f t="shared" si="284"/>
        <v>92026.489244325581</v>
      </c>
      <c r="BN266" s="44">
        <f t="shared" si="285"/>
        <v>0.10402526827995984</v>
      </c>
      <c r="BO266" s="49">
        <f t="shared" si="251"/>
        <v>5208.1553667299522</v>
      </c>
      <c r="BP266" s="49">
        <f t="shared" si="252"/>
        <v>92408.155366729959</v>
      </c>
      <c r="BQ266" s="44">
        <f t="shared" si="253"/>
        <v>0.10860404822300596</v>
      </c>
      <c r="BS266" s="49">
        <f t="shared" si="254"/>
        <v>83355.419380663501</v>
      </c>
      <c r="BT266" s="49">
        <f t="shared" si="230"/>
        <v>62.459999000000003</v>
      </c>
      <c r="BU266" s="49">
        <f t="shared" si="231"/>
        <v>39.439999</v>
      </c>
      <c r="BV266" s="49">
        <f t="shared" si="255"/>
        <v>3997.5556579865352</v>
      </c>
      <c r="BW266" s="18">
        <f t="shared" si="256"/>
        <v>1568</v>
      </c>
      <c r="BX266" s="19">
        <f t="shared" si="286"/>
        <v>0.6403669724770642</v>
      </c>
      <c r="BY266" s="49">
        <f t="shared" si="287"/>
        <v>2559.902614013396</v>
      </c>
      <c r="BZ266" s="19">
        <f t="shared" si="257"/>
        <v>18.637370075348205</v>
      </c>
      <c r="CA266" s="19">
        <f t="shared" si="258"/>
        <v>5.8728792566198385</v>
      </c>
      <c r="CB266" s="19">
        <f t="shared" si="259"/>
        <v>5.3207257021670493</v>
      </c>
      <c r="CC266" s="19">
        <f t="shared" si="260"/>
        <v>3.6969849263789549</v>
      </c>
      <c r="CD266" s="19">
        <f t="shared" si="261"/>
        <v>37.245271266620293</v>
      </c>
      <c r="CE266" s="19">
        <f t="shared" si="262"/>
        <v>22.209947073689577</v>
      </c>
      <c r="CF266" s="49">
        <f t="shared" si="263"/>
        <v>-1164.0901162688788</v>
      </c>
      <c r="CG266" s="49">
        <f t="shared" si="264"/>
        <v>-295.81692228306201</v>
      </c>
      <c r="CH266" s="49">
        <f t="shared" si="265"/>
        <v>-270.71852904698517</v>
      </c>
      <c r="CI266" s="49">
        <f t="shared" si="266"/>
        <v>-228.91729924741503</v>
      </c>
      <c r="CJ266" s="49">
        <f t="shared" si="267"/>
        <v>-1162.0525007638244</v>
      </c>
      <c r="CK266" s="49">
        <f t="shared" si="268"/>
        <v>-875.96029037636981</v>
      </c>
    </row>
    <row r="267" spans="2:89" ht="12.75" customHeight="1" x14ac:dyDescent="0.2">
      <c r="B267" s="77">
        <v>40868</v>
      </c>
      <c r="C267" s="49">
        <v>59.459999000000003</v>
      </c>
      <c r="D267" s="49">
        <v>47.880001</v>
      </c>
      <c r="E267" s="49">
        <v>48.360000999999997</v>
      </c>
      <c r="F267" s="49">
        <v>57.919998</v>
      </c>
      <c r="G267" s="49">
        <v>29.379999000000002</v>
      </c>
      <c r="H267" s="49">
        <v>37.009998000000003</v>
      </c>
      <c r="J267" s="78">
        <f>IF(inter=Weekly_2,J266+$C$5,IF(inter=Bi_weekly_2,0,IF(inter=Monthly_2,0,IF(inter=Quarterly_2,0,IF(inter=Yearly_2,0,IF(inter=None_2,0,0))))))</f>
        <v>0</v>
      </c>
      <c r="K267" s="79">
        <f t="shared" si="269"/>
        <v>0</v>
      </c>
      <c r="L267" s="79">
        <f t="shared" si="270"/>
        <v>0</v>
      </c>
      <c r="M267" s="79">
        <f t="shared" si="271"/>
        <v>0</v>
      </c>
      <c r="N267" s="79">
        <f t="shared" si="272"/>
        <v>0</v>
      </c>
      <c r="O267" s="79">
        <f t="shared" si="273"/>
        <v>0</v>
      </c>
      <c r="P267" s="79">
        <f t="shared" si="274"/>
        <v>0</v>
      </c>
      <c r="Q267" s="79"/>
      <c r="R267" s="80">
        <f t="shared" si="232"/>
        <v>0</v>
      </c>
      <c r="S267" s="80">
        <f t="shared" si="233"/>
        <v>0</v>
      </c>
      <c r="T267" s="80">
        <f t="shared" si="234"/>
        <v>0</v>
      </c>
      <c r="U267" s="80">
        <f t="shared" si="235"/>
        <v>0</v>
      </c>
      <c r="V267" s="80">
        <f t="shared" si="236"/>
        <v>0</v>
      </c>
      <c r="W267" s="80">
        <f t="shared" si="237"/>
        <v>0</v>
      </c>
      <c r="X267" s="80">
        <f t="shared" si="288"/>
        <v>488.63273276709458</v>
      </c>
      <c r="Y267" s="80">
        <f t="shared" si="289"/>
        <v>173.11892342900384</v>
      </c>
      <c r="Z267" s="80">
        <f t="shared" si="290"/>
        <v>137.10691554428232</v>
      </c>
      <c r="AA267" s="80">
        <f t="shared" si="291"/>
        <v>98.578814553579306</v>
      </c>
      <c r="AB267" s="80">
        <f t="shared" si="292"/>
        <v>698.71792632314339</v>
      </c>
      <c r="AC267" s="80">
        <f t="shared" si="293"/>
        <v>331.64301043719604</v>
      </c>
      <c r="AD267" s="80"/>
      <c r="AE267" s="80"/>
      <c r="AF267" s="80"/>
      <c r="AG267" s="80"/>
      <c r="AH267" s="80"/>
      <c r="AI267" s="80"/>
      <c r="AJ267" s="45">
        <f t="shared" si="238"/>
        <v>0</v>
      </c>
      <c r="AK267" s="45">
        <f t="shared" si="239"/>
        <v>0</v>
      </c>
      <c r="AL267" s="45">
        <f t="shared" si="240"/>
        <v>0</v>
      </c>
      <c r="AM267" s="45">
        <f t="shared" si="241"/>
        <v>0</v>
      </c>
      <c r="AN267" s="45">
        <f t="shared" si="242"/>
        <v>0</v>
      </c>
      <c r="AO267" s="45">
        <f t="shared" si="243"/>
        <v>0</v>
      </c>
      <c r="AP267" s="80">
        <f t="shared" si="244"/>
        <v>0</v>
      </c>
      <c r="AQ267" s="80">
        <f t="shared" si="245"/>
        <v>0</v>
      </c>
      <c r="AR267" s="80">
        <f t="shared" si="246"/>
        <v>0</v>
      </c>
      <c r="AS267" s="80">
        <f t="shared" si="247"/>
        <v>0</v>
      </c>
      <c r="AT267" s="80">
        <f t="shared" si="248"/>
        <v>0</v>
      </c>
      <c r="AU267" s="80">
        <f t="shared" si="249"/>
        <v>0</v>
      </c>
      <c r="AV267" s="80">
        <f t="shared" si="294"/>
        <v>27.879474935981889</v>
      </c>
      <c r="AW267" s="80">
        <f t="shared" si="295"/>
        <v>13.897206616283835</v>
      </c>
      <c r="AX267" s="80">
        <f t="shared" si="296"/>
        <v>7.7851603691946796</v>
      </c>
      <c r="AY267" s="80">
        <f t="shared" si="297"/>
        <v>5.7839795946550669</v>
      </c>
      <c r="AZ267" s="80">
        <f t="shared" si="298"/>
        <v>39.291160374459444</v>
      </c>
      <c r="BA267" s="80">
        <f t="shared" si="299"/>
        <v>19.945839538835287</v>
      </c>
      <c r="BB267" s="80">
        <f t="shared" si="275"/>
        <v>516.51220770307646</v>
      </c>
      <c r="BC267" s="80">
        <f t="shared" si="276"/>
        <v>187.01613004528767</v>
      </c>
      <c r="BD267" s="80">
        <f t="shared" si="277"/>
        <v>144.89207591347699</v>
      </c>
      <c r="BE267" s="80">
        <f t="shared" si="278"/>
        <v>104.36279414823437</v>
      </c>
      <c r="BF267" s="80">
        <f t="shared" si="279"/>
        <v>738.00908669760281</v>
      </c>
      <c r="BG267" s="80">
        <f t="shared" si="280"/>
        <v>351.58884997603133</v>
      </c>
      <c r="BH267" s="49">
        <f t="shared" si="281"/>
        <v>0</v>
      </c>
      <c r="BI267" s="79">
        <f t="shared" si="282"/>
        <v>-83355.419380663501</v>
      </c>
      <c r="BJ267" s="79">
        <f t="shared" si="250"/>
        <v>82485.650472863068</v>
      </c>
      <c r="BK267" s="44">
        <f t="shared" si="283"/>
        <v>-1.0434461421499397E-2</v>
      </c>
      <c r="BL267" s="79">
        <f t="shared" si="300"/>
        <v>4826.4892443255885</v>
      </c>
      <c r="BM267" s="49">
        <f t="shared" si="284"/>
        <v>87312.139717188664</v>
      </c>
      <c r="BN267" s="44">
        <f t="shared" si="285"/>
        <v>4.7468063455548215E-2</v>
      </c>
      <c r="BO267" s="49">
        <f t="shared" si="251"/>
        <v>4927.1800022438347</v>
      </c>
      <c r="BP267" s="49">
        <f t="shared" si="252"/>
        <v>87412.830475106908</v>
      </c>
      <c r="BQ267" s="44">
        <f t="shared" si="253"/>
        <v>4.8676032399455949E-2</v>
      </c>
      <c r="BS267" s="49">
        <f t="shared" si="254"/>
        <v>83355.419380663501</v>
      </c>
      <c r="BT267" s="49">
        <f t="shared" si="230"/>
        <v>59.459999000000003</v>
      </c>
      <c r="BU267" s="49">
        <f t="shared" si="231"/>
        <v>37.009998000000003</v>
      </c>
      <c r="BV267" s="49">
        <f t="shared" si="255"/>
        <v>0</v>
      </c>
      <c r="BW267" s="18">
        <f t="shared" si="256"/>
        <v>1575</v>
      </c>
      <c r="BX267" s="19">
        <f t="shared" si="286"/>
        <v>0.63876146788990829</v>
      </c>
      <c r="BY267" s="49">
        <f t="shared" si="287"/>
        <v>0</v>
      </c>
      <c r="BZ267" s="19">
        <f t="shared" si="257"/>
        <v>0</v>
      </c>
      <c r="CA267" s="19">
        <f t="shared" si="258"/>
        <v>0</v>
      </c>
      <c r="CB267" s="19">
        <f t="shared" si="259"/>
        <v>0</v>
      </c>
      <c r="CC267" s="19">
        <f t="shared" si="260"/>
        <v>0</v>
      </c>
      <c r="CD267" s="19">
        <f t="shared" si="261"/>
        <v>0</v>
      </c>
      <c r="CE267" s="19">
        <f t="shared" si="262"/>
        <v>0</v>
      </c>
      <c r="CF267" s="49">
        <f t="shared" si="263"/>
        <v>0</v>
      </c>
      <c r="CG267" s="49">
        <f t="shared" si="264"/>
        <v>0</v>
      </c>
      <c r="CH267" s="49">
        <f t="shared" si="265"/>
        <v>0</v>
      </c>
      <c r="CI267" s="49">
        <f t="shared" si="266"/>
        <v>0</v>
      </c>
      <c r="CJ267" s="49">
        <f t="shared" si="267"/>
        <v>0</v>
      </c>
      <c r="CK267" s="49">
        <f t="shared" si="268"/>
        <v>0</v>
      </c>
    </row>
    <row r="268" spans="2:89" ht="12.75" customHeight="1" x14ac:dyDescent="0.2">
      <c r="B268" s="77">
        <v>40875</v>
      </c>
      <c r="C268" s="49">
        <v>64.010002</v>
      </c>
      <c r="D268" s="49">
        <v>51.560001</v>
      </c>
      <c r="E268" s="49">
        <v>52.07</v>
      </c>
      <c r="F268" s="49">
        <v>63.220001000000003</v>
      </c>
      <c r="G268" s="49">
        <v>32.159999999999997</v>
      </c>
      <c r="H268" s="49">
        <v>40.639999000000003</v>
      </c>
      <c r="J268" s="78">
        <f>IF(inter=Weekly_2,J267+$C$5,IF(inter=Bi_weekly_2,J266+$C$5,IF(inter=Monthly_2,0,IF(inter=Quarterly_2,0,IF(inter=Yearly_2,0,IF(inter=None_2,0,0))))))</f>
        <v>87800</v>
      </c>
      <c r="K268" s="79">
        <f t="shared" si="269"/>
        <v>547.38220168719272</v>
      </c>
      <c r="L268" s="79">
        <f t="shared" si="270"/>
        <v>146.01186511836204</v>
      </c>
      <c r="M268" s="79">
        <f t="shared" si="271"/>
        <v>115.15709239078024</v>
      </c>
      <c r="N268" s="79">
        <f t="shared" si="272"/>
        <v>86.152754656097386</v>
      </c>
      <c r="O268" s="79">
        <f t="shared" si="273"/>
        <v>520.76851055229054</v>
      </c>
      <c r="P268" s="79">
        <f t="shared" si="274"/>
        <v>307.97161252463775</v>
      </c>
      <c r="Q268" s="79"/>
      <c r="R268" s="80">
        <f t="shared" si="232"/>
        <v>-8.5515104606182124</v>
      </c>
      <c r="S268" s="80">
        <f t="shared" si="233"/>
        <v>-2.8318825113746997</v>
      </c>
      <c r="T268" s="80">
        <f t="shared" si="234"/>
        <v>-2.2115823389817599</v>
      </c>
      <c r="U268" s="80">
        <f t="shared" si="235"/>
        <v>-1.362745227670866</v>
      </c>
      <c r="V268" s="80">
        <f t="shared" si="236"/>
        <v>-16.193050701252815</v>
      </c>
      <c r="W268" s="80">
        <f t="shared" si="237"/>
        <v>-7.5780418332352255</v>
      </c>
      <c r="X268" s="80">
        <f t="shared" si="288"/>
        <v>480.08122230647638</v>
      </c>
      <c r="Y268" s="80">
        <f t="shared" si="289"/>
        <v>170.28704091762916</v>
      </c>
      <c r="Z268" s="80">
        <f t="shared" si="290"/>
        <v>134.89533320530055</v>
      </c>
      <c r="AA268" s="80">
        <f t="shared" si="291"/>
        <v>97.216069325908435</v>
      </c>
      <c r="AB268" s="80">
        <f t="shared" si="292"/>
        <v>682.5248756218906</v>
      </c>
      <c r="AC268" s="80">
        <f t="shared" si="293"/>
        <v>324.06496860396084</v>
      </c>
      <c r="AD268" s="80"/>
      <c r="AE268" s="80"/>
      <c r="AF268" s="80"/>
      <c r="AG268" s="80"/>
      <c r="AH268" s="80"/>
      <c r="AI268" s="80"/>
      <c r="AJ268" s="45">
        <f t="shared" si="238"/>
        <v>0</v>
      </c>
      <c r="AK268" s="45">
        <f t="shared" si="239"/>
        <v>0</v>
      </c>
      <c r="AL268" s="45">
        <f t="shared" si="240"/>
        <v>0</v>
      </c>
      <c r="AM268" s="45">
        <f t="shared" si="241"/>
        <v>0</v>
      </c>
      <c r="AN268" s="45">
        <f t="shared" si="242"/>
        <v>0</v>
      </c>
      <c r="AO268" s="45">
        <f t="shared" si="243"/>
        <v>0</v>
      </c>
      <c r="AP268" s="80">
        <f t="shared" si="244"/>
        <v>0</v>
      </c>
      <c r="AQ268" s="80">
        <f t="shared" si="245"/>
        <v>0</v>
      </c>
      <c r="AR268" s="80">
        <f t="shared" si="246"/>
        <v>0</v>
      </c>
      <c r="AS268" s="80">
        <f t="shared" si="247"/>
        <v>0</v>
      </c>
      <c r="AT268" s="80">
        <f t="shared" si="248"/>
        <v>0</v>
      </c>
      <c r="AU268" s="80">
        <f t="shared" si="249"/>
        <v>0</v>
      </c>
      <c r="AV268" s="80">
        <f t="shared" si="294"/>
        <v>27.879474935981889</v>
      </c>
      <c r="AW268" s="80">
        <f t="shared" si="295"/>
        <v>13.897206616283835</v>
      </c>
      <c r="AX268" s="80">
        <f t="shared" si="296"/>
        <v>7.7851603691946796</v>
      </c>
      <c r="AY268" s="80">
        <f t="shared" si="297"/>
        <v>5.7839795946550669</v>
      </c>
      <c r="AZ268" s="80">
        <f t="shared" si="298"/>
        <v>39.291160374459444</v>
      </c>
      <c r="BA268" s="80">
        <f t="shared" si="299"/>
        <v>19.945839538835287</v>
      </c>
      <c r="BB268" s="80">
        <f t="shared" si="275"/>
        <v>507.96069724245825</v>
      </c>
      <c r="BC268" s="80">
        <f t="shared" si="276"/>
        <v>184.18424753391298</v>
      </c>
      <c r="BD268" s="80">
        <f t="shared" si="277"/>
        <v>142.68049357449522</v>
      </c>
      <c r="BE268" s="80">
        <f t="shared" si="278"/>
        <v>103.0000489205635</v>
      </c>
      <c r="BF268" s="80">
        <f t="shared" si="279"/>
        <v>721.81603599635002</v>
      </c>
      <c r="BG268" s="80">
        <f t="shared" si="280"/>
        <v>344.01080814279612</v>
      </c>
      <c r="BH268" s="49">
        <f t="shared" si="281"/>
        <v>0</v>
      </c>
      <c r="BI268" s="79">
        <f t="shared" si="282"/>
        <v>-81631.975343734157</v>
      </c>
      <c r="BJ268" s="79">
        <f t="shared" si="250"/>
        <v>87800</v>
      </c>
      <c r="BK268" s="44">
        <f t="shared" si="283"/>
        <v>7.5558929332454117E-2</v>
      </c>
      <c r="BL268" s="79">
        <f t="shared" si="300"/>
        <v>4826.4892443255885</v>
      </c>
      <c r="BM268" s="49">
        <f t="shared" si="284"/>
        <v>92626.489244325581</v>
      </c>
      <c r="BN268" s="44">
        <f t="shared" si="285"/>
        <v>0.13468391343338149</v>
      </c>
      <c r="BO268" s="49">
        <f t="shared" si="251"/>
        <v>5346.3443461810339</v>
      </c>
      <c r="BP268" s="49">
        <f t="shared" si="252"/>
        <v>93146.344346181024</v>
      </c>
      <c r="BQ268" s="44">
        <f t="shared" si="253"/>
        <v>0.1410521913008036</v>
      </c>
      <c r="BS268" s="49">
        <f t="shared" si="254"/>
        <v>81631.975343734157</v>
      </c>
      <c r="BT268" s="49">
        <f t="shared" si="230"/>
        <v>64.010002</v>
      </c>
      <c r="BU268" s="49">
        <f t="shared" si="231"/>
        <v>40.639999000000003</v>
      </c>
      <c r="BV268" s="49">
        <f t="shared" si="255"/>
        <v>-1723.4440369293607</v>
      </c>
      <c r="BW268" s="18">
        <f t="shared" si="256"/>
        <v>1582</v>
      </c>
      <c r="BX268" s="19">
        <f t="shared" si="286"/>
        <v>0.63715596330275226</v>
      </c>
      <c r="BY268" s="49">
        <f t="shared" si="287"/>
        <v>-1098.102645548111</v>
      </c>
      <c r="BZ268" s="19">
        <f t="shared" si="257"/>
        <v>0</v>
      </c>
      <c r="CA268" s="19">
        <f t="shared" si="258"/>
        <v>0</v>
      </c>
      <c r="CB268" s="19">
        <f t="shared" si="259"/>
        <v>0</v>
      </c>
      <c r="CC268" s="19">
        <f t="shared" si="260"/>
        <v>0</v>
      </c>
      <c r="CD268" s="19">
        <f t="shared" si="261"/>
        <v>0</v>
      </c>
      <c r="CE268" s="19">
        <f t="shared" si="262"/>
        <v>0</v>
      </c>
      <c r="CF268" s="49">
        <f t="shared" si="263"/>
        <v>0</v>
      </c>
      <c r="CG268" s="49">
        <f t="shared" si="264"/>
        <v>0</v>
      </c>
      <c r="CH268" s="49">
        <f t="shared" si="265"/>
        <v>0</v>
      </c>
      <c r="CI268" s="49">
        <f t="shared" si="266"/>
        <v>0</v>
      </c>
      <c r="CJ268" s="49">
        <f t="shared" si="267"/>
        <v>0</v>
      </c>
      <c r="CK268" s="49">
        <f t="shared" si="268"/>
        <v>0</v>
      </c>
    </row>
    <row r="269" spans="2:89" ht="12.75" customHeight="1" x14ac:dyDescent="0.2">
      <c r="B269" s="77">
        <v>40882</v>
      </c>
      <c r="C269" s="49">
        <v>64.569999999999993</v>
      </c>
      <c r="D269" s="49">
        <v>52.119999</v>
      </c>
      <c r="E269" s="49">
        <v>52.380001</v>
      </c>
      <c r="F269" s="49">
        <v>63.84</v>
      </c>
      <c r="G269" s="49">
        <v>32.25</v>
      </c>
      <c r="H269" s="49">
        <v>40.200001</v>
      </c>
      <c r="J269" s="78">
        <f>IF(inter=Weekly_2,J268+$C$5,IF(inter=Bi_weekly_2,0,IF(inter=Monthly_2,0,IF(inter=Quarterly_2,0,IF(inter=Yearly_2,0,IF(inter=None_2,0,0))))))</f>
        <v>0</v>
      </c>
      <c r="K269" s="79">
        <f t="shared" si="269"/>
        <v>0</v>
      </c>
      <c r="L269" s="79">
        <f t="shared" si="270"/>
        <v>0</v>
      </c>
      <c r="M269" s="79">
        <f t="shared" si="271"/>
        <v>0</v>
      </c>
      <c r="N269" s="79">
        <f t="shared" si="272"/>
        <v>0</v>
      </c>
      <c r="O269" s="79">
        <f t="shared" si="273"/>
        <v>0</v>
      </c>
      <c r="P269" s="79">
        <f t="shared" si="274"/>
        <v>0</v>
      </c>
      <c r="Q269" s="79"/>
      <c r="R269" s="80">
        <f t="shared" si="232"/>
        <v>0</v>
      </c>
      <c r="S269" s="80">
        <f t="shared" si="233"/>
        <v>0</v>
      </c>
      <c r="T269" s="80">
        <f t="shared" si="234"/>
        <v>0</v>
      </c>
      <c r="U269" s="80">
        <f t="shared" si="235"/>
        <v>0</v>
      </c>
      <c r="V269" s="80">
        <f t="shared" si="236"/>
        <v>0</v>
      </c>
      <c r="W269" s="80">
        <f t="shared" si="237"/>
        <v>0</v>
      </c>
      <c r="X269" s="80">
        <f t="shared" si="288"/>
        <v>480.08122230647638</v>
      </c>
      <c r="Y269" s="80">
        <f t="shared" si="289"/>
        <v>170.28704091762916</v>
      </c>
      <c r="Z269" s="80">
        <f t="shared" si="290"/>
        <v>134.89533320530055</v>
      </c>
      <c r="AA269" s="80">
        <f t="shared" si="291"/>
        <v>97.216069325908435</v>
      </c>
      <c r="AB269" s="80">
        <f t="shared" si="292"/>
        <v>682.5248756218906</v>
      </c>
      <c r="AC269" s="80">
        <f t="shared" si="293"/>
        <v>324.06496860396084</v>
      </c>
      <c r="AD269" s="80"/>
      <c r="AE269" s="80"/>
      <c r="AF269" s="80"/>
      <c r="AG269" s="80"/>
      <c r="AH269" s="80"/>
      <c r="AI269" s="80"/>
      <c r="AJ269" s="45">
        <f t="shared" si="238"/>
        <v>0</v>
      </c>
      <c r="AK269" s="45">
        <f t="shared" si="239"/>
        <v>0</v>
      </c>
      <c r="AL269" s="45">
        <f t="shared" si="240"/>
        <v>0</v>
      </c>
      <c r="AM269" s="45">
        <f t="shared" si="241"/>
        <v>0</v>
      </c>
      <c r="AN269" s="45">
        <f t="shared" si="242"/>
        <v>0</v>
      </c>
      <c r="AO269" s="45">
        <f t="shared" si="243"/>
        <v>0</v>
      </c>
      <c r="AP269" s="80">
        <f t="shared" si="244"/>
        <v>0</v>
      </c>
      <c r="AQ269" s="80">
        <f t="shared" si="245"/>
        <v>0</v>
      </c>
      <c r="AR269" s="80">
        <f t="shared" si="246"/>
        <v>0</v>
      </c>
      <c r="AS269" s="80">
        <f t="shared" si="247"/>
        <v>0</v>
      </c>
      <c r="AT269" s="80">
        <f t="shared" si="248"/>
        <v>0</v>
      </c>
      <c r="AU269" s="80">
        <f t="shared" si="249"/>
        <v>0</v>
      </c>
      <c r="AV269" s="80">
        <f t="shared" si="294"/>
        <v>27.879474935981889</v>
      </c>
      <c r="AW269" s="80">
        <f t="shared" si="295"/>
        <v>13.897206616283835</v>
      </c>
      <c r="AX269" s="80">
        <f t="shared" si="296"/>
        <v>7.7851603691946796</v>
      </c>
      <c r="AY269" s="80">
        <f t="shared" si="297"/>
        <v>5.7839795946550669</v>
      </c>
      <c r="AZ269" s="80">
        <f t="shared" si="298"/>
        <v>39.291160374459444</v>
      </c>
      <c r="BA269" s="80">
        <f t="shared" si="299"/>
        <v>19.945839538835287</v>
      </c>
      <c r="BB269" s="80">
        <f t="shared" si="275"/>
        <v>507.96069724245825</v>
      </c>
      <c r="BC269" s="80">
        <f t="shared" si="276"/>
        <v>184.18424753391298</v>
      </c>
      <c r="BD269" s="80">
        <f t="shared" si="277"/>
        <v>142.68049357449522</v>
      </c>
      <c r="BE269" s="80">
        <f t="shared" si="278"/>
        <v>103.0000489205635</v>
      </c>
      <c r="BF269" s="80">
        <f t="shared" si="279"/>
        <v>721.81603599635002</v>
      </c>
      <c r="BG269" s="80">
        <f t="shared" si="280"/>
        <v>344.01080814279612</v>
      </c>
      <c r="BH269" s="49">
        <f t="shared" si="281"/>
        <v>0</v>
      </c>
      <c r="BI269" s="79">
        <f t="shared" si="282"/>
        <v>-81631.975343734157</v>
      </c>
      <c r="BJ269" s="79">
        <f t="shared" si="250"/>
        <v>88185.135781374105</v>
      </c>
      <c r="BK269" s="44">
        <f t="shared" si="283"/>
        <v>8.0276881822913593E-2</v>
      </c>
      <c r="BL269" s="79">
        <f t="shared" si="300"/>
        <v>4826.4892443255885</v>
      </c>
      <c r="BM269" s="49">
        <f t="shared" si="284"/>
        <v>93011.625025699701</v>
      </c>
      <c r="BN269" s="44">
        <f t="shared" si="285"/>
        <v>0.13940186592384118</v>
      </c>
      <c r="BO269" s="49">
        <f t="shared" si="251"/>
        <v>5370.4987482895503</v>
      </c>
      <c r="BP269" s="49">
        <f t="shared" si="252"/>
        <v>93555.634529663657</v>
      </c>
      <c r="BQ269" s="44">
        <f t="shared" si="253"/>
        <v>0.14606603767361515</v>
      </c>
      <c r="BS269" s="49">
        <f t="shared" si="254"/>
        <v>81631.975343734157</v>
      </c>
      <c r="BT269" s="49">
        <f t="shared" si="230"/>
        <v>64.569999999999993</v>
      </c>
      <c r="BU269" s="49">
        <f t="shared" si="231"/>
        <v>40.200001</v>
      </c>
      <c r="BV269" s="49">
        <f t="shared" si="255"/>
        <v>0</v>
      </c>
      <c r="BW269" s="18">
        <f t="shared" si="256"/>
        <v>1589</v>
      </c>
      <c r="BX269" s="19">
        <f t="shared" si="286"/>
        <v>0.63555045871559634</v>
      </c>
      <c r="BY269" s="49">
        <f t="shared" si="287"/>
        <v>0</v>
      </c>
      <c r="BZ269" s="19">
        <f t="shared" si="257"/>
        <v>0</v>
      </c>
      <c r="CA269" s="19">
        <f t="shared" si="258"/>
        <v>0</v>
      </c>
      <c r="CB269" s="19">
        <f t="shared" si="259"/>
        <v>0</v>
      </c>
      <c r="CC269" s="19">
        <f t="shared" si="260"/>
        <v>0</v>
      </c>
      <c r="CD269" s="19">
        <f t="shared" si="261"/>
        <v>0</v>
      </c>
      <c r="CE269" s="19">
        <f t="shared" si="262"/>
        <v>0</v>
      </c>
      <c r="CF269" s="49">
        <f t="shared" si="263"/>
        <v>0</v>
      </c>
      <c r="CG269" s="49">
        <f t="shared" si="264"/>
        <v>0</v>
      </c>
      <c r="CH269" s="49">
        <f t="shared" si="265"/>
        <v>0</v>
      </c>
      <c r="CI269" s="49">
        <f t="shared" si="266"/>
        <v>0</v>
      </c>
      <c r="CJ269" s="49">
        <f t="shared" si="267"/>
        <v>0</v>
      </c>
      <c r="CK269" s="49">
        <f t="shared" si="268"/>
        <v>0</v>
      </c>
    </row>
    <row r="270" spans="2:89" ht="12.75" customHeight="1" x14ac:dyDescent="0.2">
      <c r="B270" s="77">
        <v>40889</v>
      </c>
      <c r="C270" s="49">
        <v>62.619999</v>
      </c>
      <c r="D270" s="49">
        <v>50.93</v>
      </c>
      <c r="E270" s="49">
        <v>50.970001000000003</v>
      </c>
      <c r="F270" s="49">
        <v>62.150002000000001</v>
      </c>
      <c r="G270" s="49">
        <v>30.59</v>
      </c>
      <c r="H270" s="49">
        <v>38.400002000000001</v>
      </c>
      <c r="J270" s="78">
        <f>IF(inter=Weekly_2,J269+$C$5,IF(inter=Bi_weekly_2,J268+$C$5,IF(inter=Monthly_2,J266+$C$5,IF(inter=Quarterly_2,0,IF(inter=Yearly_2,0,IF(inter=None_2,0,0))))))</f>
        <v>88400</v>
      </c>
      <c r="K270" s="79">
        <f t="shared" si="269"/>
        <v>-877.31433924966768</v>
      </c>
      <c r="L270" s="79">
        <f t="shared" si="270"/>
        <v>-167.28100606514636</v>
      </c>
      <c r="M270" s="79">
        <f t="shared" si="271"/>
        <v>-196.3847316304973</v>
      </c>
      <c r="N270" s="79">
        <f t="shared" si="272"/>
        <v>-146.02109696265325</v>
      </c>
      <c r="O270" s="79">
        <f t="shared" si="273"/>
        <v>-1221.5640547263683</v>
      </c>
      <c r="P270" s="79">
        <f t="shared" si="274"/>
        <v>-815.90455747796659</v>
      </c>
      <c r="Q270" s="79"/>
      <c r="R270" s="80">
        <f t="shared" si="232"/>
        <v>14.010130202168602</v>
      </c>
      <c r="S270" s="80">
        <f t="shared" si="233"/>
        <v>3.2845279023197791</v>
      </c>
      <c r="T270" s="80">
        <f t="shared" si="234"/>
        <v>3.8529473764479087</v>
      </c>
      <c r="U270" s="80">
        <f t="shared" si="235"/>
        <v>2.3494946462375537</v>
      </c>
      <c r="V270" s="80">
        <f t="shared" si="236"/>
        <v>39.933444090433746</v>
      </c>
      <c r="W270" s="80">
        <f t="shared" si="237"/>
        <v>21.247513411014054</v>
      </c>
      <c r="X270" s="80">
        <f t="shared" si="288"/>
        <v>494.091352508645</v>
      </c>
      <c r="Y270" s="80">
        <f t="shared" si="289"/>
        <v>173.57156881994894</v>
      </c>
      <c r="Z270" s="80">
        <f t="shared" si="290"/>
        <v>138.74828058174845</v>
      </c>
      <c r="AA270" s="80">
        <f t="shared" si="291"/>
        <v>99.565563972145995</v>
      </c>
      <c r="AB270" s="80">
        <f t="shared" si="292"/>
        <v>722.4583197123244</v>
      </c>
      <c r="AC270" s="80">
        <f t="shared" si="293"/>
        <v>345.31248201497488</v>
      </c>
      <c r="AD270" s="80"/>
      <c r="AE270" s="80"/>
      <c r="AF270" s="80"/>
      <c r="AG270" s="80"/>
      <c r="AH270" s="80"/>
      <c r="AI270" s="80"/>
      <c r="AJ270" s="45">
        <f t="shared" si="238"/>
        <v>0</v>
      </c>
      <c r="AK270" s="45">
        <f t="shared" si="239"/>
        <v>0</v>
      </c>
      <c r="AL270" s="45">
        <f t="shared" si="240"/>
        <v>0</v>
      </c>
      <c r="AM270" s="45">
        <f t="shared" si="241"/>
        <v>0</v>
      </c>
      <c r="AN270" s="45">
        <f t="shared" si="242"/>
        <v>0</v>
      </c>
      <c r="AO270" s="45">
        <f t="shared" si="243"/>
        <v>0</v>
      </c>
      <c r="AP270" s="80">
        <f t="shared" si="244"/>
        <v>0</v>
      </c>
      <c r="AQ270" s="80">
        <f t="shared" si="245"/>
        <v>0</v>
      </c>
      <c r="AR270" s="80">
        <f t="shared" si="246"/>
        <v>0</v>
      </c>
      <c r="AS270" s="80">
        <f t="shared" si="247"/>
        <v>0</v>
      </c>
      <c r="AT270" s="80">
        <f t="shared" si="248"/>
        <v>0</v>
      </c>
      <c r="AU270" s="80">
        <f t="shared" si="249"/>
        <v>0</v>
      </c>
      <c r="AV270" s="80">
        <f t="shared" si="294"/>
        <v>27.879474935981889</v>
      </c>
      <c r="AW270" s="80">
        <f t="shared" si="295"/>
        <v>13.897206616283835</v>
      </c>
      <c r="AX270" s="80">
        <f t="shared" si="296"/>
        <v>7.7851603691946796</v>
      </c>
      <c r="AY270" s="80">
        <f t="shared" si="297"/>
        <v>5.7839795946550669</v>
      </c>
      <c r="AZ270" s="80">
        <f t="shared" si="298"/>
        <v>39.291160374459444</v>
      </c>
      <c r="BA270" s="80">
        <f t="shared" si="299"/>
        <v>19.945839538835287</v>
      </c>
      <c r="BB270" s="80">
        <f t="shared" si="275"/>
        <v>521.97082744462693</v>
      </c>
      <c r="BC270" s="80">
        <f t="shared" si="276"/>
        <v>187.46877543623276</v>
      </c>
      <c r="BD270" s="80">
        <f t="shared" si="277"/>
        <v>146.53344095094312</v>
      </c>
      <c r="BE270" s="80">
        <f t="shared" si="278"/>
        <v>105.34954356680106</v>
      </c>
      <c r="BF270" s="80">
        <f t="shared" si="279"/>
        <v>761.74948008678382</v>
      </c>
      <c r="BG270" s="80">
        <f t="shared" si="280"/>
        <v>365.25832155381016</v>
      </c>
      <c r="BH270" s="49">
        <f t="shared" si="281"/>
        <v>0</v>
      </c>
      <c r="BI270" s="79">
        <f t="shared" si="282"/>
        <v>-85056.445129846456</v>
      </c>
      <c r="BJ270" s="79">
        <f t="shared" si="250"/>
        <v>88400</v>
      </c>
      <c r="BK270" s="44">
        <f t="shared" si="283"/>
        <v>3.9309835545669802E-2</v>
      </c>
      <c r="BL270" s="79">
        <f t="shared" si="300"/>
        <v>4826.4892443255885</v>
      </c>
      <c r="BM270" s="49">
        <f t="shared" si="284"/>
        <v>93226.489244325581</v>
      </c>
      <c r="BN270" s="44">
        <f t="shared" si="285"/>
        <v>9.6054380147287066E-2</v>
      </c>
      <c r="BO270" s="49">
        <f t="shared" si="251"/>
        <v>5177.7182747955003</v>
      </c>
      <c r="BP270" s="49">
        <f t="shared" si="252"/>
        <v>93577.718274795508</v>
      </c>
      <c r="BQ270" s="44">
        <f t="shared" si="253"/>
        <v>0.10018374424113952</v>
      </c>
      <c r="BS270" s="49">
        <f t="shared" si="254"/>
        <v>85056.445129846456</v>
      </c>
      <c r="BT270" s="49">
        <f t="shared" si="230"/>
        <v>62.619999</v>
      </c>
      <c r="BU270" s="49">
        <f t="shared" si="231"/>
        <v>38.400002000000001</v>
      </c>
      <c r="BV270" s="49">
        <f t="shared" si="255"/>
        <v>3424.4697861122995</v>
      </c>
      <c r="BW270" s="18">
        <f t="shared" si="256"/>
        <v>1596</v>
      </c>
      <c r="BX270" s="19">
        <f t="shared" si="286"/>
        <v>0.63394495412844032</v>
      </c>
      <c r="BY270" s="49">
        <f t="shared" si="287"/>
        <v>2170.9253414711916</v>
      </c>
      <c r="BZ270" s="19">
        <f t="shared" si="257"/>
        <v>14.010130202168602</v>
      </c>
      <c r="CA270" s="19">
        <f t="shared" si="258"/>
        <v>3.2845279023197791</v>
      </c>
      <c r="CB270" s="19">
        <f t="shared" si="259"/>
        <v>3.8529473764479087</v>
      </c>
      <c r="CC270" s="19">
        <f t="shared" si="260"/>
        <v>2.3494946462375537</v>
      </c>
      <c r="CD270" s="19">
        <f t="shared" si="261"/>
        <v>39.933444090433746</v>
      </c>
      <c r="CE270" s="19">
        <f t="shared" si="262"/>
        <v>21.247513411014054</v>
      </c>
      <c r="CF270" s="49">
        <f t="shared" si="263"/>
        <v>-877.31433924966768</v>
      </c>
      <c r="CG270" s="49">
        <f t="shared" si="264"/>
        <v>-167.28100606514636</v>
      </c>
      <c r="CH270" s="49">
        <f t="shared" si="265"/>
        <v>-196.3847316304973</v>
      </c>
      <c r="CI270" s="49">
        <f t="shared" si="266"/>
        <v>-146.02109696265325</v>
      </c>
      <c r="CJ270" s="49">
        <f t="shared" si="267"/>
        <v>-1221.5640547263683</v>
      </c>
      <c r="CK270" s="49">
        <f t="shared" si="268"/>
        <v>-815.90455747796659</v>
      </c>
    </row>
    <row r="271" spans="2:89" ht="12.75" customHeight="1" x14ac:dyDescent="0.2">
      <c r="B271" s="77">
        <v>40896</v>
      </c>
      <c r="C271" s="49">
        <v>64.739998</v>
      </c>
      <c r="D271" s="49">
        <v>52.84</v>
      </c>
      <c r="E271" s="49">
        <v>51.990001999999997</v>
      </c>
      <c r="F271" s="49">
        <v>63.330002</v>
      </c>
      <c r="G271" s="49">
        <v>30.66</v>
      </c>
      <c r="H271" s="49">
        <v>38.729999999999997</v>
      </c>
      <c r="J271" s="78">
        <f>IF(inter=Weekly_2,J270+$C$5,IF(inter=Bi_weekly_2,0,IF(inter=Monthly_2,0,IF(inter=Quarterly_2,0,IF(inter=Yearly_2,0,IF(inter=None_2,0,0))))))</f>
        <v>0</v>
      </c>
      <c r="K271" s="79">
        <f t="shared" si="269"/>
        <v>0</v>
      </c>
      <c r="L271" s="79">
        <f t="shared" si="270"/>
        <v>0</v>
      </c>
      <c r="M271" s="79">
        <f t="shared" si="271"/>
        <v>0</v>
      </c>
      <c r="N271" s="79">
        <f t="shared" si="272"/>
        <v>0</v>
      </c>
      <c r="O271" s="79">
        <f t="shared" si="273"/>
        <v>0</v>
      </c>
      <c r="P271" s="79">
        <f t="shared" si="274"/>
        <v>0</v>
      </c>
      <c r="Q271" s="79"/>
      <c r="R271" s="80">
        <f t="shared" si="232"/>
        <v>0</v>
      </c>
      <c r="S271" s="80">
        <f t="shared" si="233"/>
        <v>0</v>
      </c>
      <c r="T271" s="80">
        <f t="shared" si="234"/>
        <v>0</v>
      </c>
      <c r="U271" s="80">
        <f t="shared" si="235"/>
        <v>0</v>
      </c>
      <c r="V271" s="80">
        <f t="shared" si="236"/>
        <v>0</v>
      </c>
      <c r="W271" s="80">
        <f t="shared" si="237"/>
        <v>0</v>
      </c>
      <c r="X271" s="80">
        <f t="shared" si="288"/>
        <v>494.091352508645</v>
      </c>
      <c r="Y271" s="80">
        <f t="shared" si="289"/>
        <v>173.57156881994894</v>
      </c>
      <c r="Z271" s="80">
        <f t="shared" si="290"/>
        <v>138.74828058174845</v>
      </c>
      <c r="AA271" s="80">
        <f t="shared" si="291"/>
        <v>99.565563972145995</v>
      </c>
      <c r="AB271" s="80">
        <f t="shared" si="292"/>
        <v>722.4583197123244</v>
      </c>
      <c r="AC271" s="80">
        <f t="shared" si="293"/>
        <v>345.31248201497488</v>
      </c>
      <c r="AD271" s="80">
        <v>0.36099999999999999</v>
      </c>
      <c r="AE271" s="80">
        <v>0.40799999999999997</v>
      </c>
      <c r="AF271" s="80">
        <v>1.129</v>
      </c>
      <c r="AG271" s="80">
        <v>1.3720000000000001</v>
      </c>
      <c r="AH271" s="80">
        <v>1.046</v>
      </c>
      <c r="AI271" s="80">
        <v>0.90600000000000003</v>
      </c>
      <c r="AJ271" s="45">
        <f t="shared" si="238"/>
        <v>178.36697825562084</v>
      </c>
      <c r="AK271" s="45">
        <f t="shared" si="239"/>
        <v>70.817200078539159</v>
      </c>
      <c r="AL271" s="45">
        <f t="shared" si="240"/>
        <v>156.64680877679399</v>
      </c>
      <c r="AM271" s="45">
        <f t="shared" si="241"/>
        <v>136.60395376978431</v>
      </c>
      <c r="AN271" s="45">
        <f t="shared" si="242"/>
        <v>755.69140241909133</v>
      </c>
      <c r="AO271" s="45">
        <f t="shared" si="243"/>
        <v>312.85310870556725</v>
      </c>
      <c r="AP271" s="80">
        <f t="shared" si="244"/>
        <v>2.7551279543694278</v>
      </c>
      <c r="AQ271" s="80">
        <f t="shared" si="245"/>
        <v>1.3402195321449499</v>
      </c>
      <c r="AR271" s="80">
        <f t="shared" si="246"/>
        <v>3.0130179409647648</v>
      </c>
      <c r="AS271" s="80">
        <f t="shared" si="247"/>
        <v>2.1570179923535187</v>
      </c>
      <c r="AT271" s="80">
        <f t="shared" si="248"/>
        <v>24.647469093903826</v>
      </c>
      <c r="AU271" s="80">
        <f t="shared" si="249"/>
        <v>8.0777977977166859</v>
      </c>
      <c r="AV271" s="80">
        <f t="shared" si="294"/>
        <v>30.634602890351317</v>
      </c>
      <c r="AW271" s="80">
        <f t="shared" si="295"/>
        <v>15.237426148428785</v>
      </c>
      <c r="AX271" s="80">
        <f t="shared" si="296"/>
        <v>10.798178310159445</v>
      </c>
      <c r="AY271" s="80">
        <f t="shared" si="297"/>
        <v>7.9409975870085852</v>
      </c>
      <c r="AZ271" s="80">
        <f t="shared" si="298"/>
        <v>63.938629468363274</v>
      </c>
      <c r="BA271" s="80">
        <f t="shared" si="299"/>
        <v>28.023637336551971</v>
      </c>
      <c r="BB271" s="80">
        <f t="shared" si="275"/>
        <v>524.72595539899635</v>
      </c>
      <c r="BC271" s="80">
        <f t="shared" si="276"/>
        <v>188.80899496837773</v>
      </c>
      <c r="BD271" s="80">
        <f t="shared" si="277"/>
        <v>149.54645889190789</v>
      </c>
      <c r="BE271" s="80">
        <f t="shared" si="278"/>
        <v>107.50656155915458</v>
      </c>
      <c r="BF271" s="80">
        <f t="shared" si="279"/>
        <v>786.39694918068767</v>
      </c>
      <c r="BG271" s="80">
        <f t="shared" si="280"/>
        <v>373.33611935152686</v>
      </c>
      <c r="BH271" s="49">
        <f t="shared" si="281"/>
        <v>1610.979452005397</v>
      </c>
      <c r="BI271" s="79">
        <f t="shared" si="282"/>
        <v>-85056.445129846456</v>
      </c>
      <c r="BJ271" s="79">
        <f t="shared" si="250"/>
        <v>90202.530130921718</v>
      </c>
      <c r="BK271" s="44">
        <f t="shared" si="283"/>
        <v>6.0501999504203319E-2</v>
      </c>
      <c r="BL271" s="79">
        <f t="shared" si="300"/>
        <v>6437.468696330985</v>
      </c>
      <c r="BM271" s="49">
        <f t="shared" si="284"/>
        <v>96639.998827252697</v>
      </c>
      <c r="BN271" s="44">
        <f t="shared" si="285"/>
        <v>0.13618666615707831</v>
      </c>
      <c r="BO271" s="49">
        <f t="shared" si="251"/>
        <v>6898.4442860885865</v>
      </c>
      <c r="BP271" s="49">
        <f t="shared" si="252"/>
        <v>97100.974417010293</v>
      </c>
      <c r="BQ271" s="44">
        <f t="shared" si="253"/>
        <v>0.14160630941931274</v>
      </c>
      <c r="BS271" s="49">
        <f t="shared" si="254"/>
        <v>85056.445129846456</v>
      </c>
      <c r="BT271" s="49">
        <f t="shared" si="230"/>
        <v>64.739998</v>
      </c>
      <c r="BU271" s="49">
        <f t="shared" si="231"/>
        <v>38.729999999999997</v>
      </c>
      <c r="BV271" s="49">
        <f t="shared" si="255"/>
        <v>-1610.979452005397</v>
      </c>
      <c r="BW271" s="18">
        <f t="shared" si="256"/>
        <v>1603</v>
      </c>
      <c r="BX271" s="19">
        <f t="shared" si="286"/>
        <v>0.6323394495412844</v>
      </c>
      <c r="BY271" s="49">
        <f t="shared" si="287"/>
        <v>-1018.6858599034127</v>
      </c>
      <c r="BZ271" s="19">
        <f t="shared" si="257"/>
        <v>0</v>
      </c>
      <c r="CA271" s="19">
        <f t="shared" si="258"/>
        <v>0</v>
      </c>
      <c r="CB271" s="19">
        <f t="shared" si="259"/>
        <v>0</v>
      </c>
      <c r="CC271" s="19">
        <f t="shared" si="260"/>
        <v>0</v>
      </c>
      <c r="CD271" s="19">
        <f t="shared" si="261"/>
        <v>0</v>
      </c>
      <c r="CE271" s="19">
        <f t="shared" si="262"/>
        <v>0</v>
      </c>
      <c r="CF271" s="49">
        <f t="shared" si="263"/>
        <v>0</v>
      </c>
      <c r="CG271" s="49">
        <f t="shared" si="264"/>
        <v>0</v>
      </c>
      <c r="CH271" s="49">
        <f t="shared" si="265"/>
        <v>0</v>
      </c>
      <c r="CI271" s="49">
        <f t="shared" si="266"/>
        <v>0</v>
      </c>
      <c r="CJ271" s="49">
        <f t="shared" si="267"/>
        <v>0</v>
      </c>
      <c r="CK271" s="49">
        <f t="shared" si="268"/>
        <v>0</v>
      </c>
    </row>
    <row r="272" spans="2:89" ht="12.75" customHeight="1" x14ac:dyDescent="0.2">
      <c r="B272" s="77">
        <v>40904</v>
      </c>
      <c r="C272" s="49">
        <v>64.300003000000004</v>
      </c>
      <c r="D272" s="49">
        <v>52.490001999999997</v>
      </c>
      <c r="E272" s="49">
        <v>51.669998</v>
      </c>
      <c r="F272" s="49">
        <v>62.669998</v>
      </c>
      <c r="G272" s="49">
        <v>30.629999000000002</v>
      </c>
      <c r="H272" s="49">
        <v>38.209999000000003</v>
      </c>
      <c r="J272" s="78">
        <f>IF(inter=Weekly_2,J271+$C$5,IF(inter=Bi_weekly_2,J270+$C$5,IF(inter=Monthly_2,0,IF(inter=Quarterly_2,0,IF(inter=Yearly_2,0,IF(inter=None_2,0,0))))))</f>
        <v>89000</v>
      </c>
      <c r="K272" s="79">
        <f t="shared" si="269"/>
        <v>620.07544857993707</v>
      </c>
      <c r="L272" s="79">
        <f t="shared" si="270"/>
        <v>210.77199450225635</v>
      </c>
      <c r="M272" s="79">
        <f t="shared" si="271"/>
        <v>49.123380162381181</v>
      </c>
      <c r="N272" s="79">
        <f t="shared" si="272"/>
        <v>9.7736950032604</v>
      </c>
      <c r="O272" s="79">
        <f t="shared" si="273"/>
        <v>-121.1023896698207</v>
      </c>
      <c r="P272" s="79">
        <f t="shared" si="274"/>
        <v>-155.61040752029112</v>
      </c>
      <c r="Q272" s="79"/>
      <c r="R272" s="80">
        <f t="shared" si="232"/>
        <v>-9.6434746446269539</v>
      </c>
      <c r="S272" s="80">
        <f t="shared" si="233"/>
        <v>-4.0154693555213878</v>
      </c>
      <c r="T272" s="80">
        <f t="shared" si="234"/>
        <v>-0.95071380034466391</v>
      </c>
      <c r="U272" s="80">
        <f t="shared" si="235"/>
        <v>-0.15595492763954452</v>
      </c>
      <c r="V272" s="80">
        <f t="shared" si="236"/>
        <v>3.9537183683819479</v>
      </c>
      <c r="W272" s="80">
        <f t="shared" si="237"/>
        <v>4.0725048833498034</v>
      </c>
      <c r="X272" s="80">
        <f t="shared" si="288"/>
        <v>484.44787786401804</v>
      </c>
      <c r="Y272" s="80">
        <f t="shared" si="289"/>
        <v>169.55609946442755</v>
      </c>
      <c r="Z272" s="80">
        <f t="shared" si="290"/>
        <v>137.79756678140379</v>
      </c>
      <c r="AA272" s="80">
        <f t="shared" si="291"/>
        <v>99.409609044506453</v>
      </c>
      <c r="AB272" s="80">
        <f t="shared" si="292"/>
        <v>726.41203808070634</v>
      </c>
      <c r="AC272" s="80">
        <f t="shared" si="293"/>
        <v>349.38498689832466</v>
      </c>
      <c r="AD272" s="80"/>
      <c r="AE272" s="80"/>
      <c r="AF272" s="80"/>
      <c r="AG272" s="80"/>
      <c r="AH272" s="80"/>
      <c r="AI272" s="80"/>
      <c r="AJ272" s="45">
        <f t="shared" si="238"/>
        <v>0</v>
      </c>
      <c r="AK272" s="45">
        <f t="shared" si="239"/>
        <v>0</v>
      </c>
      <c r="AL272" s="45">
        <f t="shared" si="240"/>
        <v>0</v>
      </c>
      <c r="AM272" s="45">
        <f t="shared" si="241"/>
        <v>0</v>
      </c>
      <c r="AN272" s="45">
        <f t="shared" si="242"/>
        <v>0</v>
      </c>
      <c r="AO272" s="45">
        <f t="shared" si="243"/>
        <v>0</v>
      </c>
      <c r="AP272" s="80">
        <f t="shared" si="244"/>
        <v>0</v>
      </c>
      <c r="AQ272" s="80">
        <f t="shared" si="245"/>
        <v>0</v>
      </c>
      <c r="AR272" s="80">
        <f t="shared" si="246"/>
        <v>0</v>
      </c>
      <c r="AS272" s="80">
        <f t="shared" si="247"/>
        <v>0</v>
      </c>
      <c r="AT272" s="80">
        <f t="shared" si="248"/>
        <v>0</v>
      </c>
      <c r="AU272" s="80">
        <f t="shared" si="249"/>
        <v>0</v>
      </c>
      <c r="AV272" s="80">
        <f t="shared" si="294"/>
        <v>30.634602890351317</v>
      </c>
      <c r="AW272" s="80">
        <f t="shared" si="295"/>
        <v>15.237426148428785</v>
      </c>
      <c r="AX272" s="80">
        <f t="shared" si="296"/>
        <v>10.798178310159445</v>
      </c>
      <c r="AY272" s="80">
        <f t="shared" si="297"/>
        <v>7.9409975870085852</v>
      </c>
      <c r="AZ272" s="80">
        <f t="shared" si="298"/>
        <v>63.938629468363274</v>
      </c>
      <c r="BA272" s="80">
        <f t="shared" si="299"/>
        <v>28.023637336551971</v>
      </c>
      <c r="BB272" s="80">
        <f t="shared" si="275"/>
        <v>515.08248075436939</v>
      </c>
      <c r="BC272" s="80">
        <f t="shared" si="276"/>
        <v>184.79352561285634</v>
      </c>
      <c r="BD272" s="80">
        <f t="shared" si="277"/>
        <v>148.59574509156323</v>
      </c>
      <c r="BE272" s="80">
        <f t="shared" si="278"/>
        <v>107.35060663151503</v>
      </c>
      <c r="BF272" s="80">
        <f t="shared" si="279"/>
        <v>790.35066754906961</v>
      </c>
      <c r="BG272" s="80">
        <f t="shared" si="280"/>
        <v>377.40862423487664</v>
      </c>
      <c r="BH272" s="49">
        <f t="shared" si="281"/>
        <v>0</v>
      </c>
      <c r="BI272" s="79">
        <f t="shared" si="282"/>
        <v>-84443.413408788736</v>
      </c>
      <c r="BJ272" s="79">
        <f t="shared" si="250"/>
        <v>89000</v>
      </c>
      <c r="BK272" s="44">
        <f t="shared" si="283"/>
        <v>5.396023688849394E-2</v>
      </c>
      <c r="BL272" s="79">
        <f t="shared" si="300"/>
        <v>6437.468696330985</v>
      </c>
      <c r="BM272" s="49">
        <f t="shared" si="284"/>
        <v>95437.46869633098</v>
      </c>
      <c r="BN272" s="44">
        <f t="shared" si="285"/>
        <v>0.13019434960924969</v>
      </c>
      <c r="BO272" s="49">
        <f t="shared" si="251"/>
        <v>6854.4450526280434</v>
      </c>
      <c r="BP272" s="49">
        <f t="shared" si="252"/>
        <v>95854.445052628042</v>
      </c>
      <c r="BQ272" s="44">
        <f t="shared" si="253"/>
        <v>0.13513228780317954</v>
      </c>
      <c r="BS272" s="49">
        <f t="shared" si="254"/>
        <v>84443.413408788736</v>
      </c>
      <c r="BT272" s="49">
        <f t="shared" si="230"/>
        <v>64.300003000000004</v>
      </c>
      <c r="BU272" s="49">
        <f t="shared" si="231"/>
        <v>38.209999000000003</v>
      </c>
      <c r="BV272" s="49">
        <f t="shared" si="255"/>
        <v>-613.03172105772319</v>
      </c>
      <c r="BW272" s="18">
        <f t="shared" si="256"/>
        <v>1611</v>
      </c>
      <c r="BX272" s="19">
        <f t="shared" si="286"/>
        <v>0.63050458715596325</v>
      </c>
      <c r="BY272" s="49">
        <f t="shared" si="287"/>
        <v>-386.51931219900939</v>
      </c>
      <c r="BZ272" s="19">
        <f t="shared" si="257"/>
        <v>0</v>
      </c>
      <c r="CA272" s="19">
        <f t="shared" si="258"/>
        <v>0</v>
      </c>
      <c r="CB272" s="19">
        <f t="shared" si="259"/>
        <v>0</v>
      </c>
      <c r="CC272" s="19">
        <f t="shared" si="260"/>
        <v>0</v>
      </c>
      <c r="CD272" s="19">
        <f t="shared" si="261"/>
        <v>3.9537183683819479</v>
      </c>
      <c r="CE272" s="19">
        <f t="shared" si="262"/>
        <v>4.0725048833498034</v>
      </c>
      <c r="CF272" s="49">
        <f t="shared" si="263"/>
        <v>0</v>
      </c>
      <c r="CG272" s="49">
        <f t="shared" si="264"/>
        <v>0</v>
      </c>
      <c r="CH272" s="49">
        <f t="shared" si="265"/>
        <v>0</v>
      </c>
      <c r="CI272" s="49">
        <f t="shared" si="266"/>
        <v>0</v>
      </c>
      <c r="CJ272" s="49">
        <f t="shared" si="267"/>
        <v>-121.1023896698207</v>
      </c>
      <c r="CK272" s="49">
        <f t="shared" si="268"/>
        <v>-155.61040752029112</v>
      </c>
    </row>
    <row r="273" spans="2:89" ht="12.75" customHeight="1" x14ac:dyDescent="0.2">
      <c r="B273" s="77">
        <v>40911</v>
      </c>
      <c r="C273" s="49">
        <v>65.379997000000003</v>
      </c>
      <c r="D273" s="49">
        <v>53.32</v>
      </c>
      <c r="E273" s="49">
        <v>52.400002000000001</v>
      </c>
      <c r="F273" s="49">
        <v>63.849997999999999</v>
      </c>
      <c r="G273" s="49">
        <v>30.459999</v>
      </c>
      <c r="H273" s="49">
        <v>38.57</v>
      </c>
      <c r="J273" s="78">
        <f>IF(inter=Weekly_2,J272+$C$5,IF(inter=Bi_weekly_2,0,IF(inter=Monthly_2,0,IF(inter=Quarterly_2,0,IF(inter=Yearly_2,0,IF(inter=None_2,0,0))))))</f>
        <v>0</v>
      </c>
      <c r="K273" s="79">
        <f t="shared" si="269"/>
        <v>0</v>
      </c>
      <c r="L273" s="79">
        <f t="shared" si="270"/>
        <v>0</v>
      </c>
      <c r="M273" s="79">
        <f t="shared" si="271"/>
        <v>0</v>
      </c>
      <c r="N273" s="79">
        <f t="shared" si="272"/>
        <v>0</v>
      </c>
      <c r="O273" s="79">
        <f t="shared" si="273"/>
        <v>0</v>
      </c>
      <c r="P273" s="79">
        <f t="shared" si="274"/>
        <v>0</v>
      </c>
      <c r="Q273" s="79"/>
      <c r="R273" s="80">
        <f t="shared" si="232"/>
        <v>0</v>
      </c>
      <c r="S273" s="80">
        <f t="shared" si="233"/>
        <v>0</v>
      </c>
      <c r="T273" s="80">
        <f t="shared" si="234"/>
        <v>0</v>
      </c>
      <c r="U273" s="80">
        <f t="shared" si="235"/>
        <v>0</v>
      </c>
      <c r="V273" s="80">
        <f t="shared" si="236"/>
        <v>0</v>
      </c>
      <c r="W273" s="80">
        <f t="shared" si="237"/>
        <v>0</v>
      </c>
      <c r="X273" s="80">
        <f t="shared" si="288"/>
        <v>484.44787786401804</v>
      </c>
      <c r="Y273" s="80">
        <f t="shared" si="289"/>
        <v>169.55609946442755</v>
      </c>
      <c r="Z273" s="80">
        <f t="shared" si="290"/>
        <v>137.79756678140379</v>
      </c>
      <c r="AA273" s="80">
        <f t="shared" si="291"/>
        <v>99.409609044506453</v>
      </c>
      <c r="AB273" s="80">
        <f t="shared" si="292"/>
        <v>726.41203808070634</v>
      </c>
      <c r="AC273" s="80">
        <f t="shared" si="293"/>
        <v>349.38498689832466</v>
      </c>
      <c r="AD273" s="80"/>
      <c r="AE273" s="80"/>
      <c r="AF273" s="80"/>
      <c r="AG273" s="80"/>
      <c r="AH273" s="80"/>
      <c r="AI273" s="80"/>
      <c r="AJ273" s="45">
        <f t="shared" si="238"/>
        <v>0</v>
      </c>
      <c r="AK273" s="45">
        <f t="shared" si="239"/>
        <v>0</v>
      </c>
      <c r="AL273" s="45">
        <f t="shared" si="240"/>
        <v>0</v>
      </c>
      <c r="AM273" s="45">
        <f t="shared" si="241"/>
        <v>0</v>
      </c>
      <c r="AN273" s="45">
        <f t="shared" si="242"/>
        <v>0</v>
      </c>
      <c r="AO273" s="45">
        <f t="shared" si="243"/>
        <v>0</v>
      </c>
      <c r="AP273" s="80">
        <f t="shared" si="244"/>
        <v>0</v>
      </c>
      <c r="AQ273" s="80">
        <f t="shared" si="245"/>
        <v>0</v>
      </c>
      <c r="AR273" s="80">
        <f t="shared" si="246"/>
        <v>0</v>
      </c>
      <c r="AS273" s="80">
        <f t="shared" si="247"/>
        <v>0</v>
      </c>
      <c r="AT273" s="80">
        <f t="shared" si="248"/>
        <v>0</v>
      </c>
      <c r="AU273" s="80">
        <f t="shared" si="249"/>
        <v>0</v>
      </c>
      <c r="AV273" s="80">
        <f t="shared" si="294"/>
        <v>30.634602890351317</v>
      </c>
      <c r="AW273" s="80">
        <f t="shared" si="295"/>
        <v>15.237426148428785</v>
      </c>
      <c r="AX273" s="80">
        <f t="shared" si="296"/>
        <v>10.798178310159445</v>
      </c>
      <c r="AY273" s="80">
        <f t="shared" si="297"/>
        <v>7.9409975870085852</v>
      </c>
      <c r="AZ273" s="80">
        <f t="shared" si="298"/>
        <v>63.938629468363274</v>
      </c>
      <c r="BA273" s="80">
        <f t="shared" si="299"/>
        <v>28.023637336551971</v>
      </c>
      <c r="BB273" s="80">
        <f t="shared" si="275"/>
        <v>515.08248075436939</v>
      </c>
      <c r="BC273" s="80">
        <f t="shared" si="276"/>
        <v>184.79352561285634</v>
      </c>
      <c r="BD273" s="80">
        <f t="shared" si="277"/>
        <v>148.59574509156323</v>
      </c>
      <c r="BE273" s="80">
        <f t="shared" si="278"/>
        <v>107.35060663151503</v>
      </c>
      <c r="BF273" s="80">
        <f t="shared" si="279"/>
        <v>790.35066754906961</v>
      </c>
      <c r="BG273" s="80">
        <f t="shared" si="280"/>
        <v>377.40862423487664</v>
      </c>
      <c r="BH273" s="49">
        <f t="shared" si="281"/>
        <v>0</v>
      </c>
      <c r="BI273" s="79">
        <f t="shared" si="282"/>
        <v>-84443.413408788736</v>
      </c>
      <c r="BJ273" s="79">
        <f t="shared" si="250"/>
        <v>89884.11703665703</v>
      </c>
      <c r="BK273" s="44">
        <f t="shared" si="283"/>
        <v>6.4430171735597286E-2</v>
      </c>
      <c r="BL273" s="79">
        <f t="shared" si="300"/>
        <v>6437.468696330985</v>
      </c>
      <c r="BM273" s="49">
        <f t="shared" si="284"/>
        <v>96321.585732988009</v>
      </c>
      <c r="BN273" s="44">
        <f t="shared" si="285"/>
        <v>0.14066428445635304</v>
      </c>
      <c r="BO273" s="49">
        <f t="shared" si="251"/>
        <v>6916.6493341373234</v>
      </c>
      <c r="BP273" s="49">
        <f t="shared" si="252"/>
        <v>96800.766370794328</v>
      </c>
      <c r="BQ273" s="44">
        <f t="shared" si="253"/>
        <v>0.1463388612938219</v>
      </c>
      <c r="BS273" s="49">
        <f t="shared" si="254"/>
        <v>84443.413408788736</v>
      </c>
      <c r="BT273" s="49">
        <f t="shared" si="230"/>
        <v>65.379997000000003</v>
      </c>
      <c r="BU273" s="49">
        <f t="shared" si="231"/>
        <v>38.57</v>
      </c>
      <c r="BV273" s="49">
        <f t="shared" si="255"/>
        <v>0</v>
      </c>
      <c r="BW273" s="18">
        <f t="shared" si="256"/>
        <v>1618</v>
      </c>
      <c r="BX273" s="19">
        <f t="shared" si="286"/>
        <v>0.62889908256880733</v>
      </c>
      <c r="BY273" s="49">
        <f t="shared" si="287"/>
        <v>0</v>
      </c>
      <c r="BZ273" s="19">
        <f t="shared" si="257"/>
        <v>0</v>
      </c>
      <c r="CA273" s="19">
        <f t="shared" si="258"/>
        <v>0</v>
      </c>
      <c r="CB273" s="19">
        <f t="shared" si="259"/>
        <v>0</v>
      </c>
      <c r="CC273" s="19">
        <f t="shared" si="260"/>
        <v>0</v>
      </c>
      <c r="CD273" s="19">
        <f t="shared" si="261"/>
        <v>0</v>
      </c>
      <c r="CE273" s="19">
        <f t="shared" si="262"/>
        <v>0</v>
      </c>
      <c r="CF273" s="49">
        <f t="shared" si="263"/>
        <v>0</v>
      </c>
      <c r="CG273" s="49">
        <f t="shared" si="264"/>
        <v>0</v>
      </c>
      <c r="CH273" s="49">
        <f t="shared" si="265"/>
        <v>0</v>
      </c>
      <c r="CI273" s="49">
        <f t="shared" si="266"/>
        <v>0</v>
      </c>
      <c r="CJ273" s="49">
        <f t="shared" si="267"/>
        <v>0</v>
      </c>
      <c r="CK273" s="49">
        <f t="shared" si="268"/>
        <v>0</v>
      </c>
    </row>
    <row r="274" spans="2:89" ht="12.75" customHeight="1" x14ac:dyDescent="0.2">
      <c r="B274" s="77">
        <v>40917</v>
      </c>
      <c r="C274" s="49">
        <v>66.150002000000001</v>
      </c>
      <c r="D274" s="49">
        <v>53.959999000000003</v>
      </c>
      <c r="E274" s="49">
        <v>53.169998</v>
      </c>
      <c r="F274" s="49">
        <v>64.930000000000007</v>
      </c>
      <c r="G274" s="49">
        <v>30.719999000000001</v>
      </c>
      <c r="H274" s="49">
        <v>39.619999</v>
      </c>
      <c r="J274" s="78">
        <f>IF(inter=Weekly_2,J273+$C$5,IF(inter=Bi_weekly_2,J272+$C$5,IF(inter=Monthly_2,J270+$C$5,IF(inter=Quarterly_2,0,IF(inter=Yearly_2,0,IF(inter=None_2,0,0))))))</f>
        <v>89600</v>
      </c>
      <c r="K274" s="79">
        <f t="shared" si="269"/>
        <v>686.22808960055409</v>
      </c>
      <c r="L274" s="79">
        <f t="shared" si="270"/>
        <v>189.246957544412</v>
      </c>
      <c r="M274" s="79">
        <f t="shared" si="271"/>
        <v>158.69635017210567</v>
      </c>
      <c r="N274" s="79">
        <f t="shared" si="272"/>
        <v>182.66591525980402</v>
      </c>
      <c r="O274" s="79">
        <f t="shared" si="273"/>
        <v>-84.622916572738177</v>
      </c>
      <c r="P274" s="79">
        <f t="shared" si="274"/>
        <v>402.63283152663644</v>
      </c>
      <c r="Q274" s="79"/>
      <c r="R274" s="80">
        <f t="shared" si="232"/>
        <v>-10.373818123248947</v>
      </c>
      <c r="S274" s="80">
        <f t="shared" si="233"/>
        <v>-3.5071712574422396</v>
      </c>
      <c r="T274" s="80">
        <f t="shared" si="234"/>
        <v>-2.9846973131747281</v>
      </c>
      <c r="U274" s="80">
        <f t="shared" si="235"/>
        <v>-2.813274530414354</v>
      </c>
      <c r="V274" s="80">
        <f t="shared" si="236"/>
        <v>2.7546523218551595</v>
      </c>
      <c r="W274" s="80">
        <f t="shared" si="237"/>
        <v>-10.162363495431599</v>
      </c>
      <c r="X274" s="80">
        <f t="shared" si="288"/>
        <v>474.07405974076909</v>
      </c>
      <c r="Y274" s="80">
        <f t="shared" si="289"/>
        <v>166.04892820698529</v>
      </c>
      <c r="Z274" s="80">
        <f t="shared" si="290"/>
        <v>134.81286946822905</v>
      </c>
      <c r="AA274" s="80">
        <f t="shared" si="291"/>
        <v>96.596334514092092</v>
      </c>
      <c r="AB274" s="80">
        <f t="shared" si="292"/>
        <v>729.16669040256147</v>
      </c>
      <c r="AC274" s="80">
        <f t="shared" si="293"/>
        <v>339.22262340289308</v>
      </c>
      <c r="AD274" s="80"/>
      <c r="AE274" s="80"/>
      <c r="AF274" s="80"/>
      <c r="AG274" s="80"/>
      <c r="AH274" s="80"/>
      <c r="AI274" s="80"/>
      <c r="AJ274" s="45">
        <f t="shared" si="238"/>
        <v>0</v>
      </c>
      <c r="AK274" s="45">
        <f t="shared" si="239"/>
        <v>0</v>
      </c>
      <c r="AL274" s="45">
        <f t="shared" si="240"/>
        <v>0</v>
      </c>
      <c r="AM274" s="45">
        <f t="shared" si="241"/>
        <v>0</v>
      </c>
      <c r="AN274" s="45">
        <f t="shared" si="242"/>
        <v>0</v>
      </c>
      <c r="AO274" s="45">
        <f t="shared" si="243"/>
        <v>0</v>
      </c>
      <c r="AP274" s="80">
        <f t="shared" si="244"/>
        <v>0</v>
      </c>
      <c r="AQ274" s="80">
        <f t="shared" si="245"/>
        <v>0</v>
      </c>
      <c r="AR274" s="80">
        <f t="shared" si="246"/>
        <v>0</v>
      </c>
      <c r="AS274" s="80">
        <f t="shared" si="247"/>
        <v>0</v>
      </c>
      <c r="AT274" s="80">
        <f t="shared" si="248"/>
        <v>0</v>
      </c>
      <c r="AU274" s="80">
        <f t="shared" si="249"/>
        <v>0</v>
      </c>
      <c r="AV274" s="80">
        <f t="shared" si="294"/>
        <v>30.634602890351317</v>
      </c>
      <c r="AW274" s="80">
        <f t="shared" si="295"/>
        <v>15.237426148428785</v>
      </c>
      <c r="AX274" s="80">
        <f t="shared" si="296"/>
        <v>10.798178310159445</v>
      </c>
      <c r="AY274" s="80">
        <f t="shared" si="297"/>
        <v>7.9409975870085852</v>
      </c>
      <c r="AZ274" s="80">
        <f t="shared" si="298"/>
        <v>63.938629468363274</v>
      </c>
      <c r="BA274" s="80">
        <f t="shared" si="299"/>
        <v>28.023637336551971</v>
      </c>
      <c r="BB274" s="80">
        <f t="shared" si="275"/>
        <v>504.70866263112043</v>
      </c>
      <c r="BC274" s="80">
        <f t="shared" si="276"/>
        <v>181.28635435541409</v>
      </c>
      <c r="BD274" s="80">
        <f t="shared" si="277"/>
        <v>145.6110477783885</v>
      </c>
      <c r="BE274" s="80">
        <f t="shared" si="278"/>
        <v>104.53733210110067</v>
      </c>
      <c r="BF274" s="80">
        <f t="shared" si="279"/>
        <v>793.10531987092475</v>
      </c>
      <c r="BG274" s="80">
        <f t="shared" si="280"/>
        <v>367.24626073944506</v>
      </c>
      <c r="BH274" s="49">
        <f t="shared" si="281"/>
        <v>0</v>
      </c>
      <c r="BI274" s="79">
        <f t="shared" si="282"/>
        <v>-82908.566181257978</v>
      </c>
      <c r="BJ274" s="79">
        <f t="shared" si="250"/>
        <v>89600</v>
      </c>
      <c r="BK274" s="44">
        <f t="shared" si="283"/>
        <v>8.0708594141080114E-2</v>
      </c>
      <c r="BL274" s="79">
        <f t="shared" si="300"/>
        <v>6437.468696330985</v>
      </c>
      <c r="BM274" s="49">
        <f t="shared" si="284"/>
        <v>96037.46869633098</v>
      </c>
      <c r="BN274" s="44">
        <f t="shared" si="285"/>
        <v>0.15835399307678388</v>
      </c>
      <c r="BO274" s="49">
        <f t="shared" si="251"/>
        <v>7012.9297512570665</v>
      </c>
      <c r="BP274" s="49">
        <f t="shared" si="252"/>
        <v>96612.929751257077</v>
      </c>
      <c r="BQ274" s="44">
        <f t="shared" si="253"/>
        <v>0.16529490499254429</v>
      </c>
      <c r="BS274" s="49">
        <f t="shared" si="254"/>
        <v>82908.566181257978</v>
      </c>
      <c r="BT274" s="49">
        <f t="shared" si="230"/>
        <v>66.150002000000001</v>
      </c>
      <c r="BU274" s="49">
        <f t="shared" si="231"/>
        <v>39.619999</v>
      </c>
      <c r="BV274" s="49">
        <f t="shared" si="255"/>
        <v>-1534.847227530774</v>
      </c>
      <c r="BW274" s="18">
        <f t="shared" si="256"/>
        <v>1624</v>
      </c>
      <c r="BX274" s="19">
        <f t="shared" si="286"/>
        <v>0.62752293577981655</v>
      </c>
      <c r="BY274" s="49">
        <f t="shared" si="287"/>
        <v>-963.15183819362335</v>
      </c>
      <c r="BZ274" s="19">
        <f t="shared" si="257"/>
        <v>0</v>
      </c>
      <c r="CA274" s="19">
        <f t="shared" si="258"/>
        <v>0</v>
      </c>
      <c r="CB274" s="19">
        <f t="shared" si="259"/>
        <v>0</v>
      </c>
      <c r="CC274" s="19">
        <f t="shared" si="260"/>
        <v>0</v>
      </c>
      <c r="CD274" s="19">
        <f t="shared" si="261"/>
        <v>2.7546523218551595</v>
      </c>
      <c r="CE274" s="19">
        <f t="shared" si="262"/>
        <v>0</v>
      </c>
      <c r="CF274" s="49">
        <f t="shared" si="263"/>
        <v>0</v>
      </c>
      <c r="CG274" s="49">
        <f t="shared" si="264"/>
        <v>0</v>
      </c>
      <c r="CH274" s="49">
        <f t="shared" si="265"/>
        <v>0</v>
      </c>
      <c r="CI274" s="49">
        <f t="shared" si="266"/>
        <v>0</v>
      </c>
      <c r="CJ274" s="49">
        <f t="shared" si="267"/>
        <v>-84.622916572738177</v>
      </c>
      <c r="CK274" s="49">
        <f t="shared" si="268"/>
        <v>0</v>
      </c>
    </row>
    <row r="275" spans="2:89" ht="12.75" customHeight="1" x14ac:dyDescent="0.2">
      <c r="B275" s="77">
        <v>40925</v>
      </c>
      <c r="C275" s="49">
        <v>67.529999000000004</v>
      </c>
      <c r="D275" s="49">
        <v>54.990001999999997</v>
      </c>
      <c r="E275" s="49">
        <v>54.240001999999997</v>
      </c>
      <c r="F275" s="49">
        <v>66.620002999999997</v>
      </c>
      <c r="G275" s="49">
        <v>32.099997999999999</v>
      </c>
      <c r="H275" s="49">
        <v>41.700001</v>
      </c>
      <c r="J275" s="78">
        <f>IF(inter=Weekly_2,J274+$C$5,IF(inter=Bi_weekly_2,0,IF(inter=Monthly_2,0,IF(inter=Quarterly_2,0,IF(inter=Yearly_2,0,IF(inter=None_2,0,0))))))</f>
        <v>0</v>
      </c>
      <c r="K275" s="79">
        <f t="shared" si="269"/>
        <v>0</v>
      </c>
      <c r="L275" s="79">
        <f t="shared" si="270"/>
        <v>0</v>
      </c>
      <c r="M275" s="79">
        <f t="shared" si="271"/>
        <v>0</v>
      </c>
      <c r="N275" s="79">
        <f t="shared" si="272"/>
        <v>0</v>
      </c>
      <c r="O275" s="79">
        <f t="shared" si="273"/>
        <v>0</v>
      </c>
      <c r="P275" s="79">
        <f t="shared" si="274"/>
        <v>0</v>
      </c>
      <c r="Q275" s="79"/>
      <c r="R275" s="80">
        <f t="shared" si="232"/>
        <v>0</v>
      </c>
      <c r="S275" s="80">
        <f t="shared" si="233"/>
        <v>0</v>
      </c>
      <c r="T275" s="80">
        <f t="shared" si="234"/>
        <v>0</v>
      </c>
      <c r="U275" s="80">
        <f t="shared" si="235"/>
        <v>0</v>
      </c>
      <c r="V275" s="80">
        <f t="shared" si="236"/>
        <v>0</v>
      </c>
      <c r="W275" s="80">
        <f t="shared" si="237"/>
        <v>0</v>
      </c>
      <c r="X275" s="80">
        <f t="shared" si="288"/>
        <v>474.07405974076909</v>
      </c>
      <c r="Y275" s="80">
        <f t="shared" si="289"/>
        <v>166.04892820698529</v>
      </c>
      <c r="Z275" s="80">
        <f t="shared" si="290"/>
        <v>134.81286946822905</v>
      </c>
      <c r="AA275" s="80">
        <f t="shared" si="291"/>
        <v>96.596334514092092</v>
      </c>
      <c r="AB275" s="80">
        <f t="shared" si="292"/>
        <v>729.16669040256147</v>
      </c>
      <c r="AC275" s="80">
        <f t="shared" si="293"/>
        <v>339.22262340289308</v>
      </c>
      <c r="AD275" s="80"/>
      <c r="AE275" s="80"/>
      <c r="AF275" s="80"/>
      <c r="AG275" s="80"/>
      <c r="AH275" s="80"/>
      <c r="AI275" s="80"/>
      <c r="AJ275" s="45">
        <f t="shared" si="238"/>
        <v>0</v>
      </c>
      <c r="AK275" s="45">
        <f t="shared" si="239"/>
        <v>0</v>
      </c>
      <c r="AL275" s="45">
        <f t="shared" si="240"/>
        <v>0</v>
      </c>
      <c r="AM275" s="45">
        <f t="shared" si="241"/>
        <v>0</v>
      </c>
      <c r="AN275" s="45">
        <f t="shared" si="242"/>
        <v>0</v>
      </c>
      <c r="AO275" s="45">
        <f t="shared" si="243"/>
        <v>0</v>
      </c>
      <c r="AP275" s="80">
        <f t="shared" si="244"/>
        <v>0</v>
      </c>
      <c r="AQ275" s="80">
        <f t="shared" si="245"/>
        <v>0</v>
      </c>
      <c r="AR275" s="80">
        <f t="shared" si="246"/>
        <v>0</v>
      </c>
      <c r="AS275" s="80">
        <f t="shared" si="247"/>
        <v>0</v>
      </c>
      <c r="AT275" s="80">
        <f t="shared" si="248"/>
        <v>0</v>
      </c>
      <c r="AU275" s="80">
        <f t="shared" si="249"/>
        <v>0</v>
      </c>
      <c r="AV275" s="80">
        <f t="shared" si="294"/>
        <v>30.634602890351317</v>
      </c>
      <c r="AW275" s="80">
        <f t="shared" si="295"/>
        <v>15.237426148428785</v>
      </c>
      <c r="AX275" s="80">
        <f t="shared" si="296"/>
        <v>10.798178310159445</v>
      </c>
      <c r="AY275" s="80">
        <f t="shared" si="297"/>
        <v>7.9409975870085852</v>
      </c>
      <c r="AZ275" s="80">
        <f t="shared" si="298"/>
        <v>63.938629468363274</v>
      </c>
      <c r="BA275" s="80">
        <f t="shared" si="299"/>
        <v>28.023637336551971</v>
      </c>
      <c r="BB275" s="80">
        <f t="shared" si="275"/>
        <v>504.70866263112043</v>
      </c>
      <c r="BC275" s="80">
        <f t="shared" si="276"/>
        <v>181.28635435541409</v>
      </c>
      <c r="BD275" s="80">
        <f t="shared" si="277"/>
        <v>145.6110477783885</v>
      </c>
      <c r="BE275" s="80">
        <f t="shared" si="278"/>
        <v>104.53733210110067</v>
      </c>
      <c r="BF275" s="80">
        <f t="shared" si="279"/>
        <v>793.10531987092475</v>
      </c>
      <c r="BG275" s="80">
        <f t="shared" si="280"/>
        <v>367.24626073944506</v>
      </c>
      <c r="BH275" s="49">
        <f t="shared" si="281"/>
        <v>0</v>
      </c>
      <c r="BI275" s="79">
        <f t="shared" si="282"/>
        <v>-82908.566181257978</v>
      </c>
      <c r="BJ275" s="79">
        <f t="shared" si="250"/>
        <v>92444.583117832459</v>
      </c>
      <c r="BK275" s="44">
        <f t="shared" si="283"/>
        <v>0.11501847608516669</v>
      </c>
      <c r="BL275" s="79">
        <f t="shared" si="300"/>
        <v>6437.468696330985</v>
      </c>
      <c r="BM275" s="49">
        <f t="shared" si="284"/>
        <v>98882.051814163438</v>
      </c>
      <c r="BN275" s="44">
        <f t="shared" si="285"/>
        <v>0.19266387502087046</v>
      </c>
      <c r="BO275" s="49">
        <f t="shared" si="251"/>
        <v>7242.3988761517394</v>
      </c>
      <c r="BP275" s="49">
        <f t="shared" si="252"/>
        <v>99686.981993984213</v>
      </c>
      <c r="BQ275" s="44">
        <f t="shared" si="253"/>
        <v>0.20237252416167228</v>
      </c>
      <c r="BS275" s="49">
        <f t="shared" si="254"/>
        <v>82908.566181257978</v>
      </c>
      <c r="BT275" s="49">
        <f t="shared" si="230"/>
        <v>67.529999000000004</v>
      </c>
      <c r="BU275" s="49">
        <f t="shared" si="231"/>
        <v>41.700001</v>
      </c>
      <c r="BV275" s="49">
        <f t="shared" si="255"/>
        <v>0</v>
      </c>
      <c r="BW275" s="18">
        <f t="shared" si="256"/>
        <v>1632</v>
      </c>
      <c r="BX275" s="19">
        <f t="shared" si="286"/>
        <v>0.62568807339449539</v>
      </c>
      <c r="BY275" s="49">
        <f t="shared" si="287"/>
        <v>0</v>
      </c>
      <c r="BZ275" s="19">
        <f t="shared" si="257"/>
        <v>0</v>
      </c>
      <c r="CA275" s="19">
        <f t="shared" si="258"/>
        <v>0</v>
      </c>
      <c r="CB275" s="19">
        <f t="shared" si="259"/>
        <v>0</v>
      </c>
      <c r="CC275" s="19">
        <f t="shared" si="260"/>
        <v>0</v>
      </c>
      <c r="CD275" s="19">
        <f t="shared" si="261"/>
        <v>0</v>
      </c>
      <c r="CE275" s="19">
        <f t="shared" si="262"/>
        <v>0</v>
      </c>
      <c r="CF275" s="49">
        <f t="shared" si="263"/>
        <v>0</v>
      </c>
      <c r="CG275" s="49">
        <f t="shared" si="264"/>
        <v>0</v>
      </c>
      <c r="CH275" s="49">
        <f t="shared" si="265"/>
        <v>0</v>
      </c>
      <c r="CI275" s="49">
        <f t="shared" si="266"/>
        <v>0</v>
      </c>
      <c r="CJ275" s="49">
        <f t="shared" si="267"/>
        <v>0</v>
      </c>
      <c r="CK275" s="49">
        <f t="shared" si="268"/>
        <v>0</v>
      </c>
    </row>
    <row r="276" spans="2:89" ht="12.75" customHeight="1" x14ac:dyDescent="0.2">
      <c r="B276" s="77">
        <v>40931</v>
      </c>
      <c r="C276" s="49">
        <v>67.860000999999997</v>
      </c>
      <c r="D276" s="49">
        <v>54.66</v>
      </c>
      <c r="E276" s="49">
        <v>54.759998000000003</v>
      </c>
      <c r="F276" s="49">
        <v>67.669998000000007</v>
      </c>
      <c r="G276" s="49">
        <v>32.529998999999997</v>
      </c>
      <c r="H276" s="49">
        <v>42.630001</v>
      </c>
      <c r="J276" s="78">
        <f>IF(inter=Weekly_2,J275+$C$5,IF(inter=Bi_weekly_2,J274+$C$5,IF(inter=Monthly_2,0,IF(inter=Quarterly_2,J263+$C$5,IF(inter=Yearly_2,0,IF(inter=None_2,0,0))))))</f>
        <v>90200</v>
      </c>
      <c r="K276" s="79">
        <f t="shared" si="269"/>
        <v>600.66616808265098</v>
      </c>
      <c r="L276" s="79">
        <f t="shared" si="270"/>
        <v>56.23441579381506</v>
      </c>
      <c r="M276" s="79">
        <f t="shared" si="271"/>
        <v>166.35246245448434</v>
      </c>
      <c r="N276" s="79">
        <f t="shared" si="272"/>
        <v>222.67376337594214</v>
      </c>
      <c r="O276" s="79">
        <f t="shared" si="273"/>
        <v>1169.7917096286328</v>
      </c>
      <c r="P276" s="79">
        <f t="shared" si="274"/>
        <v>931.06077488795563</v>
      </c>
      <c r="Q276" s="79"/>
      <c r="R276" s="80">
        <f t="shared" si="232"/>
        <v>-8.851549649736242</v>
      </c>
      <c r="S276" s="80">
        <f t="shared" si="233"/>
        <v>-1.0288038015699792</v>
      </c>
      <c r="T276" s="80">
        <f t="shared" si="234"/>
        <v>-3.0378463939038918</v>
      </c>
      <c r="U276" s="80">
        <f t="shared" si="235"/>
        <v>-3.2905832711261809</v>
      </c>
      <c r="V276" s="80">
        <f t="shared" si="236"/>
        <v>-35.960397958470054</v>
      </c>
      <c r="W276" s="80">
        <f t="shared" si="237"/>
        <v>-21.840505584035892</v>
      </c>
      <c r="X276" s="80">
        <f t="shared" si="288"/>
        <v>465.22251009103286</v>
      </c>
      <c r="Y276" s="80">
        <f t="shared" si="289"/>
        <v>165.02012440541532</v>
      </c>
      <c r="Z276" s="80">
        <f t="shared" si="290"/>
        <v>131.77502307432516</v>
      </c>
      <c r="AA276" s="80">
        <f t="shared" si="291"/>
        <v>93.305751242965911</v>
      </c>
      <c r="AB276" s="80">
        <f t="shared" si="292"/>
        <v>693.20629244409145</v>
      </c>
      <c r="AC276" s="80">
        <f t="shared" si="293"/>
        <v>317.38211781885718</v>
      </c>
      <c r="AD276" s="80"/>
      <c r="AE276" s="80"/>
      <c r="AF276" s="80"/>
      <c r="AG276" s="80"/>
      <c r="AH276" s="80"/>
      <c r="AI276" s="80"/>
      <c r="AJ276" s="45">
        <f t="shared" si="238"/>
        <v>0</v>
      </c>
      <c r="AK276" s="45">
        <f t="shared" si="239"/>
        <v>0</v>
      </c>
      <c r="AL276" s="45">
        <f t="shared" si="240"/>
        <v>0</v>
      </c>
      <c r="AM276" s="45">
        <f t="shared" si="241"/>
        <v>0</v>
      </c>
      <c r="AN276" s="45">
        <f t="shared" si="242"/>
        <v>0</v>
      </c>
      <c r="AO276" s="45">
        <f t="shared" si="243"/>
        <v>0</v>
      </c>
      <c r="AP276" s="80">
        <f t="shared" si="244"/>
        <v>0</v>
      </c>
      <c r="AQ276" s="80">
        <f t="shared" si="245"/>
        <v>0</v>
      </c>
      <c r="AR276" s="80">
        <f t="shared" si="246"/>
        <v>0</v>
      </c>
      <c r="AS276" s="80">
        <f t="shared" si="247"/>
        <v>0</v>
      </c>
      <c r="AT276" s="80">
        <f t="shared" si="248"/>
        <v>0</v>
      </c>
      <c r="AU276" s="80">
        <f t="shared" si="249"/>
        <v>0</v>
      </c>
      <c r="AV276" s="80">
        <f t="shared" si="294"/>
        <v>30.634602890351317</v>
      </c>
      <c r="AW276" s="80">
        <f t="shared" si="295"/>
        <v>15.237426148428785</v>
      </c>
      <c r="AX276" s="80">
        <f t="shared" si="296"/>
        <v>10.798178310159445</v>
      </c>
      <c r="AY276" s="80">
        <f t="shared" si="297"/>
        <v>7.9409975870085852</v>
      </c>
      <c r="AZ276" s="80">
        <f t="shared" si="298"/>
        <v>63.938629468363274</v>
      </c>
      <c r="BA276" s="80">
        <f t="shared" si="299"/>
        <v>28.023637336551971</v>
      </c>
      <c r="BB276" s="80">
        <f t="shared" si="275"/>
        <v>495.85711298138415</v>
      </c>
      <c r="BC276" s="80">
        <f t="shared" si="276"/>
        <v>180.25755055384411</v>
      </c>
      <c r="BD276" s="80">
        <f t="shared" si="277"/>
        <v>142.57320138448461</v>
      </c>
      <c r="BE276" s="80">
        <f t="shared" si="278"/>
        <v>101.24674882997449</v>
      </c>
      <c r="BF276" s="80">
        <f t="shared" si="279"/>
        <v>757.14492191245472</v>
      </c>
      <c r="BG276" s="80">
        <f t="shared" si="280"/>
        <v>345.40575515540917</v>
      </c>
      <c r="BH276" s="49">
        <f t="shared" si="281"/>
        <v>0</v>
      </c>
      <c r="BI276" s="79">
        <f t="shared" si="282"/>
        <v>-79761.786887034497</v>
      </c>
      <c r="BJ276" s="79">
        <f t="shared" si="250"/>
        <v>90200</v>
      </c>
      <c r="BK276" s="44">
        <f t="shared" si="283"/>
        <v>0.13086734287621971</v>
      </c>
      <c r="BL276" s="79">
        <f t="shared" si="300"/>
        <v>6437.468696330985</v>
      </c>
      <c r="BM276" s="49">
        <f t="shared" si="284"/>
        <v>96637.46869633098</v>
      </c>
      <c r="BN276" s="44">
        <f t="shared" si="285"/>
        <v>0.2115760249102403</v>
      </c>
      <c r="BO276" s="49">
        <f t="shared" si="251"/>
        <v>7314.9886498938868</v>
      </c>
      <c r="BP276" s="49">
        <f t="shared" si="252"/>
        <v>97514.988649893887</v>
      </c>
      <c r="BQ276" s="44">
        <f t="shared" si="253"/>
        <v>0.2225777838704015</v>
      </c>
      <c r="BS276" s="49">
        <f t="shared" si="254"/>
        <v>79761.786887034497</v>
      </c>
      <c r="BT276" s="49">
        <f t="shared" si="230"/>
        <v>67.860000999999997</v>
      </c>
      <c r="BU276" s="49">
        <f t="shared" si="231"/>
        <v>42.630001</v>
      </c>
      <c r="BV276" s="49">
        <f t="shared" si="255"/>
        <v>-3146.779294223481</v>
      </c>
      <c r="BW276" s="18">
        <f t="shared" si="256"/>
        <v>1638</v>
      </c>
      <c r="BX276" s="19">
        <f t="shared" si="286"/>
        <v>0.62431192660550461</v>
      </c>
      <c r="BY276" s="49">
        <f t="shared" si="287"/>
        <v>-1964.5718437789715</v>
      </c>
      <c r="BZ276" s="19">
        <f t="shared" si="257"/>
        <v>0</v>
      </c>
      <c r="CA276" s="19">
        <f t="shared" si="258"/>
        <v>0</v>
      </c>
      <c r="CB276" s="19">
        <f t="shared" si="259"/>
        <v>0</v>
      </c>
      <c r="CC276" s="19">
        <f t="shared" si="260"/>
        <v>0</v>
      </c>
      <c r="CD276" s="19">
        <f t="shared" si="261"/>
        <v>0</v>
      </c>
      <c r="CE276" s="19">
        <f t="shared" si="262"/>
        <v>0</v>
      </c>
      <c r="CF276" s="49">
        <f t="shared" si="263"/>
        <v>0</v>
      </c>
      <c r="CG276" s="49">
        <f t="shared" si="264"/>
        <v>0</v>
      </c>
      <c r="CH276" s="49">
        <f t="shared" si="265"/>
        <v>0</v>
      </c>
      <c r="CI276" s="49">
        <f t="shared" si="266"/>
        <v>0</v>
      </c>
      <c r="CJ276" s="49">
        <f t="shared" si="267"/>
        <v>0</v>
      </c>
      <c r="CK276" s="49">
        <f t="shared" si="268"/>
        <v>0</v>
      </c>
    </row>
    <row r="277" spans="2:89" ht="12.75" customHeight="1" x14ac:dyDescent="0.2">
      <c r="B277" s="77">
        <v>40938</v>
      </c>
      <c r="C277" s="49">
        <v>69.480002999999996</v>
      </c>
      <c r="D277" s="49">
        <v>55.779998999999997</v>
      </c>
      <c r="E277" s="49">
        <v>56.459999000000003</v>
      </c>
      <c r="F277" s="49">
        <v>69.959998999999996</v>
      </c>
      <c r="G277" s="49">
        <v>33.380001</v>
      </c>
      <c r="H277" s="49">
        <v>44.209999000000003</v>
      </c>
      <c r="J277" s="78">
        <f>IF(inter=Weekly_2,J276+$C$5,IF(inter=Bi_weekly_2,0,IF(inter=Monthly_2,0,IF(inter=Quarterly_2,0,IF(inter=Yearly_2,0,IF(inter=None_2,0,0))))))</f>
        <v>0</v>
      </c>
      <c r="K277" s="79">
        <f t="shared" si="269"/>
        <v>0</v>
      </c>
      <c r="L277" s="79">
        <f t="shared" si="270"/>
        <v>0</v>
      </c>
      <c r="M277" s="79">
        <f t="shared" si="271"/>
        <v>0</v>
      </c>
      <c r="N277" s="79">
        <f t="shared" si="272"/>
        <v>0</v>
      </c>
      <c r="O277" s="79">
        <f t="shared" si="273"/>
        <v>0</v>
      </c>
      <c r="P277" s="79">
        <f t="shared" si="274"/>
        <v>0</v>
      </c>
      <c r="Q277" s="79"/>
      <c r="R277" s="80">
        <f t="shared" si="232"/>
        <v>0</v>
      </c>
      <c r="S277" s="80">
        <f t="shared" si="233"/>
        <v>0</v>
      </c>
      <c r="T277" s="80">
        <f t="shared" si="234"/>
        <v>0</v>
      </c>
      <c r="U277" s="80">
        <f t="shared" si="235"/>
        <v>0</v>
      </c>
      <c r="V277" s="80">
        <f t="shared" si="236"/>
        <v>0</v>
      </c>
      <c r="W277" s="80">
        <f t="shared" si="237"/>
        <v>0</v>
      </c>
      <c r="X277" s="80">
        <f t="shared" si="288"/>
        <v>465.22251009103286</v>
      </c>
      <c r="Y277" s="80">
        <f t="shared" si="289"/>
        <v>165.02012440541532</v>
      </c>
      <c r="Z277" s="80">
        <f t="shared" si="290"/>
        <v>131.77502307432516</v>
      </c>
      <c r="AA277" s="80">
        <f t="shared" si="291"/>
        <v>93.305751242965911</v>
      </c>
      <c r="AB277" s="80">
        <f t="shared" si="292"/>
        <v>693.20629244409145</v>
      </c>
      <c r="AC277" s="80">
        <f t="shared" si="293"/>
        <v>317.38211781885718</v>
      </c>
      <c r="AD277" s="80"/>
      <c r="AE277" s="80"/>
      <c r="AF277" s="80"/>
      <c r="AG277" s="80"/>
      <c r="AH277" s="80"/>
      <c r="AI277" s="80"/>
      <c r="AJ277" s="45">
        <f t="shared" si="238"/>
        <v>0</v>
      </c>
      <c r="AK277" s="45">
        <f t="shared" si="239"/>
        <v>0</v>
      </c>
      <c r="AL277" s="45">
        <f t="shared" si="240"/>
        <v>0</v>
      </c>
      <c r="AM277" s="45">
        <f t="shared" si="241"/>
        <v>0</v>
      </c>
      <c r="AN277" s="45">
        <f t="shared" si="242"/>
        <v>0</v>
      </c>
      <c r="AO277" s="45">
        <f t="shared" si="243"/>
        <v>0</v>
      </c>
      <c r="AP277" s="80">
        <f t="shared" si="244"/>
        <v>0</v>
      </c>
      <c r="AQ277" s="80">
        <f t="shared" si="245"/>
        <v>0</v>
      </c>
      <c r="AR277" s="80">
        <f t="shared" si="246"/>
        <v>0</v>
      </c>
      <c r="AS277" s="80">
        <f t="shared" si="247"/>
        <v>0</v>
      </c>
      <c r="AT277" s="80">
        <f t="shared" si="248"/>
        <v>0</v>
      </c>
      <c r="AU277" s="80">
        <f t="shared" si="249"/>
        <v>0</v>
      </c>
      <c r="AV277" s="80">
        <f t="shared" si="294"/>
        <v>30.634602890351317</v>
      </c>
      <c r="AW277" s="80">
        <f t="shared" si="295"/>
        <v>15.237426148428785</v>
      </c>
      <c r="AX277" s="80">
        <f t="shared" si="296"/>
        <v>10.798178310159445</v>
      </c>
      <c r="AY277" s="80">
        <f t="shared" si="297"/>
        <v>7.9409975870085852</v>
      </c>
      <c r="AZ277" s="80">
        <f t="shared" si="298"/>
        <v>63.938629468363274</v>
      </c>
      <c r="BA277" s="80">
        <f t="shared" si="299"/>
        <v>28.023637336551971</v>
      </c>
      <c r="BB277" s="80">
        <f t="shared" si="275"/>
        <v>495.85711298138415</v>
      </c>
      <c r="BC277" s="80">
        <f t="shared" si="276"/>
        <v>180.25755055384411</v>
      </c>
      <c r="BD277" s="80">
        <f t="shared" si="277"/>
        <v>142.57320138448461</v>
      </c>
      <c r="BE277" s="80">
        <f t="shared" si="278"/>
        <v>101.24674882997449</v>
      </c>
      <c r="BF277" s="80">
        <f t="shared" si="279"/>
        <v>757.14492191245472</v>
      </c>
      <c r="BG277" s="80">
        <f t="shared" si="280"/>
        <v>345.40575515540917</v>
      </c>
      <c r="BH277" s="49">
        <f t="shared" si="281"/>
        <v>0</v>
      </c>
      <c r="BI277" s="79">
        <f t="shared" si="282"/>
        <v>-79761.786887034497</v>
      </c>
      <c r="BJ277" s="79">
        <f t="shared" si="250"/>
        <v>92666.861552139584</v>
      </c>
      <c r="BK277" s="44">
        <f t="shared" si="283"/>
        <v>0.16179520505705769</v>
      </c>
      <c r="BL277" s="79">
        <f t="shared" si="300"/>
        <v>6437.468696330985</v>
      </c>
      <c r="BM277" s="49">
        <f t="shared" si="284"/>
        <v>99104.330248470564</v>
      </c>
      <c r="BN277" s="44">
        <f t="shared" si="285"/>
        <v>0.24250388709107829</v>
      </c>
      <c r="BO277" s="49">
        <f t="shared" si="251"/>
        <v>7516.8497301048174</v>
      </c>
      <c r="BP277" s="49">
        <f t="shared" si="252"/>
        <v>100183.71128224439</v>
      </c>
      <c r="BQ277" s="44">
        <f t="shared" si="253"/>
        <v>0.25603644542383663</v>
      </c>
      <c r="BS277" s="49">
        <f t="shared" si="254"/>
        <v>79761.786887034497</v>
      </c>
      <c r="BT277" s="49">
        <f t="shared" si="230"/>
        <v>69.480002999999996</v>
      </c>
      <c r="BU277" s="49">
        <f t="shared" si="231"/>
        <v>44.209999000000003</v>
      </c>
      <c r="BV277" s="49">
        <f t="shared" si="255"/>
        <v>0</v>
      </c>
      <c r="BW277" s="18">
        <f t="shared" si="256"/>
        <v>1645</v>
      </c>
      <c r="BX277" s="19">
        <f t="shared" si="286"/>
        <v>0.62270642201834858</v>
      </c>
      <c r="BY277" s="49">
        <f t="shared" si="287"/>
        <v>0</v>
      </c>
      <c r="BZ277" s="19">
        <f t="shared" si="257"/>
        <v>0</v>
      </c>
      <c r="CA277" s="19">
        <f t="shared" si="258"/>
        <v>0</v>
      </c>
      <c r="CB277" s="19">
        <f t="shared" si="259"/>
        <v>0</v>
      </c>
      <c r="CC277" s="19">
        <f t="shared" si="260"/>
        <v>0</v>
      </c>
      <c r="CD277" s="19">
        <f t="shared" si="261"/>
        <v>0</v>
      </c>
      <c r="CE277" s="19">
        <f t="shared" si="262"/>
        <v>0</v>
      </c>
      <c r="CF277" s="49">
        <f t="shared" si="263"/>
        <v>0</v>
      </c>
      <c r="CG277" s="49">
        <f t="shared" si="264"/>
        <v>0</v>
      </c>
      <c r="CH277" s="49">
        <f t="shared" si="265"/>
        <v>0</v>
      </c>
      <c r="CI277" s="49">
        <f t="shared" si="266"/>
        <v>0</v>
      </c>
      <c r="CJ277" s="49">
        <f t="shared" si="267"/>
        <v>0</v>
      </c>
      <c r="CK277" s="49">
        <f t="shared" si="268"/>
        <v>0</v>
      </c>
    </row>
    <row r="278" spans="2:89" ht="12.75" customHeight="1" x14ac:dyDescent="0.2">
      <c r="B278" s="77">
        <v>40945</v>
      </c>
      <c r="C278" s="49">
        <v>69.309997999999993</v>
      </c>
      <c r="D278" s="49">
        <v>55.580002</v>
      </c>
      <c r="E278" s="49">
        <v>56.060001</v>
      </c>
      <c r="F278" s="49">
        <v>68.879997000000003</v>
      </c>
      <c r="G278" s="49">
        <v>33.029998999999997</v>
      </c>
      <c r="H278" s="49">
        <v>43.279998999999997</v>
      </c>
      <c r="J278" s="78">
        <f>IF(inter=Weekly_2,J277+$C$5,IF(inter=Bi_weekly_2,J276+$C$5,IF(inter=Monthly_2,J274+$C$5,IF(inter=Quarterly_2,0,IF(inter=Yearly_2,0,IF(inter=None_2,0,0))))))</f>
        <v>90800</v>
      </c>
      <c r="K278" s="79">
        <f t="shared" si="269"/>
        <v>464.5712439644667</v>
      </c>
      <c r="L278" s="79">
        <f t="shared" si="270"/>
        <v>91.818844493232973</v>
      </c>
      <c r="M278" s="79">
        <f t="shared" si="271"/>
        <v>123.30792532169198</v>
      </c>
      <c r="N278" s="79">
        <f t="shared" si="272"/>
        <v>70.899865698237591</v>
      </c>
      <c r="O278" s="79">
        <f t="shared" si="273"/>
        <v>196.60314622204532</v>
      </c>
      <c r="P278" s="79">
        <f t="shared" si="274"/>
        <v>116.29774181801986</v>
      </c>
      <c r="Q278" s="79"/>
      <c r="R278" s="80">
        <f t="shared" si="232"/>
        <v>-6.7028027322186148</v>
      </c>
      <c r="S278" s="80">
        <f t="shared" si="233"/>
        <v>-1.6520122560131065</v>
      </c>
      <c r="T278" s="80">
        <f t="shared" si="234"/>
        <v>-2.19957051591369</v>
      </c>
      <c r="U278" s="80">
        <f t="shared" si="235"/>
        <v>-1.0293244597301243</v>
      </c>
      <c r="V278" s="80">
        <f t="shared" si="236"/>
        <v>-5.9522601324343167</v>
      </c>
      <c r="W278" s="80">
        <f t="shared" si="237"/>
        <v>-2.6871013055711916</v>
      </c>
      <c r="X278" s="80">
        <f t="shared" si="288"/>
        <v>458.51970735881423</v>
      </c>
      <c r="Y278" s="80">
        <f t="shared" si="289"/>
        <v>163.36811214940221</v>
      </c>
      <c r="Z278" s="80">
        <f t="shared" si="290"/>
        <v>129.57545255841148</v>
      </c>
      <c r="AA278" s="80">
        <f t="shared" si="291"/>
        <v>92.276426783235792</v>
      </c>
      <c r="AB278" s="80">
        <f t="shared" si="292"/>
        <v>687.25403231165717</v>
      </c>
      <c r="AC278" s="80">
        <f t="shared" si="293"/>
        <v>314.69501651328596</v>
      </c>
      <c r="AD278" s="80"/>
      <c r="AE278" s="80"/>
      <c r="AF278" s="80"/>
      <c r="AG278" s="80"/>
      <c r="AH278" s="80"/>
      <c r="AI278" s="80"/>
      <c r="AJ278" s="45">
        <f t="shared" si="238"/>
        <v>0</v>
      </c>
      <c r="AK278" s="45">
        <f t="shared" si="239"/>
        <v>0</v>
      </c>
      <c r="AL278" s="45">
        <f t="shared" si="240"/>
        <v>0</v>
      </c>
      <c r="AM278" s="45">
        <f t="shared" si="241"/>
        <v>0</v>
      </c>
      <c r="AN278" s="45">
        <f t="shared" si="242"/>
        <v>0</v>
      </c>
      <c r="AO278" s="45">
        <f t="shared" si="243"/>
        <v>0</v>
      </c>
      <c r="AP278" s="80">
        <f t="shared" si="244"/>
        <v>0</v>
      </c>
      <c r="AQ278" s="80">
        <f t="shared" si="245"/>
        <v>0</v>
      </c>
      <c r="AR278" s="80">
        <f t="shared" si="246"/>
        <v>0</v>
      </c>
      <c r="AS278" s="80">
        <f t="shared" si="247"/>
        <v>0</v>
      </c>
      <c r="AT278" s="80">
        <f t="shared" si="248"/>
        <v>0</v>
      </c>
      <c r="AU278" s="80">
        <f t="shared" si="249"/>
        <v>0</v>
      </c>
      <c r="AV278" s="80">
        <f t="shared" si="294"/>
        <v>30.634602890351317</v>
      </c>
      <c r="AW278" s="80">
        <f t="shared" si="295"/>
        <v>15.237426148428785</v>
      </c>
      <c r="AX278" s="80">
        <f t="shared" si="296"/>
        <v>10.798178310159445</v>
      </c>
      <c r="AY278" s="80">
        <f t="shared" si="297"/>
        <v>7.9409975870085852</v>
      </c>
      <c r="AZ278" s="80">
        <f t="shared" si="298"/>
        <v>63.938629468363274</v>
      </c>
      <c r="BA278" s="80">
        <f t="shared" si="299"/>
        <v>28.023637336551971</v>
      </c>
      <c r="BB278" s="80">
        <f t="shared" si="275"/>
        <v>489.15431024916552</v>
      </c>
      <c r="BC278" s="80">
        <f t="shared" si="276"/>
        <v>178.605538297831</v>
      </c>
      <c r="BD278" s="80">
        <f t="shared" si="277"/>
        <v>140.37363086857093</v>
      </c>
      <c r="BE278" s="80">
        <f t="shared" si="278"/>
        <v>100.21742437024437</v>
      </c>
      <c r="BF278" s="80">
        <f t="shared" si="279"/>
        <v>751.19266178002044</v>
      </c>
      <c r="BG278" s="80">
        <f t="shared" si="280"/>
        <v>342.71865384983795</v>
      </c>
      <c r="BH278" s="49">
        <f t="shared" si="281"/>
        <v>0</v>
      </c>
      <c r="BI278" s="79">
        <f t="shared" si="282"/>
        <v>-78698.288119516801</v>
      </c>
      <c r="BJ278" s="79">
        <f t="shared" si="250"/>
        <v>90800</v>
      </c>
      <c r="BK278" s="44">
        <f t="shared" si="283"/>
        <v>0.15377350854321858</v>
      </c>
      <c r="BL278" s="79">
        <f t="shared" si="300"/>
        <v>6437.468696330985</v>
      </c>
      <c r="BM278" s="49">
        <f t="shared" si="284"/>
        <v>97237.46869633098</v>
      </c>
      <c r="BN278" s="44">
        <f t="shared" si="285"/>
        <v>0.23557285704435227</v>
      </c>
      <c r="BO278" s="49">
        <f t="shared" si="251"/>
        <v>7447.258081005185</v>
      </c>
      <c r="BP278" s="49">
        <f t="shared" si="252"/>
        <v>98247.258081005188</v>
      </c>
      <c r="BQ278" s="44">
        <f t="shared" si="253"/>
        <v>0.24840400507568772</v>
      </c>
      <c r="BS278" s="49">
        <f t="shared" si="254"/>
        <v>78698.288119516801</v>
      </c>
      <c r="BT278" s="49">
        <f t="shared" si="230"/>
        <v>69.309997999999993</v>
      </c>
      <c r="BU278" s="49">
        <f t="shared" si="231"/>
        <v>43.279998999999997</v>
      </c>
      <c r="BV278" s="49">
        <f t="shared" si="255"/>
        <v>-1063.4987675176944</v>
      </c>
      <c r="BW278" s="18">
        <f t="shared" si="256"/>
        <v>1652</v>
      </c>
      <c r="BX278" s="19">
        <f t="shared" si="286"/>
        <v>0.62110091743119267</v>
      </c>
      <c r="BY278" s="49">
        <f t="shared" si="287"/>
        <v>-660.54006019218275</v>
      </c>
      <c r="BZ278" s="19">
        <f t="shared" si="257"/>
        <v>0</v>
      </c>
      <c r="CA278" s="19">
        <f t="shared" si="258"/>
        <v>0</v>
      </c>
      <c r="CB278" s="19">
        <f t="shared" si="259"/>
        <v>0</v>
      </c>
      <c r="CC278" s="19">
        <f t="shared" si="260"/>
        <v>0</v>
      </c>
      <c r="CD278" s="19">
        <f t="shared" si="261"/>
        <v>0</v>
      </c>
      <c r="CE278" s="19">
        <f t="shared" si="262"/>
        <v>0</v>
      </c>
      <c r="CF278" s="49">
        <f t="shared" si="263"/>
        <v>0</v>
      </c>
      <c r="CG278" s="49">
        <f t="shared" si="264"/>
        <v>0</v>
      </c>
      <c r="CH278" s="49">
        <f t="shared" si="265"/>
        <v>0</v>
      </c>
      <c r="CI278" s="49">
        <f t="shared" si="266"/>
        <v>0</v>
      </c>
      <c r="CJ278" s="49">
        <f t="shared" si="267"/>
        <v>0</v>
      </c>
      <c r="CK278" s="49">
        <f t="shared" si="268"/>
        <v>0</v>
      </c>
    </row>
    <row r="279" spans="2:89" ht="12.75" customHeight="1" x14ac:dyDescent="0.2">
      <c r="B279" s="77">
        <v>40952</v>
      </c>
      <c r="C279" s="49">
        <v>70.370002999999997</v>
      </c>
      <c r="D279" s="49">
        <v>56.490001999999997</v>
      </c>
      <c r="E279" s="49">
        <v>56.93</v>
      </c>
      <c r="F279" s="49">
        <v>70.230002999999996</v>
      </c>
      <c r="G279" s="49">
        <v>33.790000999999997</v>
      </c>
      <c r="H279" s="49">
        <v>44.279998999999997</v>
      </c>
      <c r="J279" s="78">
        <f>IF(inter=Weekly_2,J278+$C$5,IF(inter=Bi_weekly_2,0,IF(inter=Monthly_2,0,IF(inter=Quarterly_2,0,IF(inter=Yearly_2,0,IF(inter=None_2,0,0))))))</f>
        <v>0</v>
      </c>
      <c r="K279" s="79">
        <f t="shared" si="269"/>
        <v>0</v>
      </c>
      <c r="L279" s="79">
        <f t="shared" si="270"/>
        <v>0</v>
      </c>
      <c r="M279" s="79">
        <f t="shared" si="271"/>
        <v>0</v>
      </c>
      <c r="N279" s="79">
        <f t="shared" si="272"/>
        <v>0</v>
      </c>
      <c r="O279" s="79">
        <f t="shared" si="273"/>
        <v>0</v>
      </c>
      <c r="P279" s="79">
        <f t="shared" si="274"/>
        <v>0</v>
      </c>
      <c r="Q279" s="79"/>
      <c r="R279" s="80">
        <f t="shared" si="232"/>
        <v>0</v>
      </c>
      <c r="S279" s="80">
        <f t="shared" si="233"/>
        <v>0</v>
      </c>
      <c r="T279" s="80">
        <f t="shared" si="234"/>
        <v>0</v>
      </c>
      <c r="U279" s="80">
        <f t="shared" si="235"/>
        <v>0</v>
      </c>
      <c r="V279" s="80">
        <f t="shared" si="236"/>
        <v>0</v>
      </c>
      <c r="W279" s="80">
        <f t="shared" si="237"/>
        <v>0</v>
      </c>
      <c r="X279" s="80">
        <f t="shared" si="288"/>
        <v>458.51970735881423</v>
      </c>
      <c r="Y279" s="80">
        <f t="shared" si="289"/>
        <v>163.36811214940221</v>
      </c>
      <c r="Z279" s="80">
        <f t="shared" si="290"/>
        <v>129.57545255841148</v>
      </c>
      <c r="AA279" s="80">
        <f t="shared" si="291"/>
        <v>92.276426783235792</v>
      </c>
      <c r="AB279" s="80">
        <f t="shared" si="292"/>
        <v>687.25403231165717</v>
      </c>
      <c r="AC279" s="80">
        <f t="shared" si="293"/>
        <v>314.69501651328596</v>
      </c>
      <c r="AD279" s="80"/>
      <c r="AE279" s="80"/>
      <c r="AF279" s="80"/>
      <c r="AG279" s="80"/>
      <c r="AH279" s="80"/>
      <c r="AI279" s="80"/>
      <c r="AJ279" s="45">
        <f t="shared" si="238"/>
        <v>0</v>
      </c>
      <c r="AK279" s="45">
        <f t="shared" si="239"/>
        <v>0</v>
      </c>
      <c r="AL279" s="45">
        <f t="shared" si="240"/>
        <v>0</v>
      </c>
      <c r="AM279" s="45">
        <f t="shared" si="241"/>
        <v>0</v>
      </c>
      <c r="AN279" s="45">
        <f t="shared" si="242"/>
        <v>0</v>
      </c>
      <c r="AO279" s="45">
        <f t="shared" si="243"/>
        <v>0</v>
      </c>
      <c r="AP279" s="80">
        <f t="shared" si="244"/>
        <v>0</v>
      </c>
      <c r="AQ279" s="80">
        <f t="shared" si="245"/>
        <v>0</v>
      </c>
      <c r="AR279" s="80">
        <f t="shared" si="246"/>
        <v>0</v>
      </c>
      <c r="AS279" s="80">
        <f t="shared" si="247"/>
        <v>0</v>
      </c>
      <c r="AT279" s="80">
        <f t="shared" si="248"/>
        <v>0</v>
      </c>
      <c r="AU279" s="80">
        <f t="shared" si="249"/>
        <v>0</v>
      </c>
      <c r="AV279" s="80">
        <f t="shared" si="294"/>
        <v>30.634602890351317</v>
      </c>
      <c r="AW279" s="80">
        <f t="shared" si="295"/>
        <v>15.237426148428785</v>
      </c>
      <c r="AX279" s="80">
        <f t="shared" si="296"/>
        <v>10.798178310159445</v>
      </c>
      <c r="AY279" s="80">
        <f t="shared" si="297"/>
        <v>7.9409975870085852</v>
      </c>
      <c r="AZ279" s="80">
        <f t="shared" si="298"/>
        <v>63.938629468363274</v>
      </c>
      <c r="BA279" s="80">
        <f t="shared" si="299"/>
        <v>28.023637336551971</v>
      </c>
      <c r="BB279" s="80">
        <f t="shared" si="275"/>
        <v>489.15431024916552</v>
      </c>
      <c r="BC279" s="80">
        <f t="shared" si="276"/>
        <v>178.605538297831</v>
      </c>
      <c r="BD279" s="80">
        <f t="shared" si="277"/>
        <v>140.37363086857093</v>
      </c>
      <c r="BE279" s="80">
        <f t="shared" si="278"/>
        <v>100.21742437024437</v>
      </c>
      <c r="BF279" s="80">
        <f t="shared" si="279"/>
        <v>751.19266178002044</v>
      </c>
      <c r="BG279" s="80">
        <f t="shared" si="280"/>
        <v>342.71865384983795</v>
      </c>
      <c r="BH279" s="49">
        <f t="shared" si="281"/>
        <v>0</v>
      </c>
      <c r="BI279" s="79">
        <f t="shared" si="282"/>
        <v>-78698.288119516801</v>
      </c>
      <c r="BJ279" s="79">
        <f t="shared" si="250"/>
        <v>92509.011863999345</v>
      </c>
      <c r="BK279" s="44">
        <f t="shared" si="283"/>
        <v>0.17548950649992023</v>
      </c>
      <c r="BL279" s="79">
        <f t="shared" si="300"/>
        <v>6437.468696330985</v>
      </c>
      <c r="BM279" s="49">
        <f t="shared" si="284"/>
        <v>98946.480560330325</v>
      </c>
      <c r="BN279" s="44">
        <f t="shared" si="285"/>
        <v>0.25728885500105392</v>
      </c>
      <c r="BO279" s="49">
        <f t="shared" si="251"/>
        <v>7590.3288933669155</v>
      </c>
      <c r="BP279" s="49">
        <f t="shared" si="252"/>
        <v>100099.34075736627</v>
      </c>
      <c r="BQ279" s="44">
        <f t="shared" si="253"/>
        <v>0.27193796903623002</v>
      </c>
      <c r="BS279" s="49">
        <f t="shared" si="254"/>
        <v>78698.288119516801</v>
      </c>
      <c r="BT279" s="49">
        <f t="shared" si="230"/>
        <v>70.370002999999997</v>
      </c>
      <c r="BU279" s="49">
        <f t="shared" si="231"/>
        <v>44.279998999999997</v>
      </c>
      <c r="BV279" s="49">
        <f t="shared" si="255"/>
        <v>0</v>
      </c>
      <c r="BW279" s="18">
        <f t="shared" si="256"/>
        <v>1659</v>
      </c>
      <c r="BX279" s="19">
        <f t="shared" si="286"/>
        <v>0.61949541284403675</v>
      </c>
      <c r="BY279" s="49">
        <f t="shared" si="287"/>
        <v>0</v>
      </c>
      <c r="BZ279" s="19">
        <f t="shared" si="257"/>
        <v>0</v>
      </c>
      <c r="CA279" s="19">
        <f t="shared" si="258"/>
        <v>0</v>
      </c>
      <c r="CB279" s="19">
        <f t="shared" si="259"/>
        <v>0</v>
      </c>
      <c r="CC279" s="19">
        <f t="shared" si="260"/>
        <v>0</v>
      </c>
      <c r="CD279" s="19">
        <f t="shared" si="261"/>
        <v>0</v>
      </c>
      <c r="CE279" s="19">
        <f t="shared" si="262"/>
        <v>0</v>
      </c>
      <c r="CF279" s="49">
        <f t="shared" si="263"/>
        <v>0</v>
      </c>
      <c r="CG279" s="49">
        <f t="shared" si="264"/>
        <v>0</v>
      </c>
      <c r="CH279" s="49">
        <f t="shared" si="265"/>
        <v>0</v>
      </c>
      <c r="CI279" s="49">
        <f t="shared" si="266"/>
        <v>0</v>
      </c>
      <c r="CJ279" s="49">
        <f t="shared" si="267"/>
        <v>0</v>
      </c>
      <c r="CK279" s="49">
        <f t="shared" si="268"/>
        <v>0</v>
      </c>
    </row>
    <row r="280" spans="2:89" ht="12.75" customHeight="1" x14ac:dyDescent="0.2">
      <c r="B280" s="77">
        <v>40960</v>
      </c>
      <c r="C280" s="49">
        <v>70.610000999999997</v>
      </c>
      <c r="D280" s="49">
        <v>56.439999</v>
      </c>
      <c r="E280" s="49">
        <v>56.610000999999997</v>
      </c>
      <c r="F280" s="49">
        <v>69.800003000000004</v>
      </c>
      <c r="G280" s="49">
        <v>34.229999999999997</v>
      </c>
      <c r="H280" s="49">
        <v>44.509998000000003</v>
      </c>
      <c r="J280" s="78">
        <f>IF(inter=Weekly_2,J279+$C$5,IF(inter=Bi_weekly_2,J278+$C$5,IF(inter=Monthly_2,0,IF(inter=Quarterly_2,0,IF(inter=Yearly_2,0,IF(inter=None_2,0,0))))))</f>
        <v>91400</v>
      </c>
      <c r="K280" s="79">
        <f t="shared" si="269"/>
        <v>386.07699512558247</v>
      </c>
      <c r="L280" s="79">
        <f t="shared" si="270"/>
        <v>80.496086344148353</v>
      </c>
      <c r="M280" s="79">
        <f t="shared" si="271"/>
        <v>23.266498907126334</v>
      </c>
      <c r="N280" s="79">
        <f t="shared" si="272"/>
        <v>42.894866299137902</v>
      </c>
      <c r="O280" s="79">
        <f t="shared" si="273"/>
        <v>674.70552602802127</v>
      </c>
      <c r="P280" s="79">
        <f t="shared" si="274"/>
        <v>297.0745556163256</v>
      </c>
      <c r="Q280" s="79"/>
      <c r="R280" s="80">
        <f t="shared" si="232"/>
        <v>-5.4677381342280746</v>
      </c>
      <c r="S280" s="80">
        <f t="shared" si="233"/>
        <v>-1.4262240923170171</v>
      </c>
      <c r="T280" s="80">
        <f t="shared" si="234"/>
        <v>-0.41099626384260857</v>
      </c>
      <c r="U280" s="80">
        <f t="shared" si="235"/>
        <v>-0.61453960537992958</v>
      </c>
      <c r="V280" s="80">
        <f t="shared" si="236"/>
        <v>-19.710941455682772</v>
      </c>
      <c r="W280" s="80">
        <f t="shared" si="237"/>
        <v>-6.6743331603008738</v>
      </c>
      <c r="X280" s="80">
        <f t="shared" si="288"/>
        <v>453.05196922458617</v>
      </c>
      <c r="Y280" s="80">
        <f t="shared" si="289"/>
        <v>161.94188805708518</v>
      </c>
      <c r="Z280" s="80">
        <f t="shared" si="290"/>
        <v>129.16445629456888</v>
      </c>
      <c r="AA280" s="80">
        <f t="shared" si="291"/>
        <v>91.66188717785586</v>
      </c>
      <c r="AB280" s="80">
        <f t="shared" si="292"/>
        <v>667.54309085597436</v>
      </c>
      <c r="AC280" s="80">
        <f t="shared" si="293"/>
        <v>308.02068335298509</v>
      </c>
      <c r="AD280" s="80"/>
      <c r="AE280" s="80"/>
      <c r="AF280" s="80"/>
      <c r="AG280" s="80"/>
      <c r="AH280" s="80"/>
      <c r="AI280" s="80"/>
      <c r="AJ280" s="45">
        <f t="shared" si="238"/>
        <v>0</v>
      </c>
      <c r="AK280" s="45">
        <f t="shared" si="239"/>
        <v>0</v>
      </c>
      <c r="AL280" s="45">
        <f t="shared" si="240"/>
        <v>0</v>
      </c>
      <c r="AM280" s="45">
        <f t="shared" si="241"/>
        <v>0</v>
      </c>
      <c r="AN280" s="45">
        <f t="shared" si="242"/>
        <v>0</v>
      </c>
      <c r="AO280" s="45">
        <f t="shared" si="243"/>
        <v>0</v>
      </c>
      <c r="AP280" s="80">
        <f t="shared" si="244"/>
        <v>0</v>
      </c>
      <c r="AQ280" s="80">
        <f t="shared" si="245"/>
        <v>0</v>
      </c>
      <c r="AR280" s="80">
        <f t="shared" si="246"/>
        <v>0</v>
      </c>
      <c r="AS280" s="80">
        <f t="shared" si="247"/>
        <v>0</v>
      </c>
      <c r="AT280" s="80">
        <f t="shared" si="248"/>
        <v>0</v>
      </c>
      <c r="AU280" s="80">
        <f t="shared" si="249"/>
        <v>0</v>
      </c>
      <c r="AV280" s="80">
        <f t="shared" si="294"/>
        <v>30.634602890351317</v>
      </c>
      <c r="AW280" s="80">
        <f t="shared" si="295"/>
        <v>15.237426148428785</v>
      </c>
      <c r="AX280" s="80">
        <f t="shared" si="296"/>
        <v>10.798178310159445</v>
      </c>
      <c r="AY280" s="80">
        <f t="shared" si="297"/>
        <v>7.9409975870085852</v>
      </c>
      <c r="AZ280" s="80">
        <f t="shared" si="298"/>
        <v>63.938629468363274</v>
      </c>
      <c r="BA280" s="80">
        <f t="shared" si="299"/>
        <v>28.023637336551971</v>
      </c>
      <c r="BB280" s="80">
        <f t="shared" si="275"/>
        <v>483.68657211493746</v>
      </c>
      <c r="BC280" s="80">
        <f t="shared" si="276"/>
        <v>177.17931420551398</v>
      </c>
      <c r="BD280" s="80">
        <f t="shared" si="277"/>
        <v>139.96263460472832</v>
      </c>
      <c r="BE280" s="80">
        <f t="shared" si="278"/>
        <v>99.602884764864442</v>
      </c>
      <c r="BF280" s="80">
        <f t="shared" si="279"/>
        <v>731.48172032433763</v>
      </c>
      <c r="BG280" s="80">
        <f t="shared" si="280"/>
        <v>336.04432068953707</v>
      </c>
      <c r="BH280" s="49">
        <f t="shared" si="281"/>
        <v>0</v>
      </c>
      <c r="BI280" s="79">
        <f t="shared" si="282"/>
        <v>-77193.77359119647</v>
      </c>
      <c r="BJ280" s="79">
        <f t="shared" si="250"/>
        <v>91400</v>
      </c>
      <c r="BK280" s="44">
        <f t="shared" si="283"/>
        <v>0.18403331963063496</v>
      </c>
      <c r="BL280" s="79">
        <f t="shared" si="300"/>
        <v>6437.468696330985</v>
      </c>
      <c r="BM280" s="49">
        <f t="shared" si="284"/>
        <v>97837.46869633098</v>
      </c>
      <c r="BN280" s="44">
        <f t="shared" si="285"/>
        <v>0.26742694578528559</v>
      </c>
      <c r="BO280" s="49">
        <f t="shared" si="251"/>
        <v>7624.6275261394294</v>
      </c>
      <c r="BP280" s="49">
        <f t="shared" si="252"/>
        <v>99024.627526139418</v>
      </c>
      <c r="BQ280" s="44">
        <f t="shared" si="253"/>
        <v>0.2828058911921445</v>
      </c>
      <c r="BS280" s="49">
        <f t="shared" si="254"/>
        <v>77193.77359119647</v>
      </c>
      <c r="BT280" s="49">
        <f t="shared" ref="BT280:BT343" si="301">C280</f>
        <v>70.610000999999997</v>
      </c>
      <c r="BU280" s="49">
        <f t="shared" ref="BU280:BU343" si="302">H280</f>
        <v>44.509998000000003</v>
      </c>
      <c r="BV280" s="49">
        <f t="shared" si="255"/>
        <v>-1504.5145283203419</v>
      </c>
      <c r="BW280" s="18">
        <f t="shared" si="256"/>
        <v>1667</v>
      </c>
      <c r="BX280" s="19">
        <f t="shared" si="286"/>
        <v>0.6176605504587156</v>
      </c>
      <c r="BY280" s="49">
        <f t="shared" si="287"/>
        <v>-929.27927173547721</v>
      </c>
      <c r="BZ280" s="19">
        <f t="shared" si="257"/>
        <v>0</v>
      </c>
      <c r="CA280" s="19">
        <f t="shared" si="258"/>
        <v>0</v>
      </c>
      <c r="CB280" s="19">
        <f t="shared" si="259"/>
        <v>0</v>
      </c>
      <c r="CC280" s="19">
        <f t="shared" si="260"/>
        <v>0</v>
      </c>
      <c r="CD280" s="19">
        <f t="shared" si="261"/>
        <v>0</v>
      </c>
      <c r="CE280" s="19">
        <f t="shared" si="262"/>
        <v>0</v>
      </c>
      <c r="CF280" s="49">
        <f t="shared" si="263"/>
        <v>0</v>
      </c>
      <c r="CG280" s="49">
        <f t="shared" si="264"/>
        <v>0</v>
      </c>
      <c r="CH280" s="49">
        <f t="shared" si="265"/>
        <v>0</v>
      </c>
      <c r="CI280" s="49">
        <f t="shared" si="266"/>
        <v>0</v>
      </c>
      <c r="CJ280" s="49">
        <f t="shared" si="267"/>
        <v>0</v>
      </c>
      <c r="CK280" s="49">
        <f t="shared" si="268"/>
        <v>0</v>
      </c>
    </row>
    <row r="281" spans="2:89" ht="12.75" customHeight="1" x14ac:dyDescent="0.2">
      <c r="B281" s="77">
        <v>40966</v>
      </c>
      <c r="C281" s="49">
        <v>70.599997999999999</v>
      </c>
      <c r="D281" s="49">
        <v>56.59</v>
      </c>
      <c r="E281" s="49">
        <v>56.389999000000003</v>
      </c>
      <c r="F281" s="49">
        <v>68.269997000000004</v>
      </c>
      <c r="G281" s="49">
        <v>33.950001</v>
      </c>
      <c r="H281" s="49">
        <v>44.970001000000003</v>
      </c>
      <c r="J281" s="78">
        <f>IF(inter=Weekly_2,J280+$C$5,IF(inter=Bi_weekly_2,0,IF(inter=Monthly_2,0,IF(inter=Quarterly_2,0,IF(inter=Yearly_2,0,IF(inter=None_2,0,0))))))</f>
        <v>0</v>
      </c>
      <c r="K281" s="79">
        <f t="shared" si="269"/>
        <v>0</v>
      </c>
      <c r="L281" s="79">
        <f t="shared" si="270"/>
        <v>0</v>
      </c>
      <c r="M281" s="79">
        <f t="shared" si="271"/>
        <v>0</v>
      </c>
      <c r="N281" s="79">
        <f t="shared" si="272"/>
        <v>0</v>
      </c>
      <c r="O281" s="79">
        <f t="shared" si="273"/>
        <v>0</v>
      </c>
      <c r="P281" s="79">
        <f t="shared" si="274"/>
        <v>0</v>
      </c>
      <c r="Q281" s="79"/>
      <c r="R281" s="80">
        <f t="shared" si="232"/>
        <v>0</v>
      </c>
      <c r="S281" s="80">
        <f t="shared" si="233"/>
        <v>0</v>
      </c>
      <c r="T281" s="80">
        <f t="shared" si="234"/>
        <v>0</v>
      </c>
      <c r="U281" s="80">
        <f t="shared" si="235"/>
        <v>0</v>
      </c>
      <c r="V281" s="80">
        <f t="shared" si="236"/>
        <v>0</v>
      </c>
      <c r="W281" s="80">
        <f t="shared" si="237"/>
        <v>0</v>
      </c>
      <c r="X281" s="80">
        <f t="shared" si="288"/>
        <v>453.05196922458617</v>
      </c>
      <c r="Y281" s="80">
        <f t="shared" si="289"/>
        <v>161.94188805708518</v>
      </c>
      <c r="Z281" s="80">
        <f t="shared" si="290"/>
        <v>129.16445629456888</v>
      </c>
      <c r="AA281" s="80">
        <f t="shared" si="291"/>
        <v>91.66188717785586</v>
      </c>
      <c r="AB281" s="80">
        <f t="shared" si="292"/>
        <v>667.54309085597436</v>
      </c>
      <c r="AC281" s="80">
        <f t="shared" si="293"/>
        <v>308.02068335298509</v>
      </c>
      <c r="AD281" s="80"/>
      <c r="AE281" s="80"/>
      <c r="AF281" s="80"/>
      <c r="AG281" s="80"/>
      <c r="AH281" s="80"/>
      <c r="AI281" s="80"/>
      <c r="AJ281" s="45">
        <f t="shared" si="238"/>
        <v>0</v>
      </c>
      <c r="AK281" s="45">
        <f t="shared" si="239"/>
        <v>0</v>
      </c>
      <c r="AL281" s="45">
        <f t="shared" si="240"/>
        <v>0</v>
      </c>
      <c r="AM281" s="45">
        <f t="shared" si="241"/>
        <v>0</v>
      </c>
      <c r="AN281" s="45">
        <f t="shared" si="242"/>
        <v>0</v>
      </c>
      <c r="AO281" s="45">
        <f t="shared" si="243"/>
        <v>0</v>
      </c>
      <c r="AP281" s="80">
        <f t="shared" si="244"/>
        <v>0</v>
      </c>
      <c r="AQ281" s="80">
        <f t="shared" si="245"/>
        <v>0</v>
      </c>
      <c r="AR281" s="80">
        <f t="shared" si="246"/>
        <v>0</v>
      </c>
      <c r="AS281" s="80">
        <f t="shared" si="247"/>
        <v>0</v>
      </c>
      <c r="AT281" s="80">
        <f t="shared" si="248"/>
        <v>0</v>
      </c>
      <c r="AU281" s="80">
        <f t="shared" si="249"/>
        <v>0</v>
      </c>
      <c r="AV281" s="80">
        <f t="shared" si="294"/>
        <v>30.634602890351317</v>
      </c>
      <c r="AW281" s="80">
        <f t="shared" si="295"/>
        <v>15.237426148428785</v>
      </c>
      <c r="AX281" s="80">
        <f t="shared" si="296"/>
        <v>10.798178310159445</v>
      </c>
      <c r="AY281" s="80">
        <f t="shared" si="297"/>
        <v>7.9409975870085852</v>
      </c>
      <c r="AZ281" s="80">
        <f t="shared" si="298"/>
        <v>63.938629468363274</v>
      </c>
      <c r="BA281" s="80">
        <f t="shared" si="299"/>
        <v>28.023637336551971</v>
      </c>
      <c r="BB281" s="80">
        <f t="shared" si="275"/>
        <v>483.68657211493746</v>
      </c>
      <c r="BC281" s="80">
        <f t="shared" si="276"/>
        <v>177.17931420551398</v>
      </c>
      <c r="BD281" s="80">
        <f t="shared" si="277"/>
        <v>139.96263460472832</v>
      </c>
      <c r="BE281" s="80">
        <f t="shared" si="278"/>
        <v>99.602884764864442</v>
      </c>
      <c r="BF281" s="80">
        <f t="shared" si="279"/>
        <v>731.48172032433763</v>
      </c>
      <c r="BG281" s="80">
        <f t="shared" si="280"/>
        <v>336.04432068953707</v>
      </c>
      <c r="BH281" s="49">
        <f t="shared" si="281"/>
        <v>0</v>
      </c>
      <c r="BI281" s="79">
        <f t="shared" si="282"/>
        <v>-77193.77359119647</v>
      </c>
      <c r="BJ281" s="79">
        <f t="shared" si="250"/>
        <v>91205.878930742998</v>
      </c>
      <c r="BK281" s="44">
        <f t="shared" si="283"/>
        <v>0.1815185951881555</v>
      </c>
      <c r="BL281" s="79">
        <f t="shared" si="300"/>
        <v>6437.468696330985</v>
      </c>
      <c r="BM281" s="49">
        <f t="shared" si="284"/>
        <v>97643.347627073977</v>
      </c>
      <c r="BN281" s="44">
        <f t="shared" si="285"/>
        <v>0.26491222134280612</v>
      </c>
      <c r="BO281" s="49">
        <f t="shared" si="251"/>
        <v>7607.06952752092</v>
      </c>
      <c r="BP281" s="49">
        <f t="shared" si="252"/>
        <v>98812.948458263898</v>
      </c>
      <c r="BQ281" s="44">
        <f t="shared" si="253"/>
        <v>0.28006371318959555</v>
      </c>
      <c r="BS281" s="49">
        <f t="shared" si="254"/>
        <v>77193.77359119647</v>
      </c>
      <c r="BT281" s="49">
        <f t="shared" si="301"/>
        <v>70.599997999999999</v>
      </c>
      <c r="BU281" s="49">
        <f t="shared" si="302"/>
        <v>44.970001000000003</v>
      </c>
      <c r="BV281" s="49">
        <f t="shared" si="255"/>
        <v>0</v>
      </c>
      <c r="BW281" s="18">
        <f t="shared" si="256"/>
        <v>1673</v>
      </c>
      <c r="BX281" s="19">
        <f t="shared" si="286"/>
        <v>0.61628440366972481</v>
      </c>
      <c r="BY281" s="49">
        <f t="shared" si="287"/>
        <v>0</v>
      </c>
      <c r="BZ281" s="19">
        <f t="shared" si="257"/>
        <v>0</v>
      </c>
      <c r="CA281" s="19">
        <f t="shared" si="258"/>
        <v>0</v>
      </c>
      <c r="CB281" s="19">
        <f t="shared" si="259"/>
        <v>0</v>
      </c>
      <c r="CC281" s="19">
        <f t="shared" si="260"/>
        <v>0</v>
      </c>
      <c r="CD281" s="19">
        <f t="shared" si="261"/>
        <v>0</v>
      </c>
      <c r="CE281" s="19">
        <f t="shared" si="262"/>
        <v>0</v>
      </c>
      <c r="CF281" s="49">
        <f t="shared" si="263"/>
        <v>0</v>
      </c>
      <c r="CG281" s="49">
        <f t="shared" si="264"/>
        <v>0</v>
      </c>
      <c r="CH281" s="49">
        <f t="shared" si="265"/>
        <v>0</v>
      </c>
      <c r="CI281" s="49">
        <f t="shared" si="266"/>
        <v>0</v>
      </c>
      <c r="CJ281" s="49">
        <f t="shared" si="267"/>
        <v>0</v>
      </c>
      <c r="CK281" s="49">
        <f t="shared" si="268"/>
        <v>0</v>
      </c>
    </row>
    <row r="282" spans="2:89" ht="12.75" customHeight="1" x14ac:dyDescent="0.2">
      <c r="B282" s="77">
        <v>40973</v>
      </c>
      <c r="C282" s="49">
        <v>70.819999999999993</v>
      </c>
      <c r="D282" s="49">
        <v>56.59</v>
      </c>
      <c r="E282" s="49">
        <v>56.619999</v>
      </c>
      <c r="F282" s="49">
        <v>69.160004000000001</v>
      </c>
      <c r="G282" s="49">
        <v>33.68</v>
      </c>
      <c r="H282" s="49">
        <v>44.16</v>
      </c>
      <c r="J282" s="78">
        <f>IF(inter=Weekly_2,J281+$C$5,IF(inter=Bi_weekly_2,J280+$C$5,IF(inter=Monthly_2,J278+$C$5,IF(inter=Quarterly_2,0,IF(inter=Yearly_2,0,IF(inter=None_2,0,0))))))</f>
        <v>92000</v>
      </c>
      <c r="K282" s="79">
        <f t="shared" si="269"/>
        <v>-114.85953951480769</v>
      </c>
      <c r="L282" s="79">
        <f t="shared" si="270"/>
        <v>-35.708554849548818</v>
      </c>
      <c r="M282" s="79">
        <f t="shared" si="271"/>
        <v>-46.70861376596622</v>
      </c>
      <c r="N282" s="79">
        <f t="shared" si="272"/>
        <v>-100.66351613194092</v>
      </c>
      <c r="O282" s="79">
        <f t="shared" si="273"/>
        <v>-517.14869997078495</v>
      </c>
      <c r="P282" s="79">
        <f t="shared" si="274"/>
        <v>-197.80662313217908</v>
      </c>
      <c r="Q282" s="79"/>
      <c r="R282" s="80">
        <f t="shared" si="232"/>
        <v>1.6218517299464517</v>
      </c>
      <c r="S282" s="80">
        <f t="shared" si="233"/>
        <v>0.63100468014753164</v>
      </c>
      <c r="T282" s="80">
        <f t="shared" si="234"/>
        <v>0.82494903904830907</v>
      </c>
      <c r="U282" s="80">
        <f t="shared" si="235"/>
        <v>1.455516343404794</v>
      </c>
      <c r="V282" s="80">
        <f t="shared" si="236"/>
        <v>15.354771376804779</v>
      </c>
      <c r="W282" s="80">
        <f t="shared" si="237"/>
        <v>4.479316647014925</v>
      </c>
      <c r="X282" s="80">
        <f t="shared" si="288"/>
        <v>454.67382095453263</v>
      </c>
      <c r="Y282" s="80">
        <f t="shared" si="289"/>
        <v>162.57289273723271</v>
      </c>
      <c r="Z282" s="80">
        <f t="shared" si="290"/>
        <v>129.98940533361719</v>
      </c>
      <c r="AA282" s="80">
        <f t="shared" si="291"/>
        <v>93.117403521260655</v>
      </c>
      <c r="AB282" s="80">
        <f t="shared" si="292"/>
        <v>682.89786223277918</v>
      </c>
      <c r="AC282" s="80">
        <f t="shared" si="293"/>
        <v>312.5</v>
      </c>
      <c r="AD282" s="80"/>
      <c r="AE282" s="80"/>
      <c r="AF282" s="80"/>
      <c r="AG282" s="80"/>
      <c r="AH282" s="80"/>
      <c r="AI282" s="80"/>
      <c r="AJ282" s="45">
        <f t="shared" si="238"/>
        <v>0</v>
      </c>
      <c r="AK282" s="45">
        <f t="shared" si="239"/>
        <v>0</v>
      </c>
      <c r="AL282" s="45">
        <f t="shared" si="240"/>
        <v>0</v>
      </c>
      <c r="AM282" s="45">
        <f t="shared" si="241"/>
        <v>0</v>
      </c>
      <c r="AN282" s="45">
        <f t="shared" si="242"/>
        <v>0</v>
      </c>
      <c r="AO282" s="45">
        <f t="shared" si="243"/>
        <v>0</v>
      </c>
      <c r="AP282" s="80">
        <f t="shared" si="244"/>
        <v>0</v>
      </c>
      <c r="AQ282" s="80">
        <f t="shared" si="245"/>
        <v>0</v>
      </c>
      <c r="AR282" s="80">
        <f t="shared" si="246"/>
        <v>0</v>
      </c>
      <c r="AS282" s="80">
        <f t="shared" si="247"/>
        <v>0</v>
      </c>
      <c r="AT282" s="80">
        <f t="shared" si="248"/>
        <v>0</v>
      </c>
      <c r="AU282" s="80">
        <f t="shared" si="249"/>
        <v>0</v>
      </c>
      <c r="AV282" s="80">
        <f t="shared" si="294"/>
        <v>30.634602890351317</v>
      </c>
      <c r="AW282" s="80">
        <f t="shared" si="295"/>
        <v>15.237426148428785</v>
      </c>
      <c r="AX282" s="80">
        <f t="shared" si="296"/>
        <v>10.798178310159445</v>
      </c>
      <c r="AY282" s="80">
        <f t="shared" si="297"/>
        <v>7.9409975870085852</v>
      </c>
      <c r="AZ282" s="80">
        <f t="shared" si="298"/>
        <v>63.938629468363274</v>
      </c>
      <c r="BA282" s="80">
        <f t="shared" si="299"/>
        <v>28.023637336551971</v>
      </c>
      <c r="BB282" s="80">
        <f t="shared" si="275"/>
        <v>485.30842384488392</v>
      </c>
      <c r="BC282" s="80">
        <f t="shared" si="276"/>
        <v>177.8103188856615</v>
      </c>
      <c r="BD282" s="80">
        <f t="shared" si="277"/>
        <v>140.78758364377663</v>
      </c>
      <c r="BE282" s="80">
        <f t="shared" si="278"/>
        <v>101.05840110826924</v>
      </c>
      <c r="BF282" s="80">
        <f t="shared" si="279"/>
        <v>746.83649170114245</v>
      </c>
      <c r="BG282" s="80">
        <f t="shared" si="280"/>
        <v>340.52363733655199</v>
      </c>
      <c r="BH282" s="49">
        <f t="shared" si="281"/>
        <v>0</v>
      </c>
      <c r="BI282" s="79">
        <f t="shared" si="282"/>
        <v>-78206.669138561701</v>
      </c>
      <c r="BJ282" s="79">
        <f t="shared" si="250"/>
        <v>92000</v>
      </c>
      <c r="BK282" s="44">
        <f t="shared" si="283"/>
        <v>0.17637026373032372</v>
      </c>
      <c r="BL282" s="79">
        <f t="shared" si="300"/>
        <v>6437.468696330985</v>
      </c>
      <c r="BM282" s="49">
        <f t="shared" si="284"/>
        <v>98437.46869633098</v>
      </c>
      <c r="BN282" s="44">
        <f t="shared" si="285"/>
        <v>0.25868381533965601</v>
      </c>
      <c r="BO282" s="49">
        <f t="shared" si="251"/>
        <v>7583.3976577154281</v>
      </c>
      <c r="BP282" s="49">
        <f t="shared" si="252"/>
        <v>99583.397657715439</v>
      </c>
      <c r="BQ282" s="44">
        <f t="shared" si="253"/>
        <v>0.27333638875835242</v>
      </c>
      <c r="BS282" s="49">
        <f t="shared" si="254"/>
        <v>78206.669138561701</v>
      </c>
      <c r="BT282" s="49">
        <f t="shared" si="301"/>
        <v>70.819999999999993</v>
      </c>
      <c r="BU282" s="49">
        <f t="shared" si="302"/>
        <v>44.16</v>
      </c>
      <c r="BV282" s="49">
        <f t="shared" si="255"/>
        <v>1012.8955473652277</v>
      </c>
      <c r="BW282" s="18">
        <f t="shared" si="256"/>
        <v>1680</v>
      </c>
      <c r="BX282" s="19">
        <f t="shared" si="286"/>
        <v>0.61467889908256879</v>
      </c>
      <c r="BY282" s="49">
        <f t="shared" si="287"/>
        <v>622.60551994009404</v>
      </c>
      <c r="BZ282" s="19">
        <f t="shared" si="257"/>
        <v>1.6218517299464517</v>
      </c>
      <c r="CA282" s="19">
        <f t="shared" si="258"/>
        <v>0.63100468014753164</v>
      </c>
      <c r="CB282" s="19">
        <f t="shared" si="259"/>
        <v>0.82494903904830907</v>
      </c>
      <c r="CC282" s="19">
        <f t="shared" si="260"/>
        <v>1.455516343404794</v>
      </c>
      <c r="CD282" s="19">
        <f t="shared" si="261"/>
        <v>15.354771376804779</v>
      </c>
      <c r="CE282" s="19">
        <f t="shared" si="262"/>
        <v>4.479316647014925</v>
      </c>
      <c r="CF282" s="49">
        <f t="shared" si="263"/>
        <v>-114.85953951480769</v>
      </c>
      <c r="CG282" s="49">
        <f t="shared" si="264"/>
        <v>-35.708554849548818</v>
      </c>
      <c r="CH282" s="49">
        <f t="shared" si="265"/>
        <v>-46.70861376596622</v>
      </c>
      <c r="CI282" s="49">
        <f t="shared" si="266"/>
        <v>-100.66351613194092</v>
      </c>
      <c r="CJ282" s="49">
        <f t="shared" si="267"/>
        <v>-517.14869997078495</v>
      </c>
      <c r="CK282" s="49">
        <f t="shared" si="268"/>
        <v>-197.80662313217908</v>
      </c>
    </row>
    <row r="283" spans="2:89" ht="12.75" customHeight="1" x14ac:dyDescent="0.2">
      <c r="B283" s="77">
        <v>40980</v>
      </c>
      <c r="C283" s="49">
        <v>72.459998999999996</v>
      </c>
      <c r="D283" s="49">
        <v>58.080002</v>
      </c>
      <c r="E283" s="49">
        <v>57.759998000000003</v>
      </c>
      <c r="F283" s="49">
        <v>70.599997999999999</v>
      </c>
      <c r="G283" s="49">
        <v>34.419998</v>
      </c>
      <c r="H283" s="49">
        <v>44.450001</v>
      </c>
      <c r="J283" s="78">
        <f>IF(inter=Weekly_2,J282+$C$5,IF(inter=Bi_weekly_2,0,IF(inter=Monthly_2,0,IF(inter=Quarterly_2,0,IF(inter=Yearly_2,0,IF(inter=None_2,0,0))))))</f>
        <v>0</v>
      </c>
      <c r="K283" s="79">
        <f t="shared" si="269"/>
        <v>0</v>
      </c>
      <c r="L283" s="79">
        <f t="shared" si="270"/>
        <v>0</v>
      </c>
      <c r="M283" s="79">
        <f t="shared" si="271"/>
        <v>0</v>
      </c>
      <c r="N283" s="79">
        <f t="shared" si="272"/>
        <v>0</v>
      </c>
      <c r="O283" s="79">
        <f t="shared" si="273"/>
        <v>0</v>
      </c>
      <c r="P283" s="79">
        <f t="shared" si="274"/>
        <v>0</v>
      </c>
      <c r="Q283" s="79"/>
      <c r="R283" s="80">
        <f t="shared" si="232"/>
        <v>0</v>
      </c>
      <c r="S283" s="80">
        <f t="shared" si="233"/>
        <v>0</v>
      </c>
      <c r="T283" s="80">
        <f t="shared" si="234"/>
        <v>0</v>
      </c>
      <c r="U283" s="80">
        <f t="shared" si="235"/>
        <v>0</v>
      </c>
      <c r="V283" s="80">
        <f t="shared" si="236"/>
        <v>0</v>
      </c>
      <c r="W283" s="80">
        <f t="shared" si="237"/>
        <v>0</v>
      </c>
      <c r="X283" s="80">
        <f t="shared" si="288"/>
        <v>454.67382095453263</v>
      </c>
      <c r="Y283" s="80">
        <f t="shared" si="289"/>
        <v>162.57289273723271</v>
      </c>
      <c r="Z283" s="80">
        <f t="shared" si="290"/>
        <v>129.98940533361719</v>
      </c>
      <c r="AA283" s="80">
        <f t="shared" si="291"/>
        <v>93.117403521260655</v>
      </c>
      <c r="AB283" s="80">
        <f t="shared" si="292"/>
        <v>682.89786223277918</v>
      </c>
      <c r="AC283" s="80">
        <f t="shared" si="293"/>
        <v>312.5</v>
      </c>
      <c r="AD283" s="80"/>
      <c r="AE283" s="80"/>
      <c r="AF283" s="80"/>
      <c r="AG283" s="80"/>
      <c r="AH283" s="80"/>
      <c r="AI283" s="80"/>
      <c r="AJ283" s="45">
        <f t="shared" si="238"/>
        <v>0</v>
      </c>
      <c r="AK283" s="45">
        <f t="shared" si="239"/>
        <v>0</v>
      </c>
      <c r="AL283" s="45">
        <f t="shared" si="240"/>
        <v>0</v>
      </c>
      <c r="AM283" s="45">
        <f t="shared" si="241"/>
        <v>0</v>
      </c>
      <c r="AN283" s="45">
        <f t="shared" si="242"/>
        <v>0</v>
      </c>
      <c r="AO283" s="45">
        <f t="shared" si="243"/>
        <v>0</v>
      </c>
      <c r="AP283" s="80">
        <f t="shared" si="244"/>
        <v>0</v>
      </c>
      <c r="AQ283" s="80">
        <f t="shared" si="245"/>
        <v>0</v>
      </c>
      <c r="AR283" s="80">
        <f t="shared" si="246"/>
        <v>0</v>
      </c>
      <c r="AS283" s="80">
        <f t="shared" si="247"/>
        <v>0</v>
      </c>
      <c r="AT283" s="80">
        <f t="shared" si="248"/>
        <v>0</v>
      </c>
      <c r="AU283" s="80">
        <f t="shared" si="249"/>
        <v>0</v>
      </c>
      <c r="AV283" s="80">
        <f t="shared" si="294"/>
        <v>30.634602890351317</v>
      </c>
      <c r="AW283" s="80">
        <f t="shared" si="295"/>
        <v>15.237426148428785</v>
      </c>
      <c r="AX283" s="80">
        <f t="shared" si="296"/>
        <v>10.798178310159445</v>
      </c>
      <c r="AY283" s="80">
        <f t="shared" si="297"/>
        <v>7.9409975870085852</v>
      </c>
      <c r="AZ283" s="80">
        <f t="shared" si="298"/>
        <v>63.938629468363274</v>
      </c>
      <c r="BA283" s="80">
        <f t="shared" si="299"/>
        <v>28.023637336551971</v>
      </c>
      <c r="BB283" s="80">
        <f t="shared" si="275"/>
        <v>485.30842384488392</v>
      </c>
      <c r="BC283" s="80">
        <f t="shared" si="276"/>
        <v>177.8103188856615</v>
      </c>
      <c r="BD283" s="80">
        <f t="shared" si="277"/>
        <v>140.78758364377663</v>
      </c>
      <c r="BE283" s="80">
        <f t="shared" si="278"/>
        <v>101.05840110826924</v>
      </c>
      <c r="BF283" s="80">
        <f t="shared" si="279"/>
        <v>746.83649170114245</v>
      </c>
      <c r="BG283" s="80">
        <f t="shared" si="280"/>
        <v>340.52363733655199</v>
      </c>
      <c r="BH283" s="49">
        <f t="shared" si="281"/>
        <v>0</v>
      </c>
      <c r="BI283" s="79">
        <f t="shared" si="282"/>
        <v>-78206.669138561701</v>
      </c>
      <c r="BJ283" s="79">
        <f t="shared" si="250"/>
        <v>93866.143206229521</v>
      </c>
      <c r="BK283" s="44">
        <f t="shared" si="283"/>
        <v>0.20023195259631033</v>
      </c>
      <c r="BL283" s="79">
        <f t="shared" si="300"/>
        <v>6437.468696330985</v>
      </c>
      <c r="BM283" s="49">
        <f t="shared" si="284"/>
        <v>100303.6119025605</v>
      </c>
      <c r="BN283" s="44">
        <f t="shared" si="285"/>
        <v>0.28254550420564284</v>
      </c>
      <c r="BO283" s="49">
        <f t="shared" si="251"/>
        <v>7735.5284133922905</v>
      </c>
      <c r="BP283" s="49">
        <f t="shared" si="252"/>
        <v>101601.67161962182</v>
      </c>
      <c r="BQ283" s="44">
        <f t="shared" si="253"/>
        <v>0.29914331781104631</v>
      </c>
      <c r="BS283" s="49">
        <f t="shared" si="254"/>
        <v>78206.669138561701</v>
      </c>
      <c r="BT283" s="49">
        <f t="shared" si="301"/>
        <v>72.459998999999996</v>
      </c>
      <c r="BU283" s="49">
        <f t="shared" si="302"/>
        <v>44.450001</v>
      </c>
      <c r="BV283" s="49">
        <f t="shared" si="255"/>
        <v>0</v>
      </c>
      <c r="BW283" s="18">
        <f t="shared" si="256"/>
        <v>1687</v>
      </c>
      <c r="BX283" s="19">
        <f t="shared" si="286"/>
        <v>0.61307339449541287</v>
      </c>
      <c r="BY283" s="49">
        <f t="shared" si="287"/>
        <v>0</v>
      </c>
      <c r="BZ283" s="19">
        <f t="shared" si="257"/>
        <v>0</v>
      </c>
      <c r="CA283" s="19">
        <f t="shared" si="258"/>
        <v>0</v>
      </c>
      <c r="CB283" s="19">
        <f t="shared" si="259"/>
        <v>0</v>
      </c>
      <c r="CC283" s="19">
        <f t="shared" si="260"/>
        <v>0</v>
      </c>
      <c r="CD283" s="19">
        <f t="shared" si="261"/>
        <v>0</v>
      </c>
      <c r="CE283" s="19">
        <f t="shared" si="262"/>
        <v>0</v>
      </c>
      <c r="CF283" s="49">
        <f t="shared" si="263"/>
        <v>0</v>
      </c>
      <c r="CG283" s="49">
        <f t="shared" si="264"/>
        <v>0</v>
      </c>
      <c r="CH283" s="49">
        <f t="shared" si="265"/>
        <v>0</v>
      </c>
      <c r="CI283" s="49">
        <f t="shared" si="266"/>
        <v>0</v>
      </c>
      <c r="CJ283" s="49">
        <f t="shared" si="267"/>
        <v>0</v>
      </c>
      <c r="CK283" s="49">
        <f t="shared" si="268"/>
        <v>0</v>
      </c>
    </row>
    <row r="284" spans="2:89" ht="12.75" customHeight="1" x14ac:dyDescent="0.2">
      <c r="B284" s="77">
        <v>40987</v>
      </c>
      <c r="C284" s="49">
        <v>72.110000999999997</v>
      </c>
      <c r="D284" s="49">
        <v>57.66</v>
      </c>
      <c r="E284" s="49">
        <v>57.200001</v>
      </c>
      <c r="F284" s="49">
        <v>70.120002999999997</v>
      </c>
      <c r="G284" s="49">
        <v>33.93</v>
      </c>
      <c r="H284" s="49">
        <v>43.310001</v>
      </c>
      <c r="J284" s="78">
        <f>IF(inter=Weekly_2,J283+$C$5,IF(inter=Bi_weekly_2,J282+$C$5,IF(inter=Monthly_2,0,IF(inter=Quarterly_2,0,IF(inter=Yearly_2,0,IF(inter=None_2,0,0))))))</f>
        <v>92600</v>
      </c>
      <c r="K284" s="79">
        <f t="shared" si="269"/>
        <v>376.52968370516828</v>
      </c>
      <c r="L284" s="79">
        <f t="shared" si="270"/>
        <v>113.95299522883761</v>
      </c>
      <c r="M284" s="79">
        <f t="shared" si="271"/>
        <v>27.394115072308523</v>
      </c>
      <c r="N284" s="79">
        <f t="shared" si="272"/>
        <v>47.39261426300618</v>
      </c>
      <c r="O284" s="79">
        <f t="shared" si="273"/>
        <v>20.724465558196243</v>
      </c>
      <c r="P284" s="79">
        <f t="shared" si="274"/>
        <v>-355.62468749999971</v>
      </c>
      <c r="Q284" s="79"/>
      <c r="R284" s="80">
        <f t="shared" si="232"/>
        <v>-5.2216014212115782</v>
      </c>
      <c r="S284" s="80">
        <f t="shared" si="233"/>
        <v>-1.9762919741387031</v>
      </c>
      <c r="T284" s="80">
        <f t="shared" si="234"/>
        <v>-0.47891808729703561</v>
      </c>
      <c r="U284" s="80">
        <f t="shared" si="235"/>
        <v>-0.67587866850214173</v>
      </c>
      <c r="V284" s="80">
        <f t="shared" si="236"/>
        <v>-0.61080063537271567</v>
      </c>
      <c r="W284" s="80">
        <f t="shared" si="237"/>
        <v>8.2111447538410296</v>
      </c>
      <c r="X284" s="80">
        <f t="shared" si="288"/>
        <v>449.45221953332106</v>
      </c>
      <c r="Y284" s="80">
        <f t="shared" si="289"/>
        <v>160.59660076309402</v>
      </c>
      <c r="Z284" s="80">
        <f t="shared" si="290"/>
        <v>129.51048724632014</v>
      </c>
      <c r="AA284" s="80">
        <f t="shared" si="291"/>
        <v>92.441524852758519</v>
      </c>
      <c r="AB284" s="80">
        <f t="shared" si="292"/>
        <v>682.28706159740648</v>
      </c>
      <c r="AC284" s="80">
        <f t="shared" si="293"/>
        <v>320.71114475384104</v>
      </c>
      <c r="AD284" s="80"/>
      <c r="AE284" s="80"/>
      <c r="AF284" s="80"/>
      <c r="AG284" s="80"/>
      <c r="AH284" s="80"/>
      <c r="AI284" s="80"/>
      <c r="AJ284" s="45">
        <f t="shared" si="238"/>
        <v>0</v>
      </c>
      <c r="AK284" s="45">
        <f t="shared" si="239"/>
        <v>0</v>
      </c>
      <c r="AL284" s="45">
        <f t="shared" si="240"/>
        <v>0</v>
      </c>
      <c r="AM284" s="45">
        <f t="shared" si="241"/>
        <v>0</v>
      </c>
      <c r="AN284" s="45">
        <f t="shared" si="242"/>
        <v>0</v>
      </c>
      <c r="AO284" s="45">
        <f t="shared" si="243"/>
        <v>0</v>
      </c>
      <c r="AP284" s="80">
        <f t="shared" si="244"/>
        <v>0</v>
      </c>
      <c r="AQ284" s="80">
        <f t="shared" si="245"/>
        <v>0</v>
      </c>
      <c r="AR284" s="80">
        <f t="shared" si="246"/>
        <v>0</v>
      </c>
      <c r="AS284" s="80">
        <f t="shared" si="247"/>
        <v>0</v>
      </c>
      <c r="AT284" s="80">
        <f t="shared" si="248"/>
        <v>0</v>
      </c>
      <c r="AU284" s="80">
        <f t="shared" si="249"/>
        <v>0</v>
      </c>
      <c r="AV284" s="80">
        <f t="shared" si="294"/>
        <v>30.634602890351317</v>
      </c>
      <c r="AW284" s="80">
        <f t="shared" si="295"/>
        <v>15.237426148428785</v>
      </c>
      <c r="AX284" s="80">
        <f t="shared" si="296"/>
        <v>10.798178310159445</v>
      </c>
      <c r="AY284" s="80">
        <f t="shared" si="297"/>
        <v>7.9409975870085852</v>
      </c>
      <c r="AZ284" s="80">
        <f t="shared" si="298"/>
        <v>63.938629468363274</v>
      </c>
      <c r="BA284" s="80">
        <f t="shared" si="299"/>
        <v>28.023637336551971</v>
      </c>
      <c r="BB284" s="80">
        <f t="shared" si="275"/>
        <v>480.0868224236724</v>
      </c>
      <c r="BC284" s="80">
        <f t="shared" si="276"/>
        <v>175.83402691152281</v>
      </c>
      <c r="BD284" s="80">
        <f t="shared" si="277"/>
        <v>140.30866555647958</v>
      </c>
      <c r="BE284" s="80">
        <f t="shared" si="278"/>
        <v>100.3825224397671</v>
      </c>
      <c r="BF284" s="80">
        <f t="shared" si="279"/>
        <v>746.22569106576975</v>
      </c>
      <c r="BG284" s="80">
        <f t="shared" si="280"/>
        <v>348.73478209039303</v>
      </c>
      <c r="BH284" s="49">
        <f t="shared" si="281"/>
        <v>0</v>
      </c>
      <c r="BI284" s="79">
        <f t="shared" si="282"/>
        <v>-77976.299952234171</v>
      </c>
      <c r="BJ284" s="79">
        <f t="shared" si="250"/>
        <v>92600</v>
      </c>
      <c r="BK284" s="44">
        <f t="shared" si="283"/>
        <v>0.187540317464715</v>
      </c>
      <c r="BL284" s="79">
        <f t="shared" si="300"/>
        <v>6437.468696330985</v>
      </c>
      <c r="BM284" s="49">
        <f t="shared" si="284"/>
        <v>99037.46869633098</v>
      </c>
      <c r="BN284" s="44">
        <f t="shared" si="285"/>
        <v>0.27009705201449941</v>
      </c>
      <c r="BO284" s="49">
        <f t="shared" si="251"/>
        <v>7645.2712804708435</v>
      </c>
      <c r="BP284" s="49">
        <f t="shared" si="252"/>
        <v>100245.27128047084</v>
      </c>
      <c r="BQ284" s="44">
        <f t="shared" si="253"/>
        <v>0.28558640691951198</v>
      </c>
      <c r="BS284" s="49">
        <f t="shared" si="254"/>
        <v>77976.299952234171</v>
      </c>
      <c r="BT284" s="49">
        <f t="shared" si="301"/>
        <v>72.110000999999997</v>
      </c>
      <c r="BU284" s="49">
        <f t="shared" si="302"/>
        <v>43.310001</v>
      </c>
      <c r="BV284" s="49">
        <f t="shared" si="255"/>
        <v>-230.36918632751713</v>
      </c>
      <c r="BW284" s="18">
        <f t="shared" si="256"/>
        <v>1694</v>
      </c>
      <c r="BX284" s="19">
        <f t="shared" si="286"/>
        <v>0.61146788990825685</v>
      </c>
      <c r="BY284" s="49">
        <f t="shared" si="287"/>
        <v>-140.86336026356895</v>
      </c>
      <c r="BZ284" s="19">
        <f t="shared" si="257"/>
        <v>0</v>
      </c>
      <c r="CA284" s="19">
        <f t="shared" si="258"/>
        <v>0</v>
      </c>
      <c r="CB284" s="19">
        <f t="shared" si="259"/>
        <v>0</v>
      </c>
      <c r="CC284" s="19">
        <f t="shared" si="260"/>
        <v>0</v>
      </c>
      <c r="CD284" s="19">
        <f t="shared" si="261"/>
        <v>0</v>
      </c>
      <c r="CE284" s="19">
        <f t="shared" si="262"/>
        <v>8.2111447538410296</v>
      </c>
      <c r="CF284" s="49">
        <f t="shared" si="263"/>
        <v>0</v>
      </c>
      <c r="CG284" s="49">
        <f t="shared" si="264"/>
        <v>0</v>
      </c>
      <c r="CH284" s="49">
        <f t="shared" si="265"/>
        <v>0</v>
      </c>
      <c r="CI284" s="49">
        <f t="shared" si="266"/>
        <v>0</v>
      </c>
      <c r="CJ284" s="49">
        <f t="shared" si="267"/>
        <v>0</v>
      </c>
      <c r="CK284" s="49">
        <f t="shared" si="268"/>
        <v>-355.62468749999971</v>
      </c>
    </row>
    <row r="285" spans="2:89" ht="12.75" customHeight="1" x14ac:dyDescent="0.2">
      <c r="B285" s="77">
        <v>40994</v>
      </c>
      <c r="C285" s="49">
        <v>72.260002</v>
      </c>
      <c r="D285" s="49">
        <v>57.68</v>
      </c>
      <c r="E285" s="49">
        <v>57.459999000000003</v>
      </c>
      <c r="F285" s="49">
        <v>70.379997000000003</v>
      </c>
      <c r="G285" s="49">
        <v>34.029998999999997</v>
      </c>
      <c r="H285" s="49">
        <v>43.470001000000003</v>
      </c>
      <c r="J285" s="78">
        <f>IF(inter=Weekly_2,J284+$C$5,IF(inter=Bi_weekly_2,0,IF(inter=Monthly_2,0,IF(inter=Quarterly_2,0,IF(inter=Yearly_2,0,IF(inter=None_2,0,0))))))</f>
        <v>0</v>
      </c>
      <c r="K285" s="79">
        <f t="shared" si="269"/>
        <v>0</v>
      </c>
      <c r="L285" s="79">
        <f t="shared" si="270"/>
        <v>0</v>
      </c>
      <c r="M285" s="79">
        <f t="shared" si="271"/>
        <v>0</v>
      </c>
      <c r="N285" s="79">
        <f t="shared" si="272"/>
        <v>0</v>
      </c>
      <c r="O285" s="79">
        <f t="shared" si="273"/>
        <v>0</v>
      </c>
      <c r="P285" s="79">
        <f t="shared" si="274"/>
        <v>0</v>
      </c>
      <c r="Q285" s="79"/>
      <c r="R285" s="80">
        <f t="shared" si="232"/>
        <v>0</v>
      </c>
      <c r="S285" s="80">
        <f t="shared" si="233"/>
        <v>0</v>
      </c>
      <c r="T285" s="80">
        <f t="shared" si="234"/>
        <v>0</v>
      </c>
      <c r="U285" s="80">
        <f t="shared" si="235"/>
        <v>0</v>
      </c>
      <c r="V285" s="80">
        <f t="shared" si="236"/>
        <v>0</v>
      </c>
      <c r="W285" s="80">
        <f t="shared" si="237"/>
        <v>0</v>
      </c>
      <c r="X285" s="80">
        <f t="shared" si="288"/>
        <v>449.45221953332106</v>
      </c>
      <c r="Y285" s="80">
        <f t="shared" si="289"/>
        <v>160.59660076309402</v>
      </c>
      <c r="Z285" s="80">
        <f t="shared" si="290"/>
        <v>129.51048724632014</v>
      </c>
      <c r="AA285" s="80">
        <f t="shared" si="291"/>
        <v>92.441524852758519</v>
      </c>
      <c r="AB285" s="80">
        <f t="shared" si="292"/>
        <v>682.28706159740648</v>
      </c>
      <c r="AC285" s="80">
        <f t="shared" si="293"/>
        <v>320.71114475384104</v>
      </c>
      <c r="AD285" s="80">
        <v>0.308</v>
      </c>
      <c r="AE285" s="80">
        <v>0.34200000000000003</v>
      </c>
      <c r="AF285" s="80">
        <v>6.0000000000000001E-3</v>
      </c>
      <c r="AG285" s="80">
        <v>2.9000000000000001E-2</v>
      </c>
      <c r="AH285" s="80">
        <v>1.0999999999999999E-2</v>
      </c>
      <c r="AI285" s="80"/>
      <c r="AJ285" s="45">
        <f t="shared" si="238"/>
        <v>138.43128361626287</v>
      </c>
      <c r="AK285" s="45">
        <f t="shared" si="239"/>
        <v>54.924037460978155</v>
      </c>
      <c r="AL285" s="45">
        <f t="shared" si="240"/>
        <v>0.77706292347792083</v>
      </c>
      <c r="AM285" s="45">
        <f t="shared" si="241"/>
        <v>2.6808042207299971</v>
      </c>
      <c r="AN285" s="45">
        <f t="shared" si="242"/>
        <v>7.5051576775714706</v>
      </c>
      <c r="AO285" s="45">
        <f t="shared" si="243"/>
        <v>0</v>
      </c>
      <c r="AP285" s="80">
        <f t="shared" si="244"/>
        <v>1.9157387183059154</v>
      </c>
      <c r="AQ285" s="80">
        <f t="shared" si="245"/>
        <v>0.95221978954539099</v>
      </c>
      <c r="AR285" s="80">
        <f t="shared" si="246"/>
        <v>1.35235457187864E-2</v>
      </c>
      <c r="AS285" s="80">
        <f t="shared" si="247"/>
        <v>3.8090428175636279E-2</v>
      </c>
      <c r="AT285" s="80">
        <f t="shared" si="248"/>
        <v>0.22054533935106702</v>
      </c>
      <c r="AU285" s="80">
        <f t="shared" si="249"/>
        <v>0</v>
      </c>
      <c r="AV285" s="80">
        <f t="shared" si="294"/>
        <v>32.550341608657234</v>
      </c>
      <c r="AW285" s="80">
        <f t="shared" si="295"/>
        <v>16.189645937974177</v>
      </c>
      <c r="AX285" s="80">
        <f t="shared" si="296"/>
        <v>10.811701855878232</v>
      </c>
      <c r="AY285" s="80">
        <f t="shared" si="297"/>
        <v>7.9790880151842218</v>
      </c>
      <c r="AZ285" s="80">
        <f t="shared" si="298"/>
        <v>64.159174807714336</v>
      </c>
      <c r="BA285" s="80">
        <f t="shared" si="299"/>
        <v>28.023637336551971</v>
      </c>
      <c r="BB285" s="80">
        <f t="shared" si="275"/>
        <v>482.00256114197828</v>
      </c>
      <c r="BC285" s="80">
        <f t="shared" si="276"/>
        <v>176.78624670106819</v>
      </c>
      <c r="BD285" s="80">
        <f t="shared" si="277"/>
        <v>140.32218910219837</v>
      </c>
      <c r="BE285" s="80">
        <f t="shared" si="278"/>
        <v>100.42061286794274</v>
      </c>
      <c r="BF285" s="80">
        <f t="shared" si="279"/>
        <v>746.44623640512077</v>
      </c>
      <c r="BG285" s="80">
        <f t="shared" si="280"/>
        <v>348.73478209039303</v>
      </c>
      <c r="BH285" s="49">
        <f t="shared" si="281"/>
        <v>204.31834589902044</v>
      </c>
      <c r="BI285" s="79">
        <f t="shared" si="282"/>
        <v>-77976.299952234171</v>
      </c>
      <c r="BJ285" s="79">
        <f t="shared" si="250"/>
        <v>92847.878730906421</v>
      </c>
      <c r="BK285" s="44">
        <f t="shared" si="283"/>
        <v>0.19071921581021556</v>
      </c>
      <c r="BL285" s="79">
        <f t="shared" si="300"/>
        <v>6641.7870422300057</v>
      </c>
      <c r="BM285" s="49">
        <f t="shared" si="284"/>
        <v>99489.665773136425</v>
      </c>
      <c r="BN285" s="44">
        <f t="shared" si="285"/>
        <v>0.27589621249123986</v>
      </c>
      <c r="BO285" s="49">
        <f t="shared" si="251"/>
        <v>7870.2392934339641</v>
      </c>
      <c r="BP285" s="49">
        <f t="shared" si="252"/>
        <v>100718.11802434037</v>
      </c>
      <c r="BQ285" s="44">
        <f t="shared" si="253"/>
        <v>0.29165038718222225</v>
      </c>
      <c r="BS285" s="49">
        <f t="shared" si="254"/>
        <v>77976.299952234171</v>
      </c>
      <c r="BT285" s="49">
        <f t="shared" si="301"/>
        <v>72.260002</v>
      </c>
      <c r="BU285" s="49">
        <f t="shared" si="302"/>
        <v>43.470001000000003</v>
      </c>
      <c r="BV285" s="49">
        <f t="shared" si="255"/>
        <v>-204.31834589902044</v>
      </c>
      <c r="BW285" s="18">
        <f t="shared" si="256"/>
        <v>1701</v>
      </c>
      <c r="BX285" s="19">
        <f t="shared" si="286"/>
        <v>0.60986238532110093</v>
      </c>
      <c r="BY285" s="49">
        <f t="shared" si="287"/>
        <v>-124.60607379483839</v>
      </c>
      <c r="BZ285" s="19">
        <f t="shared" si="257"/>
        <v>0</v>
      </c>
      <c r="CA285" s="19">
        <f t="shared" si="258"/>
        <v>0</v>
      </c>
      <c r="CB285" s="19">
        <f t="shared" si="259"/>
        <v>0</v>
      </c>
      <c r="CC285" s="19">
        <f t="shared" si="260"/>
        <v>0</v>
      </c>
      <c r="CD285" s="19">
        <f t="shared" si="261"/>
        <v>0</v>
      </c>
      <c r="CE285" s="19">
        <f t="shared" si="262"/>
        <v>0</v>
      </c>
      <c r="CF285" s="49">
        <f t="shared" si="263"/>
        <v>0</v>
      </c>
      <c r="CG285" s="49">
        <f t="shared" si="264"/>
        <v>0</v>
      </c>
      <c r="CH285" s="49">
        <f t="shared" si="265"/>
        <v>0</v>
      </c>
      <c r="CI285" s="49">
        <f t="shared" si="266"/>
        <v>0</v>
      </c>
      <c r="CJ285" s="49">
        <f t="shared" si="267"/>
        <v>0</v>
      </c>
      <c r="CK285" s="49">
        <f t="shared" si="268"/>
        <v>0</v>
      </c>
    </row>
    <row r="286" spans="2:89" ht="12.75" customHeight="1" x14ac:dyDescent="0.2">
      <c r="B286" s="77">
        <v>41001</v>
      </c>
      <c r="C286" s="49">
        <v>71.769997000000004</v>
      </c>
      <c r="D286" s="49">
        <v>56.939999</v>
      </c>
      <c r="E286" s="49">
        <v>56.700001</v>
      </c>
      <c r="F286" s="49">
        <v>69.360000999999997</v>
      </c>
      <c r="G286" s="49">
        <v>32.860000999999997</v>
      </c>
      <c r="H286" s="49">
        <v>43.169998</v>
      </c>
      <c r="J286" s="78">
        <f>IF(inter=Weekly_2,J285+$C$5,IF(inter=Bi_weekly_2,J284+$C$5,IF(inter=Monthly_2,J282+$C$5,IF(inter=Quarterly_2,0,IF(inter=Yearly_2,0,IF(inter=None_2,0,0))))))</f>
        <v>93200</v>
      </c>
      <c r="K286" s="79">
        <f t="shared" si="269"/>
        <v>-362.8155524501999</v>
      </c>
      <c r="L286" s="79">
        <f t="shared" si="270"/>
        <v>-175.62971314602692</v>
      </c>
      <c r="M286" s="79">
        <f t="shared" si="271"/>
        <v>-112.75524362316082</v>
      </c>
      <c r="N286" s="79">
        <f t="shared" si="272"/>
        <v>-112.25574377114572</v>
      </c>
      <c r="O286" s="79">
        <f t="shared" si="273"/>
        <v>-880.04647362216201</v>
      </c>
      <c r="P286" s="79">
        <f t="shared" si="274"/>
        <v>-134.90052239897159</v>
      </c>
      <c r="Q286" s="79"/>
      <c r="R286" s="80">
        <f t="shared" si="232"/>
        <v>5.0552538333002843</v>
      </c>
      <c r="S286" s="80">
        <f t="shared" si="233"/>
        <v>3.0844699021864561</v>
      </c>
      <c r="T286" s="80">
        <f t="shared" si="234"/>
        <v>1.9886286002563003</v>
      </c>
      <c r="U286" s="80">
        <f t="shared" si="235"/>
        <v>1.6184507230780709</v>
      </c>
      <c r="V286" s="80">
        <f t="shared" si="236"/>
        <v>26.781693452235807</v>
      </c>
      <c r="W286" s="80">
        <f t="shared" si="237"/>
        <v>3.1248674692774272</v>
      </c>
      <c r="X286" s="80">
        <f t="shared" si="288"/>
        <v>454.50747336662135</v>
      </c>
      <c r="Y286" s="80">
        <f t="shared" si="289"/>
        <v>163.68107066528049</v>
      </c>
      <c r="Z286" s="80">
        <f t="shared" si="290"/>
        <v>131.49911584657644</v>
      </c>
      <c r="AA286" s="80">
        <f t="shared" si="291"/>
        <v>94.059975575836589</v>
      </c>
      <c r="AB286" s="80">
        <f t="shared" si="292"/>
        <v>709.06875504964228</v>
      </c>
      <c r="AC286" s="80">
        <f t="shared" si="293"/>
        <v>323.83601222311847</v>
      </c>
      <c r="AD286" s="80"/>
      <c r="AE286" s="80"/>
      <c r="AF286" s="80"/>
      <c r="AG286" s="80"/>
      <c r="AH286" s="80"/>
      <c r="AI286" s="80"/>
      <c r="AJ286" s="45">
        <f t="shared" si="238"/>
        <v>0</v>
      </c>
      <c r="AK286" s="45">
        <f t="shared" si="239"/>
        <v>0</v>
      </c>
      <c r="AL286" s="45">
        <f t="shared" si="240"/>
        <v>0</v>
      </c>
      <c r="AM286" s="45">
        <f t="shared" si="241"/>
        <v>0</v>
      </c>
      <c r="AN286" s="45">
        <f t="shared" si="242"/>
        <v>0</v>
      </c>
      <c r="AO286" s="45">
        <f t="shared" si="243"/>
        <v>0</v>
      </c>
      <c r="AP286" s="80">
        <f t="shared" si="244"/>
        <v>0</v>
      </c>
      <c r="AQ286" s="80">
        <f t="shared" si="245"/>
        <v>0</v>
      </c>
      <c r="AR286" s="80">
        <f t="shared" si="246"/>
        <v>0</v>
      </c>
      <c r="AS286" s="80">
        <f t="shared" si="247"/>
        <v>0</v>
      </c>
      <c r="AT286" s="80">
        <f t="shared" si="248"/>
        <v>0</v>
      </c>
      <c r="AU286" s="80">
        <f t="shared" si="249"/>
        <v>0</v>
      </c>
      <c r="AV286" s="80">
        <f t="shared" si="294"/>
        <v>32.550341608657234</v>
      </c>
      <c r="AW286" s="80">
        <f t="shared" si="295"/>
        <v>16.189645937974177</v>
      </c>
      <c r="AX286" s="80">
        <f t="shared" si="296"/>
        <v>10.811701855878232</v>
      </c>
      <c r="AY286" s="80">
        <f t="shared" si="297"/>
        <v>7.9790880151842218</v>
      </c>
      <c r="AZ286" s="80">
        <f t="shared" si="298"/>
        <v>64.159174807714336</v>
      </c>
      <c r="BA286" s="80">
        <f t="shared" si="299"/>
        <v>28.023637336551971</v>
      </c>
      <c r="BB286" s="80">
        <f t="shared" si="275"/>
        <v>487.05781497527857</v>
      </c>
      <c r="BC286" s="80">
        <f t="shared" si="276"/>
        <v>179.87071660325466</v>
      </c>
      <c r="BD286" s="80">
        <f t="shared" si="277"/>
        <v>142.31081770245467</v>
      </c>
      <c r="BE286" s="80">
        <f t="shared" si="278"/>
        <v>102.03906359102081</v>
      </c>
      <c r="BF286" s="80">
        <f t="shared" si="279"/>
        <v>773.22792985735657</v>
      </c>
      <c r="BG286" s="80">
        <f t="shared" si="280"/>
        <v>351.85964955967046</v>
      </c>
      <c r="BH286" s="49">
        <f t="shared" si="281"/>
        <v>0</v>
      </c>
      <c r="BI286" s="79">
        <f t="shared" si="282"/>
        <v>-79754.703201245837</v>
      </c>
      <c r="BJ286" s="79">
        <f t="shared" si="250"/>
        <v>93200</v>
      </c>
      <c r="BK286" s="44">
        <f t="shared" si="283"/>
        <v>0.16858312123396058</v>
      </c>
      <c r="BL286" s="79">
        <f t="shared" si="300"/>
        <v>6641.7870422300057</v>
      </c>
      <c r="BM286" s="49">
        <f t="shared" si="284"/>
        <v>99841.787042230004</v>
      </c>
      <c r="BN286" s="44">
        <f t="shared" si="285"/>
        <v>0.25186080613074613</v>
      </c>
      <c r="BO286" s="49">
        <f t="shared" si="251"/>
        <v>7742.4803179855126</v>
      </c>
      <c r="BP286" s="49">
        <f t="shared" si="252"/>
        <v>100942.48031798551</v>
      </c>
      <c r="BQ286" s="44">
        <f t="shared" si="253"/>
        <v>0.26566178878850999</v>
      </c>
      <c r="BS286" s="49">
        <f t="shared" si="254"/>
        <v>79754.703201245837</v>
      </c>
      <c r="BT286" s="49">
        <f t="shared" si="301"/>
        <v>71.769997000000004</v>
      </c>
      <c r="BU286" s="49">
        <f t="shared" si="302"/>
        <v>43.169998</v>
      </c>
      <c r="BV286" s="49">
        <f t="shared" si="255"/>
        <v>1778.403249011667</v>
      </c>
      <c r="BW286" s="18">
        <f t="shared" si="256"/>
        <v>1708</v>
      </c>
      <c r="BX286" s="19">
        <f t="shared" si="286"/>
        <v>0.6082568807339449</v>
      </c>
      <c r="BY286" s="49">
        <f t="shared" si="287"/>
        <v>1081.7260129309495</v>
      </c>
      <c r="BZ286" s="19">
        <f t="shared" si="257"/>
        <v>5.0552538333002843</v>
      </c>
      <c r="CA286" s="19">
        <f t="shared" si="258"/>
        <v>3.0844699021864561</v>
      </c>
      <c r="CB286" s="19">
        <f t="shared" si="259"/>
        <v>1.9886286002563003</v>
      </c>
      <c r="CC286" s="19">
        <f t="shared" si="260"/>
        <v>1.6184507230780709</v>
      </c>
      <c r="CD286" s="19">
        <f t="shared" si="261"/>
        <v>26.781693452235807</v>
      </c>
      <c r="CE286" s="19">
        <f t="shared" si="262"/>
        <v>3.1248674692774272</v>
      </c>
      <c r="CF286" s="49">
        <f t="shared" si="263"/>
        <v>-362.8155524501999</v>
      </c>
      <c r="CG286" s="49">
        <f t="shared" si="264"/>
        <v>-175.62971314602692</v>
      </c>
      <c r="CH286" s="49">
        <f t="shared" si="265"/>
        <v>-112.75524362316082</v>
      </c>
      <c r="CI286" s="49">
        <f t="shared" si="266"/>
        <v>-112.25574377114572</v>
      </c>
      <c r="CJ286" s="49">
        <f t="shared" si="267"/>
        <v>-880.04647362216201</v>
      </c>
      <c r="CK286" s="49">
        <f t="shared" si="268"/>
        <v>-134.90052239897159</v>
      </c>
    </row>
    <row r="287" spans="2:89" ht="12.75" customHeight="1" x14ac:dyDescent="0.2">
      <c r="B287" s="77">
        <v>41008</v>
      </c>
      <c r="C287" s="49">
        <v>70.370002999999997</v>
      </c>
      <c r="D287" s="49">
        <v>55.75</v>
      </c>
      <c r="E287" s="49">
        <v>55.700001</v>
      </c>
      <c r="F287" s="49">
        <v>67.709998999999996</v>
      </c>
      <c r="G287" s="49">
        <v>32.400002000000001</v>
      </c>
      <c r="H287" s="49">
        <v>42.57</v>
      </c>
      <c r="J287" s="78">
        <f>IF(inter=Weekly_2,J286+$C$5,IF(inter=Bi_weekly_2,0,IF(inter=Monthly_2,0,IF(inter=Quarterly_2,0,IF(inter=Yearly_2,0,IF(inter=None_2,0,0))))))</f>
        <v>0</v>
      </c>
      <c r="K287" s="79">
        <f t="shared" si="269"/>
        <v>0</v>
      </c>
      <c r="L287" s="79">
        <f t="shared" si="270"/>
        <v>0</v>
      </c>
      <c r="M287" s="79">
        <f t="shared" si="271"/>
        <v>0</v>
      </c>
      <c r="N287" s="79">
        <f t="shared" si="272"/>
        <v>0</v>
      </c>
      <c r="O287" s="79">
        <f t="shared" si="273"/>
        <v>0</v>
      </c>
      <c r="P287" s="79">
        <f t="shared" si="274"/>
        <v>0</v>
      </c>
      <c r="Q287" s="79"/>
      <c r="R287" s="80">
        <f t="shared" si="232"/>
        <v>0</v>
      </c>
      <c r="S287" s="80">
        <f t="shared" si="233"/>
        <v>0</v>
      </c>
      <c r="T287" s="80">
        <f t="shared" si="234"/>
        <v>0</v>
      </c>
      <c r="U287" s="80">
        <f t="shared" si="235"/>
        <v>0</v>
      </c>
      <c r="V287" s="80">
        <f t="shared" si="236"/>
        <v>0</v>
      </c>
      <c r="W287" s="80">
        <f t="shared" si="237"/>
        <v>0</v>
      </c>
      <c r="X287" s="80">
        <f t="shared" si="288"/>
        <v>454.50747336662135</v>
      </c>
      <c r="Y287" s="80">
        <f t="shared" si="289"/>
        <v>163.68107066528049</v>
      </c>
      <c r="Z287" s="80">
        <f t="shared" si="290"/>
        <v>131.49911584657644</v>
      </c>
      <c r="AA287" s="80">
        <f t="shared" si="291"/>
        <v>94.059975575836589</v>
      </c>
      <c r="AB287" s="80">
        <f t="shared" si="292"/>
        <v>709.06875504964228</v>
      </c>
      <c r="AC287" s="80">
        <f t="shared" si="293"/>
        <v>323.83601222311847</v>
      </c>
      <c r="AD287" s="80"/>
      <c r="AE287" s="80"/>
      <c r="AF287" s="80"/>
      <c r="AG287" s="80"/>
      <c r="AH287" s="80"/>
      <c r="AI287" s="80"/>
      <c r="AJ287" s="45">
        <f t="shared" si="238"/>
        <v>0</v>
      </c>
      <c r="AK287" s="45">
        <f t="shared" si="239"/>
        <v>0</v>
      </c>
      <c r="AL287" s="45">
        <f t="shared" si="240"/>
        <v>0</v>
      </c>
      <c r="AM287" s="45">
        <f t="shared" si="241"/>
        <v>0</v>
      </c>
      <c r="AN287" s="45">
        <f t="shared" si="242"/>
        <v>0</v>
      </c>
      <c r="AO287" s="45">
        <f t="shared" si="243"/>
        <v>0</v>
      </c>
      <c r="AP287" s="80">
        <f t="shared" si="244"/>
        <v>0</v>
      </c>
      <c r="AQ287" s="80">
        <f t="shared" si="245"/>
        <v>0</v>
      </c>
      <c r="AR287" s="80">
        <f t="shared" si="246"/>
        <v>0</v>
      </c>
      <c r="AS287" s="80">
        <f t="shared" si="247"/>
        <v>0</v>
      </c>
      <c r="AT287" s="80">
        <f t="shared" si="248"/>
        <v>0</v>
      </c>
      <c r="AU287" s="80">
        <f t="shared" si="249"/>
        <v>0</v>
      </c>
      <c r="AV287" s="80">
        <f t="shared" si="294"/>
        <v>32.550341608657234</v>
      </c>
      <c r="AW287" s="80">
        <f t="shared" si="295"/>
        <v>16.189645937974177</v>
      </c>
      <c r="AX287" s="80">
        <f t="shared" si="296"/>
        <v>10.811701855878232</v>
      </c>
      <c r="AY287" s="80">
        <f t="shared" si="297"/>
        <v>7.9790880151842218</v>
      </c>
      <c r="AZ287" s="80">
        <f t="shared" si="298"/>
        <v>64.159174807714336</v>
      </c>
      <c r="BA287" s="80">
        <f t="shared" si="299"/>
        <v>28.023637336551971</v>
      </c>
      <c r="BB287" s="80">
        <f t="shared" si="275"/>
        <v>487.05781497527857</v>
      </c>
      <c r="BC287" s="80">
        <f t="shared" si="276"/>
        <v>179.87071660325466</v>
      </c>
      <c r="BD287" s="80">
        <f t="shared" si="277"/>
        <v>142.31081770245467</v>
      </c>
      <c r="BE287" s="80">
        <f t="shared" si="278"/>
        <v>102.03906359102081</v>
      </c>
      <c r="BF287" s="80">
        <f t="shared" si="279"/>
        <v>773.22792985735657</v>
      </c>
      <c r="BG287" s="80">
        <f t="shared" si="280"/>
        <v>351.85964955967046</v>
      </c>
      <c r="BH287" s="49">
        <f t="shared" si="281"/>
        <v>0</v>
      </c>
      <c r="BI287" s="79">
        <f t="shared" si="282"/>
        <v>-79754.703201245837</v>
      </c>
      <c r="BJ287" s="79">
        <f t="shared" si="250"/>
        <v>91561.741812338369</v>
      </c>
      <c r="BK287" s="44">
        <f t="shared" si="283"/>
        <v>0.14804191022189261</v>
      </c>
      <c r="BL287" s="79">
        <f t="shared" si="300"/>
        <v>6641.7870422300057</v>
      </c>
      <c r="BM287" s="49">
        <f t="shared" si="284"/>
        <v>98203.528854568372</v>
      </c>
      <c r="BN287" s="44">
        <f t="shared" si="285"/>
        <v>0.23131959511867817</v>
      </c>
      <c r="BO287" s="49">
        <f t="shared" si="251"/>
        <v>7607.3398769127616</v>
      </c>
      <c r="BP287" s="49">
        <f t="shared" si="252"/>
        <v>99169.081689251121</v>
      </c>
      <c r="BQ287" s="44">
        <f t="shared" si="253"/>
        <v>0.24342612672028618</v>
      </c>
      <c r="BS287" s="49">
        <f t="shared" si="254"/>
        <v>79754.703201245837</v>
      </c>
      <c r="BT287" s="49">
        <f t="shared" si="301"/>
        <v>70.370002999999997</v>
      </c>
      <c r="BU287" s="49">
        <f t="shared" si="302"/>
        <v>42.57</v>
      </c>
      <c r="BV287" s="49">
        <f t="shared" si="255"/>
        <v>0</v>
      </c>
      <c r="BW287" s="18">
        <f t="shared" si="256"/>
        <v>1715</v>
      </c>
      <c r="BX287" s="19">
        <f t="shared" si="286"/>
        <v>0.60665137614678899</v>
      </c>
      <c r="BY287" s="49">
        <f t="shared" si="287"/>
        <v>0</v>
      </c>
      <c r="BZ287" s="19">
        <f t="shared" si="257"/>
        <v>0</v>
      </c>
      <c r="CA287" s="19">
        <f t="shared" si="258"/>
        <v>0</v>
      </c>
      <c r="CB287" s="19">
        <f t="shared" si="259"/>
        <v>0</v>
      </c>
      <c r="CC287" s="19">
        <f t="shared" si="260"/>
        <v>0</v>
      </c>
      <c r="CD287" s="19">
        <f t="shared" si="261"/>
        <v>0</v>
      </c>
      <c r="CE287" s="19">
        <f t="shared" si="262"/>
        <v>0</v>
      </c>
      <c r="CF287" s="49">
        <f t="shared" si="263"/>
        <v>0</v>
      </c>
      <c r="CG287" s="49">
        <f t="shared" si="264"/>
        <v>0</v>
      </c>
      <c r="CH287" s="49">
        <f t="shared" si="265"/>
        <v>0</v>
      </c>
      <c r="CI287" s="49">
        <f t="shared" si="266"/>
        <v>0</v>
      </c>
      <c r="CJ287" s="49">
        <f t="shared" si="267"/>
        <v>0</v>
      </c>
      <c r="CK287" s="49">
        <f t="shared" si="268"/>
        <v>0</v>
      </c>
    </row>
    <row r="288" spans="2:89" ht="12.75" customHeight="1" x14ac:dyDescent="0.2">
      <c r="B288" s="77">
        <v>41015</v>
      </c>
      <c r="C288" s="49">
        <v>70.819999999999993</v>
      </c>
      <c r="D288" s="49">
        <v>56.380001</v>
      </c>
      <c r="E288" s="49">
        <v>56.200001</v>
      </c>
      <c r="F288" s="49">
        <v>68.690002000000007</v>
      </c>
      <c r="G288" s="49">
        <v>33.090000000000003</v>
      </c>
      <c r="H288" s="49">
        <v>42.75</v>
      </c>
      <c r="J288" s="78">
        <f>IF(inter=Weekly_2,J287+$C$5,IF(inter=Bi_weekly_2,J286+$C$5,IF(inter=Monthly_2,0,IF(inter=Quarterly_2,0,IF(inter=Yearly_2,0,IF(inter=None_2,0,0))))))</f>
        <v>93800</v>
      </c>
      <c r="K288" s="79">
        <f t="shared" si="269"/>
        <v>-641.7807361758787</v>
      </c>
      <c r="L288" s="79">
        <f t="shared" si="270"/>
        <v>-151.66107221041602</v>
      </c>
      <c r="M288" s="79">
        <f t="shared" si="271"/>
        <v>-113.74955792328819</v>
      </c>
      <c r="N288" s="79">
        <f t="shared" si="272"/>
        <v>-105.02008957583348</v>
      </c>
      <c r="O288" s="79">
        <f t="shared" si="273"/>
        <v>13.08510459266472</v>
      </c>
      <c r="P288" s="79">
        <f t="shared" si="274"/>
        <v>-226.01047746168479</v>
      </c>
      <c r="Q288" s="79"/>
      <c r="R288" s="80">
        <f t="shared" si="232"/>
        <v>9.0621397370217274</v>
      </c>
      <c r="S288" s="80">
        <f t="shared" si="233"/>
        <v>2.6899799489257905</v>
      </c>
      <c r="T288" s="80">
        <f t="shared" si="234"/>
        <v>2.0240134501650311</v>
      </c>
      <c r="U288" s="80">
        <f t="shared" si="235"/>
        <v>1.5288992068428455</v>
      </c>
      <c r="V288" s="80">
        <f t="shared" si="236"/>
        <v>-0.39543984867527104</v>
      </c>
      <c r="W288" s="80">
        <f t="shared" si="237"/>
        <v>5.2867947944253748</v>
      </c>
      <c r="X288" s="80">
        <f t="shared" si="288"/>
        <v>463.56961310364306</v>
      </c>
      <c r="Y288" s="80">
        <f t="shared" si="289"/>
        <v>166.37105061420627</v>
      </c>
      <c r="Z288" s="80">
        <f t="shared" si="290"/>
        <v>133.52312929674147</v>
      </c>
      <c r="AA288" s="80">
        <f t="shared" si="291"/>
        <v>95.58887478267944</v>
      </c>
      <c r="AB288" s="80">
        <f t="shared" si="292"/>
        <v>708.67331520096695</v>
      </c>
      <c r="AC288" s="80">
        <f t="shared" si="293"/>
        <v>329.12280701754383</v>
      </c>
      <c r="AD288" s="80"/>
      <c r="AE288" s="80"/>
      <c r="AF288" s="80"/>
      <c r="AG288" s="80"/>
      <c r="AH288" s="80"/>
      <c r="AI288" s="80"/>
      <c r="AJ288" s="45">
        <f t="shared" si="238"/>
        <v>0</v>
      </c>
      <c r="AK288" s="45">
        <f t="shared" si="239"/>
        <v>0</v>
      </c>
      <c r="AL288" s="45">
        <f t="shared" si="240"/>
        <v>0</v>
      </c>
      <c r="AM288" s="45">
        <f t="shared" si="241"/>
        <v>0</v>
      </c>
      <c r="AN288" s="45">
        <f t="shared" si="242"/>
        <v>0</v>
      </c>
      <c r="AO288" s="45">
        <f t="shared" si="243"/>
        <v>0</v>
      </c>
      <c r="AP288" s="80">
        <f t="shared" si="244"/>
        <v>0</v>
      </c>
      <c r="AQ288" s="80">
        <f t="shared" si="245"/>
        <v>0</v>
      </c>
      <c r="AR288" s="80">
        <f t="shared" si="246"/>
        <v>0</v>
      </c>
      <c r="AS288" s="80">
        <f t="shared" si="247"/>
        <v>0</v>
      </c>
      <c r="AT288" s="80">
        <f t="shared" si="248"/>
        <v>0</v>
      </c>
      <c r="AU288" s="80">
        <f t="shared" si="249"/>
        <v>0</v>
      </c>
      <c r="AV288" s="80">
        <f t="shared" si="294"/>
        <v>32.550341608657234</v>
      </c>
      <c r="AW288" s="80">
        <f t="shared" si="295"/>
        <v>16.189645937974177</v>
      </c>
      <c r="AX288" s="80">
        <f t="shared" si="296"/>
        <v>10.811701855878232</v>
      </c>
      <c r="AY288" s="80">
        <f t="shared" si="297"/>
        <v>7.9790880151842218</v>
      </c>
      <c r="AZ288" s="80">
        <f t="shared" si="298"/>
        <v>64.159174807714336</v>
      </c>
      <c r="BA288" s="80">
        <f t="shared" si="299"/>
        <v>28.023637336551971</v>
      </c>
      <c r="BB288" s="80">
        <f t="shared" si="275"/>
        <v>496.11995471230028</v>
      </c>
      <c r="BC288" s="80">
        <f t="shared" si="276"/>
        <v>182.56069655218045</v>
      </c>
      <c r="BD288" s="80">
        <f t="shared" si="277"/>
        <v>144.3348311526197</v>
      </c>
      <c r="BE288" s="80">
        <f t="shared" si="278"/>
        <v>103.56796279786366</v>
      </c>
      <c r="BF288" s="80">
        <f t="shared" si="279"/>
        <v>772.83249000868125</v>
      </c>
      <c r="BG288" s="80">
        <f t="shared" si="280"/>
        <v>357.14644435409582</v>
      </c>
      <c r="BH288" s="49">
        <f t="shared" si="281"/>
        <v>0</v>
      </c>
      <c r="BI288" s="79">
        <f t="shared" si="282"/>
        <v>-80979.840030000283</v>
      </c>
      <c r="BJ288" s="79">
        <f t="shared" si="250"/>
        <v>93800</v>
      </c>
      <c r="BK288" s="44">
        <f t="shared" si="283"/>
        <v>0.15831298216013123</v>
      </c>
      <c r="BL288" s="79">
        <f t="shared" si="300"/>
        <v>6641.7870422300057</v>
      </c>
      <c r="BM288" s="49">
        <f t="shared" si="284"/>
        <v>100441.78704223</v>
      </c>
      <c r="BN288" s="44">
        <f t="shared" si="285"/>
        <v>0.24033076633665518</v>
      </c>
      <c r="BO288" s="49">
        <f t="shared" si="251"/>
        <v>7694.726264255838</v>
      </c>
      <c r="BP288" s="49">
        <f t="shared" si="252"/>
        <v>101494.72626425583</v>
      </c>
      <c r="BQ288" s="44">
        <f t="shared" si="253"/>
        <v>0.25333325216072899</v>
      </c>
      <c r="BS288" s="49">
        <f t="shared" si="254"/>
        <v>80979.840030000283</v>
      </c>
      <c r="BT288" s="49">
        <f t="shared" si="301"/>
        <v>70.819999999999993</v>
      </c>
      <c r="BU288" s="49">
        <f t="shared" si="302"/>
        <v>42.75</v>
      </c>
      <c r="BV288" s="49">
        <f t="shared" si="255"/>
        <v>1225.1368287544365</v>
      </c>
      <c r="BW288" s="18">
        <f t="shared" si="256"/>
        <v>1722</v>
      </c>
      <c r="BX288" s="19">
        <f t="shared" si="286"/>
        <v>0.60504587155963307</v>
      </c>
      <c r="BY288" s="49">
        <f t="shared" si="287"/>
        <v>741.26398033353291</v>
      </c>
      <c r="BZ288" s="19">
        <f t="shared" si="257"/>
        <v>9.0621397370217274</v>
      </c>
      <c r="CA288" s="19">
        <f t="shared" si="258"/>
        <v>2.6899799489257905</v>
      </c>
      <c r="CB288" s="19">
        <f t="shared" si="259"/>
        <v>2.0240134501650311</v>
      </c>
      <c r="CC288" s="19">
        <f t="shared" si="260"/>
        <v>1.5288992068428455</v>
      </c>
      <c r="CD288" s="19">
        <f t="shared" si="261"/>
        <v>0</v>
      </c>
      <c r="CE288" s="19">
        <f t="shared" si="262"/>
        <v>5.2867947944253748</v>
      </c>
      <c r="CF288" s="49">
        <f t="shared" si="263"/>
        <v>-641.7807361758787</v>
      </c>
      <c r="CG288" s="49">
        <f t="shared" si="264"/>
        <v>-151.66107221041602</v>
      </c>
      <c r="CH288" s="49">
        <f t="shared" si="265"/>
        <v>-113.74955792328819</v>
      </c>
      <c r="CI288" s="49">
        <f t="shared" si="266"/>
        <v>-105.02008957583348</v>
      </c>
      <c r="CJ288" s="49">
        <f t="shared" si="267"/>
        <v>0</v>
      </c>
      <c r="CK288" s="49">
        <f t="shared" si="268"/>
        <v>-226.01047746168479</v>
      </c>
    </row>
    <row r="289" spans="2:89" ht="12.75" customHeight="1" x14ac:dyDescent="0.2">
      <c r="B289" s="77">
        <v>41022</v>
      </c>
      <c r="C289" s="49">
        <v>72.169998000000007</v>
      </c>
      <c r="D289" s="49">
        <v>57.349997999999999</v>
      </c>
      <c r="E289" s="49">
        <v>57.330002</v>
      </c>
      <c r="F289" s="49">
        <v>70.349997999999999</v>
      </c>
      <c r="G289" s="49">
        <v>33.409999999999997</v>
      </c>
      <c r="H289" s="49">
        <v>42.68</v>
      </c>
      <c r="J289" s="78">
        <f>IF(inter=Weekly_2,J288+$C$5,IF(inter=Bi_weekly_2,0,IF(inter=Monthly_2,0,IF(inter=Quarterly_2,J276+$C$5,IF(inter=Yearly_2,0,IF(inter=None_2,0,0))))))</f>
        <v>0</v>
      </c>
      <c r="K289" s="79">
        <f t="shared" si="269"/>
        <v>0</v>
      </c>
      <c r="L289" s="79">
        <f t="shared" si="270"/>
        <v>0</v>
      </c>
      <c r="M289" s="79">
        <f t="shared" si="271"/>
        <v>0</v>
      </c>
      <c r="N289" s="79">
        <f t="shared" si="272"/>
        <v>0</v>
      </c>
      <c r="O289" s="79">
        <f t="shared" si="273"/>
        <v>0</v>
      </c>
      <c r="P289" s="79">
        <f t="shared" si="274"/>
        <v>0</v>
      </c>
      <c r="Q289" s="79"/>
      <c r="R289" s="80">
        <f t="shared" si="232"/>
        <v>0</v>
      </c>
      <c r="S289" s="80">
        <f t="shared" si="233"/>
        <v>0</v>
      </c>
      <c r="T289" s="80">
        <f t="shared" si="234"/>
        <v>0</v>
      </c>
      <c r="U289" s="80">
        <f t="shared" si="235"/>
        <v>0</v>
      </c>
      <c r="V289" s="80">
        <f t="shared" si="236"/>
        <v>0</v>
      </c>
      <c r="W289" s="80">
        <f t="shared" si="237"/>
        <v>0</v>
      </c>
      <c r="X289" s="80">
        <f t="shared" si="288"/>
        <v>463.56961310364306</v>
      </c>
      <c r="Y289" s="80">
        <f t="shared" si="289"/>
        <v>166.37105061420627</v>
      </c>
      <c r="Z289" s="80">
        <f t="shared" si="290"/>
        <v>133.52312929674147</v>
      </c>
      <c r="AA289" s="80">
        <f t="shared" si="291"/>
        <v>95.58887478267944</v>
      </c>
      <c r="AB289" s="80">
        <f t="shared" si="292"/>
        <v>708.67331520096695</v>
      </c>
      <c r="AC289" s="80">
        <f t="shared" si="293"/>
        <v>329.12280701754383</v>
      </c>
      <c r="AD289" s="80"/>
      <c r="AE289" s="80"/>
      <c r="AF289" s="80"/>
      <c r="AG289" s="80"/>
      <c r="AH289" s="80"/>
      <c r="AI289" s="80"/>
      <c r="AJ289" s="45">
        <f t="shared" si="238"/>
        <v>0</v>
      </c>
      <c r="AK289" s="45">
        <f t="shared" si="239"/>
        <v>0</v>
      </c>
      <c r="AL289" s="45">
        <f t="shared" si="240"/>
        <v>0</v>
      </c>
      <c r="AM289" s="45">
        <f t="shared" si="241"/>
        <v>0</v>
      </c>
      <c r="AN289" s="45">
        <f t="shared" si="242"/>
        <v>0</v>
      </c>
      <c r="AO289" s="45">
        <f t="shared" si="243"/>
        <v>0</v>
      </c>
      <c r="AP289" s="80">
        <f t="shared" si="244"/>
        <v>0</v>
      </c>
      <c r="AQ289" s="80">
        <f t="shared" si="245"/>
        <v>0</v>
      </c>
      <c r="AR289" s="80">
        <f t="shared" si="246"/>
        <v>0</v>
      </c>
      <c r="AS289" s="80">
        <f t="shared" si="247"/>
        <v>0</v>
      </c>
      <c r="AT289" s="80">
        <f t="shared" si="248"/>
        <v>0</v>
      </c>
      <c r="AU289" s="80">
        <f t="shared" si="249"/>
        <v>0</v>
      </c>
      <c r="AV289" s="80">
        <f t="shared" si="294"/>
        <v>32.550341608657234</v>
      </c>
      <c r="AW289" s="80">
        <f t="shared" si="295"/>
        <v>16.189645937974177</v>
      </c>
      <c r="AX289" s="80">
        <f t="shared" si="296"/>
        <v>10.811701855878232</v>
      </c>
      <c r="AY289" s="80">
        <f t="shared" si="297"/>
        <v>7.9790880151842218</v>
      </c>
      <c r="AZ289" s="80">
        <f t="shared" si="298"/>
        <v>64.159174807714336</v>
      </c>
      <c r="BA289" s="80">
        <f t="shared" si="299"/>
        <v>28.023637336551971</v>
      </c>
      <c r="BB289" s="80">
        <f t="shared" si="275"/>
        <v>496.11995471230028</v>
      </c>
      <c r="BC289" s="80">
        <f t="shared" si="276"/>
        <v>182.56069655218045</v>
      </c>
      <c r="BD289" s="80">
        <f t="shared" si="277"/>
        <v>144.3348311526197</v>
      </c>
      <c r="BE289" s="80">
        <f t="shared" si="278"/>
        <v>103.56796279786366</v>
      </c>
      <c r="BF289" s="80">
        <f t="shared" si="279"/>
        <v>772.83249000868125</v>
      </c>
      <c r="BG289" s="80">
        <f t="shared" si="280"/>
        <v>357.14644435409582</v>
      </c>
      <c r="BH289" s="49">
        <f t="shared" si="281"/>
        <v>0</v>
      </c>
      <c r="BI289" s="79">
        <f t="shared" si="282"/>
        <v>-80979.840030000283</v>
      </c>
      <c r="BJ289" s="79">
        <f t="shared" si="250"/>
        <v>95100.492754318591</v>
      </c>
      <c r="BK289" s="44">
        <f t="shared" si="283"/>
        <v>0.17437244527881357</v>
      </c>
      <c r="BL289" s="79">
        <f t="shared" si="300"/>
        <v>6641.7870422300057</v>
      </c>
      <c r="BM289" s="49">
        <f t="shared" si="284"/>
        <v>101742.2797965486</v>
      </c>
      <c r="BN289" s="44">
        <f t="shared" si="285"/>
        <v>0.25639022945533774</v>
      </c>
      <c r="BO289" s="49">
        <f t="shared" si="251"/>
        <v>7798.4048377403469</v>
      </c>
      <c r="BP289" s="49">
        <f t="shared" si="252"/>
        <v>102898.89759205896</v>
      </c>
      <c r="BQ289" s="44">
        <f t="shared" si="253"/>
        <v>0.27067301632033858</v>
      </c>
      <c r="BS289" s="49">
        <f t="shared" si="254"/>
        <v>80979.840030000283</v>
      </c>
      <c r="BT289" s="49">
        <f t="shared" si="301"/>
        <v>72.169998000000007</v>
      </c>
      <c r="BU289" s="49">
        <f t="shared" si="302"/>
        <v>42.68</v>
      </c>
      <c r="BV289" s="49">
        <f t="shared" si="255"/>
        <v>0</v>
      </c>
      <c r="BW289" s="18">
        <f t="shared" si="256"/>
        <v>1729</v>
      </c>
      <c r="BX289" s="19">
        <f t="shared" si="286"/>
        <v>0.60344036697247705</v>
      </c>
      <c r="BY289" s="49">
        <f t="shared" si="287"/>
        <v>0</v>
      </c>
      <c r="BZ289" s="19">
        <f t="shared" si="257"/>
        <v>0</v>
      </c>
      <c r="CA289" s="19">
        <f t="shared" si="258"/>
        <v>0</v>
      </c>
      <c r="CB289" s="19">
        <f t="shared" si="259"/>
        <v>0</v>
      </c>
      <c r="CC289" s="19">
        <f t="shared" si="260"/>
        <v>0</v>
      </c>
      <c r="CD289" s="19">
        <f t="shared" si="261"/>
        <v>0</v>
      </c>
      <c r="CE289" s="19">
        <f t="shared" si="262"/>
        <v>0</v>
      </c>
      <c r="CF289" s="49">
        <f t="shared" si="263"/>
        <v>0</v>
      </c>
      <c r="CG289" s="49">
        <f t="shared" si="264"/>
        <v>0</v>
      </c>
      <c r="CH289" s="49">
        <f t="shared" si="265"/>
        <v>0</v>
      </c>
      <c r="CI289" s="49">
        <f t="shared" si="266"/>
        <v>0</v>
      </c>
      <c r="CJ289" s="49">
        <f t="shared" si="267"/>
        <v>0</v>
      </c>
      <c r="CK289" s="49">
        <f t="shared" si="268"/>
        <v>0</v>
      </c>
    </row>
    <row r="290" spans="2:89" ht="12.75" customHeight="1" x14ac:dyDescent="0.2">
      <c r="B290" s="77">
        <v>41029</v>
      </c>
      <c r="C290" s="49">
        <v>70.279999000000004</v>
      </c>
      <c r="D290" s="49">
        <v>56.16</v>
      </c>
      <c r="E290" s="49">
        <v>55.98</v>
      </c>
      <c r="F290" s="49">
        <v>67.900002000000001</v>
      </c>
      <c r="G290" s="49">
        <v>32.310001</v>
      </c>
      <c r="H290" s="49">
        <v>41.700001</v>
      </c>
      <c r="J290" s="78">
        <f>IF(inter=Weekly_2,J289+$C$5,IF(inter=Bi_weekly_2,J288+$C$5,IF(inter=Monthly_2,J286+$C$5,IF(inter=Quarterly_2,0,IF(inter=Yearly_2,0,IF(inter=None_2,0,0))))))</f>
        <v>94400</v>
      </c>
      <c r="K290" s="79">
        <f t="shared" si="269"/>
        <v>-460.32805464557532</v>
      </c>
      <c r="L290" s="79">
        <f t="shared" si="270"/>
        <v>-96.601797506176808</v>
      </c>
      <c r="M290" s="79">
        <f t="shared" si="271"/>
        <v>-77.375221968412916</v>
      </c>
      <c r="N290" s="79">
        <f t="shared" si="272"/>
        <v>-117.51521107831741</v>
      </c>
      <c r="O290" s="79">
        <f t="shared" si="273"/>
        <v>-702.76447718344207</v>
      </c>
      <c r="P290" s="79">
        <f t="shared" si="274"/>
        <v>-435.57861824561587</v>
      </c>
      <c r="Q290" s="79"/>
      <c r="R290" s="80">
        <f t="shared" si="232"/>
        <v>6.5499154979438075</v>
      </c>
      <c r="S290" s="80">
        <f t="shared" si="233"/>
        <v>1.7201174769618379</v>
      </c>
      <c r="T290" s="80">
        <f t="shared" si="234"/>
        <v>1.3821940330191662</v>
      </c>
      <c r="U290" s="80">
        <f t="shared" si="235"/>
        <v>1.7307099796303012</v>
      </c>
      <c r="V290" s="80">
        <f t="shared" si="236"/>
        <v>21.750679524381386</v>
      </c>
      <c r="W290" s="80">
        <f t="shared" si="237"/>
        <v>10.4455301630716</v>
      </c>
      <c r="X290" s="80">
        <f t="shared" si="288"/>
        <v>470.11952860158686</v>
      </c>
      <c r="Y290" s="80">
        <f t="shared" si="289"/>
        <v>168.0911680911681</v>
      </c>
      <c r="Z290" s="80">
        <f t="shared" si="290"/>
        <v>134.90532332976065</v>
      </c>
      <c r="AA290" s="80">
        <f t="shared" si="291"/>
        <v>97.319584762309745</v>
      </c>
      <c r="AB290" s="80">
        <f t="shared" si="292"/>
        <v>730.42399472534839</v>
      </c>
      <c r="AC290" s="80">
        <f t="shared" si="293"/>
        <v>339.56833718061546</v>
      </c>
      <c r="AD290" s="80"/>
      <c r="AE290" s="80"/>
      <c r="AF290" s="80"/>
      <c r="AG290" s="80"/>
      <c r="AH290" s="80"/>
      <c r="AI290" s="80"/>
      <c r="AJ290" s="45">
        <f t="shared" si="238"/>
        <v>0</v>
      </c>
      <c r="AK290" s="45">
        <f t="shared" si="239"/>
        <v>0</v>
      </c>
      <c r="AL290" s="45">
        <f t="shared" si="240"/>
        <v>0</v>
      </c>
      <c r="AM290" s="45">
        <f t="shared" si="241"/>
        <v>0</v>
      </c>
      <c r="AN290" s="45">
        <f t="shared" si="242"/>
        <v>0</v>
      </c>
      <c r="AO290" s="45">
        <f t="shared" si="243"/>
        <v>0</v>
      </c>
      <c r="AP290" s="80">
        <f t="shared" si="244"/>
        <v>0</v>
      </c>
      <c r="AQ290" s="80">
        <f t="shared" si="245"/>
        <v>0</v>
      </c>
      <c r="AR290" s="80">
        <f t="shared" si="246"/>
        <v>0</v>
      </c>
      <c r="AS290" s="80">
        <f t="shared" si="247"/>
        <v>0</v>
      </c>
      <c r="AT290" s="80">
        <f t="shared" si="248"/>
        <v>0</v>
      </c>
      <c r="AU290" s="80">
        <f t="shared" si="249"/>
        <v>0</v>
      </c>
      <c r="AV290" s="80">
        <f t="shared" si="294"/>
        <v>32.550341608657234</v>
      </c>
      <c r="AW290" s="80">
        <f t="shared" si="295"/>
        <v>16.189645937974177</v>
      </c>
      <c r="AX290" s="80">
        <f t="shared" si="296"/>
        <v>10.811701855878232</v>
      </c>
      <c r="AY290" s="80">
        <f t="shared" si="297"/>
        <v>7.9790880151842218</v>
      </c>
      <c r="AZ290" s="80">
        <f t="shared" si="298"/>
        <v>64.159174807714336</v>
      </c>
      <c r="BA290" s="80">
        <f t="shared" si="299"/>
        <v>28.023637336551971</v>
      </c>
      <c r="BB290" s="80">
        <f t="shared" si="275"/>
        <v>502.66987021024408</v>
      </c>
      <c r="BC290" s="80">
        <f t="shared" si="276"/>
        <v>184.28081402914228</v>
      </c>
      <c r="BD290" s="80">
        <f t="shared" si="277"/>
        <v>145.71702518563887</v>
      </c>
      <c r="BE290" s="80">
        <f t="shared" si="278"/>
        <v>105.29867277749396</v>
      </c>
      <c r="BF290" s="80">
        <f t="shared" si="279"/>
        <v>794.58316953306269</v>
      </c>
      <c r="BG290" s="80">
        <f t="shared" si="280"/>
        <v>367.59197451716744</v>
      </c>
      <c r="BH290" s="49">
        <f t="shared" si="281"/>
        <v>0</v>
      </c>
      <c r="BI290" s="79">
        <f t="shared" si="282"/>
        <v>-82870.003410627833</v>
      </c>
      <c r="BJ290" s="79">
        <f t="shared" si="250"/>
        <v>94400</v>
      </c>
      <c r="BK290" s="44">
        <f t="shared" si="283"/>
        <v>0.13913353583732913</v>
      </c>
      <c r="BL290" s="79">
        <f t="shared" si="300"/>
        <v>6641.7870422300057</v>
      </c>
      <c r="BM290" s="49">
        <f t="shared" si="284"/>
        <v>101041.78704223</v>
      </c>
      <c r="BN290" s="44">
        <f t="shared" si="285"/>
        <v>0.21928059471120642</v>
      </c>
      <c r="BO290" s="49">
        <f t="shared" si="251"/>
        <v>7585.4363608182457</v>
      </c>
      <c r="BP290" s="49">
        <f t="shared" si="252"/>
        <v>101985.43636081825</v>
      </c>
      <c r="BQ290" s="44">
        <f t="shared" si="253"/>
        <v>0.23066769836453171</v>
      </c>
      <c r="BS290" s="49">
        <f t="shared" si="254"/>
        <v>82870.003410627833</v>
      </c>
      <c r="BT290" s="49">
        <f t="shared" si="301"/>
        <v>70.279999000000004</v>
      </c>
      <c r="BU290" s="49">
        <f t="shared" si="302"/>
        <v>41.700001</v>
      </c>
      <c r="BV290" s="49">
        <f t="shared" si="255"/>
        <v>1890.1633806275404</v>
      </c>
      <c r="BW290" s="18">
        <f t="shared" si="256"/>
        <v>1736</v>
      </c>
      <c r="BX290" s="19">
        <f t="shared" si="286"/>
        <v>0.60183486238532113</v>
      </c>
      <c r="BY290" s="49">
        <f t="shared" si="287"/>
        <v>1137.5662180657491</v>
      </c>
      <c r="BZ290" s="19">
        <f t="shared" si="257"/>
        <v>6.5499154979438075</v>
      </c>
      <c r="CA290" s="19">
        <f t="shared" si="258"/>
        <v>1.7201174769618379</v>
      </c>
      <c r="CB290" s="19">
        <f t="shared" si="259"/>
        <v>1.3821940330191662</v>
      </c>
      <c r="CC290" s="19">
        <f t="shared" si="260"/>
        <v>1.7307099796303012</v>
      </c>
      <c r="CD290" s="19">
        <f t="shared" si="261"/>
        <v>21.750679524381386</v>
      </c>
      <c r="CE290" s="19">
        <f t="shared" si="262"/>
        <v>10.4455301630716</v>
      </c>
      <c r="CF290" s="49">
        <f t="shared" si="263"/>
        <v>-460.32805464557532</v>
      </c>
      <c r="CG290" s="49">
        <f t="shared" si="264"/>
        <v>-96.601797506176808</v>
      </c>
      <c r="CH290" s="49">
        <f t="shared" si="265"/>
        <v>-77.375221968412916</v>
      </c>
      <c r="CI290" s="49">
        <f t="shared" si="266"/>
        <v>-117.51521107831741</v>
      </c>
      <c r="CJ290" s="49">
        <f t="shared" si="267"/>
        <v>-702.76447718344207</v>
      </c>
      <c r="CK290" s="49">
        <f t="shared" si="268"/>
        <v>-435.57861824561587</v>
      </c>
    </row>
    <row r="291" spans="2:89" ht="12.75" customHeight="1" x14ac:dyDescent="0.2">
      <c r="B291" s="77">
        <v>41036</v>
      </c>
      <c r="C291" s="49">
        <v>69.639999000000003</v>
      </c>
      <c r="D291" s="49">
        <v>55.68</v>
      </c>
      <c r="E291" s="49">
        <v>55.650002000000001</v>
      </c>
      <c r="F291" s="49">
        <v>67.699996999999996</v>
      </c>
      <c r="G291" s="49">
        <v>31.610001</v>
      </c>
      <c r="H291" s="49">
        <v>40.279998999999997</v>
      </c>
      <c r="J291" s="78">
        <f>IF(inter=Weekly_2,J290+$C$5,IF(inter=Bi_weekly_2,0,IF(inter=Monthly_2,0,IF(inter=Quarterly_2,0,IF(inter=Yearly_2,0,IF(inter=None_2,0,0))))))</f>
        <v>0</v>
      </c>
      <c r="K291" s="79">
        <f t="shared" si="269"/>
        <v>0</v>
      </c>
      <c r="L291" s="79">
        <f t="shared" si="270"/>
        <v>0</v>
      </c>
      <c r="M291" s="79">
        <f t="shared" si="271"/>
        <v>0</v>
      </c>
      <c r="N291" s="79">
        <f t="shared" si="272"/>
        <v>0</v>
      </c>
      <c r="O291" s="79">
        <f t="shared" si="273"/>
        <v>0</v>
      </c>
      <c r="P291" s="79">
        <f t="shared" si="274"/>
        <v>0</v>
      </c>
      <c r="Q291" s="79"/>
      <c r="R291" s="80">
        <f t="shared" si="232"/>
        <v>0</v>
      </c>
      <c r="S291" s="80">
        <f t="shared" si="233"/>
        <v>0</v>
      </c>
      <c r="T291" s="80">
        <f t="shared" si="234"/>
        <v>0</v>
      </c>
      <c r="U291" s="80">
        <f t="shared" si="235"/>
        <v>0</v>
      </c>
      <c r="V291" s="80">
        <f t="shared" si="236"/>
        <v>0</v>
      </c>
      <c r="W291" s="80">
        <f t="shared" si="237"/>
        <v>0</v>
      </c>
      <c r="X291" s="80">
        <f t="shared" si="288"/>
        <v>470.11952860158686</v>
      </c>
      <c r="Y291" s="80">
        <f t="shared" si="289"/>
        <v>168.0911680911681</v>
      </c>
      <c r="Z291" s="80">
        <f t="shared" si="290"/>
        <v>134.90532332976065</v>
      </c>
      <c r="AA291" s="80">
        <f t="shared" si="291"/>
        <v>97.319584762309745</v>
      </c>
      <c r="AB291" s="80">
        <f t="shared" si="292"/>
        <v>730.42399472534839</v>
      </c>
      <c r="AC291" s="80">
        <f t="shared" si="293"/>
        <v>339.56833718061546</v>
      </c>
      <c r="AD291" s="80"/>
      <c r="AE291" s="80"/>
      <c r="AF291" s="80"/>
      <c r="AG291" s="80"/>
      <c r="AH291" s="80"/>
      <c r="AI291" s="80"/>
      <c r="AJ291" s="45">
        <f t="shared" si="238"/>
        <v>0</v>
      </c>
      <c r="AK291" s="45">
        <f t="shared" si="239"/>
        <v>0</v>
      </c>
      <c r="AL291" s="45">
        <f t="shared" si="240"/>
        <v>0</v>
      </c>
      <c r="AM291" s="45">
        <f t="shared" si="241"/>
        <v>0</v>
      </c>
      <c r="AN291" s="45">
        <f t="shared" si="242"/>
        <v>0</v>
      </c>
      <c r="AO291" s="45">
        <f t="shared" si="243"/>
        <v>0</v>
      </c>
      <c r="AP291" s="80">
        <f t="shared" si="244"/>
        <v>0</v>
      </c>
      <c r="AQ291" s="80">
        <f t="shared" si="245"/>
        <v>0</v>
      </c>
      <c r="AR291" s="80">
        <f t="shared" si="246"/>
        <v>0</v>
      </c>
      <c r="AS291" s="80">
        <f t="shared" si="247"/>
        <v>0</v>
      </c>
      <c r="AT291" s="80">
        <f t="shared" si="248"/>
        <v>0</v>
      </c>
      <c r="AU291" s="80">
        <f t="shared" si="249"/>
        <v>0</v>
      </c>
      <c r="AV291" s="80">
        <f t="shared" si="294"/>
        <v>32.550341608657234</v>
      </c>
      <c r="AW291" s="80">
        <f t="shared" si="295"/>
        <v>16.189645937974177</v>
      </c>
      <c r="AX291" s="80">
        <f t="shared" si="296"/>
        <v>10.811701855878232</v>
      </c>
      <c r="AY291" s="80">
        <f t="shared" si="297"/>
        <v>7.9790880151842218</v>
      </c>
      <c r="AZ291" s="80">
        <f t="shared" si="298"/>
        <v>64.159174807714336</v>
      </c>
      <c r="BA291" s="80">
        <f t="shared" si="299"/>
        <v>28.023637336551971</v>
      </c>
      <c r="BB291" s="80">
        <f t="shared" si="275"/>
        <v>502.66987021024408</v>
      </c>
      <c r="BC291" s="80">
        <f t="shared" si="276"/>
        <v>184.28081402914228</v>
      </c>
      <c r="BD291" s="80">
        <f t="shared" si="277"/>
        <v>145.71702518563887</v>
      </c>
      <c r="BE291" s="80">
        <f t="shared" si="278"/>
        <v>105.29867277749396</v>
      </c>
      <c r="BF291" s="80">
        <f t="shared" si="279"/>
        <v>794.58316953306269</v>
      </c>
      <c r="BG291" s="80">
        <f t="shared" si="280"/>
        <v>367.59197451716744</v>
      </c>
      <c r="BH291" s="49">
        <f t="shared" si="281"/>
        <v>0</v>
      </c>
      <c r="BI291" s="79">
        <f t="shared" si="282"/>
        <v>-82870.003410627833</v>
      </c>
      <c r="BJ291" s="79">
        <f t="shared" si="250"/>
        <v>92960.972336331775</v>
      </c>
      <c r="BK291" s="44">
        <f t="shared" si="283"/>
        <v>0.1217686558512896</v>
      </c>
      <c r="BL291" s="79">
        <f t="shared" si="300"/>
        <v>6641.7870422300057</v>
      </c>
      <c r="BM291" s="49">
        <f t="shared" si="284"/>
        <v>99602.759378561779</v>
      </c>
      <c r="BN291" s="44">
        <f t="shared" si="285"/>
        <v>0.20191571472516712</v>
      </c>
      <c r="BO291" s="49">
        <f t="shared" si="251"/>
        <v>7466.9643712203861</v>
      </c>
      <c r="BP291" s="49">
        <f t="shared" si="252"/>
        <v>100427.93670755217</v>
      </c>
      <c r="BQ291" s="44">
        <f t="shared" si="253"/>
        <v>0.21187320591654024</v>
      </c>
      <c r="BS291" s="49">
        <f t="shared" si="254"/>
        <v>82870.003410627833</v>
      </c>
      <c r="BT291" s="49">
        <f t="shared" si="301"/>
        <v>69.639999000000003</v>
      </c>
      <c r="BU291" s="49">
        <f t="shared" si="302"/>
        <v>40.279998999999997</v>
      </c>
      <c r="BV291" s="49">
        <f t="shared" si="255"/>
        <v>0</v>
      </c>
      <c r="BW291" s="18">
        <f t="shared" si="256"/>
        <v>1743</v>
      </c>
      <c r="BX291" s="19">
        <f t="shared" si="286"/>
        <v>0.60022935779816511</v>
      </c>
      <c r="BY291" s="49">
        <f t="shared" si="287"/>
        <v>0</v>
      </c>
      <c r="BZ291" s="19">
        <f t="shared" si="257"/>
        <v>0</v>
      </c>
      <c r="CA291" s="19">
        <f t="shared" si="258"/>
        <v>0</v>
      </c>
      <c r="CB291" s="19">
        <f t="shared" si="259"/>
        <v>0</v>
      </c>
      <c r="CC291" s="19">
        <f t="shared" si="260"/>
        <v>0</v>
      </c>
      <c r="CD291" s="19">
        <f t="shared" si="261"/>
        <v>0</v>
      </c>
      <c r="CE291" s="19">
        <f t="shared" si="262"/>
        <v>0</v>
      </c>
      <c r="CF291" s="49">
        <f t="shared" si="263"/>
        <v>0</v>
      </c>
      <c r="CG291" s="49">
        <f t="shared" si="264"/>
        <v>0</v>
      </c>
      <c r="CH291" s="49">
        <f t="shared" si="265"/>
        <v>0</v>
      </c>
      <c r="CI291" s="49">
        <f t="shared" si="266"/>
        <v>0</v>
      </c>
      <c r="CJ291" s="49">
        <f t="shared" si="267"/>
        <v>0</v>
      </c>
      <c r="CK291" s="49">
        <f t="shared" si="268"/>
        <v>0</v>
      </c>
    </row>
    <row r="292" spans="2:89" ht="12.75" customHeight="1" x14ac:dyDescent="0.2">
      <c r="B292" s="77">
        <v>41043</v>
      </c>
      <c r="C292" s="49">
        <v>66.419998000000007</v>
      </c>
      <c r="D292" s="49">
        <v>53.299999</v>
      </c>
      <c r="E292" s="49">
        <v>51.970001000000003</v>
      </c>
      <c r="F292" s="49">
        <v>63.869999</v>
      </c>
      <c r="G292" s="49">
        <v>29.719999000000001</v>
      </c>
      <c r="H292" s="49">
        <v>37.709999000000003</v>
      </c>
      <c r="J292" s="78">
        <f>IF(inter=Weekly_2,J291+$C$5,IF(inter=Bi_weekly_2,J290+$C$5,IF(inter=Monthly_2,0,IF(inter=Quarterly_2,0,IF(inter=Yearly_2,0,IF(inter=None_2,0,0))))))</f>
        <v>95000</v>
      </c>
      <c r="K292" s="79">
        <f t="shared" si="269"/>
        <v>-2024.6618505216538</v>
      </c>
      <c r="L292" s="79">
        <f t="shared" si="270"/>
        <v>-540.74090883190911</v>
      </c>
      <c r="M292" s="79">
        <f t="shared" si="271"/>
        <v>-588.97021164701528</v>
      </c>
      <c r="N292" s="79">
        <f t="shared" si="272"/>
        <v>-434.19821855086229</v>
      </c>
      <c r="O292" s="79">
        <f t="shared" si="273"/>
        <v>-2041.7996071866401</v>
      </c>
      <c r="P292" s="79">
        <f t="shared" si="274"/>
        <v>-1444.8783444873279</v>
      </c>
      <c r="Q292" s="79"/>
      <c r="R292" s="80">
        <f t="shared" si="232"/>
        <v>30.482714716758252</v>
      </c>
      <c r="S292" s="80">
        <f t="shared" si="233"/>
        <v>10.14523300144732</v>
      </c>
      <c r="T292" s="80">
        <f t="shared" si="234"/>
        <v>11.332888210777892</v>
      </c>
      <c r="U292" s="80">
        <f t="shared" si="235"/>
        <v>6.7981560255052189</v>
      </c>
      <c r="V292" s="80">
        <f t="shared" si="236"/>
        <v>68.701200399994633</v>
      </c>
      <c r="W292" s="80">
        <f t="shared" si="237"/>
        <v>38.315523277720793</v>
      </c>
      <c r="X292" s="80">
        <f t="shared" si="288"/>
        <v>500.60224331834513</v>
      </c>
      <c r="Y292" s="80">
        <f t="shared" si="289"/>
        <v>178.23640109261541</v>
      </c>
      <c r="Z292" s="80">
        <f t="shared" si="290"/>
        <v>146.23821154053854</v>
      </c>
      <c r="AA292" s="80">
        <f t="shared" si="291"/>
        <v>104.11774078781497</v>
      </c>
      <c r="AB292" s="80">
        <f t="shared" si="292"/>
        <v>799.125195125343</v>
      </c>
      <c r="AC292" s="80">
        <f t="shared" si="293"/>
        <v>377.88386045833624</v>
      </c>
      <c r="AD292" s="80"/>
      <c r="AE292" s="80"/>
      <c r="AF292" s="80"/>
      <c r="AG292" s="80"/>
      <c r="AH292" s="80"/>
      <c r="AI292" s="80"/>
      <c r="AJ292" s="45">
        <f t="shared" si="238"/>
        <v>0</v>
      </c>
      <c r="AK292" s="45">
        <f t="shared" si="239"/>
        <v>0</v>
      </c>
      <c r="AL292" s="45">
        <f t="shared" si="240"/>
        <v>0</v>
      </c>
      <c r="AM292" s="45">
        <f t="shared" si="241"/>
        <v>0</v>
      </c>
      <c r="AN292" s="45">
        <f t="shared" si="242"/>
        <v>0</v>
      </c>
      <c r="AO292" s="45">
        <f t="shared" si="243"/>
        <v>0</v>
      </c>
      <c r="AP292" s="80">
        <f t="shared" si="244"/>
        <v>0</v>
      </c>
      <c r="AQ292" s="80">
        <f t="shared" si="245"/>
        <v>0</v>
      </c>
      <c r="AR292" s="80">
        <f t="shared" si="246"/>
        <v>0</v>
      </c>
      <c r="AS292" s="80">
        <f t="shared" si="247"/>
        <v>0</v>
      </c>
      <c r="AT292" s="80">
        <f t="shared" si="248"/>
        <v>0</v>
      </c>
      <c r="AU292" s="80">
        <f t="shared" si="249"/>
        <v>0</v>
      </c>
      <c r="AV292" s="80">
        <f t="shared" si="294"/>
        <v>32.550341608657234</v>
      </c>
      <c r="AW292" s="80">
        <f t="shared" si="295"/>
        <v>16.189645937974177</v>
      </c>
      <c r="AX292" s="80">
        <f t="shared" si="296"/>
        <v>10.811701855878232</v>
      </c>
      <c r="AY292" s="80">
        <f t="shared" si="297"/>
        <v>7.9790880151842218</v>
      </c>
      <c r="AZ292" s="80">
        <f t="shared" si="298"/>
        <v>64.159174807714336</v>
      </c>
      <c r="BA292" s="80">
        <f t="shared" si="299"/>
        <v>28.023637336551971</v>
      </c>
      <c r="BB292" s="80">
        <f t="shared" si="275"/>
        <v>533.15258492700241</v>
      </c>
      <c r="BC292" s="80">
        <f t="shared" si="276"/>
        <v>194.42604703058959</v>
      </c>
      <c r="BD292" s="80">
        <f t="shared" si="277"/>
        <v>157.04991339641677</v>
      </c>
      <c r="BE292" s="80">
        <f t="shared" si="278"/>
        <v>112.09682880299918</v>
      </c>
      <c r="BF292" s="80">
        <f t="shared" si="279"/>
        <v>863.28436993305729</v>
      </c>
      <c r="BG292" s="80">
        <f t="shared" si="280"/>
        <v>405.90749779488823</v>
      </c>
      <c r="BH292" s="49">
        <f t="shared" si="281"/>
        <v>0</v>
      </c>
      <c r="BI292" s="79">
        <f t="shared" si="282"/>
        <v>-89945.252551853249</v>
      </c>
      <c r="BJ292" s="79">
        <f t="shared" si="250"/>
        <v>95000</v>
      </c>
      <c r="BK292" s="44">
        <f t="shared" si="283"/>
        <v>5.6198046086231246E-2</v>
      </c>
      <c r="BL292" s="79">
        <f t="shared" si="300"/>
        <v>6641.7870422300057</v>
      </c>
      <c r="BM292" s="49">
        <f t="shared" si="284"/>
        <v>101641.78704223</v>
      </c>
      <c r="BN292" s="44">
        <f t="shared" si="285"/>
        <v>0.13004059868122253</v>
      </c>
      <c r="BO292" s="49">
        <f t="shared" si="251"/>
        <v>7059.992183726963</v>
      </c>
      <c r="BP292" s="49">
        <f t="shared" si="252"/>
        <v>102059.99218372696</v>
      </c>
      <c r="BQ292" s="44">
        <f t="shared" si="253"/>
        <v>0.13469015082135205</v>
      </c>
      <c r="BS292" s="49">
        <f t="shared" si="254"/>
        <v>89945.252551853249</v>
      </c>
      <c r="BT292" s="49">
        <f t="shared" si="301"/>
        <v>66.419998000000007</v>
      </c>
      <c r="BU292" s="49">
        <f t="shared" si="302"/>
        <v>37.709999000000003</v>
      </c>
      <c r="BV292" s="49">
        <f t="shared" si="255"/>
        <v>7075.2491412254085</v>
      </c>
      <c r="BW292" s="18">
        <f t="shared" si="256"/>
        <v>1750</v>
      </c>
      <c r="BX292" s="19">
        <f t="shared" si="286"/>
        <v>0.59862385321100919</v>
      </c>
      <c r="BY292" s="49">
        <f t="shared" si="287"/>
        <v>4235.4129033482377</v>
      </c>
      <c r="BZ292" s="19">
        <f t="shared" si="257"/>
        <v>30.482714716758252</v>
      </c>
      <c r="CA292" s="19">
        <f t="shared" si="258"/>
        <v>10.14523300144732</v>
      </c>
      <c r="CB292" s="19">
        <f t="shared" si="259"/>
        <v>11.332888210777892</v>
      </c>
      <c r="CC292" s="19">
        <f t="shared" si="260"/>
        <v>6.7981560255052189</v>
      </c>
      <c r="CD292" s="19">
        <f t="shared" si="261"/>
        <v>68.701200399994633</v>
      </c>
      <c r="CE292" s="19">
        <f t="shared" si="262"/>
        <v>38.315523277720793</v>
      </c>
      <c r="CF292" s="49">
        <f t="shared" si="263"/>
        <v>-2024.6618505216538</v>
      </c>
      <c r="CG292" s="49">
        <f t="shared" si="264"/>
        <v>-540.74090883190911</v>
      </c>
      <c r="CH292" s="49">
        <f t="shared" si="265"/>
        <v>-588.97021164701528</v>
      </c>
      <c r="CI292" s="49">
        <f t="shared" si="266"/>
        <v>-434.19821855086229</v>
      </c>
      <c r="CJ292" s="49">
        <f t="shared" si="267"/>
        <v>-2041.7996071866401</v>
      </c>
      <c r="CK292" s="49">
        <f t="shared" si="268"/>
        <v>-1444.8783444873279</v>
      </c>
    </row>
    <row r="293" spans="2:89" ht="12.75" customHeight="1" x14ac:dyDescent="0.2">
      <c r="B293" s="77">
        <v>41050</v>
      </c>
      <c r="C293" s="49">
        <v>67.760002</v>
      </c>
      <c r="D293" s="49">
        <v>54.040000999999997</v>
      </c>
      <c r="E293" s="49">
        <v>53.639999000000003</v>
      </c>
      <c r="F293" s="49">
        <v>65.599997999999999</v>
      </c>
      <c r="G293" s="49">
        <v>29.73</v>
      </c>
      <c r="H293" s="49">
        <v>37.57</v>
      </c>
      <c r="J293" s="78">
        <f>IF(inter=Weekly_2,J292+$C$5,IF(inter=Bi_weekly_2,0,IF(inter=Monthly_2,0,IF(inter=Quarterly_2,0,IF(inter=Yearly_2,0,IF(inter=None_2,0,0))))))</f>
        <v>0</v>
      </c>
      <c r="K293" s="79">
        <f t="shared" si="269"/>
        <v>0</v>
      </c>
      <c r="L293" s="79">
        <f t="shared" si="270"/>
        <v>0</v>
      </c>
      <c r="M293" s="79">
        <f t="shared" si="271"/>
        <v>0</v>
      </c>
      <c r="N293" s="79">
        <f t="shared" si="272"/>
        <v>0</v>
      </c>
      <c r="O293" s="79">
        <f t="shared" si="273"/>
        <v>0</v>
      </c>
      <c r="P293" s="79">
        <f t="shared" si="274"/>
        <v>0</v>
      </c>
      <c r="Q293" s="79"/>
      <c r="R293" s="80">
        <f t="shared" si="232"/>
        <v>0</v>
      </c>
      <c r="S293" s="80">
        <f t="shared" si="233"/>
        <v>0</v>
      </c>
      <c r="T293" s="80">
        <f t="shared" si="234"/>
        <v>0</v>
      </c>
      <c r="U293" s="80">
        <f t="shared" si="235"/>
        <v>0</v>
      </c>
      <c r="V293" s="80">
        <f t="shared" si="236"/>
        <v>0</v>
      </c>
      <c r="W293" s="80">
        <f t="shared" si="237"/>
        <v>0</v>
      </c>
      <c r="X293" s="80">
        <f t="shared" si="288"/>
        <v>500.60224331834513</v>
      </c>
      <c r="Y293" s="80">
        <f t="shared" si="289"/>
        <v>178.23640109261541</v>
      </c>
      <c r="Z293" s="80">
        <f t="shared" si="290"/>
        <v>146.23821154053854</v>
      </c>
      <c r="AA293" s="80">
        <f t="shared" si="291"/>
        <v>104.11774078781497</v>
      </c>
      <c r="AB293" s="80">
        <f t="shared" si="292"/>
        <v>799.125195125343</v>
      </c>
      <c r="AC293" s="80">
        <f t="shared" si="293"/>
        <v>377.88386045833624</v>
      </c>
      <c r="AD293" s="80"/>
      <c r="AE293" s="80"/>
      <c r="AF293" s="80"/>
      <c r="AG293" s="80"/>
      <c r="AH293" s="80"/>
      <c r="AI293" s="80"/>
      <c r="AJ293" s="45">
        <f t="shared" si="238"/>
        <v>0</v>
      </c>
      <c r="AK293" s="45">
        <f t="shared" si="239"/>
        <v>0</v>
      </c>
      <c r="AL293" s="45">
        <f t="shared" si="240"/>
        <v>0</v>
      </c>
      <c r="AM293" s="45">
        <f t="shared" si="241"/>
        <v>0</v>
      </c>
      <c r="AN293" s="45">
        <f t="shared" si="242"/>
        <v>0</v>
      </c>
      <c r="AO293" s="45">
        <f t="shared" si="243"/>
        <v>0</v>
      </c>
      <c r="AP293" s="80">
        <f t="shared" si="244"/>
        <v>0</v>
      </c>
      <c r="AQ293" s="80">
        <f t="shared" si="245"/>
        <v>0</v>
      </c>
      <c r="AR293" s="80">
        <f t="shared" si="246"/>
        <v>0</v>
      </c>
      <c r="AS293" s="80">
        <f t="shared" si="247"/>
        <v>0</v>
      </c>
      <c r="AT293" s="80">
        <f t="shared" si="248"/>
        <v>0</v>
      </c>
      <c r="AU293" s="80">
        <f t="shared" si="249"/>
        <v>0</v>
      </c>
      <c r="AV293" s="80">
        <f t="shared" si="294"/>
        <v>32.550341608657234</v>
      </c>
      <c r="AW293" s="80">
        <f t="shared" si="295"/>
        <v>16.189645937974177</v>
      </c>
      <c r="AX293" s="80">
        <f t="shared" si="296"/>
        <v>10.811701855878232</v>
      </c>
      <c r="AY293" s="80">
        <f t="shared" si="297"/>
        <v>7.9790880151842218</v>
      </c>
      <c r="AZ293" s="80">
        <f t="shared" si="298"/>
        <v>64.159174807714336</v>
      </c>
      <c r="BA293" s="80">
        <f t="shared" si="299"/>
        <v>28.023637336551971</v>
      </c>
      <c r="BB293" s="80">
        <f t="shared" si="275"/>
        <v>533.15258492700241</v>
      </c>
      <c r="BC293" s="80">
        <f t="shared" si="276"/>
        <v>194.42604703058959</v>
      </c>
      <c r="BD293" s="80">
        <f t="shared" si="277"/>
        <v>157.04991339641677</v>
      </c>
      <c r="BE293" s="80">
        <f t="shared" si="278"/>
        <v>112.09682880299918</v>
      </c>
      <c r="BF293" s="80">
        <f t="shared" si="279"/>
        <v>863.28436993305729</v>
      </c>
      <c r="BG293" s="80">
        <f t="shared" si="280"/>
        <v>405.90749779488823</v>
      </c>
      <c r="BH293" s="49">
        <f t="shared" si="281"/>
        <v>0</v>
      </c>
      <c r="BI293" s="79">
        <f t="shared" si="282"/>
        <v>-89945.252551853249</v>
      </c>
      <c r="BJ293" s="79">
        <f t="shared" si="250"/>
        <v>96182.134098474475</v>
      </c>
      <c r="BK293" s="44">
        <f t="shared" si="283"/>
        <v>6.9340864244343159E-2</v>
      </c>
      <c r="BL293" s="79">
        <f t="shared" si="300"/>
        <v>6641.7870422300057</v>
      </c>
      <c r="BM293" s="49">
        <f t="shared" si="284"/>
        <v>102823.92114070448</v>
      </c>
      <c r="BN293" s="44">
        <f t="shared" si="285"/>
        <v>0.14318341683933467</v>
      </c>
      <c r="BO293" s="49">
        <f t="shared" si="251"/>
        <v>7144.1678515241883</v>
      </c>
      <c r="BP293" s="49">
        <f t="shared" si="252"/>
        <v>103326.30194999867</v>
      </c>
      <c r="BQ293" s="44">
        <f t="shared" si="253"/>
        <v>0.14876882346215292</v>
      </c>
      <c r="BS293" s="49">
        <f t="shared" si="254"/>
        <v>89945.252551853249</v>
      </c>
      <c r="BT293" s="49">
        <f t="shared" si="301"/>
        <v>67.760002</v>
      </c>
      <c r="BU293" s="49">
        <f t="shared" si="302"/>
        <v>37.57</v>
      </c>
      <c r="BV293" s="49">
        <f t="shared" si="255"/>
        <v>0</v>
      </c>
      <c r="BW293" s="18">
        <f t="shared" si="256"/>
        <v>1757</v>
      </c>
      <c r="BX293" s="19">
        <f t="shared" si="286"/>
        <v>0.59701834862385317</v>
      </c>
      <c r="BY293" s="49">
        <f t="shared" si="287"/>
        <v>0</v>
      </c>
      <c r="BZ293" s="19">
        <f t="shared" si="257"/>
        <v>0</v>
      </c>
      <c r="CA293" s="19">
        <f t="shared" si="258"/>
        <v>0</v>
      </c>
      <c r="CB293" s="19">
        <f t="shared" si="259"/>
        <v>0</v>
      </c>
      <c r="CC293" s="19">
        <f t="shared" si="260"/>
        <v>0</v>
      </c>
      <c r="CD293" s="19">
        <f t="shared" si="261"/>
        <v>0</v>
      </c>
      <c r="CE293" s="19">
        <f t="shared" si="262"/>
        <v>0</v>
      </c>
      <c r="CF293" s="49">
        <f t="shared" si="263"/>
        <v>0</v>
      </c>
      <c r="CG293" s="49">
        <f t="shared" si="264"/>
        <v>0</v>
      </c>
      <c r="CH293" s="49">
        <f t="shared" si="265"/>
        <v>0</v>
      </c>
      <c r="CI293" s="49">
        <f t="shared" si="266"/>
        <v>0</v>
      </c>
      <c r="CJ293" s="49">
        <f t="shared" si="267"/>
        <v>0</v>
      </c>
      <c r="CK293" s="49">
        <f t="shared" si="268"/>
        <v>0</v>
      </c>
    </row>
    <row r="294" spans="2:89" ht="12.75" customHeight="1" x14ac:dyDescent="0.2">
      <c r="B294" s="77">
        <v>41058</v>
      </c>
      <c r="C294" s="49">
        <v>65.599997999999999</v>
      </c>
      <c r="D294" s="49">
        <v>52.5</v>
      </c>
      <c r="E294" s="49">
        <v>51.689999</v>
      </c>
      <c r="F294" s="49">
        <v>63.439999</v>
      </c>
      <c r="G294" s="49">
        <v>28.77</v>
      </c>
      <c r="H294" s="49">
        <v>37.080002</v>
      </c>
      <c r="J294" s="78">
        <f>IF(inter=Weekly_2,J293+$C$5,IF(inter=Bi_weekly_2,J292+$C$5,IF(inter=Monthly_2,J290+$C$5,IF(inter=Quarterly_2,0,IF(inter=Yearly_2,0,IF(inter=None_2,0,0))))))</f>
        <v>95600</v>
      </c>
      <c r="K294" s="79">
        <f t="shared" si="269"/>
        <v>-620.49383952104836</v>
      </c>
      <c r="L294" s="79">
        <f t="shared" si="270"/>
        <v>-202.58894263769071</v>
      </c>
      <c r="M294" s="79">
        <f t="shared" si="271"/>
        <v>-88.946991707774032</v>
      </c>
      <c r="N294" s="79">
        <f t="shared" si="272"/>
        <v>-86.77062853876032</v>
      </c>
      <c r="O294" s="79">
        <f t="shared" si="273"/>
        <v>-909.16813624388305</v>
      </c>
      <c r="P294" s="79">
        <f t="shared" si="274"/>
        <v>-328.06569843717079</v>
      </c>
      <c r="Q294" s="79"/>
      <c r="R294" s="80">
        <f t="shared" si="232"/>
        <v>9.4587478420509772</v>
      </c>
      <c r="S294" s="80">
        <f t="shared" si="233"/>
        <v>3.8588370026226801</v>
      </c>
      <c r="T294" s="80">
        <f t="shared" si="234"/>
        <v>1.7207775861588628</v>
      </c>
      <c r="U294" s="80">
        <f t="shared" si="235"/>
        <v>1.3677589833940622</v>
      </c>
      <c r="V294" s="80">
        <f t="shared" si="236"/>
        <v>31.60125603906441</v>
      </c>
      <c r="W294" s="80">
        <f t="shared" si="237"/>
        <v>8.8475102681270297</v>
      </c>
      <c r="X294" s="80">
        <f t="shared" si="288"/>
        <v>510.0609911603961</v>
      </c>
      <c r="Y294" s="80">
        <f t="shared" si="289"/>
        <v>182.0952380952381</v>
      </c>
      <c r="Z294" s="80">
        <f t="shared" si="290"/>
        <v>147.95898912669742</v>
      </c>
      <c r="AA294" s="80">
        <f t="shared" si="291"/>
        <v>105.48549977120904</v>
      </c>
      <c r="AB294" s="80">
        <f t="shared" si="292"/>
        <v>830.72645116440742</v>
      </c>
      <c r="AC294" s="80">
        <f t="shared" si="293"/>
        <v>386.7313707264633</v>
      </c>
      <c r="AD294" s="80"/>
      <c r="AE294" s="80"/>
      <c r="AF294" s="80"/>
      <c r="AG294" s="80"/>
      <c r="AH294" s="80"/>
      <c r="AI294" s="80"/>
      <c r="AJ294" s="45">
        <f t="shared" si="238"/>
        <v>0</v>
      </c>
      <c r="AK294" s="45">
        <f t="shared" si="239"/>
        <v>0</v>
      </c>
      <c r="AL294" s="45">
        <f t="shared" si="240"/>
        <v>0</v>
      </c>
      <c r="AM294" s="45">
        <f t="shared" si="241"/>
        <v>0</v>
      </c>
      <c r="AN294" s="45">
        <f t="shared" si="242"/>
        <v>0</v>
      </c>
      <c r="AO294" s="45">
        <f t="shared" si="243"/>
        <v>0</v>
      </c>
      <c r="AP294" s="80">
        <f t="shared" si="244"/>
        <v>0</v>
      </c>
      <c r="AQ294" s="80">
        <f t="shared" si="245"/>
        <v>0</v>
      </c>
      <c r="AR294" s="80">
        <f t="shared" si="246"/>
        <v>0</v>
      </c>
      <c r="AS294" s="80">
        <f t="shared" si="247"/>
        <v>0</v>
      </c>
      <c r="AT294" s="80">
        <f t="shared" si="248"/>
        <v>0</v>
      </c>
      <c r="AU294" s="80">
        <f t="shared" si="249"/>
        <v>0</v>
      </c>
      <c r="AV294" s="80">
        <f t="shared" si="294"/>
        <v>32.550341608657234</v>
      </c>
      <c r="AW294" s="80">
        <f t="shared" si="295"/>
        <v>16.189645937974177</v>
      </c>
      <c r="AX294" s="80">
        <f t="shared" si="296"/>
        <v>10.811701855878232</v>
      </c>
      <c r="AY294" s="80">
        <f t="shared" si="297"/>
        <v>7.9790880151842218</v>
      </c>
      <c r="AZ294" s="80">
        <f t="shared" si="298"/>
        <v>64.159174807714336</v>
      </c>
      <c r="BA294" s="80">
        <f t="shared" si="299"/>
        <v>28.023637336551971</v>
      </c>
      <c r="BB294" s="80">
        <f t="shared" si="275"/>
        <v>542.61133276905332</v>
      </c>
      <c r="BC294" s="80">
        <f t="shared" si="276"/>
        <v>198.28488403321228</v>
      </c>
      <c r="BD294" s="80">
        <f t="shared" si="277"/>
        <v>158.77069098257564</v>
      </c>
      <c r="BE294" s="80">
        <f t="shared" si="278"/>
        <v>113.46458778639325</v>
      </c>
      <c r="BF294" s="80">
        <f t="shared" si="279"/>
        <v>894.88562597212172</v>
      </c>
      <c r="BG294" s="80">
        <f t="shared" si="280"/>
        <v>414.75500806301528</v>
      </c>
      <c r="BH294" s="49">
        <f t="shared" si="281"/>
        <v>0</v>
      </c>
      <c r="BI294" s="79">
        <f t="shared" si="282"/>
        <v>-92181.286788939586</v>
      </c>
      <c r="BJ294" s="79">
        <f t="shared" si="250"/>
        <v>95600</v>
      </c>
      <c r="BK294" s="44">
        <f t="shared" si="283"/>
        <v>3.7086846258590267E-2</v>
      </c>
      <c r="BL294" s="79">
        <f t="shared" si="300"/>
        <v>6641.7870422300057</v>
      </c>
      <c r="BM294" s="49">
        <f t="shared" si="284"/>
        <v>102241.78704223</v>
      </c>
      <c r="BN294" s="44">
        <f t="shared" si="285"/>
        <v>0.10913820585218303</v>
      </c>
      <c r="BO294" s="49">
        <f t="shared" si="251"/>
        <v>6935.2849376982822</v>
      </c>
      <c r="BP294" s="49">
        <f t="shared" si="252"/>
        <v>102535.28493769829</v>
      </c>
      <c r="BQ294" s="44">
        <f t="shared" si="253"/>
        <v>0.11232212642534978</v>
      </c>
      <c r="BS294" s="49">
        <f t="shared" si="254"/>
        <v>92181.286788939586</v>
      </c>
      <c r="BT294" s="49">
        <f t="shared" si="301"/>
        <v>65.599997999999999</v>
      </c>
      <c r="BU294" s="49">
        <f t="shared" si="302"/>
        <v>37.080002</v>
      </c>
      <c r="BV294" s="49">
        <f t="shared" si="255"/>
        <v>2236.0342370863273</v>
      </c>
      <c r="BW294" s="18">
        <f t="shared" si="256"/>
        <v>1765</v>
      </c>
      <c r="BX294" s="19">
        <f t="shared" si="286"/>
        <v>0.59518348623853212</v>
      </c>
      <c r="BY294" s="49">
        <f t="shared" si="287"/>
        <v>1330.8506525777568</v>
      </c>
      <c r="BZ294" s="19">
        <f t="shared" si="257"/>
        <v>9.4587478420509772</v>
      </c>
      <c r="CA294" s="19">
        <f t="shared" si="258"/>
        <v>3.8588370026226801</v>
      </c>
      <c r="CB294" s="19">
        <f t="shared" si="259"/>
        <v>1.7207775861588628</v>
      </c>
      <c r="CC294" s="19">
        <f t="shared" si="260"/>
        <v>1.3677589833940622</v>
      </c>
      <c r="CD294" s="19">
        <f t="shared" si="261"/>
        <v>31.60125603906441</v>
      </c>
      <c r="CE294" s="19">
        <f t="shared" si="262"/>
        <v>8.8475102681270297</v>
      </c>
      <c r="CF294" s="49">
        <f t="shared" si="263"/>
        <v>-620.49383952104836</v>
      </c>
      <c r="CG294" s="49">
        <f t="shared" si="264"/>
        <v>-202.58894263769071</v>
      </c>
      <c r="CH294" s="49">
        <f t="shared" si="265"/>
        <v>-88.946991707774032</v>
      </c>
      <c r="CI294" s="49">
        <f t="shared" si="266"/>
        <v>-86.77062853876032</v>
      </c>
      <c r="CJ294" s="49">
        <f t="shared" si="267"/>
        <v>-909.16813624388305</v>
      </c>
      <c r="CK294" s="49">
        <f t="shared" si="268"/>
        <v>-328.06569843717079</v>
      </c>
    </row>
    <row r="295" spans="2:89" ht="12.75" customHeight="1" x14ac:dyDescent="0.2">
      <c r="B295" s="77">
        <v>41064</v>
      </c>
      <c r="C295" s="49">
        <v>68.089995999999999</v>
      </c>
      <c r="D295" s="49">
        <v>54.450001</v>
      </c>
      <c r="E295" s="49">
        <v>53.400002000000001</v>
      </c>
      <c r="F295" s="49">
        <v>65.730002999999996</v>
      </c>
      <c r="G295" s="49">
        <v>29.940000999999999</v>
      </c>
      <c r="H295" s="49">
        <v>38.270000000000003</v>
      </c>
      <c r="J295" s="78">
        <f>IF(inter=Weekly_2,J294+$C$5,IF(inter=Bi_weekly_2,0,IF(inter=Monthly_2,0,IF(inter=Quarterly_2,0,IF(inter=Yearly_2,0,IF(inter=None_2,0,0))))))</f>
        <v>0</v>
      </c>
      <c r="K295" s="79">
        <f t="shared" si="269"/>
        <v>0</v>
      </c>
      <c r="L295" s="79">
        <f t="shared" si="270"/>
        <v>0</v>
      </c>
      <c r="M295" s="79">
        <f t="shared" si="271"/>
        <v>0</v>
      </c>
      <c r="N295" s="79">
        <f t="shared" si="272"/>
        <v>0</v>
      </c>
      <c r="O295" s="79">
        <f t="shared" si="273"/>
        <v>0</v>
      </c>
      <c r="P295" s="79">
        <f t="shared" si="274"/>
        <v>0</v>
      </c>
      <c r="Q295" s="79"/>
      <c r="R295" s="80">
        <f t="shared" si="232"/>
        <v>0</v>
      </c>
      <c r="S295" s="80">
        <f t="shared" si="233"/>
        <v>0</v>
      </c>
      <c r="T295" s="80">
        <f t="shared" si="234"/>
        <v>0</v>
      </c>
      <c r="U295" s="80">
        <f t="shared" si="235"/>
        <v>0</v>
      </c>
      <c r="V295" s="80">
        <f t="shared" si="236"/>
        <v>0</v>
      </c>
      <c r="W295" s="80">
        <f t="shared" si="237"/>
        <v>0</v>
      </c>
      <c r="X295" s="80">
        <f t="shared" si="288"/>
        <v>510.0609911603961</v>
      </c>
      <c r="Y295" s="80">
        <f t="shared" si="289"/>
        <v>182.0952380952381</v>
      </c>
      <c r="Z295" s="80">
        <f t="shared" si="290"/>
        <v>147.95898912669742</v>
      </c>
      <c r="AA295" s="80">
        <f t="shared" si="291"/>
        <v>105.48549977120904</v>
      </c>
      <c r="AB295" s="80">
        <f t="shared" si="292"/>
        <v>830.72645116440742</v>
      </c>
      <c r="AC295" s="80">
        <f t="shared" si="293"/>
        <v>386.7313707264633</v>
      </c>
      <c r="AD295" s="80"/>
      <c r="AE295" s="80"/>
      <c r="AF295" s="80"/>
      <c r="AG295" s="80"/>
      <c r="AH295" s="80"/>
      <c r="AI295" s="80"/>
      <c r="AJ295" s="45">
        <f t="shared" si="238"/>
        <v>0</v>
      </c>
      <c r="AK295" s="45">
        <f t="shared" si="239"/>
        <v>0</v>
      </c>
      <c r="AL295" s="45">
        <f t="shared" si="240"/>
        <v>0</v>
      </c>
      <c r="AM295" s="45">
        <f t="shared" si="241"/>
        <v>0</v>
      </c>
      <c r="AN295" s="45">
        <f t="shared" si="242"/>
        <v>0</v>
      </c>
      <c r="AO295" s="45">
        <f t="shared" si="243"/>
        <v>0</v>
      </c>
      <c r="AP295" s="80">
        <f t="shared" si="244"/>
        <v>0</v>
      </c>
      <c r="AQ295" s="80">
        <f t="shared" si="245"/>
        <v>0</v>
      </c>
      <c r="AR295" s="80">
        <f t="shared" si="246"/>
        <v>0</v>
      </c>
      <c r="AS295" s="80">
        <f t="shared" si="247"/>
        <v>0</v>
      </c>
      <c r="AT295" s="80">
        <f t="shared" si="248"/>
        <v>0</v>
      </c>
      <c r="AU295" s="80">
        <f t="shared" si="249"/>
        <v>0</v>
      </c>
      <c r="AV295" s="80">
        <f t="shared" si="294"/>
        <v>32.550341608657234</v>
      </c>
      <c r="AW295" s="80">
        <f t="shared" si="295"/>
        <v>16.189645937974177</v>
      </c>
      <c r="AX295" s="80">
        <f t="shared" si="296"/>
        <v>10.811701855878232</v>
      </c>
      <c r="AY295" s="80">
        <f t="shared" si="297"/>
        <v>7.9790880151842218</v>
      </c>
      <c r="AZ295" s="80">
        <f t="shared" si="298"/>
        <v>64.159174807714336</v>
      </c>
      <c r="BA295" s="80">
        <f t="shared" si="299"/>
        <v>28.023637336551971</v>
      </c>
      <c r="BB295" s="80">
        <f t="shared" si="275"/>
        <v>542.61133276905332</v>
      </c>
      <c r="BC295" s="80">
        <f t="shared" si="276"/>
        <v>198.28488403321228</v>
      </c>
      <c r="BD295" s="80">
        <f t="shared" si="277"/>
        <v>158.77069098257564</v>
      </c>
      <c r="BE295" s="80">
        <f t="shared" si="278"/>
        <v>113.46458778639325</v>
      </c>
      <c r="BF295" s="80">
        <f t="shared" si="279"/>
        <v>894.88562597212172</v>
      </c>
      <c r="BG295" s="80">
        <f t="shared" si="280"/>
        <v>414.75500806301528</v>
      </c>
      <c r="BH295" s="49">
        <f t="shared" si="281"/>
        <v>0</v>
      </c>
      <c r="BI295" s="79">
        <f t="shared" si="282"/>
        <v>-92181.286788939586</v>
      </c>
      <c r="BJ295" s="79">
        <f t="shared" si="250"/>
        <v>99151.869612240596</v>
      </c>
      <c r="BK295" s="44">
        <f t="shared" si="283"/>
        <v>7.5618198292903172E-2</v>
      </c>
      <c r="BL295" s="79">
        <f t="shared" si="300"/>
        <v>6641.7870422300057</v>
      </c>
      <c r="BM295" s="49">
        <f t="shared" si="284"/>
        <v>105793.6566544706</v>
      </c>
      <c r="BN295" s="44">
        <f t="shared" si="285"/>
        <v>0.14766955788649616</v>
      </c>
      <c r="BO295" s="49">
        <f t="shared" si="251"/>
        <v>7193.079606119054</v>
      </c>
      <c r="BP295" s="49">
        <f t="shared" si="252"/>
        <v>106344.94921835966</v>
      </c>
      <c r="BQ295" s="44">
        <f t="shared" si="253"/>
        <v>0.15365008368617716</v>
      </c>
      <c r="BS295" s="49">
        <f t="shared" si="254"/>
        <v>92181.286788939586</v>
      </c>
      <c r="BT295" s="49">
        <f t="shared" si="301"/>
        <v>68.089995999999999</v>
      </c>
      <c r="BU295" s="49">
        <f t="shared" si="302"/>
        <v>38.270000000000003</v>
      </c>
      <c r="BV295" s="49">
        <f t="shared" si="255"/>
        <v>0</v>
      </c>
      <c r="BW295" s="18">
        <f t="shared" si="256"/>
        <v>1771</v>
      </c>
      <c r="BX295" s="19">
        <f t="shared" si="286"/>
        <v>0.59380733944954134</v>
      </c>
      <c r="BY295" s="49">
        <f t="shared" si="287"/>
        <v>0</v>
      </c>
      <c r="BZ295" s="19">
        <f t="shared" si="257"/>
        <v>0</v>
      </c>
      <c r="CA295" s="19">
        <f t="shared" si="258"/>
        <v>0</v>
      </c>
      <c r="CB295" s="19">
        <f t="shared" si="259"/>
        <v>0</v>
      </c>
      <c r="CC295" s="19">
        <f t="shared" si="260"/>
        <v>0</v>
      </c>
      <c r="CD295" s="19">
        <f t="shared" si="261"/>
        <v>0</v>
      </c>
      <c r="CE295" s="19">
        <f t="shared" si="262"/>
        <v>0</v>
      </c>
      <c r="CF295" s="49">
        <f t="shared" si="263"/>
        <v>0</v>
      </c>
      <c r="CG295" s="49">
        <f t="shared" si="264"/>
        <v>0</v>
      </c>
      <c r="CH295" s="49">
        <f t="shared" si="265"/>
        <v>0</v>
      </c>
      <c r="CI295" s="49">
        <f t="shared" si="266"/>
        <v>0</v>
      </c>
      <c r="CJ295" s="49">
        <f t="shared" si="267"/>
        <v>0</v>
      </c>
      <c r="CK295" s="49">
        <f t="shared" si="268"/>
        <v>0</v>
      </c>
    </row>
    <row r="296" spans="2:89" ht="12.75" customHeight="1" x14ac:dyDescent="0.2">
      <c r="B296" s="77">
        <v>41071</v>
      </c>
      <c r="C296" s="49">
        <v>68.769997000000004</v>
      </c>
      <c r="D296" s="49">
        <v>55.380001</v>
      </c>
      <c r="E296" s="49">
        <v>53.450001</v>
      </c>
      <c r="F296" s="49">
        <v>65.849997999999999</v>
      </c>
      <c r="G296" s="49">
        <v>30.59</v>
      </c>
      <c r="H296" s="49">
        <v>39.240001999999997</v>
      </c>
      <c r="J296" s="78">
        <f>IF(inter=Weekly_2,J295+$C$5,IF(inter=Bi_weekly_2,J294+$C$5,IF(inter=Monthly_2,0,IF(inter=Quarterly_2,0,IF(inter=Yearly_2,0,IF(inter=None_2,0,0))))))</f>
        <v>96200</v>
      </c>
      <c r="K296" s="79">
        <f t="shared" si="269"/>
        <v>1406.8928319174665</v>
      </c>
      <c r="L296" s="79">
        <f t="shared" si="270"/>
        <v>464.43446780952399</v>
      </c>
      <c r="M296" s="79">
        <f t="shared" si="271"/>
        <v>212.40811678096634</v>
      </c>
      <c r="N296" s="79">
        <f t="shared" si="272"/>
        <v>212.2199489631148</v>
      </c>
      <c r="O296" s="79">
        <f t="shared" si="273"/>
        <v>1361.9221411192229</v>
      </c>
      <c r="P296" s="79">
        <f t="shared" si="274"/>
        <v>745.33976076916042</v>
      </c>
      <c r="Q296" s="79"/>
      <c r="R296" s="80">
        <f t="shared" si="232"/>
        <v>-20.457945227443684</v>
      </c>
      <c r="S296" s="80">
        <f t="shared" si="233"/>
        <v>-8.3863210441170626</v>
      </c>
      <c r="T296" s="80">
        <f t="shared" si="234"/>
        <v>-3.9739590796446636</v>
      </c>
      <c r="U296" s="80">
        <f t="shared" si="235"/>
        <v>-3.2227783661149814</v>
      </c>
      <c r="V296" s="80">
        <f t="shared" si="236"/>
        <v>-44.521809124525106</v>
      </c>
      <c r="W296" s="80">
        <f t="shared" si="237"/>
        <v>-18.994386411324864</v>
      </c>
      <c r="X296" s="80">
        <f t="shared" si="288"/>
        <v>489.6030459329524</v>
      </c>
      <c r="Y296" s="80">
        <f t="shared" si="289"/>
        <v>173.70891705112103</v>
      </c>
      <c r="Z296" s="80">
        <f t="shared" si="290"/>
        <v>143.98503004705276</v>
      </c>
      <c r="AA296" s="80">
        <f t="shared" si="291"/>
        <v>102.26272140509406</v>
      </c>
      <c r="AB296" s="80">
        <f t="shared" si="292"/>
        <v>786.20464203988229</v>
      </c>
      <c r="AC296" s="80">
        <f t="shared" si="293"/>
        <v>367.73698431513844</v>
      </c>
      <c r="AD296" s="80"/>
      <c r="AE296" s="80"/>
      <c r="AF296" s="80"/>
      <c r="AG296" s="80"/>
      <c r="AH296" s="80"/>
      <c r="AI296" s="80"/>
      <c r="AJ296" s="45">
        <f t="shared" si="238"/>
        <v>0</v>
      </c>
      <c r="AK296" s="45">
        <f t="shared" si="239"/>
        <v>0</v>
      </c>
      <c r="AL296" s="45">
        <f t="shared" si="240"/>
        <v>0</v>
      </c>
      <c r="AM296" s="45">
        <f t="shared" si="241"/>
        <v>0</v>
      </c>
      <c r="AN296" s="45">
        <f t="shared" si="242"/>
        <v>0</v>
      </c>
      <c r="AO296" s="45">
        <f t="shared" si="243"/>
        <v>0</v>
      </c>
      <c r="AP296" s="80">
        <f t="shared" si="244"/>
        <v>0</v>
      </c>
      <c r="AQ296" s="80">
        <f t="shared" si="245"/>
        <v>0</v>
      </c>
      <c r="AR296" s="80">
        <f t="shared" si="246"/>
        <v>0</v>
      </c>
      <c r="AS296" s="80">
        <f t="shared" si="247"/>
        <v>0</v>
      </c>
      <c r="AT296" s="80">
        <f t="shared" si="248"/>
        <v>0</v>
      </c>
      <c r="AU296" s="80">
        <f t="shared" si="249"/>
        <v>0</v>
      </c>
      <c r="AV296" s="80">
        <f t="shared" si="294"/>
        <v>32.550341608657234</v>
      </c>
      <c r="AW296" s="80">
        <f t="shared" si="295"/>
        <v>16.189645937974177</v>
      </c>
      <c r="AX296" s="80">
        <f t="shared" si="296"/>
        <v>10.811701855878232</v>
      </c>
      <c r="AY296" s="80">
        <f t="shared" si="297"/>
        <v>7.9790880151842218</v>
      </c>
      <c r="AZ296" s="80">
        <f t="shared" si="298"/>
        <v>64.159174807714336</v>
      </c>
      <c r="BA296" s="80">
        <f t="shared" si="299"/>
        <v>28.023637336551971</v>
      </c>
      <c r="BB296" s="80">
        <f t="shared" si="275"/>
        <v>522.15338754160962</v>
      </c>
      <c r="BC296" s="80">
        <f t="shared" si="276"/>
        <v>189.89856298909521</v>
      </c>
      <c r="BD296" s="80">
        <f t="shared" si="277"/>
        <v>154.79673190293099</v>
      </c>
      <c r="BE296" s="80">
        <f t="shared" si="278"/>
        <v>110.24180942027827</v>
      </c>
      <c r="BF296" s="80">
        <f t="shared" si="279"/>
        <v>850.36381684759658</v>
      </c>
      <c r="BG296" s="80">
        <f t="shared" si="280"/>
        <v>395.76062165169043</v>
      </c>
      <c r="BH296" s="49">
        <f t="shared" si="281"/>
        <v>0</v>
      </c>
      <c r="BI296" s="79">
        <f t="shared" si="282"/>
        <v>-87778.069521580124</v>
      </c>
      <c r="BJ296" s="79">
        <f t="shared" si="250"/>
        <v>96200</v>
      </c>
      <c r="BK296" s="44">
        <f t="shared" si="283"/>
        <v>9.5945724533727184E-2</v>
      </c>
      <c r="BL296" s="79">
        <f t="shared" si="300"/>
        <v>6641.7870422300057</v>
      </c>
      <c r="BM296" s="49">
        <f t="shared" si="284"/>
        <v>102841.78704223</v>
      </c>
      <c r="BN296" s="44">
        <f t="shared" si="285"/>
        <v>0.17161140137567599</v>
      </c>
      <c r="BO296" s="49">
        <f t="shared" si="251"/>
        <v>7300.6546503626432</v>
      </c>
      <c r="BP296" s="49">
        <f t="shared" si="252"/>
        <v>103500.65465036263</v>
      </c>
      <c r="BQ296" s="44">
        <f t="shared" si="253"/>
        <v>0.17911746310298082</v>
      </c>
      <c r="BS296" s="49">
        <f t="shared" si="254"/>
        <v>87778.069521580124</v>
      </c>
      <c r="BT296" s="49">
        <f t="shared" si="301"/>
        <v>68.769997000000004</v>
      </c>
      <c r="BU296" s="49">
        <f t="shared" si="302"/>
        <v>39.240001999999997</v>
      </c>
      <c r="BV296" s="49">
        <f t="shared" si="255"/>
        <v>-4403.217267359455</v>
      </c>
      <c r="BW296" s="18">
        <f t="shared" si="256"/>
        <v>1778</v>
      </c>
      <c r="BX296" s="19">
        <f t="shared" si="286"/>
        <v>0.59220183486238531</v>
      </c>
      <c r="BY296" s="49">
        <f t="shared" si="287"/>
        <v>-2607.5933450280077</v>
      </c>
      <c r="BZ296" s="19">
        <f t="shared" si="257"/>
        <v>0</v>
      </c>
      <c r="CA296" s="19">
        <f t="shared" si="258"/>
        <v>0</v>
      </c>
      <c r="CB296" s="19">
        <f t="shared" si="259"/>
        <v>0</v>
      </c>
      <c r="CC296" s="19">
        <f t="shared" si="260"/>
        <v>0</v>
      </c>
      <c r="CD296" s="19">
        <f t="shared" si="261"/>
        <v>0</v>
      </c>
      <c r="CE296" s="19">
        <f t="shared" si="262"/>
        <v>0</v>
      </c>
      <c r="CF296" s="49">
        <f t="shared" si="263"/>
        <v>0</v>
      </c>
      <c r="CG296" s="49">
        <f t="shared" si="264"/>
        <v>0</v>
      </c>
      <c r="CH296" s="49">
        <f t="shared" si="265"/>
        <v>0</v>
      </c>
      <c r="CI296" s="49">
        <f t="shared" si="266"/>
        <v>0</v>
      </c>
      <c r="CJ296" s="49">
        <f t="shared" si="267"/>
        <v>0</v>
      </c>
      <c r="CK296" s="49">
        <f t="shared" si="268"/>
        <v>0</v>
      </c>
    </row>
    <row r="297" spans="2:89" ht="12.75" customHeight="1" x14ac:dyDescent="0.2">
      <c r="B297" s="77">
        <v>41078</v>
      </c>
      <c r="C297" s="49">
        <v>68.550003000000004</v>
      </c>
      <c r="D297" s="49">
        <v>55.02</v>
      </c>
      <c r="E297" s="49">
        <v>53.360000999999997</v>
      </c>
      <c r="F297" s="49">
        <v>65.970000999999996</v>
      </c>
      <c r="G297" s="49">
        <v>30.700001</v>
      </c>
      <c r="H297" s="49">
        <v>38.630001</v>
      </c>
      <c r="J297" s="78">
        <f>IF(inter=Weekly_2,J296+$C$5,IF(inter=Bi_weekly_2,0,IF(inter=Monthly_2,0,IF(inter=Quarterly_2,0,IF(inter=Yearly_2,0,IF(inter=None_2,0,0))))))</f>
        <v>0</v>
      </c>
      <c r="K297" s="79">
        <f t="shared" si="269"/>
        <v>0</v>
      </c>
      <c r="L297" s="79">
        <f t="shared" si="270"/>
        <v>0</v>
      </c>
      <c r="M297" s="79">
        <f t="shared" si="271"/>
        <v>0</v>
      </c>
      <c r="N297" s="79">
        <f t="shared" si="272"/>
        <v>0</v>
      </c>
      <c r="O297" s="79">
        <f t="shared" si="273"/>
        <v>0</v>
      </c>
      <c r="P297" s="79">
        <f t="shared" si="274"/>
        <v>0</v>
      </c>
      <c r="Q297" s="79"/>
      <c r="R297" s="80">
        <f t="shared" si="232"/>
        <v>0</v>
      </c>
      <c r="S297" s="80">
        <f t="shared" si="233"/>
        <v>0</v>
      </c>
      <c r="T297" s="80">
        <f t="shared" si="234"/>
        <v>0</v>
      </c>
      <c r="U297" s="80">
        <f t="shared" si="235"/>
        <v>0</v>
      </c>
      <c r="V297" s="80">
        <f t="shared" si="236"/>
        <v>0</v>
      </c>
      <c r="W297" s="80">
        <f t="shared" si="237"/>
        <v>0</v>
      </c>
      <c r="X297" s="80">
        <f t="shared" si="288"/>
        <v>489.6030459329524</v>
      </c>
      <c r="Y297" s="80">
        <f t="shared" si="289"/>
        <v>173.70891705112103</v>
      </c>
      <c r="Z297" s="80">
        <f t="shared" si="290"/>
        <v>143.98503004705276</v>
      </c>
      <c r="AA297" s="80">
        <f t="shared" si="291"/>
        <v>102.26272140509406</v>
      </c>
      <c r="AB297" s="80">
        <f t="shared" si="292"/>
        <v>786.20464203988229</v>
      </c>
      <c r="AC297" s="80">
        <f t="shared" si="293"/>
        <v>367.73698431513844</v>
      </c>
      <c r="AD297" s="80"/>
      <c r="AE297" s="80"/>
      <c r="AF297" s="80"/>
      <c r="AG297" s="80"/>
      <c r="AH297" s="80"/>
      <c r="AI297" s="80"/>
      <c r="AJ297" s="45">
        <f t="shared" si="238"/>
        <v>0</v>
      </c>
      <c r="AK297" s="45">
        <f t="shared" si="239"/>
        <v>0</v>
      </c>
      <c r="AL297" s="45">
        <f t="shared" si="240"/>
        <v>0</v>
      </c>
      <c r="AM297" s="45">
        <f t="shared" si="241"/>
        <v>0</v>
      </c>
      <c r="AN297" s="45">
        <f t="shared" si="242"/>
        <v>0</v>
      </c>
      <c r="AO297" s="45">
        <f t="shared" si="243"/>
        <v>0</v>
      </c>
      <c r="AP297" s="80">
        <f t="shared" si="244"/>
        <v>0</v>
      </c>
      <c r="AQ297" s="80">
        <f t="shared" si="245"/>
        <v>0</v>
      </c>
      <c r="AR297" s="80">
        <f t="shared" si="246"/>
        <v>0</v>
      </c>
      <c r="AS297" s="80">
        <f t="shared" si="247"/>
        <v>0</v>
      </c>
      <c r="AT297" s="80">
        <f t="shared" si="248"/>
        <v>0</v>
      </c>
      <c r="AU297" s="80">
        <f t="shared" si="249"/>
        <v>0</v>
      </c>
      <c r="AV297" s="80">
        <f t="shared" si="294"/>
        <v>32.550341608657234</v>
      </c>
      <c r="AW297" s="80">
        <f t="shared" si="295"/>
        <v>16.189645937974177</v>
      </c>
      <c r="AX297" s="80">
        <f t="shared" si="296"/>
        <v>10.811701855878232</v>
      </c>
      <c r="AY297" s="80">
        <f t="shared" si="297"/>
        <v>7.9790880151842218</v>
      </c>
      <c r="AZ297" s="80">
        <f t="shared" si="298"/>
        <v>64.159174807714336</v>
      </c>
      <c r="BA297" s="80">
        <f t="shared" si="299"/>
        <v>28.023637336551971</v>
      </c>
      <c r="BB297" s="80">
        <f t="shared" si="275"/>
        <v>522.15338754160962</v>
      </c>
      <c r="BC297" s="80">
        <f t="shared" si="276"/>
        <v>189.89856298909521</v>
      </c>
      <c r="BD297" s="80">
        <f t="shared" si="277"/>
        <v>154.79673190293099</v>
      </c>
      <c r="BE297" s="80">
        <f t="shared" si="278"/>
        <v>110.24180942027827</v>
      </c>
      <c r="BF297" s="80">
        <f t="shared" si="279"/>
        <v>850.36381684759658</v>
      </c>
      <c r="BG297" s="80">
        <f t="shared" si="280"/>
        <v>395.76062165169043</v>
      </c>
      <c r="BH297" s="49">
        <f t="shared" si="281"/>
        <v>0</v>
      </c>
      <c r="BI297" s="79">
        <f t="shared" si="282"/>
        <v>-87778.069521580124</v>
      </c>
      <c r="BJ297" s="79">
        <f t="shared" si="250"/>
        <v>95891.231432978064</v>
      </c>
      <c r="BK297" s="44">
        <f t="shared" si="283"/>
        <v>9.2428119638736428E-2</v>
      </c>
      <c r="BL297" s="79">
        <f t="shared" si="300"/>
        <v>6641.7870422300057</v>
      </c>
      <c r="BM297" s="49">
        <f t="shared" si="284"/>
        <v>102533.01847520807</v>
      </c>
      <c r="BN297" s="44">
        <f t="shared" si="285"/>
        <v>0.16809379648068545</v>
      </c>
      <c r="BO297" s="49">
        <f t="shared" si="251"/>
        <v>7277.6130697046174</v>
      </c>
      <c r="BP297" s="49">
        <f t="shared" si="252"/>
        <v>103168.84450268267</v>
      </c>
      <c r="BQ297" s="44">
        <f t="shared" si="253"/>
        <v>0.17533736006029099</v>
      </c>
      <c r="BS297" s="49">
        <f t="shared" si="254"/>
        <v>87778.069521580124</v>
      </c>
      <c r="BT297" s="49">
        <f t="shared" si="301"/>
        <v>68.550003000000004</v>
      </c>
      <c r="BU297" s="49">
        <f t="shared" si="302"/>
        <v>38.630001</v>
      </c>
      <c r="BV297" s="49">
        <f t="shared" si="255"/>
        <v>0</v>
      </c>
      <c r="BW297" s="18">
        <f t="shared" si="256"/>
        <v>1785</v>
      </c>
      <c r="BX297" s="19">
        <f t="shared" si="286"/>
        <v>0.5905963302752294</v>
      </c>
      <c r="BY297" s="49">
        <f t="shared" si="287"/>
        <v>0</v>
      </c>
      <c r="BZ297" s="19">
        <f t="shared" si="257"/>
        <v>0</v>
      </c>
      <c r="CA297" s="19">
        <f t="shared" si="258"/>
        <v>0</v>
      </c>
      <c r="CB297" s="19">
        <f t="shared" si="259"/>
        <v>0</v>
      </c>
      <c r="CC297" s="19">
        <f t="shared" si="260"/>
        <v>0</v>
      </c>
      <c r="CD297" s="19">
        <f t="shared" si="261"/>
        <v>0</v>
      </c>
      <c r="CE297" s="19">
        <f t="shared" si="262"/>
        <v>0</v>
      </c>
      <c r="CF297" s="49">
        <f t="shared" si="263"/>
        <v>0</v>
      </c>
      <c r="CG297" s="49">
        <f t="shared" si="264"/>
        <v>0</v>
      </c>
      <c r="CH297" s="49">
        <f t="shared" si="265"/>
        <v>0</v>
      </c>
      <c r="CI297" s="49">
        <f t="shared" si="266"/>
        <v>0</v>
      </c>
      <c r="CJ297" s="49">
        <f t="shared" si="267"/>
        <v>0</v>
      </c>
      <c r="CK297" s="49">
        <f t="shared" si="268"/>
        <v>0</v>
      </c>
    </row>
    <row r="298" spans="2:89" ht="12.75" customHeight="1" x14ac:dyDescent="0.2">
      <c r="B298" s="77">
        <v>41085</v>
      </c>
      <c r="C298" s="49">
        <v>69.699996999999996</v>
      </c>
      <c r="D298" s="49">
        <v>55.939999</v>
      </c>
      <c r="E298" s="49">
        <v>54.959999000000003</v>
      </c>
      <c r="F298" s="49">
        <v>68.199996999999996</v>
      </c>
      <c r="G298" s="49">
        <v>31.57</v>
      </c>
      <c r="H298" s="49">
        <v>39.93</v>
      </c>
      <c r="J298" s="78">
        <f>IF(inter=Weekly_2,J297+$C$5,IF(inter=Bi_weekly_2,J296+$C$5,IF(inter=Monthly_2,J294+$C$5,IF(inter=Quarterly_2,0,IF(inter=Yearly_2,0,IF(inter=None_2,0,0))))))</f>
        <v>96800</v>
      </c>
      <c r="K298" s="79">
        <f t="shared" si="269"/>
        <v>245.3308327176419</v>
      </c>
      <c r="L298" s="79">
        <f t="shared" si="270"/>
        <v>37.276646130792869</v>
      </c>
      <c r="M298" s="79">
        <f t="shared" si="271"/>
        <v>169.41710740099006</v>
      </c>
      <c r="N298" s="79">
        <f t="shared" si="272"/>
        <v>198.31729303924931</v>
      </c>
      <c r="O298" s="79">
        <f t="shared" si="273"/>
        <v>620.48054919908463</v>
      </c>
      <c r="P298" s="79">
        <f t="shared" si="274"/>
        <v>163.73778370347827</v>
      </c>
      <c r="Q298" s="79"/>
      <c r="R298" s="80">
        <f t="shared" ref="R298:R361" si="303">-((K298)/C298)</f>
        <v>-3.5198112378346575</v>
      </c>
      <c r="S298" s="80">
        <f t="shared" ref="S298:S361" si="304">-((L298)/D298)</f>
        <v>-0.6663683732063147</v>
      </c>
      <c r="T298" s="80">
        <f t="shared" ref="T298:T361" si="305">-(M298)/E298</f>
        <v>-3.0825529563963427</v>
      </c>
      <c r="U298" s="80">
        <f t="shared" ref="U298:U361" si="306">-(N298)/F298</f>
        <v>-2.9078783249689777</v>
      </c>
      <c r="V298" s="80">
        <f t="shared" ref="V298:V361" si="307">-(O298)/G298</f>
        <v>-19.654119391798691</v>
      </c>
      <c r="W298" s="80">
        <f t="shared" ref="W298:W361" si="308">-(P298)/H298</f>
        <v>-4.1006206787748125</v>
      </c>
      <c r="X298" s="80">
        <f t="shared" si="288"/>
        <v>486.08323469511777</v>
      </c>
      <c r="Y298" s="80">
        <f t="shared" si="289"/>
        <v>173.04254867791471</v>
      </c>
      <c r="Z298" s="80">
        <f t="shared" si="290"/>
        <v>140.90247709065642</v>
      </c>
      <c r="AA298" s="80">
        <f t="shared" si="291"/>
        <v>99.354843080125079</v>
      </c>
      <c r="AB298" s="80">
        <f t="shared" si="292"/>
        <v>766.55052264808364</v>
      </c>
      <c r="AC298" s="80">
        <f t="shared" si="293"/>
        <v>363.63636363636363</v>
      </c>
      <c r="AD298" s="80">
        <v>0.34599999999999997</v>
      </c>
      <c r="AE298" s="80">
        <v>0.38800000000000001</v>
      </c>
      <c r="AF298" s="80"/>
      <c r="AG298" s="80"/>
      <c r="AH298" s="80"/>
      <c r="AI298" s="80"/>
      <c r="AJ298" s="45">
        <f t="shared" ref="AJ298:AJ361" si="309">(X298*AD298)</f>
        <v>168.18479920451074</v>
      </c>
      <c r="AK298" s="45">
        <f t="shared" ref="AK298:AK361" si="310">(Y298*AE298)</f>
        <v>67.140508887030904</v>
      </c>
      <c r="AL298" s="45">
        <f t="shared" ref="AL298:AL361" si="311">(Z298*AF298)</f>
        <v>0</v>
      </c>
      <c r="AM298" s="45">
        <f t="shared" ref="AM298:AM361" si="312">(AA298*AG298)</f>
        <v>0</v>
      </c>
      <c r="AN298" s="45">
        <f t="shared" ref="AN298:AN361" si="313">(AB298*AH298)</f>
        <v>0</v>
      </c>
      <c r="AO298" s="45">
        <f t="shared" ref="AO298:AO361" si="314">(AC298*AI298)</f>
        <v>0</v>
      </c>
      <c r="AP298" s="80">
        <f t="shared" ref="AP298:AP361" si="315">IF(AJ298&gt;0,AJ298/C298,0)</f>
        <v>2.412981441082569</v>
      </c>
      <c r="AQ298" s="80">
        <f t="shared" ref="AQ298:AQ361" si="316">IF(AK298&gt;0,AK298/D298,0)</f>
        <v>1.2002236340231416</v>
      </c>
      <c r="AR298" s="80">
        <f t="shared" ref="AR298:AR361" si="317">IF(AL298&gt;0,AL298/E298,0)</f>
        <v>0</v>
      </c>
      <c r="AS298" s="80">
        <f t="shared" ref="AS298:AS361" si="318">IF(AM298&gt;0,AM298/F298,0)</f>
        <v>0</v>
      </c>
      <c r="AT298" s="80">
        <f t="shared" ref="AT298:AT361" si="319">IF(AN298&gt;0,AN298/G298,0)</f>
        <v>0</v>
      </c>
      <c r="AU298" s="80">
        <f t="shared" ref="AU298:AU361" si="320">IF(AO298&gt;0,AO298/H298,0)</f>
        <v>0</v>
      </c>
      <c r="AV298" s="80">
        <f t="shared" si="294"/>
        <v>34.963323049739806</v>
      </c>
      <c r="AW298" s="80">
        <f t="shared" si="295"/>
        <v>17.38986957199732</v>
      </c>
      <c r="AX298" s="80">
        <f t="shared" si="296"/>
        <v>10.811701855878232</v>
      </c>
      <c r="AY298" s="80">
        <f t="shared" si="297"/>
        <v>7.9790880151842218</v>
      </c>
      <c r="AZ298" s="80">
        <f t="shared" si="298"/>
        <v>64.159174807714336</v>
      </c>
      <c r="BA298" s="80">
        <f t="shared" si="299"/>
        <v>28.023637336551971</v>
      </c>
      <c r="BB298" s="80">
        <f t="shared" si="275"/>
        <v>521.04655774485752</v>
      </c>
      <c r="BC298" s="80">
        <f t="shared" si="276"/>
        <v>190.43241824991202</v>
      </c>
      <c r="BD298" s="80">
        <f t="shared" si="277"/>
        <v>151.71417894653464</v>
      </c>
      <c r="BE298" s="80">
        <f t="shared" si="278"/>
        <v>107.3339310953093</v>
      </c>
      <c r="BF298" s="80">
        <f t="shared" si="279"/>
        <v>830.70969745579794</v>
      </c>
      <c r="BG298" s="80">
        <f t="shared" si="280"/>
        <v>391.66000097291561</v>
      </c>
      <c r="BH298" s="49">
        <f t="shared" si="281"/>
        <v>235.32530809154164</v>
      </c>
      <c r="BI298" s="79">
        <f t="shared" si="282"/>
        <v>-86343.509309388886</v>
      </c>
      <c r="BJ298" s="79">
        <f t="shared" ref="BJ298:BJ361" si="321">(X298*C298)+(Y298*D298)+(Z298*E298)+(AA298*F298)+(AB298*G298)+(AC298*H298)</f>
        <v>96800</v>
      </c>
      <c r="BK298" s="44">
        <f t="shared" si="283"/>
        <v>0.12110337851966468</v>
      </c>
      <c r="BL298" s="79">
        <f t="shared" si="300"/>
        <v>6877.1123503215476</v>
      </c>
      <c r="BM298" s="49">
        <f t="shared" si="284"/>
        <v>103677.11235032155</v>
      </c>
      <c r="BN298" s="44">
        <f t="shared" si="285"/>
        <v>0.20075166251144982</v>
      </c>
      <c r="BO298" s="49">
        <f t="shared" ref="BO298:BO361" si="322">(C298*AV298)+(D298*AW298)+(E298*AX298)+(F298*AY298)+(G298*AZ298)+(H298*BA298)</f>
        <v>7692.6066875582837</v>
      </c>
      <c r="BP298" s="49">
        <f t="shared" ref="BP298:BP361" si="323">(C298*BB298)+(D298*BC298)+(E298*BD298)+(F298*BE298)+(G298*BF298)+(H298*BG298)</f>
        <v>104492.60668755828</v>
      </c>
      <c r="BQ298" s="44">
        <f t="shared" ref="BQ298:BQ361" si="324">(BP298/ABS(BI298))-1</f>
        <v>0.21019642962549678</v>
      </c>
      <c r="BS298" s="49">
        <f t="shared" ref="BS298:BS361" si="325">ABS(BI298)</f>
        <v>86343.509309388886</v>
      </c>
      <c r="BT298" s="49">
        <f t="shared" si="301"/>
        <v>69.699996999999996</v>
      </c>
      <c r="BU298" s="49">
        <f t="shared" si="302"/>
        <v>39.93</v>
      </c>
      <c r="BV298" s="49">
        <f t="shared" ref="BV298:BV361" si="326">-(K298+L298+M298+N298+O298+P298+BH298)</f>
        <v>-1669.8855202827788</v>
      </c>
      <c r="BW298" s="18">
        <f t="shared" ref="BW298:BW361" si="327">DATEDIF($B$42,B298,"d")</f>
        <v>1792</v>
      </c>
      <c r="BX298" s="19">
        <f t="shared" si="286"/>
        <v>0.58899082568807337</v>
      </c>
      <c r="BY298" s="49">
        <f t="shared" si="287"/>
        <v>-983.54725139591187</v>
      </c>
      <c r="BZ298" s="19">
        <f t="shared" ref="BZ298:BZ361" si="328">IF(R298&gt;0,R298,0)</f>
        <v>0</v>
      </c>
      <c r="CA298" s="19">
        <f t="shared" ref="CA298:CA361" si="329">IF(S298&gt;0,S298,0)</f>
        <v>0</v>
      </c>
      <c r="CB298" s="19">
        <f t="shared" ref="CB298:CB361" si="330">IF(T298&gt;0,T298,0)</f>
        <v>0</v>
      </c>
      <c r="CC298" s="19">
        <f t="shared" ref="CC298:CC361" si="331">IF(U298&gt;0,U298,0)</f>
        <v>0</v>
      </c>
      <c r="CD298" s="19">
        <f t="shared" ref="CD298:CD361" si="332">IF(V298&gt;0,V298,0)</f>
        <v>0</v>
      </c>
      <c r="CE298" s="19">
        <f t="shared" ref="CE298:CE361" si="333">IF(W298&gt;0,W298,0)</f>
        <v>0</v>
      </c>
      <c r="CF298" s="49">
        <f t="shared" ref="CF298:CF361" si="334">IF(K298&lt;0,K298,0)</f>
        <v>0</v>
      </c>
      <c r="CG298" s="49">
        <f t="shared" ref="CG298:CG361" si="335">IF(L298&lt;0,L298,0)</f>
        <v>0</v>
      </c>
      <c r="CH298" s="49">
        <f t="shared" ref="CH298:CH361" si="336">IF(M298&lt;0,M298,0)</f>
        <v>0</v>
      </c>
      <c r="CI298" s="49">
        <f t="shared" ref="CI298:CI361" si="337">IF(N298&lt;0,N298,0)</f>
        <v>0</v>
      </c>
      <c r="CJ298" s="49">
        <f t="shared" ref="CJ298:CJ361" si="338">IF(O298&lt;0,O298,0)</f>
        <v>0</v>
      </c>
      <c r="CK298" s="49">
        <f t="shared" ref="CK298:CK361" si="339">IF(P298&lt;0,P298,0)</f>
        <v>0</v>
      </c>
    </row>
    <row r="299" spans="2:89" ht="12.75" customHeight="1" x14ac:dyDescent="0.2">
      <c r="B299" s="77">
        <v>41092</v>
      </c>
      <c r="C299" s="49">
        <v>69.510002</v>
      </c>
      <c r="D299" s="49">
        <v>55.5</v>
      </c>
      <c r="E299" s="49">
        <v>55.09</v>
      </c>
      <c r="F299" s="49">
        <v>69.059997999999993</v>
      </c>
      <c r="G299" s="49">
        <v>31.290001</v>
      </c>
      <c r="H299" s="49">
        <v>39.619999</v>
      </c>
      <c r="J299" s="78">
        <f>IF(inter=Weekly_2,J298+$C$5,IF(inter=Bi_weekly_2,0,IF(inter=Monthly_2,0,IF(inter=Quarterly_2,0,IF(inter=Yearly_2,0,IF(inter=None_2,0,0))))))</f>
        <v>0</v>
      </c>
      <c r="K299" s="79">
        <f t="shared" ref="K299:K362" si="340">IF(J299=0,0,-((J299*$C$36)-(X298*C299)))</f>
        <v>0</v>
      </c>
      <c r="L299" s="79">
        <f t="shared" ref="L299:L362" si="341">IF(J299=0,0,-((J299*$D$36)-(Y298*D299)))</f>
        <v>0</v>
      </c>
      <c r="M299" s="79">
        <f t="shared" ref="M299:M362" si="342">IF(J299=0,0,-((J299*$E$36)-(Z298*E299)))</f>
        <v>0</v>
      </c>
      <c r="N299" s="79">
        <f t="shared" ref="N299:N362" si="343">IF(J299=0,0,-((J299*$F$36)-(AA298*F299)))</f>
        <v>0</v>
      </c>
      <c r="O299" s="79">
        <f t="shared" ref="O299:O362" si="344">IF(J299=0,0,-((J299*$G$36)-(AB298*G299)))</f>
        <v>0</v>
      </c>
      <c r="P299" s="79">
        <f t="shared" ref="P299:P362" si="345">IF(J299=0,0,-((J299*$H$36)-(AC298*H299)))</f>
        <v>0</v>
      </c>
      <c r="Q299" s="79"/>
      <c r="R299" s="80">
        <f t="shared" si="303"/>
        <v>0</v>
      </c>
      <c r="S299" s="80">
        <f t="shared" si="304"/>
        <v>0</v>
      </c>
      <c r="T299" s="80">
        <f t="shared" si="305"/>
        <v>0</v>
      </c>
      <c r="U299" s="80">
        <f t="shared" si="306"/>
        <v>0</v>
      </c>
      <c r="V299" s="80">
        <f t="shared" si="307"/>
        <v>0</v>
      </c>
      <c r="W299" s="80">
        <f t="shared" si="308"/>
        <v>0</v>
      </c>
      <c r="X299" s="80">
        <f t="shared" si="288"/>
        <v>486.08323469511777</v>
      </c>
      <c r="Y299" s="80">
        <f t="shared" si="289"/>
        <v>173.04254867791471</v>
      </c>
      <c r="Z299" s="80">
        <f t="shared" si="290"/>
        <v>140.90247709065642</v>
      </c>
      <c r="AA299" s="80">
        <f t="shared" si="291"/>
        <v>99.354843080125079</v>
      </c>
      <c r="AB299" s="80">
        <f t="shared" si="292"/>
        <v>766.55052264808364</v>
      </c>
      <c r="AC299" s="80">
        <f t="shared" si="293"/>
        <v>363.63636363636363</v>
      </c>
      <c r="AD299" s="80"/>
      <c r="AE299" s="80"/>
      <c r="AF299" s="80"/>
      <c r="AG299" s="80"/>
      <c r="AH299" s="80"/>
      <c r="AI299" s="80"/>
      <c r="AJ299" s="45">
        <f t="shared" si="309"/>
        <v>0</v>
      </c>
      <c r="AK299" s="45">
        <f t="shared" si="310"/>
        <v>0</v>
      </c>
      <c r="AL299" s="45">
        <f t="shared" si="311"/>
        <v>0</v>
      </c>
      <c r="AM299" s="45">
        <f t="shared" si="312"/>
        <v>0</v>
      </c>
      <c r="AN299" s="45">
        <f t="shared" si="313"/>
        <v>0</v>
      </c>
      <c r="AO299" s="45">
        <f t="shared" si="314"/>
        <v>0</v>
      </c>
      <c r="AP299" s="80">
        <f t="shared" si="315"/>
        <v>0</v>
      </c>
      <c r="AQ299" s="80">
        <f t="shared" si="316"/>
        <v>0</v>
      </c>
      <c r="AR299" s="80">
        <f t="shared" si="317"/>
        <v>0</v>
      </c>
      <c r="AS299" s="80">
        <f t="shared" si="318"/>
        <v>0</v>
      </c>
      <c r="AT299" s="80">
        <f t="shared" si="319"/>
        <v>0</v>
      </c>
      <c r="AU299" s="80">
        <f t="shared" si="320"/>
        <v>0</v>
      </c>
      <c r="AV299" s="80">
        <f t="shared" si="294"/>
        <v>34.963323049739806</v>
      </c>
      <c r="AW299" s="80">
        <f t="shared" si="295"/>
        <v>17.38986957199732</v>
      </c>
      <c r="AX299" s="80">
        <f t="shared" si="296"/>
        <v>10.811701855878232</v>
      </c>
      <c r="AY299" s="80">
        <f t="shared" si="297"/>
        <v>7.9790880151842218</v>
      </c>
      <c r="AZ299" s="80">
        <f t="shared" si="298"/>
        <v>64.159174807714336</v>
      </c>
      <c r="BA299" s="80">
        <f t="shared" si="299"/>
        <v>28.023637336551971</v>
      </c>
      <c r="BB299" s="80">
        <f t="shared" ref="BB299:BB362" si="346">X299+AV299</f>
        <v>521.04655774485752</v>
      </c>
      <c r="BC299" s="80">
        <f t="shared" ref="BC299:BC362" si="347">Y299+AW299</f>
        <v>190.43241824991202</v>
      </c>
      <c r="BD299" s="80">
        <f t="shared" ref="BD299:BD362" si="348">Z299+AX299</f>
        <v>151.71417894653464</v>
      </c>
      <c r="BE299" s="80">
        <f t="shared" ref="BE299:BE362" si="349">AA299+AY299</f>
        <v>107.3339310953093</v>
      </c>
      <c r="BF299" s="80">
        <f t="shared" ref="BF299:BF362" si="350">AB299+AZ299</f>
        <v>830.70969745579794</v>
      </c>
      <c r="BG299" s="80">
        <f t="shared" ref="BG299:BG362" si="351">AC299+BA299</f>
        <v>391.66000097291561</v>
      </c>
      <c r="BH299" s="49">
        <f t="shared" ref="BH299:BH362" si="352">(AJ299+AK299+AL299+AM299+AN299+AO299)</f>
        <v>0</v>
      </c>
      <c r="BI299" s="79">
        <f t="shared" ref="BI299:BI362" si="353">BI298+K299+L299+M299+N299+O299+P299</f>
        <v>-86343.509309388886</v>
      </c>
      <c r="BJ299" s="79">
        <f t="shared" si="321"/>
        <v>96407.909778621819</v>
      </c>
      <c r="BK299" s="44">
        <f t="shared" ref="BK299:BK362" si="354">BJ299/ABS(BI299)-1</f>
        <v>0.11656232819041268</v>
      </c>
      <c r="BL299" s="79">
        <f t="shared" si="300"/>
        <v>6877.1123503215476</v>
      </c>
      <c r="BM299" s="49">
        <f t="shared" ref="BM299:BM362" si="355">BJ299+BL299</f>
        <v>103285.02212894337</v>
      </c>
      <c r="BN299" s="44">
        <f t="shared" ref="BN299:BN362" si="356">BM299/ABS(BI299)-1</f>
        <v>0.19621061218219782</v>
      </c>
      <c r="BO299" s="49">
        <f t="shared" si="322"/>
        <v>7659.928001113798</v>
      </c>
      <c r="BP299" s="49">
        <f t="shared" si="323"/>
        <v>104067.83777973561</v>
      </c>
      <c r="BQ299" s="44">
        <f t="shared" si="324"/>
        <v>0.20527690630266515</v>
      </c>
      <c r="BS299" s="49">
        <f t="shared" si="325"/>
        <v>86343.509309388886</v>
      </c>
      <c r="BT299" s="49">
        <f t="shared" si="301"/>
        <v>69.510002</v>
      </c>
      <c r="BU299" s="49">
        <f t="shared" si="302"/>
        <v>39.619999</v>
      </c>
      <c r="BV299" s="49">
        <f t="shared" si="326"/>
        <v>0</v>
      </c>
      <c r="BW299" s="18">
        <f t="shared" si="327"/>
        <v>1799</v>
      </c>
      <c r="BX299" s="19">
        <f t="shared" ref="BX299:BX362" si="357">($BW$40-BW299)/$BW$40</f>
        <v>0.58738532110091746</v>
      </c>
      <c r="BY299" s="49">
        <f t="shared" ref="BY299:BY362" si="358">BX299*BV299</f>
        <v>0</v>
      </c>
      <c r="BZ299" s="19">
        <f t="shared" si="328"/>
        <v>0</v>
      </c>
      <c r="CA299" s="19">
        <f t="shared" si="329"/>
        <v>0</v>
      </c>
      <c r="CB299" s="19">
        <f t="shared" si="330"/>
        <v>0</v>
      </c>
      <c r="CC299" s="19">
        <f t="shared" si="331"/>
        <v>0</v>
      </c>
      <c r="CD299" s="19">
        <f t="shared" si="332"/>
        <v>0</v>
      </c>
      <c r="CE299" s="19">
        <f t="shared" si="333"/>
        <v>0</v>
      </c>
      <c r="CF299" s="49">
        <f t="shared" si="334"/>
        <v>0</v>
      </c>
      <c r="CG299" s="49">
        <f t="shared" si="335"/>
        <v>0</v>
      </c>
      <c r="CH299" s="49">
        <f t="shared" si="336"/>
        <v>0</v>
      </c>
      <c r="CI299" s="49">
        <f t="shared" si="337"/>
        <v>0</v>
      </c>
      <c r="CJ299" s="49">
        <f t="shared" si="338"/>
        <v>0</v>
      </c>
      <c r="CK299" s="49">
        <f t="shared" si="339"/>
        <v>0</v>
      </c>
    </row>
    <row r="300" spans="2:89" ht="12.75" customHeight="1" x14ac:dyDescent="0.2">
      <c r="B300" s="77">
        <v>41099</v>
      </c>
      <c r="C300" s="49">
        <v>69.470000999999996</v>
      </c>
      <c r="D300" s="49">
        <v>55.779998999999997</v>
      </c>
      <c r="E300" s="49">
        <v>54.830002</v>
      </c>
      <c r="F300" s="49">
        <v>68.730002999999996</v>
      </c>
      <c r="G300" s="49">
        <v>31.209999</v>
      </c>
      <c r="H300" s="49">
        <v>39.330002</v>
      </c>
      <c r="J300" s="78">
        <f>IF(inter=Weekly_2,J299+$C$5,IF(inter=Bi_weekly_2,J298+$C$5,IF(inter=Monthly_2,0,IF(inter=Quarterly_2,0,IF(inter=Yearly_2,0,IF(inter=None_2,0,0))))))</f>
        <v>97400</v>
      </c>
      <c r="K300" s="79">
        <f t="shared" si="340"/>
        <v>-321.79719964693504</v>
      </c>
      <c r="L300" s="79">
        <f t="shared" si="341"/>
        <v>-87.686807788466467</v>
      </c>
      <c r="M300" s="79">
        <f t="shared" si="342"/>
        <v>-66.316899314354487</v>
      </c>
      <c r="N300" s="79">
        <f t="shared" si="343"/>
        <v>10.658662961524897</v>
      </c>
      <c r="O300" s="79">
        <f t="shared" si="344"/>
        <v>-425.95895470383402</v>
      </c>
      <c r="P300" s="79">
        <f t="shared" si="345"/>
        <v>-308.18109090909093</v>
      </c>
      <c r="Q300" s="79"/>
      <c r="R300" s="80">
        <f t="shared" si="303"/>
        <v>4.632174967824386</v>
      </c>
      <c r="S300" s="80">
        <f t="shared" si="304"/>
        <v>1.5720116414571192</v>
      </c>
      <c r="T300" s="80">
        <f t="shared" si="305"/>
        <v>1.2095002169497364</v>
      </c>
      <c r="U300" s="80">
        <f t="shared" si="306"/>
        <v>-0.15508020509652673</v>
      </c>
      <c r="V300" s="80">
        <f t="shared" si="307"/>
        <v>13.648156627747218</v>
      </c>
      <c r="W300" s="80">
        <f t="shared" si="308"/>
        <v>7.8357761311349776</v>
      </c>
      <c r="X300" s="80">
        <f t="shared" ref="X300:X363" si="359">X299+R300</f>
        <v>490.71540966294214</v>
      </c>
      <c r="Y300" s="80">
        <f t="shared" ref="Y300:Y363" si="360">Y299+S300</f>
        <v>174.61456031937183</v>
      </c>
      <c r="Z300" s="80">
        <f t="shared" ref="Z300:Z363" si="361">Z299+T300</f>
        <v>142.11197730760617</v>
      </c>
      <c r="AA300" s="80">
        <f t="shared" ref="AA300:AA363" si="362">AA299+U300</f>
        <v>99.199762875028554</v>
      </c>
      <c r="AB300" s="80">
        <f t="shared" ref="AB300:AB363" si="363">AB299+V300</f>
        <v>780.19867927583084</v>
      </c>
      <c r="AC300" s="80">
        <f t="shared" ref="AC300:AC363" si="364">AC299+W300</f>
        <v>371.47213976749862</v>
      </c>
      <c r="AD300" s="80"/>
      <c r="AE300" s="80"/>
      <c r="AF300" s="80"/>
      <c r="AG300" s="80"/>
      <c r="AH300" s="80"/>
      <c r="AI300" s="80"/>
      <c r="AJ300" s="45">
        <f t="shared" si="309"/>
        <v>0</v>
      </c>
      <c r="AK300" s="45">
        <f t="shared" si="310"/>
        <v>0</v>
      </c>
      <c r="AL300" s="45">
        <f t="shared" si="311"/>
        <v>0</v>
      </c>
      <c r="AM300" s="45">
        <f t="shared" si="312"/>
        <v>0</v>
      </c>
      <c r="AN300" s="45">
        <f t="shared" si="313"/>
        <v>0</v>
      </c>
      <c r="AO300" s="45">
        <f t="shared" si="314"/>
        <v>0</v>
      </c>
      <c r="AP300" s="80">
        <f t="shared" si="315"/>
        <v>0</v>
      </c>
      <c r="AQ300" s="80">
        <f t="shared" si="316"/>
        <v>0</v>
      </c>
      <c r="AR300" s="80">
        <f t="shared" si="317"/>
        <v>0</v>
      </c>
      <c r="AS300" s="80">
        <f t="shared" si="318"/>
        <v>0</v>
      </c>
      <c r="AT300" s="80">
        <f t="shared" si="319"/>
        <v>0</v>
      </c>
      <c r="AU300" s="80">
        <f t="shared" si="320"/>
        <v>0</v>
      </c>
      <c r="AV300" s="80">
        <f t="shared" ref="AV300:AV363" si="365">AP300+AV299+IF(AP300&lt;0,AP300,0)</f>
        <v>34.963323049739806</v>
      </c>
      <c r="AW300" s="80">
        <f t="shared" ref="AW300:AW363" si="366">AQ300+AW299+IF(AQ300&lt;0,AQ300,0)</f>
        <v>17.38986957199732</v>
      </c>
      <c r="AX300" s="80">
        <f t="shared" ref="AX300:AX363" si="367">AR300+AX299+IF(AR300&lt;0,AR300,0)</f>
        <v>10.811701855878232</v>
      </c>
      <c r="AY300" s="80">
        <f t="shared" ref="AY300:AY363" si="368">AS300+AY299+IF(AS300&lt;0,AS300,0)</f>
        <v>7.9790880151842218</v>
      </c>
      <c r="AZ300" s="80">
        <f t="shared" ref="AZ300:AZ363" si="369">AT300+AZ299+IF(AT300&lt;0,AT300,0)</f>
        <v>64.159174807714336</v>
      </c>
      <c r="BA300" s="80">
        <f t="shared" ref="BA300:BA363" si="370">AU300+BA299+IF(AU300&lt;0,AU300,0)</f>
        <v>28.023637336551971</v>
      </c>
      <c r="BB300" s="80">
        <f t="shared" si="346"/>
        <v>525.67873271268195</v>
      </c>
      <c r="BC300" s="80">
        <f t="shared" si="347"/>
        <v>192.00442989136914</v>
      </c>
      <c r="BD300" s="80">
        <f t="shared" si="348"/>
        <v>152.92367916348439</v>
      </c>
      <c r="BE300" s="80">
        <f t="shared" si="349"/>
        <v>107.17885089021277</v>
      </c>
      <c r="BF300" s="80">
        <f t="shared" si="350"/>
        <v>844.35785408354513</v>
      </c>
      <c r="BG300" s="80">
        <f t="shared" si="351"/>
        <v>399.4957771040506</v>
      </c>
      <c r="BH300" s="49">
        <f t="shared" si="352"/>
        <v>0</v>
      </c>
      <c r="BI300" s="79">
        <f t="shared" si="353"/>
        <v>-87542.791598790034</v>
      </c>
      <c r="BJ300" s="79">
        <f t="shared" si="321"/>
        <v>97400</v>
      </c>
      <c r="BK300" s="44">
        <f t="shared" si="354"/>
        <v>0.1125987442391112</v>
      </c>
      <c r="BL300" s="79">
        <f t="shared" ref="BL300:BL363" si="371">BL299+BH300</f>
        <v>6877.1123503215476</v>
      </c>
      <c r="BM300" s="49">
        <f t="shared" si="355"/>
        <v>104277.11235032155</v>
      </c>
      <c r="BN300" s="44">
        <f t="shared" si="356"/>
        <v>0.19115589583006631</v>
      </c>
      <c r="BO300" s="49">
        <f t="shared" si="322"/>
        <v>7644.6948662504246</v>
      </c>
      <c r="BP300" s="49">
        <f t="shared" si="323"/>
        <v>105044.69486625043</v>
      </c>
      <c r="BQ300" s="44">
        <f t="shared" si="324"/>
        <v>0.19992397943707219</v>
      </c>
      <c r="BS300" s="49">
        <f t="shared" si="325"/>
        <v>87542.791598790034</v>
      </c>
      <c r="BT300" s="49">
        <f t="shared" si="301"/>
        <v>69.470000999999996</v>
      </c>
      <c r="BU300" s="49">
        <f t="shared" si="302"/>
        <v>39.330002</v>
      </c>
      <c r="BV300" s="49">
        <f t="shared" si="326"/>
        <v>1199.282289401156</v>
      </c>
      <c r="BW300" s="18">
        <f t="shared" si="327"/>
        <v>1806</v>
      </c>
      <c r="BX300" s="19">
        <f t="shared" si="357"/>
        <v>0.58577981651376143</v>
      </c>
      <c r="BY300" s="49">
        <f t="shared" si="358"/>
        <v>702.51535943361296</v>
      </c>
      <c r="BZ300" s="19">
        <f t="shared" si="328"/>
        <v>4.632174967824386</v>
      </c>
      <c r="CA300" s="19">
        <f t="shared" si="329"/>
        <v>1.5720116414571192</v>
      </c>
      <c r="CB300" s="19">
        <f t="shared" si="330"/>
        <v>1.2095002169497364</v>
      </c>
      <c r="CC300" s="19">
        <f t="shared" si="331"/>
        <v>0</v>
      </c>
      <c r="CD300" s="19">
        <f t="shared" si="332"/>
        <v>13.648156627747218</v>
      </c>
      <c r="CE300" s="19">
        <f t="shared" si="333"/>
        <v>7.8357761311349776</v>
      </c>
      <c r="CF300" s="49">
        <f t="shared" si="334"/>
        <v>-321.79719964693504</v>
      </c>
      <c r="CG300" s="49">
        <f t="shared" si="335"/>
        <v>-87.686807788466467</v>
      </c>
      <c r="CH300" s="49">
        <f t="shared" si="336"/>
        <v>-66.316899314354487</v>
      </c>
      <c r="CI300" s="49">
        <f t="shared" si="337"/>
        <v>0</v>
      </c>
      <c r="CJ300" s="49">
        <f t="shared" si="338"/>
        <v>-425.95895470383402</v>
      </c>
      <c r="CK300" s="49">
        <f t="shared" si="339"/>
        <v>-308.18109090909093</v>
      </c>
    </row>
    <row r="301" spans="2:89" ht="12.75" customHeight="1" x14ac:dyDescent="0.2">
      <c r="B301" s="77">
        <v>41106</v>
      </c>
      <c r="C301" s="49">
        <v>69.739998</v>
      </c>
      <c r="D301" s="49">
        <v>55.889999000000003</v>
      </c>
      <c r="E301" s="49">
        <v>54.919998</v>
      </c>
      <c r="F301" s="49">
        <v>68.080001999999993</v>
      </c>
      <c r="G301" s="49">
        <v>31.1</v>
      </c>
      <c r="H301" s="49">
        <v>39.380001</v>
      </c>
      <c r="J301" s="78">
        <f>IF(inter=Weekly_2,J300+$C$5,IF(inter=Bi_weekly_2,0,IF(inter=Monthly_2,0,IF(inter=Quarterly_2,0,IF(inter=Yearly_2,0,IF(inter=None_2,0,0))))))</f>
        <v>0</v>
      </c>
      <c r="K301" s="79">
        <f t="shared" si="340"/>
        <v>0</v>
      </c>
      <c r="L301" s="79">
        <f t="shared" si="341"/>
        <v>0</v>
      </c>
      <c r="M301" s="79">
        <f t="shared" si="342"/>
        <v>0</v>
      </c>
      <c r="N301" s="79">
        <f t="shared" si="343"/>
        <v>0</v>
      </c>
      <c r="O301" s="79">
        <f t="shared" si="344"/>
        <v>0</v>
      </c>
      <c r="P301" s="79">
        <f t="shared" si="345"/>
        <v>0</v>
      </c>
      <c r="Q301" s="79"/>
      <c r="R301" s="80">
        <f t="shared" si="303"/>
        <v>0</v>
      </c>
      <c r="S301" s="80">
        <f t="shared" si="304"/>
        <v>0</v>
      </c>
      <c r="T301" s="80">
        <f t="shared" si="305"/>
        <v>0</v>
      </c>
      <c r="U301" s="80">
        <f t="shared" si="306"/>
        <v>0</v>
      </c>
      <c r="V301" s="80">
        <f t="shared" si="307"/>
        <v>0</v>
      </c>
      <c r="W301" s="80">
        <f t="shared" si="308"/>
        <v>0</v>
      </c>
      <c r="X301" s="80">
        <f t="shared" si="359"/>
        <v>490.71540966294214</v>
      </c>
      <c r="Y301" s="80">
        <f t="shared" si="360"/>
        <v>174.61456031937183</v>
      </c>
      <c r="Z301" s="80">
        <f t="shared" si="361"/>
        <v>142.11197730760617</v>
      </c>
      <c r="AA301" s="80">
        <f t="shared" si="362"/>
        <v>99.199762875028554</v>
      </c>
      <c r="AB301" s="80">
        <f t="shared" si="363"/>
        <v>780.19867927583084</v>
      </c>
      <c r="AC301" s="80">
        <f t="shared" si="364"/>
        <v>371.47213976749862</v>
      </c>
      <c r="AD301" s="80"/>
      <c r="AE301" s="80"/>
      <c r="AF301" s="80"/>
      <c r="AG301" s="80"/>
      <c r="AH301" s="80"/>
      <c r="AI301" s="80"/>
      <c r="AJ301" s="45">
        <f t="shared" si="309"/>
        <v>0</v>
      </c>
      <c r="AK301" s="45">
        <f t="shared" si="310"/>
        <v>0</v>
      </c>
      <c r="AL301" s="45">
        <f t="shared" si="311"/>
        <v>0</v>
      </c>
      <c r="AM301" s="45">
        <f t="shared" si="312"/>
        <v>0</v>
      </c>
      <c r="AN301" s="45">
        <f t="shared" si="313"/>
        <v>0</v>
      </c>
      <c r="AO301" s="45">
        <f t="shared" si="314"/>
        <v>0</v>
      </c>
      <c r="AP301" s="80">
        <f t="shared" si="315"/>
        <v>0</v>
      </c>
      <c r="AQ301" s="80">
        <f t="shared" si="316"/>
        <v>0</v>
      </c>
      <c r="AR301" s="80">
        <f t="shared" si="317"/>
        <v>0</v>
      </c>
      <c r="AS301" s="80">
        <f t="shared" si="318"/>
        <v>0</v>
      </c>
      <c r="AT301" s="80">
        <f t="shared" si="319"/>
        <v>0</v>
      </c>
      <c r="AU301" s="80">
        <f t="shared" si="320"/>
        <v>0</v>
      </c>
      <c r="AV301" s="80">
        <f t="shared" si="365"/>
        <v>34.963323049739806</v>
      </c>
      <c r="AW301" s="80">
        <f t="shared" si="366"/>
        <v>17.38986957199732</v>
      </c>
      <c r="AX301" s="80">
        <f t="shared" si="367"/>
        <v>10.811701855878232</v>
      </c>
      <c r="AY301" s="80">
        <f t="shared" si="368"/>
        <v>7.9790880151842218</v>
      </c>
      <c r="AZ301" s="80">
        <f t="shared" si="369"/>
        <v>64.159174807714336</v>
      </c>
      <c r="BA301" s="80">
        <f t="shared" si="370"/>
        <v>28.023637336551971</v>
      </c>
      <c r="BB301" s="80">
        <f t="shared" si="346"/>
        <v>525.67873271268195</v>
      </c>
      <c r="BC301" s="80">
        <f t="shared" si="347"/>
        <v>192.00442989136914</v>
      </c>
      <c r="BD301" s="80">
        <f t="shared" si="348"/>
        <v>152.92367916348439</v>
      </c>
      <c r="BE301" s="80">
        <f t="shared" si="349"/>
        <v>107.17885089021277</v>
      </c>
      <c r="BF301" s="80">
        <f t="shared" si="350"/>
        <v>844.35785408354513</v>
      </c>
      <c r="BG301" s="80">
        <f t="shared" si="351"/>
        <v>399.4957771040506</v>
      </c>
      <c r="BH301" s="49">
        <f t="shared" si="352"/>
        <v>0</v>
      </c>
      <c r="BI301" s="79">
        <f t="shared" si="353"/>
        <v>-87542.791598790034</v>
      </c>
      <c r="BJ301" s="79">
        <f t="shared" si="321"/>
        <v>97432.761015533717</v>
      </c>
      <c r="BK301" s="44">
        <f t="shared" si="354"/>
        <v>0.11297297282989982</v>
      </c>
      <c r="BL301" s="79">
        <f t="shared" si="371"/>
        <v>6877.1123503215476</v>
      </c>
      <c r="BM301" s="49">
        <f t="shared" si="355"/>
        <v>104309.87336585527</v>
      </c>
      <c r="BN301" s="44">
        <f t="shared" si="356"/>
        <v>0.19153012442085493</v>
      </c>
      <c r="BO301" s="49">
        <f t="shared" si="322"/>
        <v>7646.178047741585</v>
      </c>
      <c r="BP301" s="49">
        <f t="shared" si="323"/>
        <v>105078.93906327531</v>
      </c>
      <c r="BQ301" s="44">
        <f t="shared" si="324"/>
        <v>0.2003151503878664</v>
      </c>
      <c r="BS301" s="49">
        <f t="shared" si="325"/>
        <v>87542.791598790034</v>
      </c>
      <c r="BT301" s="49">
        <f t="shared" si="301"/>
        <v>69.739998</v>
      </c>
      <c r="BU301" s="49">
        <f t="shared" si="302"/>
        <v>39.380001</v>
      </c>
      <c r="BV301" s="49">
        <f t="shared" si="326"/>
        <v>0</v>
      </c>
      <c r="BW301" s="18">
        <f t="shared" si="327"/>
        <v>1813</v>
      </c>
      <c r="BX301" s="19">
        <f t="shared" si="357"/>
        <v>0.58417431192660552</v>
      </c>
      <c r="BY301" s="49">
        <f t="shared" si="358"/>
        <v>0</v>
      </c>
      <c r="BZ301" s="19">
        <f t="shared" si="328"/>
        <v>0</v>
      </c>
      <c r="CA301" s="19">
        <f t="shared" si="329"/>
        <v>0</v>
      </c>
      <c r="CB301" s="19">
        <f t="shared" si="330"/>
        <v>0</v>
      </c>
      <c r="CC301" s="19">
        <f t="shared" si="331"/>
        <v>0</v>
      </c>
      <c r="CD301" s="19">
        <f t="shared" si="332"/>
        <v>0</v>
      </c>
      <c r="CE301" s="19">
        <f t="shared" si="333"/>
        <v>0</v>
      </c>
      <c r="CF301" s="49">
        <f t="shared" si="334"/>
        <v>0</v>
      </c>
      <c r="CG301" s="49">
        <f t="shared" si="335"/>
        <v>0</v>
      </c>
      <c r="CH301" s="49">
        <f t="shared" si="336"/>
        <v>0</v>
      </c>
      <c r="CI301" s="49">
        <f t="shared" si="337"/>
        <v>0</v>
      </c>
      <c r="CJ301" s="49">
        <f t="shared" si="338"/>
        <v>0</v>
      </c>
      <c r="CK301" s="49">
        <f t="shared" si="339"/>
        <v>0</v>
      </c>
    </row>
    <row r="302" spans="2:89" ht="12.75" customHeight="1" x14ac:dyDescent="0.2">
      <c r="B302" s="77">
        <v>41113</v>
      </c>
      <c r="C302" s="49">
        <v>70.769997000000004</v>
      </c>
      <c r="D302" s="49">
        <v>56.799999</v>
      </c>
      <c r="E302" s="49">
        <v>55.580002</v>
      </c>
      <c r="F302" s="49">
        <v>68.279999000000004</v>
      </c>
      <c r="G302" s="49">
        <v>31.889999</v>
      </c>
      <c r="H302" s="49">
        <v>40.389999000000003</v>
      </c>
      <c r="J302" s="78">
        <f>IF(inter=Weekly_2,J301+$C$5,IF(inter=Bi_weekly_2,J300+$C$5,IF(inter=Monthly_2,J298+$C$5,IF(inter=Quarterly_2,J289+$C$5,IF(inter=Yearly_2,J250+$C$5,IF(inter=None_2,0,0))))))</f>
        <v>98000</v>
      </c>
      <c r="K302" s="79">
        <f t="shared" si="340"/>
        <v>427.92806970018864</v>
      </c>
      <c r="L302" s="79">
        <f t="shared" si="341"/>
        <v>118.10685152575934</v>
      </c>
      <c r="M302" s="79">
        <f t="shared" si="342"/>
        <v>58.583982980705514</v>
      </c>
      <c r="N302" s="79">
        <f t="shared" si="343"/>
        <v>-86.640290092813302</v>
      </c>
      <c r="O302" s="79">
        <f t="shared" si="344"/>
        <v>380.53510190756424</v>
      </c>
      <c r="P302" s="79">
        <f t="shared" si="345"/>
        <v>303.75935373713037</v>
      </c>
      <c r="Q302" s="79"/>
      <c r="R302" s="80">
        <f t="shared" si="303"/>
        <v>-6.0467442113949588</v>
      </c>
      <c r="S302" s="80">
        <f t="shared" si="304"/>
        <v>-2.0793460141743902</v>
      </c>
      <c r="T302" s="80">
        <f t="shared" si="305"/>
        <v>-1.0540478746421331</v>
      </c>
      <c r="U302" s="80">
        <f t="shared" si="306"/>
        <v>1.2688970615364727</v>
      </c>
      <c r="V302" s="80">
        <f t="shared" si="307"/>
        <v>-11.932741105058179</v>
      </c>
      <c r="W302" s="80">
        <f t="shared" si="308"/>
        <v>-7.5206576196530817</v>
      </c>
      <c r="X302" s="80">
        <f t="shared" si="359"/>
        <v>484.66866545154716</v>
      </c>
      <c r="Y302" s="80">
        <f t="shared" si="360"/>
        <v>172.53521430519746</v>
      </c>
      <c r="Z302" s="80">
        <f t="shared" si="361"/>
        <v>141.05792943296404</v>
      </c>
      <c r="AA302" s="80">
        <f t="shared" si="362"/>
        <v>100.46865993656503</v>
      </c>
      <c r="AB302" s="80">
        <f t="shared" si="363"/>
        <v>768.26593817077264</v>
      </c>
      <c r="AC302" s="80">
        <f t="shared" si="364"/>
        <v>363.95148214784552</v>
      </c>
      <c r="AD302" s="80"/>
      <c r="AE302" s="80"/>
      <c r="AF302" s="80"/>
      <c r="AG302" s="80"/>
      <c r="AH302" s="80"/>
      <c r="AI302" s="80"/>
      <c r="AJ302" s="45">
        <f t="shared" si="309"/>
        <v>0</v>
      </c>
      <c r="AK302" s="45">
        <f t="shared" si="310"/>
        <v>0</v>
      </c>
      <c r="AL302" s="45">
        <f t="shared" si="311"/>
        <v>0</v>
      </c>
      <c r="AM302" s="45">
        <f t="shared" si="312"/>
        <v>0</v>
      </c>
      <c r="AN302" s="45">
        <f t="shared" si="313"/>
        <v>0</v>
      </c>
      <c r="AO302" s="45">
        <f t="shared" si="314"/>
        <v>0</v>
      </c>
      <c r="AP302" s="80">
        <f t="shared" si="315"/>
        <v>0</v>
      </c>
      <c r="AQ302" s="80">
        <f t="shared" si="316"/>
        <v>0</v>
      </c>
      <c r="AR302" s="80">
        <f t="shared" si="317"/>
        <v>0</v>
      </c>
      <c r="AS302" s="80">
        <f t="shared" si="318"/>
        <v>0</v>
      </c>
      <c r="AT302" s="80">
        <f t="shared" si="319"/>
        <v>0</v>
      </c>
      <c r="AU302" s="80">
        <f t="shared" si="320"/>
        <v>0</v>
      </c>
      <c r="AV302" s="80">
        <f t="shared" si="365"/>
        <v>34.963323049739806</v>
      </c>
      <c r="AW302" s="80">
        <f t="shared" si="366"/>
        <v>17.38986957199732</v>
      </c>
      <c r="AX302" s="80">
        <f t="shared" si="367"/>
        <v>10.811701855878232</v>
      </c>
      <c r="AY302" s="80">
        <f t="shared" si="368"/>
        <v>7.9790880151842218</v>
      </c>
      <c r="AZ302" s="80">
        <f t="shared" si="369"/>
        <v>64.159174807714336</v>
      </c>
      <c r="BA302" s="80">
        <f t="shared" si="370"/>
        <v>28.023637336551971</v>
      </c>
      <c r="BB302" s="80">
        <f t="shared" si="346"/>
        <v>519.63198850128697</v>
      </c>
      <c r="BC302" s="80">
        <f t="shared" si="347"/>
        <v>189.92508387719477</v>
      </c>
      <c r="BD302" s="80">
        <f t="shared" si="348"/>
        <v>151.86963128884227</v>
      </c>
      <c r="BE302" s="80">
        <f t="shared" si="349"/>
        <v>108.44774795174925</v>
      </c>
      <c r="BF302" s="80">
        <f t="shared" si="350"/>
        <v>832.42511297848694</v>
      </c>
      <c r="BG302" s="80">
        <f t="shared" si="351"/>
        <v>391.97511948439751</v>
      </c>
      <c r="BH302" s="49">
        <f t="shared" si="352"/>
        <v>0</v>
      </c>
      <c r="BI302" s="79">
        <f t="shared" si="353"/>
        <v>-86340.518529031484</v>
      </c>
      <c r="BJ302" s="79">
        <f t="shared" si="321"/>
        <v>98000</v>
      </c>
      <c r="BK302" s="44">
        <f t="shared" si="354"/>
        <v>0.13504067000765207</v>
      </c>
      <c r="BL302" s="79">
        <f t="shared" si="371"/>
        <v>6877.1123503215476</v>
      </c>
      <c r="BM302" s="49">
        <f t="shared" si="355"/>
        <v>104877.11235032155</v>
      </c>
      <c r="BN302" s="44">
        <f t="shared" si="356"/>
        <v>0.21469171296506917</v>
      </c>
      <c r="BO302" s="49">
        <f t="shared" si="322"/>
        <v>7785.7360785690335</v>
      </c>
      <c r="BP302" s="49">
        <f t="shared" si="323"/>
        <v>105785.73607856903</v>
      </c>
      <c r="BQ302" s="44">
        <f t="shared" si="324"/>
        <v>0.22521543628440455</v>
      </c>
      <c r="BS302" s="49">
        <f t="shared" si="325"/>
        <v>86340.518529031484</v>
      </c>
      <c r="BT302" s="49">
        <f t="shared" si="301"/>
        <v>70.769997000000004</v>
      </c>
      <c r="BU302" s="49">
        <f t="shared" si="302"/>
        <v>40.389999000000003</v>
      </c>
      <c r="BV302" s="49">
        <f t="shared" si="326"/>
        <v>-1202.2730697585348</v>
      </c>
      <c r="BW302" s="18">
        <f t="shared" si="327"/>
        <v>1820</v>
      </c>
      <c r="BX302" s="19">
        <f t="shared" si="357"/>
        <v>0.58256880733944949</v>
      </c>
      <c r="BY302" s="49">
        <f t="shared" si="358"/>
        <v>-700.40678834556843</v>
      </c>
      <c r="BZ302" s="19">
        <f t="shared" si="328"/>
        <v>0</v>
      </c>
      <c r="CA302" s="19">
        <f t="shared" si="329"/>
        <v>0</v>
      </c>
      <c r="CB302" s="19">
        <f t="shared" si="330"/>
        <v>0</v>
      </c>
      <c r="CC302" s="19">
        <f t="shared" si="331"/>
        <v>1.2688970615364727</v>
      </c>
      <c r="CD302" s="19">
        <f t="shared" si="332"/>
        <v>0</v>
      </c>
      <c r="CE302" s="19">
        <f t="shared" si="333"/>
        <v>0</v>
      </c>
      <c r="CF302" s="49">
        <f t="shared" si="334"/>
        <v>0</v>
      </c>
      <c r="CG302" s="49">
        <f t="shared" si="335"/>
        <v>0</v>
      </c>
      <c r="CH302" s="49">
        <f t="shared" si="336"/>
        <v>0</v>
      </c>
      <c r="CI302" s="49">
        <f t="shared" si="337"/>
        <v>-86.640290092813302</v>
      </c>
      <c r="CJ302" s="49">
        <f t="shared" si="338"/>
        <v>0</v>
      </c>
      <c r="CK302" s="49">
        <f t="shared" si="339"/>
        <v>0</v>
      </c>
    </row>
    <row r="303" spans="2:89" ht="12.75" customHeight="1" x14ac:dyDescent="0.2">
      <c r="B303" s="77">
        <v>41120</v>
      </c>
      <c r="C303" s="49">
        <v>70.959998999999996</v>
      </c>
      <c r="D303" s="49">
        <v>56.990001999999997</v>
      </c>
      <c r="E303" s="49">
        <v>55.790000999999997</v>
      </c>
      <c r="F303" s="49">
        <v>68.180000000000007</v>
      </c>
      <c r="G303" s="49">
        <v>32.279998999999997</v>
      </c>
      <c r="H303" s="49">
        <v>40.759998000000003</v>
      </c>
      <c r="J303" s="78">
        <f>IF(inter=Weekly_2,J302+$C$5,IF(inter=Bi_weekly_2,0,IF(inter=Monthly_2,0,IF(inter=Quarterly_2,0,IF(inter=Yearly_2,0,IF(inter=None_2,0,0))))))</f>
        <v>0</v>
      </c>
      <c r="K303" s="79">
        <f t="shared" si="340"/>
        <v>0</v>
      </c>
      <c r="L303" s="79">
        <f t="shared" si="341"/>
        <v>0</v>
      </c>
      <c r="M303" s="79">
        <f t="shared" si="342"/>
        <v>0</v>
      </c>
      <c r="N303" s="79">
        <f t="shared" si="343"/>
        <v>0</v>
      </c>
      <c r="O303" s="79">
        <f t="shared" si="344"/>
        <v>0</v>
      </c>
      <c r="P303" s="79">
        <f t="shared" si="345"/>
        <v>0</v>
      </c>
      <c r="Q303" s="79"/>
      <c r="R303" s="80">
        <f t="shared" si="303"/>
        <v>0</v>
      </c>
      <c r="S303" s="80">
        <f t="shared" si="304"/>
        <v>0</v>
      </c>
      <c r="T303" s="80">
        <f t="shared" si="305"/>
        <v>0</v>
      </c>
      <c r="U303" s="80">
        <f t="shared" si="306"/>
        <v>0</v>
      </c>
      <c r="V303" s="80">
        <f t="shared" si="307"/>
        <v>0</v>
      </c>
      <c r="W303" s="80">
        <f t="shared" si="308"/>
        <v>0</v>
      </c>
      <c r="X303" s="80">
        <f t="shared" si="359"/>
        <v>484.66866545154716</v>
      </c>
      <c r="Y303" s="80">
        <f t="shared" si="360"/>
        <v>172.53521430519746</v>
      </c>
      <c r="Z303" s="80">
        <f t="shared" si="361"/>
        <v>141.05792943296404</v>
      </c>
      <c r="AA303" s="80">
        <f t="shared" si="362"/>
        <v>100.46865993656503</v>
      </c>
      <c r="AB303" s="80">
        <f t="shared" si="363"/>
        <v>768.26593817077264</v>
      </c>
      <c r="AC303" s="80">
        <f t="shared" si="364"/>
        <v>363.95148214784552</v>
      </c>
      <c r="AD303" s="80"/>
      <c r="AE303" s="80"/>
      <c r="AF303" s="80"/>
      <c r="AG303" s="80"/>
      <c r="AH303" s="80"/>
      <c r="AI303" s="80"/>
      <c r="AJ303" s="45">
        <f t="shared" si="309"/>
        <v>0</v>
      </c>
      <c r="AK303" s="45">
        <f t="shared" si="310"/>
        <v>0</v>
      </c>
      <c r="AL303" s="45">
        <f t="shared" si="311"/>
        <v>0</v>
      </c>
      <c r="AM303" s="45">
        <f t="shared" si="312"/>
        <v>0</v>
      </c>
      <c r="AN303" s="45">
        <f t="shared" si="313"/>
        <v>0</v>
      </c>
      <c r="AO303" s="45">
        <f t="shared" si="314"/>
        <v>0</v>
      </c>
      <c r="AP303" s="80">
        <f t="shared" si="315"/>
        <v>0</v>
      </c>
      <c r="AQ303" s="80">
        <f t="shared" si="316"/>
        <v>0</v>
      </c>
      <c r="AR303" s="80">
        <f t="shared" si="317"/>
        <v>0</v>
      </c>
      <c r="AS303" s="80">
        <f t="shared" si="318"/>
        <v>0</v>
      </c>
      <c r="AT303" s="80">
        <f t="shared" si="319"/>
        <v>0</v>
      </c>
      <c r="AU303" s="80">
        <f t="shared" si="320"/>
        <v>0</v>
      </c>
      <c r="AV303" s="80">
        <f t="shared" si="365"/>
        <v>34.963323049739806</v>
      </c>
      <c r="AW303" s="80">
        <f t="shared" si="366"/>
        <v>17.38986957199732</v>
      </c>
      <c r="AX303" s="80">
        <f t="shared" si="367"/>
        <v>10.811701855878232</v>
      </c>
      <c r="AY303" s="80">
        <f t="shared" si="368"/>
        <v>7.9790880151842218</v>
      </c>
      <c r="AZ303" s="80">
        <f t="shared" si="369"/>
        <v>64.159174807714336</v>
      </c>
      <c r="BA303" s="80">
        <f t="shared" si="370"/>
        <v>28.023637336551971</v>
      </c>
      <c r="BB303" s="80">
        <f t="shared" si="346"/>
        <v>519.63198850128697</v>
      </c>
      <c r="BC303" s="80">
        <f t="shared" si="347"/>
        <v>189.92508387719477</v>
      </c>
      <c r="BD303" s="80">
        <f t="shared" si="348"/>
        <v>151.86963128884227</v>
      </c>
      <c r="BE303" s="80">
        <f t="shared" si="349"/>
        <v>108.44774795174925</v>
      </c>
      <c r="BF303" s="80">
        <f t="shared" si="350"/>
        <v>832.42511297848694</v>
      </c>
      <c r="BG303" s="80">
        <f t="shared" si="351"/>
        <v>391.97511948439751</v>
      </c>
      <c r="BH303" s="49">
        <f t="shared" si="352"/>
        <v>0</v>
      </c>
      <c r="BI303" s="79">
        <f t="shared" si="353"/>
        <v>-86340.518529031484</v>
      </c>
      <c r="BJ303" s="79">
        <f t="shared" si="321"/>
        <v>98578.730883024575</v>
      </c>
      <c r="BK303" s="44">
        <f t="shared" si="354"/>
        <v>0.14174355867318611</v>
      </c>
      <c r="BL303" s="79">
        <f t="shared" si="371"/>
        <v>6877.1123503215476</v>
      </c>
      <c r="BM303" s="49">
        <f t="shared" si="355"/>
        <v>105455.84323334612</v>
      </c>
      <c r="BN303" s="44">
        <f t="shared" si="356"/>
        <v>0.2213946016306032</v>
      </c>
      <c r="BO303" s="49">
        <f t="shared" si="322"/>
        <v>7832.5466489849159</v>
      </c>
      <c r="BP303" s="49">
        <f t="shared" si="323"/>
        <v>106411.27753200948</v>
      </c>
      <c r="BQ303" s="44">
        <f t="shared" si="324"/>
        <v>0.23246048720716583</v>
      </c>
      <c r="BS303" s="49">
        <f t="shared" si="325"/>
        <v>86340.518529031484</v>
      </c>
      <c r="BT303" s="49">
        <f t="shared" si="301"/>
        <v>70.959998999999996</v>
      </c>
      <c r="BU303" s="49">
        <f t="shared" si="302"/>
        <v>40.759998000000003</v>
      </c>
      <c r="BV303" s="49">
        <f t="shared" si="326"/>
        <v>0</v>
      </c>
      <c r="BW303" s="18">
        <f t="shared" si="327"/>
        <v>1827</v>
      </c>
      <c r="BX303" s="19">
        <f t="shared" si="357"/>
        <v>0.58096330275229358</v>
      </c>
      <c r="BY303" s="49">
        <f t="shared" si="358"/>
        <v>0</v>
      </c>
      <c r="BZ303" s="19">
        <f t="shared" si="328"/>
        <v>0</v>
      </c>
      <c r="CA303" s="19">
        <f t="shared" si="329"/>
        <v>0</v>
      </c>
      <c r="CB303" s="19">
        <f t="shared" si="330"/>
        <v>0</v>
      </c>
      <c r="CC303" s="19">
        <f t="shared" si="331"/>
        <v>0</v>
      </c>
      <c r="CD303" s="19">
        <f t="shared" si="332"/>
        <v>0</v>
      </c>
      <c r="CE303" s="19">
        <f t="shared" si="333"/>
        <v>0</v>
      </c>
      <c r="CF303" s="49">
        <f t="shared" si="334"/>
        <v>0</v>
      </c>
      <c r="CG303" s="49">
        <f t="shared" si="335"/>
        <v>0</v>
      </c>
      <c r="CH303" s="49">
        <f t="shared" si="336"/>
        <v>0</v>
      </c>
      <c r="CI303" s="49">
        <f t="shared" si="337"/>
        <v>0</v>
      </c>
      <c r="CJ303" s="49">
        <f t="shared" si="338"/>
        <v>0</v>
      </c>
      <c r="CK303" s="49">
        <f t="shared" si="339"/>
        <v>0</v>
      </c>
    </row>
    <row r="304" spans="2:89" ht="12.75" customHeight="1" x14ac:dyDescent="0.2">
      <c r="B304" s="77">
        <v>41127</v>
      </c>
      <c r="C304" s="49">
        <v>71.860000999999997</v>
      </c>
      <c r="D304" s="49">
        <v>57.650002000000001</v>
      </c>
      <c r="E304" s="49">
        <v>56.66</v>
      </c>
      <c r="F304" s="49">
        <v>69.199996999999996</v>
      </c>
      <c r="G304" s="49">
        <v>32.82</v>
      </c>
      <c r="H304" s="49">
        <v>41.599997999999999</v>
      </c>
      <c r="J304" s="78">
        <f>IF(inter=Weekly_2,J303+$C$5,IF(inter=Bi_weekly_2,J302+$C$5,IF(inter=Monthly_2,0,IF(inter=Quarterly_2,0,IF(inter=Yearly_2,0,IF(inter=None_2,0,0))))))</f>
        <v>98600</v>
      </c>
      <c r="K304" s="79">
        <f t="shared" si="340"/>
        <v>318.29078401684092</v>
      </c>
      <c r="L304" s="79">
        <f t="shared" si="341"/>
        <v>86.655449765061348</v>
      </c>
      <c r="M304" s="79">
        <f t="shared" si="342"/>
        <v>104.34228167174206</v>
      </c>
      <c r="N304" s="79">
        <f t="shared" si="343"/>
        <v>50.430966204318793</v>
      </c>
      <c r="O304" s="79">
        <f t="shared" si="344"/>
        <v>564.48809076475663</v>
      </c>
      <c r="P304" s="79">
        <f t="shared" si="345"/>
        <v>350.38092944740856</v>
      </c>
      <c r="Q304" s="79"/>
      <c r="R304" s="80">
        <f t="shared" si="303"/>
        <v>-4.4293178345049133</v>
      </c>
      <c r="S304" s="80">
        <f t="shared" si="304"/>
        <v>-1.5031300391812883</v>
      </c>
      <c r="T304" s="80">
        <f t="shared" si="305"/>
        <v>-1.8415510355055076</v>
      </c>
      <c r="U304" s="80">
        <f t="shared" si="306"/>
        <v>-0.72877121951780999</v>
      </c>
      <c r="V304" s="80">
        <f t="shared" si="307"/>
        <v>-17.199515257914584</v>
      </c>
      <c r="W304" s="80">
        <f t="shared" si="308"/>
        <v>-8.4226189012655386</v>
      </c>
      <c r="X304" s="80">
        <f t="shared" si="359"/>
        <v>480.23934761704226</v>
      </c>
      <c r="Y304" s="80">
        <f t="shared" si="360"/>
        <v>171.03208426601617</v>
      </c>
      <c r="Z304" s="80">
        <f t="shared" si="361"/>
        <v>139.21637839745853</v>
      </c>
      <c r="AA304" s="80">
        <f t="shared" si="362"/>
        <v>99.739888717047222</v>
      </c>
      <c r="AB304" s="80">
        <f t="shared" si="363"/>
        <v>751.06642291285812</v>
      </c>
      <c r="AC304" s="80">
        <f t="shared" si="364"/>
        <v>355.52886324657999</v>
      </c>
      <c r="AD304" s="80"/>
      <c r="AE304" s="80"/>
      <c r="AF304" s="80"/>
      <c r="AG304" s="80"/>
      <c r="AH304" s="80"/>
      <c r="AI304" s="80"/>
      <c r="AJ304" s="45">
        <f t="shared" si="309"/>
        <v>0</v>
      </c>
      <c r="AK304" s="45">
        <f t="shared" si="310"/>
        <v>0</v>
      </c>
      <c r="AL304" s="45">
        <f t="shared" si="311"/>
        <v>0</v>
      </c>
      <c r="AM304" s="45">
        <f t="shared" si="312"/>
        <v>0</v>
      </c>
      <c r="AN304" s="45">
        <f t="shared" si="313"/>
        <v>0</v>
      </c>
      <c r="AO304" s="45">
        <f t="shared" si="314"/>
        <v>0</v>
      </c>
      <c r="AP304" s="80">
        <f t="shared" si="315"/>
        <v>0</v>
      </c>
      <c r="AQ304" s="80">
        <f t="shared" si="316"/>
        <v>0</v>
      </c>
      <c r="AR304" s="80">
        <f t="shared" si="317"/>
        <v>0</v>
      </c>
      <c r="AS304" s="80">
        <f t="shared" si="318"/>
        <v>0</v>
      </c>
      <c r="AT304" s="80">
        <f t="shared" si="319"/>
        <v>0</v>
      </c>
      <c r="AU304" s="80">
        <f t="shared" si="320"/>
        <v>0</v>
      </c>
      <c r="AV304" s="80">
        <f t="shared" si="365"/>
        <v>34.963323049739806</v>
      </c>
      <c r="AW304" s="80">
        <f t="shared" si="366"/>
        <v>17.38986957199732</v>
      </c>
      <c r="AX304" s="80">
        <f t="shared" si="367"/>
        <v>10.811701855878232</v>
      </c>
      <c r="AY304" s="80">
        <f t="shared" si="368"/>
        <v>7.9790880151842218</v>
      </c>
      <c r="AZ304" s="80">
        <f t="shared" si="369"/>
        <v>64.159174807714336</v>
      </c>
      <c r="BA304" s="80">
        <f t="shared" si="370"/>
        <v>28.023637336551971</v>
      </c>
      <c r="BB304" s="80">
        <f t="shared" si="346"/>
        <v>515.20267066678207</v>
      </c>
      <c r="BC304" s="80">
        <f t="shared" si="347"/>
        <v>188.42195383801348</v>
      </c>
      <c r="BD304" s="80">
        <f t="shared" si="348"/>
        <v>150.02808025333675</v>
      </c>
      <c r="BE304" s="80">
        <f t="shared" si="349"/>
        <v>107.71897673223144</v>
      </c>
      <c r="BF304" s="80">
        <f t="shared" si="350"/>
        <v>815.22559772057241</v>
      </c>
      <c r="BG304" s="80">
        <f t="shared" si="351"/>
        <v>383.55250058313197</v>
      </c>
      <c r="BH304" s="49">
        <f t="shared" si="352"/>
        <v>0</v>
      </c>
      <c r="BI304" s="79">
        <f t="shared" si="353"/>
        <v>-84865.930027161361</v>
      </c>
      <c r="BJ304" s="79">
        <f t="shared" si="321"/>
        <v>98600</v>
      </c>
      <c r="BK304" s="44">
        <f t="shared" si="354"/>
        <v>0.16183255127756269</v>
      </c>
      <c r="BL304" s="79">
        <f t="shared" si="371"/>
        <v>6877.1123503215476</v>
      </c>
      <c r="BM304" s="49">
        <f t="shared" si="355"/>
        <v>105477.11235032155</v>
      </c>
      <c r="BN304" s="44">
        <f t="shared" si="356"/>
        <v>0.24286757143371407</v>
      </c>
      <c r="BO304" s="49">
        <f t="shared" si="322"/>
        <v>7951.2217131330272</v>
      </c>
      <c r="BP304" s="49">
        <f t="shared" si="323"/>
        <v>106551.22171313304</v>
      </c>
      <c r="BQ304" s="44">
        <f t="shared" si="324"/>
        <v>0.25552411526075658</v>
      </c>
      <c r="BS304" s="49">
        <f t="shared" si="325"/>
        <v>84865.930027161361</v>
      </c>
      <c r="BT304" s="49">
        <f t="shared" si="301"/>
        <v>71.860000999999997</v>
      </c>
      <c r="BU304" s="49">
        <f t="shared" si="302"/>
        <v>41.599997999999999</v>
      </c>
      <c r="BV304" s="49">
        <f t="shared" si="326"/>
        <v>-1474.5885018701283</v>
      </c>
      <c r="BW304" s="18">
        <f t="shared" si="327"/>
        <v>1834</v>
      </c>
      <c r="BX304" s="19">
        <f t="shared" si="357"/>
        <v>0.57935779816513766</v>
      </c>
      <c r="BY304" s="49">
        <f t="shared" si="358"/>
        <v>-854.31434764310654</v>
      </c>
      <c r="BZ304" s="19">
        <f t="shared" si="328"/>
        <v>0</v>
      </c>
      <c r="CA304" s="19">
        <f t="shared" si="329"/>
        <v>0</v>
      </c>
      <c r="CB304" s="19">
        <f t="shared" si="330"/>
        <v>0</v>
      </c>
      <c r="CC304" s="19">
        <f t="shared" si="331"/>
        <v>0</v>
      </c>
      <c r="CD304" s="19">
        <f t="shared" si="332"/>
        <v>0</v>
      </c>
      <c r="CE304" s="19">
        <f t="shared" si="333"/>
        <v>0</v>
      </c>
      <c r="CF304" s="49">
        <f t="shared" si="334"/>
        <v>0</v>
      </c>
      <c r="CG304" s="49">
        <f t="shared" si="335"/>
        <v>0</v>
      </c>
      <c r="CH304" s="49">
        <f t="shared" si="336"/>
        <v>0</v>
      </c>
      <c r="CI304" s="49">
        <f t="shared" si="337"/>
        <v>0</v>
      </c>
      <c r="CJ304" s="49">
        <f t="shared" si="338"/>
        <v>0</v>
      </c>
      <c r="CK304" s="49">
        <f t="shared" si="339"/>
        <v>0</v>
      </c>
    </row>
    <row r="305" spans="2:89" ht="12.75" customHeight="1" x14ac:dyDescent="0.2">
      <c r="B305" s="77">
        <v>41134</v>
      </c>
      <c r="C305" s="49">
        <v>72.629997000000003</v>
      </c>
      <c r="D305" s="49">
        <v>57.860000999999997</v>
      </c>
      <c r="E305" s="49">
        <v>57.380001</v>
      </c>
      <c r="F305" s="49">
        <v>70.330001999999993</v>
      </c>
      <c r="G305" s="49">
        <v>33.110000999999997</v>
      </c>
      <c r="H305" s="49">
        <v>41.349997999999999</v>
      </c>
      <c r="J305" s="78">
        <f>IF(inter=Weekly_2,J304+$C$5,IF(inter=Bi_weekly_2,0,IF(inter=Monthly_2,0,IF(inter=Quarterly_2,0,IF(inter=Yearly_2,0,IF(inter=None_2,0,0))))))</f>
        <v>0</v>
      </c>
      <c r="K305" s="79">
        <f t="shared" si="340"/>
        <v>0</v>
      </c>
      <c r="L305" s="79">
        <f t="shared" si="341"/>
        <v>0</v>
      </c>
      <c r="M305" s="79">
        <f t="shared" si="342"/>
        <v>0</v>
      </c>
      <c r="N305" s="79">
        <f t="shared" si="343"/>
        <v>0</v>
      </c>
      <c r="O305" s="79">
        <f t="shared" si="344"/>
        <v>0</v>
      </c>
      <c r="P305" s="79">
        <f t="shared" si="345"/>
        <v>0</v>
      </c>
      <c r="Q305" s="79"/>
      <c r="R305" s="80">
        <f t="shared" si="303"/>
        <v>0</v>
      </c>
      <c r="S305" s="80">
        <f t="shared" si="304"/>
        <v>0</v>
      </c>
      <c r="T305" s="80">
        <f t="shared" si="305"/>
        <v>0</v>
      </c>
      <c r="U305" s="80">
        <f t="shared" si="306"/>
        <v>0</v>
      </c>
      <c r="V305" s="80">
        <f t="shared" si="307"/>
        <v>0</v>
      </c>
      <c r="W305" s="80">
        <f t="shared" si="308"/>
        <v>0</v>
      </c>
      <c r="X305" s="80">
        <f t="shared" si="359"/>
        <v>480.23934761704226</v>
      </c>
      <c r="Y305" s="80">
        <f t="shared" si="360"/>
        <v>171.03208426601617</v>
      </c>
      <c r="Z305" s="80">
        <f t="shared" si="361"/>
        <v>139.21637839745853</v>
      </c>
      <c r="AA305" s="80">
        <f t="shared" si="362"/>
        <v>99.739888717047222</v>
      </c>
      <c r="AB305" s="80">
        <f t="shared" si="363"/>
        <v>751.06642291285812</v>
      </c>
      <c r="AC305" s="80">
        <f t="shared" si="364"/>
        <v>355.52886324657999</v>
      </c>
      <c r="AD305" s="80"/>
      <c r="AE305" s="80"/>
      <c r="AF305" s="80"/>
      <c r="AG305" s="80"/>
      <c r="AH305" s="80"/>
      <c r="AI305" s="80"/>
      <c r="AJ305" s="45">
        <f t="shared" si="309"/>
        <v>0</v>
      </c>
      <c r="AK305" s="45">
        <f t="shared" si="310"/>
        <v>0</v>
      </c>
      <c r="AL305" s="45">
        <f t="shared" si="311"/>
        <v>0</v>
      </c>
      <c r="AM305" s="45">
        <f t="shared" si="312"/>
        <v>0</v>
      </c>
      <c r="AN305" s="45">
        <f t="shared" si="313"/>
        <v>0</v>
      </c>
      <c r="AO305" s="45">
        <f t="shared" si="314"/>
        <v>0</v>
      </c>
      <c r="AP305" s="80">
        <f t="shared" si="315"/>
        <v>0</v>
      </c>
      <c r="AQ305" s="80">
        <f t="shared" si="316"/>
        <v>0</v>
      </c>
      <c r="AR305" s="80">
        <f t="shared" si="317"/>
        <v>0</v>
      </c>
      <c r="AS305" s="80">
        <f t="shared" si="318"/>
        <v>0</v>
      </c>
      <c r="AT305" s="80">
        <f t="shared" si="319"/>
        <v>0</v>
      </c>
      <c r="AU305" s="80">
        <f t="shared" si="320"/>
        <v>0</v>
      </c>
      <c r="AV305" s="80">
        <f t="shared" si="365"/>
        <v>34.963323049739806</v>
      </c>
      <c r="AW305" s="80">
        <f t="shared" si="366"/>
        <v>17.38986957199732</v>
      </c>
      <c r="AX305" s="80">
        <f t="shared" si="367"/>
        <v>10.811701855878232</v>
      </c>
      <c r="AY305" s="80">
        <f t="shared" si="368"/>
        <v>7.9790880151842218</v>
      </c>
      <c r="AZ305" s="80">
        <f t="shared" si="369"/>
        <v>64.159174807714336</v>
      </c>
      <c r="BA305" s="80">
        <f t="shared" si="370"/>
        <v>28.023637336551971</v>
      </c>
      <c r="BB305" s="80">
        <f t="shared" si="346"/>
        <v>515.20267066678207</v>
      </c>
      <c r="BC305" s="80">
        <f t="shared" si="347"/>
        <v>188.42195383801348</v>
      </c>
      <c r="BD305" s="80">
        <f t="shared" si="348"/>
        <v>150.02808025333675</v>
      </c>
      <c r="BE305" s="80">
        <f t="shared" si="349"/>
        <v>107.71897673223144</v>
      </c>
      <c r="BF305" s="80">
        <f t="shared" si="350"/>
        <v>815.22559772057241</v>
      </c>
      <c r="BG305" s="80">
        <f t="shared" si="351"/>
        <v>383.55250058313197</v>
      </c>
      <c r="BH305" s="49">
        <f t="shared" si="352"/>
        <v>0</v>
      </c>
      <c r="BI305" s="79">
        <f t="shared" si="353"/>
        <v>-84865.930027161361</v>
      </c>
      <c r="BJ305" s="79">
        <f t="shared" si="321"/>
        <v>99347.569245883293</v>
      </c>
      <c r="BK305" s="44">
        <f t="shared" si="354"/>
        <v>0.17064137768933985</v>
      </c>
      <c r="BL305" s="79">
        <f t="shared" si="371"/>
        <v>6877.1123503215476</v>
      </c>
      <c r="BM305" s="49">
        <f t="shared" si="355"/>
        <v>106224.68159620484</v>
      </c>
      <c r="BN305" s="44">
        <f t="shared" si="356"/>
        <v>0.25167639784549123</v>
      </c>
      <c r="BO305" s="49">
        <f t="shared" si="322"/>
        <v>8010.1963482680903</v>
      </c>
      <c r="BP305" s="49">
        <f t="shared" si="323"/>
        <v>107357.76559415137</v>
      </c>
      <c r="BQ305" s="44">
        <f t="shared" si="324"/>
        <v>0.26502785699504483</v>
      </c>
      <c r="BS305" s="49">
        <f t="shared" si="325"/>
        <v>84865.930027161361</v>
      </c>
      <c r="BT305" s="49">
        <f t="shared" si="301"/>
        <v>72.629997000000003</v>
      </c>
      <c r="BU305" s="49">
        <f t="shared" si="302"/>
        <v>41.349997999999999</v>
      </c>
      <c r="BV305" s="49">
        <f t="shared" si="326"/>
        <v>0</v>
      </c>
      <c r="BW305" s="18">
        <f t="shared" si="327"/>
        <v>1841</v>
      </c>
      <c r="BX305" s="19">
        <f t="shared" si="357"/>
        <v>0.57775229357798163</v>
      </c>
      <c r="BY305" s="49">
        <f t="shared" si="358"/>
        <v>0</v>
      </c>
      <c r="BZ305" s="19">
        <f t="shared" si="328"/>
        <v>0</v>
      </c>
      <c r="CA305" s="19">
        <f t="shared" si="329"/>
        <v>0</v>
      </c>
      <c r="CB305" s="19">
        <f t="shared" si="330"/>
        <v>0</v>
      </c>
      <c r="CC305" s="19">
        <f t="shared" si="331"/>
        <v>0</v>
      </c>
      <c r="CD305" s="19">
        <f t="shared" si="332"/>
        <v>0</v>
      </c>
      <c r="CE305" s="19">
        <f t="shared" si="333"/>
        <v>0</v>
      </c>
      <c r="CF305" s="49">
        <f t="shared" si="334"/>
        <v>0</v>
      </c>
      <c r="CG305" s="49">
        <f t="shared" si="335"/>
        <v>0</v>
      </c>
      <c r="CH305" s="49">
        <f t="shared" si="336"/>
        <v>0</v>
      </c>
      <c r="CI305" s="49">
        <f t="shared" si="337"/>
        <v>0</v>
      </c>
      <c r="CJ305" s="49">
        <f t="shared" si="338"/>
        <v>0</v>
      </c>
      <c r="CK305" s="49">
        <f t="shared" si="339"/>
        <v>0</v>
      </c>
    </row>
    <row r="306" spans="2:89" ht="12.75" customHeight="1" x14ac:dyDescent="0.2">
      <c r="B306" s="77">
        <v>41141</v>
      </c>
      <c r="C306" s="49">
        <v>72.25</v>
      </c>
      <c r="D306" s="49">
        <v>57.57</v>
      </c>
      <c r="E306" s="49">
        <v>56.98</v>
      </c>
      <c r="F306" s="49">
        <v>69.639999000000003</v>
      </c>
      <c r="G306" s="49">
        <v>32.93</v>
      </c>
      <c r="H306" s="49">
        <v>40.950001</v>
      </c>
      <c r="J306" s="78">
        <f>IF(inter=Weekly_2,J305+$C$5,IF(inter=Bi_weekly_2,J304+$C$5,IF(inter=Monthly_2,J302+$C$5,IF(inter=Quarterly_2,0,IF(inter=Yearly_2,0,IF(inter=None_2,0,0))))))</f>
        <v>99200</v>
      </c>
      <c r="K306" s="79">
        <f t="shared" si="340"/>
        <v>-22.70713466869347</v>
      </c>
      <c r="L306" s="79">
        <f t="shared" si="341"/>
        <v>-73.682908805449188</v>
      </c>
      <c r="M306" s="79">
        <f t="shared" si="342"/>
        <v>-3.4507589128133986</v>
      </c>
      <c r="N306" s="79">
        <f t="shared" si="343"/>
        <v>1.8857505152791418</v>
      </c>
      <c r="O306" s="79">
        <f t="shared" si="344"/>
        <v>-67.382693479583395</v>
      </c>
      <c r="P306" s="79">
        <f t="shared" si="345"/>
        <v>-321.09269452368608</v>
      </c>
      <c r="Q306" s="79"/>
      <c r="R306" s="80">
        <f t="shared" si="303"/>
        <v>0.31428560095077468</v>
      </c>
      <c r="S306" s="80">
        <f t="shared" si="304"/>
        <v>1.2798837728929857</v>
      </c>
      <c r="T306" s="80">
        <f t="shared" si="305"/>
        <v>6.0560879480754629E-2</v>
      </c>
      <c r="U306" s="80">
        <f t="shared" si="306"/>
        <v>-2.7078554600196675E-2</v>
      </c>
      <c r="V306" s="80">
        <f t="shared" si="307"/>
        <v>2.0462403121646946</v>
      </c>
      <c r="W306" s="80">
        <f t="shared" si="308"/>
        <v>7.8410912498802157</v>
      </c>
      <c r="X306" s="80">
        <f t="shared" si="359"/>
        <v>480.55363321799302</v>
      </c>
      <c r="Y306" s="80">
        <f t="shared" si="360"/>
        <v>172.31196803890916</v>
      </c>
      <c r="Z306" s="80">
        <f t="shared" si="361"/>
        <v>139.27693927693929</v>
      </c>
      <c r="AA306" s="80">
        <f t="shared" si="362"/>
        <v>99.712810162447028</v>
      </c>
      <c r="AB306" s="80">
        <f t="shared" si="363"/>
        <v>753.11266322502286</v>
      </c>
      <c r="AC306" s="80">
        <f t="shared" si="364"/>
        <v>363.3699544964602</v>
      </c>
      <c r="AD306" s="80"/>
      <c r="AE306" s="80"/>
      <c r="AF306" s="80"/>
      <c r="AG306" s="80"/>
      <c r="AH306" s="80"/>
      <c r="AI306" s="80"/>
      <c r="AJ306" s="45">
        <f t="shared" si="309"/>
        <v>0</v>
      </c>
      <c r="AK306" s="45">
        <f t="shared" si="310"/>
        <v>0</v>
      </c>
      <c r="AL306" s="45">
        <f t="shared" si="311"/>
        <v>0</v>
      </c>
      <c r="AM306" s="45">
        <f t="shared" si="312"/>
        <v>0</v>
      </c>
      <c r="AN306" s="45">
        <f t="shared" si="313"/>
        <v>0</v>
      </c>
      <c r="AO306" s="45">
        <f t="shared" si="314"/>
        <v>0</v>
      </c>
      <c r="AP306" s="80">
        <f t="shared" si="315"/>
        <v>0</v>
      </c>
      <c r="AQ306" s="80">
        <f t="shared" si="316"/>
        <v>0</v>
      </c>
      <c r="AR306" s="80">
        <f t="shared" si="317"/>
        <v>0</v>
      </c>
      <c r="AS306" s="80">
        <f t="shared" si="318"/>
        <v>0</v>
      </c>
      <c r="AT306" s="80">
        <f t="shared" si="319"/>
        <v>0</v>
      </c>
      <c r="AU306" s="80">
        <f t="shared" si="320"/>
        <v>0</v>
      </c>
      <c r="AV306" s="80">
        <f t="shared" si="365"/>
        <v>34.963323049739806</v>
      </c>
      <c r="AW306" s="80">
        <f t="shared" si="366"/>
        <v>17.38986957199732</v>
      </c>
      <c r="AX306" s="80">
        <f t="shared" si="367"/>
        <v>10.811701855878232</v>
      </c>
      <c r="AY306" s="80">
        <f t="shared" si="368"/>
        <v>7.9790880151842218</v>
      </c>
      <c r="AZ306" s="80">
        <f t="shared" si="369"/>
        <v>64.159174807714336</v>
      </c>
      <c r="BA306" s="80">
        <f t="shared" si="370"/>
        <v>28.023637336551971</v>
      </c>
      <c r="BB306" s="80">
        <f t="shared" si="346"/>
        <v>515.51695626773278</v>
      </c>
      <c r="BC306" s="80">
        <f t="shared" si="347"/>
        <v>189.70183761090647</v>
      </c>
      <c r="BD306" s="80">
        <f t="shared" si="348"/>
        <v>150.08864113281751</v>
      </c>
      <c r="BE306" s="80">
        <f t="shared" si="349"/>
        <v>107.69189817763124</v>
      </c>
      <c r="BF306" s="80">
        <f t="shared" si="350"/>
        <v>817.27183803273715</v>
      </c>
      <c r="BG306" s="80">
        <f t="shared" si="351"/>
        <v>391.39359183301218</v>
      </c>
      <c r="BH306" s="49">
        <f t="shared" si="352"/>
        <v>0</v>
      </c>
      <c r="BI306" s="79">
        <f t="shared" si="353"/>
        <v>-85352.360467036313</v>
      </c>
      <c r="BJ306" s="79">
        <f t="shared" si="321"/>
        <v>99200</v>
      </c>
      <c r="BK306" s="44">
        <f t="shared" si="354"/>
        <v>0.16224085024938173</v>
      </c>
      <c r="BL306" s="79">
        <f t="shared" si="371"/>
        <v>6877.1123503215476</v>
      </c>
      <c r="BM306" s="49">
        <f t="shared" si="355"/>
        <v>106077.11235032155</v>
      </c>
      <c r="BN306" s="44">
        <f t="shared" si="356"/>
        <v>0.24281404485924307</v>
      </c>
      <c r="BO306" s="49">
        <f t="shared" si="322"/>
        <v>7959.2789381233442</v>
      </c>
      <c r="BP306" s="49">
        <f t="shared" si="323"/>
        <v>107159.27893812335</v>
      </c>
      <c r="BQ306" s="44">
        <f t="shared" si="324"/>
        <v>0.25549285751164463</v>
      </c>
      <c r="BS306" s="49">
        <f t="shared" si="325"/>
        <v>85352.360467036313</v>
      </c>
      <c r="BT306" s="49">
        <f t="shared" si="301"/>
        <v>72.25</v>
      </c>
      <c r="BU306" s="49">
        <f t="shared" si="302"/>
        <v>40.950001</v>
      </c>
      <c r="BV306" s="49">
        <f t="shared" si="326"/>
        <v>486.43043987494639</v>
      </c>
      <c r="BW306" s="18">
        <f t="shared" si="327"/>
        <v>1848</v>
      </c>
      <c r="BX306" s="19">
        <f t="shared" si="357"/>
        <v>0.57614678899082572</v>
      </c>
      <c r="BY306" s="49">
        <f t="shared" si="358"/>
        <v>280.25533600134526</v>
      </c>
      <c r="BZ306" s="19">
        <f t="shared" si="328"/>
        <v>0.31428560095077468</v>
      </c>
      <c r="CA306" s="19">
        <f t="shared" si="329"/>
        <v>1.2798837728929857</v>
      </c>
      <c r="CB306" s="19">
        <f t="shared" si="330"/>
        <v>6.0560879480754629E-2</v>
      </c>
      <c r="CC306" s="19">
        <f t="shared" si="331"/>
        <v>0</v>
      </c>
      <c r="CD306" s="19">
        <f t="shared" si="332"/>
        <v>2.0462403121646946</v>
      </c>
      <c r="CE306" s="19">
        <f t="shared" si="333"/>
        <v>7.8410912498802157</v>
      </c>
      <c r="CF306" s="49">
        <f t="shared" si="334"/>
        <v>-22.70713466869347</v>
      </c>
      <c r="CG306" s="49">
        <f t="shared" si="335"/>
        <v>-73.682908805449188</v>
      </c>
      <c r="CH306" s="49">
        <f t="shared" si="336"/>
        <v>-3.4507589128133986</v>
      </c>
      <c r="CI306" s="49">
        <f t="shared" si="337"/>
        <v>0</v>
      </c>
      <c r="CJ306" s="49">
        <f t="shared" si="338"/>
        <v>-67.382693479583395</v>
      </c>
      <c r="CK306" s="49">
        <f t="shared" si="339"/>
        <v>-321.09269452368608</v>
      </c>
    </row>
    <row r="307" spans="2:89" ht="12.75" customHeight="1" x14ac:dyDescent="0.2">
      <c r="B307" s="77">
        <v>41148</v>
      </c>
      <c r="C307" s="49">
        <v>72.209998999999996</v>
      </c>
      <c r="D307" s="49">
        <v>57.439999</v>
      </c>
      <c r="E307" s="49">
        <v>56.779998999999997</v>
      </c>
      <c r="F307" s="49">
        <v>69.940002000000007</v>
      </c>
      <c r="G307" s="49">
        <v>32.689999</v>
      </c>
      <c r="H307" s="49">
        <v>40.110000999999997</v>
      </c>
      <c r="J307" s="78">
        <f>IF(inter=Weekly_2,J306+$C$5,IF(inter=Bi_weekly_2,0,IF(inter=Monthly_2,0,IF(inter=Quarterly_2,0,IF(inter=Yearly_2,0,IF(inter=None_2,0,0))))))</f>
        <v>0</v>
      </c>
      <c r="K307" s="79">
        <f t="shared" si="340"/>
        <v>0</v>
      </c>
      <c r="L307" s="79">
        <f t="shared" si="341"/>
        <v>0</v>
      </c>
      <c r="M307" s="79">
        <f t="shared" si="342"/>
        <v>0</v>
      </c>
      <c r="N307" s="79">
        <f t="shared" si="343"/>
        <v>0</v>
      </c>
      <c r="O307" s="79">
        <f t="shared" si="344"/>
        <v>0</v>
      </c>
      <c r="P307" s="79">
        <f t="shared" si="345"/>
        <v>0</v>
      </c>
      <c r="Q307" s="79"/>
      <c r="R307" s="80">
        <f t="shared" si="303"/>
        <v>0</v>
      </c>
      <c r="S307" s="80">
        <f t="shared" si="304"/>
        <v>0</v>
      </c>
      <c r="T307" s="80">
        <f t="shared" si="305"/>
        <v>0</v>
      </c>
      <c r="U307" s="80">
        <f t="shared" si="306"/>
        <v>0</v>
      </c>
      <c r="V307" s="80">
        <f t="shared" si="307"/>
        <v>0</v>
      </c>
      <c r="W307" s="80">
        <f t="shared" si="308"/>
        <v>0</v>
      </c>
      <c r="X307" s="80">
        <f t="shared" si="359"/>
        <v>480.55363321799302</v>
      </c>
      <c r="Y307" s="80">
        <f t="shared" si="360"/>
        <v>172.31196803890916</v>
      </c>
      <c r="Z307" s="80">
        <f t="shared" si="361"/>
        <v>139.27693927693929</v>
      </c>
      <c r="AA307" s="80">
        <f t="shared" si="362"/>
        <v>99.712810162447028</v>
      </c>
      <c r="AB307" s="80">
        <f t="shared" si="363"/>
        <v>753.11266322502286</v>
      </c>
      <c r="AC307" s="80">
        <f t="shared" si="364"/>
        <v>363.3699544964602</v>
      </c>
      <c r="AD307" s="80"/>
      <c r="AE307" s="80"/>
      <c r="AF307" s="80"/>
      <c r="AG307" s="80"/>
      <c r="AH307" s="80"/>
      <c r="AI307" s="80"/>
      <c r="AJ307" s="45">
        <f t="shared" si="309"/>
        <v>0</v>
      </c>
      <c r="AK307" s="45">
        <f t="shared" si="310"/>
        <v>0</v>
      </c>
      <c r="AL307" s="45">
        <f t="shared" si="311"/>
        <v>0</v>
      </c>
      <c r="AM307" s="45">
        <f t="shared" si="312"/>
        <v>0</v>
      </c>
      <c r="AN307" s="45">
        <f t="shared" si="313"/>
        <v>0</v>
      </c>
      <c r="AO307" s="45">
        <f t="shared" si="314"/>
        <v>0</v>
      </c>
      <c r="AP307" s="80">
        <f t="shared" si="315"/>
        <v>0</v>
      </c>
      <c r="AQ307" s="80">
        <f t="shared" si="316"/>
        <v>0</v>
      </c>
      <c r="AR307" s="80">
        <f t="shared" si="317"/>
        <v>0</v>
      </c>
      <c r="AS307" s="80">
        <f t="shared" si="318"/>
        <v>0</v>
      </c>
      <c r="AT307" s="80">
        <f t="shared" si="319"/>
        <v>0</v>
      </c>
      <c r="AU307" s="80">
        <f t="shared" si="320"/>
        <v>0</v>
      </c>
      <c r="AV307" s="80">
        <f t="shared" si="365"/>
        <v>34.963323049739806</v>
      </c>
      <c r="AW307" s="80">
        <f t="shared" si="366"/>
        <v>17.38986957199732</v>
      </c>
      <c r="AX307" s="80">
        <f t="shared" si="367"/>
        <v>10.811701855878232</v>
      </c>
      <c r="AY307" s="80">
        <f t="shared" si="368"/>
        <v>7.9790880151842218</v>
      </c>
      <c r="AZ307" s="80">
        <f t="shared" si="369"/>
        <v>64.159174807714336</v>
      </c>
      <c r="BA307" s="80">
        <f t="shared" si="370"/>
        <v>28.023637336551971</v>
      </c>
      <c r="BB307" s="80">
        <f t="shared" si="346"/>
        <v>515.51695626773278</v>
      </c>
      <c r="BC307" s="80">
        <f t="shared" si="347"/>
        <v>189.70183761090647</v>
      </c>
      <c r="BD307" s="80">
        <f t="shared" si="348"/>
        <v>150.08864113281751</v>
      </c>
      <c r="BE307" s="80">
        <f t="shared" si="349"/>
        <v>107.69189817763124</v>
      </c>
      <c r="BF307" s="80">
        <f t="shared" si="350"/>
        <v>817.27183803273715</v>
      </c>
      <c r="BG307" s="80">
        <f t="shared" si="351"/>
        <v>391.39359183301218</v>
      </c>
      <c r="BH307" s="49">
        <f t="shared" si="352"/>
        <v>0</v>
      </c>
      <c r="BI307" s="79">
        <f t="shared" si="353"/>
        <v>-85352.360467036313</v>
      </c>
      <c r="BJ307" s="79">
        <f t="shared" si="321"/>
        <v>98674.456706951751</v>
      </c>
      <c r="BK307" s="44">
        <f t="shared" si="354"/>
        <v>0.15608351271152632</v>
      </c>
      <c r="BL307" s="79">
        <f t="shared" si="371"/>
        <v>6877.1123503215476</v>
      </c>
      <c r="BM307" s="49">
        <f t="shared" si="355"/>
        <v>105551.5690572733</v>
      </c>
      <c r="BN307" s="44">
        <f t="shared" si="356"/>
        <v>0.23665670732138766</v>
      </c>
      <c r="BO307" s="49">
        <f t="shared" si="322"/>
        <v>7916.9129474870133</v>
      </c>
      <c r="BP307" s="49">
        <f t="shared" si="323"/>
        <v>106591.36965443876</v>
      </c>
      <c r="BQ307" s="44">
        <f t="shared" si="324"/>
        <v>0.24883915419779279</v>
      </c>
      <c r="BS307" s="49">
        <f t="shared" si="325"/>
        <v>85352.360467036313</v>
      </c>
      <c r="BT307" s="49">
        <f t="shared" si="301"/>
        <v>72.209998999999996</v>
      </c>
      <c r="BU307" s="49">
        <f t="shared" si="302"/>
        <v>40.110000999999997</v>
      </c>
      <c r="BV307" s="49">
        <f t="shared" si="326"/>
        <v>0</v>
      </c>
      <c r="BW307" s="18">
        <f t="shared" si="327"/>
        <v>1855</v>
      </c>
      <c r="BX307" s="19">
        <f t="shared" si="357"/>
        <v>0.57454128440366969</v>
      </c>
      <c r="BY307" s="49">
        <f t="shared" si="358"/>
        <v>0</v>
      </c>
      <c r="BZ307" s="19">
        <f t="shared" si="328"/>
        <v>0</v>
      </c>
      <c r="CA307" s="19">
        <f t="shared" si="329"/>
        <v>0</v>
      </c>
      <c r="CB307" s="19">
        <f t="shared" si="330"/>
        <v>0</v>
      </c>
      <c r="CC307" s="19">
        <f t="shared" si="331"/>
        <v>0</v>
      </c>
      <c r="CD307" s="19">
        <f t="shared" si="332"/>
        <v>0</v>
      </c>
      <c r="CE307" s="19">
        <f t="shared" si="333"/>
        <v>0</v>
      </c>
      <c r="CF307" s="49">
        <f t="shared" si="334"/>
        <v>0</v>
      </c>
      <c r="CG307" s="49">
        <f t="shared" si="335"/>
        <v>0</v>
      </c>
      <c r="CH307" s="49">
        <f t="shared" si="336"/>
        <v>0</v>
      </c>
      <c r="CI307" s="49">
        <f t="shared" si="337"/>
        <v>0</v>
      </c>
      <c r="CJ307" s="49">
        <f t="shared" si="338"/>
        <v>0</v>
      </c>
      <c r="CK307" s="49">
        <f t="shared" si="339"/>
        <v>0</v>
      </c>
    </row>
    <row r="308" spans="2:89" ht="12.75" customHeight="1" x14ac:dyDescent="0.2">
      <c r="B308" s="77">
        <v>41156</v>
      </c>
      <c r="C308" s="49">
        <v>73.959998999999996</v>
      </c>
      <c r="D308" s="49">
        <v>58.869999</v>
      </c>
      <c r="E308" s="49">
        <v>58.32</v>
      </c>
      <c r="F308" s="49">
        <v>72.370002999999997</v>
      </c>
      <c r="G308" s="49">
        <v>33.709999000000003</v>
      </c>
      <c r="H308" s="49">
        <v>41.509998000000003</v>
      </c>
      <c r="J308" s="78">
        <f>IF(inter=Weekly_2,J307+$C$5,IF(inter=Bi_weekly_2,J306+$C$5,IF(inter=Monthly_2,0,IF(inter=Quarterly_2,0,IF(inter=Yearly_2,0,IF(inter=None_2,0,0))))))</f>
        <v>99800</v>
      </c>
      <c r="K308" s="79">
        <f t="shared" si="340"/>
        <v>611.74623224912648</v>
      </c>
      <c r="L308" s="79">
        <f t="shared" si="341"/>
        <v>164.00538613861318</v>
      </c>
      <c r="M308" s="79">
        <f t="shared" si="342"/>
        <v>138.63109863109912</v>
      </c>
      <c r="N308" s="79">
        <f t="shared" si="343"/>
        <v>230.2163705947205</v>
      </c>
      <c r="O308" s="79">
        <f t="shared" si="344"/>
        <v>437.42712420285898</v>
      </c>
      <c r="P308" s="79">
        <f t="shared" si="345"/>
        <v>113.48608440815406</v>
      </c>
      <c r="Q308" s="79"/>
      <c r="R308" s="80">
        <f t="shared" si="303"/>
        <v>-8.2713120676100402</v>
      </c>
      <c r="S308" s="80">
        <f t="shared" si="304"/>
        <v>-2.7858907580177328</v>
      </c>
      <c r="T308" s="80">
        <f t="shared" si="305"/>
        <v>-2.3770764511505336</v>
      </c>
      <c r="U308" s="80">
        <f t="shared" si="306"/>
        <v>-3.1811021286640062</v>
      </c>
      <c r="V308" s="80">
        <f t="shared" si="307"/>
        <v>-12.976183244706087</v>
      </c>
      <c r="W308" s="80">
        <f t="shared" si="308"/>
        <v>-2.7339457932075555</v>
      </c>
      <c r="X308" s="80">
        <f t="shared" si="359"/>
        <v>472.28232115038298</v>
      </c>
      <c r="Y308" s="80">
        <f t="shared" si="360"/>
        <v>169.52607728089143</v>
      </c>
      <c r="Z308" s="80">
        <f t="shared" si="361"/>
        <v>136.89986282578874</v>
      </c>
      <c r="AA308" s="80">
        <f t="shared" si="362"/>
        <v>96.531708033783019</v>
      </c>
      <c r="AB308" s="80">
        <f t="shared" si="363"/>
        <v>740.13647998031672</v>
      </c>
      <c r="AC308" s="80">
        <f t="shared" si="364"/>
        <v>360.63600870325263</v>
      </c>
      <c r="AD308" s="80"/>
      <c r="AE308" s="80"/>
      <c r="AF308" s="80"/>
      <c r="AG308" s="80"/>
      <c r="AH308" s="80"/>
      <c r="AI308" s="80"/>
      <c r="AJ308" s="45">
        <f t="shared" si="309"/>
        <v>0</v>
      </c>
      <c r="AK308" s="45">
        <f t="shared" si="310"/>
        <v>0</v>
      </c>
      <c r="AL308" s="45">
        <f t="shared" si="311"/>
        <v>0</v>
      </c>
      <c r="AM308" s="45">
        <f t="shared" si="312"/>
        <v>0</v>
      </c>
      <c r="AN308" s="45">
        <f t="shared" si="313"/>
        <v>0</v>
      </c>
      <c r="AO308" s="45">
        <f t="shared" si="314"/>
        <v>0</v>
      </c>
      <c r="AP308" s="80">
        <f t="shared" si="315"/>
        <v>0</v>
      </c>
      <c r="AQ308" s="80">
        <f t="shared" si="316"/>
        <v>0</v>
      </c>
      <c r="AR308" s="80">
        <f t="shared" si="317"/>
        <v>0</v>
      </c>
      <c r="AS308" s="80">
        <f t="shared" si="318"/>
        <v>0</v>
      </c>
      <c r="AT308" s="80">
        <f t="shared" si="319"/>
        <v>0</v>
      </c>
      <c r="AU308" s="80">
        <f t="shared" si="320"/>
        <v>0</v>
      </c>
      <c r="AV308" s="80">
        <f t="shared" si="365"/>
        <v>34.963323049739806</v>
      </c>
      <c r="AW308" s="80">
        <f t="shared" si="366"/>
        <v>17.38986957199732</v>
      </c>
      <c r="AX308" s="80">
        <f t="shared" si="367"/>
        <v>10.811701855878232</v>
      </c>
      <c r="AY308" s="80">
        <f t="shared" si="368"/>
        <v>7.9790880151842218</v>
      </c>
      <c r="AZ308" s="80">
        <f t="shared" si="369"/>
        <v>64.159174807714336</v>
      </c>
      <c r="BA308" s="80">
        <f t="shared" si="370"/>
        <v>28.023637336551971</v>
      </c>
      <c r="BB308" s="80">
        <f t="shared" si="346"/>
        <v>507.2456442001228</v>
      </c>
      <c r="BC308" s="80">
        <f t="shared" si="347"/>
        <v>186.91594685288874</v>
      </c>
      <c r="BD308" s="80">
        <f t="shared" si="348"/>
        <v>147.71156468166697</v>
      </c>
      <c r="BE308" s="80">
        <f t="shared" si="349"/>
        <v>104.51079604896724</v>
      </c>
      <c r="BF308" s="80">
        <f t="shared" si="350"/>
        <v>804.29565478803102</v>
      </c>
      <c r="BG308" s="80">
        <f t="shared" si="351"/>
        <v>388.65964603980461</v>
      </c>
      <c r="BH308" s="49">
        <f t="shared" si="352"/>
        <v>0</v>
      </c>
      <c r="BI308" s="79">
        <f t="shared" si="353"/>
        <v>-83656.848170811732</v>
      </c>
      <c r="BJ308" s="79">
        <f t="shared" si="321"/>
        <v>99800</v>
      </c>
      <c r="BK308" s="44">
        <f t="shared" si="354"/>
        <v>0.19296868316419169</v>
      </c>
      <c r="BL308" s="79">
        <f t="shared" si="371"/>
        <v>6877.1123503215476</v>
      </c>
      <c r="BM308" s="49">
        <f t="shared" si="355"/>
        <v>106677.11235032155</v>
      </c>
      <c r="BN308" s="44">
        <f t="shared" si="356"/>
        <v>0.27517489222767177</v>
      </c>
      <c r="BO308" s="49">
        <f t="shared" si="322"/>
        <v>8143.6808663418833</v>
      </c>
      <c r="BP308" s="49">
        <f t="shared" si="323"/>
        <v>107943.68086634188</v>
      </c>
      <c r="BQ308" s="44">
        <f t="shared" si="324"/>
        <v>0.29031493806628905</v>
      </c>
      <c r="BS308" s="49">
        <f t="shared" si="325"/>
        <v>83656.848170811732</v>
      </c>
      <c r="BT308" s="49">
        <f t="shared" si="301"/>
        <v>73.959998999999996</v>
      </c>
      <c r="BU308" s="49">
        <f t="shared" si="302"/>
        <v>41.509998000000003</v>
      </c>
      <c r="BV308" s="49">
        <f t="shared" si="326"/>
        <v>-1695.5122962245723</v>
      </c>
      <c r="BW308" s="18">
        <f t="shared" si="327"/>
        <v>1863</v>
      </c>
      <c r="BX308" s="19">
        <f t="shared" si="357"/>
        <v>0.57270642201834865</v>
      </c>
      <c r="BY308" s="49">
        <f t="shared" si="358"/>
        <v>-971.03078065888928</v>
      </c>
      <c r="BZ308" s="19">
        <f t="shared" si="328"/>
        <v>0</v>
      </c>
      <c r="CA308" s="19">
        <f t="shared" si="329"/>
        <v>0</v>
      </c>
      <c r="CB308" s="19">
        <f t="shared" si="330"/>
        <v>0</v>
      </c>
      <c r="CC308" s="19">
        <f t="shared" si="331"/>
        <v>0</v>
      </c>
      <c r="CD308" s="19">
        <f t="shared" si="332"/>
        <v>0</v>
      </c>
      <c r="CE308" s="19">
        <f t="shared" si="333"/>
        <v>0</v>
      </c>
      <c r="CF308" s="49">
        <f t="shared" si="334"/>
        <v>0</v>
      </c>
      <c r="CG308" s="49">
        <f t="shared" si="335"/>
        <v>0</v>
      </c>
      <c r="CH308" s="49">
        <f t="shared" si="336"/>
        <v>0</v>
      </c>
      <c r="CI308" s="49">
        <f t="shared" si="337"/>
        <v>0</v>
      </c>
      <c r="CJ308" s="49">
        <f t="shared" si="338"/>
        <v>0</v>
      </c>
      <c r="CK308" s="49">
        <f t="shared" si="339"/>
        <v>0</v>
      </c>
    </row>
    <row r="309" spans="2:89" ht="12.75" customHeight="1" x14ac:dyDescent="0.2">
      <c r="B309" s="77">
        <v>41162</v>
      </c>
      <c r="C309" s="49">
        <v>75.5</v>
      </c>
      <c r="D309" s="49">
        <v>60.07</v>
      </c>
      <c r="E309" s="49">
        <v>59.73</v>
      </c>
      <c r="F309" s="49">
        <v>74.550003000000004</v>
      </c>
      <c r="G309" s="49">
        <v>34.900002000000001</v>
      </c>
      <c r="H309" s="49">
        <v>43.220001000000003</v>
      </c>
      <c r="J309" s="78">
        <f>IF(inter=Weekly_2,J308+$C$5,IF(inter=Bi_weekly_2,0,IF(inter=Monthly_2,0,IF(inter=Quarterly_2,0,IF(inter=Yearly_2,0,IF(inter=None_2,0,0))))))</f>
        <v>0</v>
      </c>
      <c r="K309" s="79">
        <f t="shared" si="340"/>
        <v>0</v>
      </c>
      <c r="L309" s="79">
        <f t="shared" si="341"/>
        <v>0</v>
      </c>
      <c r="M309" s="79">
        <f t="shared" si="342"/>
        <v>0</v>
      </c>
      <c r="N309" s="79">
        <f t="shared" si="343"/>
        <v>0</v>
      </c>
      <c r="O309" s="79">
        <f t="shared" si="344"/>
        <v>0</v>
      </c>
      <c r="P309" s="79">
        <f t="shared" si="345"/>
        <v>0</v>
      </c>
      <c r="Q309" s="79"/>
      <c r="R309" s="80">
        <f t="shared" si="303"/>
        <v>0</v>
      </c>
      <c r="S309" s="80">
        <f t="shared" si="304"/>
        <v>0</v>
      </c>
      <c r="T309" s="80">
        <f t="shared" si="305"/>
        <v>0</v>
      </c>
      <c r="U309" s="80">
        <f t="shared" si="306"/>
        <v>0</v>
      </c>
      <c r="V309" s="80">
        <f t="shared" si="307"/>
        <v>0</v>
      </c>
      <c r="W309" s="80">
        <f t="shared" si="308"/>
        <v>0</v>
      </c>
      <c r="X309" s="80">
        <f t="shared" si="359"/>
        <v>472.28232115038298</v>
      </c>
      <c r="Y309" s="80">
        <f t="shared" si="360"/>
        <v>169.52607728089143</v>
      </c>
      <c r="Z309" s="80">
        <f t="shared" si="361"/>
        <v>136.89986282578874</v>
      </c>
      <c r="AA309" s="80">
        <f t="shared" si="362"/>
        <v>96.531708033783019</v>
      </c>
      <c r="AB309" s="80">
        <f t="shared" si="363"/>
        <v>740.13647998031672</v>
      </c>
      <c r="AC309" s="80">
        <f t="shared" si="364"/>
        <v>360.63600870325263</v>
      </c>
      <c r="AD309" s="80"/>
      <c r="AE309" s="80"/>
      <c r="AF309" s="80"/>
      <c r="AG309" s="80"/>
      <c r="AH309" s="80"/>
      <c r="AI309" s="80"/>
      <c r="AJ309" s="45">
        <f t="shared" si="309"/>
        <v>0</v>
      </c>
      <c r="AK309" s="45">
        <f t="shared" si="310"/>
        <v>0</v>
      </c>
      <c r="AL309" s="45">
        <f t="shared" si="311"/>
        <v>0</v>
      </c>
      <c r="AM309" s="45">
        <f t="shared" si="312"/>
        <v>0</v>
      </c>
      <c r="AN309" s="45">
        <f t="shared" si="313"/>
        <v>0</v>
      </c>
      <c r="AO309" s="45">
        <f t="shared" si="314"/>
        <v>0</v>
      </c>
      <c r="AP309" s="80">
        <f t="shared" si="315"/>
        <v>0</v>
      </c>
      <c r="AQ309" s="80">
        <f t="shared" si="316"/>
        <v>0</v>
      </c>
      <c r="AR309" s="80">
        <f t="shared" si="317"/>
        <v>0</v>
      </c>
      <c r="AS309" s="80">
        <f t="shared" si="318"/>
        <v>0</v>
      </c>
      <c r="AT309" s="80">
        <f t="shared" si="319"/>
        <v>0</v>
      </c>
      <c r="AU309" s="80">
        <f t="shared" si="320"/>
        <v>0</v>
      </c>
      <c r="AV309" s="80">
        <f t="shared" si="365"/>
        <v>34.963323049739806</v>
      </c>
      <c r="AW309" s="80">
        <f t="shared" si="366"/>
        <v>17.38986957199732</v>
      </c>
      <c r="AX309" s="80">
        <f t="shared" si="367"/>
        <v>10.811701855878232</v>
      </c>
      <c r="AY309" s="80">
        <f t="shared" si="368"/>
        <v>7.9790880151842218</v>
      </c>
      <c r="AZ309" s="80">
        <f t="shared" si="369"/>
        <v>64.159174807714336</v>
      </c>
      <c r="BA309" s="80">
        <f t="shared" si="370"/>
        <v>28.023637336551971</v>
      </c>
      <c r="BB309" s="80">
        <f t="shared" si="346"/>
        <v>507.2456442001228</v>
      </c>
      <c r="BC309" s="80">
        <f t="shared" si="347"/>
        <v>186.91594685288874</v>
      </c>
      <c r="BD309" s="80">
        <f t="shared" si="348"/>
        <v>147.71156468166697</v>
      </c>
      <c r="BE309" s="80">
        <f t="shared" si="349"/>
        <v>104.51079604896724</v>
      </c>
      <c r="BF309" s="80">
        <f t="shared" si="350"/>
        <v>804.29565478803102</v>
      </c>
      <c r="BG309" s="80">
        <f t="shared" si="351"/>
        <v>388.65964603980461</v>
      </c>
      <c r="BH309" s="49">
        <f t="shared" si="352"/>
        <v>0</v>
      </c>
      <c r="BI309" s="79">
        <f t="shared" si="353"/>
        <v>-83656.848170811732</v>
      </c>
      <c r="BJ309" s="79">
        <f t="shared" si="321"/>
        <v>102631.66792759168</v>
      </c>
      <c r="BK309" s="44">
        <f t="shared" si="354"/>
        <v>0.22681729196917511</v>
      </c>
      <c r="BL309" s="79">
        <f t="shared" si="371"/>
        <v>6877.1123503215476</v>
      </c>
      <c r="BM309" s="49">
        <f t="shared" si="355"/>
        <v>109508.78027791323</v>
      </c>
      <c r="BN309" s="44">
        <f t="shared" si="356"/>
        <v>0.30902350103265497</v>
      </c>
      <c r="BO309" s="49">
        <f t="shared" si="322"/>
        <v>8375.3013055830816</v>
      </c>
      <c r="BP309" s="49">
        <f t="shared" si="323"/>
        <v>111006.96923317475</v>
      </c>
      <c r="BQ309" s="44">
        <f t="shared" si="324"/>
        <v>0.32693224356862149</v>
      </c>
      <c r="BS309" s="49">
        <f t="shared" si="325"/>
        <v>83656.848170811732</v>
      </c>
      <c r="BT309" s="49">
        <f t="shared" si="301"/>
        <v>75.5</v>
      </c>
      <c r="BU309" s="49">
        <f t="shared" si="302"/>
        <v>43.220001000000003</v>
      </c>
      <c r="BV309" s="49">
        <f t="shared" si="326"/>
        <v>0</v>
      </c>
      <c r="BW309" s="18">
        <f t="shared" si="327"/>
        <v>1869</v>
      </c>
      <c r="BX309" s="19">
        <f t="shared" si="357"/>
        <v>0.57133027522935775</v>
      </c>
      <c r="BY309" s="49">
        <f t="shared" si="358"/>
        <v>0</v>
      </c>
      <c r="BZ309" s="19">
        <f t="shared" si="328"/>
        <v>0</v>
      </c>
      <c r="CA309" s="19">
        <f t="shared" si="329"/>
        <v>0</v>
      </c>
      <c r="CB309" s="19">
        <f t="shared" si="330"/>
        <v>0</v>
      </c>
      <c r="CC309" s="19">
        <f t="shared" si="331"/>
        <v>0</v>
      </c>
      <c r="CD309" s="19">
        <f t="shared" si="332"/>
        <v>0</v>
      </c>
      <c r="CE309" s="19">
        <f t="shared" si="333"/>
        <v>0</v>
      </c>
      <c r="CF309" s="49">
        <f t="shared" si="334"/>
        <v>0</v>
      </c>
      <c r="CG309" s="49">
        <f t="shared" si="335"/>
        <v>0</v>
      </c>
      <c r="CH309" s="49">
        <f t="shared" si="336"/>
        <v>0</v>
      </c>
      <c r="CI309" s="49">
        <f t="shared" si="337"/>
        <v>0</v>
      </c>
      <c r="CJ309" s="49">
        <f t="shared" si="338"/>
        <v>0</v>
      </c>
      <c r="CK309" s="49">
        <f t="shared" si="339"/>
        <v>0</v>
      </c>
    </row>
    <row r="310" spans="2:89" ht="12.75" customHeight="1" x14ac:dyDescent="0.2">
      <c r="B310" s="77">
        <v>41169</v>
      </c>
      <c r="C310" s="49">
        <v>75.040001000000004</v>
      </c>
      <c r="D310" s="49">
        <v>59.77</v>
      </c>
      <c r="E310" s="49">
        <v>58.830002</v>
      </c>
      <c r="F310" s="49">
        <v>73.309997999999993</v>
      </c>
      <c r="G310" s="49">
        <v>34.509998000000003</v>
      </c>
      <c r="H310" s="49">
        <v>42.650002000000001</v>
      </c>
      <c r="J310" s="78">
        <f>IF(inter=Weekly_2,J309+$C$5,IF(inter=Bi_weekly_2,J308+$C$5,IF(inter=Monthly_2,J306+$C$5,IF(inter=Quarterly_2,0,IF(inter=Yearly_2,0,IF(inter=None_2,0,0))))))</f>
        <v>100400</v>
      </c>
      <c r="K310" s="79">
        <f t="shared" si="340"/>
        <v>300.06585140706011</v>
      </c>
      <c r="L310" s="79">
        <f t="shared" si="341"/>
        <v>92.57363907888066</v>
      </c>
      <c r="M310" s="79">
        <f t="shared" si="342"/>
        <v>21.81920384087789</v>
      </c>
      <c r="N310" s="79">
        <f t="shared" si="343"/>
        <v>48.739322893215103</v>
      </c>
      <c r="O310" s="79">
        <f t="shared" si="344"/>
        <v>442.10844384777374</v>
      </c>
      <c r="P310" s="79">
        <f t="shared" si="345"/>
        <v>321.12649246574256</v>
      </c>
      <c r="Q310" s="79"/>
      <c r="R310" s="80">
        <f t="shared" si="303"/>
        <v>-3.9987453012835128</v>
      </c>
      <c r="S310" s="80">
        <f t="shared" si="304"/>
        <v>-1.5488311708027549</v>
      </c>
      <c r="T310" s="80">
        <f t="shared" si="305"/>
        <v>-0.37088565526273293</v>
      </c>
      <c r="U310" s="80">
        <f t="shared" si="306"/>
        <v>-0.66483868807655822</v>
      </c>
      <c r="V310" s="80">
        <f t="shared" si="307"/>
        <v>-12.811024904949971</v>
      </c>
      <c r="W310" s="80">
        <f t="shared" si="308"/>
        <v>-7.5293429638231331</v>
      </c>
      <c r="X310" s="80">
        <f t="shared" si="359"/>
        <v>468.28357584909946</v>
      </c>
      <c r="Y310" s="80">
        <f t="shared" si="360"/>
        <v>167.97724611008869</v>
      </c>
      <c r="Z310" s="80">
        <f t="shared" si="361"/>
        <v>136.52897717052602</v>
      </c>
      <c r="AA310" s="80">
        <f t="shared" si="362"/>
        <v>95.866869345706462</v>
      </c>
      <c r="AB310" s="80">
        <f t="shared" si="363"/>
        <v>727.32545507536679</v>
      </c>
      <c r="AC310" s="80">
        <f t="shared" si="364"/>
        <v>353.1066657394295</v>
      </c>
      <c r="AD310" s="80"/>
      <c r="AE310" s="80"/>
      <c r="AF310" s="80"/>
      <c r="AG310" s="80"/>
      <c r="AH310" s="80"/>
      <c r="AI310" s="80"/>
      <c r="AJ310" s="45">
        <f t="shared" si="309"/>
        <v>0</v>
      </c>
      <c r="AK310" s="45">
        <f t="shared" si="310"/>
        <v>0</v>
      </c>
      <c r="AL310" s="45">
        <f t="shared" si="311"/>
        <v>0</v>
      </c>
      <c r="AM310" s="45">
        <f t="shared" si="312"/>
        <v>0</v>
      </c>
      <c r="AN310" s="45">
        <f t="shared" si="313"/>
        <v>0</v>
      </c>
      <c r="AO310" s="45">
        <f t="shared" si="314"/>
        <v>0</v>
      </c>
      <c r="AP310" s="80">
        <f t="shared" si="315"/>
        <v>0</v>
      </c>
      <c r="AQ310" s="80">
        <f t="shared" si="316"/>
        <v>0</v>
      </c>
      <c r="AR310" s="80">
        <f t="shared" si="317"/>
        <v>0</v>
      </c>
      <c r="AS310" s="80">
        <f t="shared" si="318"/>
        <v>0</v>
      </c>
      <c r="AT310" s="80">
        <f t="shared" si="319"/>
        <v>0</v>
      </c>
      <c r="AU310" s="80">
        <f t="shared" si="320"/>
        <v>0</v>
      </c>
      <c r="AV310" s="80">
        <f t="shared" si="365"/>
        <v>34.963323049739806</v>
      </c>
      <c r="AW310" s="80">
        <f t="shared" si="366"/>
        <v>17.38986957199732</v>
      </c>
      <c r="AX310" s="80">
        <f t="shared" si="367"/>
        <v>10.811701855878232</v>
      </c>
      <c r="AY310" s="80">
        <f t="shared" si="368"/>
        <v>7.9790880151842218</v>
      </c>
      <c r="AZ310" s="80">
        <f t="shared" si="369"/>
        <v>64.159174807714336</v>
      </c>
      <c r="BA310" s="80">
        <f t="shared" si="370"/>
        <v>28.023637336551971</v>
      </c>
      <c r="BB310" s="80">
        <f t="shared" si="346"/>
        <v>503.24689889883928</v>
      </c>
      <c r="BC310" s="80">
        <f t="shared" si="347"/>
        <v>185.36711568208599</v>
      </c>
      <c r="BD310" s="80">
        <f t="shared" si="348"/>
        <v>147.34067902640425</v>
      </c>
      <c r="BE310" s="80">
        <f t="shared" si="349"/>
        <v>103.84595736089068</v>
      </c>
      <c r="BF310" s="80">
        <f t="shared" si="350"/>
        <v>791.48462988308108</v>
      </c>
      <c r="BG310" s="80">
        <f t="shared" si="351"/>
        <v>381.13030307598149</v>
      </c>
      <c r="BH310" s="49">
        <f t="shared" si="352"/>
        <v>0</v>
      </c>
      <c r="BI310" s="79">
        <f t="shared" si="353"/>
        <v>-82430.415217278191</v>
      </c>
      <c r="BJ310" s="79">
        <f t="shared" si="321"/>
        <v>100400</v>
      </c>
      <c r="BK310" s="44">
        <f t="shared" si="354"/>
        <v>0.21799701888381628</v>
      </c>
      <c r="BL310" s="79">
        <f t="shared" si="371"/>
        <v>6877.1123503215476</v>
      </c>
      <c r="BM310" s="49">
        <f t="shared" si="355"/>
        <v>107277.11235032155</v>
      </c>
      <c r="BN310" s="44">
        <f t="shared" si="356"/>
        <v>0.30142632507127365</v>
      </c>
      <c r="BO310" s="49">
        <f t="shared" si="322"/>
        <v>8293.3808519208651</v>
      </c>
      <c r="BP310" s="49">
        <f t="shared" si="323"/>
        <v>108693.38085192087</v>
      </c>
      <c r="BQ310" s="44">
        <f t="shared" si="324"/>
        <v>0.31860770766975</v>
      </c>
      <c r="BS310" s="49">
        <f t="shared" si="325"/>
        <v>82430.415217278191</v>
      </c>
      <c r="BT310" s="49">
        <f t="shared" si="301"/>
        <v>75.040001000000004</v>
      </c>
      <c r="BU310" s="49">
        <f t="shared" si="302"/>
        <v>42.650002000000001</v>
      </c>
      <c r="BV310" s="49">
        <f t="shared" si="326"/>
        <v>-1226.4329535335501</v>
      </c>
      <c r="BW310" s="18">
        <f t="shared" si="327"/>
        <v>1876</v>
      </c>
      <c r="BX310" s="19">
        <f t="shared" si="357"/>
        <v>0.56972477064220184</v>
      </c>
      <c r="BY310" s="49">
        <f t="shared" si="358"/>
        <v>-698.72923315994001</v>
      </c>
      <c r="BZ310" s="19">
        <f t="shared" si="328"/>
        <v>0</v>
      </c>
      <c r="CA310" s="19">
        <f t="shared" si="329"/>
        <v>0</v>
      </c>
      <c r="CB310" s="19">
        <f t="shared" si="330"/>
        <v>0</v>
      </c>
      <c r="CC310" s="19">
        <f t="shared" si="331"/>
        <v>0</v>
      </c>
      <c r="CD310" s="19">
        <f t="shared" si="332"/>
        <v>0</v>
      </c>
      <c r="CE310" s="19">
        <f t="shared" si="333"/>
        <v>0</v>
      </c>
      <c r="CF310" s="49">
        <f t="shared" si="334"/>
        <v>0</v>
      </c>
      <c r="CG310" s="49">
        <f t="shared" si="335"/>
        <v>0</v>
      </c>
      <c r="CH310" s="49">
        <f t="shared" si="336"/>
        <v>0</v>
      </c>
      <c r="CI310" s="49">
        <f t="shared" si="337"/>
        <v>0</v>
      </c>
      <c r="CJ310" s="49">
        <f t="shared" si="338"/>
        <v>0</v>
      </c>
      <c r="CK310" s="49">
        <f t="shared" si="339"/>
        <v>0</v>
      </c>
    </row>
    <row r="311" spans="2:89" ht="12.75" customHeight="1" x14ac:dyDescent="0.2">
      <c r="B311" s="77">
        <v>41176</v>
      </c>
      <c r="C311" s="49">
        <v>73.650002000000001</v>
      </c>
      <c r="D311" s="49">
        <v>58.720001000000003</v>
      </c>
      <c r="E311" s="49">
        <v>57.93</v>
      </c>
      <c r="F311" s="49">
        <v>71.900002000000001</v>
      </c>
      <c r="G311" s="49">
        <v>32.880001</v>
      </c>
      <c r="H311" s="49">
        <v>41.720001000000003</v>
      </c>
      <c r="J311" s="78">
        <f>IF(inter=Weekly_2,J310+$C$5,IF(inter=Bi_weekly_2,0,IF(inter=Monthly_2,0,IF(inter=Quarterly_2,0,IF(inter=Yearly_2,0,IF(inter=None_2,0,0))))))</f>
        <v>0</v>
      </c>
      <c r="K311" s="79">
        <f t="shared" si="340"/>
        <v>0</v>
      </c>
      <c r="L311" s="79">
        <f t="shared" si="341"/>
        <v>0</v>
      </c>
      <c r="M311" s="79">
        <f t="shared" si="342"/>
        <v>0</v>
      </c>
      <c r="N311" s="79">
        <f t="shared" si="343"/>
        <v>0</v>
      </c>
      <c r="O311" s="79">
        <f t="shared" si="344"/>
        <v>0</v>
      </c>
      <c r="P311" s="79">
        <f t="shared" si="345"/>
        <v>0</v>
      </c>
      <c r="Q311" s="79"/>
      <c r="R311" s="80">
        <f t="shared" si="303"/>
        <v>0</v>
      </c>
      <c r="S311" s="80">
        <f t="shared" si="304"/>
        <v>0</v>
      </c>
      <c r="T311" s="80">
        <f t="shared" si="305"/>
        <v>0</v>
      </c>
      <c r="U311" s="80">
        <f t="shared" si="306"/>
        <v>0</v>
      </c>
      <c r="V311" s="80">
        <f t="shared" si="307"/>
        <v>0</v>
      </c>
      <c r="W311" s="80">
        <f t="shared" si="308"/>
        <v>0</v>
      </c>
      <c r="X311" s="80">
        <f t="shared" si="359"/>
        <v>468.28357584909946</v>
      </c>
      <c r="Y311" s="80">
        <f t="shared" si="360"/>
        <v>167.97724611008869</v>
      </c>
      <c r="Z311" s="80">
        <f t="shared" si="361"/>
        <v>136.52897717052602</v>
      </c>
      <c r="AA311" s="80">
        <f t="shared" si="362"/>
        <v>95.866869345706462</v>
      </c>
      <c r="AB311" s="80">
        <f t="shared" si="363"/>
        <v>727.32545507536679</v>
      </c>
      <c r="AC311" s="80">
        <f t="shared" si="364"/>
        <v>353.1066657394295</v>
      </c>
      <c r="AD311" s="80">
        <v>0.36399999999999999</v>
      </c>
      <c r="AE311" s="80">
        <v>0.38800000000000001</v>
      </c>
      <c r="AF311" s="80"/>
      <c r="AG311" s="80"/>
      <c r="AH311" s="80">
        <v>0.68899999999999995</v>
      </c>
      <c r="AI311" s="80">
        <v>0.52500000000000002</v>
      </c>
      <c r="AJ311" s="45">
        <f t="shared" si="309"/>
        <v>170.4552216090722</v>
      </c>
      <c r="AK311" s="45">
        <f t="shared" si="310"/>
        <v>65.175171490714419</v>
      </c>
      <c r="AL311" s="45">
        <f t="shared" si="311"/>
        <v>0</v>
      </c>
      <c r="AM311" s="45">
        <f t="shared" si="312"/>
        <v>0</v>
      </c>
      <c r="AN311" s="45">
        <f t="shared" si="313"/>
        <v>501.12723854692769</v>
      </c>
      <c r="AO311" s="45">
        <f t="shared" si="314"/>
        <v>185.38099951320049</v>
      </c>
      <c r="AP311" s="80">
        <f t="shared" si="315"/>
        <v>2.3143953425700139</v>
      </c>
      <c r="AQ311" s="80">
        <f t="shared" si="316"/>
        <v>1.1099313756945342</v>
      </c>
      <c r="AR311" s="80">
        <f t="shared" si="317"/>
        <v>0</v>
      </c>
      <c r="AS311" s="80">
        <f t="shared" si="318"/>
        <v>0</v>
      </c>
      <c r="AT311" s="80">
        <f t="shared" si="319"/>
        <v>15.241095599325794</v>
      </c>
      <c r="AU311" s="80">
        <f t="shared" si="320"/>
        <v>4.4434562576640513</v>
      </c>
      <c r="AV311" s="80">
        <f t="shared" si="365"/>
        <v>37.277718392309822</v>
      </c>
      <c r="AW311" s="80">
        <f t="shared" si="366"/>
        <v>18.499800947691853</v>
      </c>
      <c r="AX311" s="80">
        <f t="shared" si="367"/>
        <v>10.811701855878232</v>
      </c>
      <c r="AY311" s="80">
        <f t="shared" si="368"/>
        <v>7.9790880151842218</v>
      </c>
      <c r="AZ311" s="80">
        <f t="shared" si="369"/>
        <v>79.400270407040125</v>
      </c>
      <c r="BA311" s="80">
        <f t="shared" si="370"/>
        <v>32.467093594216024</v>
      </c>
      <c r="BB311" s="80">
        <f t="shared" si="346"/>
        <v>505.56129424140931</v>
      </c>
      <c r="BC311" s="80">
        <f t="shared" si="347"/>
        <v>186.47704705778054</v>
      </c>
      <c r="BD311" s="80">
        <f t="shared" si="348"/>
        <v>147.34067902640425</v>
      </c>
      <c r="BE311" s="80">
        <f t="shared" si="349"/>
        <v>103.84595736089068</v>
      </c>
      <c r="BF311" s="80">
        <f t="shared" si="350"/>
        <v>806.72572548240692</v>
      </c>
      <c r="BG311" s="80">
        <f t="shared" si="351"/>
        <v>385.57375933364551</v>
      </c>
      <c r="BH311" s="49">
        <f t="shared" si="352"/>
        <v>922.13863115991489</v>
      </c>
      <c r="BI311" s="79">
        <f t="shared" si="353"/>
        <v>-82430.415217278191</v>
      </c>
      <c r="BJ311" s="79">
        <f t="shared" si="321"/>
        <v>97800.734240552774</v>
      </c>
      <c r="BK311" s="44">
        <f t="shared" si="354"/>
        <v>0.1864641708131638</v>
      </c>
      <c r="BL311" s="79">
        <f t="shared" si="371"/>
        <v>7799.2509814814621</v>
      </c>
      <c r="BM311" s="49">
        <f t="shared" si="355"/>
        <v>105599.98522203424</v>
      </c>
      <c r="BN311" s="44">
        <f t="shared" si="356"/>
        <v>0.28108035054395186</v>
      </c>
      <c r="BO311" s="49">
        <f t="shared" si="322"/>
        <v>8997.0388446598045</v>
      </c>
      <c r="BP311" s="49">
        <f t="shared" si="323"/>
        <v>106797.77308521257</v>
      </c>
      <c r="BQ311" s="44">
        <f t="shared" si="324"/>
        <v>0.29561124742250167</v>
      </c>
      <c r="BS311" s="49">
        <f t="shared" si="325"/>
        <v>82430.415217278191</v>
      </c>
      <c r="BT311" s="49">
        <f t="shared" si="301"/>
        <v>73.650002000000001</v>
      </c>
      <c r="BU311" s="49">
        <f t="shared" si="302"/>
        <v>41.720001000000003</v>
      </c>
      <c r="BV311" s="49">
        <f t="shared" si="326"/>
        <v>-922.13863115991489</v>
      </c>
      <c r="BW311" s="18">
        <f t="shared" si="327"/>
        <v>1883</v>
      </c>
      <c r="BX311" s="19">
        <f t="shared" si="357"/>
        <v>0.56811926605504592</v>
      </c>
      <c r="BY311" s="49">
        <f t="shared" si="358"/>
        <v>-523.88472233557559</v>
      </c>
      <c r="BZ311" s="19">
        <f t="shared" si="328"/>
        <v>0</v>
      </c>
      <c r="CA311" s="19">
        <f t="shared" si="329"/>
        <v>0</v>
      </c>
      <c r="CB311" s="19">
        <f t="shared" si="330"/>
        <v>0</v>
      </c>
      <c r="CC311" s="19">
        <f t="shared" si="331"/>
        <v>0</v>
      </c>
      <c r="CD311" s="19">
        <f t="shared" si="332"/>
        <v>0</v>
      </c>
      <c r="CE311" s="19">
        <f t="shared" si="333"/>
        <v>0</v>
      </c>
      <c r="CF311" s="49">
        <f t="shared" si="334"/>
        <v>0</v>
      </c>
      <c r="CG311" s="49">
        <f t="shared" si="335"/>
        <v>0</v>
      </c>
      <c r="CH311" s="49">
        <f t="shared" si="336"/>
        <v>0</v>
      </c>
      <c r="CI311" s="49">
        <f t="shared" si="337"/>
        <v>0</v>
      </c>
      <c r="CJ311" s="49">
        <f t="shared" si="338"/>
        <v>0</v>
      </c>
      <c r="CK311" s="49">
        <f t="shared" si="339"/>
        <v>0</v>
      </c>
    </row>
    <row r="312" spans="2:89" ht="12.75" customHeight="1" x14ac:dyDescent="0.2">
      <c r="B312" s="77">
        <v>41183</v>
      </c>
      <c r="C312" s="49">
        <v>74.699996999999996</v>
      </c>
      <c r="D312" s="49">
        <v>59.830002</v>
      </c>
      <c r="E312" s="49">
        <v>58.860000999999997</v>
      </c>
      <c r="F312" s="49">
        <v>72.760002</v>
      </c>
      <c r="G312" s="49">
        <v>33.57</v>
      </c>
      <c r="H312" s="49">
        <v>42.27</v>
      </c>
      <c r="J312" s="78">
        <f>IF(inter=Weekly_2,J311+$C$5,IF(inter=Bi_weekly_2,J310+$C$5,IF(inter=Monthly_2,0,IF(inter=Quarterly_2,0,IF(inter=Yearly_2,0,IF(inter=None_2,0,0))))))</f>
        <v>101000</v>
      </c>
      <c r="K312" s="79">
        <f t="shared" si="340"/>
        <v>-369.21828892300255</v>
      </c>
      <c r="L312" s="79">
        <f t="shared" si="341"/>
        <v>-49.921029278901187</v>
      </c>
      <c r="M312" s="79">
        <f t="shared" si="342"/>
        <v>-43.904267213862113</v>
      </c>
      <c r="N312" s="79">
        <f t="shared" si="343"/>
        <v>-94.726394672659808</v>
      </c>
      <c r="O312" s="79">
        <f t="shared" si="344"/>
        <v>-833.68447311993805</v>
      </c>
      <c r="P312" s="79">
        <f t="shared" si="345"/>
        <v>-224.18123919431309</v>
      </c>
      <c r="Q312" s="79"/>
      <c r="R312" s="80">
        <f t="shared" si="303"/>
        <v>4.9426814424504268</v>
      </c>
      <c r="S312" s="80">
        <f t="shared" si="304"/>
        <v>0.83438120692192497</v>
      </c>
      <c r="T312" s="80">
        <f t="shared" si="305"/>
        <v>0.74591006571444185</v>
      </c>
      <c r="U312" s="80">
        <f t="shared" si="306"/>
        <v>1.3019020350310024</v>
      </c>
      <c r="V312" s="80">
        <f t="shared" si="307"/>
        <v>24.834211293414896</v>
      </c>
      <c r="W312" s="80">
        <f t="shared" si="308"/>
        <v>5.3035542747649176</v>
      </c>
      <c r="X312" s="80">
        <f t="shared" si="359"/>
        <v>473.22625729154987</v>
      </c>
      <c r="Y312" s="80">
        <f t="shared" si="360"/>
        <v>168.81162731701062</v>
      </c>
      <c r="Z312" s="80">
        <f t="shared" si="361"/>
        <v>137.27488723624046</v>
      </c>
      <c r="AA312" s="80">
        <f t="shared" si="362"/>
        <v>97.168771380737468</v>
      </c>
      <c r="AB312" s="80">
        <f t="shared" si="363"/>
        <v>752.1596663687817</v>
      </c>
      <c r="AC312" s="80">
        <f t="shared" si="364"/>
        <v>358.41022001419441</v>
      </c>
      <c r="AD312" s="80"/>
      <c r="AE312" s="80"/>
      <c r="AF312" s="80"/>
      <c r="AG312" s="80"/>
      <c r="AH312" s="80"/>
      <c r="AI312" s="80"/>
      <c r="AJ312" s="45">
        <f t="shared" si="309"/>
        <v>0</v>
      </c>
      <c r="AK312" s="45">
        <f t="shared" si="310"/>
        <v>0</v>
      </c>
      <c r="AL312" s="45">
        <f t="shared" si="311"/>
        <v>0</v>
      </c>
      <c r="AM312" s="45">
        <f t="shared" si="312"/>
        <v>0</v>
      </c>
      <c r="AN312" s="45">
        <f t="shared" si="313"/>
        <v>0</v>
      </c>
      <c r="AO312" s="45">
        <f t="shared" si="314"/>
        <v>0</v>
      </c>
      <c r="AP312" s="80">
        <f t="shared" si="315"/>
        <v>0</v>
      </c>
      <c r="AQ312" s="80">
        <f t="shared" si="316"/>
        <v>0</v>
      </c>
      <c r="AR312" s="80">
        <f t="shared" si="317"/>
        <v>0</v>
      </c>
      <c r="AS312" s="80">
        <f t="shared" si="318"/>
        <v>0</v>
      </c>
      <c r="AT312" s="80">
        <f t="shared" si="319"/>
        <v>0</v>
      </c>
      <c r="AU312" s="80">
        <f t="shared" si="320"/>
        <v>0</v>
      </c>
      <c r="AV312" s="80">
        <f t="shared" si="365"/>
        <v>37.277718392309822</v>
      </c>
      <c r="AW312" s="80">
        <f t="shared" si="366"/>
        <v>18.499800947691853</v>
      </c>
      <c r="AX312" s="80">
        <f t="shared" si="367"/>
        <v>10.811701855878232</v>
      </c>
      <c r="AY312" s="80">
        <f t="shared" si="368"/>
        <v>7.9790880151842218</v>
      </c>
      <c r="AZ312" s="80">
        <f t="shared" si="369"/>
        <v>79.400270407040125</v>
      </c>
      <c r="BA312" s="80">
        <f t="shared" si="370"/>
        <v>32.467093594216024</v>
      </c>
      <c r="BB312" s="80">
        <f t="shared" si="346"/>
        <v>510.50397568385972</v>
      </c>
      <c r="BC312" s="80">
        <f t="shared" si="347"/>
        <v>187.31142826470247</v>
      </c>
      <c r="BD312" s="80">
        <f t="shared" si="348"/>
        <v>148.08658909211869</v>
      </c>
      <c r="BE312" s="80">
        <f t="shared" si="349"/>
        <v>105.14785939592169</v>
      </c>
      <c r="BF312" s="80">
        <f t="shared" si="350"/>
        <v>831.55993677582182</v>
      </c>
      <c r="BG312" s="80">
        <f t="shared" si="351"/>
        <v>390.87731360841042</v>
      </c>
      <c r="BH312" s="49">
        <f t="shared" si="352"/>
        <v>0</v>
      </c>
      <c r="BI312" s="79">
        <f t="shared" si="353"/>
        <v>-84046.050909680867</v>
      </c>
      <c r="BJ312" s="79">
        <f t="shared" si="321"/>
        <v>101000</v>
      </c>
      <c r="BK312" s="44">
        <f t="shared" si="354"/>
        <v>0.20172213812328321</v>
      </c>
      <c r="BL312" s="79">
        <f t="shared" si="371"/>
        <v>7799.2509814814621</v>
      </c>
      <c r="BM312" s="49">
        <f t="shared" si="355"/>
        <v>108799.25098148145</v>
      </c>
      <c r="BN312" s="44">
        <f t="shared" si="356"/>
        <v>0.29451949025423385</v>
      </c>
      <c r="BO312" s="49">
        <f t="shared" si="322"/>
        <v>9146.2749455559169</v>
      </c>
      <c r="BP312" s="49">
        <f t="shared" si="323"/>
        <v>110146.27494555594</v>
      </c>
      <c r="BQ312" s="44">
        <f t="shared" si="324"/>
        <v>0.31054670330582668</v>
      </c>
      <c r="BS312" s="49">
        <f t="shared" si="325"/>
        <v>84046.050909680867</v>
      </c>
      <c r="BT312" s="49">
        <f t="shared" si="301"/>
        <v>74.699996999999996</v>
      </c>
      <c r="BU312" s="49">
        <f t="shared" si="302"/>
        <v>42.27</v>
      </c>
      <c r="BV312" s="49">
        <f t="shared" si="326"/>
        <v>1615.6356924026768</v>
      </c>
      <c r="BW312" s="18">
        <f t="shared" si="327"/>
        <v>1890</v>
      </c>
      <c r="BX312" s="19">
        <f t="shared" si="357"/>
        <v>0.5665137614678899</v>
      </c>
      <c r="BY312" s="49">
        <f t="shared" si="358"/>
        <v>915.27985326481917</v>
      </c>
      <c r="BZ312" s="19">
        <f t="shared" si="328"/>
        <v>4.9426814424504268</v>
      </c>
      <c r="CA312" s="19">
        <f t="shared" si="329"/>
        <v>0.83438120692192497</v>
      </c>
      <c r="CB312" s="19">
        <f t="shared" si="330"/>
        <v>0.74591006571444185</v>
      </c>
      <c r="CC312" s="19">
        <f t="shared" si="331"/>
        <v>1.3019020350310024</v>
      </c>
      <c r="CD312" s="19">
        <f t="shared" si="332"/>
        <v>24.834211293414896</v>
      </c>
      <c r="CE312" s="19">
        <f t="shared" si="333"/>
        <v>5.3035542747649176</v>
      </c>
      <c r="CF312" s="49">
        <f t="shared" si="334"/>
        <v>-369.21828892300255</v>
      </c>
      <c r="CG312" s="49">
        <f t="shared" si="335"/>
        <v>-49.921029278901187</v>
      </c>
      <c r="CH312" s="49">
        <f t="shared" si="336"/>
        <v>-43.904267213862113</v>
      </c>
      <c r="CI312" s="49">
        <f t="shared" si="337"/>
        <v>-94.726394672659808</v>
      </c>
      <c r="CJ312" s="49">
        <f t="shared" si="338"/>
        <v>-833.68447311993805</v>
      </c>
      <c r="CK312" s="49">
        <f t="shared" si="339"/>
        <v>-224.18123919431309</v>
      </c>
    </row>
    <row r="313" spans="2:89" ht="12.75" customHeight="1" x14ac:dyDescent="0.2">
      <c r="B313" s="77">
        <v>41190</v>
      </c>
      <c r="C313" s="49">
        <v>73.019997000000004</v>
      </c>
      <c r="D313" s="49">
        <v>58.599997999999999</v>
      </c>
      <c r="E313" s="49">
        <v>57.759998000000003</v>
      </c>
      <c r="F313" s="49">
        <v>71.319999999999993</v>
      </c>
      <c r="G313" s="49">
        <v>32.979999999999997</v>
      </c>
      <c r="H313" s="49">
        <v>41.599997999999999</v>
      </c>
      <c r="J313" s="78">
        <f>IF(inter=Weekly_2,J312+$C$5,IF(inter=Bi_weekly_2,0,IF(inter=Monthly_2,0,IF(inter=Quarterly_2,0,IF(inter=Yearly_2,0,IF(inter=None_2,0,0))))))</f>
        <v>0</v>
      </c>
      <c r="K313" s="79">
        <f t="shared" si="340"/>
        <v>0</v>
      </c>
      <c r="L313" s="79">
        <f t="shared" si="341"/>
        <v>0</v>
      </c>
      <c r="M313" s="79">
        <f t="shared" si="342"/>
        <v>0</v>
      </c>
      <c r="N313" s="79">
        <f t="shared" si="343"/>
        <v>0</v>
      </c>
      <c r="O313" s="79">
        <f t="shared" si="344"/>
        <v>0</v>
      </c>
      <c r="P313" s="79">
        <f t="shared" si="345"/>
        <v>0</v>
      </c>
      <c r="Q313" s="79"/>
      <c r="R313" s="80">
        <f t="shared" si="303"/>
        <v>0</v>
      </c>
      <c r="S313" s="80">
        <f t="shared" si="304"/>
        <v>0</v>
      </c>
      <c r="T313" s="80">
        <f t="shared" si="305"/>
        <v>0</v>
      </c>
      <c r="U313" s="80">
        <f t="shared" si="306"/>
        <v>0</v>
      </c>
      <c r="V313" s="80">
        <f t="shared" si="307"/>
        <v>0</v>
      </c>
      <c r="W313" s="80">
        <f t="shared" si="308"/>
        <v>0</v>
      </c>
      <c r="X313" s="80">
        <f t="shared" si="359"/>
        <v>473.22625729154987</v>
      </c>
      <c r="Y313" s="80">
        <f t="shared" si="360"/>
        <v>168.81162731701062</v>
      </c>
      <c r="Z313" s="80">
        <f t="shared" si="361"/>
        <v>137.27488723624046</v>
      </c>
      <c r="AA313" s="80">
        <f t="shared" si="362"/>
        <v>97.168771380737468</v>
      </c>
      <c r="AB313" s="80">
        <f t="shared" si="363"/>
        <v>752.1596663687817</v>
      </c>
      <c r="AC313" s="80">
        <f t="shared" si="364"/>
        <v>358.41022001419441</v>
      </c>
      <c r="AD313" s="80"/>
      <c r="AE313" s="80"/>
      <c r="AF313" s="80"/>
      <c r="AG313" s="80"/>
      <c r="AH313" s="80"/>
      <c r="AI313" s="80"/>
      <c r="AJ313" s="45">
        <f t="shared" si="309"/>
        <v>0</v>
      </c>
      <c r="AK313" s="45">
        <f t="shared" si="310"/>
        <v>0</v>
      </c>
      <c r="AL313" s="45">
        <f t="shared" si="311"/>
        <v>0</v>
      </c>
      <c r="AM313" s="45">
        <f t="shared" si="312"/>
        <v>0</v>
      </c>
      <c r="AN313" s="45">
        <f t="shared" si="313"/>
        <v>0</v>
      </c>
      <c r="AO313" s="45">
        <f t="shared" si="314"/>
        <v>0</v>
      </c>
      <c r="AP313" s="80">
        <f t="shared" si="315"/>
        <v>0</v>
      </c>
      <c r="AQ313" s="80">
        <f t="shared" si="316"/>
        <v>0</v>
      </c>
      <c r="AR313" s="80">
        <f t="shared" si="317"/>
        <v>0</v>
      </c>
      <c r="AS313" s="80">
        <f t="shared" si="318"/>
        <v>0</v>
      </c>
      <c r="AT313" s="80">
        <f t="shared" si="319"/>
        <v>0</v>
      </c>
      <c r="AU313" s="80">
        <f t="shared" si="320"/>
        <v>0</v>
      </c>
      <c r="AV313" s="80">
        <f t="shared" si="365"/>
        <v>37.277718392309822</v>
      </c>
      <c r="AW313" s="80">
        <f t="shared" si="366"/>
        <v>18.499800947691853</v>
      </c>
      <c r="AX313" s="80">
        <f t="shared" si="367"/>
        <v>10.811701855878232</v>
      </c>
      <c r="AY313" s="80">
        <f t="shared" si="368"/>
        <v>7.9790880151842218</v>
      </c>
      <c r="AZ313" s="80">
        <f t="shared" si="369"/>
        <v>79.400270407040125</v>
      </c>
      <c r="BA313" s="80">
        <f t="shared" si="370"/>
        <v>32.467093594216024</v>
      </c>
      <c r="BB313" s="80">
        <f t="shared" si="346"/>
        <v>510.50397568385972</v>
      </c>
      <c r="BC313" s="80">
        <f t="shared" si="347"/>
        <v>187.31142826470247</v>
      </c>
      <c r="BD313" s="80">
        <f t="shared" si="348"/>
        <v>148.08658909211869</v>
      </c>
      <c r="BE313" s="80">
        <f t="shared" si="349"/>
        <v>105.14785939592169</v>
      </c>
      <c r="BF313" s="80">
        <f t="shared" si="350"/>
        <v>831.55993677582182</v>
      </c>
      <c r="BG313" s="80">
        <f t="shared" si="351"/>
        <v>390.87731360841042</v>
      </c>
      <c r="BH313" s="49">
        <f t="shared" si="352"/>
        <v>0</v>
      </c>
      <c r="BI313" s="79">
        <f t="shared" si="353"/>
        <v>-84046.050909680867</v>
      </c>
      <c r="BJ313" s="79">
        <f t="shared" si="321"/>
        <v>99022.505130605918</v>
      </c>
      <c r="BK313" s="44">
        <f t="shared" si="354"/>
        <v>0.17819343156312395</v>
      </c>
      <c r="BL313" s="79">
        <f t="shared" si="371"/>
        <v>7799.2509814814621</v>
      </c>
      <c r="BM313" s="49">
        <f t="shared" si="355"/>
        <v>106821.75611208737</v>
      </c>
      <c r="BN313" s="44">
        <f t="shared" si="356"/>
        <v>0.27099078369407459</v>
      </c>
      <c r="BO313" s="49">
        <f t="shared" si="322"/>
        <v>8968.9115651328921</v>
      </c>
      <c r="BP313" s="49">
        <f t="shared" si="323"/>
        <v>107991.41669573881</v>
      </c>
      <c r="BQ313" s="44">
        <f t="shared" si="324"/>
        <v>0.28490768485708573</v>
      </c>
      <c r="BS313" s="49">
        <f t="shared" si="325"/>
        <v>84046.050909680867</v>
      </c>
      <c r="BT313" s="49">
        <f t="shared" si="301"/>
        <v>73.019997000000004</v>
      </c>
      <c r="BU313" s="49">
        <f t="shared" si="302"/>
        <v>41.599997999999999</v>
      </c>
      <c r="BV313" s="49">
        <f t="shared" si="326"/>
        <v>0</v>
      </c>
      <c r="BW313" s="18">
        <f t="shared" si="327"/>
        <v>1897</v>
      </c>
      <c r="BX313" s="19">
        <f t="shared" si="357"/>
        <v>0.56490825688073398</v>
      </c>
      <c r="BY313" s="49">
        <f t="shared" si="358"/>
        <v>0</v>
      </c>
      <c r="BZ313" s="19">
        <f t="shared" si="328"/>
        <v>0</v>
      </c>
      <c r="CA313" s="19">
        <f t="shared" si="329"/>
        <v>0</v>
      </c>
      <c r="CB313" s="19">
        <f t="shared" si="330"/>
        <v>0</v>
      </c>
      <c r="CC313" s="19">
        <f t="shared" si="331"/>
        <v>0</v>
      </c>
      <c r="CD313" s="19">
        <f t="shared" si="332"/>
        <v>0</v>
      </c>
      <c r="CE313" s="19">
        <f t="shared" si="333"/>
        <v>0</v>
      </c>
      <c r="CF313" s="49">
        <f t="shared" si="334"/>
        <v>0</v>
      </c>
      <c r="CG313" s="49">
        <f t="shared" si="335"/>
        <v>0</v>
      </c>
      <c r="CH313" s="49">
        <f t="shared" si="336"/>
        <v>0</v>
      </c>
      <c r="CI313" s="49">
        <f t="shared" si="337"/>
        <v>0</v>
      </c>
      <c r="CJ313" s="49">
        <f t="shared" si="338"/>
        <v>0</v>
      </c>
      <c r="CK313" s="49">
        <f t="shared" si="339"/>
        <v>0</v>
      </c>
    </row>
    <row r="314" spans="2:89" ht="12.75" customHeight="1" x14ac:dyDescent="0.2">
      <c r="B314" s="77">
        <v>41197</v>
      </c>
      <c r="C314" s="49">
        <v>73.290001000000004</v>
      </c>
      <c r="D314" s="49">
        <v>59.360000999999997</v>
      </c>
      <c r="E314" s="49">
        <v>58.560001</v>
      </c>
      <c r="F314" s="49">
        <v>71.730002999999996</v>
      </c>
      <c r="G314" s="49">
        <v>33.580002</v>
      </c>
      <c r="H314" s="49">
        <v>41.810001</v>
      </c>
      <c r="J314" s="78">
        <f>IF(inter=Weekly_2,J313+$C$5,IF(inter=Bi_weekly_2,J312+$C$5,IF(inter=Monthly_2,J310+$C$5,IF(inter=Quarterly_2,0,IF(inter=Yearly_2,0,IF(inter=None_2,0,0))))))</f>
        <v>101600</v>
      </c>
      <c r="K314" s="79">
        <f t="shared" si="340"/>
        <v>-877.24712987605017</v>
      </c>
      <c r="L314" s="79">
        <f t="shared" si="341"/>
        <v>-139.34163365062341</v>
      </c>
      <c r="M314" s="79">
        <f t="shared" si="342"/>
        <v>-89.182466170871521</v>
      </c>
      <c r="N314" s="79">
        <f t="shared" si="343"/>
        <v>-142.08373735338864</v>
      </c>
      <c r="O314" s="79">
        <f t="shared" si="344"/>
        <v>-142.47689901697595</v>
      </c>
      <c r="P314" s="79">
        <f t="shared" si="345"/>
        <v>-254.86834279631148</v>
      </c>
      <c r="Q314" s="79"/>
      <c r="R314" s="80">
        <f t="shared" si="303"/>
        <v>11.96953360494633</v>
      </c>
      <c r="S314" s="80">
        <f t="shared" si="304"/>
        <v>2.3473994491783015</v>
      </c>
      <c r="T314" s="80">
        <f t="shared" si="305"/>
        <v>1.5229246012286017</v>
      </c>
      <c r="U314" s="80">
        <f t="shared" si="306"/>
        <v>1.980813208015461</v>
      </c>
      <c r="V314" s="80">
        <f t="shared" si="307"/>
        <v>4.2429091879439422</v>
      </c>
      <c r="W314" s="80">
        <f t="shared" si="308"/>
        <v>6.0958702870232289</v>
      </c>
      <c r="X314" s="80">
        <f t="shared" si="359"/>
        <v>485.19579089649619</v>
      </c>
      <c r="Y314" s="80">
        <f t="shared" si="360"/>
        <v>171.15902676618893</v>
      </c>
      <c r="Z314" s="80">
        <f t="shared" si="361"/>
        <v>138.79781183746906</v>
      </c>
      <c r="AA314" s="80">
        <f t="shared" si="362"/>
        <v>99.14958458875293</v>
      </c>
      <c r="AB314" s="80">
        <f t="shared" si="363"/>
        <v>756.40257555672565</v>
      </c>
      <c r="AC314" s="80">
        <f t="shared" si="364"/>
        <v>364.50609030121763</v>
      </c>
      <c r="AD314" s="80"/>
      <c r="AE314" s="80"/>
      <c r="AF314" s="80"/>
      <c r="AG314" s="80"/>
      <c r="AH314" s="80"/>
      <c r="AI314" s="80"/>
      <c r="AJ314" s="45">
        <f t="shared" si="309"/>
        <v>0</v>
      </c>
      <c r="AK314" s="45">
        <f t="shared" si="310"/>
        <v>0</v>
      </c>
      <c r="AL314" s="45">
        <f t="shared" si="311"/>
        <v>0</v>
      </c>
      <c r="AM314" s="45">
        <f t="shared" si="312"/>
        <v>0</v>
      </c>
      <c r="AN314" s="45">
        <f t="shared" si="313"/>
        <v>0</v>
      </c>
      <c r="AO314" s="45">
        <f t="shared" si="314"/>
        <v>0</v>
      </c>
      <c r="AP314" s="80">
        <f t="shared" si="315"/>
        <v>0</v>
      </c>
      <c r="AQ314" s="80">
        <f t="shared" si="316"/>
        <v>0</v>
      </c>
      <c r="AR314" s="80">
        <f t="shared" si="317"/>
        <v>0</v>
      </c>
      <c r="AS314" s="80">
        <f t="shared" si="318"/>
        <v>0</v>
      </c>
      <c r="AT314" s="80">
        <f t="shared" si="319"/>
        <v>0</v>
      </c>
      <c r="AU314" s="80">
        <f t="shared" si="320"/>
        <v>0</v>
      </c>
      <c r="AV314" s="80">
        <f t="shared" si="365"/>
        <v>37.277718392309822</v>
      </c>
      <c r="AW314" s="80">
        <f t="shared" si="366"/>
        <v>18.499800947691853</v>
      </c>
      <c r="AX314" s="80">
        <f t="shared" si="367"/>
        <v>10.811701855878232</v>
      </c>
      <c r="AY314" s="80">
        <f t="shared" si="368"/>
        <v>7.9790880151842218</v>
      </c>
      <c r="AZ314" s="80">
        <f t="shared" si="369"/>
        <v>79.400270407040125</v>
      </c>
      <c r="BA314" s="80">
        <f t="shared" si="370"/>
        <v>32.467093594216024</v>
      </c>
      <c r="BB314" s="80">
        <f t="shared" si="346"/>
        <v>522.47350928880599</v>
      </c>
      <c r="BC314" s="80">
        <f t="shared" si="347"/>
        <v>189.65882771388078</v>
      </c>
      <c r="BD314" s="80">
        <f t="shared" si="348"/>
        <v>149.60951369334728</v>
      </c>
      <c r="BE314" s="80">
        <f t="shared" si="349"/>
        <v>107.12867260393715</v>
      </c>
      <c r="BF314" s="80">
        <f t="shared" si="350"/>
        <v>835.80284596376578</v>
      </c>
      <c r="BG314" s="80">
        <f t="shared" si="351"/>
        <v>396.97318389543364</v>
      </c>
      <c r="BH314" s="49">
        <f t="shared" si="352"/>
        <v>0</v>
      </c>
      <c r="BI314" s="79">
        <f t="shared" si="353"/>
        <v>-85691.251118545071</v>
      </c>
      <c r="BJ314" s="79">
        <f t="shared" si="321"/>
        <v>101600</v>
      </c>
      <c r="BK314" s="44">
        <f t="shared" si="354"/>
        <v>0.18565196182568044</v>
      </c>
      <c r="BL314" s="79">
        <f t="shared" si="371"/>
        <v>7799.2509814814621</v>
      </c>
      <c r="BM314" s="49">
        <f t="shared" si="355"/>
        <v>109399.25098148145</v>
      </c>
      <c r="BN314" s="44">
        <f t="shared" si="356"/>
        <v>0.27666768256351859</v>
      </c>
      <c r="BO314" s="49">
        <f t="shared" si="322"/>
        <v>9059.4159544734684</v>
      </c>
      <c r="BP314" s="49">
        <f t="shared" si="323"/>
        <v>110659.41595447346</v>
      </c>
      <c r="BQ314" s="44">
        <f t="shared" si="324"/>
        <v>0.2913735592608806</v>
      </c>
      <c r="BS314" s="49">
        <f t="shared" si="325"/>
        <v>85691.251118545071</v>
      </c>
      <c r="BT314" s="49">
        <f t="shared" si="301"/>
        <v>73.290001000000004</v>
      </c>
      <c r="BU314" s="49">
        <f t="shared" si="302"/>
        <v>41.810001</v>
      </c>
      <c r="BV314" s="49">
        <f t="shared" si="326"/>
        <v>1645.2002088642212</v>
      </c>
      <c r="BW314" s="18">
        <f t="shared" si="327"/>
        <v>1904</v>
      </c>
      <c r="BX314" s="19">
        <f t="shared" si="357"/>
        <v>0.56330275229357796</v>
      </c>
      <c r="BY314" s="49">
        <f t="shared" si="358"/>
        <v>926.74580572718514</v>
      </c>
      <c r="BZ314" s="19">
        <f t="shared" si="328"/>
        <v>11.96953360494633</v>
      </c>
      <c r="CA314" s="19">
        <f t="shared" si="329"/>
        <v>2.3473994491783015</v>
      </c>
      <c r="CB314" s="19">
        <f t="shared" si="330"/>
        <v>1.5229246012286017</v>
      </c>
      <c r="CC314" s="19">
        <f t="shared" si="331"/>
        <v>1.980813208015461</v>
      </c>
      <c r="CD314" s="19">
        <f t="shared" si="332"/>
        <v>4.2429091879439422</v>
      </c>
      <c r="CE314" s="19">
        <f t="shared" si="333"/>
        <v>6.0958702870232289</v>
      </c>
      <c r="CF314" s="49">
        <f t="shared" si="334"/>
        <v>-877.24712987605017</v>
      </c>
      <c r="CG314" s="49">
        <f t="shared" si="335"/>
        <v>-139.34163365062341</v>
      </c>
      <c r="CH314" s="49">
        <f t="shared" si="336"/>
        <v>-89.182466170871521</v>
      </c>
      <c r="CI314" s="49">
        <f t="shared" si="337"/>
        <v>-142.08373735338864</v>
      </c>
      <c r="CJ314" s="49">
        <f t="shared" si="338"/>
        <v>-142.47689901697595</v>
      </c>
      <c r="CK314" s="49">
        <f t="shared" si="339"/>
        <v>-254.86834279631148</v>
      </c>
    </row>
    <row r="315" spans="2:89" ht="12.75" customHeight="1" x14ac:dyDescent="0.2">
      <c r="B315" s="77">
        <v>41204</v>
      </c>
      <c r="C315" s="49">
        <v>72.279999000000004</v>
      </c>
      <c r="D315" s="49">
        <v>58.369999</v>
      </c>
      <c r="E315" s="49">
        <v>57.619999</v>
      </c>
      <c r="F315" s="49">
        <v>71.040001000000004</v>
      </c>
      <c r="G315" s="49">
        <v>33.279998999999997</v>
      </c>
      <c r="H315" s="49">
        <v>41.549999</v>
      </c>
      <c r="J315" s="78">
        <f>IF(inter=Weekly_2,J314+$C$5,IF(inter=Bi_weekly_2,0,IF(inter=Monthly_2,0,IF(inter=Quarterly_2,J302+$C$5,IF(inter=Yearly_2,0,IF(inter=None_2,0,0))))))</f>
        <v>0</v>
      </c>
      <c r="K315" s="79">
        <f t="shared" si="340"/>
        <v>0</v>
      </c>
      <c r="L315" s="79">
        <f t="shared" si="341"/>
        <v>0</v>
      </c>
      <c r="M315" s="79">
        <f t="shared" si="342"/>
        <v>0</v>
      </c>
      <c r="N315" s="79">
        <f t="shared" si="343"/>
        <v>0</v>
      </c>
      <c r="O315" s="79">
        <f t="shared" si="344"/>
        <v>0</v>
      </c>
      <c r="P315" s="79">
        <f t="shared" si="345"/>
        <v>0</v>
      </c>
      <c r="Q315" s="79"/>
      <c r="R315" s="80">
        <f t="shared" si="303"/>
        <v>0</v>
      </c>
      <c r="S315" s="80">
        <f t="shared" si="304"/>
        <v>0</v>
      </c>
      <c r="T315" s="80">
        <f t="shared" si="305"/>
        <v>0</v>
      </c>
      <c r="U315" s="80">
        <f t="shared" si="306"/>
        <v>0</v>
      </c>
      <c r="V315" s="80">
        <f t="shared" si="307"/>
        <v>0</v>
      </c>
      <c r="W315" s="80">
        <f t="shared" si="308"/>
        <v>0</v>
      </c>
      <c r="X315" s="80">
        <f t="shared" si="359"/>
        <v>485.19579089649619</v>
      </c>
      <c r="Y315" s="80">
        <f t="shared" si="360"/>
        <v>171.15902676618893</v>
      </c>
      <c r="Z315" s="80">
        <f t="shared" si="361"/>
        <v>138.79781183746906</v>
      </c>
      <c r="AA315" s="80">
        <f t="shared" si="362"/>
        <v>99.14958458875293</v>
      </c>
      <c r="AB315" s="80">
        <f t="shared" si="363"/>
        <v>756.40257555672565</v>
      </c>
      <c r="AC315" s="80">
        <f t="shared" si="364"/>
        <v>364.50609030121763</v>
      </c>
      <c r="AD315" s="80"/>
      <c r="AE315" s="80"/>
      <c r="AF315" s="80"/>
      <c r="AG315" s="80"/>
      <c r="AH315" s="80"/>
      <c r="AI315" s="80"/>
      <c r="AJ315" s="45">
        <f t="shared" si="309"/>
        <v>0</v>
      </c>
      <c r="AK315" s="45">
        <f t="shared" si="310"/>
        <v>0</v>
      </c>
      <c r="AL315" s="45">
        <f t="shared" si="311"/>
        <v>0</v>
      </c>
      <c r="AM315" s="45">
        <f t="shared" si="312"/>
        <v>0</v>
      </c>
      <c r="AN315" s="45">
        <f t="shared" si="313"/>
        <v>0</v>
      </c>
      <c r="AO315" s="45">
        <f t="shared" si="314"/>
        <v>0</v>
      </c>
      <c r="AP315" s="80">
        <f t="shared" si="315"/>
        <v>0</v>
      </c>
      <c r="AQ315" s="80">
        <f t="shared" si="316"/>
        <v>0</v>
      </c>
      <c r="AR315" s="80">
        <f t="shared" si="317"/>
        <v>0</v>
      </c>
      <c r="AS315" s="80">
        <f t="shared" si="318"/>
        <v>0</v>
      </c>
      <c r="AT315" s="80">
        <f t="shared" si="319"/>
        <v>0</v>
      </c>
      <c r="AU315" s="80">
        <f t="shared" si="320"/>
        <v>0</v>
      </c>
      <c r="AV315" s="80">
        <f t="shared" si="365"/>
        <v>37.277718392309822</v>
      </c>
      <c r="AW315" s="80">
        <f t="shared" si="366"/>
        <v>18.499800947691853</v>
      </c>
      <c r="AX315" s="80">
        <f t="shared" si="367"/>
        <v>10.811701855878232</v>
      </c>
      <c r="AY315" s="80">
        <f t="shared" si="368"/>
        <v>7.9790880151842218</v>
      </c>
      <c r="AZ315" s="80">
        <f t="shared" si="369"/>
        <v>79.400270407040125</v>
      </c>
      <c r="BA315" s="80">
        <f t="shared" si="370"/>
        <v>32.467093594216024</v>
      </c>
      <c r="BB315" s="80">
        <f t="shared" si="346"/>
        <v>522.47350928880599</v>
      </c>
      <c r="BC315" s="80">
        <f t="shared" si="347"/>
        <v>189.65882771388078</v>
      </c>
      <c r="BD315" s="80">
        <f t="shared" si="348"/>
        <v>149.60951369334728</v>
      </c>
      <c r="BE315" s="80">
        <f t="shared" si="349"/>
        <v>107.12867260393715</v>
      </c>
      <c r="BF315" s="80">
        <f t="shared" si="350"/>
        <v>835.80284596376578</v>
      </c>
      <c r="BG315" s="80">
        <f t="shared" si="351"/>
        <v>396.97318389543364</v>
      </c>
      <c r="BH315" s="49">
        <f t="shared" si="352"/>
        <v>0</v>
      </c>
      <c r="BI315" s="79">
        <f t="shared" si="353"/>
        <v>-85691.251118545071</v>
      </c>
      <c r="BJ315" s="79">
        <f t="shared" si="321"/>
        <v>100419.92451523287</v>
      </c>
      <c r="BK315" s="44">
        <f t="shared" si="354"/>
        <v>0.17188071366016322</v>
      </c>
      <c r="BL315" s="79">
        <f t="shared" si="371"/>
        <v>7799.2509814814621</v>
      </c>
      <c r="BM315" s="49">
        <f t="shared" si="355"/>
        <v>108219.17549671434</v>
      </c>
      <c r="BN315" s="44">
        <f t="shared" si="356"/>
        <v>0.26289643439800159</v>
      </c>
      <c r="BO315" s="49">
        <f t="shared" si="322"/>
        <v>8955.5201077557904</v>
      </c>
      <c r="BP315" s="49">
        <f t="shared" si="323"/>
        <v>109375.44462298867</v>
      </c>
      <c r="BQ315" s="44">
        <f t="shared" si="324"/>
        <v>0.27638986705514368</v>
      </c>
      <c r="BS315" s="49">
        <f t="shared" si="325"/>
        <v>85691.251118545071</v>
      </c>
      <c r="BT315" s="49">
        <f t="shared" si="301"/>
        <v>72.279999000000004</v>
      </c>
      <c r="BU315" s="49">
        <f t="shared" si="302"/>
        <v>41.549999</v>
      </c>
      <c r="BV315" s="49">
        <f t="shared" si="326"/>
        <v>0</v>
      </c>
      <c r="BW315" s="18">
        <f t="shared" si="327"/>
        <v>1911</v>
      </c>
      <c r="BX315" s="19">
        <f t="shared" si="357"/>
        <v>0.56169724770642204</v>
      </c>
      <c r="BY315" s="49">
        <f t="shared" si="358"/>
        <v>0</v>
      </c>
      <c r="BZ315" s="19">
        <f t="shared" si="328"/>
        <v>0</v>
      </c>
      <c r="CA315" s="19">
        <f t="shared" si="329"/>
        <v>0</v>
      </c>
      <c r="CB315" s="19">
        <f t="shared" si="330"/>
        <v>0</v>
      </c>
      <c r="CC315" s="19">
        <f t="shared" si="331"/>
        <v>0</v>
      </c>
      <c r="CD315" s="19">
        <f t="shared" si="332"/>
        <v>0</v>
      </c>
      <c r="CE315" s="19">
        <f t="shared" si="333"/>
        <v>0</v>
      </c>
      <c r="CF315" s="49">
        <f t="shared" si="334"/>
        <v>0</v>
      </c>
      <c r="CG315" s="49">
        <f t="shared" si="335"/>
        <v>0</v>
      </c>
      <c r="CH315" s="49">
        <f t="shared" si="336"/>
        <v>0</v>
      </c>
      <c r="CI315" s="49">
        <f t="shared" si="337"/>
        <v>0</v>
      </c>
      <c r="CJ315" s="49">
        <f t="shared" si="338"/>
        <v>0</v>
      </c>
      <c r="CK315" s="49">
        <f t="shared" si="339"/>
        <v>0</v>
      </c>
    </row>
    <row r="316" spans="2:89" ht="12.75" customHeight="1" x14ac:dyDescent="0.2">
      <c r="B316" s="77">
        <v>41213</v>
      </c>
      <c r="C316" s="49">
        <v>72.470000999999996</v>
      </c>
      <c r="D316" s="49">
        <v>58.540000999999997</v>
      </c>
      <c r="E316" s="49">
        <v>58.23</v>
      </c>
      <c r="F316" s="49">
        <v>71.680000000000007</v>
      </c>
      <c r="G316" s="49">
        <v>33.299999</v>
      </c>
      <c r="H316" s="49">
        <v>41.84</v>
      </c>
      <c r="J316" s="78">
        <f>IF(inter=Weekly_2,J315+$C$5,IF(inter=Bi_weekly_2,J314+$C$5,IF(inter=Monthly_2,0,IF(inter=Quarterly_2,0,IF(inter=Yearly_2,0,IF(inter=None_2,0,0))))))</f>
        <v>102200</v>
      </c>
      <c r="K316" s="79">
        <f t="shared" si="340"/>
        <v>-607.86054853512906</v>
      </c>
      <c r="L316" s="79">
        <f t="shared" si="341"/>
        <v>-200.35040194827343</v>
      </c>
      <c r="M316" s="79">
        <f t="shared" si="342"/>
        <v>-93.803416704176925</v>
      </c>
      <c r="N316" s="79">
        <f t="shared" si="343"/>
        <v>-46.957776678190385</v>
      </c>
      <c r="O316" s="79">
        <f t="shared" si="344"/>
        <v>-361.79499036361085</v>
      </c>
      <c r="P316" s="79">
        <f t="shared" si="345"/>
        <v>-79.06518179705381</v>
      </c>
      <c r="Q316" s="79"/>
      <c r="R316" s="80">
        <f t="shared" si="303"/>
        <v>8.387754107180557</v>
      </c>
      <c r="S316" s="80">
        <f t="shared" si="304"/>
        <v>3.4224529983911931</v>
      </c>
      <c r="T316" s="80">
        <f t="shared" si="305"/>
        <v>1.6109121879473971</v>
      </c>
      <c r="U316" s="80">
        <f t="shared" si="306"/>
        <v>0.65510291124707565</v>
      </c>
      <c r="V316" s="80">
        <f t="shared" si="307"/>
        <v>10.864714751601369</v>
      </c>
      <c r="W316" s="80">
        <f t="shared" si="308"/>
        <v>1.8897031978263337</v>
      </c>
      <c r="X316" s="80">
        <f t="shared" si="359"/>
        <v>493.58354500367676</v>
      </c>
      <c r="Y316" s="80">
        <f t="shared" si="360"/>
        <v>174.58147976458011</v>
      </c>
      <c r="Z316" s="80">
        <f t="shared" si="361"/>
        <v>140.40872402541646</v>
      </c>
      <c r="AA316" s="80">
        <f t="shared" si="362"/>
        <v>99.8046875</v>
      </c>
      <c r="AB316" s="80">
        <f t="shared" si="363"/>
        <v>767.26729030832701</v>
      </c>
      <c r="AC316" s="80">
        <f t="shared" si="364"/>
        <v>366.39579349904398</v>
      </c>
      <c r="AD316" s="80"/>
      <c r="AE316" s="80"/>
      <c r="AF316" s="80"/>
      <c r="AG316" s="80"/>
      <c r="AH316" s="80"/>
      <c r="AI316" s="80"/>
      <c r="AJ316" s="45">
        <f t="shared" si="309"/>
        <v>0</v>
      </c>
      <c r="AK316" s="45">
        <f t="shared" si="310"/>
        <v>0</v>
      </c>
      <c r="AL316" s="45">
        <f t="shared" si="311"/>
        <v>0</v>
      </c>
      <c r="AM316" s="45">
        <f t="shared" si="312"/>
        <v>0</v>
      </c>
      <c r="AN316" s="45">
        <f t="shared" si="313"/>
        <v>0</v>
      </c>
      <c r="AO316" s="45">
        <f t="shared" si="314"/>
        <v>0</v>
      </c>
      <c r="AP316" s="80">
        <f t="shared" si="315"/>
        <v>0</v>
      </c>
      <c r="AQ316" s="80">
        <f t="shared" si="316"/>
        <v>0</v>
      </c>
      <c r="AR316" s="80">
        <f t="shared" si="317"/>
        <v>0</v>
      </c>
      <c r="AS316" s="80">
        <f t="shared" si="318"/>
        <v>0</v>
      </c>
      <c r="AT316" s="80">
        <f t="shared" si="319"/>
        <v>0</v>
      </c>
      <c r="AU316" s="80">
        <f t="shared" si="320"/>
        <v>0</v>
      </c>
      <c r="AV316" s="80">
        <f t="shared" si="365"/>
        <v>37.277718392309822</v>
      </c>
      <c r="AW316" s="80">
        <f t="shared" si="366"/>
        <v>18.499800947691853</v>
      </c>
      <c r="AX316" s="80">
        <f t="shared" si="367"/>
        <v>10.811701855878232</v>
      </c>
      <c r="AY316" s="80">
        <f t="shared" si="368"/>
        <v>7.9790880151842218</v>
      </c>
      <c r="AZ316" s="80">
        <f t="shared" si="369"/>
        <v>79.400270407040125</v>
      </c>
      <c r="BA316" s="80">
        <f t="shared" si="370"/>
        <v>32.467093594216024</v>
      </c>
      <c r="BB316" s="80">
        <f t="shared" si="346"/>
        <v>530.86126339598661</v>
      </c>
      <c r="BC316" s="80">
        <f t="shared" si="347"/>
        <v>193.08128071227196</v>
      </c>
      <c r="BD316" s="80">
        <f t="shared" si="348"/>
        <v>151.22042588129469</v>
      </c>
      <c r="BE316" s="80">
        <f t="shared" si="349"/>
        <v>107.78377551518422</v>
      </c>
      <c r="BF316" s="80">
        <f t="shared" si="350"/>
        <v>846.66756071536713</v>
      </c>
      <c r="BG316" s="80">
        <f t="shared" si="351"/>
        <v>398.86288709325999</v>
      </c>
      <c r="BH316" s="49">
        <f t="shared" si="352"/>
        <v>0</v>
      </c>
      <c r="BI316" s="79">
        <f t="shared" si="353"/>
        <v>-87081.083434571512</v>
      </c>
      <c r="BJ316" s="79">
        <f t="shared" si="321"/>
        <v>102200</v>
      </c>
      <c r="BK316" s="44">
        <f t="shared" si="354"/>
        <v>0.17361883854819182</v>
      </c>
      <c r="BL316" s="79">
        <f t="shared" si="371"/>
        <v>7799.2509814814621</v>
      </c>
      <c r="BM316" s="49">
        <f t="shared" si="355"/>
        <v>109999.25098148145</v>
      </c>
      <c r="BN316" s="44">
        <f t="shared" si="356"/>
        <v>0.26318192933519868</v>
      </c>
      <c r="BO316" s="49">
        <f t="shared" si="322"/>
        <v>8988.4532042784522</v>
      </c>
      <c r="BP316" s="49">
        <f t="shared" si="323"/>
        <v>111188.45320427846</v>
      </c>
      <c r="BQ316" s="44">
        <f t="shared" si="324"/>
        <v>0.27683819285298683</v>
      </c>
      <c r="BS316" s="49">
        <f t="shared" si="325"/>
        <v>87081.083434571512</v>
      </c>
      <c r="BT316" s="49">
        <f t="shared" si="301"/>
        <v>72.470000999999996</v>
      </c>
      <c r="BU316" s="49">
        <f t="shared" si="302"/>
        <v>41.84</v>
      </c>
      <c r="BV316" s="49">
        <f t="shared" si="326"/>
        <v>1389.8323160264345</v>
      </c>
      <c r="BW316" s="18">
        <f t="shared" si="327"/>
        <v>1920</v>
      </c>
      <c r="BX316" s="19">
        <f t="shared" si="357"/>
        <v>0.55963302752293576</v>
      </c>
      <c r="BY316" s="49">
        <f t="shared" si="358"/>
        <v>777.79606676708715</v>
      </c>
      <c r="BZ316" s="19">
        <f t="shared" si="328"/>
        <v>8.387754107180557</v>
      </c>
      <c r="CA316" s="19">
        <f t="shared" si="329"/>
        <v>3.4224529983911931</v>
      </c>
      <c r="CB316" s="19">
        <f t="shared" si="330"/>
        <v>1.6109121879473971</v>
      </c>
      <c r="CC316" s="19">
        <f t="shared" si="331"/>
        <v>0.65510291124707565</v>
      </c>
      <c r="CD316" s="19">
        <f t="shared" si="332"/>
        <v>10.864714751601369</v>
      </c>
      <c r="CE316" s="19">
        <f t="shared" si="333"/>
        <v>1.8897031978263337</v>
      </c>
      <c r="CF316" s="49">
        <f t="shared" si="334"/>
        <v>-607.86054853512906</v>
      </c>
      <c r="CG316" s="49">
        <f t="shared" si="335"/>
        <v>-200.35040194827343</v>
      </c>
      <c r="CH316" s="49">
        <f t="shared" si="336"/>
        <v>-93.803416704176925</v>
      </c>
      <c r="CI316" s="49">
        <f t="shared" si="337"/>
        <v>-46.957776678190385</v>
      </c>
      <c r="CJ316" s="49">
        <f t="shared" si="338"/>
        <v>-361.79499036361085</v>
      </c>
      <c r="CK316" s="49">
        <f t="shared" si="339"/>
        <v>-79.06518179705381</v>
      </c>
    </row>
    <row r="317" spans="2:89" ht="12.75" customHeight="1" x14ac:dyDescent="0.2">
      <c r="B317" s="77">
        <v>41218</v>
      </c>
      <c r="C317" s="49">
        <v>70.769997000000004</v>
      </c>
      <c r="D317" s="49">
        <v>57.040000999999997</v>
      </c>
      <c r="E317" s="49">
        <v>57.09</v>
      </c>
      <c r="F317" s="49">
        <v>69.910004000000001</v>
      </c>
      <c r="G317" s="49">
        <v>32.709999000000003</v>
      </c>
      <c r="H317" s="49">
        <v>41.310001</v>
      </c>
      <c r="J317" s="78">
        <f>IF(inter=Weekly_2,J316+$C$5,IF(inter=Bi_weekly_2,0,IF(inter=Monthly_2,0,IF(inter=Quarterly_2,0,IF(inter=Yearly_2,0,IF(inter=None_2,0,0))))))</f>
        <v>0</v>
      </c>
      <c r="K317" s="79">
        <f t="shared" si="340"/>
        <v>0</v>
      </c>
      <c r="L317" s="79">
        <f t="shared" si="341"/>
        <v>0</v>
      </c>
      <c r="M317" s="79">
        <f t="shared" si="342"/>
        <v>0</v>
      </c>
      <c r="N317" s="79">
        <f t="shared" si="343"/>
        <v>0</v>
      </c>
      <c r="O317" s="79">
        <f t="shared" si="344"/>
        <v>0</v>
      </c>
      <c r="P317" s="79">
        <f t="shared" si="345"/>
        <v>0</v>
      </c>
      <c r="Q317" s="79"/>
      <c r="R317" s="80">
        <f t="shared" si="303"/>
        <v>0</v>
      </c>
      <c r="S317" s="80">
        <f t="shared" si="304"/>
        <v>0</v>
      </c>
      <c r="T317" s="80">
        <f t="shared" si="305"/>
        <v>0</v>
      </c>
      <c r="U317" s="80">
        <f t="shared" si="306"/>
        <v>0</v>
      </c>
      <c r="V317" s="80">
        <f t="shared" si="307"/>
        <v>0</v>
      </c>
      <c r="W317" s="80">
        <f t="shared" si="308"/>
        <v>0</v>
      </c>
      <c r="X317" s="80">
        <f t="shared" si="359"/>
        <v>493.58354500367676</v>
      </c>
      <c r="Y317" s="80">
        <f t="shared" si="360"/>
        <v>174.58147976458011</v>
      </c>
      <c r="Z317" s="80">
        <f t="shared" si="361"/>
        <v>140.40872402541646</v>
      </c>
      <c r="AA317" s="80">
        <f t="shared" si="362"/>
        <v>99.8046875</v>
      </c>
      <c r="AB317" s="80">
        <f t="shared" si="363"/>
        <v>767.26729030832701</v>
      </c>
      <c r="AC317" s="80">
        <f t="shared" si="364"/>
        <v>366.39579349904398</v>
      </c>
      <c r="AD317" s="80"/>
      <c r="AE317" s="80"/>
      <c r="AF317" s="80"/>
      <c r="AG317" s="80"/>
      <c r="AH317" s="80"/>
      <c r="AI317" s="80"/>
      <c r="AJ317" s="45">
        <f t="shared" si="309"/>
        <v>0</v>
      </c>
      <c r="AK317" s="45">
        <f t="shared" si="310"/>
        <v>0</v>
      </c>
      <c r="AL317" s="45">
        <f t="shared" si="311"/>
        <v>0</v>
      </c>
      <c r="AM317" s="45">
        <f t="shared" si="312"/>
        <v>0</v>
      </c>
      <c r="AN317" s="45">
        <f t="shared" si="313"/>
        <v>0</v>
      </c>
      <c r="AO317" s="45">
        <f t="shared" si="314"/>
        <v>0</v>
      </c>
      <c r="AP317" s="80">
        <f t="shared" si="315"/>
        <v>0</v>
      </c>
      <c r="AQ317" s="80">
        <f t="shared" si="316"/>
        <v>0</v>
      </c>
      <c r="AR317" s="80">
        <f t="shared" si="317"/>
        <v>0</v>
      </c>
      <c r="AS317" s="80">
        <f t="shared" si="318"/>
        <v>0</v>
      </c>
      <c r="AT317" s="80">
        <f t="shared" si="319"/>
        <v>0</v>
      </c>
      <c r="AU317" s="80">
        <f t="shared" si="320"/>
        <v>0</v>
      </c>
      <c r="AV317" s="80">
        <f t="shared" si="365"/>
        <v>37.277718392309822</v>
      </c>
      <c r="AW317" s="80">
        <f t="shared" si="366"/>
        <v>18.499800947691853</v>
      </c>
      <c r="AX317" s="80">
        <f t="shared" si="367"/>
        <v>10.811701855878232</v>
      </c>
      <c r="AY317" s="80">
        <f t="shared" si="368"/>
        <v>7.9790880151842218</v>
      </c>
      <c r="AZ317" s="80">
        <f t="shared" si="369"/>
        <v>79.400270407040125</v>
      </c>
      <c r="BA317" s="80">
        <f t="shared" si="370"/>
        <v>32.467093594216024</v>
      </c>
      <c r="BB317" s="80">
        <f t="shared" si="346"/>
        <v>530.86126339598661</v>
      </c>
      <c r="BC317" s="80">
        <f t="shared" si="347"/>
        <v>193.08128071227196</v>
      </c>
      <c r="BD317" s="80">
        <f t="shared" si="348"/>
        <v>151.22042588129469</v>
      </c>
      <c r="BE317" s="80">
        <f t="shared" si="349"/>
        <v>107.78377551518422</v>
      </c>
      <c r="BF317" s="80">
        <f t="shared" si="350"/>
        <v>846.66756071536713</v>
      </c>
      <c r="BG317" s="80">
        <f t="shared" si="351"/>
        <v>398.86288709325999</v>
      </c>
      <c r="BH317" s="49">
        <f t="shared" si="352"/>
        <v>0</v>
      </c>
      <c r="BI317" s="79">
        <f t="shared" si="353"/>
        <v>-87081.083434571512</v>
      </c>
      <c r="BJ317" s="79">
        <f t="shared" si="321"/>
        <v>100115.43683102686</v>
      </c>
      <c r="BK317" s="44">
        <f t="shared" si="354"/>
        <v>0.14968065258683572</v>
      </c>
      <c r="BL317" s="79">
        <f t="shared" si="371"/>
        <v>7799.2509814814621</v>
      </c>
      <c r="BM317" s="49">
        <f t="shared" si="355"/>
        <v>107914.68781250832</v>
      </c>
      <c r="BN317" s="44">
        <f t="shared" si="356"/>
        <v>0.23924374337384258</v>
      </c>
      <c r="BO317" s="49">
        <f t="shared" si="322"/>
        <v>8806.8292518148955</v>
      </c>
      <c r="BP317" s="49">
        <f t="shared" si="323"/>
        <v>108922.26608284176</v>
      </c>
      <c r="BQ317" s="44">
        <f t="shared" si="324"/>
        <v>0.25081431910158369</v>
      </c>
      <c r="BS317" s="49">
        <f t="shared" si="325"/>
        <v>87081.083434571512</v>
      </c>
      <c r="BT317" s="49">
        <f t="shared" si="301"/>
        <v>70.769997000000004</v>
      </c>
      <c r="BU317" s="49">
        <f t="shared" si="302"/>
        <v>41.310001</v>
      </c>
      <c r="BV317" s="49">
        <f t="shared" si="326"/>
        <v>0</v>
      </c>
      <c r="BW317" s="18">
        <f t="shared" si="327"/>
        <v>1925</v>
      </c>
      <c r="BX317" s="19">
        <f t="shared" si="357"/>
        <v>0.5584862385321101</v>
      </c>
      <c r="BY317" s="49">
        <f t="shared" si="358"/>
        <v>0</v>
      </c>
      <c r="BZ317" s="19">
        <f t="shared" si="328"/>
        <v>0</v>
      </c>
      <c r="CA317" s="19">
        <f t="shared" si="329"/>
        <v>0</v>
      </c>
      <c r="CB317" s="19">
        <f t="shared" si="330"/>
        <v>0</v>
      </c>
      <c r="CC317" s="19">
        <f t="shared" si="331"/>
        <v>0</v>
      </c>
      <c r="CD317" s="19">
        <f t="shared" si="332"/>
        <v>0</v>
      </c>
      <c r="CE317" s="19">
        <f t="shared" si="333"/>
        <v>0</v>
      </c>
      <c r="CF317" s="49">
        <f t="shared" si="334"/>
        <v>0</v>
      </c>
      <c r="CG317" s="49">
        <f t="shared" si="335"/>
        <v>0</v>
      </c>
      <c r="CH317" s="49">
        <f t="shared" si="336"/>
        <v>0</v>
      </c>
      <c r="CI317" s="49">
        <f t="shared" si="337"/>
        <v>0</v>
      </c>
      <c r="CJ317" s="49">
        <f t="shared" si="338"/>
        <v>0</v>
      </c>
      <c r="CK317" s="49">
        <f t="shared" si="339"/>
        <v>0</v>
      </c>
    </row>
    <row r="318" spans="2:89" ht="12.75" customHeight="1" x14ac:dyDescent="0.2">
      <c r="B318" s="77">
        <v>41225</v>
      </c>
      <c r="C318" s="49">
        <v>69.75</v>
      </c>
      <c r="D318" s="49">
        <v>56.080002</v>
      </c>
      <c r="E318" s="49">
        <v>56.18</v>
      </c>
      <c r="F318" s="49">
        <v>68.269997000000004</v>
      </c>
      <c r="G318" s="49">
        <v>32.270000000000003</v>
      </c>
      <c r="H318" s="49">
        <v>40.68</v>
      </c>
      <c r="J318" s="78">
        <f>IF(inter=Weekly_2,J317+$C$5,IF(inter=Bi_weekly_2,J316+$C$5,IF(inter=Monthly_2,J314+$C$5,IF(inter=Quarterly_2,0,IF(inter=Yearly_2,0,IF(inter=None_2,0,0))))))</f>
        <v>102800</v>
      </c>
      <c r="K318" s="79">
        <f t="shared" si="340"/>
        <v>-1552.5477359935467</v>
      </c>
      <c r="L318" s="79">
        <f t="shared" si="341"/>
        <v>-489.47026563938743</v>
      </c>
      <c r="M318" s="79">
        <f t="shared" si="342"/>
        <v>-335.83788425210332</v>
      </c>
      <c r="N318" s="79">
        <f t="shared" si="343"/>
        <v>-382.33428378906319</v>
      </c>
      <c r="O318" s="79">
        <f t="shared" si="344"/>
        <v>-940.28454175028673</v>
      </c>
      <c r="P318" s="79">
        <f t="shared" si="345"/>
        <v>-515.01912045889185</v>
      </c>
      <c r="Q318" s="79"/>
      <c r="R318" s="80">
        <f t="shared" si="303"/>
        <v>22.258748903133284</v>
      </c>
      <c r="S318" s="80">
        <f t="shared" si="304"/>
        <v>8.7280714725970849</v>
      </c>
      <c r="T318" s="80">
        <f t="shared" si="305"/>
        <v>5.9778904281257264</v>
      </c>
      <c r="U318" s="80">
        <f t="shared" si="306"/>
        <v>5.6003266528496134</v>
      </c>
      <c r="V318" s="80">
        <f t="shared" si="307"/>
        <v>29.138039719562649</v>
      </c>
      <c r="W318" s="80">
        <f t="shared" si="308"/>
        <v>12.660253698596161</v>
      </c>
      <c r="X318" s="80">
        <f t="shared" si="359"/>
        <v>515.84229390681003</v>
      </c>
      <c r="Y318" s="80">
        <f t="shared" si="360"/>
        <v>183.3095512371772</v>
      </c>
      <c r="Z318" s="80">
        <f t="shared" si="361"/>
        <v>146.38661445354219</v>
      </c>
      <c r="AA318" s="80">
        <f t="shared" si="362"/>
        <v>105.40501415284962</v>
      </c>
      <c r="AB318" s="80">
        <f t="shared" si="363"/>
        <v>796.4053300278897</v>
      </c>
      <c r="AC318" s="80">
        <f t="shared" si="364"/>
        <v>379.05604719764011</v>
      </c>
      <c r="AD318" s="80"/>
      <c r="AE318" s="80"/>
      <c r="AF318" s="80"/>
      <c r="AG318" s="80"/>
      <c r="AH318" s="80"/>
      <c r="AI318" s="80"/>
      <c r="AJ318" s="45">
        <f t="shared" si="309"/>
        <v>0</v>
      </c>
      <c r="AK318" s="45">
        <f t="shared" si="310"/>
        <v>0</v>
      </c>
      <c r="AL318" s="45">
        <f t="shared" si="311"/>
        <v>0</v>
      </c>
      <c r="AM318" s="45">
        <f t="shared" si="312"/>
        <v>0</v>
      </c>
      <c r="AN318" s="45">
        <f t="shared" si="313"/>
        <v>0</v>
      </c>
      <c r="AO318" s="45">
        <f t="shared" si="314"/>
        <v>0</v>
      </c>
      <c r="AP318" s="80">
        <f t="shared" si="315"/>
        <v>0</v>
      </c>
      <c r="AQ318" s="80">
        <f t="shared" si="316"/>
        <v>0</v>
      </c>
      <c r="AR318" s="80">
        <f t="shared" si="317"/>
        <v>0</v>
      </c>
      <c r="AS318" s="80">
        <f t="shared" si="318"/>
        <v>0</v>
      </c>
      <c r="AT318" s="80">
        <f t="shared" si="319"/>
        <v>0</v>
      </c>
      <c r="AU318" s="80">
        <f t="shared" si="320"/>
        <v>0</v>
      </c>
      <c r="AV318" s="80">
        <f t="shared" si="365"/>
        <v>37.277718392309822</v>
      </c>
      <c r="AW318" s="80">
        <f t="shared" si="366"/>
        <v>18.499800947691853</v>
      </c>
      <c r="AX318" s="80">
        <f t="shared" si="367"/>
        <v>10.811701855878232</v>
      </c>
      <c r="AY318" s="80">
        <f t="shared" si="368"/>
        <v>7.9790880151842218</v>
      </c>
      <c r="AZ318" s="80">
        <f t="shared" si="369"/>
        <v>79.400270407040125</v>
      </c>
      <c r="BA318" s="80">
        <f t="shared" si="370"/>
        <v>32.467093594216024</v>
      </c>
      <c r="BB318" s="80">
        <f t="shared" si="346"/>
        <v>553.12001229911982</v>
      </c>
      <c r="BC318" s="80">
        <f t="shared" si="347"/>
        <v>201.80935218486906</v>
      </c>
      <c r="BD318" s="80">
        <f t="shared" si="348"/>
        <v>157.19831630942042</v>
      </c>
      <c r="BE318" s="80">
        <f t="shared" si="349"/>
        <v>113.38410216803383</v>
      </c>
      <c r="BF318" s="80">
        <f t="shared" si="350"/>
        <v>875.80560043492983</v>
      </c>
      <c r="BG318" s="80">
        <f t="shared" si="351"/>
        <v>411.52314079185612</v>
      </c>
      <c r="BH318" s="49">
        <f t="shared" si="352"/>
        <v>0</v>
      </c>
      <c r="BI318" s="79">
        <f t="shared" si="353"/>
        <v>-91296.577266454799</v>
      </c>
      <c r="BJ318" s="79">
        <f t="shared" si="321"/>
        <v>102800</v>
      </c>
      <c r="BK318" s="44">
        <f t="shared" si="354"/>
        <v>0.12600059145669551</v>
      </c>
      <c r="BL318" s="79">
        <f t="shared" si="371"/>
        <v>7799.2509814814621</v>
      </c>
      <c r="BM318" s="49">
        <f t="shared" si="355"/>
        <v>110599.25098148145</v>
      </c>
      <c r="BN318" s="44">
        <f t="shared" si="356"/>
        <v>0.2114282297647434</v>
      </c>
      <c r="BO318" s="49">
        <f t="shared" si="322"/>
        <v>8672.7315505802653</v>
      </c>
      <c r="BP318" s="49">
        <f t="shared" si="323"/>
        <v>111472.73155058027</v>
      </c>
      <c r="BQ318" s="44">
        <f t="shared" si="324"/>
        <v>0.22099573596543598</v>
      </c>
      <c r="BS318" s="49">
        <f t="shared" si="325"/>
        <v>91296.577266454799</v>
      </c>
      <c r="BT318" s="49">
        <f t="shared" si="301"/>
        <v>69.75</v>
      </c>
      <c r="BU318" s="49">
        <f t="shared" si="302"/>
        <v>40.68</v>
      </c>
      <c r="BV318" s="49">
        <f t="shared" si="326"/>
        <v>4215.4938318832792</v>
      </c>
      <c r="BW318" s="18">
        <f t="shared" si="327"/>
        <v>1932</v>
      </c>
      <c r="BX318" s="19">
        <f t="shared" si="357"/>
        <v>0.55688073394495408</v>
      </c>
      <c r="BY318" s="49">
        <f t="shared" si="358"/>
        <v>2347.5272990395874</v>
      </c>
      <c r="BZ318" s="19">
        <f t="shared" si="328"/>
        <v>22.258748903133284</v>
      </c>
      <c r="CA318" s="19">
        <f t="shared" si="329"/>
        <v>8.7280714725970849</v>
      </c>
      <c r="CB318" s="19">
        <f t="shared" si="330"/>
        <v>5.9778904281257264</v>
      </c>
      <c r="CC318" s="19">
        <f t="shared" si="331"/>
        <v>5.6003266528496134</v>
      </c>
      <c r="CD318" s="19">
        <f t="shared" si="332"/>
        <v>29.138039719562649</v>
      </c>
      <c r="CE318" s="19">
        <f t="shared" si="333"/>
        <v>12.660253698596161</v>
      </c>
      <c r="CF318" s="49">
        <f t="shared" si="334"/>
        <v>-1552.5477359935467</v>
      </c>
      <c r="CG318" s="49">
        <f t="shared" si="335"/>
        <v>-489.47026563938743</v>
      </c>
      <c r="CH318" s="49">
        <f t="shared" si="336"/>
        <v>-335.83788425210332</v>
      </c>
      <c r="CI318" s="49">
        <f t="shared" si="337"/>
        <v>-382.33428378906319</v>
      </c>
      <c r="CJ318" s="49">
        <f t="shared" si="338"/>
        <v>-940.28454175028673</v>
      </c>
      <c r="CK318" s="49">
        <f t="shared" si="339"/>
        <v>-515.01912045889185</v>
      </c>
    </row>
    <row r="319" spans="2:89" ht="12.75" customHeight="1" x14ac:dyDescent="0.2">
      <c r="B319" s="77">
        <v>41232</v>
      </c>
      <c r="C319" s="49">
        <v>72.379997000000003</v>
      </c>
      <c r="D319" s="49">
        <v>57.93</v>
      </c>
      <c r="E319" s="49">
        <v>58.009998000000003</v>
      </c>
      <c r="F319" s="49">
        <v>70.879997000000003</v>
      </c>
      <c r="G319" s="49">
        <v>33.790000999999997</v>
      </c>
      <c r="H319" s="49">
        <v>41.880001</v>
      </c>
      <c r="J319" s="78">
        <f>IF(inter=Weekly_2,J318+$C$5,IF(inter=Bi_weekly_2,0,IF(inter=Monthly_2,0,IF(inter=Quarterly_2,0,IF(inter=Yearly_2,0,IF(inter=None_2,0,0))))))</f>
        <v>0</v>
      </c>
      <c r="K319" s="79">
        <f t="shared" si="340"/>
        <v>0</v>
      </c>
      <c r="L319" s="79">
        <f t="shared" si="341"/>
        <v>0</v>
      </c>
      <c r="M319" s="79">
        <f t="shared" si="342"/>
        <v>0</v>
      </c>
      <c r="N319" s="79">
        <f t="shared" si="343"/>
        <v>0</v>
      </c>
      <c r="O319" s="79">
        <f t="shared" si="344"/>
        <v>0</v>
      </c>
      <c r="P319" s="79">
        <f t="shared" si="345"/>
        <v>0</v>
      </c>
      <c r="Q319" s="79"/>
      <c r="R319" s="80">
        <f t="shared" si="303"/>
        <v>0</v>
      </c>
      <c r="S319" s="80">
        <f t="shared" si="304"/>
        <v>0</v>
      </c>
      <c r="T319" s="80">
        <f t="shared" si="305"/>
        <v>0</v>
      </c>
      <c r="U319" s="80">
        <f t="shared" si="306"/>
        <v>0</v>
      </c>
      <c r="V319" s="80">
        <f t="shared" si="307"/>
        <v>0</v>
      </c>
      <c r="W319" s="80">
        <f t="shared" si="308"/>
        <v>0</v>
      </c>
      <c r="X319" s="80">
        <f t="shared" si="359"/>
        <v>515.84229390681003</v>
      </c>
      <c r="Y319" s="80">
        <f t="shared" si="360"/>
        <v>183.3095512371772</v>
      </c>
      <c r="Z319" s="80">
        <f t="shared" si="361"/>
        <v>146.38661445354219</v>
      </c>
      <c r="AA319" s="80">
        <f t="shared" si="362"/>
        <v>105.40501415284962</v>
      </c>
      <c r="AB319" s="80">
        <f t="shared" si="363"/>
        <v>796.4053300278897</v>
      </c>
      <c r="AC319" s="80">
        <f t="shared" si="364"/>
        <v>379.05604719764011</v>
      </c>
      <c r="AD319" s="80"/>
      <c r="AE319" s="80"/>
      <c r="AF319" s="80"/>
      <c r="AG319" s="80"/>
      <c r="AH319" s="80"/>
      <c r="AI319" s="80"/>
      <c r="AJ319" s="45">
        <f t="shared" si="309"/>
        <v>0</v>
      </c>
      <c r="AK319" s="45">
        <f t="shared" si="310"/>
        <v>0</v>
      </c>
      <c r="AL319" s="45">
        <f t="shared" si="311"/>
        <v>0</v>
      </c>
      <c r="AM319" s="45">
        <f t="shared" si="312"/>
        <v>0</v>
      </c>
      <c r="AN319" s="45">
        <f t="shared" si="313"/>
        <v>0</v>
      </c>
      <c r="AO319" s="45">
        <f t="shared" si="314"/>
        <v>0</v>
      </c>
      <c r="AP319" s="80">
        <f t="shared" si="315"/>
        <v>0</v>
      </c>
      <c r="AQ319" s="80">
        <f t="shared" si="316"/>
        <v>0</v>
      </c>
      <c r="AR319" s="80">
        <f t="shared" si="317"/>
        <v>0</v>
      </c>
      <c r="AS319" s="80">
        <f t="shared" si="318"/>
        <v>0</v>
      </c>
      <c r="AT319" s="80">
        <f t="shared" si="319"/>
        <v>0</v>
      </c>
      <c r="AU319" s="80">
        <f t="shared" si="320"/>
        <v>0</v>
      </c>
      <c r="AV319" s="80">
        <f t="shared" si="365"/>
        <v>37.277718392309822</v>
      </c>
      <c r="AW319" s="80">
        <f t="shared" si="366"/>
        <v>18.499800947691853</v>
      </c>
      <c r="AX319" s="80">
        <f t="shared" si="367"/>
        <v>10.811701855878232</v>
      </c>
      <c r="AY319" s="80">
        <f t="shared" si="368"/>
        <v>7.9790880151842218</v>
      </c>
      <c r="AZ319" s="80">
        <f t="shared" si="369"/>
        <v>79.400270407040125</v>
      </c>
      <c r="BA319" s="80">
        <f t="shared" si="370"/>
        <v>32.467093594216024</v>
      </c>
      <c r="BB319" s="80">
        <f t="shared" si="346"/>
        <v>553.12001229911982</v>
      </c>
      <c r="BC319" s="80">
        <f t="shared" si="347"/>
        <v>201.80935218486906</v>
      </c>
      <c r="BD319" s="80">
        <f t="shared" si="348"/>
        <v>157.19831630942042</v>
      </c>
      <c r="BE319" s="80">
        <f t="shared" si="349"/>
        <v>113.38410216803383</v>
      </c>
      <c r="BF319" s="80">
        <f t="shared" si="350"/>
        <v>875.80560043492983</v>
      </c>
      <c r="BG319" s="80">
        <f t="shared" si="351"/>
        <v>411.52314079185612</v>
      </c>
      <c r="BH319" s="49">
        <f t="shared" si="352"/>
        <v>0</v>
      </c>
      <c r="BI319" s="79">
        <f t="shared" si="353"/>
        <v>-91296.577266454799</v>
      </c>
      <c r="BJ319" s="79">
        <f t="shared" si="321"/>
        <v>106704.18482097432</v>
      </c>
      <c r="BK319" s="44">
        <f t="shared" si="354"/>
        <v>0.16876435038250603</v>
      </c>
      <c r="BL319" s="79">
        <f t="shared" si="371"/>
        <v>7799.2509814814621</v>
      </c>
      <c r="BM319" s="49">
        <f t="shared" si="355"/>
        <v>114503.43580245579</v>
      </c>
      <c r="BN319" s="44">
        <f t="shared" si="356"/>
        <v>0.25419198869055415</v>
      </c>
      <c r="BO319" s="49">
        <f t="shared" si="322"/>
        <v>9005.256280564121</v>
      </c>
      <c r="BP319" s="49">
        <f t="shared" si="323"/>
        <v>115709.44110153845</v>
      </c>
      <c r="BQ319" s="44">
        <f t="shared" si="324"/>
        <v>0.26740174238770398</v>
      </c>
      <c r="BS319" s="49">
        <f t="shared" si="325"/>
        <v>91296.577266454799</v>
      </c>
      <c r="BT319" s="49">
        <f t="shared" si="301"/>
        <v>72.379997000000003</v>
      </c>
      <c r="BU319" s="49">
        <f t="shared" si="302"/>
        <v>41.880001</v>
      </c>
      <c r="BV319" s="49">
        <f t="shared" si="326"/>
        <v>0</v>
      </c>
      <c r="BW319" s="18">
        <f t="shared" si="327"/>
        <v>1939</v>
      </c>
      <c r="BX319" s="19">
        <f t="shared" si="357"/>
        <v>0.55527522935779816</v>
      </c>
      <c r="BY319" s="49">
        <f t="shared" si="358"/>
        <v>0</v>
      </c>
      <c r="BZ319" s="19">
        <f t="shared" si="328"/>
        <v>0</v>
      </c>
      <c r="CA319" s="19">
        <f t="shared" si="329"/>
        <v>0</v>
      </c>
      <c r="CB319" s="19">
        <f t="shared" si="330"/>
        <v>0</v>
      </c>
      <c r="CC319" s="19">
        <f t="shared" si="331"/>
        <v>0</v>
      </c>
      <c r="CD319" s="19">
        <f t="shared" si="332"/>
        <v>0</v>
      </c>
      <c r="CE319" s="19">
        <f t="shared" si="333"/>
        <v>0</v>
      </c>
      <c r="CF319" s="49">
        <f t="shared" si="334"/>
        <v>0</v>
      </c>
      <c r="CG319" s="49">
        <f t="shared" si="335"/>
        <v>0</v>
      </c>
      <c r="CH319" s="49">
        <f t="shared" si="336"/>
        <v>0</v>
      </c>
      <c r="CI319" s="49">
        <f t="shared" si="337"/>
        <v>0</v>
      </c>
      <c r="CJ319" s="49">
        <f t="shared" si="338"/>
        <v>0</v>
      </c>
      <c r="CK319" s="49">
        <f t="shared" si="339"/>
        <v>0</v>
      </c>
    </row>
    <row r="320" spans="2:89" ht="12.75" customHeight="1" x14ac:dyDescent="0.2">
      <c r="B320" s="77">
        <v>41239</v>
      </c>
      <c r="C320" s="49">
        <v>72.879997000000003</v>
      </c>
      <c r="D320" s="49">
        <v>58.060001</v>
      </c>
      <c r="E320" s="49">
        <v>58.560001</v>
      </c>
      <c r="F320" s="49">
        <v>72.120002999999997</v>
      </c>
      <c r="G320" s="49">
        <v>34.130001</v>
      </c>
      <c r="H320" s="49">
        <v>42.02</v>
      </c>
      <c r="J320" s="78">
        <f>IF(inter=Weekly_2,J319+$C$5,IF(inter=Bi_weekly_2,J318+$C$5,IF(inter=Monthly_2,0,IF(inter=Quarterly_2,0,IF(inter=Yearly_2,0,IF(inter=None_2,0,0))))))</f>
        <v>103400</v>
      </c>
      <c r="K320" s="79">
        <f t="shared" si="340"/>
        <v>1404.5848324014369</v>
      </c>
      <c r="L320" s="79">
        <f t="shared" si="341"/>
        <v>302.95272814005875</v>
      </c>
      <c r="M320" s="79">
        <f t="shared" si="342"/>
        <v>300.40028878604608</v>
      </c>
      <c r="N320" s="79">
        <f t="shared" si="343"/>
        <v>363.80993691855565</v>
      </c>
      <c r="O320" s="79">
        <f t="shared" si="344"/>
        <v>1331.3147102572038</v>
      </c>
      <c r="P320" s="79">
        <f t="shared" si="345"/>
        <v>417.93510324483941</v>
      </c>
      <c r="Q320" s="79"/>
      <c r="R320" s="80">
        <f t="shared" si="303"/>
        <v>-19.272569843841197</v>
      </c>
      <c r="S320" s="80">
        <f t="shared" si="304"/>
        <v>-5.2179249555999618</v>
      </c>
      <c r="T320" s="80">
        <f t="shared" si="305"/>
        <v>-5.1297862646219228</v>
      </c>
      <c r="U320" s="80">
        <f t="shared" si="306"/>
        <v>-5.0445080669028215</v>
      </c>
      <c r="V320" s="80">
        <f t="shared" si="307"/>
        <v>-39.007168803106801</v>
      </c>
      <c r="W320" s="80">
        <f t="shared" si="308"/>
        <v>-9.9460995536610994</v>
      </c>
      <c r="X320" s="80">
        <f t="shared" si="359"/>
        <v>496.56972406296882</v>
      </c>
      <c r="Y320" s="80">
        <f t="shared" si="360"/>
        <v>178.09162628157725</v>
      </c>
      <c r="Z320" s="80">
        <f t="shared" si="361"/>
        <v>141.25682818892028</v>
      </c>
      <c r="AA320" s="80">
        <f t="shared" si="362"/>
        <v>100.3605060859468</v>
      </c>
      <c r="AB320" s="80">
        <f t="shared" si="363"/>
        <v>757.39816122478294</v>
      </c>
      <c r="AC320" s="80">
        <f t="shared" si="364"/>
        <v>369.10994764397901</v>
      </c>
      <c r="AD320" s="80"/>
      <c r="AE320" s="80"/>
      <c r="AF320" s="80"/>
      <c r="AG320" s="80"/>
      <c r="AH320" s="80"/>
      <c r="AI320" s="80"/>
      <c r="AJ320" s="45">
        <f t="shared" si="309"/>
        <v>0</v>
      </c>
      <c r="AK320" s="45">
        <f t="shared" si="310"/>
        <v>0</v>
      </c>
      <c r="AL320" s="45">
        <f t="shared" si="311"/>
        <v>0</v>
      </c>
      <c r="AM320" s="45">
        <f t="shared" si="312"/>
        <v>0</v>
      </c>
      <c r="AN320" s="45">
        <f t="shared" si="313"/>
        <v>0</v>
      </c>
      <c r="AO320" s="45">
        <f t="shared" si="314"/>
        <v>0</v>
      </c>
      <c r="AP320" s="80">
        <f t="shared" si="315"/>
        <v>0</v>
      </c>
      <c r="AQ320" s="80">
        <f t="shared" si="316"/>
        <v>0</v>
      </c>
      <c r="AR320" s="80">
        <f t="shared" si="317"/>
        <v>0</v>
      </c>
      <c r="AS320" s="80">
        <f t="shared" si="318"/>
        <v>0</v>
      </c>
      <c r="AT320" s="80">
        <f t="shared" si="319"/>
        <v>0</v>
      </c>
      <c r="AU320" s="80">
        <f t="shared" si="320"/>
        <v>0</v>
      </c>
      <c r="AV320" s="80">
        <f t="shared" si="365"/>
        <v>37.277718392309822</v>
      </c>
      <c r="AW320" s="80">
        <f t="shared" si="366"/>
        <v>18.499800947691853</v>
      </c>
      <c r="AX320" s="80">
        <f t="shared" si="367"/>
        <v>10.811701855878232</v>
      </c>
      <c r="AY320" s="80">
        <f t="shared" si="368"/>
        <v>7.9790880151842218</v>
      </c>
      <c r="AZ320" s="80">
        <f t="shared" si="369"/>
        <v>79.400270407040125</v>
      </c>
      <c r="BA320" s="80">
        <f t="shared" si="370"/>
        <v>32.467093594216024</v>
      </c>
      <c r="BB320" s="80">
        <f t="shared" si="346"/>
        <v>533.84744245527861</v>
      </c>
      <c r="BC320" s="80">
        <f t="shared" si="347"/>
        <v>196.5914272292691</v>
      </c>
      <c r="BD320" s="80">
        <f t="shared" si="348"/>
        <v>152.06853004479851</v>
      </c>
      <c r="BE320" s="80">
        <f t="shared" si="349"/>
        <v>108.33959410113101</v>
      </c>
      <c r="BF320" s="80">
        <f t="shared" si="350"/>
        <v>836.79843163182306</v>
      </c>
      <c r="BG320" s="80">
        <f t="shared" si="351"/>
        <v>401.57704123819502</v>
      </c>
      <c r="BH320" s="49">
        <f t="shared" si="352"/>
        <v>0</v>
      </c>
      <c r="BI320" s="79">
        <f t="shared" si="353"/>
        <v>-87175.579666706675</v>
      </c>
      <c r="BJ320" s="79">
        <f t="shared" si="321"/>
        <v>103400</v>
      </c>
      <c r="BK320" s="44">
        <f t="shared" si="354"/>
        <v>0.1861119868123986</v>
      </c>
      <c r="BL320" s="79">
        <f t="shared" si="371"/>
        <v>7799.2509814814621</v>
      </c>
      <c r="BM320" s="49">
        <f t="shared" si="355"/>
        <v>111199.25098148145</v>
      </c>
      <c r="BN320" s="44">
        <f t="shared" si="356"/>
        <v>0.27557799336262612</v>
      </c>
      <c r="BO320" s="49">
        <f t="shared" si="322"/>
        <v>9073.6821704269641</v>
      </c>
      <c r="BP320" s="49">
        <f t="shared" si="323"/>
        <v>112473.68217042697</v>
      </c>
      <c r="BQ320" s="44">
        <f t="shared" si="324"/>
        <v>0.29019712401616427</v>
      </c>
      <c r="BS320" s="49">
        <f t="shared" si="325"/>
        <v>87175.579666706675</v>
      </c>
      <c r="BT320" s="49">
        <f t="shared" si="301"/>
        <v>72.879997000000003</v>
      </c>
      <c r="BU320" s="49">
        <f t="shared" si="302"/>
        <v>42.02</v>
      </c>
      <c r="BV320" s="49">
        <f t="shared" si="326"/>
        <v>-4120.9975997481406</v>
      </c>
      <c r="BW320" s="18">
        <f t="shared" si="327"/>
        <v>1946</v>
      </c>
      <c r="BX320" s="19">
        <f t="shared" si="357"/>
        <v>0.55366972477064225</v>
      </c>
      <c r="BY320" s="49">
        <f t="shared" si="358"/>
        <v>-2281.6716068330302</v>
      </c>
      <c r="BZ320" s="19">
        <f t="shared" si="328"/>
        <v>0</v>
      </c>
      <c r="CA320" s="19">
        <f t="shared" si="329"/>
        <v>0</v>
      </c>
      <c r="CB320" s="19">
        <f t="shared" si="330"/>
        <v>0</v>
      </c>
      <c r="CC320" s="19">
        <f t="shared" si="331"/>
        <v>0</v>
      </c>
      <c r="CD320" s="19">
        <f t="shared" si="332"/>
        <v>0</v>
      </c>
      <c r="CE320" s="19">
        <f t="shared" si="333"/>
        <v>0</v>
      </c>
      <c r="CF320" s="49">
        <f t="shared" si="334"/>
        <v>0</v>
      </c>
      <c r="CG320" s="49">
        <f t="shared" si="335"/>
        <v>0</v>
      </c>
      <c r="CH320" s="49">
        <f t="shared" si="336"/>
        <v>0</v>
      </c>
      <c r="CI320" s="49">
        <f t="shared" si="337"/>
        <v>0</v>
      </c>
      <c r="CJ320" s="49">
        <f t="shared" si="338"/>
        <v>0</v>
      </c>
      <c r="CK320" s="49">
        <f t="shared" si="339"/>
        <v>0</v>
      </c>
    </row>
    <row r="321" spans="2:89" ht="12.75" customHeight="1" x14ac:dyDescent="0.2">
      <c r="B321" s="77">
        <v>41246</v>
      </c>
      <c r="C321" s="49">
        <v>73.040001000000004</v>
      </c>
      <c r="D321" s="49">
        <v>58.740001999999997</v>
      </c>
      <c r="E321" s="49">
        <v>59.060001</v>
      </c>
      <c r="F321" s="49">
        <v>72.419998000000007</v>
      </c>
      <c r="G321" s="49">
        <v>34.380001</v>
      </c>
      <c r="H321" s="49">
        <v>43.040000999999997</v>
      </c>
      <c r="J321" s="78">
        <f>IF(inter=Weekly_2,J320+$C$5,IF(inter=Bi_weekly_2,0,IF(inter=Monthly_2,0,IF(inter=Quarterly_2,0,IF(inter=Yearly_2,0,IF(inter=None_2,0,0))))))</f>
        <v>0</v>
      </c>
      <c r="K321" s="79">
        <f t="shared" si="340"/>
        <v>0</v>
      </c>
      <c r="L321" s="79">
        <f t="shared" si="341"/>
        <v>0</v>
      </c>
      <c r="M321" s="79">
        <f t="shared" si="342"/>
        <v>0</v>
      </c>
      <c r="N321" s="79">
        <f t="shared" si="343"/>
        <v>0</v>
      </c>
      <c r="O321" s="79">
        <f t="shared" si="344"/>
        <v>0</v>
      </c>
      <c r="P321" s="79">
        <f t="shared" si="345"/>
        <v>0</v>
      </c>
      <c r="Q321" s="79"/>
      <c r="R321" s="80">
        <f t="shared" si="303"/>
        <v>0</v>
      </c>
      <c r="S321" s="80">
        <f t="shared" si="304"/>
        <v>0</v>
      </c>
      <c r="T321" s="80">
        <f t="shared" si="305"/>
        <v>0</v>
      </c>
      <c r="U321" s="80">
        <f t="shared" si="306"/>
        <v>0</v>
      </c>
      <c r="V321" s="80">
        <f t="shared" si="307"/>
        <v>0</v>
      </c>
      <c r="W321" s="80">
        <f t="shared" si="308"/>
        <v>0</v>
      </c>
      <c r="X321" s="80">
        <f t="shared" si="359"/>
        <v>496.56972406296882</v>
      </c>
      <c r="Y321" s="80">
        <f t="shared" si="360"/>
        <v>178.09162628157725</v>
      </c>
      <c r="Z321" s="80">
        <f t="shared" si="361"/>
        <v>141.25682818892028</v>
      </c>
      <c r="AA321" s="80">
        <f t="shared" si="362"/>
        <v>100.3605060859468</v>
      </c>
      <c r="AB321" s="80">
        <f t="shared" si="363"/>
        <v>757.39816122478294</v>
      </c>
      <c r="AC321" s="80">
        <f t="shared" si="364"/>
        <v>369.10994764397901</v>
      </c>
      <c r="AD321" s="80"/>
      <c r="AE321" s="80"/>
      <c r="AF321" s="80"/>
      <c r="AG321" s="80"/>
      <c r="AH321" s="80"/>
      <c r="AI321" s="80"/>
      <c r="AJ321" s="45">
        <f t="shared" si="309"/>
        <v>0</v>
      </c>
      <c r="AK321" s="45">
        <f t="shared" si="310"/>
        <v>0</v>
      </c>
      <c r="AL321" s="45">
        <f t="shared" si="311"/>
        <v>0</v>
      </c>
      <c r="AM321" s="45">
        <f t="shared" si="312"/>
        <v>0</v>
      </c>
      <c r="AN321" s="45">
        <f t="shared" si="313"/>
        <v>0</v>
      </c>
      <c r="AO321" s="45">
        <f t="shared" si="314"/>
        <v>0</v>
      </c>
      <c r="AP321" s="80">
        <f t="shared" si="315"/>
        <v>0</v>
      </c>
      <c r="AQ321" s="80">
        <f t="shared" si="316"/>
        <v>0</v>
      </c>
      <c r="AR321" s="80">
        <f t="shared" si="317"/>
        <v>0</v>
      </c>
      <c r="AS321" s="80">
        <f t="shared" si="318"/>
        <v>0</v>
      </c>
      <c r="AT321" s="80">
        <f t="shared" si="319"/>
        <v>0</v>
      </c>
      <c r="AU321" s="80">
        <f t="shared" si="320"/>
        <v>0</v>
      </c>
      <c r="AV321" s="80">
        <f t="shared" si="365"/>
        <v>37.277718392309822</v>
      </c>
      <c r="AW321" s="80">
        <f t="shared" si="366"/>
        <v>18.499800947691853</v>
      </c>
      <c r="AX321" s="80">
        <f t="shared" si="367"/>
        <v>10.811701855878232</v>
      </c>
      <c r="AY321" s="80">
        <f t="shared" si="368"/>
        <v>7.9790880151842218</v>
      </c>
      <c r="AZ321" s="80">
        <f t="shared" si="369"/>
        <v>79.400270407040125</v>
      </c>
      <c r="BA321" s="80">
        <f t="shared" si="370"/>
        <v>32.467093594216024</v>
      </c>
      <c r="BB321" s="80">
        <f t="shared" si="346"/>
        <v>533.84744245527861</v>
      </c>
      <c r="BC321" s="80">
        <f t="shared" si="347"/>
        <v>196.5914272292691</v>
      </c>
      <c r="BD321" s="80">
        <f t="shared" si="348"/>
        <v>152.06853004479851</v>
      </c>
      <c r="BE321" s="80">
        <f t="shared" si="349"/>
        <v>108.33959410113101</v>
      </c>
      <c r="BF321" s="80">
        <f t="shared" si="350"/>
        <v>836.79843163182306</v>
      </c>
      <c r="BG321" s="80">
        <f t="shared" si="351"/>
        <v>401.57704123819502</v>
      </c>
      <c r="BH321" s="49">
        <f t="shared" si="352"/>
        <v>0</v>
      </c>
      <c r="BI321" s="79">
        <f t="shared" si="353"/>
        <v>-87175.579666706675</v>
      </c>
      <c r="BJ321" s="79">
        <f t="shared" si="321"/>
        <v>104267.13374622278</v>
      </c>
      <c r="BK321" s="44">
        <f t="shared" si="354"/>
        <v>0.19605896679851464</v>
      </c>
      <c r="BL321" s="79">
        <f t="shared" si="371"/>
        <v>7799.2509814814621</v>
      </c>
      <c r="BM321" s="49">
        <f t="shared" si="355"/>
        <v>112066.38472770425</v>
      </c>
      <c r="BN321" s="44">
        <f t="shared" si="356"/>
        <v>0.28552497334874216</v>
      </c>
      <c r="BO321" s="49">
        <f t="shared" si="322"/>
        <v>9152.9927105968454</v>
      </c>
      <c r="BP321" s="49">
        <f t="shared" si="323"/>
        <v>113420.12645681962</v>
      </c>
      <c r="BQ321" s="44">
        <f t="shared" si="324"/>
        <v>0.30105388332893446</v>
      </c>
      <c r="BS321" s="49">
        <f t="shared" si="325"/>
        <v>87175.579666706675</v>
      </c>
      <c r="BT321" s="49">
        <f t="shared" si="301"/>
        <v>73.040001000000004</v>
      </c>
      <c r="BU321" s="49">
        <f t="shared" si="302"/>
        <v>43.040000999999997</v>
      </c>
      <c r="BV321" s="49">
        <f t="shared" si="326"/>
        <v>0</v>
      </c>
      <c r="BW321" s="18">
        <f t="shared" si="327"/>
        <v>1953</v>
      </c>
      <c r="BX321" s="19">
        <f t="shared" si="357"/>
        <v>0.55206422018348622</v>
      </c>
      <c r="BY321" s="49">
        <f t="shared" si="358"/>
        <v>0</v>
      </c>
      <c r="BZ321" s="19">
        <f t="shared" si="328"/>
        <v>0</v>
      </c>
      <c r="CA321" s="19">
        <f t="shared" si="329"/>
        <v>0</v>
      </c>
      <c r="CB321" s="19">
        <f t="shared" si="330"/>
        <v>0</v>
      </c>
      <c r="CC321" s="19">
        <f t="shared" si="331"/>
        <v>0</v>
      </c>
      <c r="CD321" s="19">
        <f t="shared" si="332"/>
        <v>0</v>
      </c>
      <c r="CE321" s="19">
        <f t="shared" si="333"/>
        <v>0</v>
      </c>
      <c r="CF321" s="49">
        <f t="shared" si="334"/>
        <v>0</v>
      </c>
      <c r="CG321" s="49">
        <f t="shared" si="335"/>
        <v>0</v>
      </c>
      <c r="CH321" s="49">
        <f t="shared" si="336"/>
        <v>0</v>
      </c>
      <c r="CI321" s="49">
        <f t="shared" si="337"/>
        <v>0</v>
      </c>
      <c r="CJ321" s="49">
        <f t="shared" si="338"/>
        <v>0</v>
      </c>
      <c r="CK321" s="49">
        <f t="shared" si="339"/>
        <v>0</v>
      </c>
    </row>
    <row r="322" spans="2:89" ht="12.75" customHeight="1" x14ac:dyDescent="0.2">
      <c r="B322" s="77">
        <v>41253</v>
      </c>
      <c r="C322" s="49">
        <v>72.889999000000003</v>
      </c>
      <c r="D322" s="49">
        <v>58.779998999999997</v>
      </c>
      <c r="E322" s="49">
        <v>58.919998</v>
      </c>
      <c r="F322" s="49">
        <v>72.510002</v>
      </c>
      <c r="G322" s="49">
        <v>34.740001999999997</v>
      </c>
      <c r="H322" s="49">
        <v>43.73</v>
      </c>
      <c r="J322" s="78">
        <f>IF(inter=Weekly_2,J321+$C$5,IF(inter=Bi_weekly_2,J320+$C$5,IF(inter=Monthly_2,J318+$C$5,IF(inter=Quarterly_2,0,IF(inter=Yearly_2,0,IF(inter=None_2,0,0))))))</f>
        <v>104000</v>
      </c>
      <c r="K322" s="79">
        <f t="shared" si="340"/>
        <v>-205.03330961992469</v>
      </c>
      <c r="L322" s="79">
        <f t="shared" si="341"/>
        <v>68.225614739483717</v>
      </c>
      <c r="M322" s="79">
        <f t="shared" si="342"/>
        <v>2.8520343775271613</v>
      </c>
      <c r="N322" s="79">
        <f t="shared" si="343"/>
        <v>-2.8595029869866266</v>
      </c>
      <c r="O322" s="79">
        <f t="shared" si="344"/>
        <v>312.01363574527932</v>
      </c>
      <c r="P322" s="79">
        <f t="shared" si="345"/>
        <v>541.17801047120156</v>
      </c>
      <c r="Q322" s="79"/>
      <c r="R322" s="80">
        <f t="shared" si="303"/>
        <v>2.8129141505397013</v>
      </c>
      <c r="S322" s="80">
        <f t="shared" si="304"/>
        <v>-1.1606943841472968</v>
      </c>
      <c r="T322" s="80">
        <f t="shared" si="305"/>
        <v>-4.8405201533224106E-2</v>
      </c>
      <c r="U322" s="80">
        <f t="shared" si="306"/>
        <v>3.9435979976757227E-2</v>
      </c>
      <c r="V322" s="80">
        <f t="shared" si="307"/>
        <v>-8.9813937185518675</v>
      </c>
      <c r="W322" s="80">
        <f t="shared" si="308"/>
        <v>-12.375440440686065</v>
      </c>
      <c r="X322" s="80">
        <f t="shared" si="359"/>
        <v>499.38263821350853</v>
      </c>
      <c r="Y322" s="80">
        <f t="shared" si="360"/>
        <v>176.93093189742996</v>
      </c>
      <c r="Z322" s="80">
        <f t="shared" si="361"/>
        <v>141.20842298738705</v>
      </c>
      <c r="AA322" s="80">
        <f t="shared" si="362"/>
        <v>100.39994206592355</v>
      </c>
      <c r="AB322" s="80">
        <f t="shared" si="363"/>
        <v>748.41676750623105</v>
      </c>
      <c r="AC322" s="80">
        <f t="shared" si="364"/>
        <v>356.73450720329294</v>
      </c>
      <c r="AD322" s="80"/>
      <c r="AE322" s="80"/>
      <c r="AF322" s="80"/>
      <c r="AG322" s="80"/>
      <c r="AH322" s="80"/>
      <c r="AI322" s="80"/>
      <c r="AJ322" s="45">
        <f t="shared" si="309"/>
        <v>0</v>
      </c>
      <c r="AK322" s="45">
        <f t="shared" si="310"/>
        <v>0</v>
      </c>
      <c r="AL322" s="45">
        <f t="shared" si="311"/>
        <v>0</v>
      </c>
      <c r="AM322" s="45">
        <f t="shared" si="312"/>
        <v>0</v>
      </c>
      <c r="AN322" s="45">
        <f t="shared" si="313"/>
        <v>0</v>
      </c>
      <c r="AO322" s="45">
        <f t="shared" si="314"/>
        <v>0</v>
      </c>
      <c r="AP322" s="80">
        <f t="shared" si="315"/>
        <v>0</v>
      </c>
      <c r="AQ322" s="80">
        <f t="shared" si="316"/>
        <v>0</v>
      </c>
      <c r="AR322" s="80">
        <f t="shared" si="317"/>
        <v>0</v>
      </c>
      <c r="AS322" s="80">
        <f t="shared" si="318"/>
        <v>0</v>
      </c>
      <c r="AT322" s="80">
        <f t="shared" si="319"/>
        <v>0</v>
      </c>
      <c r="AU322" s="80">
        <f t="shared" si="320"/>
        <v>0</v>
      </c>
      <c r="AV322" s="80">
        <f t="shared" si="365"/>
        <v>37.277718392309822</v>
      </c>
      <c r="AW322" s="80">
        <f t="shared" si="366"/>
        <v>18.499800947691853</v>
      </c>
      <c r="AX322" s="80">
        <f t="shared" si="367"/>
        <v>10.811701855878232</v>
      </c>
      <c r="AY322" s="80">
        <f t="shared" si="368"/>
        <v>7.9790880151842218</v>
      </c>
      <c r="AZ322" s="80">
        <f t="shared" si="369"/>
        <v>79.400270407040125</v>
      </c>
      <c r="BA322" s="80">
        <f t="shared" si="370"/>
        <v>32.467093594216024</v>
      </c>
      <c r="BB322" s="80">
        <f t="shared" si="346"/>
        <v>536.66035660581838</v>
      </c>
      <c r="BC322" s="80">
        <f t="shared" si="347"/>
        <v>195.43073284512181</v>
      </c>
      <c r="BD322" s="80">
        <f t="shared" si="348"/>
        <v>152.02012484326528</v>
      </c>
      <c r="BE322" s="80">
        <f t="shared" si="349"/>
        <v>108.37903008110777</v>
      </c>
      <c r="BF322" s="80">
        <f t="shared" si="350"/>
        <v>827.81703791327118</v>
      </c>
      <c r="BG322" s="80">
        <f t="shared" si="351"/>
        <v>389.20160079750895</v>
      </c>
      <c r="BH322" s="49">
        <f t="shared" si="352"/>
        <v>0</v>
      </c>
      <c r="BI322" s="79">
        <f t="shared" si="353"/>
        <v>-86459.203183980106</v>
      </c>
      <c r="BJ322" s="79">
        <f t="shared" si="321"/>
        <v>104000</v>
      </c>
      <c r="BK322" s="44">
        <f t="shared" si="354"/>
        <v>0.20287946418722025</v>
      </c>
      <c r="BL322" s="79">
        <f t="shared" si="371"/>
        <v>7799.2509814814621</v>
      </c>
      <c r="BM322" s="49">
        <f t="shared" si="355"/>
        <v>111799.25098148145</v>
      </c>
      <c r="BN322" s="44">
        <f t="shared" si="356"/>
        <v>0.29308676074170159</v>
      </c>
      <c r="BO322" s="49">
        <f t="shared" si="322"/>
        <v>9198.3318328235782</v>
      </c>
      <c r="BP322" s="49">
        <f t="shared" si="323"/>
        <v>113198.33183282358</v>
      </c>
      <c r="BQ322" s="44">
        <f t="shared" si="324"/>
        <v>0.30926873790340381</v>
      </c>
      <c r="BS322" s="49">
        <f t="shared" si="325"/>
        <v>86459.203183980106</v>
      </c>
      <c r="BT322" s="49">
        <f t="shared" si="301"/>
        <v>72.889999000000003</v>
      </c>
      <c r="BU322" s="49">
        <f t="shared" si="302"/>
        <v>43.73</v>
      </c>
      <c r="BV322" s="49">
        <f t="shared" si="326"/>
        <v>-716.37648272658043</v>
      </c>
      <c r="BW322" s="18">
        <f t="shared" si="327"/>
        <v>1960</v>
      </c>
      <c r="BX322" s="19">
        <f t="shared" si="357"/>
        <v>0.55045871559633031</v>
      </c>
      <c r="BY322" s="49">
        <f t="shared" si="358"/>
        <v>-394.33567856509018</v>
      </c>
      <c r="BZ322" s="19">
        <f t="shared" si="328"/>
        <v>2.8129141505397013</v>
      </c>
      <c r="CA322" s="19">
        <f t="shared" si="329"/>
        <v>0</v>
      </c>
      <c r="CB322" s="19">
        <f t="shared" si="330"/>
        <v>0</v>
      </c>
      <c r="CC322" s="19">
        <f t="shared" si="331"/>
        <v>3.9435979976757227E-2</v>
      </c>
      <c r="CD322" s="19">
        <f t="shared" si="332"/>
        <v>0</v>
      </c>
      <c r="CE322" s="19">
        <f t="shared" si="333"/>
        <v>0</v>
      </c>
      <c r="CF322" s="49">
        <f t="shared" si="334"/>
        <v>-205.03330961992469</v>
      </c>
      <c r="CG322" s="49">
        <f t="shared" si="335"/>
        <v>0</v>
      </c>
      <c r="CH322" s="49">
        <f t="shared" si="336"/>
        <v>0</v>
      </c>
      <c r="CI322" s="49">
        <f t="shared" si="337"/>
        <v>-2.8595029869866266</v>
      </c>
      <c r="CJ322" s="49">
        <f t="shared" si="338"/>
        <v>0</v>
      </c>
      <c r="CK322" s="49">
        <f t="shared" si="339"/>
        <v>0</v>
      </c>
    </row>
    <row r="323" spans="2:89" ht="12.75" customHeight="1" x14ac:dyDescent="0.2">
      <c r="B323" s="77">
        <v>41260</v>
      </c>
      <c r="C323" s="49">
        <v>73.430000000000007</v>
      </c>
      <c r="D323" s="49">
        <v>59.549999</v>
      </c>
      <c r="E323" s="49">
        <v>60.040000999999997</v>
      </c>
      <c r="F323" s="49">
        <v>74.610000999999997</v>
      </c>
      <c r="G323" s="49">
        <v>35.060001</v>
      </c>
      <c r="H323" s="49">
        <v>43.419998</v>
      </c>
      <c r="J323" s="78">
        <f>IF(inter=Weekly_2,J322+$C$5,IF(inter=Bi_weekly_2,0,IF(inter=Monthly_2,0,IF(inter=Quarterly_2,0,IF(inter=Yearly_2,0,IF(inter=None_2,0,0))))))</f>
        <v>0</v>
      </c>
      <c r="K323" s="79">
        <f t="shared" si="340"/>
        <v>0</v>
      </c>
      <c r="L323" s="79">
        <f t="shared" si="341"/>
        <v>0</v>
      </c>
      <c r="M323" s="79">
        <f t="shared" si="342"/>
        <v>0</v>
      </c>
      <c r="N323" s="79">
        <f t="shared" si="343"/>
        <v>0</v>
      </c>
      <c r="O323" s="79">
        <f t="shared" si="344"/>
        <v>0</v>
      </c>
      <c r="P323" s="79">
        <f t="shared" si="345"/>
        <v>0</v>
      </c>
      <c r="Q323" s="79"/>
      <c r="R323" s="80">
        <f t="shared" si="303"/>
        <v>0</v>
      </c>
      <c r="S323" s="80">
        <f t="shared" si="304"/>
        <v>0</v>
      </c>
      <c r="T323" s="80">
        <f t="shared" si="305"/>
        <v>0</v>
      </c>
      <c r="U323" s="80">
        <f t="shared" si="306"/>
        <v>0</v>
      </c>
      <c r="V323" s="80">
        <f t="shared" si="307"/>
        <v>0</v>
      </c>
      <c r="W323" s="80">
        <f t="shared" si="308"/>
        <v>0</v>
      </c>
      <c r="X323" s="80">
        <f t="shared" si="359"/>
        <v>499.38263821350853</v>
      </c>
      <c r="Y323" s="80">
        <f t="shared" si="360"/>
        <v>176.93093189742996</v>
      </c>
      <c r="Z323" s="80">
        <f t="shared" si="361"/>
        <v>141.20842298738705</v>
      </c>
      <c r="AA323" s="80">
        <f t="shared" si="362"/>
        <v>100.39994206592355</v>
      </c>
      <c r="AB323" s="80">
        <f t="shared" si="363"/>
        <v>748.41676750623105</v>
      </c>
      <c r="AC323" s="80">
        <f t="shared" si="364"/>
        <v>356.73450720329294</v>
      </c>
      <c r="AD323" s="80">
        <v>0.54500000000000004</v>
      </c>
      <c r="AE323" s="80">
        <v>0.49</v>
      </c>
      <c r="AF323" s="80">
        <v>1.1299999999999999</v>
      </c>
      <c r="AG323" s="80">
        <v>1.8740000000000001</v>
      </c>
      <c r="AH323" s="80">
        <v>0.34599999999999997</v>
      </c>
      <c r="AI323" s="80">
        <v>0.45</v>
      </c>
      <c r="AJ323" s="45">
        <f t="shared" si="309"/>
        <v>272.16353782636219</v>
      </c>
      <c r="AK323" s="45">
        <f t="shared" si="310"/>
        <v>86.69615662974067</v>
      </c>
      <c r="AL323" s="45">
        <f t="shared" si="311"/>
        <v>159.56551797574735</v>
      </c>
      <c r="AM323" s="45">
        <f t="shared" si="312"/>
        <v>188.14949143154075</v>
      </c>
      <c r="AN323" s="45">
        <f t="shared" si="313"/>
        <v>258.95220155715595</v>
      </c>
      <c r="AO323" s="45">
        <f t="shared" si="314"/>
        <v>160.53052824148182</v>
      </c>
      <c r="AP323" s="80">
        <f t="shared" si="315"/>
        <v>3.7064352148490012</v>
      </c>
      <c r="AQ323" s="80">
        <f t="shared" si="316"/>
        <v>1.4558548796909412</v>
      </c>
      <c r="AR323" s="80">
        <f t="shared" si="317"/>
        <v>2.6576534863106906</v>
      </c>
      <c r="AS323" s="80">
        <f t="shared" si="318"/>
        <v>2.5217730721051828</v>
      </c>
      <c r="AT323" s="80">
        <f t="shared" si="319"/>
        <v>7.3859724521159009</v>
      </c>
      <c r="AU323" s="80">
        <f t="shared" si="320"/>
        <v>3.6971565093458048</v>
      </c>
      <c r="AV323" s="80">
        <f t="shared" si="365"/>
        <v>40.984153607158824</v>
      </c>
      <c r="AW323" s="80">
        <f t="shared" si="366"/>
        <v>19.955655827382795</v>
      </c>
      <c r="AX323" s="80">
        <f t="shared" si="367"/>
        <v>13.469355342188923</v>
      </c>
      <c r="AY323" s="80">
        <f t="shared" si="368"/>
        <v>10.500861087289405</v>
      </c>
      <c r="AZ323" s="80">
        <f t="shared" si="369"/>
        <v>86.786242859156033</v>
      </c>
      <c r="BA323" s="80">
        <f t="shared" si="370"/>
        <v>36.164250103561827</v>
      </c>
      <c r="BB323" s="80">
        <f t="shared" si="346"/>
        <v>540.36679182066734</v>
      </c>
      <c r="BC323" s="80">
        <f t="shared" si="347"/>
        <v>196.88658772481276</v>
      </c>
      <c r="BD323" s="80">
        <f t="shared" si="348"/>
        <v>154.67777832957597</v>
      </c>
      <c r="BE323" s="80">
        <f t="shared" si="349"/>
        <v>110.90080315321296</v>
      </c>
      <c r="BF323" s="80">
        <f t="shared" si="350"/>
        <v>835.20301036538706</v>
      </c>
      <c r="BG323" s="80">
        <f t="shared" si="351"/>
        <v>392.89875730685475</v>
      </c>
      <c r="BH323" s="49">
        <f t="shared" si="352"/>
        <v>1126.0574336620289</v>
      </c>
      <c r="BI323" s="79">
        <f t="shared" si="353"/>
        <v>-86459.203183980106</v>
      </c>
      <c r="BJ323" s="79">
        <f t="shared" si="321"/>
        <v>104903.80178337179</v>
      </c>
      <c r="BK323" s="44">
        <f t="shared" si="354"/>
        <v>0.21333297000369833</v>
      </c>
      <c r="BL323" s="79">
        <f t="shared" si="371"/>
        <v>8925.3084151434905</v>
      </c>
      <c r="BM323" s="49">
        <f t="shared" si="355"/>
        <v>113829.11019851528</v>
      </c>
      <c r="BN323" s="44">
        <f t="shared" si="356"/>
        <v>0.31656441427402027</v>
      </c>
      <c r="BO323" s="49">
        <f t="shared" si="322"/>
        <v>10402.972476972973</v>
      </c>
      <c r="BP323" s="49">
        <f t="shared" si="323"/>
        <v>115306.77426034477</v>
      </c>
      <c r="BQ323" s="44">
        <f t="shared" si="324"/>
        <v>0.33365529653307968</v>
      </c>
      <c r="BS323" s="49">
        <f t="shared" si="325"/>
        <v>86459.203183980106</v>
      </c>
      <c r="BT323" s="49">
        <f t="shared" si="301"/>
        <v>73.430000000000007</v>
      </c>
      <c r="BU323" s="49">
        <f t="shared" si="302"/>
        <v>43.419998</v>
      </c>
      <c r="BV323" s="49">
        <f t="shared" si="326"/>
        <v>-1126.0574336620289</v>
      </c>
      <c r="BW323" s="18">
        <f t="shared" si="327"/>
        <v>1967</v>
      </c>
      <c r="BX323" s="19">
        <f t="shared" si="357"/>
        <v>0.54885321100917428</v>
      </c>
      <c r="BY323" s="49">
        <f t="shared" si="358"/>
        <v>-618.04023824615479</v>
      </c>
      <c r="BZ323" s="19">
        <f t="shared" si="328"/>
        <v>0</v>
      </c>
      <c r="CA323" s="19">
        <f t="shared" si="329"/>
        <v>0</v>
      </c>
      <c r="CB323" s="19">
        <f t="shared" si="330"/>
        <v>0</v>
      </c>
      <c r="CC323" s="19">
        <f t="shared" si="331"/>
        <v>0</v>
      </c>
      <c r="CD323" s="19">
        <f t="shared" si="332"/>
        <v>0</v>
      </c>
      <c r="CE323" s="19">
        <f t="shared" si="333"/>
        <v>0</v>
      </c>
      <c r="CF323" s="49">
        <f t="shared" si="334"/>
        <v>0</v>
      </c>
      <c r="CG323" s="49">
        <f t="shared" si="335"/>
        <v>0</v>
      </c>
      <c r="CH323" s="49">
        <f t="shared" si="336"/>
        <v>0</v>
      </c>
      <c r="CI323" s="49">
        <f t="shared" si="337"/>
        <v>0</v>
      </c>
      <c r="CJ323" s="49">
        <f t="shared" si="338"/>
        <v>0</v>
      </c>
      <c r="CK323" s="49">
        <f t="shared" si="339"/>
        <v>0</v>
      </c>
    </row>
    <row r="324" spans="2:89" ht="12.75" customHeight="1" x14ac:dyDescent="0.2">
      <c r="B324" s="77">
        <v>41267</v>
      </c>
      <c r="C324" s="49">
        <v>71.980002999999996</v>
      </c>
      <c r="D324" s="49">
        <v>57.880001</v>
      </c>
      <c r="E324" s="49">
        <v>57.84</v>
      </c>
      <c r="F324" s="49">
        <v>71.370002999999997</v>
      </c>
      <c r="G324" s="49">
        <v>34.720001000000003</v>
      </c>
      <c r="H324" s="49">
        <v>43.880001</v>
      </c>
      <c r="J324" s="78">
        <f>IF(inter=Weekly_2,J323+$C$5,IF(inter=Bi_weekly_2,J322+$C$5,IF(inter=Monthly_2,0,IF(inter=Quarterly_2,0,IF(inter=Yearly_2,0,IF(inter=None_2,0,0))))))</f>
        <v>104600</v>
      </c>
      <c r="K324" s="79">
        <f t="shared" si="340"/>
        <v>-664.43620324374206</v>
      </c>
      <c r="L324" s="79">
        <f t="shared" si="341"/>
        <v>-219.23748484582211</v>
      </c>
      <c r="M324" s="79">
        <f t="shared" si="342"/>
        <v>-200.50481440953263</v>
      </c>
      <c r="N324" s="79">
        <f t="shared" si="343"/>
        <v>-156.45583355521103</v>
      </c>
      <c r="O324" s="79">
        <f t="shared" si="344"/>
        <v>-164.96908376688953</v>
      </c>
      <c r="P324" s="79">
        <f t="shared" si="345"/>
        <v>-36.48946718499792</v>
      </c>
      <c r="Q324" s="79"/>
      <c r="R324" s="80">
        <f t="shared" si="303"/>
        <v>9.2308443394166311</v>
      </c>
      <c r="S324" s="80">
        <f t="shared" si="304"/>
        <v>3.7877933838636615</v>
      </c>
      <c r="T324" s="80">
        <f t="shared" si="305"/>
        <v>3.4665424344663314</v>
      </c>
      <c r="U324" s="80">
        <f t="shared" si="306"/>
        <v>2.192179164616415</v>
      </c>
      <c r="V324" s="80">
        <f t="shared" si="307"/>
        <v>4.7514135661139383</v>
      </c>
      <c r="W324" s="80">
        <f t="shared" si="308"/>
        <v>0.83157398253017178</v>
      </c>
      <c r="X324" s="80">
        <f t="shared" si="359"/>
        <v>508.61348255292518</v>
      </c>
      <c r="Y324" s="80">
        <f t="shared" si="360"/>
        <v>180.71872528129362</v>
      </c>
      <c r="Z324" s="80">
        <f t="shared" si="361"/>
        <v>144.67496542185339</v>
      </c>
      <c r="AA324" s="80">
        <f t="shared" si="362"/>
        <v>102.59212123053997</v>
      </c>
      <c r="AB324" s="80">
        <f t="shared" si="363"/>
        <v>753.16818107234496</v>
      </c>
      <c r="AC324" s="80">
        <f t="shared" si="364"/>
        <v>357.56608118582312</v>
      </c>
      <c r="AD324" s="80"/>
      <c r="AE324" s="80"/>
      <c r="AF324" s="80"/>
      <c r="AG324" s="80"/>
      <c r="AH324" s="80"/>
      <c r="AI324" s="80"/>
      <c r="AJ324" s="45">
        <f t="shared" si="309"/>
        <v>0</v>
      </c>
      <c r="AK324" s="45">
        <f t="shared" si="310"/>
        <v>0</v>
      </c>
      <c r="AL324" s="45">
        <f t="shared" si="311"/>
        <v>0</v>
      </c>
      <c r="AM324" s="45">
        <f t="shared" si="312"/>
        <v>0</v>
      </c>
      <c r="AN324" s="45">
        <f t="shared" si="313"/>
        <v>0</v>
      </c>
      <c r="AO324" s="45">
        <f t="shared" si="314"/>
        <v>0</v>
      </c>
      <c r="AP324" s="80">
        <f t="shared" si="315"/>
        <v>0</v>
      </c>
      <c r="AQ324" s="80">
        <f t="shared" si="316"/>
        <v>0</v>
      </c>
      <c r="AR324" s="80">
        <f t="shared" si="317"/>
        <v>0</v>
      </c>
      <c r="AS324" s="80">
        <f t="shared" si="318"/>
        <v>0</v>
      </c>
      <c r="AT324" s="80">
        <f t="shared" si="319"/>
        <v>0</v>
      </c>
      <c r="AU324" s="80">
        <f t="shared" si="320"/>
        <v>0</v>
      </c>
      <c r="AV324" s="80">
        <f t="shared" si="365"/>
        <v>40.984153607158824</v>
      </c>
      <c r="AW324" s="80">
        <f t="shared" si="366"/>
        <v>19.955655827382795</v>
      </c>
      <c r="AX324" s="80">
        <f t="shared" si="367"/>
        <v>13.469355342188923</v>
      </c>
      <c r="AY324" s="80">
        <f t="shared" si="368"/>
        <v>10.500861087289405</v>
      </c>
      <c r="AZ324" s="80">
        <f t="shared" si="369"/>
        <v>86.786242859156033</v>
      </c>
      <c r="BA324" s="80">
        <f t="shared" si="370"/>
        <v>36.164250103561827</v>
      </c>
      <c r="BB324" s="80">
        <f t="shared" si="346"/>
        <v>549.59763616008399</v>
      </c>
      <c r="BC324" s="80">
        <f t="shared" si="347"/>
        <v>200.67438110867641</v>
      </c>
      <c r="BD324" s="80">
        <f t="shared" si="348"/>
        <v>158.14432076404231</v>
      </c>
      <c r="BE324" s="80">
        <f t="shared" si="349"/>
        <v>113.09298231782938</v>
      </c>
      <c r="BF324" s="80">
        <f t="shared" si="350"/>
        <v>839.95442393150097</v>
      </c>
      <c r="BG324" s="80">
        <f t="shared" si="351"/>
        <v>393.73033128938494</v>
      </c>
      <c r="BH324" s="49">
        <f t="shared" si="352"/>
        <v>0</v>
      </c>
      <c r="BI324" s="79">
        <f t="shared" si="353"/>
        <v>-87901.296070986311</v>
      </c>
      <c r="BJ324" s="79">
        <f t="shared" si="321"/>
        <v>104600</v>
      </c>
      <c r="BK324" s="44">
        <f t="shared" si="354"/>
        <v>0.18997107750866782</v>
      </c>
      <c r="BL324" s="79">
        <f t="shared" si="371"/>
        <v>8925.3084151434905</v>
      </c>
      <c r="BM324" s="49">
        <f t="shared" si="355"/>
        <v>113525.30841514349</v>
      </c>
      <c r="BN324" s="44">
        <f t="shared" si="356"/>
        <v>0.29150892523204708</v>
      </c>
      <c r="BO324" s="49">
        <f t="shared" si="322"/>
        <v>10233.692648699644</v>
      </c>
      <c r="BP324" s="49">
        <f t="shared" si="323"/>
        <v>114833.69264869965</v>
      </c>
      <c r="BQ324" s="44">
        <f t="shared" si="324"/>
        <v>0.30639362309246931</v>
      </c>
      <c r="BS324" s="49">
        <f t="shared" si="325"/>
        <v>87901.296070986311</v>
      </c>
      <c r="BT324" s="49">
        <f t="shared" si="301"/>
        <v>71.980002999999996</v>
      </c>
      <c r="BU324" s="49">
        <f t="shared" si="302"/>
        <v>43.880001</v>
      </c>
      <c r="BV324" s="49">
        <f t="shared" si="326"/>
        <v>1442.0928870061953</v>
      </c>
      <c r="BW324" s="18">
        <f t="shared" si="327"/>
        <v>1974</v>
      </c>
      <c r="BX324" s="19">
        <f t="shared" si="357"/>
        <v>0.54724770642201837</v>
      </c>
      <c r="BY324" s="49">
        <f t="shared" si="358"/>
        <v>789.18202486164728</v>
      </c>
      <c r="BZ324" s="19">
        <f t="shared" si="328"/>
        <v>9.2308443394166311</v>
      </c>
      <c r="CA324" s="19">
        <f t="shared" si="329"/>
        <v>3.7877933838636615</v>
      </c>
      <c r="CB324" s="19">
        <f t="shared" si="330"/>
        <v>3.4665424344663314</v>
      </c>
      <c r="CC324" s="19">
        <f t="shared" si="331"/>
        <v>2.192179164616415</v>
      </c>
      <c r="CD324" s="19">
        <f t="shared" si="332"/>
        <v>4.7514135661139383</v>
      </c>
      <c r="CE324" s="19">
        <f t="shared" si="333"/>
        <v>0.83157398253017178</v>
      </c>
      <c r="CF324" s="49">
        <f t="shared" si="334"/>
        <v>-664.43620324374206</v>
      </c>
      <c r="CG324" s="49">
        <f t="shared" si="335"/>
        <v>-219.23748484582211</v>
      </c>
      <c r="CH324" s="49">
        <f t="shared" si="336"/>
        <v>-200.50481440953263</v>
      </c>
      <c r="CI324" s="49">
        <f t="shared" si="337"/>
        <v>-156.45583355521103</v>
      </c>
      <c r="CJ324" s="49">
        <f t="shared" si="338"/>
        <v>-164.96908376688953</v>
      </c>
      <c r="CK324" s="49">
        <f t="shared" si="339"/>
        <v>-36.48946718499792</v>
      </c>
    </row>
    <row r="325" spans="2:89" ht="12.75" customHeight="1" x14ac:dyDescent="0.2">
      <c r="B325" s="77">
        <v>41274</v>
      </c>
      <c r="C325" s="49">
        <v>75.410004000000001</v>
      </c>
      <c r="D325" s="49">
        <v>60.599997999999999</v>
      </c>
      <c r="E325" s="49">
        <v>60.669998</v>
      </c>
      <c r="F325" s="49">
        <v>75.379997000000003</v>
      </c>
      <c r="G325" s="49">
        <v>35.650002000000001</v>
      </c>
      <c r="H325" s="49">
        <v>45.279998999999997</v>
      </c>
      <c r="J325" s="78">
        <f>IF(inter=Weekly_2,J324+$C$5,IF(inter=Bi_weekly_2,0,IF(inter=Monthly_2,0,IF(inter=Quarterly_2,0,IF(inter=Yearly_2,0,IF(inter=None_2,0,0))))))</f>
        <v>0</v>
      </c>
      <c r="K325" s="79">
        <f t="shared" si="340"/>
        <v>0</v>
      </c>
      <c r="L325" s="79">
        <f t="shared" si="341"/>
        <v>0</v>
      </c>
      <c r="M325" s="79">
        <f t="shared" si="342"/>
        <v>0</v>
      </c>
      <c r="N325" s="79">
        <f t="shared" si="343"/>
        <v>0</v>
      </c>
      <c r="O325" s="79">
        <f t="shared" si="344"/>
        <v>0</v>
      </c>
      <c r="P325" s="79">
        <f t="shared" si="345"/>
        <v>0</v>
      </c>
      <c r="Q325" s="79"/>
      <c r="R325" s="80">
        <f t="shared" si="303"/>
        <v>0</v>
      </c>
      <c r="S325" s="80">
        <f t="shared" si="304"/>
        <v>0</v>
      </c>
      <c r="T325" s="80">
        <f t="shared" si="305"/>
        <v>0</v>
      </c>
      <c r="U325" s="80">
        <f t="shared" si="306"/>
        <v>0</v>
      </c>
      <c r="V325" s="80">
        <f t="shared" si="307"/>
        <v>0</v>
      </c>
      <c r="W325" s="80">
        <f t="shared" si="308"/>
        <v>0</v>
      </c>
      <c r="X325" s="80">
        <f t="shared" si="359"/>
        <v>508.61348255292518</v>
      </c>
      <c r="Y325" s="80">
        <f t="shared" si="360"/>
        <v>180.71872528129362</v>
      </c>
      <c r="Z325" s="80">
        <f t="shared" si="361"/>
        <v>144.67496542185339</v>
      </c>
      <c r="AA325" s="80">
        <f t="shared" si="362"/>
        <v>102.59212123053997</v>
      </c>
      <c r="AB325" s="80">
        <f t="shared" si="363"/>
        <v>753.16818107234496</v>
      </c>
      <c r="AC325" s="80">
        <f t="shared" si="364"/>
        <v>357.56608118582312</v>
      </c>
      <c r="AD325" s="80"/>
      <c r="AE325" s="80"/>
      <c r="AF325" s="80"/>
      <c r="AG325" s="80"/>
      <c r="AH325" s="80"/>
      <c r="AI325" s="80"/>
      <c r="AJ325" s="45">
        <f t="shared" si="309"/>
        <v>0</v>
      </c>
      <c r="AK325" s="45">
        <f t="shared" si="310"/>
        <v>0</v>
      </c>
      <c r="AL325" s="45">
        <f t="shared" si="311"/>
        <v>0</v>
      </c>
      <c r="AM325" s="45">
        <f t="shared" si="312"/>
        <v>0</v>
      </c>
      <c r="AN325" s="45">
        <f t="shared" si="313"/>
        <v>0</v>
      </c>
      <c r="AO325" s="45">
        <f t="shared" si="314"/>
        <v>0</v>
      </c>
      <c r="AP325" s="80">
        <f t="shared" si="315"/>
        <v>0</v>
      </c>
      <c r="AQ325" s="80">
        <f t="shared" si="316"/>
        <v>0</v>
      </c>
      <c r="AR325" s="80">
        <f t="shared" si="317"/>
        <v>0</v>
      </c>
      <c r="AS325" s="80">
        <f t="shared" si="318"/>
        <v>0</v>
      </c>
      <c r="AT325" s="80">
        <f t="shared" si="319"/>
        <v>0</v>
      </c>
      <c r="AU325" s="80">
        <f t="shared" si="320"/>
        <v>0</v>
      </c>
      <c r="AV325" s="80">
        <f t="shared" si="365"/>
        <v>40.984153607158824</v>
      </c>
      <c r="AW325" s="80">
        <f t="shared" si="366"/>
        <v>19.955655827382795</v>
      </c>
      <c r="AX325" s="80">
        <f t="shared" si="367"/>
        <v>13.469355342188923</v>
      </c>
      <c r="AY325" s="80">
        <f t="shared" si="368"/>
        <v>10.500861087289405</v>
      </c>
      <c r="AZ325" s="80">
        <f t="shared" si="369"/>
        <v>86.786242859156033</v>
      </c>
      <c r="BA325" s="80">
        <f t="shared" si="370"/>
        <v>36.164250103561827</v>
      </c>
      <c r="BB325" s="80">
        <f t="shared" si="346"/>
        <v>549.59763616008399</v>
      </c>
      <c r="BC325" s="80">
        <f t="shared" si="347"/>
        <v>200.67438110867641</v>
      </c>
      <c r="BD325" s="80">
        <f t="shared" si="348"/>
        <v>158.14432076404231</v>
      </c>
      <c r="BE325" s="80">
        <f t="shared" si="349"/>
        <v>113.09298231782938</v>
      </c>
      <c r="BF325" s="80">
        <f t="shared" si="350"/>
        <v>839.95442393150097</v>
      </c>
      <c r="BG325" s="80">
        <f t="shared" si="351"/>
        <v>393.73033128938494</v>
      </c>
      <c r="BH325" s="49">
        <f t="shared" si="352"/>
        <v>0</v>
      </c>
      <c r="BI325" s="79">
        <f t="shared" si="353"/>
        <v>-87901.296070986311</v>
      </c>
      <c r="BJ325" s="79">
        <f t="shared" si="321"/>
        <v>108857.96175784807</v>
      </c>
      <c r="BK325" s="44">
        <f t="shared" si="354"/>
        <v>0.23841133889468269</v>
      </c>
      <c r="BL325" s="79">
        <f t="shared" si="371"/>
        <v>8925.3084151434905</v>
      </c>
      <c r="BM325" s="49">
        <f t="shared" si="355"/>
        <v>117783.27017299156</v>
      </c>
      <c r="BN325" s="44">
        <f t="shared" si="356"/>
        <v>0.33994918661806195</v>
      </c>
      <c r="BO325" s="49">
        <f t="shared" si="322"/>
        <v>10640.115469636157</v>
      </c>
      <c r="BP325" s="49">
        <f t="shared" si="323"/>
        <v>119498.07722748423</v>
      </c>
      <c r="BQ325" s="44">
        <f t="shared" si="324"/>
        <v>0.35945751165012818</v>
      </c>
      <c r="BS325" s="49">
        <f t="shared" si="325"/>
        <v>87901.296070986311</v>
      </c>
      <c r="BT325" s="49">
        <f t="shared" si="301"/>
        <v>75.410004000000001</v>
      </c>
      <c r="BU325" s="49">
        <f t="shared" si="302"/>
        <v>45.279998999999997</v>
      </c>
      <c r="BV325" s="49">
        <f t="shared" si="326"/>
        <v>0</v>
      </c>
      <c r="BW325" s="18">
        <f t="shared" si="327"/>
        <v>1981</v>
      </c>
      <c r="BX325" s="19">
        <f t="shared" si="357"/>
        <v>0.54564220183486234</v>
      </c>
      <c r="BY325" s="49">
        <f t="shared" si="358"/>
        <v>0</v>
      </c>
      <c r="BZ325" s="19">
        <f t="shared" si="328"/>
        <v>0</v>
      </c>
      <c r="CA325" s="19">
        <f t="shared" si="329"/>
        <v>0</v>
      </c>
      <c r="CB325" s="19">
        <f t="shared" si="330"/>
        <v>0</v>
      </c>
      <c r="CC325" s="19">
        <f t="shared" si="331"/>
        <v>0</v>
      </c>
      <c r="CD325" s="19">
        <f t="shared" si="332"/>
        <v>0</v>
      </c>
      <c r="CE325" s="19">
        <f t="shared" si="333"/>
        <v>0</v>
      </c>
      <c r="CF325" s="49">
        <f t="shared" si="334"/>
        <v>0</v>
      </c>
      <c r="CG325" s="49">
        <f t="shared" si="335"/>
        <v>0</v>
      </c>
      <c r="CH325" s="49">
        <f t="shared" si="336"/>
        <v>0</v>
      </c>
      <c r="CI325" s="49">
        <f t="shared" si="337"/>
        <v>0</v>
      </c>
      <c r="CJ325" s="49">
        <f t="shared" si="338"/>
        <v>0</v>
      </c>
      <c r="CK325" s="49">
        <f t="shared" si="339"/>
        <v>0</v>
      </c>
    </row>
    <row r="326" spans="2:89" ht="12.75" customHeight="1" x14ac:dyDescent="0.2">
      <c r="B326" s="77">
        <v>41281</v>
      </c>
      <c r="C326" s="49">
        <v>75.769997000000004</v>
      </c>
      <c r="D326" s="49">
        <v>60.860000999999997</v>
      </c>
      <c r="E326" s="49">
        <v>60.869999</v>
      </c>
      <c r="F326" s="49">
        <v>75.089995999999999</v>
      </c>
      <c r="G326" s="49">
        <v>36</v>
      </c>
      <c r="H326" s="49">
        <v>44.84</v>
      </c>
      <c r="J326" s="78">
        <f>IF(inter=Weekly_2,J325+$C$5,IF(inter=Bi_weekly_2,J324+$C$5,IF(inter=Monthly_2,J322+$C$5,IF(inter=Quarterly_2,0,IF(inter=Yearly_2,0,IF(inter=None_2,0,0))))))</f>
        <v>105200</v>
      </c>
      <c r="K326" s="79">
        <f t="shared" si="340"/>
        <v>1717.6420471946913</v>
      </c>
      <c r="L326" s="79">
        <f t="shared" si="341"/>
        <v>478.54180133825503</v>
      </c>
      <c r="M326" s="79">
        <f t="shared" si="342"/>
        <v>390.36500055325087</v>
      </c>
      <c r="N326" s="79">
        <f t="shared" si="343"/>
        <v>339.64197283276098</v>
      </c>
      <c r="O326" s="79">
        <f t="shared" si="344"/>
        <v>814.05451860441826</v>
      </c>
      <c r="P326" s="79">
        <f t="shared" si="345"/>
        <v>253.26308037230956</v>
      </c>
      <c r="Q326" s="79"/>
      <c r="R326" s="80">
        <f t="shared" si="303"/>
        <v>-22.669158178727276</v>
      </c>
      <c r="S326" s="80">
        <f t="shared" si="304"/>
        <v>-7.8629936489527017</v>
      </c>
      <c r="T326" s="80">
        <f t="shared" si="305"/>
        <v>-6.4130935923499992</v>
      </c>
      <c r="U326" s="80">
        <f t="shared" si="306"/>
        <v>-4.5231321204593087</v>
      </c>
      <c r="V326" s="80">
        <f t="shared" si="307"/>
        <v>-22.612625516789397</v>
      </c>
      <c r="W326" s="80">
        <f t="shared" si="308"/>
        <v>-5.6481507665546289</v>
      </c>
      <c r="X326" s="80">
        <f t="shared" si="359"/>
        <v>485.94432437419789</v>
      </c>
      <c r="Y326" s="80">
        <f t="shared" si="360"/>
        <v>172.85573163234091</v>
      </c>
      <c r="Z326" s="80">
        <f t="shared" si="361"/>
        <v>138.26187182950338</v>
      </c>
      <c r="AA326" s="80">
        <f t="shared" si="362"/>
        <v>98.068989110080665</v>
      </c>
      <c r="AB326" s="80">
        <f t="shared" si="363"/>
        <v>730.55555555555554</v>
      </c>
      <c r="AC326" s="80">
        <f t="shared" si="364"/>
        <v>351.91793041926849</v>
      </c>
      <c r="AD326" s="80"/>
      <c r="AE326" s="80"/>
      <c r="AF326" s="80"/>
      <c r="AG326" s="80"/>
      <c r="AH326" s="80"/>
      <c r="AI326" s="80"/>
      <c r="AJ326" s="45">
        <f t="shared" si="309"/>
        <v>0</v>
      </c>
      <c r="AK326" s="45">
        <f t="shared" si="310"/>
        <v>0</v>
      </c>
      <c r="AL326" s="45">
        <f t="shared" si="311"/>
        <v>0</v>
      </c>
      <c r="AM326" s="45">
        <f t="shared" si="312"/>
        <v>0</v>
      </c>
      <c r="AN326" s="45">
        <f t="shared" si="313"/>
        <v>0</v>
      </c>
      <c r="AO326" s="45">
        <f t="shared" si="314"/>
        <v>0</v>
      </c>
      <c r="AP326" s="80">
        <f t="shared" si="315"/>
        <v>0</v>
      </c>
      <c r="AQ326" s="80">
        <f t="shared" si="316"/>
        <v>0</v>
      </c>
      <c r="AR326" s="80">
        <f t="shared" si="317"/>
        <v>0</v>
      </c>
      <c r="AS326" s="80">
        <f t="shared" si="318"/>
        <v>0</v>
      </c>
      <c r="AT326" s="80">
        <f t="shared" si="319"/>
        <v>0</v>
      </c>
      <c r="AU326" s="80">
        <f t="shared" si="320"/>
        <v>0</v>
      </c>
      <c r="AV326" s="80">
        <f t="shared" si="365"/>
        <v>40.984153607158824</v>
      </c>
      <c r="AW326" s="80">
        <f t="shared" si="366"/>
        <v>19.955655827382795</v>
      </c>
      <c r="AX326" s="80">
        <f t="shared" si="367"/>
        <v>13.469355342188923</v>
      </c>
      <c r="AY326" s="80">
        <f t="shared" si="368"/>
        <v>10.500861087289405</v>
      </c>
      <c r="AZ326" s="80">
        <f t="shared" si="369"/>
        <v>86.786242859156033</v>
      </c>
      <c r="BA326" s="80">
        <f t="shared" si="370"/>
        <v>36.164250103561827</v>
      </c>
      <c r="BB326" s="80">
        <f t="shared" si="346"/>
        <v>526.92847798135676</v>
      </c>
      <c r="BC326" s="80">
        <f t="shared" si="347"/>
        <v>192.8113874597237</v>
      </c>
      <c r="BD326" s="80">
        <f t="shared" si="348"/>
        <v>151.7312271716923</v>
      </c>
      <c r="BE326" s="80">
        <f t="shared" si="349"/>
        <v>108.56985019737007</v>
      </c>
      <c r="BF326" s="80">
        <f t="shared" si="350"/>
        <v>817.34179841471155</v>
      </c>
      <c r="BG326" s="80">
        <f t="shared" si="351"/>
        <v>388.0821805228303</v>
      </c>
      <c r="BH326" s="49">
        <f t="shared" si="352"/>
        <v>0</v>
      </c>
      <c r="BI326" s="79">
        <f t="shared" si="353"/>
        <v>-83907.787650090613</v>
      </c>
      <c r="BJ326" s="79">
        <f t="shared" si="321"/>
        <v>105200</v>
      </c>
      <c r="BK326" s="44">
        <f t="shared" si="354"/>
        <v>0.2537572845884275</v>
      </c>
      <c r="BL326" s="79">
        <f t="shared" si="371"/>
        <v>8925.3084151434905</v>
      </c>
      <c r="BM326" s="49">
        <f t="shared" si="355"/>
        <v>114125.30841514349</v>
      </c>
      <c r="BN326" s="44">
        <f t="shared" si="356"/>
        <v>0.36012772605881294</v>
      </c>
      <c r="BO326" s="49">
        <f t="shared" si="322"/>
        <v>10674.169410296267</v>
      </c>
      <c r="BP326" s="49">
        <f t="shared" si="323"/>
        <v>115874.16941029625</v>
      </c>
      <c r="BQ326" s="44">
        <f t="shared" si="324"/>
        <v>0.38097038016912976</v>
      </c>
      <c r="BS326" s="49">
        <f t="shared" si="325"/>
        <v>83907.787650090613</v>
      </c>
      <c r="BT326" s="49">
        <f t="shared" si="301"/>
        <v>75.769997000000004</v>
      </c>
      <c r="BU326" s="49">
        <f t="shared" si="302"/>
        <v>44.84</v>
      </c>
      <c r="BV326" s="49">
        <f t="shared" si="326"/>
        <v>-3993.508420895686</v>
      </c>
      <c r="BW326" s="18">
        <f t="shared" si="327"/>
        <v>1988</v>
      </c>
      <c r="BX326" s="19">
        <f t="shared" si="357"/>
        <v>0.54403669724770642</v>
      </c>
      <c r="BY326" s="49">
        <f t="shared" si="358"/>
        <v>-2172.6151317349922</v>
      </c>
      <c r="BZ326" s="19">
        <f t="shared" si="328"/>
        <v>0</v>
      </c>
      <c r="CA326" s="19">
        <f t="shared" si="329"/>
        <v>0</v>
      </c>
      <c r="CB326" s="19">
        <f t="shared" si="330"/>
        <v>0</v>
      </c>
      <c r="CC326" s="19">
        <f t="shared" si="331"/>
        <v>0</v>
      </c>
      <c r="CD326" s="19">
        <f t="shared" si="332"/>
        <v>0</v>
      </c>
      <c r="CE326" s="19">
        <f t="shared" si="333"/>
        <v>0</v>
      </c>
      <c r="CF326" s="49">
        <f t="shared" si="334"/>
        <v>0</v>
      </c>
      <c r="CG326" s="49">
        <f t="shared" si="335"/>
        <v>0</v>
      </c>
      <c r="CH326" s="49">
        <f t="shared" si="336"/>
        <v>0</v>
      </c>
      <c r="CI326" s="49">
        <f t="shared" si="337"/>
        <v>0</v>
      </c>
      <c r="CJ326" s="49">
        <f t="shared" si="338"/>
        <v>0</v>
      </c>
      <c r="CK326" s="49">
        <f t="shared" si="339"/>
        <v>0</v>
      </c>
    </row>
    <row r="327" spans="2:89" ht="12.75" customHeight="1" x14ac:dyDescent="0.2">
      <c r="B327" s="77">
        <v>41288</v>
      </c>
      <c r="C327" s="49">
        <v>76.5</v>
      </c>
      <c r="D327" s="49">
        <v>61.57</v>
      </c>
      <c r="E327" s="49">
        <v>61.970001000000003</v>
      </c>
      <c r="F327" s="49">
        <v>76.239998</v>
      </c>
      <c r="G327" s="49">
        <v>36.060001</v>
      </c>
      <c r="H327" s="49">
        <v>45.130001</v>
      </c>
      <c r="J327" s="78">
        <f>IF(inter=Weekly_2,J326+$C$5,IF(inter=Bi_weekly_2,0,IF(inter=Monthly_2,0,IF(inter=Quarterly_2,0,IF(inter=Yearly_2,0,IF(inter=None_2,0,0))))))</f>
        <v>0</v>
      </c>
      <c r="K327" s="79">
        <f t="shared" si="340"/>
        <v>0</v>
      </c>
      <c r="L327" s="79">
        <f t="shared" si="341"/>
        <v>0</v>
      </c>
      <c r="M327" s="79">
        <f t="shared" si="342"/>
        <v>0</v>
      </c>
      <c r="N327" s="79">
        <f t="shared" si="343"/>
        <v>0</v>
      </c>
      <c r="O327" s="79">
        <f t="shared" si="344"/>
        <v>0</v>
      </c>
      <c r="P327" s="79">
        <f t="shared" si="345"/>
        <v>0</v>
      </c>
      <c r="Q327" s="79"/>
      <c r="R327" s="80">
        <f t="shared" si="303"/>
        <v>0</v>
      </c>
      <c r="S327" s="80">
        <f t="shared" si="304"/>
        <v>0</v>
      </c>
      <c r="T327" s="80">
        <f t="shared" si="305"/>
        <v>0</v>
      </c>
      <c r="U327" s="80">
        <f t="shared" si="306"/>
        <v>0</v>
      </c>
      <c r="V327" s="80">
        <f t="shared" si="307"/>
        <v>0</v>
      </c>
      <c r="W327" s="80">
        <f t="shared" si="308"/>
        <v>0</v>
      </c>
      <c r="X327" s="80">
        <f t="shared" si="359"/>
        <v>485.94432437419789</v>
      </c>
      <c r="Y327" s="80">
        <f t="shared" si="360"/>
        <v>172.85573163234091</v>
      </c>
      <c r="Z327" s="80">
        <f t="shared" si="361"/>
        <v>138.26187182950338</v>
      </c>
      <c r="AA327" s="80">
        <f t="shared" si="362"/>
        <v>98.068989110080665</v>
      </c>
      <c r="AB327" s="80">
        <f t="shared" si="363"/>
        <v>730.55555555555554</v>
      </c>
      <c r="AC327" s="80">
        <f t="shared" si="364"/>
        <v>351.91793041926849</v>
      </c>
      <c r="AD327" s="80"/>
      <c r="AE327" s="80"/>
      <c r="AF327" s="80"/>
      <c r="AG327" s="80"/>
      <c r="AH327" s="80"/>
      <c r="AI327" s="80"/>
      <c r="AJ327" s="45">
        <f t="shared" si="309"/>
        <v>0</v>
      </c>
      <c r="AK327" s="45">
        <f t="shared" si="310"/>
        <v>0</v>
      </c>
      <c r="AL327" s="45">
        <f t="shared" si="311"/>
        <v>0</v>
      </c>
      <c r="AM327" s="45">
        <f t="shared" si="312"/>
        <v>0</v>
      </c>
      <c r="AN327" s="45">
        <f t="shared" si="313"/>
        <v>0</v>
      </c>
      <c r="AO327" s="45">
        <f t="shared" si="314"/>
        <v>0</v>
      </c>
      <c r="AP327" s="80">
        <f t="shared" si="315"/>
        <v>0</v>
      </c>
      <c r="AQ327" s="80">
        <f t="shared" si="316"/>
        <v>0</v>
      </c>
      <c r="AR327" s="80">
        <f t="shared" si="317"/>
        <v>0</v>
      </c>
      <c r="AS327" s="80">
        <f t="shared" si="318"/>
        <v>0</v>
      </c>
      <c r="AT327" s="80">
        <f t="shared" si="319"/>
        <v>0</v>
      </c>
      <c r="AU327" s="80">
        <f t="shared" si="320"/>
        <v>0</v>
      </c>
      <c r="AV327" s="80">
        <f t="shared" si="365"/>
        <v>40.984153607158824</v>
      </c>
      <c r="AW327" s="80">
        <f t="shared" si="366"/>
        <v>19.955655827382795</v>
      </c>
      <c r="AX327" s="80">
        <f t="shared" si="367"/>
        <v>13.469355342188923</v>
      </c>
      <c r="AY327" s="80">
        <f t="shared" si="368"/>
        <v>10.500861087289405</v>
      </c>
      <c r="AZ327" s="80">
        <f t="shared" si="369"/>
        <v>86.786242859156033</v>
      </c>
      <c r="BA327" s="80">
        <f t="shared" si="370"/>
        <v>36.164250103561827</v>
      </c>
      <c r="BB327" s="80">
        <f t="shared" si="346"/>
        <v>526.92847798135676</v>
      </c>
      <c r="BC327" s="80">
        <f t="shared" si="347"/>
        <v>192.8113874597237</v>
      </c>
      <c r="BD327" s="80">
        <f t="shared" si="348"/>
        <v>151.7312271716923</v>
      </c>
      <c r="BE327" s="80">
        <f t="shared" si="349"/>
        <v>108.56985019737007</v>
      </c>
      <c r="BF327" s="80">
        <f t="shared" si="350"/>
        <v>817.34179841471155</v>
      </c>
      <c r="BG327" s="80">
        <f t="shared" si="351"/>
        <v>388.0821805228303</v>
      </c>
      <c r="BH327" s="49">
        <f t="shared" si="352"/>
        <v>0</v>
      </c>
      <c r="BI327" s="79">
        <f t="shared" si="353"/>
        <v>-83907.787650090613</v>
      </c>
      <c r="BJ327" s="79">
        <f t="shared" si="321"/>
        <v>106088.22669600854</v>
      </c>
      <c r="BK327" s="44">
        <f t="shared" si="354"/>
        <v>0.26434303259685543</v>
      </c>
      <c r="BL327" s="79">
        <f t="shared" si="371"/>
        <v>8925.3084151434905</v>
      </c>
      <c r="BM327" s="49">
        <f t="shared" si="355"/>
        <v>115013.53511115203</v>
      </c>
      <c r="BN327" s="44">
        <f t="shared" si="356"/>
        <v>0.37071347406724087</v>
      </c>
      <c r="BO327" s="49">
        <f t="shared" si="322"/>
        <v>10760.84372018304</v>
      </c>
      <c r="BP327" s="49">
        <f t="shared" si="323"/>
        <v>116849.07041619156</v>
      </c>
      <c r="BQ327" s="44">
        <f t="shared" si="324"/>
        <v>0.3925890991605161</v>
      </c>
      <c r="BS327" s="49">
        <f t="shared" si="325"/>
        <v>83907.787650090613</v>
      </c>
      <c r="BT327" s="49">
        <f t="shared" si="301"/>
        <v>76.5</v>
      </c>
      <c r="BU327" s="49">
        <f t="shared" si="302"/>
        <v>45.130001</v>
      </c>
      <c r="BV327" s="49">
        <f t="shared" si="326"/>
        <v>0</v>
      </c>
      <c r="BW327" s="18">
        <f t="shared" si="327"/>
        <v>1995</v>
      </c>
      <c r="BX327" s="19">
        <f t="shared" si="357"/>
        <v>0.54243119266055051</v>
      </c>
      <c r="BY327" s="49">
        <f t="shared" si="358"/>
        <v>0</v>
      </c>
      <c r="BZ327" s="19">
        <f t="shared" si="328"/>
        <v>0</v>
      </c>
      <c r="CA327" s="19">
        <f t="shared" si="329"/>
        <v>0</v>
      </c>
      <c r="CB327" s="19">
        <f t="shared" si="330"/>
        <v>0</v>
      </c>
      <c r="CC327" s="19">
        <f t="shared" si="331"/>
        <v>0</v>
      </c>
      <c r="CD327" s="19">
        <f t="shared" si="332"/>
        <v>0</v>
      </c>
      <c r="CE327" s="19">
        <f t="shared" si="333"/>
        <v>0</v>
      </c>
      <c r="CF327" s="49">
        <f t="shared" si="334"/>
        <v>0</v>
      </c>
      <c r="CG327" s="49">
        <f t="shared" si="335"/>
        <v>0</v>
      </c>
      <c r="CH327" s="49">
        <f t="shared" si="336"/>
        <v>0</v>
      </c>
      <c r="CI327" s="49">
        <f t="shared" si="337"/>
        <v>0</v>
      </c>
      <c r="CJ327" s="49">
        <f t="shared" si="338"/>
        <v>0</v>
      </c>
      <c r="CK327" s="49">
        <f t="shared" si="339"/>
        <v>0</v>
      </c>
    </row>
    <row r="328" spans="2:89" ht="12.75" customHeight="1" x14ac:dyDescent="0.2">
      <c r="B328" s="77">
        <v>41296</v>
      </c>
      <c r="C328" s="49">
        <v>77.510002</v>
      </c>
      <c r="D328" s="49">
        <v>62.560001</v>
      </c>
      <c r="E328" s="49">
        <v>62.98</v>
      </c>
      <c r="F328" s="49">
        <v>77.209998999999996</v>
      </c>
      <c r="G328" s="49">
        <v>36.619999</v>
      </c>
      <c r="H328" s="49">
        <v>44.560001</v>
      </c>
      <c r="J328" s="78">
        <f>IF(inter=Weekly_2,J327+$C$5,IF(inter=Bi_weekly_2,J326+$C$5,IF(inter=Monthly_2,0,IF(inter=Quarterly_2,J315+$C$5,IF(inter=Yearly_2,0,IF(inter=None_2,0,0))))))</f>
        <v>105800</v>
      </c>
      <c r="K328" s="79">
        <f t="shared" si="340"/>
        <v>635.54555413272465</v>
      </c>
      <c r="L328" s="79">
        <f t="shared" si="341"/>
        <v>233.85474377497849</v>
      </c>
      <c r="M328" s="79">
        <f t="shared" si="342"/>
        <v>243.7326878221229</v>
      </c>
      <c r="N328" s="79">
        <f t="shared" si="343"/>
        <v>165.90655112033801</v>
      </c>
      <c r="O328" s="79">
        <f t="shared" si="344"/>
        <v>302.94371388888976</v>
      </c>
      <c r="P328" s="79">
        <f t="shared" si="345"/>
        <v>-188.53666859946679</v>
      </c>
      <c r="Q328" s="79"/>
      <c r="R328" s="80">
        <f t="shared" si="303"/>
        <v>-8.1995295798434462</v>
      </c>
      <c r="S328" s="80">
        <f t="shared" si="304"/>
        <v>-3.738087276804527</v>
      </c>
      <c r="T328" s="80">
        <f t="shared" si="305"/>
        <v>-3.8700013944446319</v>
      </c>
      <c r="U328" s="80">
        <f t="shared" si="306"/>
        <v>-2.1487702793564085</v>
      </c>
      <c r="V328" s="80">
        <f t="shared" si="307"/>
        <v>-8.2726303157160039</v>
      </c>
      <c r="W328" s="80">
        <f t="shared" si="308"/>
        <v>4.2310741554845741</v>
      </c>
      <c r="X328" s="80">
        <f t="shared" si="359"/>
        <v>477.74479479435445</v>
      </c>
      <c r="Y328" s="80">
        <f t="shared" si="360"/>
        <v>169.11764435553638</v>
      </c>
      <c r="Z328" s="80">
        <f t="shared" si="361"/>
        <v>134.39187043505873</v>
      </c>
      <c r="AA328" s="80">
        <f t="shared" si="362"/>
        <v>95.920218830724252</v>
      </c>
      <c r="AB328" s="80">
        <f t="shared" si="363"/>
        <v>722.28292523983953</v>
      </c>
      <c r="AC328" s="80">
        <f t="shared" si="364"/>
        <v>356.14900457475306</v>
      </c>
      <c r="AD328" s="80"/>
      <c r="AE328" s="80"/>
      <c r="AF328" s="80"/>
      <c r="AG328" s="80"/>
      <c r="AH328" s="80"/>
      <c r="AI328" s="80"/>
      <c r="AJ328" s="45">
        <f t="shared" si="309"/>
        <v>0</v>
      </c>
      <c r="AK328" s="45">
        <f t="shared" si="310"/>
        <v>0</v>
      </c>
      <c r="AL328" s="45">
        <f t="shared" si="311"/>
        <v>0</v>
      </c>
      <c r="AM328" s="45">
        <f t="shared" si="312"/>
        <v>0</v>
      </c>
      <c r="AN328" s="45">
        <f t="shared" si="313"/>
        <v>0</v>
      </c>
      <c r="AO328" s="45">
        <f t="shared" si="314"/>
        <v>0</v>
      </c>
      <c r="AP328" s="80">
        <f t="shared" si="315"/>
        <v>0</v>
      </c>
      <c r="AQ328" s="80">
        <f t="shared" si="316"/>
        <v>0</v>
      </c>
      <c r="AR328" s="80">
        <f t="shared" si="317"/>
        <v>0</v>
      </c>
      <c r="AS328" s="80">
        <f t="shared" si="318"/>
        <v>0</v>
      </c>
      <c r="AT328" s="80">
        <f t="shared" si="319"/>
        <v>0</v>
      </c>
      <c r="AU328" s="80">
        <f t="shared" si="320"/>
        <v>0</v>
      </c>
      <c r="AV328" s="80">
        <f t="shared" si="365"/>
        <v>40.984153607158824</v>
      </c>
      <c r="AW328" s="80">
        <f t="shared" si="366"/>
        <v>19.955655827382795</v>
      </c>
      <c r="AX328" s="80">
        <f t="shared" si="367"/>
        <v>13.469355342188923</v>
      </c>
      <c r="AY328" s="80">
        <f t="shared" si="368"/>
        <v>10.500861087289405</v>
      </c>
      <c r="AZ328" s="80">
        <f t="shared" si="369"/>
        <v>86.786242859156033</v>
      </c>
      <c r="BA328" s="80">
        <f t="shared" si="370"/>
        <v>36.164250103561827</v>
      </c>
      <c r="BB328" s="80">
        <f t="shared" si="346"/>
        <v>518.72894840151332</v>
      </c>
      <c r="BC328" s="80">
        <f t="shared" si="347"/>
        <v>189.07330018291918</v>
      </c>
      <c r="BD328" s="80">
        <f t="shared" si="348"/>
        <v>147.86122577724765</v>
      </c>
      <c r="BE328" s="80">
        <f t="shared" si="349"/>
        <v>106.42107991801366</v>
      </c>
      <c r="BF328" s="80">
        <f t="shared" si="350"/>
        <v>809.06916809899553</v>
      </c>
      <c r="BG328" s="80">
        <f t="shared" si="351"/>
        <v>392.31325467831488</v>
      </c>
      <c r="BH328" s="49">
        <f t="shared" si="352"/>
        <v>0</v>
      </c>
      <c r="BI328" s="79">
        <f t="shared" si="353"/>
        <v>-82514.341067951027</v>
      </c>
      <c r="BJ328" s="79">
        <f t="shared" si="321"/>
        <v>105800</v>
      </c>
      <c r="BK328" s="44">
        <f t="shared" si="354"/>
        <v>0.28220135591791373</v>
      </c>
      <c r="BL328" s="79">
        <f t="shared" si="371"/>
        <v>8925.3084151434905</v>
      </c>
      <c r="BM328" s="49">
        <f t="shared" si="355"/>
        <v>114725.30841514349</v>
      </c>
      <c r="BN328" s="44">
        <f t="shared" si="356"/>
        <v>0.39036810971642555</v>
      </c>
      <c r="BO328" s="49">
        <f t="shared" si="322"/>
        <v>10873.77029757074</v>
      </c>
      <c r="BP328" s="49">
        <f t="shared" si="323"/>
        <v>116673.77029757075</v>
      </c>
      <c r="BQ328" s="44">
        <f t="shared" si="324"/>
        <v>0.41398172472212114</v>
      </c>
      <c r="BS328" s="49">
        <f t="shared" si="325"/>
        <v>82514.341067951027</v>
      </c>
      <c r="BT328" s="49">
        <f t="shared" si="301"/>
        <v>77.510002</v>
      </c>
      <c r="BU328" s="49">
        <f t="shared" si="302"/>
        <v>44.560001</v>
      </c>
      <c r="BV328" s="49">
        <f t="shared" si="326"/>
        <v>-1393.446582139587</v>
      </c>
      <c r="BW328" s="18">
        <f t="shared" si="327"/>
        <v>2003</v>
      </c>
      <c r="BX328" s="19">
        <f t="shared" si="357"/>
        <v>0.54059633027522935</v>
      </c>
      <c r="BY328" s="49">
        <f t="shared" si="358"/>
        <v>-753.2921087392217</v>
      </c>
      <c r="BZ328" s="19">
        <f t="shared" si="328"/>
        <v>0</v>
      </c>
      <c r="CA328" s="19">
        <f t="shared" si="329"/>
        <v>0</v>
      </c>
      <c r="CB328" s="19">
        <f t="shared" si="330"/>
        <v>0</v>
      </c>
      <c r="CC328" s="19">
        <f t="shared" si="331"/>
        <v>0</v>
      </c>
      <c r="CD328" s="19">
        <f t="shared" si="332"/>
        <v>0</v>
      </c>
      <c r="CE328" s="19">
        <f t="shared" si="333"/>
        <v>4.2310741554845741</v>
      </c>
      <c r="CF328" s="49">
        <f t="shared" si="334"/>
        <v>0</v>
      </c>
      <c r="CG328" s="49">
        <f t="shared" si="335"/>
        <v>0</v>
      </c>
      <c r="CH328" s="49">
        <f t="shared" si="336"/>
        <v>0</v>
      </c>
      <c r="CI328" s="49">
        <f t="shared" si="337"/>
        <v>0</v>
      </c>
      <c r="CJ328" s="49">
        <f t="shared" si="338"/>
        <v>0</v>
      </c>
      <c r="CK328" s="49">
        <f t="shared" si="339"/>
        <v>-188.53666859946679</v>
      </c>
    </row>
    <row r="329" spans="2:89" ht="12.75" customHeight="1" x14ac:dyDescent="0.2">
      <c r="B329" s="77">
        <v>41302</v>
      </c>
      <c r="C329" s="49">
        <v>78</v>
      </c>
      <c r="D329" s="49">
        <v>63.139999000000003</v>
      </c>
      <c r="E329" s="49">
        <v>63.57</v>
      </c>
      <c r="F329" s="49">
        <v>78.029999000000004</v>
      </c>
      <c r="G329" s="49">
        <v>36.869999</v>
      </c>
      <c r="H329" s="49">
        <v>44.860000999999997</v>
      </c>
      <c r="J329" s="78">
        <f>IF(inter=Weekly_2,J328+$C$5,IF(inter=Bi_weekly_2,0,IF(inter=Monthly_2,0,IF(inter=Quarterly_2,0,IF(inter=Yearly_2,0,IF(inter=None_2,0,0))))))</f>
        <v>0</v>
      </c>
      <c r="K329" s="79">
        <f t="shared" si="340"/>
        <v>0</v>
      </c>
      <c r="L329" s="79">
        <f t="shared" si="341"/>
        <v>0</v>
      </c>
      <c r="M329" s="79">
        <f t="shared" si="342"/>
        <v>0</v>
      </c>
      <c r="N329" s="79">
        <f t="shared" si="343"/>
        <v>0</v>
      </c>
      <c r="O329" s="79">
        <f t="shared" si="344"/>
        <v>0</v>
      </c>
      <c r="P329" s="79">
        <f t="shared" si="345"/>
        <v>0</v>
      </c>
      <c r="Q329" s="79"/>
      <c r="R329" s="80">
        <f t="shared" si="303"/>
        <v>0</v>
      </c>
      <c r="S329" s="80">
        <f t="shared" si="304"/>
        <v>0</v>
      </c>
      <c r="T329" s="80">
        <f t="shared" si="305"/>
        <v>0</v>
      </c>
      <c r="U329" s="80">
        <f t="shared" si="306"/>
        <v>0</v>
      </c>
      <c r="V329" s="80">
        <f t="shared" si="307"/>
        <v>0</v>
      </c>
      <c r="W329" s="80">
        <f t="shared" si="308"/>
        <v>0</v>
      </c>
      <c r="X329" s="80">
        <f t="shared" si="359"/>
        <v>477.74479479435445</v>
      </c>
      <c r="Y329" s="80">
        <f t="shared" si="360"/>
        <v>169.11764435553638</v>
      </c>
      <c r="Z329" s="80">
        <f t="shared" si="361"/>
        <v>134.39187043505873</v>
      </c>
      <c r="AA329" s="80">
        <f t="shared" si="362"/>
        <v>95.920218830724252</v>
      </c>
      <c r="AB329" s="80">
        <f t="shared" si="363"/>
        <v>722.28292523983953</v>
      </c>
      <c r="AC329" s="80">
        <f t="shared" si="364"/>
        <v>356.14900457475306</v>
      </c>
      <c r="AD329" s="80"/>
      <c r="AE329" s="80"/>
      <c r="AF329" s="80"/>
      <c r="AG329" s="80"/>
      <c r="AH329" s="80"/>
      <c r="AI329" s="80"/>
      <c r="AJ329" s="45">
        <f t="shared" si="309"/>
        <v>0</v>
      </c>
      <c r="AK329" s="45">
        <f t="shared" si="310"/>
        <v>0</v>
      </c>
      <c r="AL329" s="45">
        <f t="shared" si="311"/>
        <v>0</v>
      </c>
      <c r="AM329" s="45">
        <f t="shared" si="312"/>
        <v>0</v>
      </c>
      <c r="AN329" s="45">
        <f t="shared" si="313"/>
        <v>0</v>
      </c>
      <c r="AO329" s="45">
        <f t="shared" si="314"/>
        <v>0</v>
      </c>
      <c r="AP329" s="80">
        <f t="shared" si="315"/>
        <v>0</v>
      </c>
      <c r="AQ329" s="80">
        <f t="shared" si="316"/>
        <v>0</v>
      </c>
      <c r="AR329" s="80">
        <f t="shared" si="317"/>
        <v>0</v>
      </c>
      <c r="AS329" s="80">
        <f t="shared" si="318"/>
        <v>0</v>
      </c>
      <c r="AT329" s="80">
        <f t="shared" si="319"/>
        <v>0</v>
      </c>
      <c r="AU329" s="80">
        <f t="shared" si="320"/>
        <v>0</v>
      </c>
      <c r="AV329" s="80">
        <f t="shared" si="365"/>
        <v>40.984153607158824</v>
      </c>
      <c r="AW329" s="80">
        <f t="shared" si="366"/>
        <v>19.955655827382795</v>
      </c>
      <c r="AX329" s="80">
        <f t="shared" si="367"/>
        <v>13.469355342188923</v>
      </c>
      <c r="AY329" s="80">
        <f t="shared" si="368"/>
        <v>10.500861087289405</v>
      </c>
      <c r="AZ329" s="80">
        <f t="shared" si="369"/>
        <v>86.786242859156033</v>
      </c>
      <c r="BA329" s="80">
        <f t="shared" si="370"/>
        <v>36.164250103561827</v>
      </c>
      <c r="BB329" s="80">
        <f t="shared" si="346"/>
        <v>518.72894840151332</v>
      </c>
      <c r="BC329" s="80">
        <f t="shared" si="347"/>
        <v>189.07330018291918</v>
      </c>
      <c r="BD329" s="80">
        <f t="shared" si="348"/>
        <v>147.86122577724765</v>
      </c>
      <c r="BE329" s="80">
        <f t="shared" si="349"/>
        <v>106.42107991801366</v>
      </c>
      <c r="BF329" s="80">
        <f t="shared" si="350"/>
        <v>809.06916809899553</v>
      </c>
      <c r="BG329" s="80">
        <f t="shared" si="351"/>
        <v>392.31325467831488</v>
      </c>
      <c r="BH329" s="49">
        <f t="shared" si="352"/>
        <v>0</v>
      </c>
      <c r="BI329" s="79">
        <f t="shared" si="353"/>
        <v>-82514.341067951027</v>
      </c>
      <c r="BJ329" s="79">
        <f t="shared" si="321"/>
        <v>106577.54310513083</v>
      </c>
      <c r="BK329" s="44">
        <f t="shared" si="354"/>
        <v>0.29162448279582831</v>
      </c>
      <c r="BL329" s="79">
        <f t="shared" si="371"/>
        <v>8925.3084151434905</v>
      </c>
      <c r="BM329" s="49">
        <f t="shared" si="355"/>
        <v>115502.85152027431</v>
      </c>
      <c r="BN329" s="44">
        <f t="shared" si="356"/>
        <v>0.39979123659434013</v>
      </c>
      <c r="BO329" s="49">
        <f t="shared" si="322"/>
        <v>10954.530152827838</v>
      </c>
      <c r="BP329" s="49">
        <f t="shared" si="323"/>
        <v>117532.07325795868</v>
      </c>
      <c r="BQ329" s="44">
        <f t="shared" si="324"/>
        <v>0.42438358880149507</v>
      </c>
      <c r="BS329" s="49">
        <f t="shared" si="325"/>
        <v>82514.341067951027</v>
      </c>
      <c r="BT329" s="49">
        <f t="shared" si="301"/>
        <v>78</v>
      </c>
      <c r="BU329" s="49">
        <f t="shared" si="302"/>
        <v>44.860000999999997</v>
      </c>
      <c r="BV329" s="49">
        <f t="shared" si="326"/>
        <v>0</v>
      </c>
      <c r="BW329" s="18">
        <f t="shared" si="327"/>
        <v>2009</v>
      </c>
      <c r="BX329" s="19">
        <f t="shared" si="357"/>
        <v>0.53922018348623857</v>
      </c>
      <c r="BY329" s="49">
        <f t="shared" si="358"/>
        <v>0</v>
      </c>
      <c r="BZ329" s="19">
        <f t="shared" si="328"/>
        <v>0</v>
      </c>
      <c r="CA329" s="19">
        <f t="shared" si="329"/>
        <v>0</v>
      </c>
      <c r="CB329" s="19">
        <f t="shared" si="330"/>
        <v>0</v>
      </c>
      <c r="CC329" s="19">
        <f t="shared" si="331"/>
        <v>0</v>
      </c>
      <c r="CD329" s="19">
        <f t="shared" si="332"/>
        <v>0</v>
      </c>
      <c r="CE329" s="19">
        <f t="shared" si="333"/>
        <v>0</v>
      </c>
      <c r="CF329" s="49">
        <f t="shared" si="334"/>
        <v>0</v>
      </c>
      <c r="CG329" s="49">
        <f t="shared" si="335"/>
        <v>0</v>
      </c>
      <c r="CH329" s="49">
        <f t="shared" si="336"/>
        <v>0</v>
      </c>
      <c r="CI329" s="49">
        <f t="shared" si="337"/>
        <v>0</v>
      </c>
      <c r="CJ329" s="49">
        <f t="shared" si="338"/>
        <v>0</v>
      </c>
      <c r="CK329" s="49">
        <f t="shared" si="339"/>
        <v>0</v>
      </c>
    </row>
    <row r="330" spans="2:89" ht="12.75" customHeight="1" x14ac:dyDescent="0.2">
      <c r="B330" s="77">
        <v>41309</v>
      </c>
      <c r="C330" s="49">
        <v>78.379997000000003</v>
      </c>
      <c r="D330" s="49">
        <v>63.259998000000003</v>
      </c>
      <c r="E330" s="49">
        <v>64.169998000000007</v>
      </c>
      <c r="F330" s="49">
        <v>78.569999999999993</v>
      </c>
      <c r="G330" s="49">
        <v>36.330002</v>
      </c>
      <c r="H330" s="49">
        <v>44.290000999999997</v>
      </c>
      <c r="J330" s="78">
        <f>IF(inter=Weekly_2,J329+$C$5,IF(inter=Bi_weekly_2,J328+$C$5,IF(inter=Monthly_2,J326+$C$5,IF(inter=Quarterly_2,0,IF(inter=Yearly_2,0,IF(inter=None_2,0,0))))))</f>
        <v>106400</v>
      </c>
      <c r="K330" s="79">
        <f t="shared" si="340"/>
        <v>205.63558274711977</v>
      </c>
      <c r="L330" s="79">
        <f t="shared" si="341"/>
        <v>58.381843695942734</v>
      </c>
      <c r="M330" s="79">
        <f t="shared" si="342"/>
        <v>111.9260570339793</v>
      </c>
      <c r="N330" s="79">
        <f t="shared" si="343"/>
        <v>88.451593530003265</v>
      </c>
      <c r="O330" s="79">
        <f t="shared" si="344"/>
        <v>-359.45988147077878</v>
      </c>
      <c r="P330" s="79">
        <f t="shared" si="345"/>
        <v>-186.16023123518426</v>
      </c>
      <c r="Q330" s="79"/>
      <c r="R330" s="80">
        <f t="shared" si="303"/>
        <v>-2.6235722201816332</v>
      </c>
      <c r="S330" s="80">
        <f t="shared" si="304"/>
        <v>-0.92288722007140644</v>
      </c>
      <c r="T330" s="80">
        <f t="shared" si="305"/>
        <v>-1.7442116335110263</v>
      </c>
      <c r="U330" s="80">
        <f t="shared" si="306"/>
        <v>-1.125768022527724</v>
      </c>
      <c r="V330" s="80">
        <f t="shared" si="307"/>
        <v>9.8942984223006309</v>
      </c>
      <c r="W330" s="80">
        <f t="shared" si="308"/>
        <v>4.2032112673735158</v>
      </c>
      <c r="X330" s="80">
        <f t="shared" si="359"/>
        <v>475.1212225741728</v>
      </c>
      <c r="Y330" s="80">
        <f t="shared" si="360"/>
        <v>168.19475713546498</v>
      </c>
      <c r="Z330" s="80">
        <f t="shared" si="361"/>
        <v>132.64765880154772</v>
      </c>
      <c r="AA330" s="80">
        <f t="shared" si="362"/>
        <v>94.79445080819653</v>
      </c>
      <c r="AB330" s="80">
        <f t="shared" si="363"/>
        <v>732.17722366214014</v>
      </c>
      <c r="AC330" s="80">
        <f t="shared" si="364"/>
        <v>360.35221584212655</v>
      </c>
      <c r="AD330" s="80"/>
      <c r="AE330" s="80"/>
      <c r="AF330" s="80"/>
      <c r="AG330" s="80"/>
      <c r="AH330" s="80"/>
      <c r="AI330" s="80"/>
      <c r="AJ330" s="45">
        <f t="shared" si="309"/>
        <v>0</v>
      </c>
      <c r="AK330" s="45">
        <f t="shared" si="310"/>
        <v>0</v>
      </c>
      <c r="AL330" s="45">
        <f t="shared" si="311"/>
        <v>0</v>
      </c>
      <c r="AM330" s="45">
        <f t="shared" si="312"/>
        <v>0</v>
      </c>
      <c r="AN330" s="45">
        <f t="shared" si="313"/>
        <v>0</v>
      </c>
      <c r="AO330" s="45">
        <f t="shared" si="314"/>
        <v>0</v>
      </c>
      <c r="AP330" s="80">
        <f t="shared" si="315"/>
        <v>0</v>
      </c>
      <c r="AQ330" s="80">
        <f t="shared" si="316"/>
        <v>0</v>
      </c>
      <c r="AR330" s="80">
        <f t="shared" si="317"/>
        <v>0</v>
      </c>
      <c r="AS330" s="80">
        <f t="shared" si="318"/>
        <v>0</v>
      </c>
      <c r="AT330" s="80">
        <f t="shared" si="319"/>
        <v>0</v>
      </c>
      <c r="AU330" s="80">
        <f t="shared" si="320"/>
        <v>0</v>
      </c>
      <c r="AV330" s="80">
        <f t="shared" si="365"/>
        <v>40.984153607158824</v>
      </c>
      <c r="AW330" s="80">
        <f t="shared" si="366"/>
        <v>19.955655827382795</v>
      </c>
      <c r="AX330" s="80">
        <f t="shared" si="367"/>
        <v>13.469355342188923</v>
      </c>
      <c r="AY330" s="80">
        <f t="shared" si="368"/>
        <v>10.500861087289405</v>
      </c>
      <c r="AZ330" s="80">
        <f t="shared" si="369"/>
        <v>86.786242859156033</v>
      </c>
      <c r="BA330" s="80">
        <f t="shared" si="370"/>
        <v>36.164250103561827</v>
      </c>
      <c r="BB330" s="80">
        <f t="shared" si="346"/>
        <v>516.10537618133162</v>
      </c>
      <c r="BC330" s="80">
        <f t="shared" si="347"/>
        <v>188.15041296284778</v>
      </c>
      <c r="BD330" s="80">
        <f t="shared" si="348"/>
        <v>146.11701414373664</v>
      </c>
      <c r="BE330" s="80">
        <f t="shared" si="349"/>
        <v>105.29531189548594</v>
      </c>
      <c r="BF330" s="80">
        <f t="shared" si="350"/>
        <v>818.96346652129614</v>
      </c>
      <c r="BG330" s="80">
        <f t="shared" si="351"/>
        <v>396.51646594568837</v>
      </c>
      <c r="BH330" s="49">
        <f t="shared" si="352"/>
        <v>0</v>
      </c>
      <c r="BI330" s="79">
        <f t="shared" si="353"/>
        <v>-82595.566103649951</v>
      </c>
      <c r="BJ330" s="79">
        <f t="shared" si="321"/>
        <v>106400</v>
      </c>
      <c r="BK330" s="44">
        <f t="shared" si="354"/>
        <v>0.28820474293350862</v>
      </c>
      <c r="BL330" s="79">
        <f t="shared" si="371"/>
        <v>8925.3084151434905</v>
      </c>
      <c r="BM330" s="49">
        <f t="shared" si="355"/>
        <v>115325.30841514349</v>
      </c>
      <c r="BN330" s="44">
        <f t="shared" si="356"/>
        <v>0.39626512481820964</v>
      </c>
      <c r="BO330" s="49">
        <f t="shared" si="322"/>
        <v>10918.77279540008</v>
      </c>
      <c r="BP330" s="49">
        <f t="shared" si="323"/>
        <v>117318.77279540007</v>
      </c>
      <c r="BQ330" s="44">
        <f t="shared" si="324"/>
        <v>0.42040037171215272</v>
      </c>
      <c r="BS330" s="49">
        <f t="shared" si="325"/>
        <v>82595.566103649951</v>
      </c>
      <c r="BT330" s="49">
        <f t="shared" si="301"/>
        <v>78.379997000000003</v>
      </c>
      <c r="BU330" s="49">
        <f t="shared" si="302"/>
        <v>44.290000999999997</v>
      </c>
      <c r="BV330" s="49">
        <f t="shared" si="326"/>
        <v>81.225035698917964</v>
      </c>
      <c r="BW330" s="18">
        <f t="shared" si="327"/>
        <v>2016</v>
      </c>
      <c r="BX330" s="19">
        <f t="shared" si="357"/>
        <v>0.53761467889908254</v>
      </c>
      <c r="BY330" s="49">
        <f t="shared" si="358"/>
        <v>43.667771485840298</v>
      </c>
      <c r="BZ330" s="19">
        <f t="shared" si="328"/>
        <v>0</v>
      </c>
      <c r="CA330" s="19">
        <f t="shared" si="329"/>
        <v>0</v>
      </c>
      <c r="CB330" s="19">
        <f t="shared" si="330"/>
        <v>0</v>
      </c>
      <c r="CC330" s="19">
        <f t="shared" si="331"/>
        <v>0</v>
      </c>
      <c r="CD330" s="19">
        <f t="shared" si="332"/>
        <v>9.8942984223006309</v>
      </c>
      <c r="CE330" s="19">
        <f t="shared" si="333"/>
        <v>4.2032112673735158</v>
      </c>
      <c r="CF330" s="49">
        <f t="shared" si="334"/>
        <v>0</v>
      </c>
      <c r="CG330" s="49">
        <f t="shared" si="335"/>
        <v>0</v>
      </c>
      <c r="CH330" s="49">
        <f t="shared" si="336"/>
        <v>0</v>
      </c>
      <c r="CI330" s="49">
        <f t="shared" si="337"/>
        <v>0</v>
      </c>
      <c r="CJ330" s="49">
        <f t="shared" si="338"/>
        <v>-359.45988147077878</v>
      </c>
      <c r="CK330" s="49">
        <f t="shared" si="339"/>
        <v>-186.16023123518426</v>
      </c>
    </row>
    <row r="331" spans="2:89" ht="12.75" customHeight="1" x14ac:dyDescent="0.2">
      <c r="B331" s="81">
        <v>41316</v>
      </c>
      <c r="C331" s="49">
        <v>78.589995999999999</v>
      </c>
      <c r="D331" s="49">
        <v>63.580002</v>
      </c>
      <c r="E331" s="49">
        <v>64.559997999999993</v>
      </c>
      <c r="F331" s="49">
        <v>79.680000000000007</v>
      </c>
      <c r="G331" s="49">
        <v>36.240001999999997</v>
      </c>
      <c r="H331" s="49">
        <v>44.41</v>
      </c>
      <c r="J331" s="78">
        <f>IF(inter=Weekly_2,J330+$C$5,IF(inter=Bi_weekly_2,0,IF(inter=Monthly_2,0,IF(inter=Quarterly_2,0,IF(inter=Yearly_2,0,IF(inter=None_2,0,0))))))</f>
        <v>0</v>
      </c>
      <c r="K331" s="79">
        <f t="shared" si="340"/>
        <v>0</v>
      </c>
      <c r="L331" s="79">
        <f t="shared" si="341"/>
        <v>0</v>
      </c>
      <c r="M331" s="79">
        <f t="shared" si="342"/>
        <v>0</v>
      </c>
      <c r="N331" s="79">
        <f t="shared" si="343"/>
        <v>0</v>
      </c>
      <c r="O331" s="79">
        <f t="shared" si="344"/>
        <v>0</v>
      </c>
      <c r="P331" s="79">
        <f t="shared" si="345"/>
        <v>0</v>
      </c>
      <c r="Q331" s="79"/>
      <c r="R331" s="80">
        <f t="shared" si="303"/>
        <v>0</v>
      </c>
      <c r="S331" s="80">
        <f t="shared" si="304"/>
        <v>0</v>
      </c>
      <c r="T331" s="80">
        <f t="shared" si="305"/>
        <v>0</v>
      </c>
      <c r="U331" s="80">
        <f t="shared" si="306"/>
        <v>0</v>
      </c>
      <c r="V331" s="80">
        <f t="shared" si="307"/>
        <v>0</v>
      </c>
      <c r="W331" s="80">
        <f t="shared" si="308"/>
        <v>0</v>
      </c>
      <c r="X331" s="80">
        <f t="shared" si="359"/>
        <v>475.1212225741728</v>
      </c>
      <c r="Y331" s="80">
        <f t="shared" si="360"/>
        <v>168.19475713546498</v>
      </c>
      <c r="Z331" s="80">
        <f t="shared" si="361"/>
        <v>132.64765880154772</v>
      </c>
      <c r="AA331" s="80">
        <f t="shared" si="362"/>
        <v>94.79445080819653</v>
      </c>
      <c r="AB331" s="80">
        <f t="shared" si="363"/>
        <v>732.17722366214014</v>
      </c>
      <c r="AC331" s="80">
        <f t="shared" si="364"/>
        <v>360.35221584212655</v>
      </c>
      <c r="AD331" s="80"/>
      <c r="AE331" s="80"/>
      <c r="AF331" s="80"/>
      <c r="AG331" s="80"/>
      <c r="AH331" s="80"/>
      <c r="AI331" s="80"/>
      <c r="AJ331" s="45">
        <f t="shared" si="309"/>
        <v>0</v>
      </c>
      <c r="AK331" s="45">
        <f t="shared" si="310"/>
        <v>0</v>
      </c>
      <c r="AL331" s="45">
        <f t="shared" si="311"/>
        <v>0</v>
      </c>
      <c r="AM331" s="45">
        <f t="shared" si="312"/>
        <v>0</v>
      </c>
      <c r="AN331" s="45">
        <f t="shared" si="313"/>
        <v>0</v>
      </c>
      <c r="AO331" s="45">
        <f t="shared" si="314"/>
        <v>0</v>
      </c>
      <c r="AP331" s="80">
        <f t="shared" si="315"/>
        <v>0</v>
      </c>
      <c r="AQ331" s="80">
        <f t="shared" si="316"/>
        <v>0</v>
      </c>
      <c r="AR331" s="80">
        <f t="shared" si="317"/>
        <v>0</v>
      </c>
      <c r="AS331" s="80">
        <f t="shared" si="318"/>
        <v>0</v>
      </c>
      <c r="AT331" s="80">
        <f t="shared" si="319"/>
        <v>0</v>
      </c>
      <c r="AU331" s="80">
        <f t="shared" si="320"/>
        <v>0</v>
      </c>
      <c r="AV331" s="80">
        <f t="shared" si="365"/>
        <v>40.984153607158824</v>
      </c>
      <c r="AW331" s="80">
        <f t="shared" si="366"/>
        <v>19.955655827382795</v>
      </c>
      <c r="AX331" s="80">
        <f t="shared" si="367"/>
        <v>13.469355342188923</v>
      </c>
      <c r="AY331" s="80">
        <f t="shared" si="368"/>
        <v>10.500861087289405</v>
      </c>
      <c r="AZ331" s="80">
        <f t="shared" si="369"/>
        <v>86.786242859156033</v>
      </c>
      <c r="BA331" s="80">
        <f t="shared" si="370"/>
        <v>36.164250103561827</v>
      </c>
      <c r="BB331" s="80">
        <f t="shared" si="346"/>
        <v>516.10537618133162</v>
      </c>
      <c r="BC331" s="80">
        <f t="shared" si="347"/>
        <v>188.15041296284778</v>
      </c>
      <c r="BD331" s="80">
        <f t="shared" si="348"/>
        <v>146.11701414373664</v>
      </c>
      <c r="BE331" s="80">
        <f t="shared" si="349"/>
        <v>105.29531189548594</v>
      </c>
      <c r="BF331" s="80">
        <f t="shared" si="350"/>
        <v>818.96346652129614</v>
      </c>
      <c r="BG331" s="80">
        <f t="shared" si="351"/>
        <v>396.51646594568837</v>
      </c>
      <c r="BH331" s="49">
        <f t="shared" si="352"/>
        <v>0</v>
      </c>
      <c r="BI331" s="79">
        <f t="shared" si="353"/>
        <v>-82595.566103649951</v>
      </c>
      <c r="BJ331" s="79">
        <f t="shared" si="321"/>
        <v>106687.89835943068</v>
      </c>
      <c r="BK331" s="44">
        <f t="shared" si="354"/>
        <v>0.29169038233295752</v>
      </c>
      <c r="BL331" s="79">
        <f t="shared" si="371"/>
        <v>8925.3084151434905</v>
      </c>
      <c r="BM331" s="49">
        <f t="shared" si="355"/>
        <v>115613.20677457417</v>
      </c>
      <c r="BN331" s="44">
        <f t="shared" si="356"/>
        <v>0.39975076421765876</v>
      </c>
      <c r="BO331" s="49">
        <f t="shared" si="322"/>
        <v>10947.203232742013</v>
      </c>
      <c r="BP331" s="49">
        <f t="shared" si="323"/>
        <v>117635.10159217269</v>
      </c>
      <c r="BQ331" s="44">
        <f t="shared" si="324"/>
        <v>0.42423022374531949</v>
      </c>
      <c r="BS331" s="49">
        <f t="shared" si="325"/>
        <v>82595.566103649951</v>
      </c>
      <c r="BT331" s="49">
        <f t="shared" si="301"/>
        <v>78.589995999999999</v>
      </c>
      <c r="BU331" s="49">
        <f t="shared" si="302"/>
        <v>44.41</v>
      </c>
      <c r="BV331" s="49">
        <f t="shared" si="326"/>
        <v>0</v>
      </c>
      <c r="BW331" s="18">
        <f t="shared" si="327"/>
        <v>2023</v>
      </c>
      <c r="BX331" s="19">
        <f t="shared" si="357"/>
        <v>0.53600917431192663</v>
      </c>
      <c r="BY331" s="49">
        <f t="shared" si="358"/>
        <v>0</v>
      </c>
      <c r="BZ331" s="19">
        <f t="shared" si="328"/>
        <v>0</v>
      </c>
      <c r="CA331" s="19">
        <f t="shared" si="329"/>
        <v>0</v>
      </c>
      <c r="CB331" s="19">
        <f t="shared" si="330"/>
        <v>0</v>
      </c>
      <c r="CC331" s="19">
        <f t="shared" si="331"/>
        <v>0</v>
      </c>
      <c r="CD331" s="19">
        <f t="shared" si="332"/>
        <v>0</v>
      </c>
      <c r="CE331" s="19">
        <f t="shared" si="333"/>
        <v>0</v>
      </c>
      <c r="CF331" s="49">
        <f t="shared" si="334"/>
        <v>0</v>
      </c>
      <c r="CG331" s="49">
        <f t="shared" si="335"/>
        <v>0</v>
      </c>
      <c r="CH331" s="49">
        <f t="shared" si="336"/>
        <v>0</v>
      </c>
      <c r="CI331" s="49">
        <f t="shared" si="337"/>
        <v>0</v>
      </c>
      <c r="CJ331" s="49">
        <f t="shared" si="338"/>
        <v>0</v>
      </c>
      <c r="CK331" s="49">
        <f t="shared" si="339"/>
        <v>0</v>
      </c>
    </row>
    <row r="332" spans="2:89" ht="12.75" customHeight="1" x14ac:dyDescent="0.2">
      <c r="B332" s="77">
        <v>41324</v>
      </c>
      <c r="C332" s="49">
        <v>78.309997999999993</v>
      </c>
      <c r="D332" s="49">
        <v>63.549999</v>
      </c>
      <c r="E332" s="49">
        <v>64</v>
      </c>
      <c r="F332" s="49">
        <v>78.989998</v>
      </c>
      <c r="G332" s="49">
        <v>36.32</v>
      </c>
      <c r="H332" s="49">
        <v>43.689999</v>
      </c>
      <c r="J332" s="78">
        <f>IF(inter=Weekly_2,J331+$C$5,IF(inter=Bi_weekly_2,J330+$C$5,IF(inter=Monthly_2,0,IF(inter=Quarterly_2,0,IF(inter=Yearly_2,0,IF(inter=None_2,0,0))))))</f>
        <v>107000</v>
      </c>
      <c r="K332" s="79">
        <f t="shared" si="340"/>
        <v>-243.2580104589797</v>
      </c>
      <c r="L332" s="79">
        <f t="shared" si="341"/>
        <v>-11.223352235958373</v>
      </c>
      <c r="M332" s="79">
        <f t="shared" si="342"/>
        <v>-70.549836700945889</v>
      </c>
      <c r="N332" s="79">
        <f t="shared" si="343"/>
        <v>-2.1865202494582263</v>
      </c>
      <c r="O332" s="79">
        <f t="shared" si="344"/>
        <v>-157.32323659106987</v>
      </c>
      <c r="P332" s="79">
        <f t="shared" si="345"/>
        <v>-306.21205020970592</v>
      </c>
      <c r="Q332" s="79"/>
      <c r="R332" s="80">
        <f t="shared" si="303"/>
        <v>3.1063467842124033</v>
      </c>
      <c r="S332" s="80">
        <f t="shared" si="304"/>
        <v>0.17660664693257308</v>
      </c>
      <c r="T332" s="80">
        <f t="shared" si="305"/>
        <v>1.1023411984522795</v>
      </c>
      <c r="U332" s="80">
        <f t="shared" si="306"/>
        <v>2.7680976133943266E-2</v>
      </c>
      <c r="V332" s="80">
        <f t="shared" si="307"/>
        <v>4.3315869105470783</v>
      </c>
      <c r="W332" s="80">
        <f t="shared" si="308"/>
        <v>7.0087447291931939</v>
      </c>
      <c r="X332" s="80">
        <f t="shared" si="359"/>
        <v>478.22756935838521</v>
      </c>
      <c r="Y332" s="80">
        <f t="shared" si="360"/>
        <v>168.37136378239757</v>
      </c>
      <c r="Z332" s="80">
        <f t="shared" si="361"/>
        <v>133.75</v>
      </c>
      <c r="AA332" s="80">
        <f t="shared" si="362"/>
        <v>94.822131784330466</v>
      </c>
      <c r="AB332" s="80">
        <f t="shared" si="363"/>
        <v>736.50881057268725</v>
      </c>
      <c r="AC332" s="80">
        <f t="shared" si="364"/>
        <v>367.36096057131977</v>
      </c>
      <c r="AD332" s="80"/>
      <c r="AE332" s="80"/>
      <c r="AF332" s="80"/>
      <c r="AG332" s="80"/>
      <c r="AH332" s="80"/>
      <c r="AI332" s="80"/>
      <c r="AJ332" s="45">
        <f t="shared" si="309"/>
        <v>0</v>
      </c>
      <c r="AK332" s="45">
        <f t="shared" si="310"/>
        <v>0</v>
      </c>
      <c r="AL332" s="45">
        <f t="shared" si="311"/>
        <v>0</v>
      </c>
      <c r="AM332" s="45">
        <f t="shared" si="312"/>
        <v>0</v>
      </c>
      <c r="AN332" s="45">
        <f t="shared" si="313"/>
        <v>0</v>
      </c>
      <c r="AO332" s="45">
        <f t="shared" si="314"/>
        <v>0</v>
      </c>
      <c r="AP332" s="80">
        <f t="shared" si="315"/>
        <v>0</v>
      </c>
      <c r="AQ332" s="80">
        <f t="shared" si="316"/>
        <v>0</v>
      </c>
      <c r="AR332" s="80">
        <f t="shared" si="317"/>
        <v>0</v>
      </c>
      <c r="AS332" s="80">
        <f t="shared" si="318"/>
        <v>0</v>
      </c>
      <c r="AT332" s="80">
        <f t="shared" si="319"/>
        <v>0</v>
      </c>
      <c r="AU332" s="80">
        <f t="shared" si="320"/>
        <v>0</v>
      </c>
      <c r="AV332" s="80">
        <f t="shared" si="365"/>
        <v>40.984153607158824</v>
      </c>
      <c r="AW332" s="80">
        <f t="shared" si="366"/>
        <v>19.955655827382795</v>
      </c>
      <c r="AX332" s="80">
        <f t="shared" si="367"/>
        <v>13.469355342188923</v>
      </c>
      <c r="AY332" s="80">
        <f t="shared" si="368"/>
        <v>10.500861087289405</v>
      </c>
      <c r="AZ332" s="80">
        <f t="shared" si="369"/>
        <v>86.786242859156033</v>
      </c>
      <c r="BA332" s="80">
        <f t="shared" si="370"/>
        <v>36.164250103561827</v>
      </c>
      <c r="BB332" s="80">
        <f t="shared" si="346"/>
        <v>519.21172296554403</v>
      </c>
      <c r="BC332" s="80">
        <f t="shared" si="347"/>
        <v>188.32701960978036</v>
      </c>
      <c r="BD332" s="80">
        <f t="shared" si="348"/>
        <v>147.21935534218892</v>
      </c>
      <c r="BE332" s="80">
        <f t="shared" si="349"/>
        <v>105.32299287161987</v>
      </c>
      <c r="BF332" s="80">
        <f t="shared" si="350"/>
        <v>823.29505343184326</v>
      </c>
      <c r="BG332" s="80">
        <f t="shared" si="351"/>
        <v>403.52521067488158</v>
      </c>
      <c r="BH332" s="49">
        <f t="shared" si="352"/>
        <v>0</v>
      </c>
      <c r="BI332" s="79">
        <f t="shared" si="353"/>
        <v>-83386.319110096054</v>
      </c>
      <c r="BJ332" s="79">
        <f t="shared" si="321"/>
        <v>107000</v>
      </c>
      <c r="BK332" s="44">
        <f t="shared" si="354"/>
        <v>0.28318411391593501</v>
      </c>
      <c r="BL332" s="79">
        <f t="shared" si="371"/>
        <v>8925.3084151434905</v>
      </c>
      <c r="BM332" s="49">
        <f t="shared" si="355"/>
        <v>115925.30841514349</v>
      </c>
      <c r="BN332" s="44">
        <f t="shared" si="356"/>
        <v>0.39021975849642399</v>
      </c>
      <c r="BO332" s="49">
        <f t="shared" si="322"/>
        <v>10901.245024571092</v>
      </c>
      <c r="BP332" s="49">
        <f t="shared" si="323"/>
        <v>117901.24502457111</v>
      </c>
      <c r="BQ332" s="44">
        <f t="shared" si="324"/>
        <v>0.41391593108822256</v>
      </c>
      <c r="BS332" s="49">
        <f t="shared" si="325"/>
        <v>83386.319110096054</v>
      </c>
      <c r="BT332" s="49">
        <f t="shared" si="301"/>
        <v>78.309997999999993</v>
      </c>
      <c r="BU332" s="49">
        <f t="shared" si="302"/>
        <v>43.689999</v>
      </c>
      <c r="BV332" s="49">
        <f t="shared" si="326"/>
        <v>790.75300644611798</v>
      </c>
      <c r="BW332" s="18">
        <f t="shared" si="327"/>
        <v>2031</v>
      </c>
      <c r="BX332" s="19">
        <f t="shared" si="357"/>
        <v>0.53417431192660547</v>
      </c>
      <c r="BY332" s="49">
        <f t="shared" si="358"/>
        <v>422.39994312224968</v>
      </c>
      <c r="BZ332" s="19">
        <f t="shared" si="328"/>
        <v>3.1063467842124033</v>
      </c>
      <c r="CA332" s="19">
        <f t="shared" si="329"/>
        <v>0.17660664693257308</v>
      </c>
      <c r="CB332" s="19">
        <f t="shared" si="330"/>
        <v>1.1023411984522795</v>
      </c>
      <c r="CC332" s="19">
        <f t="shared" si="331"/>
        <v>2.7680976133943266E-2</v>
      </c>
      <c r="CD332" s="19">
        <f t="shared" si="332"/>
        <v>4.3315869105470783</v>
      </c>
      <c r="CE332" s="19">
        <f t="shared" si="333"/>
        <v>7.0087447291931939</v>
      </c>
      <c r="CF332" s="49">
        <f t="shared" si="334"/>
        <v>-243.2580104589797</v>
      </c>
      <c r="CG332" s="49">
        <f t="shared" si="335"/>
        <v>-11.223352235958373</v>
      </c>
      <c r="CH332" s="49">
        <f t="shared" si="336"/>
        <v>-70.549836700945889</v>
      </c>
      <c r="CI332" s="49">
        <f t="shared" si="337"/>
        <v>-2.1865202494582263</v>
      </c>
      <c r="CJ332" s="49">
        <f t="shared" si="338"/>
        <v>-157.32323659106987</v>
      </c>
      <c r="CK332" s="49">
        <f t="shared" si="339"/>
        <v>-306.21205020970592</v>
      </c>
    </row>
    <row r="333" spans="2:89" ht="12.75" customHeight="1" x14ac:dyDescent="0.2">
      <c r="B333" s="77">
        <v>41330</v>
      </c>
      <c r="C333" s="49">
        <v>78.419998000000007</v>
      </c>
      <c r="D333" s="49">
        <v>63.619999</v>
      </c>
      <c r="E333" s="49">
        <v>64.110000999999997</v>
      </c>
      <c r="F333" s="49">
        <v>78.699996999999996</v>
      </c>
      <c r="G333" s="49">
        <v>36.080002</v>
      </c>
      <c r="H333" s="49">
        <v>43.57</v>
      </c>
      <c r="J333" s="78">
        <f>IF(inter=Weekly_2,J332+$C$5,IF(inter=Bi_weekly_2,0,IF(inter=Monthly_2,0,IF(inter=Quarterly_2,0,IF(inter=Yearly_2,0,IF(inter=None_2,0,0))))))</f>
        <v>0</v>
      </c>
      <c r="K333" s="79">
        <f t="shared" si="340"/>
        <v>0</v>
      </c>
      <c r="L333" s="79">
        <f t="shared" si="341"/>
        <v>0</v>
      </c>
      <c r="M333" s="79">
        <f t="shared" si="342"/>
        <v>0</v>
      </c>
      <c r="N333" s="79">
        <f t="shared" si="343"/>
        <v>0</v>
      </c>
      <c r="O333" s="79">
        <f t="shared" si="344"/>
        <v>0</v>
      </c>
      <c r="P333" s="79">
        <f t="shared" si="345"/>
        <v>0</v>
      </c>
      <c r="Q333" s="79"/>
      <c r="R333" s="80">
        <f t="shared" si="303"/>
        <v>0</v>
      </c>
      <c r="S333" s="80">
        <f t="shared" si="304"/>
        <v>0</v>
      </c>
      <c r="T333" s="80">
        <f t="shared" si="305"/>
        <v>0</v>
      </c>
      <c r="U333" s="80">
        <f t="shared" si="306"/>
        <v>0</v>
      </c>
      <c r="V333" s="80">
        <f t="shared" si="307"/>
        <v>0</v>
      </c>
      <c r="W333" s="80">
        <f t="shared" si="308"/>
        <v>0</v>
      </c>
      <c r="X333" s="80">
        <f t="shared" si="359"/>
        <v>478.22756935838521</v>
      </c>
      <c r="Y333" s="80">
        <f t="shared" si="360"/>
        <v>168.37136378239757</v>
      </c>
      <c r="Z333" s="80">
        <f t="shared" si="361"/>
        <v>133.75</v>
      </c>
      <c r="AA333" s="80">
        <f t="shared" si="362"/>
        <v>94.822131784330466</v>
      </c>
      <c r="AB333" s="80">
        <f t="shared" si="363"/>
        <v>736.50881057268725</v>
      </c>
      <c r="AC333" s="80">
        <f t="shared" si="364"/>
        <v>367.36096057131977</v>
      </c>
      <c r="AD333" s="80"/>
      <c r="AE333" s="80"/>
      <c r="AF333" s="80"/>
      <c r="AG333" s="80"/>
      <c r="AH333" s="80"/>
      <c r="AI333" s="80"/>
      <c r="AJ333" s="45">
        <f t="shared" si="309"/>
        <v>0</v>
      </c>
      <c r="AK333" s="45">
        <f t="shared" si="310"/>
        <v>0</v>
      </c>
      <c r="AL333" s="45">
        <f t="shared" si="311"/>
        <v>0</v>
      </c>
      <c r="AM333" s="45">
        <f t="shared" si="312"/>
        <v>0</v>
      </c>
      <c r="AN333" s="45">
        <f t="shared" si="313"/>
        <v>0</v>
      </c>
      <c r="AO333" s="45">
        <f t="shared" si="314"/>
        <v>0</v>
      </c>
      <c r="AP333" s="80">
        <f t="shared" si="315"/>
        <v>0</v>
      </c>
      <c r="AQ333" s="80">
        <f t="shared" si="316"/>
        <v>0</v>
      </c>
      <c r="AR333" s="80">
        <f t="shared" si="317"/>
        <v>0</v>
      </c>
      <c r="AS333" s="80">
        <f t="shared" si="318"/>
        <v>0</v>
      </c>
      <c r="AT333" s="80">
        <f t="shared" si="319"/>
        <v>0</v>
      </c>
      <c r="AU333" s="80">
        <f t="shared" si="320"/>
        <v>0</v>
      </c>
      <c r="AV333" s="80">
        <f t="shared" si="365"/>
        <v>40.984153607158824</v>
      </c>
      <c r="AW333" s="80">
        <f t="shared" si="366"/>
        <v>19.955655827382795</v>
      </c>
      <c r="AX333" s="80">
        <f t="shared" si="367"/>
        <v>13.469355342188923</v>
      </c>
      <c r="AY333" s="80">
        <f t="shared" si="368"/>
        <v>10.500861087289405</v>
      </c>
      <c r="AZ333" s="80">
        <f t="shared" si="369"/>
        <v>86.786242859156033</v>
      </c>
      <c r="BA333" s="80">
        <f t="shared" si="370"/>
        <v>36.164250103561827</v>
      </c>
      <c r="BB333" s="80">
        <f t="shared" si="346"/>
        <v>519.21172296554403</v>
      </c>
      <c r="BC333" s="80">
        <f t="shared" si="347"/>
        <v>188.32701960978036</v>
      </c>
      <c r="BD333" s="80">
        <f t="shared" si="348"/>
        <v>147.21935534218892</v>
      </c>
      <c r="BE333" s="80">
        <f t="shared" si="349"/>
        <v>105.32299287161987</v>
      </c>
      <c r="BF333" s="80">
        <f t="shared" si="350"/>
        <v>823.29505343184326</v>
      </c>
      <c r="BG333" s="80">
        <f t="shared" si="351"/>
        <v>403.52521067488158</v>
      </c>
      <c r="BH333" s="49">
        <f t="shared" si="352"/>
        <v>0</v>
      </c>
      <c r="BI333" s="79">
        <f t="shared" si="353"/>
        <v>-83386.319110096054</v>
      </c>
      <c r="BJ333" s="79">
        <f t="shared" si="321"/>
        <v>106830.76155937719</v>
      </c>
      <c r="BK333" s="44">
        <f t="shared" si="354"/>
        <v>0.28115454308910226</v>
      </c>
      <c r="BL333" s="79">
        <f t="shared" si="371"/>
        <v>8925.3084151434905</v>
      </c>
      <c r="BM333" s="49">
        <f t="shared" si="355"/>
        <v>115756.06997452068</v>
      </c>
      <c r="BN333" s="44">
        <f t="shared" si="356"/>
        <v>0.38819018766959146</v>
      </c>
      <c r="BO333" s="49">
        <f t="shared" si="322"/>
        <v>10880.418361154729</v>
      </c>
      <c r="BP333" s="49">
        <f t="shared" si="323"/>
        <v>117711.17992053193</v>
      </c>
      <c r="BQ333" s="44">
        <f t="shared" si="324"/>
        <v>0.41163659910585948</v>
      </c>
      <c r="BS333" s="49">
        <f t="shared" si="325"/>
        <v>83386.319110096054</v>
      </c>
      <c r="BT333" s="49">
        <f t="shared" si="301"/>
        <v>78.419998000000007</v>
      </c>
      <c r="BU333" s="49">
        <f t="shared" si="302"/>
        <v>43.57</v>
      </c>
      <c r="BV333" s="49">
        <f t="shared" si="326"/>
        <v>0</v>
      </c>
      <c r="BW333" s="18">
        <f t="shared" si="327"/>
        <v>2037</v>
      </c>
      <c r="BX333" s="19">
        <f t="shared" si="357"/>
        <v>0.53279816513761469</v>
      </c>
      <c r="BY333" s="49">
        <f t="shared" si="358"/>
        <v>0</v>
      </c>
      <c r="BZ333" s="19">
        <f t="shared" si="328"/>
        <v>0</v>
      </c>
      <c r="CA333" s="19">
        <f t="shared" si="329"/>
        <v>0</v>
      </c>
      <c r="CB333" s="19">
        <f t="shared" si="330"/>
        <v>0</v>
      </c>
      <c r="CC333" s="19">
        <f t="shared" si="331"/>
        <v>0</v>
      </c>
      <c r="CD333" s="19">
        <f t="shared" si="332"/>
        <v>0</v>
      </c>
      <c r="CE333" s="19">
        <f t="shared" si="333"/>
        <v>0</v>
      </c>
      <c r="CF333" s="49">
        <f t="shared" si="334"/>
        <v>0</v>
      </c>
      <c r="CG333" s="49">
        <f t="shared" si="335"/>
        <v>0</v>
      </c>
      <c r="CH333" s="49">
        <f t="shared" si="336"/>
        <v>0</v>
      </c>
      <c r="CI333" s="49">
        <f t="shared" si="337"/>
        <v>0</v>
      </c>
      <c r="CJ333" s="49">
        <f t="shared" si="338"/>
        <v>0</v>
      </c>
      <c r="CK333" s="49">
        <f t="shared" si="339"/>
        <v>0</v>
      </c>
    </row>
    <row r="334" spans="2:89" ht="12.75" customHeight="1" x14ac:dyDescent="0.2">
      <c r="B334" s="77">
        <v>41337</v>
      </c>
      <c r="C334" s="49">
        <v>80.269997000000004</v>
      </c>
      <c r="D334" s="49">
        <v>65.040001000000004</v>
      </c>
      <c r="E334" s="49">
        <v>65.800003000000004</v>
      </c>
      <c r="F334" s="49">
        <v>80.900002000000001</v>
      </c>
      <c r="G334" s="49">
        <v>36.869999</v>
      </c>
      <c r="H334" s="49">
        <v>44.419998</v>
      </c>
      <c r="J334" s="78">
        <f>IF(inter=Weekly_2,J333+$C$5,IF(inter=Bi_weekly_2,J332+$C$5,IF(inter=Monthly_2,J330+$C$5,IF(inter=Quarterly_2,0,IF(inter=Yearly_2,0,IF(inter=None_2,0,0))))))</f>
        <v>107600</v>
      </c>
      <c r="K334" s="79">
        <f t="shared" si="340"/>
        <v>727.32555771487387</v>
      </c>
      <c r="L334" s="79">
        <f t="shared" si="341"/>
        <v>190.87366877850218</v>
      </c>
      <c r="M334" s="79">
        <f t="shared" si="342"/>
        <v>192.75040125000123</v>
      </c>
      <c r="N334" s="79">
        <f t="shared" si="343"/>
        <v>139.11065099659754</v>
      </c>
      <c r="O334" s="79">
        <f t="shared" si="344"/>
        <v>255.07910930616708</v>
      </c>
      <c r="P334" s="79">
        <f t="shared" si="345"/>
        <v>178.17313385610214</v>
      </c>
      <c r="Q334" s="79"/>
      <c r="R334" s="80">
        <f t="shared" si="303"/>
        <v>-9.0609889734376576</v>
      </c>
      <c r="S334" s="80">
        <f t="shared" si="304"/>
        <v>-2.9347119594678692</v>
      </c>
      <c r="T334" s="80">
        <f t="shared" si="305"/>
        <v>-2.9293372714588055</v>
      </c>
      <c r="U334" s="80">
        <f t="shared" si="306"/>
        <v>-1.7195382887209019</v>
      </c>
      <c r="V334" s="80">
        <f t="shared" si="307"/>
        <v>-6.9183378417278254</v>
      </c>
      <c r="W334" s="80">
        <f t="shared" si="308"/>
        <v>-4.0111017982509169</v>
      </c>
      <c r="X334" s="80">
        <f t="shared" si="359"/>
        <v>469.16658038494757</v>
      </c>
      <c r="Y334" s="80">
        <f t="shared" si="360"/>
        <v>165.43665182292969</v>
      </c>
      <c r="Z334" s="80">
        <f t="shared" si="361"/>
        <v>130.82066272854121</v>
      </c>
      <c r="AA334" s="80">
        <f t="shared" si="362"/>
        <v>93.102593495609568</v>
      </c>
      <c r="AB334" s="80">
        <f t="shared" si="363"/>
        <v>729.59047273095939</v>
      </c>
      <c r="AC334" s="80">
        <f t="shared" si="364"/>
        <v>363.34985877306883</v>
      </c>
      <c r="AD334" s="80"/>
      <c r="AE334" s="80"/>
      <c r="AF334" s="80"/>
      <c r="AG334" s="80"/>
      <c r="AH334" s="80"/>
      <c r="AI334" s="80"/>
      <c r="AJ334" s="45">
        <f t="shared" si="309"/>
        <v>0</v>
      </c>
      <c r="AK334" s="45">
        <f t="shared" si="310"/>
        <v>0</v>
      </c>
      <c r="AL334" s="45">
        <f t="shared" si="311"/>
        <v>0</v>
      </c>
      <c r="AM334" s="45">
        <f t="shared" si="312"/>
        <v>0</v>
      </c>
      <c r="AN334" s="45">
        <f t="shared" si="313"/>
        <v>0</v>
      </c>
      <c r="AO334" s="45">
        <f t="shared" si="314"/>
        <v>0</v>
      </c>
      <c r="AP334" s="80">
        <f t="shared" si="315"/>
        <v>0</v>
      </c>
      <c r="AQ334" s="80">
        <f t="shared" si="316"/>
        <v>0</v>
      </c>
      <c r="AR334" s="80">
        <f t="shared" si="317"/>
        <v>0</v>
      </c>
      <c r="AS334" s="80">
        <f t="shared" si="318"/>
        <v>0</v>
      </c>
      <c r="AT334" s="80">
        <f t="shared" si="319"/>
        <v>0</v>
      </c>
      <c r="AU334" s="80">
        <f t="shared" si="320"/>
        <v>0</v>
      </c>
      <c r="AV334" s="80">
        <f t="shared" si="365"/>
        <v>40.984153607158824</v>
      </c>
      <c r="AW334" s="80">
        <f t="shared" si="366"/>
        <v>19.955655827382795</v>
      </c>
      <c r="AX334" s="80">
        <f t="shared" si="367"/>
        <v>13.469355342188923</v>
      </c>
      <c r="AY334" s="80">
        <f t="shared" si="368"/>
        <v>10.500861087289405</v>
      </c>
      <c r="AZ334" s="80">
        <f t="shared" si="369"/>
        <v>86.786242859156033</v>
      </c>
      <c r="BA334" s="80">
        <f t="shared" si="370"/>
        <v>36.164250103561827</v>
      </c>
      <c r="BB334" s="80">
        <f t="shared" si="346"/>
        <v>510.15073399210638</v>
      </c>
      <c r="BC334" s="80">
        <f t="shared" si="347"/>
        <v>185.39230765031249</v>
      </c>
      <c r="BD334" s="80">
        <f t="shared" si="348"/>
        <v>144.29001807073013</v>
      </c>
      <c r="BE334" s="80">
        <f t="shared" si="349"/>
        <v>103.60345458289898</v>
      </c>
      <c r="BF334" s="80">
        <f t="shared" si="350"/>
        <v>816.3767155901154</v>
      </c>
      <c r="BG334" s="80">
        <f t="shared" si="351"/>
        <v>399.51410887663064</v>
      </c>
      <c r="BH334" s="49">
        <f t="shared" si="352"/>
        <v>0</v>
      </c>
      <c r="BI334" s="79">
        <f t="shared" si="353"/>
        <v>-81703.006588193792</v>
      </c>
      <c r="BJ334" s="79">
        <f t="shared" si="321"/>
        <v>107600</v>
      </c>
      <c r="BK334" s="44">
        <f t="shared" si="354"/>
        <v>0.31696499912585052</v>
      </c>
      <c r="BL334" s="79">
        <f t="shared" si="371"/>
        <v>8925.3084151434905</v>
      </c>
      <c r="BM334" s="49">
        <f t="shared" si="355"/>
        <v>116525.30841514349</v>
      </c>
      <c r="BN334" s="44">
        <f t="shared" si="356"/>
        <v>0.42620588006588211</v>
      </c>
      <c r="BO334" s="49">
        <f t="shared" si="322"/>
        <v>11129.741671652899</v>
      </c>
      <c r="BP334" s="49">
        <f t="shared" si="323"/>
        <v>118729.74167165291</v>
      </c>
      <c r="BQ334" s="44">
        <f t="shared" si="324"/>
        <v>0.45318693435707091</v>
      </c>
      <c r="BS334" s="49">
        <f t="shared" si="325"/>
        <v>81703.006588193792</v>
      </c>
      <c r="BT334" s="49">
        <f t="shared" si="301"/>
        <v>80.269997000000004</v>
      </c>
      <c r="BU334" s="49">
        <f t="shared" si="302"/>
        <v>44.419998</v>
      </c>
      <c r="BV334" s="49">
        <f t="shared" si="326"/>
        <v>-1683.312521902244</v>
      </c>
      <c r="BW334" s="18">
        <f t="shared" si="327"/>
        <v>2044</v>
      </c>
      <c r="BX334" s="19">
        <f t="shared" si="357"/>
        <v>0.53119266055045866</v>
      </c>
      <c r="BY334" s="49">
        <f t="shared" si="358"/>
        <v>-894.16325704715518</v>
      </c>
      <c r="BZ334" s="19">
        <f t="shared" si="328"/>
        <v>0</v>
      </c>
      <c r="CA334" s="19">
        <f t="shared" si="329"/>
        <v>0</v>
      </c>
      <c r="CB334" s="19">
        <f t="shared" si="330"/>
        <v>0</v>
      </c>
      <c r="CC334" s="19">
        <f t="shared" si="331"/>
        <v>0</v>
      </c>
      <c r="CD334" s="19">
        <f t="shared" si="332"/>
        <v>0</v>
      </c>
      <c r="CE334" s="19">
        <f t="shared" si="333"/>
        <v>0</v>
      </c>
      <c r="CF334" s="49">
        <f t="shared" si="334"/>
        <v>0</v>
      </c>
      <c r="CG334" s="49">
        <f t="shared" si="335"/>
        <v>0</v>
      </c>
      <c r="CH334" s="49">
        <f t="shared" si="336"/>
        <v>0</v>
      </c>
      <c r="CI334" s="49">
        <f t="shared" si="337"/>
        <v>0</v>
      </c>
      <c r="CJ334" s="49">
        <f t="shared" si="338"/>
        <v>0</v>
      </c>
      <c r="CK334" s="49">
        <f t="shared" si="339"/>
        <v>0</v>
      </c>
    </row>
    <row r="335" spans="2:89" ht="12.75" customHeight="1" x14ac:dyDescent="0.2">
      <c r="B335" s="77">
        <v>41344</v>
      </c>
      <c r="C335" s="49">
        <v>80.870002999999997</v>
      </c>
      <c r="D335" s="49">
        <v>65.699996999999996</v>
      </c>
      <c r="E335" s="49">
        <v>66.790001000000004</v>
      </c>
      <c r="F335" s="49">
        <v>82.010002</v>
      </c>
      <c r="G335" s="49">
        <v>37.159999999999997</v>
      </c>
      <c r="H335" s="49">
        <v>43.209999000000003</v>
      </c>
      <c r="J335" s="78">
        <f>IF(inter=Weekly_2,J334+$C$5,IF(inter=Bi_weekly_2,0,IF(inter=Monthly_2,0,IF(inter=Quarterly_2,0,IF(inter=Yearly_2,0,IF(inter=None_2,0,0))))))</f>
        <v>0</v>
      </c>
      <c r="K335" s="79">
        <f t="shared" si="340"/>
        <v>0</v>
      </c>
      <c r="L335" s="79">
        <f t="shared" si="341"/>
        <v>0</v>
      </c>
      <c r="M335" s="79">
        <f t="shared" si="342"/>
        <v>0</v>
      </c>
      <c r="N335" s="79">
        <f t="shared" si="343"/>
        <v>0</v>
      </c>
      <c r="O335" s="79">
        <f t="shared" si="344"/>
        <v>0</v>
      </c>
      <c r="P335" s="79">
        <f t="shared" si="345"/>
        <v>0</v>
      </c>
      <c r="Q335" s="79"/>
      <c r="R335" s="80">
        <f t="shared" si="303"/>
        <v>0</v>
      </c>
      <c r="S335" s="80">
        <f t="shared" si="304"/>
        <v>0</v>
      </c>
      <c r="T335" s="80">
        <f t="shared" si="305"/>
        <v>0</v>
      </c>
      <c r="U335" s="80">
        <f t="shared" si="306"/>
        <v>0</v>
      </c>
      <c r="V335" s="80">
        <f t="shared" si="307"/>
        <v>0</v>
      </c>
      <c r="W335" s="80">
        <f t="shared" si="308"/>
        <v>0</v>
      </c>
      <c r="X335" s="80">
        <f t="shared" si="359"/>
        <v>469.16658038494757</v>
      </c>
      <c r="Y335" s="80">
        <f t="shared" si="360"/>
        <v>165.43665182292969</v>
      </c>
      <c r="Z335" s="80">
        <f t="shared" si="361"/>
        <v>130.82066272854121</v>
      </c>
      <c r="AA335" s="80">
        <f t="shared" si="362"/>
        <v>93.102593495609568</v>
      </c>
      <c r="AB335" s="80">
        <f t="shared" si="363"/>
        <v>729.59047273095939</v>
      </c>
      <c r="AC335" s="80">
        <f t="shared" si="364"/>
        <v>363.34985877306883</v>
      </c>
      <c r="AD335" s="80"/>
      <c r="AE335" s="80"/>
      <c r="AF335" s="80"/>
      <c r="AG335" s="80"/>
      <c r="AH335" s="80"/>
      <c r="AI335" s="80"/>
      <c r="AJ335" s="45">
        <f t="shared" si="309"/>
        <v>0</v>
      </c>
      <c r="AK335" s="45">
        <f t="shared" si="310"/>
        <v>0</v>
      </c>
      <c r="AL335" s="45">
        <f t="shared" si="311"/>
        <v>0</v>
      </c>
      <c r="AM335" s="45">
        <f t="shared" si="312"/>
        <v>0</v>
      </c>
      <c r="AN335" s="45">
        <f t="shared" si="313"/>
        <v>0</v>
      </c>
      <c r="AO335" s="45">
        <f t="shared" si="314"/>
        <v>0</v>
      </c>
      <c r="AP335" s="80">
        <f t="shared" si="315"/>
        <v>0</v>
      </c>
      <c r="AQ335" s="80">
        <f t="shared" si="316"/>
        <v>0</v>
      </c>
      <c r="AR335" s="80">
        <f t="shared" si="317"/>
        <v>0</v>
      </c>
      <c r="AS335" s="80">
        <f t="shared" si="318"/>
        <v>0</v>
      </c>
      <c r="AT335" s="80">
        <f t="shared" si="319"/>
        <v>0</v>
      </c>
      <c r="AU335" s="80">
        <f t="shared" si="320"/>
        <v>0</v>
      </c>
      <c r="AV335" s="80">
        <f t="shared" si="365"/>
        <v>40.984153607158824</v>
      </c>
      <c r="AW335" s="80">
        <f t="shared" si="366"/>
        <v>19.955655827382795</v>
      </c>
      <c r="AX335" s="80">
        <f t="shared" si="367"/>
        <v>13.469355342188923</v>
      </c>
      <c r="AY335" s="80">
        <f t="shared" si="368"/>
        <v>10.500861087289405</v>
      </c>
      <c r="AZ335" s="80">
        <f t="shared" si="369"/>
        <v>86.786242859156033</v>
      </c>
      <c r="BA335" s="80">
        <f t="shared" si="370"/>
        <v>36.164250103561827</v>
      </c>
      <c r="BB335" s="80">
        <f t="shared" si="346"/>
        <v>510.15073399210638</v>
      </c>
      <c r="BC335" s="80">
        <f t="shared" si="347"/>
        <v>185.39230765031249</v>
      </c>
      <c r="BD335" s="80">
        <f t="shared" si="348"/>
        <v>144.29001807073013</v>
      </c>
      <c r="BE335" s="80">
        <f t="shared" si="349"/>
        <v>103.60345458289898</v>
      </c>
      <c r="BF335" s="80">
        <f t="shared" si="350"/>
        <v>816.3767155901154</v>
      </c>
      <c r="BG335" s="80">
        <f t="shared" si="351"/>
        <v>399.51410887663064</v>
      </c>
      <c r="BH335" s="49">
        <f t="shared" si="352"/>
        <v>0</v>
      </c>
      <c r="BI335" s="79">
        <f t="shared" si="353"/>
        <v>-81703.006588193792</v>
      </c>
      <c r="BJ335" s="79">
        <f t="shared" si="321"/>
        <v>107995.47536584393</v>
      </c>
      <c r="BK335" s="44">
        <f t="shared" si="354"/>
        <v>0.32180540075069208</v>
      </c>
      <c r="BL335" s="79">
        <f t="shared" si="371"/>
        <v>8925.3084151434905</v>
      </c>
      <c r="BM335" s="49">
        <f t="shared" si="355"/>
        <v>116920.78378098742</v>
      </c>
      <c r="BN335" s="44">
        <f t="shared" si="356"/>
        <v>0.43104628169072368</v>
      </c>
      <c r="BO335" s="49">
        <f t="shared" si="322"/>
        <v>11173.90304415685</v>
      </c>
      <c r="BP335" s="49">
        <f t="shared" si="323"/>
        <v>119169.37841000078</v>
      </c>
      <c r="BQ335" s="44">
        <f t="shared" si="324"/>
        <v>0.45856784696612296</v>
      </c>
      <c r="BS335" s="49">
        <f t="shared" si="325"/>
        <v>81703.006588193792</v>
      </c>
      <c r="BT335" s="49">
        <f t="shared" si="301"/>
        <v>80.870002999999997</v>
      </c>
      <c r="BU335" s="49">
        <f t="shared" si="302"/>
        <v>43.209999000000003</v>
      </c>
      <c r="BV335" s="49">
        <f t="shared" si="326"/>
        <v>0</v>
      </c>
      <c r="BW335" s="18">
        <f t="shared" si="327"/>
        <v>2051</v>
      </c>
      <c r="BX335" s="19">
        <f t="shared" si="357"/>
        <v>0.52958715596330275</v>
      </c>
      <c r="BY335" s="49">
        <f t="shared" si="358"/>
        <v>0</v>
      </c>
      <c r="BZ335" s="19">
        <f t="shared" si="328"/>
        <v>0</v>
      </c>
      <c r="CA335" s="19">
        <f t="shared" si="329"/>
        <v>0</v>
      </c>
      <c r="CB335" s="19">
        <f t="shared" si="330"/>
        <v>0</v>
      </c>
      <c r="CC335" s="19">
        <f t="shared" si="331"/>
        <v>0</v>
      </c>
      <c r="CD335" s="19">
        <f t="shared" si="332"/>
        <v>0</v>
      </c>
      <c r="CE335" s="19">
        <f t="shared" si="333"/>
        <v>0</v>
      </c>
      <c r="CF335" s="49">
        <f t="shared" si="334"/>
        <v>0</v>
      </c>
      <c r="CG335" s="49">
        <f t="shared" si="335"/>
        <v>0</v>
      </c>
      <c r="CH335" s="49">
        <f t="shared" si="336"/>
        <v>0</v>
      </c>
      <c r="CI335" s="49">
        <f t="shared" si="337"/>
        <v>0</v>
      </c>
      <c r="CJ335" s="49">
        <f t="shared" si="338"/>
        <v>0</v>
      </c>
      <c r="CK335" s="49">
        <f t="shared" si="339"/>
        <v>0</v>
      </c>
    </row>
    <row r="336" spans="2:89" ht="12.75" customHeight="1" x14ac:dyDescent="0.2">
      <c r="B336" s="77">
        <v>41351</v>
      </c>
      <c r="C336" s="49">
        <v>80.290001000000004</v>
      </c>
      <c r="D336" s="49">
        <v>65.069999999999993</v>
      </c>
      <c r="E336" s="49">
        <v>66.400002000000001</v>
      </c>
      <c r="F336" s="49">
        <v>81.650002000000001</v>
      </c>
      <c r="G336" s="49">
        <v>36.75</v>
      </c>
      <c r="H336" s="49">
        <v>42.330002</v>
      </c>
      <c r="J336" s="78">
        <f>IF(inter=Weekly_2,J335+$C$5,IF(inter=Bi_weekly_2,J334+$C$5,IF(inter=Monthly_2,0,IF(inter=Quarterly_2,0,IF(inter=Yearly_2,0,IF(inter=None_2,0,0))))))</f>
        <v>108200</v>
      </c>
      <c r="K336" s="79">
        <f t="shared" si="340"/>
        <v>-200.61479172598047</v>
      </c>
      <c r="L336" s="79">
        <f t="shared" si="341"/>
        <v>-55.037065881966555</v>
      </c>
      <c r="M336" s="79">
        <f t="shared" si="342"/>
        <v>30.492266816461779</v>
      </c>
      <c r="N336" s="79">
        <f t="shared" si="343"/>
        <v>27.826945121707467</v>
      </c>
      <c r="O336" s="79">
        <f t="shared" si="344"/>
        <v>-237.55012713724136</v>
      </c>
      <c r="P336" s="79">
        <f t="shared" si="345"/>
        <v>-849.39975143627817</v>
      </c>
      <c r="Q336" s="79"/>
      <c r="R336" s="80">
        <f t="shared" si="303"/>
        <v>2.4986273412299553</v>
      </c>
      <c r="S336" s="80">
        <f t="shared" si="304"/>
        <v>0.84581321472209248</v>
      </c>
      <c r="T336" s="80">
        <f t="shared" si="305"/>
        <v>-0.45922087195813305</v>
      </c>
      <c r="U336" s="80">
        <f t="shared" si="306"/>
        <v>-0.34080764776597883</v>
      </c>
      <c r="V336" s="80">
        <f t="shared" si="307"/>
        <v>6.4639490377480646</v>
      </c>
      <c r="W336" s="80">
        <f t="shared" si="308"/>
        <v>20.066140120576375</v>
      </c>
      <c r="X336" s="80">
        <f t="shared" si="359"/>
        <v>471.66520772617753</v>
      </c>
      <c r="Y336" s="80">
        <f t="shared" si="360"/>
        <v>166.28246503765178</v>
      </c>
      <c r="Z336" s="80">
        <f t="shared" si="361"/>
        <v>130.36144185658307</v>
      </c>
      <c r="AA336" s="80">
        <f t="shared" si="362"/>
        <v>92.761785847843583</v>
      </c>
      <c r="AB336" s="80">
        <f t="shared" si="363"/>
        <v>736.05442176870747</v>
      </c>
      <c r="AC336" s="80">
        <f t="shared" si="364"/>
        <v>383.41599889364522</v>
      </c>
      <c r="AD336" s="80"/>
      <c r="AE336" s="80"/>
      <c r="AF336" s="80"/>
      <c r="AG336" s="80"/>
      <c r="AH336" s="80"/>
      <c r="AI336" s="80"/>
      <c r="AJ336" s="45">
        <f t="shared" si="309"/>
        <v>0</v>
      </c>
      <c r="AK336" s="45">
        <f t="shared" si="310"/>
        <v>0</v>
      </c>
      <c r="AL336" s="45">
        <f t="shared" si="311"/>
        <v>0</v>
      </c>
      <c r="AM336" s="45">
        <f t="shared" si="312"/>
        <v>0</v>
      </c>
      <c r="AN336" s="45">
        <f t="shared" si="313"/>
        <v>0</v>
      </c>
      <c r="AO336" s="45">
        <f t="shared" si="314"/>
        <v>0</v>
      </c>
      <c r="AP336" s="80">
        <f t="shared" si="315"/>
        <v>0</v>
      </c>
      <c r="AQ336" s="80">
        <f t="shared" si="316"/>
        <v>0</v>
      </c>
      <c r="AR336" s="80">
        <f t="shared" si="317"/>
        <v>0</v>
      </c>
      <c r="AS336" s="80">
        <f t="shared" si="318"/>
        <v>0</v>
      </c>
      <c r="AT336" s="80">
        <f t="shared" si="319"/>
        <v>0</v>
      </c>
      <c r="AU336" s="80">
        <f t="shared" si="320"/>
        <v>0</v>
      </c>
      <c r="AV336" s="80">
        <f t="shared" si="365"/>
        <v>40.984153607158824</v>
      </c>
      <c r="AW336" s="80">
        <f t="shared" si="366"/>
        <v>19.955655827382795</v>
      </c>
      <c r="AX336" s="80">
        <f t="shared" si="367"/>
        <v>13.469355342188923</v>
      </c>
      <c r="AY336" s="80">
        <f t="shared" si="368"/>
        <v>10.500861087289405</v>
      </c>
      <c r="AZ336" s="80">
        <f t="shared" si="369"/>
        <v>86.786242859156033</v>
      </c>
      <c r="BA336" s="80">
        <f t="shared" si="370"/>
        <v>36.164250103561827</v>
      </c>
      <c r="BB336" s="80">
        <f t="shared" si="346"/>
        <v>512.6493613333364</v>
      </c>
      <c r="BC336" s="80">
        <f t="shared" si="347"/>
        <v>186.23812086503457</v>
      </c>
      <c r="BD336" s="80">
        <f t="shared" si="348"/>
        <v>143.83079719877199</v>
      </c>
      <c r="BE336" s="80">
        <f t="shared" si="349"/>
        <v>103.26264693513299</v>
      </c>
      <c r="BF336" s="80">
        <f t="shared" si="350"/>
        <v>822.84066462786348</v>
      </c>
      <c r="BG336" s="80">
        <f t="shared" si="351"/>
        <v>419.58024899720704</v>
      </c>
      <c r="BH336" s="49">
        <f t="shared" si="352"/>
        <v>0</v>
      </c>
      <c r="BI336" s="79">
        <f t="shared" si="353"/>
        <v>-82987.28911243708</v>
      </c>
      <c r="BJ336" s="79">
        <f t="shared" si="321"/>
        <v>108200</v>
      </c>
      <c r="BK336" s="44">
        <f t="shared" si="354"/>
        <v>0.30381412812994713</v>
      </c>
      <c r="BL336" s="79">
        <f t="shared" si="371"/>
        <v>8925.3084151434905</v>
      </c>
      <c r="BM336" s="49">
        <f t="shared" si="355"/>
        <v>117125.30841514349</v>
      </c>
      <c r="BN336" s="44">
        <f t="shared" si="356"/>
        <v>0.41136443505768439</v>
      </c>
      <c r="BO336" s="49">
        <f t="shared" si="322"/>
        <v>11061.120013515949</v>
      </c>
      <c r="BP336" s="49">
        <f t="shared" si="323"/>
        <v>119261.12001351595</v>
      </c>
      <c r="BQ336" s="44">
        <f t="shared" si="324"/>
        <v>0.43710104630520585</v>
      </c>
      <c r="BS336" s="49">
        <f t="shared" si="325"/>
        <v>82987.28911243708</v>
      </c>
      <c r="BT336" s="49">
        <f t="shared" si="301"/>
        <v>80.290001000000004</v>
      </c>
      <c r="BU336" s="49">
        <f t="shared" si="302"/>
        <v>42.330002</v>
      </c>
      <c r="BV336" s="49">
        <f t="shared" si="326"/>
        <v>1284.2825242432973</v>
      </c>
      <c r="BW336" s="18">
        <f t="shared" si="327"/>
        <v>2058</v>
      </c>
      <c r="BX336" s="19">
        <f t="shared" si="357"/>
        <v>0.52798165137614683</v>
      </c>
      <c r="BY336" s="49">
        <f t="shared" si="358"/>
        <v>678.07760798350239</v>
      </c>
      <c r="BZ336" s="19">
        <f t="shared" si="328"/>
        <v>2.4986273412299553</v>
      </c>
      <c r="CA336" s="19">
        <f t="shared" si="329"/>
        <v>0.84581321472209248</v>
      </c>
      <c r="CB336" s="19">
        <f t="shared" si="330"/>
        <v>0</v>
      </c>
      <c r="CC336" s="19">
        <f t="shared" si="331"/>
        <v>0</v>
      </c>
      <c r="CD336" s="19">
        <f t="shared" si="332"/>
        <v>6.4639490377480646</v>
      </c>
      <c r="CE336" s="19">
        <f t="shared" si="333"/>
        <v>20.066140120576375</v>
      </c>
      <c r="CF336" s="49">
        <f t="shared" si="334"/>
        <v>-200.61479172598047</v>
      </c>
      <c r="CG336" s="49">
        <f t="shared" si="335"/>
        <v>-55.037065881966555</v>
      </c>
      <c r="CH336" s="49">
        <f t="shared" si="336"/>
        <v>0</v>
      </c>
      <c r="CI336" s="49">
        <f t="shared" si="337"/>
        <v>0</v>
      </c>
      <c r="CJ336" s="49">
        <f t="shared" si="338"/>
        <v>-237.55012713724136</v>
      </c>
      <c r="CK336" s="49">
        <f t="shared" si="339"/>
        <v>-849.39975143627817</v>
      </c>
    </row>
    <row r="337" spans="2:89" ht="12.75" customHeight="1" x14ac:dyDescent="0.2">
      <c r="B337" s="77">
        <v>41358</v>
      </c>
      <c r="C337" s="49">
        <v>80.959998999999996</v>
      </c>
      <c r="D337" s="49">
        <v>65.529999000000004</v>
      </c>
      <c r="E337" s="49">
        <v>67.190002000000007</v>
      </c>
      <c r="F337" s="49">
        <v>82.150002000000001</v>
      </c>
      <c r="G337" s="49">
        <v>36.43</v>
      </c>
      <c r="H337" s="49">
        <v>42.900002000000001</v>
      </c>
      <c r="J337" s="78">
        <f>IF(inter=Weekly_2,J336+$C$5,IF(inter=Bi_weekly_2,0,IF(inter=Monthly_2,0,IF(inter=Quarterly_2,0,IF(inter=Yearly_2,0,IF(inter=None_2,0,0))))))</f>
        <v>0</v>
      </c>
      <c r="K337" s="79">
        <f t="shared" si="340"/>
        <v>0</v>
      </c>
      <c r="L337" s="79">
        <f t="shared" si="341"/>
        <v>0</v>
      </c>
      <c r="M337" s="79">
        <f t="shared" si="342"/>
        <v>0</v>
      </c>
      <c r="N337" s="79">
        <f t="shared" si="343"/>
        <v>0</v>
      </c>
      <c r="O337" s="79">
        <f t="shared" si="344"/>
        <v>0</v>
      </c>
      <c r="P337" s="79">
        <f t="shared" si="345"/>
        <v>0</v>
      </c>
      <c r="Q337" s="79"/>
      <c r="R337" s="80">
        <f t="shared" si="303"/>
        <v>0</v>
      </c>
      <c r="S337" s="80">
        <f t="shared" si="304"/>
        <v>0</v>
      </c>
      <c r="T337" s="80">
        <f t="shared" si="305"/>
        <v>0</v>
      </c>
      <c r="U337" s="80">
        <f t="shared" si="306"/>
        <v>0</v>
      </c>
      <c r="V337" s="80">
        <f t="shared" si="307"/>
        <v>0</v>
      </c>
      <c r="W337" s="80">
        <f t="shared" si="308"/>
        <v>0</v>
      </c>
      <c r="X337" s="80">
        <f t="shared" si="359"/>
        <v>471.66520772617753</v>
      </c>
      <c r="Y337" s="80">
        <f t="shared" si="360"/>
        <v>166.28246503765178</v>
      </c>
      <c r="Z337" s="80">
        <f t="shared" si="361"/>
        <v>130.36144185658307</v>
      </c>
      <c r="AA337" s="80">
        <f t="shared" si="362"/>
        <v>92.761785847843583</v>
      </c>
      <c r="AB337" s="80">
        <f t="shared" si="363"/>
        <v>736.05442176870747</v>
      </c>
      <c r="AC337" s="80">
        <f t="shared" si="364"/>
        <v>383.41599889364522</v>
      </c>
      <c r="AD337" s="80">
        <v>0.36399999999999999</v>
      </c>
      <c r="AE337" s="80">
        <v>0.38800000000000001</v>
      </c>
      <c r="AF337" s="80">
        <v>1.7999999999999999E-2</v>
      </c>
      <c r="AG337" s="80">
        <v>2.1000000000000001E-2</v>
      </c>
      <c r="AH337" s="80">
        <v>0.161</v>
      </c>
      <c r="AI337" s="80">
        <v>5.8000000000000003E-2</v>
      </c>
      <c r="AJ337" s="45">
        <f t="shared" si="309"/>
        <v>171.68613561232863</v>
      </c>
      <c r="AK337" s="45">
        <f t="shared" si="310"/>
        <v>64.51759643460889</v>
      </c>
      <c r="AL337" s="45">
        <f t="shared" si="311"/>
        <v>2.3465059534184949</v>
      </c>
      <c r="AM337" s="45">
        <f t="shared" si="312"/>
        <v>1.9479975028047154</v>
      </c>
      <c r="AN337" s="45">
        <f t="shared" si="313"/>
        <v>118.50476190476191</v>
      </c>
      <c r="AO337" s="45">
        <f t="shared" si="314"/>
        <v>22.238127935831425</v>
      </c>
      <c r="AP337" s="80">
        <f t="shared" si="315"/>
        <v>2.1206291716027397</v>
      </c>
      <c r="AQ337" s="80">
        <f t="shared" si="316"/>
        <v>0.9845505481330602</v>
      </c>
      <c r="AR337" s="80">
        <f t="shared" si="317"/>
        <v>3.49234392554192E-2</v>
      </c>
      <c r="AS337" s="80">
        <f t="shared" si="318"/>
        <v>2.3712689657691247E-2</v>
      </c>
      <c r="AT337" s="80">
        <f t="shared" si="319"/>
        <v>3.2529443289805631</v>
      </c>
      <c r="AU337" s="80">
        <f t="shared" si="320"/>
        <v>0.51837125638901893</v>
      </c>
      <c r="AV337" s="80">
        <f t="shared" si="365"/>
        <v>43.10478277876156</v>
      </c>
      <c r="AW337" s="80">
        <f t="shared" si="366"/>
        <v>20.940206375515857</v>
      </c>
      <c r="AX337" s="80">
        <f t="shared" si="367"/>
        <v>13.504278781444341</v>
      </c>
      <c r="AY337" s="80">
        <f t="shared" si="368"/>
        <v>10.524573776947095</v>
      </c>
      <c r="AZ337" s="80">
        <f t="shared" si="369"/>
        <v>90.039187188136594</v>
      </c>
      <c r="BA337" s="80">
        <f t="shared" si="370"/>
        <v>36.682621359950843</v>
      </c>
      <c r="BB337" s="80">
        <f t="shared" si="346"/>
        <v>514.76999050493907</v>
      </c>
      <c r="BC337" s="80">
        <f t="shared" si="347"/>
        <v>187.22267141316763</v>
      </c>
      <c r="BD337" s="80">
        <f t="shared" si="348"/>
        <v>143.86572063802743</v>
      </c>
      <c r="BE337" s="80">
        <f t="shared" si="349"/>
        <v>103.28635962479068</v>
      </c>
      <c r="BF337" s="80">
        <f t="shared" si="350"/>
        <v>826.09360895684404</v>
      </c>
      <c r="BG337" s="80">
        <f t="shared" si="351"/>
        <v>420.0986202535961</v>
      </c>
      <c r="BH337" s="49">
        <f t="shared" si="352"/>
        <v>381.24112534375405</v>
      </c>
      <c r="BI337" s="79">
        <f t="shared" si="353"/>
        <v>-82987.28911243708</v>
      </c>
      <c r="BJ337" s="79">
        <f t="shared" si="321"/>
        <v>108724.88064987499</v>
      </c>
      <c r="BK337" s="44">
        <f t="shared" si="354"/>
        <v>0.31013895998659247</v>
      </c>
      <c r="BL337" s="79">
        <f t="shared" si="371"/>
        <v>9306.5495404872454</v>
      </c>
      <c r="BM337" s="49">
        <f t="shared" si="355"/>
        <v>118031.43019036224</v>
      </c>
      <c r="BN337" s="44">
        <f t="shared" si="356"/>
        <v>0.42228323702012815</v>
      </c>
      <c r="BO337" s="49">
        <f t="shared" si="322"/>
        <v>11487.733267641204</v>
      </c>
      <c r="BP337" s="49">
        <f t="shared" si="323"/>
        <v>120212.6139175162</v>
      </c>
      <c r="BQ337" s="44">
        <f t="shared" si="324"/>
        <v>0.44856658415053907</v>
      </c>
      <c r="BS337" s="49">
        <f t="shared" si="325"/>
        <v>82987.28911243708</v>
      </c>
      <c r="BT337" s="49">
        <f t="shared" si="301"/>
        <v>80.959998999999996</v>
      </c>
      <c r="BU337" s="49">
        <f t="shared" si="302"/>
        <v>42.900002000000001</v>
      </c>
      <c r="BV337" s="49">
        <f t="shared" si="326"/>
        <v>-381.24112534375405</v>
      </c>
      <c r="BW337" s="18">
        <f t="shared" si="327"/>
        <v>2065</v>
      </c>
      <c r="BX337" s="19">
        <f t="shared" si="357"/>
        <v>0.52637614678899081</v>
      </c>
      <c r="BY337" s="49">
        <f t="shared" si="358"/>
        <v>-200.67623455594392</v>
      </c>
      <c r="BZ337" s="19">
        <f t="shared" si="328"/>
        <v>0</v>
      </c>
      <c r="CA337" s="19">
        <f t="shared" si="329"/>
        <v>0</v>
      </c>
      <c r="CB337" s="19">
        <f t="shared" si="330"/>
        <v>0</v>
      </c>
      <c r="CC337" s="19">
        <f t="shared" si="331"/>
        <v>0</v>
      </c>
      <c r="CD337" s="19">
        <f t="shared" si="332"/>
        <v>0</v>
      </c>
      <c r="CE337" s="19">
        <f t="shared" si="333"/>
        <v>0</v>
      </c>
      <c r="CF337" s="49">
        <f t="shared" si="334"/>
        <v>0</v>
      </c>
      <c r="CG337" s="49">
        <f t="shared" si="335"/>
        <v>0</v>
      </c>
      <c r="CH337" s="49">
        <f t="shared" si="336"/>
        <v>0</v>
      </c>
      <c r="CI337" s="49">
        <f t="shared" si="337"/>
        <v>0</v>
      </c>
      <c r="CJ337" s="49">
        <f t="shared" si="338"/>
        <v>0</v>
      </c>
      <c r="CK337" s="49">
        <f t="shared" si="339"/>
        <v>0</v>
      </c>
    </row>
    <row r="338" spans="2:89" ht="12.75" customHeight="1" x14ac:dyDescent="0.2">
      <c r="B338" s="77">
        <v>41365</v>
      </c>
      <c r="C338" s="49">
        <v>79.959998999999996</v>
      </c>
      <c r="D338" s="49">
        <v>65.080001999999993</v>
      </c>
      <c r="E338" s="49">
        <v>66.129997000000003</v>
      </c>
      <c r="F338" s="49">
        <v>80.290001000000004</v>
      </c>
      <c r="G338" s="49">
        <v>36.369999</v>
      </c>
      <c r="H338" s="49">
        <v>41.959999000000003</v>
      </c>
      <c r="J338" s="78">
        <f>IF(inter=Weekly_2,J337+$C$5,IF(inter=Bi_weekly_2,J336+$C$5,IF(inter=Monthly_2,J334+$C$5,IF(inter=Quarterly_2,0,IF(inter=Yearly_2,0,IF(inter=None_2,0,0))))))</f>
        <v>108800</v>
      </c>
      <c r="K338" s="79">
        <f t="shared" si="340"/>
        <v>-365.65046188005363</v>
      </c>
      <c r="L338" s="79">
        <f t="shared" si="341"/>
        <v>-58.336842784692635</v>
      </c>
      <c r="M338" s="79">
        <f t="shared" si="342"/>
        <v>-83.1982411084864</v>
      </c>
      <c r="N338" s="79">
        <f t="shared" si="343"/>
        <v>-168.15612151485311</v>
      </c>
      <c r="O338" s="79">
        <f t="shared" si="344"/>
        <v>-429.70141632653031</v>
      </c>
      <c r="P338" s="79">
        <f t="shared" si="345"/>
        <v>-231.86506983864456</v>
      </c>
      <c r="Q338" s="79"/>
      <c r="R338" s="80">
        <f t="shared" si="303"/>
        <v>4.5729172893067904</v>
      </c>
      <c r="S338" s="80">
        <f t="shared" si="304"/>
        <v>0.89638661634787042</v>
      </c>
      <c r="T338" s="80">
        <f t="shared" si="305"/>
        <v>1.2581013894267437</v>
      </c>
      <c r="U338" s="80">
        <f t="shared" si="306"/>
        <v>2.0943594397869432</v>
      </c>
      <c r="V338" s="80">
        <f t="shared" si="307"/>
        <v>11.814721697587352</v>
      </c>
      <c r="W338" s="80">
        <f t="shared" si="308"/>
        <v>5.5258597560654028</v>
      </c>
      <c r="X338" s="80">
        <f t="shared" si="359"/>
        <v>476.23812501548434</v>
      </c>
      <c r="Y338" s="80">
        <f t="shared" si="360"/>
        <v>167.17885165399966</v>
      </c>
      <c r="Z338" s="80">
        <f t="shared" si="361"/>
        <v>131.61954324600981</v>
      </c>
      <c r="AA338" s="80">
        <f t="shared" si="362"/>
        <v>94.856145287630525</v>
      </c>
      <c r="AB338" s="80">
        <f t="shared" si="363"/>
        <v>747.86914346629487</v>
      </c>
      <c r="AC338" s="80">
        <f t="shared" si="364"/>
        <v>388.94185864971064</v>
      </c>
      <c r="AD338" s="80"/>
      <c r="AE338" s="80"/>
      <c r="AF338" s="80"/>
      <c r="AG338" s="80"/>
      <c r="AH338" s="80"/>
      <c r="AI338" s="80"/>
      <c r="AJ338" s="45">
        <f t="shared" si="309"/>
        <v>0</v>
      </c>
      <c r="AK338" s="45">
        <f t="shared" si="310"/>
        <v>0</v>
      </c>
      <c r="AL338" s="45">
        <f t="shared" si="311"/>
        <v>0</v>
      </c>
      <c r="AM338" s="45">
        <f t="shared" si="312"/>
        <v>0</v>
      </c>
      <c r="AN338" s="45">
        <f t="shared" si="313"/>
        <v>0</v>
      </c>
      <c r="AO338" s="45">
        <f t="shared" si="314"/>
        <v>0</v>
      </c>
      <c r="AP338" s="80">
        <f t="shared" si="315"/>
        <v>0</v>
      </c>
      <c r="AQ338" s="80">
        <f t="shared" si="316"/>
        <v>0</v>
      </c>
      <c r="AR338" s="80">
        <f t="shared" si="317"/>
        <v>0</v>
      </c>
      <c r="AS338" s="80">
        <f t="shared" si="318"/>
        <v>0</v>
      </c>
      <c r="AT338" s="80">
        <f t="shared" si="319"/>
        <v>0</v>
      </c>
      <c r="AU338" s="80">
        <f t="shared" si="320"/>
        <v>0</v>
      </c>
      <c r="AV338" s="80">
        <f t="shared" si="365"/>
        <v>43.10478277876156</v>
      </c>
      <c r="AW338" s="80">
        <f t="shared" si="366"/>
        <v>20.940206375515857</v>
      </c>
      <c r="AX338" s="80">
        <f t="shared" si="367"/>
        <v>13.504278781444341</v>
      </c>
      <c r="AY338" s="80">
        <f t="shared" si="368"/>
        <v>10.524573776947095</v>
      </c>
      <c r="AZ338" s="80">
        <f t="shared" si="369"/>
        <v>90.039187188136594</v>
      </c>
      <c r="BA338" s="80">
        <f t="shared" si="370"/>
        <v>36.682621359950843</v>
      </c>
      <c r="BB338" s="80">
        <f t="shared" si="346"/>
        <v>519.34290779424589</v>
      </c>
      <c r="BC338" s="80">
        <f t="shared" si="347"/>
        <v>188.11905802951551</v>
      </c>
      <c r="BD338" s="80">
        <f t="shared" si="348"/>
        <v>145.12382202745414</v>
      </c>
      <c r="BE338" s="80">
        <f t="shared" si="349"/>
        <v>105.38071906457762</v>
      </c>
      <c r="BF338" s="80">
        <f t="shared" si="350"/>
        <v>837.90833065443144</v>
      </c>
      <c r="BG338" s="80">
        <f t="shared" si="351"/>
        <v>425.62448000966151</v>
      </c>
      <c r="BH338" s="49">
        <f t="shared" si="352"/>
        <v>0</v>
      </c>
      <c r="BI338" s="79">
        <f t="shared" si="353"/>
        <v>-84324.19726589034</v>
      </c>
      <c r="BJ338" s="79">
        <f t="shared" si="321"/>
        <v>108800</v>
      </c>
      <c r="BK338" s="44">
        <f t="shared" si="354"/>
        <v>0.29025835439539094</v>
      </c>
      <c r="BL338" s="79">
        <f t="shared" si="371"/>
        <v>9306.5495404872454</v>
      </c>
      <c r="BM338" s="49">
        <f t="shared" si="355"/>
        <v>118106.54954048725</v>
      </c>
      <c r="BN338" s="44">
        <f t="shared" si="356"/>
        <v>0.4006246530645845</v>
      </c>
      <c r="BO338" s="49">
        <f t="shared" si="322"/>
        <v>11361.430918637967</v>
      </c>
      <c r="BP338" s="49">
        <f t="shared" si="323"/>
        <v>120161.43091863795</v>
      </c>
      <c r="BQ338" s="44">
        <f t="shared" si="324"/>
        <v>0.4249934753573279</v>
      </c>
      <c r="BS338" s="49">
        <f t="shared" si="325"/>
        <v>84324.19726589034</v>
      </c>
      <c r="BT338" s="49">
        <f t="shared" si="301"/>
        <v>79.959998999999996</v>
      </c>
      <c r="BU338" s="49">
        <f t="shared" si="302"/>
        <v>41.959999000000003</v>
      </c>
      <c r="BV338" s="49">
        <f t="shared" si="326"/>
        <v>1336.9081534532606</v>
      </c>
      <c r="BW338" s="18">
        <f t="shared" si="327"/>
        <v>2072</v>
      </c>
      <c r="BX338" s="19">
        <f t="shared" si="357"/>
        <v>0.52477064220183489</v>
      </c>
      <c r="BY338" s="49">
        <f t="shared" si="358"/>
        <v>701.57015025253679</v>
      </c>
      <c r="BZ338" s="19">
        <f t="shared" si="328"/>
        <v>4.5729172893067904</v>
      </c>
      <c r="CA338" s="19">
        <f t="shared" si="329"/>
        <v>0.89638661634787042</v>
      </c>
      <c r="CB338" s="19">
        <f t="shared" si="330"/>
        <v>1.2581013894267437</v>
      </c>
      <c r="CC338" s="19">
        <f t="shared" si="331"/>
        <v>2.0943594397869432</v>
      </c>
      <c r="CD338" s="19">
        <f t="shared" si="332"/>
        <v>11.814721697587352</v>
      </c>
      <c r="CE338" s="19">
        <f t="shared" si="333"/>
        <v>5.5258597560654028</v>
      </c>
      <c r="CF338" s="49">
        <f t="shared" si="334"/>
        <v>-365.65046188005363</v>
      </c>
      <c r="CG338" s="49">
        <f t="shared" si="335"/>
        <v>-58.336842784692635</v>
      </c>
      <c r="CH338" s="49">
        <f t="shared" si="336"/>
        <v>-83.1982411084864</v>
      </c>
      <c r="CI338" s="49">
        <f t="shared" si="337"/>
        <v>-168.15612151485311</v>
      </c>
      <c r="CJ338" s="49">
        <f t="shared" si="338"/>
        <v>-429.70141632653031</v>
      </c>
      <c r="CK338" s="49">
        <f t="shared" si="339"/>
        <v>-231.86506983864456</v>
      </c>
    </row>
    <row r="339" spans="2:89" ht="12.75" customHeight="1" x14ac:dyDescent="0.2">
      <c r="B339" s="77">
        <v>41372</v>
      </c>
      <c r="C339" s="49">
        <v>81.739998</v>
      </c>
      <c r="D339" s="49">
        <v>66.449996999999996</v>
      </c>
      <c r="E339" s="49">
        <v>67.669998000000007</v>
      </c>
      <c r="F339" s="49">
        <v>81.830001999999993</v>
      </c>
      <c r="G339" s="49">
        <v>37.400002000000001</v>
      </c>
      <c r="H339" s="49">
        <v>42.34</v>
      </c>
      <c r="J339" s="78">
        <f>IF(inter=Weekly_2,J338+$C$5,IF(inter=Bi_weekly_2,0,IF(inter=Monthly_2,0,IF(inter=Quarterly_2,0,IF(inter=Yearly_2,0,IF(inter=None_2,0,0))))))</f>
        <v>0</v>
      </c>
      <c r="K339" s="79">
        <f t="shared" si="340"/>
        <v>0</v>
      </c>
      <c r="L339" s="79">
        <f t="shared" si="341"/>
        <v>0</v>
      </c>
      <c r="M339" s="79">
        <f t="shared" si="342"/>
        <v>0</v>
      </c>
      <c r="N339" s="79">
        <f t="shared" si="343"/>
        <v>0</v>
      </c>
      <c r="O339" s="79">
        <f t="shared" si="344"/>
        <v>0</v>
      </c>
      <c r="P339" s="79">
        <f t="shared" si="345"/>
        <v>0</v>
      </c>
      <c r="Q339" s="79"/>
      <c r="R339" s="80">
        <f t="shared" si="303"/>
        <v>0</v>
      </c>
      <c r="S339" s="80">
        <f t="shared" si="304"/>
        <v>0</v>
      </c>
      <c r="T339" s="80">
        <f t="shared" si="305"/>
        <v>0</v>
      </c>
      <c r="U339" s="80">
        <f t="shared" si="306"/>
        <v>0</v>
      </c>
      <c r="V339" s="80">
        <f t="shared" si="307"/>
        <v>0</v>
      </c>
      <c r="W339" s="80">
        <f t="shared" si="308"/>
        <v>0</v>
      </c>
      <c r="X339" s="80">
        <f t="shared" si="359"/>
        <v>476.23812501548434</v>
      </c>
      <c r="Y339" s="80">
        <f t="shared" si="360"/>
        <v>167.17885165399966</v>
      </c>
      <c r="Z339" s="80">
        <f t="shared" si="361"/>
        <v>131.61954324600981</v>
      </c>
      <c r="AA339" s="80">
        <f t="shared" si="362"/>
        <v>94.856145287630525</v>
      </c>
      <c r="AB339" s="80">
        <f t="shared" si="363"/>
        <v>747.86914346629487</v>
      </c>
      <c r="AC339" s="80">
        <f t="shared" si="364"/>
        <v>388.94185864971064</v>
      </c>
      <c r="AD339" s="80"/>
      <c r="AE339" s="80"/>
      <c r="AF339" s="80"/>
      <c r="AG339" s="80"/>
      <c r="AH339" s="80"/>
      <c r="AI339" s="80"/>
      <c r="AJ339" s="45">
        <f t="shared" si="309"/>
        <v>0</v>
      </c>
      <c r="AK339" s="45">
        <f t="shared" si="310"/>
        <v>0</v>
      </c>
      <c r="AL339" s="45">
        <f t="shared" si="311"/>
        <v>0</v>
      </c>
      <c r="AM339" s="45">
        <f t="shared" si="312"/>
        <v>0</v>
      </c>
      <c r="AN339" s="45">
        <f t="shared" si="313"/>
        <v>0</v>
      </c>
      <c r="AO339" s="45">
        <f t="shared" si="314"/>
        <v>0</v>
      </c>
      <c r="AP339" s="80">
        <f t="shared" si="315"/>
        <v>0</v>
      </c>
      <c r="AQ339" s="80">
        <f t="shared" si="316"/>
        <v>0</v>
      </c>
      <c r="AR339" s="80">
        <f t="shared" si="317"/>
        <v>0</v>
      </c>
      <c r="AS339" s="80">
        <f t="shared" si="318"/>
        <v>0</v>
      </c>
      <c r="AT339" s="80">
        <f t="shared" si="319"/>
        <v>0</v>
      </c>
      <c r="AU339" s="80">
        <f t="shared" si="320"/>
        <v>0</v>
      </c>
      <c r="AV339" s="80">
        <f t="shared" si="365"/>
        <v>43.10478277876156</v>
      </c>
      <c r="AW339" s="80">
        <f t="shared" si="366"/>
        <v>20.940206375515857</v>
      </c>
      <c r="AX339" s="80">
        <f t="shared" si="367"/>
        <v>13.504278781444341</v>
      </c>
      <c r="AY339" s="80">
        <f t="shared" si="368"/>
        <v>10.524573776947095</v>
      </c>
      <c r="AZ339" s="80">
        <f t="shared" si="369"/>
        <v>90.039187188136594</v>
      </c>
      <c r="BA339" s="80">
        <f t="shared" si="370"/>
        <v>36.682621359950843</v>
      </c>
      <c r="BB339" s="80">
        <f t="shared" si="346"/>
        <v>519.34290779424589</v>
      </c>
      <c r="BC339" s="80">
        <f t="shared" si="347"/>
        <v>188.11905802951551</v>
      </c>
      <c r="BD339" s="80">
        <f t="shared" si="348"/>
        <v>145.12382202745414</v>
      </c>
      <c r="BE339" s="80">
        <f t="shared" si="349"/>
        <v>105.38071906457762</v>
      </c>
      <c r="BF339" s="80">
        <f t="shared" si="350"/>
        <v>837.90833065443144</v>
      </c>
      <c r="BG339" s="80">
        <f t="shared" si="351"/>
        <v>425.62448000966151</v>
      </c>
      <c r="BH339" s="49">
        <f t="shared" si="352"/>
        <v>0</v>
      </c>
      <c r="BI339" s="79">
        <f t="shared" si="353"/>
        <v>-84324.19726589034</v>
      </c>
      <c r="BJ339" s="79">
        <f t="shared" si="321"/>
        <v>111143.61612058512</v>
      </c>
      <c r="BK339" s="44">
        <f t="shared" si="354"/>
        <v>0.31805127975458847</v>
      </c>
      <c r="BL339" s="79">
        <f t="shared" si="371"/>
        <v>9306.5495404872454</v>
      </c>
      <c r="BM339" s="49">
        <f t="shared" si="355"/>
        <v>120450.16566107237</v>
      </c>
      <c r="BN339" s="44">
        <f t="shared" si="356"/>
        <v>0.42841757842378203</v>
      </c>
      <c r="BO339" s="49">
        <f t="shared" si="322"/>
        <v>11610.529889602325</v>
      </c>
      <c r="BP339" s="49">
        <f t="shared" si="323"/>
        <v>122754.14601018745</v>
      </c>
      <c r="BQ339" s="44">
        <f t="shared" si="324"/>
        <v>0.45574046347716934</v>
      </c>
      <c r="BS339" s="49">
        <f t="shared" si="325"/>
        <v>84324.19726589034</v>
      </c>
      <c r="BT339" s="49">
        <f t="shared" si="301"/>
        <v>81.739998</v>
      </c>
      <c r="BU339" s="49">
        <f t="shared" si="302"/>
        <v>42.34</v>
      </c>
      <c r="BV339" s="49">
        <f t="shared" si="326"/>
        <v>0</v>
      </c>
      <c r="BW339" s="18">
        <f t="shared" si="327"/>
        <v>2079</v>
      </c>
      <c r="BX339" s="19">
        <f t="shared" si="357"/>
        <v>0.52316513761467887</v>
      </c>
      <c r="BY339" s="49">
        <f t="shared" si="358"/>
        <v>0</v>
      </c>
      <c r="BZ339" s="19">
        <f t="shared" si="328"/>
        <v>0</v>
      </c>
      <c r="CA339" s="19">
        <f t="shared" si="329"/>
        <v>0</v>
      </c>
      <c r="CB339" s="19">
        <f t="shared" si="330"/>
        <v>0</v>
      </c>
      <c r="CC339" s="19">
        <f t="shared" si="331"/>
        <v>0</v>
      </c>
      <c r="CD339" s="19">
        <f t="shared" si="332"/>
        <v>0</v>
      </c>
      <c r="CE339" s="19">
        <f t="shared" si="333"/>
        <v>0</v>
      </c>
      <c r="CF339" s="49">
        <f t="shared" si="334"/>
        <v>0</v>
      </c>
      <c r="CG339" s="49">
        <f t="shared" si="335"/>
        <v>0</v>
      </c>
      <c r="CH339" s="49">
        <f t="shared" si="336"/>
        <v>0</v>
      </c>
      <c r="CI339" s="49">
        <f t="shared" si="337"/>
        <v>0</v>
      </c>
      <c r="CJ339" s="49">
        <f t="shared" si="338"/>
        <v>0</v>
      </c>
      <c r="CK339" s="49">
        <f t="shared" si="339"/>
        <v>0</v>
      </c>
    </row>
    <row r="340" spans="2:89" ht="12.75" customHeight="1" x14ac:dyDescent="0.2">
      <c r="B340" s="77">
        <v>41379</v>
      </c>
      <c r="C340" s="49">
        <v>79.980002999999996</v>
      </c>
      <c r="D340" s="49">
        <v>65.400002000000001</v>
      </c>
      <c r="E340" s="49">
        <v>66.360000999999997</v>
      </c>
      <c r="F340" s="49">
        <v>79.400002000000001</v>
      </c>
      <c r="G340" s="49">
        <v>36.549999</v>
      </c>
      <c r="H340" s="49">
        <v>42.220001000000003</v>
      </c>
      <c r="J340" s="78">
        <f>IF(inter=Weekly_2,J339+$C$5,IF(inter=Bi_weekly_2,J338+$C$5,IF(inter=Monthly_2,0,IF(inter=Quarterly_2,0,IF(inter=Yearly_2,0,IF(inter=None_2,0,0))))))</f>
        <v>109400</v>
      </c>
      <c r="K340" s="79">
        <f t="shared" si="340"/>
        <v>-200.47333254718978</v>
      </c>
      <c r="L340" s="79">
        <f t="shared" si="341"/>
        <v>-6.5027674707198457</v>
      </c>
      <c r="M340" s="79">
        <f t="shared" si="342"/>
        <v>-17.726978575246903</v>
      </c>
      <c r="N340" s="79">
        <f t="shared" si="343"/>
        <v>-126.42187444984665</v>
      </c>
      <c r="O340" s="79">
        <f t="shared" si="344"/>
        <v>-15.383554176067264</v>
      </c>
      <c r="P340" s="79">
        <f t="shared" si="345"/>
        <v>11.125661132642563</v>
      </c>
      <c r="Q340" s="79"/>
      <c r="R340" s="80">
        <f t="shared" si="303"/>
        <v>2.5065431986441635</v>
      </c>
      <c r="S340" s="80">
        <f t="shared" si="304"/>
        <v>9.9430692230251694E-2</v>
      </c>
      <c r="T340" s="80">
        <f t="shared" si="305"/>
        <v>0.26713348866958131</v>
      </c>
      <c r="U340" s="80">
        <f t="shared" si="306"/>
        <v>1.5922150033427789</v>
      </c>
      <c r="V340" s="80">
        <f t="shared" si="307"/>
        <v>0.42089068664727636</v>
      </c>
      <c r="W340" s="80">
        <f t="shared" si="308"/>
        <v>-0.26351636355107055</v>
      </c>
      <c r="X340" s="80">
        <f t="shared" si="359"/>
        <v>478.74466821412852</v>
      </c>
      <c r="Y340" s="80">
        <f t="shared" si="360"/>
        <v>167.2782823462299</v>
      </c>
      <c r="Z340" s="80">
        <f t="shared" si="361"/>
        <v>131.88667673467938</v>
      </c>
      <c r="AA340" s="80">
        <f t="shared" si="362"/>
        <v>96.448360290973298</v>
      </c>
      <c r="AB340" s="80">
        <f t="shared" si="363"/>
        <v>748.2900341529421</v>
      </c>
      <c r="AC340" s="80">
        <f t="shared" si="364"/>
        <v>388.67834228615959</v>
      </c>
      <c r="AD340" s="80"/>
      <c r="AE340" s="80"/>
      <c r="AF340" s="80"/>
      <c r="AG340" s="80"/>
      <c r="AH340" s="80"/>
      <c r="AI340" s="80"/>
      <c r="AJ340" s="45">
        <f t="shared" si="309"/>
        <v>0</v>
      </c>
      <c r="AK340" s="45">
        <f t="shared" si="310"/>
        <v>0</v>
      </c>
      <c r="AL340" s="45">
        <f t="shared" si="311"/>
        <v>0</v>
      </c>
      <c r="AM340" s="45">
        <f t="shared" si="312"/>
        <v>0</v>
      </c>
      <c r="AN340" s="45">
        <f t="shared" si="313"/>
        <v>0</v>
      </c>
      <c r="AO340" s="45">
        <f t="shared" si="314"/>
        <v>0</v>
      </c>
      <c r="AP340" s="80">
        <f t="shared" si="315"/>
        <v>0</v>
      </c>
      <c r="AQ340" s="80">
        <f t="shared" si="316"/>
        <v>0</v>
      </c>
      <c r="AR340" s="80">
        <f t="shared" si="317"/>
        <v>0</v>
      </c>
      <c r="AS340" s="80">
        <f t="shared" si="318"/>
        <v>0</v>
      </c>
      <c r="AT340" s="80">
        <f t="shared" si="319"/>
        <v>0</v>
      </c>
      <c r="AU340" s="80">
        <f t="shared" si="320"/>
        <v>0</v>
      </c>
      <c r="AV340" s="80">
        <f t="shared" si="365"/>
        <v>43.10478277876156</v>
      </c>
      <c r="AW340" s="80">
        <f t="shared" si="366"/>
        <v>20.940206375515857</v>
      </c>
      <c r="AX340" s="80">
        <f t="shared" si="367"/>
        <v>13.504278781444341</v>
      </c>
      <c r="AY340" s="80">
        <f t="shared" si="368"/>
        <v>10.524573776947095</v>
      </c>
      <c r="AZ340" s="80">
        <f t="shared" si="369"/>
        <v>90.039187188136594</v>
      </c>
      <c r="BA340" s="80">
        <f t="shared" si="370"/>
        <v>36.682621359950843</v>
      </c>
      <c r="BB340" s="80">
        <f t="shared" si="346"/>
        <v>521.84945099289007</v>
      </c>
      <c r="BC340" s="80">
        <f t="shared" si="347"/>
        <v>188.21848872174576</v>
      </c>
      <c r="BD340" s="80">
        <f t="shared" si="348"/>
        <v>145.39095551612371</v>
      </c>
      <c r="BE340" s="80">
        <f t="shared" si="349"/>
        <v>106.97293406792039</v>
      </c>
      <c r="BF340" s="80">
        <f t="shared" si="350"/>
        <v>838.32922134107866</v>
      </c>
      <c r="BG340" s="80">
        <f t="shared" si="351"/>
        <v>425.36096364611046</v>
      </c>
      <c r="BH340" s="49">
        <f t="shared" si="352"/>
        <v>0</v>
      </c>
      <c r="BI340" s="79">
        <f t="shared" si="353"/>
        <v>-84679.580111976771</v>
      </c>
      <c r="BJ340" s="79">
        <f t="shared" si="321"/>
        <v>109400</v>
      </c>
      <c r="BK340" s="44">
        <f t="shared" si="354"/>
        <v>0.29192893794860542</v>
      </c>
      <c r="BL340" s="79">
        <f t="shared" si="371"/>
        <v>9306.5495404872454</v>
      </c>
      <c r="BM340" s="49">
        <f t="shared" si="355"/>
        <v>118706.54954048725</v>
      </c>
      <c r="BN340" s="44">
        <f t="shared" si="356"/>
        <v>0.40183205187737858</v>
      </c>
      <c r="BO340" s="49">
        <f t="shared" si="322"/>
        <v>11388.477839365472</v>
      </c>
      <c r="BP340" s="49">
        <f t="shared" si="323"/>
        <v>120788.47783936547</v>
      </c>
      <c r="BQ340" s="44">
        <f t="shared" si="324"/>
        <v>0.42641800632029336</v>
      </c>
      <c r="BS340" s="49">
        <f t="shared" si="325"/>
        <v>84679.580111976771</v>
      </c>
      <c r="BT340" s="49">
        <f t="shared" si="301"/>
        <v>79.980002999999996</v>
      </c>
      <c r="BU340" s="49">
        <f t="shared" si="302"/>
        <v>42.220001000000003</v>
      </c>
      <c r="BV340" s="49">
        <f t="shared" si="326"/>
        <v>355.38284608642789</v>
      </c>
      <c r="BW340" s="18">
        <f t="shared" si="327"/>
        <v>2086</v>
      </c>
      <c r="BX340" s="19">
        <f t="shared" si="357"/>
        <v>0.52155963302752295</v>
      </c>
      <c r="BY340" s="49">
        <f t="shared" si="358"/>
        <v>185.353346789114</v>
      </c>
      <c r="BZ340" s="19">
        <f t="shared" si="328"/>
        <v>2.5065431986441635</v>
      </c>
      <c r="CA340" s="19">
        <f t="shared" si="329"/>
        <v>9.9430692230251694E-2</v>
      </c>
      <c r="CB340" s="19">
        <f t="shared" si="330"/>
        <v>0.26713348866958131</v>
      </c>
      <c r="CC340" s="19">
        <f t="shared" si="331"/>
        <v>1.5922150033427789</v>
      </c>
      <c r="CD340" s="19">
        <f t="shared" si="332"/>
        <v>0.42089068664727636</v>
      </c>
      <c r="CE340" s="19">
        <f t="shared" si="333"/>
        <v>0</v>
      </c>
      <c r="CF340" s="49">
        <f t="shared" si="334"/>
        <v>-200.47333254718978</v>
      </c>
      <c r="CG340" s="49">
        <f t="shared" si="335"/>
        <v>-6.5027674707198457</v>
      </c>
      <c r="CH340" s="49">
        <f t="shared" si="336"/>
        <v>-17.726978575246903</v>
      </c>
      <c r="CI340" s="49">
        <f t="shared" si="337"/>
        <v>-126.42187444984665</v>
      </c>
      <c r="CJ340" s="49">
        <f t="shared" si="338"/>
        <v>-15.383554176067264</v>
      </c>
      <c r="CK340" s="49">
        <f t="shared" si="339"/>
        <v>0</v>
      </c>
    </row>
    <row r="341" spans="2:89" ht="12.75" customHeight="1" x14ac:dyDescent="0.2">
      <c r="B341" s="77">
        <v>41386</v>
      </c>
      <c r="C341" s="49">
        <v>81.489998</v>
      </c>
      <c r="D341" s="49">
        <v>66.569999999999993</v>
      </c>
      <c r="E341" s="49">
        <v>67.569999999999993</v>
      </c>
      <c r="F341" s="49">
        <v>81.139999000000003</v>
      </c>
      <c r="G341" s="49">
        <v>37.790000999999997</v>
      </c>
      <c r="H341" s="49">
        <v>42.77</v>
      </c>
      <c r="J341" s="78">
        <f>IF(inter=Weekly_2,J340+$C$5,IF(inter=Bi_weekly_2,0,IF(inter=Monthly_2,0,IF(inter=Quarterly_2,J328+$C$5,IF(inter=Yearly_2,0,IF(inter=None_2,0,0))))))</f>
        <v>0</v>
      </c>
      <c r="K341" s="79">
        <f t="shared" si="340"/>
        <v>0</v>
      </c>
      <c r="L341" s="79">
        <f t="shared" si="341"/>
        <v>0</v>
      </c>
      <c r="M341" s="79">
        <f t="shared" si="342"/>
        <v>0</v>
      </c>
      <c r="N341" s="79">
        <f t="shared" si="343"/>
        <v>0</v>
      </c>
      <c r="O341" s="79">
        <f t="shared" si="344"/>
        <v>0</v>
      </c>
      <c r="P341" s="79">
        <f t="shared" si="345"/>
        <v>0</v>
      </c>
      <c r="Q341" s="79"/>
      <c r="R341" s="80">
        <f t="shared" si="303"/>
        <v>0</v>
      </c>
      <c r="S341" s="80">
        <f t="shared" si="304"/>
        <v>0</v>
      </c>
      <c r="T341" s="80">
        <f t="shared" si="305"/>
        <v>0</v>
      </c>
      <c r="U341" s="80">
        <f t="shared" si="306"/>
        <v>0</v>
      </c>
      <c r="V341" s="80">
        <f t="shared" si="307"/>
        <v>0</v>
      </c>
      <c r="W341" s="80">
        <f t="shared" si="308"/>
        <v>0</v>
      </c>
      <c r="X341" s="80">
        <f t="shared" si="359"/>
        <v>478.74466821412852</v>
      </c>
      <c r="Y341" s="80">
        <f t="shared" si="360"/>
        <v>167.2782823462299</v>
      </c>
      <c r="Z341" s="80">
        <f t="shared" si="361"/>
        <v>131.88667673467938</v>
      </c>
      <c r="AA341" s="80">
        <f t="shared" si="362"/>
        <v>96.448360290973298</v>
      </c>
      <c r="AB341" s="80">
        <f t="shared" si="363"/>
        <v>748.2900341529421</v>
      </c>
      <c r="AC341" s="80">
        <f t="shared" si="364"/>
        <v>388.67834228615959</v>
      </c>
      <c r="AD341" s="80"/>
      <c r="AE341" s="80"/>
      <c r="AF341" s="80"/>
      <c r="AG341" s="80"/>
      <c r="AH341" s="80"/>
      <c r="AI341" s="80"/>
      <c r="AJ341" s="45">
        <f t="shared" si="309"/>
        <v>0</v>
      </c>
      <c r="AK341" s="45">
        <f t="shared" si="310"/>
        <v>0</v>
      </c>
      <c r="AL341" s="45">
        <f t="shared" si="311"/>
        <v>0</v>
      </c>
      <c r="AM341" s="45">
        <f t="shared" si="312"/>
        <v>0</v>
      </c>
      <c r="AN341" s="45">
        <f t="shared" si="313"/>
        <v>0</v>
      </c>
      <c r="AO341" s="45">
        <f t="shared" si="314"/>
        <v>0</v>
      </c>
      <c r="AP341" s="80">
        <f t="shared" si="315"/>
        <v>0</v>
      </c>
      <c r="AQ341" s="80">
        <f t="shared" si="316"/>
        <v>0</v>
      </c>
      <c r="AR341" s="80">
        <f t="shared" si="317"/>
        <v>0</v>
      </c>
      <c r="AS341" s="80">
        <f t="shared" si="318"/>
        <v>0</v>
      </c>
      <c r="AT341" s="80">
        <f t="shared" si="319"/>
        <v>0</v>
      </c>
      <c r="AU341" s="80">
        <f t="shared" si="320"/>
        <v>0</v>
      </c>
      <c r="AV341" s="80">
        <f t="shared" si="365"/>
        <v>43.10478277876156</v>
      </c>
      <c r="AW341" s="80">
        <f t="shared" si="366"/>
        <v>20.940206375515857</v>
      </c>
      <c r="AX341" s="80">
        <f t="shared" si="367"/>
        <v>13.504278781444341</v>
      </c>
      <c r="AY341" s="80">
        <f t="shared" si="368"/>
        <v>10.524573776947095</v>
      </c>
      <c r="AZ341" s="80">
        <f t="shared" si="369"/>
        <v>90.039187188136594</v>
      </c>
      <c r="BA341" s="80">
        <f t="shared" si="370"/>
        <v>36.682621359950843</v>
      </c>
      <c r="BB341" s="80">
        <f t="shared" si="346"/>
        <v>521.84945099289007</v>
      </c>
      <c r="BC341" s="80">
        <f t="shared" si="347"/>
        <v>188.21848872174576</v>
      </c>
      <c r="BD341" s="80">
        <f t="shared" si="348"/>
        <v>145.39095551612371</v>
      </c>
      <c r="BE341" s="80">
        <f t="shared" si="349"/>
        <v>106.97293406792039</v>
      </c>
      <c r="BF341" s="80">
        <f t="shared" si="350"/>
        <v>838.32922134107866</v>
      </c>
      <c r="BG341" s="80">
        <f t="shared" si="351"/>
        <v>425.36096364611046</v>
      </c>
      <c r="BH341" s="49">
        <f t="shared" si="352"/>
        <v>0</v>
      </c>
      <c r="BI341" s="79">
        <f t="shared" si="353"/>
        <v>-84679.580111976771</v>
      </c>
      <c r="BJ341" s="79">
        <f t="shared" si="321"/>
        <v>111787.67375410079</v>
      </c>
      <c r="BK341" s="44">
        <f t="shared" si="354"/>
        <v>0.32012550849068222</v>
      </c>
      <c r="BL341" s="79">
        <f t="shared" si="371"/>
        <v>9306.5495404872454</v>
      </c>
      <c r="BM341" s="49">
        <f t="shared" si="355"/>
        <v>121094.22329458804</v>
      </c>
      <c r="BN341" s="44">
        <f t="shared" si="356"/>
        <v>0.43002862241945516</v>
      </c>
      <c r="BO341" s="49">
        <f t="shared" si="322"/>
        <v>11644.542913292878</v>
      </c>
      <c r="BP341" s="49">
        <f t="shared" si="323"/>
        <v>123432.21666739366</v>
      </c>
      <c r="BQ341" s="44">
        <f t="shared" si="324"/>
        <v>0.45763850628654512</v>
      </c>
      <c r="BS341" s="49">
        <f t="shared" si="325"/>
        <v>84679.580111976771</v>
      </c>
      <c r="BT341" s="49">
        <f t="shared" si="301"/>
        <v>81.489998</v>
      </c>
      <c r="BU341" s="49">
        <f t="shared" si="302"/>
        <v>42.77</v>
      </c>
      <c r="BV341" s="49">
        <f t="shared" si="326"/>
        <v>0</v>
      </c>
      <c r="BW341" s="18">
        <f t="shared" si="327"/>
        <v>2093</v>
      </c>
      <c r="BX341" s="19">
        <f t="shared" si="357"/>
        <v>0.51995412844036693</v>
      </c>
      <c r="BY341" s="49">
        <f t="shared" si="358"/>
        <v>0</v>
      </c>
      <c r="BZ341" s="19">
        <f t="shared" si="328"/>
        <v>0</v>
      </c>
      <c r="CA341" s="19">
        <f t="shared" si="329"/>
        <v>0</v>
      </c>
      <c r="CB341" s="19">
        <f t="shared" si="330"/>
        <v>0</v>
      </c>
      <c r="CC341" s="19">
        <f t="shared" si="331"/>
        <v>0</v>
      </c>
      <c r="CD341" s="19">
        <f t="shared" si="332"/>
        <v>0</v>
      </c>
      <c r="CE341" s="19">
        <f t="shared" si="333"/>
        <v>0</v>
      </c>
      <c r="CF341" s="49">
        <f t="shared" si="334"/>
        <v>0</v>
      </c>
      <c r="CG341" s="49">
        <f t="shared" si="335"/>
        <v>0</v>
      </c>
      <c r="CH341" s="49">
        <f t="shared" si="336"/>
        <v>0</v>
      </c>
      <c r="CI341" s="49">
        <f t="shared" si="337"/>
        <v>0</v>
      </c>
      <c r="CJ341" s="49">
        <f t="shared" si="338"/>
        <v>0</v>
      </c>
      <c r="CK341" s="49">
        <f t="shared" si="339"/>
        <v>0</v>
      </c>
    </row>
    <row r="342" spans="2:89" ht="12.75" customHeight="1" x14ac:dyDescent="0.2">
      <c r="B342" s="77">
        <v>41393</v>
      </c>
      <c r="C342" s="49">
        <v>83.040001000000004</v>
      </c>
      <c r="D342" s="49">
        <v>67.430000000000007</v>
      </c>
      <c r="E342" s="49">
        <v>69.029999000000004</v>
      </c>
      <c r="F342" s="49">
        <v>82.760002</v>
      </c>
      <c r="G342" s="49">
        <v>38.619999</v>
      </c>
      <c r="H342" s="49">
        <v>44</v>
      </c>
      <c r="J342" s="78">
        <f>IF(inter=Weekly_2,J341+$C$5,IF(inter=Bi_weekly_2,J340+$C$5,IF(inter=Monthly_2,J338+$C$5,IF(inter=Quarterly_2,0,IF(inter=Yearly_2,0,IF(inter=None_2,0,0))))))</f>
        <v>110000</v>
      </c>
      <c r="K342" s="79">
        <f t="shared" si="340"/>
        <v>1254.9577272458992</v>
      </c>
      <c r="L342" s="79">
        <f t="shared" si="341"/>
        <v>279.57457860628347</v>
      </c>
      <c r="M342" s="79">
        <f t="shared" si="342"/>
        <v>304.13716310824202</v>
      </c>
      <c r="N342" s="79">
        <f t="shared" si="343"/>
        <v>282.06649057767027</v>
      </c>
      <c r="O342" s="79">
        <f t="shared" si="344"/>
        <v>1398.96037069659</v>
      </c>
      <c r="P342" s="79">
        <f t="shared" si="345"/>
        <v>601.84706059102245</v>
      </c>
      <c r="Q342" s="79"/>
      <c r="R342" s="80">
        <f t="shared" si="303"/>
        <v>-15.112689211623433</v>
      </c>
      <c r="S342" s="80">
        <f t="shared" si="304"/>
        <v>-4.1461453152348131</v>
      </c>
      <c r="T342" s="80">
        <f t="shared" si="305"/>
        <v>-4.4058694410272556</v>
      </c>
      <c r="U342" s="80">
        <f t="shared" si="306"/>
        <v>-3.4082465413385354</v>
      </c>
      <c r="V342" s="80">
        <f t="shared" si="307"/>
        <v>-36.223728817201419</v>
      </c>
      <c r="W342" s="80">
        <f t="shared" si="308"/>
        <v>-13.678342286159602</v>
      </c>
      <c r="X342" s="80">
        <f t="shared" si="359"/>
        <v>463.63197900250509</v>
      </c>
      <c r="Y342" s="80">
        <f t="shared" si="360"/>
        <v>163.1321370309951</v>
      </c>
      <c r="Z342" s="80">
        <f t="shared" si="361"/>
        <v>127.48080729365213</v>
      </c>
      <c r="AA342" s="80">
        <f t="shared" si="362"/>
        <v>93.040113749634756</v>
      </c>
      <c r="AB342" s="80">
        <f t="shared" si="363"/>
        <v>712.06630533574071</v>
      </c>
      <c r="AC342" s="80">
        <f t="shared" si="364"/>
        <v>375</v>
      </c>
      <c r="AD342" s="80"/>
      <c r="AE342" s="80"/>
      <c r="AF342" s="80"/>
      <c r="AG342" s="80"/>
      <c r="AH342" s="80"/>
      <c r="AI342" s="80"/>
      <c r="AJ342" s="45">
        <f t="shared" si="309"/>
        <v>0</v>
      </c>
      <c r="AK342" s="45">
        <f t="shared" si="310"/>
        <v>0</v>
      </c>
      <c r="AL342" s="45">
        <f t="shared" si="311"/>
        <v>0</v>
      </c>
      <c r="AM342" s="45">
        <f t="shared" si="312"/>
        <v>0</v>
      </c>
      <c r="AN342" s="45">
        <f t="shared" si="313"/>
        <v>0</v>
      </c>
      <c r="AO342" s="45">
        <f t="shared" si="314"/>
        <v>0</v>
      </c>
      <c r="AP342" s="80">
        <f t="shared" si="315"/>
        <v>0</v>
      </c>
      <c r="AQ342" s="80">
        <f t="shared" si="316"/>
        <v>0</v>
      </c>
      <c r="AR342" s="80">
        <f t="shared" si="317"/>
        <v>0</v>
      </c>
      <c r="AS342" s="80">
        <f t="shared" si="318"/>
        <v>0</v>
      </c>
      <c r="AT342" s="80">
        <f t="shared" si="319"/>
        <v>0</v>
      </c>
      <c r="AU342" s="80">
        <f t="shared" si="320"/>
        <v>0</v>
      </c>
      <c r="AV342" s="80">
        <f t="shared" si="365"/>
        <v>43.10478277876156</v>
      </c>
      <c r="AW342" s="80">
        <f t="shared" si="366"/>
        <v>20.940206375515857</v>
      </c>
      <c r="AX342" s="80">
        <f t="shared" si="367"/>
        <v>13.504278781444341</v>
      </c>
      <c r="AY342" s="80">
        <f t="shared" si="368"/>
        <v>10.524573776947095</v>
      </c>
      <c r="AZ342" s="80">
        <f t="shared" si="369"/>
        <v>90.039187188136594</v>
      </c>
      <c r="BA342" s="80">
        <f t="shared" si="370"/>
        <v>36.682621359950843</v>
      </c>
      <c r="BB342" s="80">
        <f t="shared" si="346"/>
        <v>506.73676178126664</v>
      </c>
      <c r="BC342" s="80">
        <f t="shared" si="347"/>
        <v>184.07234340651095</v>
      </c>
      <c r="BD342" s="80">
        <f t="shared" si="348"/>
        <v>140.98508607509649</v>
      </c>
      <c r="BE342" s="80">
        <f t="shared" si="349"/>
        <v>103.56468752658185</v>
      </c>
      <c r="BF342" s="80">
        <f t="shared" si="350"/>
        <v>802.10549252387727</v>
      </c>
      <c r="BG342" s="80">
        <f t="shared" si="351"/>
        <v>411.68262135995087</v>
      </c>
      <c r="BH342" s="49">
        <f t="shared" si="352"/>
        <v>0</v>
      </c>
      <c r="BI342" s="79">
        <f t="shared" si="353"/>
        <v>-80558.03672115106</v>
      </c>
      <c r="BJ342" s="79">
        <f t="shared" si="321"/>
        <v>110000</v>
      </c>
      <c r="BK342" s="44">
        <f t="shared" si="354"/>
        <v>0.36547518382009869</v>
      </c>
      <c r="BL342" s="79">
        <f t="shared" si="371"/>
        <v>9306.5495404872454</v>
      </c>
      <c r="BM342" s="49">
        <f t="shared" si="355"/>
        <v>119306.54954048725</v>
      </c>
      <c r="BN342" s="44">
        <f t="shared" si="356"/>
        <v>0.4810012060430775</v>
      </c>
      <c r="BO342" s="49">
        <f t="shared" si="322"/>
        <v>11885.982077566776</v>
      </c>
      <c r="BP342" s="49">
        <f t="shared" si="323"/>
        <v>121885.98207756679</v>
      </c>
      <c r="BQ342" s="44">
        <f t="shared" si="324"/>
        <v>0.51302076165871591</v>
      </c>
      <c r="BS342" s="49">
        <f t="shared" si="325"/>
        <v>80558.03672115106</v>
      </c>
      <c r="BT342" s="49">
        <f t="shared" si="301"/>
        <v>83.040001000000004</v>
      </c>
      <c r="BU342" s="49">
        <f t="shared" si="302"/>
        <v>44</v>
      </c>
      <c r="BV342" s="49">
        <f t="shared" si="326"/>
        <v>-4121.5433908257073</v>
      </c>
      <c r="BW342" s="18">
        <f t="shared" si="327"/>
        <v>2100</v>
      </c>
      <c r="BX342" s="19">
        <f t="shared" si="357"/>
        <v>0.51834862385321101</v>
      </c>
      <c r="BY342" s="49">
        <f t="shared" si="358"/>
        <v>-2136.3963447858023</v>
      </c>
      <c r="BZ342" s="19">
        <f t="shared" si="328"/>
        <v>0</v>
      </c>
      <c r="CA342" s="19">
        <f t="shared" si="329"/>
        <v>0</v>
      </c>
      <c r="CB342" s="19">
        <f t="shared" si="330"/>
        <v>0</v>
      </c>
      <c r="CC342" s="19">
        <f t="shared" si="331"/>
        <v>0</v>
      </c>
      <c r="CD342" s="19">
        <f t="shared" si="332"/>
        <v>0</v>
      </c>
      <c r="CE342" s="19">
        <f t="shared" si="333"/>
        <v>0</v>
      </c>
      <c r="CF342" s="49">
        <f t="shared" si="334"/>
        <v>0</v>
      </c>
      <c r="CG342" s="49">
        <f t="shared" si="335"/>
        <v>0</v>
      </c>
      <c r="CH342" s="49">
        <f t="shared" si="336"/>
        <v>0</v>
      </c>
      <c r="CI342" s="49">
        <f t="shared" si="337"/>
        <v>0</v>
      </c>
      <c r="CJ342" s="49">
        <f t="shared" si="338"/>
        <v>0</v>
      </c>
      <c r="CK342" s="49">
        <f t="shared" si="339"/>
        <v>0</v>
      </c>
    </row>
    <row r="343" spans="2:89" ht="12.75" customHeight="1" x14ac:dyDescent="0.2">
      <c r="B343" s="77">
        <v>41400</v>
      </c>
      <c r="C343" s="49">
        <v>84.300003000000004</v>
      </c>
      <c r="D343" s="49">
        <v>68.129997000000003</v>
      </c>
      <c r="E343" s="49">
        <v>69.959998999999996</v>
      </c>
      <c r="F343" s="49">
        <v>84.519997000000004</v>
      </c>
      <c r="G343" s="49">
        <v>38.740001999999997</v>
      </c>
      <c r="H343" s="49">
        <v>44.27</v>
      </c>
      <c r="J343" s="78">
        <f>IF(inter=Weekly_2,J342+$C$5,IF(inter=Bi_weekly_2,0,IF(inter=Monthly_2,0,IF(inter=Quarterly_2,0,IF(inter=Yearly_2,0,IF(inter=None_2,0,0))))))</f>
        <v>0</v>
      </c>
      <c r="K343" s="79">
        <f t="shared" si="340"/>
        <v>0</v>
      </c>
      <c r="L343" s="79">
        <f t="shared" si="341"/>
        <v>0</v>
      </c>
      <c r="M343" s="79">
        <f t="shared" si="342"/>
        <v>0</v>
      </c>
      <c r="N343" s="79">
        <f t="shared" si="343"/>
        <v>0</v>
      </c>
      <c r="O343" s="79">
        <f t="shared" si="344"/>
        <v>0</v>
      </c>
      <c r="P343" s="79">
        <f t="shared" si="345"/>
        <v>0</v>
      </c>
      <c r="Q343" s="79"/>
      <c r="R343" s="80">
        <f t="shared" si="303"/>
        <v>0</v>
      </c>
      <c r="S343" s="80">
        <f t="shared" si="304"/>
        <v>0</v>
      </c>
      <c r="T343" s="80">
        <f t="shared" si="305"/>
        <v>0</v>
      </c>
      <c r="U343" s="80">
        <f t="shared" si="306"/>
        <v>0</v>
      </c>
      <c r="V343" s="80">
        <f t="shared" si="307"/>
        <v>0</v>
      </c>
      <c r="W343" s="80">
        <f t="shared" si="308"/>
        <v>0</v>
      </c>
      <c r="X343" s="80">
        <f t="shared" si="359"/>
        <v>463.63197900250509</v>
      </c>
      <c r="Y343" s="80">
        <f t="shared" si="360"/>
        <v>163.1321370309951</v>
      </c>
      <c r="Z343" s="80">
        <f t="shared" si="361"/>
        <v>127.48080729365213</v>
      </c>
      <c r="AA343" s="80">
        <f t="shared" si="362"/>
        <v>93.040113749634756</v>
      </c>
      <c r="AB343" s="80">
        <f t="shared" si="363"/>
        <v>712.06630533574071</v>
      </c>
      <c r="AC343" s="80">
        <f t="shared" si="364"/>
        <v>375</v>
      </c>
      <c r="AD343" s="80"/>
      <c r="AE343" s="80"/>
      <c r="AF343" s="80"/>
      <c r="AG343" s="80"/>
      <c r="AH343" s="80"/>
      <c r="AI343" s="80"/>
      <c r="AJ343" s="45">
        <f t="shared" si="309"/>
        <v>0</v>
      </c>
      <c r="AK343" s="45">
        <f t="shared" si="310"/>
        <v>0</v>
      </c>
      <c r="AL343" s="45">
        <f t="shared" si="311"/>
        <v>0</v>
      </c>
      <c r="AM343" s="45">
        <f t="shared" si="312"/>
        <v>0</v>
      </c>
      <c r="AN343" s="45">
        <f t="shared" si="313"/>
        <v>0</v>
      </c>
      <c r="AO343" s="45">
        <f t="shared" si="314"/>
        <v>0</v>
      </c>
      <c r="AP343" s="80">
        <f t="shared" si="315"/>
        <v>0</v>
      </c>
      <c r="AQ343" s="80">
        <f t="shared" si="316"/>
        <v>0</v>
      </c>
      <c r="AR343" s="80">
        <f t="shared" si="317"/>
        <v>0</v>
      </c>
      <c r="AS343" s="80">
        <f t="shared" si="318"/>
        <v>0</v>
      </c>
      <c r="AT343" s="80">
        <f t="shared" si="319"/>
        <v>0</v>
      </c>
      <c r="AU343" s="80">
        <f t="shared" si="320"/>
        <v>0</v>
      </c>
      <c r="AV343" s="80">
        <f t="shared" si="365"/>
        <v>43.10478277876156</v>
      </c>
      <c r="AW343" s="80">
        <f t="shared" si="366"/>
        <v>20.940206375515857</v>
      </c>
      <c r="AX343" s="80">
        <f t="shared" si="367"/>
        <v>13.504278781444341</v>
      </c>
      <c r="AY343" s="80">
        <f t="shared" si="368"/>
        <v>10.524573776947095</v>
      </c>
      <c r="AZ343" s="80">
        <f t="shared" si="369"/>
        <v>90.039187188136594</v>
      </c>
      <c r="BA343" s="80">
        <f t="shared" si="370"/>
        <v>36.682621359950843</v>
      </c>
      <c r="BB343" s="80">
        <f t="shared" si="346"/>
        <v>506.73676178126664</v>
      </c>
      <c r="BC343" s="80">
        <f t="shared" si="347"/>
        <v>184.07234340651095</v>
      </c>
      <c r="BD343" s="80">
        <f t="shared" si="348"/>
        <v>140.98508607509649</v>
      </c>
      <c r="BE343" s="80">
        <f t="shared" si="349"/>
        <v>103.56468752658185</v>
      </c>
      <c r="BF343" s="80">
        <f t="shared" si="350"/>
        <v>802.10549252387727</v>
      </c>
      <c r="BG343" s="80">
        <f t="shared" si="351"/>
        <v>411.68262135995087</v>
      </c>
      <c r="BH343" s="49">
        <f t="shared" si="352"/>
        <v>0</v>
      </c>
      <c r="BI343" s="79">
        <f t="shared" si="353"/>
        <v>-80558.03672115106</v>
      </c>
      <c r="BJ343" s="79">
        <f t="shared" si="321"/>
        <v>111167.3766059535</v>
      </c>
      <c r="BK343" s="44">
        <f t="shared" si="354"/>
        <v>0.37996630914374996</v>
      </c>
      <c r="BL343" s="79">
        <f t="shared" si="371"/>
        <v>9306.5495404872454</v>
      </c>
      <c r="BM343" s="49">
        <f t="shared" si="355"/>
        <v>120473.92614644075</v>
      </c>
      <c r="BN343" s="44">
        <f t="shared" si="356"/>
        <v>0.49549233136672877</v>
      </c>
      <c r="BO343" s="49">
        <f t="shared" si="322"/>
        <v>12006.743728558449</v>
      </c>
      <c r="BP343" s="49">
        <f t="shared" si="323"/>
        <v>123174.12033451194</v>
      </c>
      <c r="BQ343" s="44">
        <f t="shared" si="324"/>
        <v>0.52901095096042394</v>
      </c>
      <c r="BS343" s="49">
        <f t="shared" si="325"/>
        <v>80558.03672115106</v>
      </c>
      <c r="BT343" s="49">
        <f t="shared" si="301"/>
        <v>84.300003000000004</v>
      </c>
      <c r="BU343" s="49">
        <f t="shared" si="302"/>
        <v>44.27</v>
      </c>
      <c r="BV343" s="49">
        <f t="shared" si="326"/>
        <v>0</v>
      </c>
      <c r="BW343" s="18">
        <f t="shared" si="327"/>
        <v>2107</v>
      </c>
      <c r="BX343" s="19">
        <f t="shared" si="357"/>
        <v>0.5167431192660551</v>
      </c>
      <c r="BY343" s="49">
        <f t="shared" si="358"/>
        <v>0</v>
      </c>
      <c r="BZ343" s="19">
        <f t="shared" si="328"/>
        <v>0</v>
      </c>
      <c r="CA343" s="19">
        <f t="shared" si="329"/>
        <v>0</v>
      </c>
      <c r="CB343" s="19">
        <f t="shared" si="330"/>
        <v>0</v>
      </c>
      <c r="CC343" s="19">
        <f t="shared" si="331"/>
        <v>0</v>
      </c>
      <c r="CD343" s="19">
        <f t="shared" si="332"/>
        <v>0</v>
      </c>
      <c r="CE343" s="19">
        <f t="shared" si="333"/>
        <v>0</v>
      </c>
      <c r="CF343" s="49">
        <f t="shared" si="334"/>
        <v>0</v>
      </c>
      <c r="CG343" s="49">
        <f t="shared" si="335"/>
        <v>0</v>
      </c>
      <c r="CH343" s="49">
        <f t="shared" si="336"/>
        <v>0</v>
      </c>
      <c r="CI343" s="49">
        <f t="shared" si="337"/>
        <v>0</v>
      </c>
      <c r="CJ343" s="49">
        <f t="shared" si="338"/>
        <v>0</v>
      </c>
      <c r="CK343" s="49">
        <f t="shared" si="339"/>
        <v>0</v>
      </c>
    </row>
    <row r="344" spans="2:89" ht="12.75" customHeight="1" x14ac:dyDescent="0.2">
      <c r="B344" s="77">
        <v>41407</v>
      </c>
      <c r="C344" s="49">
        <v>86.080001999999993</v>
      </c>
      <c r="D344" s="49">
        <v>69.879997000000003</v>
      </c>
      <c r="E344" s="49">
        <v>71.459998999999996</v>
      </c>
      <c r="F344" s="49">
        <v>86.300003000000004</v>
      </c>
      <c r="G344" s="49">
        <v>39.009998000000003</v>
      </c>
      <c r="H344" s="49">
        <v>44.02</v>
      </c>
      <c r="J344" s="78">
        <f>IF(inter=Weekly_2,J343+$C$5,IF(inter=Bi_weekly_2,J342+$C$5,IF(inter=Monthly_2,0,IF(inter=Quarterly_2,0,IF(inter=Yearly_2,0,IF(inter=None_2,0,0))))))</f>
        <v>110600</v>
      </c>
      <c r="K344" s="79">
        <f t="shared" si="340"/>
        <v>1199.4416797995946</v>
      </c>
      <c r="L344" s="79">
        <f t="shared" si="341"/>
        <v>339.67324632952659</v>
      </c>
      <c r="M344" s="79">
        <f t="shared" si="342"/>
        <v>261.77836172357456</v>
      </c>
      <c r="N344" s="79">
        <f t="shared" si="343"/>
        <v>287.36209571382005</v>
      </c>
      <c r="O344" s="79">
        <f t="shared" si="344"/>
        <v>127.70514701463617</v>
      </c>
      <c r="P344" s="79">
        <f t="shared" si="345"/>
        <v>-82.5</v>
      </c>
      <c r="Q344" s="79"/>
      <c r="R344" s="80">
        <f t="shared" si="303"/>
        <v>-13.934034060542826</v>
      </c>
      <c r="S344" s="80">
        <f t="shared" si="304"/>
        <v>-4.8608079695470874</v>
      </c>
      <c r="T344" s="80">
        <f t="shared" si="305"/>
        <v>-3.6632852698972829</v>
      </c>
      <c r="U344" s="80">
        <f t="shared" si="306"/>
        <v>-3.3298040060765706</v>
      </c>
      <c r="V344" s="80">
        <f t="shared" si="307"/>
        <v>-3.2736517190961187</v>
      </c>
      <c r="W344" s="80">
        <f t="shared" si="308"/>
        <v>1.874148114493412</v>
      </c>
      <c r="X344" s="80">
        <f t="shared" si="359"/>
        <v>449.69794494196225</v>
      </c>
      <c r="Y344" s="80">
        <f t="shared" si="360"/>
        <v>158.271329061448</v>
      </c>
      <c r="Z344" s="80">
        <f t="shared" si="361"/>
        <v>123.81752202375485</v>
      </c>
      <c r="AA344" s="80">
        <f t="shared" si="362"/>
        <v>89.710309743558184</v>
      </c>
      <c r="AB344" s="80">
        <f t="shared" si="363"/>
        <v>708.79265361664454</v>
      </c>
      <c r="AC344" s="80">
        <f t="shared" si="364"/>
        <v>376.87414811449344</v>
      </c>
      <c r="AD344" s="80"/>
      <c r="AE344" s="80"/>
      <c r="AF344" s="80"/>
      <c r="AG344" s="80"/>
      <c r="AH344" s="80"/>
      <c r="AI344" s="80"/>
      <c r="AJ344" s="45">
        <f t="shared" si="309"/>
        <v>0</v>
      </c>
      <c r="AK344" s="45">
        <f t="shared" si="310"/>
        <v>0</v>
      </c>
      <c r="AL344" s="45">
        <f t="shared" si="311"/>
        <v>0</v>
      </c>
      <c r="AM344" s="45">
        <f t="shared" si="312"/>
        <v>0</v>
      </c>
      <c r="AN344" s="45">
        <f t="shared" si="313"/>
        <v>0</v>
      </c>
      <c r="AO344" s="45">
        <f t="shared" si="314"/>
        <v>0</v>
      </c>
      <c r="AP344" s="80">
        <f t="shared" si="315"/>
        <v>0</v>
      </c>
      <c r="AQ344" s="80">
        <f t="shared" si="316"/>
        <v>0</v>
      </c>
      <c r="AR344" s="80">
        <f t="shared" si="317"/>
        <v>0</v>
      </c>
      <c r="AS344" s="80">
        <f t="shared" si="318"/>
        <v>0</v>
      </c>
      <c r="AT344" s="80">
        <f t="shared" si="319"/>
        <v>0</v>
      </c>
      <c r="AU344" s="80">
        <f t="shared" si="320"/>
        <v>0</v>
      </c>
      <c r="AV344" s="80">
        <f t="shared" si="365"/>
        <v>43.10478277876156</v>
      </c>
      <c r="AW344" s="80">
        <f t="shared" si="366"/>
        <v>20.940206375515857</v>
      </c>
      <c r="AX344" s="80">
        <f t="shared" si="367"/>
        <v>13.504278781444341</v>
      </c>
      <c r="AY344" s="80">
        <f t="shared" si="368"/>
        <v>10.524573776947095</v>
      </c>
      <c r="AZ344" s="80">
        <f t="shared" si="369"/>
        <v>90.039187188136594</v>
      </c>
      <c r="BA344" s="80">
        <f t="shared" si="370"/>
        <v>36.682621359950843</v>
      </c>
      <c r="BB344" s="80">
        <f t="shared" si="346"/>
        <v>492.80272772072379</v>
      </c>
      <c r="BC344" s="80">
        <f t="shared" si="347"/>
        <v>179.21153543696386</v>
      </c>
      <c r="BD344" s="80">
        <f t="shared" si="348"/>
        <v>137.32180080519919</v>
      </c>
      <c r="BE344" s="80">
        <f t="shared" si="349"/>
        <v>100.23488352050528</v>
      </c>
      <c r="BF344" s="80">
        <f t="shared" si="350"/>
        <v>798.83184080478111</v>
      </c>
      <c r="BG344" s="80">
        <f t="shared" si="351"/>
        <v>413.55676947444431</v>
      </c>
      <c r="BH344" s="49">
        <f t="shared" si="352"/>
        <v>0</v>
      </c>
      <c r="BI344" s="79">
        <f t="shared" si="353"/>
        <v>-78424.576190569918</v>
      </c>
      <c r="BJ344" s="79">
        <f t="shared" si="321"/>
        <v>110600</v>
      </c>
      <c r="BK344" s="44">
        <f t="shared" si="354"/>
        <v>0.41027220512157481</v>
      </c>
      <c r="BL344" s="79">
        <f t="shared" si="371"/>
        <v>9306.5495404872454</v>
      </c>
      <c r="BM344" s="49">
        <f t="shared" si="355"/>
        <v>119906.54954048725</v>
      </c>
      <c r="BN344" s="44">
        <f t="shared" si="356"/>
        <v>0.52894099483709156</v>
      </c>
      <c r="BO344" s="49">
        <f t="shared" si="322"/>
        <v>12174.245347643649</v>
      </c>
      <c r="BP344" s="49">
        <f t="shared" si="323"/>
        <v>122774.24534764365</v>
      </c>
      <c r="BQ344" s="44">
        <f t="shared" si="324"/>
        <v>0.56550728497792657</v>
      </c>
      <c r="BS344" s="49">
        <f t="shared" si="325"/>
        <v>78424.576190569918</v>
      </c>
      <c r="BT344" s="49">
        <f t="shared" ref="BT344:BT407" si="372">C344</f>
        <v>86.080001999999993</v>
      </c>
      <c r="BU344" s="49">
        <f t="shared" ref="BU344:BU407" si="373">H344</f>
        <v>44.02</v>
      </c>
      <c r="BV344" s="49">
        <f t="shared" si="326"/>
        <v>-2133.4605305811519</v>
      </c>
      <c r="BW344" s="18">
        <f t="shared" si="327"/>
        <v>2114</v>
      </c>
      <c r="BX344" s="19">
        <f t="shared" si="357"/>
        <v>0.51513761467889907</v>
      </c>
      <c r="BY344" s="49">
        <f t="shared" si="358"/>
        <v>-1099.025768735153</v>
      </c>
      <c r="BZ344" s="19">
        <f t="shared" si="328"/>
        <v>0</v>
      </c>
      <c r="CA344" s="19">
        <f t="shared" si="329"/>
        <v>0</v>
      </c>
      <c r="CB344" s="19">
        <f t="shared" si="330"/>
        <v>0</v>
      </c>
      <c r="CC344" s="19">
        <f t="shared" si="331"/>
        <v>0</v>
      </c>
      <c r="CD344" s="19">
        <f t="shared" si="332"/>
        <v>0</v>
      </c>
      <c r="CE344" s="19">
        <f t="shared" si="333"/>
        <v>1.874148114493412</v>
      </c>
      <c r="CF344" s="49">
        <f t="shared" si="334"/>
        <v>0</v>
      </c>
      <c r="CG344" s="49">
        <f t="shared" si="335"/>
        <v>0</v>
      </c>
      <c r="CH344" s="49">
        <f t="shared" si="336"/>
        <v>0</v>
      </c>
      <c r="CI344" s="49">
        <f t="shared" si="337"/>
        <v>0</v>
      </c>
      <c r="CJ344" s="49">
        <f t="shared" si="338"/>
        <v>0</v>
      </c>
      <c r="CK344" s="49">
        <f t="shared" si="339"/>
        <v>-82.5</v>
      </c>
    </row>
    <row r="345" spans="2:89" ht="12.75" customHeight="1" x14ac:dyDescent="0.2">
      <c r="B345" s="77">
        <v>41414</v>
      </c>
      <c r="C345" s="49">
        <v>85.089995999999999</v>
      </c>
      <c r="D345" s="49">
        <v>69.379997000000003</v>
      </c>
      <c r="E345" s="49">
        <v>70.220000999999996</v>
      </c>
      <c r="F345" s="49">
        <v>84.860000999999997</v>
      </c>
      <c r="G345" s="49">
        <v>38.029998999999997</v>
      </c>
      <c r="H345" s="49">
        <v>42.84</v>
      </c>
      <c r="J345" s="78">
        <f>IF(inter=Weekly_2,J344+$C$5,IF(inter=Bi_weekly_2,0,IF(inter=Monthly_2,0,IF(inter=Quarterly_2,0,IF(inter=Yearly_2,0,IF(inter=None_2,0,0))))))</f>
        <v>0</v>
      </c>
      <c r="K345" s="79">
        <f t="shared" si="340"/>
        <v>0</v>
      </c>
      <c r="L345" s="79">
        <f t="shared" si="341"/>
        <v>0</v>
      </c>
      <c r="M345" s="79">
        <f t="shared" si="342"/>
        <v>0</v>
      </c>
      <c r="N345" s="79">
        <f t="shared" si="343"/>
        <v>0</v>
      </c>
      <c r="O345" s="79">
        <f t="shared" si="344"/>
        <v>0</v>
      </c>
      <c r="P345" s="79">
        <f t="shared" si="345"/>
        <v>0</v>
      </c>
      <c r="Q345" s="79"/>
      <c r="R345" s="80">
        <f t="shared" si="303"/>
        <v>0</v>
      </c>
      <c r="S345" s="80">
        <f t="shared" si="304"/>
        <v>0</v>
      </c>
      <c r="T345" s="80">
        <f t="shared" si="305"/>
        <v>0</v>
      </c>
      <c r="U345" s="80">
        <f t="shared" si="306"/>
        <v>0</v>
      </c>
      <c r="V345" s="80">
        <f t="shared" si="307"/>
        <v>0</v>
      </c>
      <c r="W345" s="80">
        <f t="shared" si="308"/>
        <v>0</v>
      </c>
      <c r="X345" s="80">
        <f t="shared" si="359"/>
        <v>449.69794494196225</v>
      </c>
      <c r="Y345" s="80">
        <f t="shared" si="360"/>
        <v>158.271329061448</v>
      </c>
      <c r="Z345" s="80">
        <f t="shared" si="361"/>
        <v>123.81752202375485</v>
      </c>
      <c r="AA345" s="80">
        <f t="shared" si="362"/>
        <v>89.710309743558184</v>
      </c>
      <c r="AB345" s="80">
        <f t="shared" si="363"/>
        <v>708.79265361664454</v>
      </c>
      <c r="AC345" s="80">
        <f t="shared" si="364"/>
        <v>376.87414811449344</v>
      </c>
      <c r="AD345" s="80"/>
      <c r="AE345" s="80"/>
      <c r="AF345" s="80"/>
      <c r="AG345" s="80"/>
      <c r="AH345" s="80"/>
      <c r="AI345" s="80"/>
      <c r="AJ345" s="45">
        <f t="shared" si="309"/>
        <v>0</v>
      </c>
      <c r="AK345" s="45">
        <f t="shared" si="310"/>
        <v>0</v>
      </c>
      <c r="AL345" s="45">
        <f t="shared" si="311"/>
        <v>0</v>
      </c>
      <c r="AM345" s="45">
        <f t="shared" si="312"/>
        <v>0</v>
      </c>
      <c r="AN345" s="45">
        <f t="shared" si="313"/>
        <v>0</v>
      </c>
      <c r="AO345" s="45">
        <f t="shared" si="314"/>
        <v>0</v>
      </c>
      <c r="AP345" s="80">
        <f t="shared" si="315"/>
        <v>0</v>
      </c>
      <c r="AQ345" s="80">
        <f t="shared" si="316"/>
        <v>0</v>
      </c>
      <c r="AR345" s="80">
        <f t="shared" si="317"/>
        <v>0</v>
      </c>
      <c r="AS345" s="80">
        <f t="shared" si="318"/>
        <v>0</v>
      </c>
      <c r="AT345" s="80">
        <f t="shared" si="319"/>
        <v>0</v>
      </c>
      <c r="AU345" s="80">
        <f t="shared" si="320"/>
        <v>0</v>
      </c>
      <c r="AV345" s="80">
        <f t="shared" si="365"/>
        <v>43.10478277876156</v>
      </c>
      <c r="AW345" s="80">
        <f t="shared" si="366"/>
        <v>20.940206375515857</v>
      </c>
      <c r="AX345" s="80">
        <f t="shared" si="367"/>
        <v>13.504278781444341</v>
      </c>
      <c r="AY345" s="80">
        <f t="shared" si="368"/>
        <v>10.524573776947095</v>
      </c>
      <c r="AZ345" s="80">
        <f t="shared" si="369"/>
        <v>90.039187188136594</v>
      </c>
      <c r="BA345" s="80">
        <f t="shared" si="370"/>
        <v>36.682621359950843</v>
      </c>
      <c r="BB345" s="80">
        <f t="shared" si="346"/>
        <v>492.80272772072379</v>
      </c>
      <c r="BC345" s="80">
        <f t="shared" si="347"/>
        <v>179.21153543696386</v>
      </c>
      <c r="BD345" s="80">
        <f t="shared" si="348"/>
        <v>137.32180080519919</v>
      </c>
      <c r="BE345" s="80">
        <f t="shared" si="349"/>
        <v>100.23488352050528</v>
      </c>
      <c r="BF345" s="80">
        <f t="shared" si="350"/>
        <v>798.83184080478111</v>
      </c>
      <c r="BG345" s="80">
        <f t="shared" si="351"/>
        <v>413.55676947444431</v>
      </c>
      <c r="BH345" s="49">
        <f t="shared" si="352"/>
        <v>0</v>
      </c>
      <c r="BI345" s="79">
        <f t="shared" si="353"/>
        <v>-78424.576190569918</v>
      </c>
      <c r="BJ345" s="79">
        <f t="shared" si="321"/>
        <v>108653.61658013654</v>
      </c>
      <c r="BK345" s="44">
        <f t="shared" si="354"/>
        <v>0.38545366590328456</v>
      </c>
      <c r="BL345" s="79">
        <f t="shared" si="371"/>
        <v>9306.5495404872454</v>
      </c>
      <c r="BM345" s="49">
        <f t="shared" si="355"/>
        <v>117960.16612062379</v>
      </c>
      <c r="BN345" s="44">
        <f t="shared" si="356"/>
        <v>0.50412245561880109</v>
      </c>
      <c r="BO345" s="49">
        <f t="shared" si="322"/>
        <v>11957.676758297908</v>
      </c>
      <c r="BP345" s="49">
        <f t="shared" si="323"/>
        <v>120611.29333843445</v>
      </c>
      <c r="BQ345" s="44">
        <f t="shared" si="324"/>
        <v>0.53792725695261367</v>
      </c>
      <c r="BS345" s="49">
        <f t="shared" si="325"/>
        <v>78424.576190569918</v>
      </c>
      <c r="BT345" s="49">
        <f t="shared" si="372"/>
        <v>85.089995999999999</v>
      </c>
      <c r="BU345" s="49">
        <f t="shared" si="373"/>
        <v>42.84</v>
      </c>
      <c r="BV345" s="49">
        <f t="shared" si="326"/>
        <v>0</v>
      </c>
      <c r="BW345" s="18">
        <f t="shared" si="327"/>
        <v>2121</v>
      </c>
      <c r="BX345" s="19">
        <f t="shared" si="357"/>
        <v>0.51353211009174315</v>
      </c>
      <c r="BY345" s="49">
        <f t="shared" si="358"/>
        <v>0</v>
      </c>
      <c r="BZ345" s="19">
        <f t="shared" si="328"/>
        <v>0</v>
      </c>
      <c r="CA345" s="19">
        <f t="shared" si="329"/>
        <v>0</v>
      </c>
      <c r="CB345" s="19">
        <f t="shared" si="330"/>
        <v>0</v>
      </c>
      <c r="CC345" s="19">
        <f t="shared" si="331"/>
        <v>0</v>
      </c>
      <c r="CD345" s="19">
        <f t="shared" si="332"/>
        <v>0</v>
      </c>
      <c r="CE345" s="19">
        <f t="shared" si="333"/>
        <v>0</v>
      </c>
      <c r="CF345" s="49">
        <f t="shared" si="334"/>
        <v>0</v>
      </c>
      <c r="CG345" s="49">
        <f t="shared" si="335"/>
        <v>0</v>
      </c>
      <c r="CH345" s="49">
        <f t="shared" si="336"/>
        <v>0</v>
      </c>
      <c r="CI345" s="49">
        <f t="shared" si="337"/>
        <v>0</v>
      </c>
      <c r="CJ345" s="49">
        <f t="shared" si="338"/>
        <v>0</v>
      </c>
      <c r="CK345" s="49">
        <f t="shared" si="339"/>
        <v>0</v>
      </c>
    </row>
    <row r="346" spans="2:89" ht="12.75" customHeight="1" x14ac:dyDescent="0.2">
      <c r="B346" s="77">
        <v>41422</v>
      </c>
      <c r="C346" s="49">
        <v>84.269997000000004</v>
      </c>
      <c r="D346" s="49">
        <v>68.709998999999996</v>
      </c>
      <c r="E346" s="49">
        <v>69.610000999999997</v>
      </c>
      <c r="F346" s="49">
        <v>84.779999000000004</v>
      </c>
      <c r="G346" s="49">
        <v>37.189999</v>
      </c>
      <c r="H346" s="49">
        <v>41.540000999999997</v>
      </c>
      <c r="J346" s="78">
        <f>IF(inter=Weekly_2,J345+$C$5,IF(inter=Bi_weekly_2,J344+$C$5,IF(inter=Monthly_2,J342+$C$5,IF(inter=Quarterly_2,0,IF(inter=Yearly_2,0,IF(inter=None_2,0,0))))))</f>
        <v>111200</v>
      </c>
      <c r="K346" s="79">
        <f t="shared" si="340"/>
        <v>-1023.9555288346746</v>
      </c>
      <c r="L346" s="79">
        <f t="shared" si="341"/>
        <v>-245.17713845923754</v>
      </c>
      <c r="M346" s="79">
        <f t="shared" si="342"/>
        <v>-277.06216810890328</v>
      </c>
      <c r="N346" s="79">
        <f t="shared" si="343"/>
        <v>-178.3600296514478</v>
      </c>
      <c r="O346" s="79">
        <f t="shared" si="344"/>
        <v>-1440.0019207896439</v>
      </c>
      <c r="P346" s="79">
        <f t="shared" si="345"/>
        <v>-1024.6475104497949</v>
      </c>
      <c r="Q346" s="79"/>
      <c r="R346" s="80">
        <f t="shared" si="303"/>
        <v>12.150890771180098</v>
      </c>
      <c r="S346" s="80">
        <f t="shared" si="304"/>
        <v>3.5682890704049863</v>
      </c>
      <c r="T346" s="80">
        <f t="shared" si="305"/>
        <v>3.9802063515112334</v>
      </c>
      <c r="U346" s="80">
        <f t="shared" si="306"/>
        <v>2.1037984401420884</v>
      </c>
      <c r="V346" s="80">
        <f t="shared" si="307"/>
        <v>38.720138733793561</v>
      </c>
      <c r="W346" s="80">
        <f t="shared" si="308"/>
        <v>24.666525897526942</v>
      </c>
      <c r="X346" s="80">
        <f t="shared" si="359"/>
        <v>461.84883571314236</v>
      </c>
      <c r="Y346" s="80">
        <f t="shared" si="360"/>
        <v>161.83961813185297</v>
      </c>
      <c r="Z346" s="80">
        <f t="shared" si="361"/>
        <v>127.79772837526608</v>
      </c>
      <c r="AA346" s="80">
        <f t="shared" si="362"/>
        <v>91.81410818370027</v>
      </c>
      <c r="AB346" s="80">
        <f t="shared" si="363"/>
        <v>747.51279235043808</v>
      </c>
      <c r="AC346" s="80">
        <f t="shared" si="364"/>
        <v>401.54067401202036</v>
      </c>
      <c r="AD346" s="80"/>
      <c r="AE346" s="80"/>
      <c r="AF346" s="80"/>
      <c r="AG346" s="80"/>
      <c r="AH346" s="80"/>
      <c r="AI346" s="80"/>
      <c r="AJ346" s="45">
        <f t="shared" si="309"/>
        <v>0</v>
      </c>
      <c r="AK346" s="45">
        <f t="shared" si="310"/>
        <v>0</v>
      </c>
      <c r="AL346" s="45">
        <f t="shared" si="311"/>
        <v>0</v>
      </c>
      <c r="AM346" s="45">
        <f t="shared" si="312"/>
        <v>0</v>
      </c>
      <c r="AN346" s="45">
        <f t="shared" si="313"/>
        <v>0</v>
      </c>
      <c r="AO346" s="45">
        <f t="shared" si="314"/>
        <v>0</v>
      </c>
      <c r="AP346" s="80">
        <f t="shared" si="315"/>
        <v>0</v>
      </c>
      <c r="AQ346" s="80">
        <f t="shared" si="316"/>
        <v>0</v>
      </c>
      <c r="AR346" s="80">
        <f t="shared" si="317"/>
        <v>0</v>
      </c>
      <c r="AS346" s="80">
        <f t="shared" si="318"/>
        <v>0</v>
      </c>
      <c r="AT346" s="80">
        <f t="shared" si="319"/>
        <v>0</v>
      </c>
      <c r="AU346" s="80">
        <f t="shared" si="320"/>
        <v>0</v>
      </c>
      <c r="AV346" s="80">
        <f t="shared" si="365"/>
        <v>43.10478277876156</v>
      </c>
      <c r="AW346" s="80">
        <f t="shared" si="366"/>
        <v>20.940206375515857</v>
      </c>
      <c r="AX346" s="80">
        <f t="shared" si="367"/>
        <v>13.504278781444341</v>
      </c>
      <c r="AY346" s="80">
        <f t="shared" si="368"/>
        <v>10.524573776947095</v>
      </c>
      <c r="AZ346" s="80">
        <f t="shared" si="369"/>
        <v>90.039187188136594</v>
      </c>
      <c r="BA346" s="80">
        <f t="shared" si="370"/>
        <v>36.682621359950843</v>
      </c>
      <c r="BB346" s="80">
        <f t="shared" si="346"/>
        <v>504.95361849190391</v>
      </c>
      <c r="BC346" s="80">
        <f t="shared" si="347"/>
        <v>182.77982450736883</v>
      </c>
      <c r="BD346" s="80">
        <f t="shared" si="348"/>
        <v>141.30200715671043</v>
      </c>
      <c r="BE346" s="80">
        <f t="shared" si="349"/>
        <v>102.33868196064736</v>
      </c>
      <c r="BF346" s="80">
        <f t="shared" si="350"/>
        <v>837.55197953857464</v>
      </c>
      <c r="BG346" s="80">
        <f t="shared" si="351"/>
        <v>438.22329537197118</v>
      </c>
      <c r="BH346" s="49">
        <f t="shared" si="352"/>
        <v>0</v>
      </c>
      <c r="BI346" s="79">
        <f t="shared" si="353"/>
        <v>-82613.780486863616</v>
      </c>
      <c r="BJ346" s="79">
        <f t="shared" si="321"/>
        <v>111200</v>
      </c>
      <c r="BK346" s="44">
        <f t="shared" si="354"/>
        <v>0.34602241108772236</v>
      </c>
      <c r="BL346" s="79">
        <f t="shared" si="371"/>
        <v>9306.5495404872454</v>
      </c>
      <c r="BM346" s="49">
        <f t="shared" si="355"/>
        <v>120506.54954048725</v>
      </c>
      <c r="BN346" s="44">
        <f t="shared" si="356"/>
        <v>0.45867370831248855</v>
      </c>
      <c r="BO346" s="49">
        <f t="shared" si="322"/>
        <v>11775.90109780159</v>
      </c>
      <c r="BP346" s="49">
        <f t="shared" si="323"/>
        <v>122975.90109780157</v>
      </c>
      <c r="BQ346" s="44">
        <f t="shared" si="324"/>
        <v>0.48856401889701595</v>
      </c>
      <c r="BS346" s="49">
        <f t="shared" si="325"/>
        <v>82613.780486863616</v>
      </c>
      <c r="BT346" s="49">
        <f t="shared" si="372"/>
        <v>84.269997000000004</v>
      </c>
      <c r="BU346" s="49">
        <f t="shared" si="373"/>
        <v>41.540000999999997</v>
      </c>
      <c r="BV346" s="49">
        <f t="shared" si="326"/>
        <v>4189.2042962937021</v>
      </c>
      <c r="BW346" s="18">
        <f t="shared" si="327"/>
        <v>2129</v>
      </c>
      <c r="BX346" s="19">
        <f t="shared" si="357"/>
        <v>0.511697247706422</v>
      </c>
      <c r="BY346" s="49">
        <f t="shared" si="358"/>
        <v>2143.6043084934058</v>
      </c>
      <c r="BZ346" s="19">
        <f t="shared" si="328"/>
        <v>12.150890771180098</v>
      </c>
      <c r="CA346" s="19">
        <f t="shared" si="329"/>
        <v>3.5682890704049863</v>
      </c>
      <c r="CB346" s="19">
        <f t="shared" si="330"/>
        <v>3.9802063515112334</v>
      </c>
      <c r="CC346" s="19">
        <f t="shared" si="331"/>
        <v>2.1037984401420884</v>
      </c>
      <c r="CD346" s="19">
        <f t="shared" si="332"/>
        <v>38.720138733793561</v>
      </c>
      <c r="CE346" s="19">
        <f t="shared" si="333"/>
        <v>24.666525897526942</v>
      </c>
      <c r="CF346" s="49">
        <f t="shared" si="334"/>
        <v>-1023.9555288346746</v>
      </c>
      <c r="CG346" s="49">
        <f t="shared" si="335"/>
        <v>-245.17713845923754</v>
      </c>
      <c r="CH346" s="49">
        <f t="shared" si="336"/>
        <v>-277.06216810890328</v>
      </c>
      <c r="CI346" s="49">
        <f t="shared" si="337"/>
        <v>-178.3600296514478</v>
      </c>
      <c r="CJ346" s="49">
        <f t="shared" si="338"/>
        <v>-1440.0019207896439</v>
      </c>
      <c r="CK346" s="49">
        <f t="shared" si="339"/>
        <v>-1024.6475104497949</v>
      </c>
    </row>
    <row r="347" spans="2:89" ht="12.75" customHeight="1" x14ac:dyDescent="0.2">
      <c r="B347" s="77">
        <v>41428</v>
      </c>
      <c r="C347" s="49">
        <v>84.830001999999993</v>
      </c>
      <c r="D347" s="49">
        <v>69.379997000000003</v>
      </c>
      <c r="E347" s="49">
        <v>69.699996999999996</v>
      </c>
      <c r="F347" s="49">
        <v>84.690002000000007</v>
      </c>
      <c r="G347" s="49">
        <v>37.32</v>
      </c>
      <c r="H347" s="49">
        <v>41.110000999999997</v>
      </c>
      <c r="J347" s="78">
        <f>IF(inter=Weekly_2,J346+$C$5,IF(inter=Bi_weekly_2,0,IF(inter=Monthly_2,0,IF(inter=Quarterly_2,0,IF(inter=Yearly_2,0,IF(inter=None_2,0,0))))))</f>
        <v>0</v>
      </c>
      <c r="K347" s="79">
        <f t="shared" si="340"/>
        <v>0</v>
      </c>
      <c r="L347" s="79">
        <f t="shared" si="341"/>
        <v>0</v>
      </c>
      <c r="M347" s="79">
        <f t="shared" si="342"/>
        <v>0</v>
      </c>
      <c r="N347" s="79">
        <f t="shared" si="343"/>
        <v>0</v>
      </c>
      <c r="O347" s="79">
        <f t="shared" si="344"/>
        <v>0</v>
      </c>
      <c r="P347" s="79">
        <f t="shared" si="345"/>
        <v>0</v>
      </c>
      <c r="Q347" s="79"/>
      <c r="R347" s="80">
        <f t="shared" si="303"/>
        <v>0</v>
      </c>
      <c r="S347" s="80">
        <f t="shared" si="304"/>
        <v>0</v>
      </c>
      <c r="T347" s="80">
        <f t="shared" si="305"/>
        <v>0</v>
      </c>
      <c r="U347" s="80">
        <f t="shared" si="306"/>
        <v>0</v>
      </c>
      <c r="V347" s="80">
        <f t="shared" si="307"/>
        <v>0</v>
      </c>
      <c r="W347" s="80">
        <f t="shared" si="308"/>
        <v>0</v>
      </c>
      <c r="X347" s="80">
        <f t="shared" si="359"/>
        <v>461.84883571314236</v>
      </c>
      <c r="Y347" s="80">
        <f t="shared" si="360"/>
        <v>161.83961813185297</v>
      </c>
      <c r="Z347" s="80">
        <f t="shared" si="361"/>
        <v>127.79772837526608</v>
      </c>
      <c r="AA347" s="80">
        <f t="shared" si="362"/>
        <v>91.81410818370027</v>
      </c>
      <c r="AB347" s="80">
        <f t="shared" si="363"/>
        <v>747.51279235043808</v>
      </c>
      <c r="AC347" s="80">
        <f t="shared" si="364"/>
        <v>401.54067401202036</v>
      </c>
      <c r="AD347" s="80"/>
      <c r="AE347" s="80"/>
      <c r="AF347" s="80"/>
      <c r="AG347" s="80"/>
      <c r="AH347" s="80"/>
      <c r="AI347" s="80"/>
      <c r="AJ347" s="45">
        <f t="shared" si="309"/>
        <v>0</v>
      </c>
      <c r="AK347" s="45">
        <f t="shared" si="310"/>
        <v>0</v>
      </c>
      <c r="AL347" s="45">
        <f t="shared" si="311"/>
        <v>0</v>
      </c>
      <c r="AM347" s="45">
        <f t="shared" si="312"/>
        <v>0</v>
      </c>
      <c r="AN347" s="45">
        <f t="shared" si="313"/>
        <v>0</v>
      </c>
      <c r="AO347" s="45">
        <f t="shared" si="314"/>
        <v>0</v>
      </c>
      <c r="AP347" s="80">
        <f t="shared" si="315"/>
        <v>0</v>
      </c>
      <c r="AQ347" s="80">
        <f t="shared" si="316"/>
        <v>0</v>
      </c>
      <c r="AR347" s="80">
        <f t="shared" si="317"/>
        <v>0</v>
      </c>
      <c r="AS347" s="80">
        <f t="shared" si="318"/>
        <v>0</v>
      </c>
      <c r="AT347" s="80">
        <f t="shared" si="319"/>
        <v>0</v>
      </c>
      <c r="AU347" s="80">
        <f t="shared" si="320"/>
        <v>0</v>
      </c>
      <c r="AV347" s="80">
        <f t="shared" si="365"/>
        <v>43.10478277876156</v>
      </c>
      <c r="AW347" s="80">
        <f t="shared" si="366"/>
        <v>20.940206375515857</v>
      </c>
      <c r="AX347" s="80">
        <f t="shared" si="367"/>
        <v>13.504278781444341</v>
      </c>
      <c r="AY347" s="80">
        <f t="shared" si="368"/>
        <v>10.524573776947095</v>
      </c>
      <c r="AZ347" s="80">
        <f t="shared" si="369"/>
        <v>90.039187188136594</v>
      </c>
      <c r="BA347" s="80">
        <f t="shared" si="370"/>
        <v>36.682621359950843</v>
      </c>
      <c r="BB347" s="80">
        <f t="shared" si="346"/>
        <v>504.95361849190391</v>
      </c>
      <c r="BC347" s="80">
        <f t="shared" si="347"/>
        <v>182.77982450736883</v>
      </c>
      <c r="BD347" s="80">
        <f t="shared" si="348"/>
        <v>141.30200715671043</v>
      </c>
      <c r="BE347" s="80">
        <f t="shared" si="349"/>
        <v>102.33868196064736</v>
      </c>
      <c r="BF347" s="80">
        <f t="shared" si="350"/>
        <v>837.55197953857464</v>
      </c>
      <c r="BG347" s="80">
        <f t="shared" si="351"/>
        <v>438.22329537197118</v>
      </c>
      <c r="BH347" s="49">
        <f t="shared" si="352"/>
        <v>0</v>
      </c>
      <c r="BI347" s="79">
        <f t="shared" si="353"/>
        <v>-82613.780486863616</v>
      </c>
      <c r="BJ347" s="79">
        <f t="shared" si="321"/>
        <v>111494.82308847448</v>
      </c>
      <c r="BK347" s="44">
        <f t="shared" si="354"/>
        <v>0.34959110249413206</v>
      </c>
      <c r="BL347" s="79">
        <f t="shared" si="371"/>
        <v>9306.5495404872454</v>
      </c>
      <c r="BM347" s="49">
        <f t="shared" si="355"/>
        <v>120801.37262896173</v>
      </c>
      <c r="BN347" s="44">
        <f t="shared" si="356"/>
        <v>0.46224239971889802</v>
      </c>
      <c r="BO347" s="49">
        <f t="shared" si="322"/>
        <v>11810.26969626867</v>
      </c>
      <c r="BP347" s="49">
        <f t="shared" si="323"/>
        <v>123305.09278474313</v>
      </c>
      <c r="BQ347" s="44">
        <f t="shared" si="324"/>
        <v>0.4925487256251373</v>
      </c>
      <c r="BS347" s="49">
        <f t="shared" si="325"/>
        <v>82613.780486863616</v>
      </c>
      <c r="BT347" s="49">
        <f t="shared" si="372"/>
        <v>84.830001999999993</v>
      </c>
      <c r="BU347" s="49">
        <f t="shared" si="373"/>
        <v>41.110000999999997</v>
      </c>
      <c r="BV347" s="49">
        <f t="shared" si="326"/>
        <v>0</v>
      </c>
      <c r="BW347" s="18">
        <f t="shared" si="327"/>
        <v>2135</v>
      </c>
      <c r="BX347" s="19">
        <f t="shared" si="357"/>
        <v>0.51032110091743121</v>
      </c>
      <c r="BY347" s="49">
        <f t="shared" si="358"/>
        <v>0</v>
      </c>
      <c r="BZ347" s="19">
        <f t="shared" si="328"/>
        <v>0</v>
      </c>
      <c r="CA347" s="19">
        <f t="shared" si="329"/>
        <v>0</v>
      </c>
      <c r="CB347" s="19">
        <f t="shared" si="330"/>
        <v>0</v>
      </c>
      <c r="CC347" s="19">
        <f t="shared" si="331"/>
        <v>0</v>
      </c>
      <c r="CD347" s="19">
        <f t="shared" si="332"/>
        <v>0</v>
      </c>
      <c r="CE347" s="19">
        <f t="shared" si="333"/>
        <v>0</v>
      </c>
      <c r="CF347" s="49">
        <f t="shared" si="334"/>
        <v>0</v>
      </c>
      <c r="CG347" s="49">
        <f t="shared" si="335"/>
        <v>0</v>
      </c>
      <c r="CH347" s="49">
        <f t="shared" si="336"/>
        <v>0</v>
      </c>
      <c r="CI347" s="49">
        <f t="shared" si="337"/>
        <v>0</v>
      </c>
      <c r="CJ347" s="49">
        <f t="shared" si="338"/>
        <v>0</v>
      </c>
      <c r="CK347" s="49">
        <f t="shared" si="339"/>
        <v>0</v>
      </c>
    </row>
    <row r="348" spans="2:89" ht="12.75" customHeight="1" x14ac:dyDescent="0.2">
      <c r="B348" s="77">
        <v>41435</v>
      </c>
      <c r="C348" s="49">
        <v>84.099997999999999</v>
      </c>
      <c r="D348" s="49">
        <v>68.839995999999999</v>
      </c>
      <c r="E348" s="49">
        <v>69.419998000000007</v>
      </c>
      <c r="F348" s="49">
        <v>84.139999000000003</v>
      </c>
      <c r="G348" s="49">
        <v>36.979999999999997</v>
      </c>
      <c r="H348" s="49">
        <v>39.790000999999997</v>
      </c>
      <c r="J348" s="78">
        <f>IF(inter=Weekly_2,J347+$C$5,IF(inter=Bi_weekly_2,J346+$C$5,IF(inter=Monthly_2,0,IF(inter=Quarterly_2,0,IF(inter=Yearly_2,0,IF(inter=None_2,0,0))))))</f>
        <v>111800</v>
      </c>
      <c r="K348" s="79">
        <f t="shared" si="340"/>
        <v>-288.51384022239654</v>
      </c>
      <c r="L348" s="79">
        <f t="shared" si="341"/>
        <v>-38.961335161713578</v>
      </c>
      <c r="M348" s="79">
        <f t="shared" si="342"/>
        <v>-72.2819517844855</v>
      </c>
      <c r="N348" s="79">
        <f t="shared" si="343"/>
        <v>-100.76102923756844</v>
      </c>
      <c r="O348" s="79">
        <f t="shared" si="344"/>
        <v>-306.97693888080175</v>
      </c>
      <c r="P348" s="79">
        <f t="shared" si="345"/>
        <v>-792.69617952103727</v>
      </c>
      <c r="Q348" s="79"/>
      <c r="R348" s="80">
        <f t="shared" si="303"/>
        <v>3.430604602658808</v>
      </c>
      <c r="S348" s="80">
        <f t="shared" si="304"/>
        <v>0.56596945708296642</v>
      </c>
      <c r="T348" s="80">
        <f t="shared" si="305"/>
        <v>1.0412266474638259</v>
      </c>
      <c r="U348" s="80">
        <f t="shared" si="306"/>
        <v>1.1975401763145781</v>
      </c>
      <c r="V348" s="80">
        <f t="shared" si="307"/>
        <v>8.3011611379340664</v>
      </c>
      <c r="W348" s="80">
        <f t="shared" si="308"/>
        <v>19.921994460895775</v>
      </c>
      <c r="X348" s="80">
        <f t="shared" si="359"/>
        <v>465.2794403158012</v>
      </c>
      <c r="Y348" s="80">
        <f t="shared" si="360"/>
        <v>162.40558758893593</v>
      </c>
      <c r="Z348" s="80">
        <f t="shared" si="361"/>
        <v>128.83895502272989</v>
      </c>
      <c r="AA348" s="80">
        <f t="shared" si="362"/>
        <v>93.011648360014846</v>
      </c>
      <c r="AB348" s="80">
        <f t="shared" si="363"/>
        <v>755.81395348837214</v>
      </c>
      <c r="AC348" s="80">
        <f t="shared" si="364"/>
        <v>421.46266847291611</v>
      </c>
      <c r="AD348" s="80"/>
      <c r="AE348" s="80"/>
      <c r="AF348" s="80"/>
      <c r="AG348" s="80"/>
      <c r="AH348" s="80"/>
      <c r="AI348" s="80"/>
      <c r="AJ348" s="45">
        <f t="shared" si="309"/>
        <v>0</v>
      </c>
      <c r="AK348" s="45">
        <f t="shared" si="310"/>
        <v>0</v>
      </c>
      <c r="AL348" s="45">
        <f t="shared" si="311"/>
        <v>0</v>
      </c>
      <c r="AM348" s="45">
        <f t="shared" si="312"/>
        <v>0</v>
      </c>
      <c r="AN348" s="45">
        <f t="shared" si="313"/>
        <v>0</v>
      </c>
      <c r="AO348" s="45">
        <f t="shared" si="314"/>
        <v>0</v>
      </c>
      <c r="AP348" s="80">
        <f t="shared" si="315"/>
        <v>0</v>
      </c>
      <c r="AQ348" s="80">
        <f t="shared" si="316"/>
        <v>0</v>
      </c>
      <c r="AR348" s="80">
        <f t="shared" si="317"/>
        <v>0</v>
      </c>
      <c r="AS348" s="80">
        <f t="shared" si="318"/>
        <v>0</v>
      </c>
      <c r="AT348" s="80">
        <f t="shared" si="319"/>
        <v>0</v>
      </c>
      <c r="AU348" s="80">
        <f t="shared" si="320"/>
        <v>0</v>
      </c>
      <c r="AV348" s="80">
        <f t="shared" si="365"/>
        <v>43.10478277876156</v>
      </c>
      <c r="AW348" s="80">
        <f t="shared" si="366"/>
        <v>20.940206375515857</v>
      </c>
      <c r="AX348" s="80">
        <f t="shared" si="367"/>
        <v>13.504278781444341</v>
      </c>
      <c r="AY348" s="80">
        <f t="shared" si="368"/>
        <v>10.524573776947095</v>
      </c>
      <c r="AZ348" s="80">
        <f t="shared" si="369"/>
        <v>90.039187188136594</v>
      </c>
      <c r="BA348" s="80">
        <f t="shared" si="370"/>
        <v>36.682621359950843</v>
      </c>
      <c r="BB348" s="80">
        <f t="shared" si="346"/>
        <v>508.38422309456274</v>
      </c>
      <c r="BC348" s="80">
        <f t="shared" si="347"/>
        <v>183.34579396445179</v>
      </c>
      <c r="BD348" s="80">
        <f t="shared" si="348"/>
        <v>142.34323380417425</v>
      </c>
      <c r="BE348" s="80">
        <f t="shared" si="349"/>
        <v>103.53622213696194</v>
      </c>
      <c r="BF348" s="80">
        <f t="shared" si="350"/>
        <v>845.8531406765087</v>
      </c>
      <c r="BG348" s="80">
        <f t="shared" si="351"/>
        <v>458.14528983286698</v>
      </c>
      <c r="BH348" s="49">
        <f t="shared" si="352"/>
        <v>0</v>
      </c>
      <c r="BI348" s="79">
        <f t="shared" si="353"/>
        <v>-84213.971761671623</v>
      </c>
      <c r="BJ348" s="79">
        <f t="shared" si="321"/>
        <v>111800</v>
      </c>
      <c r="BK348" s="44">
        <f t="shared" si="354"/>
        <v>0.32757068288380653</v>
      </c>
      <c r="BL348" s="79">
        <f t="shared" si="371"/>
        <v>9306.5495404872454</v>
      </c>
      <c r="BM348" s="49">
        <f t="shared" si="355"/>
        <v>121106.54954048725</v>
      </c>
      <c r="BN348" s="44">
        <f t="shared" si="356"/>
        <v>0.43808143716606618</v>
      </c>
      <c r="BO348" s="49">
        <f t="shared" si="322"/>
        <v>11678.891184493388</v>
      </c>
      <c r="BP348" s="49">
        <f t="shared" si="323"/>
        <v>123478.89118449338</v>
      </c>
      <c r="BQ348" s="44">
        <f t="shared" si="324"/>
        <v>0.46625184160584188</v>
      </c>
      <c r="BS348" s="49">
        <f t="shared" si="325"/>
        <v>84213.971761671623</v>
      </c>
      <c r="BT348" s="49">
        <f t="shared" si="372"/>
        <v>84.099997999999999</v>
      </c>
      <c r="BU348" s="49">
        <f t="shared" si="373"/>
        <v>39.790000999999997</v>
      </c>
      <c r="BV348" s="49">
        <f t="shared" si="326"/>
        <v>1600.1912748080031</v>
      </c>
      <c r="BW348" s="18">
        <f t="shared" si="327"/>
        <v>2142</v>
      </c>
      <c r="BX348" s="19">
        <f t="shared" si="357"/>
        <v>0.50871559633027519</v>
      </c>
      <c r="BY348" s="49">
        <f t="shared" si="358"/>
        <v>814.04225860645658</v>
      </c>
      <c r="BZ348" s="19">
        <f t="shared" si="328"/>
        <v>3.430604602658808</v>
      </c>
      <c r="CA348" s="19">
        <f t="shared" si="329"/>
        <v>0.56596945708296642</v>
      </c>
      <c r="CB348" s="19">
        <f t="shared" si="330"/>
        <v>1.0412266474638259</v>
      </c>
      <c r="CC348" s="19">
        <f t="shared" si="331"/>
        <v>1.1975401763145781</v>
      </c>
      <c r="CD348" s="19">
        <f t="shared" si="332"/>
        <v>8.3011611379340664</v>
      </c>
      <c r="CE348" s="19">
        <f t="shared" si="333"/>
        <v>19.921994460895775</v>
      </c>
      <c r="CF348" s="49">
        <f t="shared" si="334"/>
        <v>-288.51384022239654</v>
      </c>
      <c r="CG348" s="49">
        <f t="shared" si="335"/>
        <v>-38.961335161713578</v>
      </c>
      <c r="CH348" s="49">
        <f t="shared" si="336"/>
        <v>-72.2819517844855</v>
      </c>
      <c r="CI348" s="49">
        <f t="shared" si="337"/>
        <v>-100.76102923756844</v>
      </c>
      <c r="CJ348" s="49">
        <f t="shared" si="338"/>
        <v>-306.97693888080175</v>
      </c>
      <c r="CK348" s="49">
        <f t="shared" si="339"/>
        <v>-792.69617952103727</v>
      </c>
    </row>
    <row r="349" spans="2:89" ht="12.75" customHeight="1" x14ac:dyDescent="0.2">
      <c r="B349" s="77">
        <v>41442</v>
      </c>
      <c r="C349" s="49">
        <v>82.360000999999997</v>
      </c>
      <c r="D349" s="49">
        <v>67.510002</v>
      </c>
      <c r="E349" s="49">
        <v>67.540001000000004</v>
      </c>
      <c r="F349" s="49">
        <v>82.169998000000007</v>
      </c>
      <c r="G349" s="49">
        <v>35.790000999999997</v>
      </c>
      <c r="H349" s="49">
        <v>37.849997999999999</v>
      </c>
      <c r="J349" s="78">
        <f>IF(inter=Weekly_2,J348+$C$5,IF(inter=Bi_weekly_2,0,IF(inter=Monthly_2,0,IF(inter=Quarterly_2,0,IF(inter=Yearly_2,0,IF(inter=None_2,0,0))))))</f>
        <v>0</v>
      </c>
      <c r="K349" s="79">
        <f t="shared" si="340"/>
        <v>0</v>
      </c>
      <c r="L349" s="79">
        <f t="shared" si="341"/>
        <v>0</v>
      </c>
      <c r="M349" s="79">
        <f t="shared" si="342"/>
        <v>0</v>
      </c>
      <c r="N349" s="79">
        <f t="shared" si="343"/>
        <v>0</v>
      </c>
      <c r="O349" s="79">
        <f t="shared" si="344"/>
        <v>0</v>
      </c>
      <c r="P349" s="79">
        <f t="shared" si="345"/>
        <v>0</v>
      </c>
      <c r="Q349" s="79"/>
      <c r="R349" s="80">
        <f t="shared" si="303"/>
        <v>0</v>
      </c>
      <c r="S349" s="80">
        <f t="shared" si="304"/>
        <v>0</v>
      </c>
      <c r="T349" s="80">
        <f t="shared" si="305"/>
        <v>0</v>
      </c>
      <c r="U349" s="80">
        <f t="shared" si="306"/>
        <v>0</v>
      </c>
      <c r="V349" s="80">
        <f t="shared" si="307"/>
        <v>0</v>
      </c>
      <c r="W349" s="80">
        <f t="shared" si="308"/>
        <v>0</v>
      </c>
      <c r="X349" s="80">
        <f t="shared" si="359"/>
        <v>465.2794403158012</v>
      </c>
      <c r="Y349" s="80">
        <f t="shared" si="360"/>
        <v>162.40558758893593</v>
      </c>
      <c r="Z349" s="80">
        <f t="shared" si="361"/>
        <v>128.83895502272989</v>
      </c>
      <c r="AA349" s="80">
        <f t="shared" si="362"/>
        <v>93.011648360014846</v>
      </c>
      <c r="AB349" s="80">
        <f t="shared" si="363"/>
        <v>755.81395348837214</v>
      </c>
      <c r="AC349" s="80">
        <f t="shared" si="364"/>
        <v>421.46266847291611</v>
      </c>
      <c r="AD349" s="80"/>
      <c r="AE349" s="80"/>
      <c r="AF349" s="80"/>
      <c r="AG349" s="80"/>
      <c r="AH349" s="80"/>
      <c r="AI349" s="80"/>
      <c r="AJ349" s="45">
        <f t="shared" si="309"/>
        <v>0</v>
      </c>
      <c r="AK349" s="45">
        <f t="shared" si="310"/>
        <v>0</v>
      </c>
      <c r="AL349" s="45">
        <f t="shared" si="311"/>
        <v>0</v>
      </c>
      <c r="AM349" s="45">
        <f t="shared" si="312"/>
        <v>0</v>
      </c>
      <c r="AN349" s="45">
        <f t="shared" si="313"/>
        <v>0</v>
      </c>
      <c r="AO349" s="45">
        <f t="shared" si="314"/>
        <v>0</v>
      </c>
      <c r="AP349" s="80">
        <f t="shared" si="315"/>
        <v>0</v>
      </c>
      <c r="AQ349" s="80">
        <f t="shared" si="316"/>
        <v>0</v>
      </c>
      <c r="AR349" s="80">
        <f t="shared" si="317"/>
        <v>0</v>
      </c>
      <c r="AS349" s="80">
        <f t="shared" si="318"/>
        <v>0</v>
      </c>
      <c r="AT349" s="80">
        <f t="shared" si="319"/>
        <v>0</v>
      </c>
      <c r="AU349" s="80">
        <f t="shared" si="320"/>
        <v>0</v>
      </c>
      <c r="AV349" s="80">
        <f t="shared" si="365"/>
        <v>43.10478277876156</v>
      </c>
      <c r="AW349" s="80">
        <f t="shared" si="366"/>
        <v>20.940206375515857</v>
      </c>
      <c r="AX349" s="80">
        <f t="shared" si="367"/>
        <v>13.504278781444341</v>
      </c>
      <c r="AY349" s="80">
        <f t="shared" si="368"/>
        <v>10.524573776947095</v>
      </c>
      <c r="AZ349" s="80">
        <f t="shared" si="369"/>
        <v>90.039187188136594</v>
      </c>
      <c r="BA349" s="80">
        <f t="shared" si="370"/>
        <v>36.682621359950843</v>
      </c>
      <c r="BB349" s="80">
        <f t="shared" si="346"/>
        <v>508.38422309456274</v>
      </c>
      <c r="BC349" s="80">
        <f t="shared" si="347"/>
        <v>183.34579396445179</v>
      </c>
      <c r="BD349" s="80">
        <f t="shared" si="348"/>
        <v>142.34323380417425</v>
      </c>
      <c r="BE349" s="80">
        <f t="shared" si="349"/>
        <v>103.53622213696194</v>
      </c>
      <c r="BF349" s="80">
        <f t="shared" si="350"/>
        <v>845.8531406765087</v>
      </c>
      <c r="BG349" s="80">
        <f t="shared" si="351"/>
        <v>458.14528983286698</v>
      </c>
      <c r="BH349" s="49">
        <f t="shared" si="352"/>
        <v>0</v>
      </c>
      <c r="BI349" s="79">
        <f t="shared" si="353"/>
        <v>-84213.971761671623</v>
      </c>
      <c r="BJ349" s="79">
        <f t="shared" si="321"/>
        <v>108631.91013335965</v>
      </c>
      <c r="BK349" s="44">
        <f t="shared" si="354"/>
        <v>0.28995115490801937</v>
      </c>
      <c r="BL349" s="79">
        <f t="shared" si="371"/>
        <v>9306.5495404872454</v>
      </c>
      <c r="BM349" s="49">
        <f t="shared" si="355"/>
        <v>117938.4596738469</v>
      </c>
      <c r="BN349" s="44">
        <f t="shared" si="356"/>
        <v>0.40046190919027924</v>
      </c>
      <c r="BO349" s="49">
        <f t="shared" si="322"/>
        <v>11351.60628027219</v>
      </c>
      <c r="BP349" s="49">
        <f t="shared" si="323"/>
        <v>119983.51641363183</v>
      </c>
      <c r="BQ349" s="44">
        <f t="shared" si="324"/>
        <v>0.42474596440112378</v>
      </c>
      <c r="BS349" s="49">
        <f t="shared" si="325"/>
        <v>84213.971761671623</v>
      </c>
      <c r="BT349" s="49">
        <f t="shared" si="372"/>
        <v>82.360000999999997</v>
      </c>
      <c r="BU349" s="49">
        <f t="shared" si="373"/>
        <v>37.849997999999999</v>
      </c>
      <c r="BV349" s="49">
        <f t="shared" si="326"/>
        <v>0</v>
      </c>
      <c r="BW349" s="18">
        <f t="shared" si="327"/>
        <v>2149</v>
      </c>
      <c r="BX349" s="19">
        <f t="shared" si="357"/>
        <v>0.50711009174311927</v>
      </c>
      <c r="BY349" s="49">
        <f t="shared" si="358"/>
        <v>0</v>
      </c>
      <c r="BZ349" s="19">
        <f t="shared" si="328"/>
        <v>0</v>
      </c>
      <c r="CA349" s="19">
        <f t="shared" si="329"/>
        <v>0</v>
      </c>
      <c r="CB349" s="19">
        <f t="shared" si="330"/>
        <v>0</v>
      </c>
      <c r="CC349" s="19">
        <f t="shared" si="331"/>
        <v>0</v>
      </c>
      <c r="CD349" s="19">
        <f t="shared" si="332"/>
        <v>0</v>
      </c>
      <c r="CE349" s="19">
        <f t="shared" si="333"/>
        <v>0</v>
      </c>
      <c r="CF349" s="49">
        <f t="shared" si="334"/>
        <v>0</v>
      </c>
      <c r="CG349" s="49">
        <f t="shared" si="335"/>
        <v>0</v>
      </c>
      <c r="CH349" s="49">
        <f t="shared" si="336"/>
        <v>0</v>
      </c>
      <c r="CI349" s="49">
        <f t="shared" si="337"/>
        <v>0</v>
      </c>
      <c r="CJ349" s="49">
        <f t="shared" si="338"/>
        <v>0</v>
      </c>
      <c r="CK349" s="49">
        <f t="shared" si="339"/>
        <v>0</v>
      </c>
    </row>
    <row r="350" spans="2:89" ht="12.75" customHeight="1" x14ac:dyDescent="0.2">
      <c r="B350" s="77">
        <v>41449</v>
      </c>
      <c r="C350" s="49">
        <v>82.669998000000007</v>
      </c>
      <c r="D350" s="49">
        <v>67.610000999999997</v>
      </c>
      <c r="E350" s="49">
        <v>68.669998000000007</v>
      </c>
      <c r="F350" s="49">
        <v>83.699996999999996</v>
      </c>
      <c r="G350" s="49">
        <v>35.599997999999999</v>
      </c>
      <c r="H350" s="49">
        <v>38.790000999999997</v>
      </c>
      <c r="J350" s="78">
        <f>IF(inter=Weekly_2,J349+$C$5,IF(inter=Bi_weekly_2,J348+$C$5,IF(inter=Monthly_2,J346+$C$5,IF(inter=Quarterly_2,0,IF(inter=Yearly_2,0,IF(inter=None_2,0,0))))))</f>
        <v>112400</v>
      </c>
      <c r="K350" s="79">
        <f t="shared" si="340"/>
        <v>-875.34959965159214</v>
      </c>
      <c r="L350" s="79">
        <f t="shared" si="341"/>
        <v>-259.75806070645558</v>
      </c>
      <c r="M350" s="79">
        <f t="shared" si="342"/>
        <v>-144.62921626704701</v>
      </c>
      <c r="N350" s="79">
        <f t="shared" si="343"/>
        <v>-82.925311301703914</v>
      </c>
      <c r="O350" s="79">
        <f t="shared" si="344"/>
        <v>-1193.0247674418606</v>
      </c>
      <c r="P350" s="79">
        <f t="shared" si="345"/>
        <v>-511.46266847291736</v>
      </c>
      <c r="Q350" s="79"/>
      <c r="R350" s="80">
        <f t="shared" si="303"/>
        <v>10.588479748742611</v>
      </c>
      <c r="S350" s="80">
        <f t="shared" si="304"/>
        <v>3.8420064615360023</v>
      </c>
      <c r="T350" s="80">
        <f t="shared" si="305"/>
        <v>2.106148543459212</v>
      </c>
      <c r="U350" s="80">
        <f t="shared" si="306"/>
        <v>0.99074449550701793</v>
      </c>
      <c r="V350" s="80">
        <f t="shared" si="307"/>
        <v>33.511933552408081</v>
      </c>
      <c r="W350" s="80">
        <f t="shared" si="308"/>
        <v>13.185425503673418</v>
      </c>
      <c r="X350" s="80">
        <f t="shared" si="359"/>
        <v>475.8679200645438</v>
      </c>
      <c r="Y350" s="80">
        <f t="shared" si="360"/>
        <v>166.24759405047195</v>
      </c>
      <c r="Z350" s="80">
        <f t="shared" si="361"/>
        <v>130.94510356618909</v>
      </c>
      <c r="AA350" s="80">
        <f t="shared" si="362"/>
        <v>94.002392855521862</v>
      </c>
      <c r="AB350" s="80">
        <f t="shared" si="363"/>
        <v>789.32588704078023</v>
      </c>
      <c r="AC350" s="80">
        <f t="shared" si="364"/>
        <v>434.64809397658951</v>
      </c>
      <c r="AD350" s="80">
        <v>0.38600000000000001</v>
      </c>
      <c r="AE350" s="80">
        <v>0.39100000000000001</v>
      </c>
      <c r="AF350" s="80"/>
      <c r="AG350" s="80"/>
      <c r="AH350" s="80">
        <v>0.54500000000000004</v>
      </c>
      <c r="AI350" s="80">
        <v>0.50600000000000001</v>
      </c>
      <c r="AJ350" s="45">
        <f t="shared" si="309"/>
        <v>183.6850171449139</v>
      </c>
      <c r="AK350" s="45">
        <f t="shared" si="310"/>
        <v>65.002809273734528</v>
      </c>
      <c r="AL350" s="45">
        <f t="shared" si="311"/>
        <v>0</v>
      </c>
      <c r="AM350" s="45">
        <f t="shared" si="312"/>
        <v>0</v>
      </c>
      <c r="AN350" s="45">
        <f t="shared" si="313"/>
        <v>430.18260843722527</v>
      </c>
      <c r="AO350" s="45">
        <f t="shared" si="314"/>
        <v>219.9319355521543</v>
      </c>
      <c r="AP350" s="80">
        <f t="shared" si="315"/>
        <v>2.2219066358863815</v>
      </c>
      <c r="AQ350" s="80">
        <f t="shared" si="316"/>
        <v>0.9614377800960916</v>
      </c>
      <c r="AR350" s="80">
        <f t="shared" si="317"/>
        <v>0</v>
      </c>
      <c r="AS350" s="80">
        <f t="shared" si="318"/>
        <v>0</v>
      </c>
      <c r="AT350" s="80">
        <f t="shared" si="319"/>
        <v>12.083781814741261</v>
      </c>
      <c r="AU350" s="80">
        <f t="shared" si="320"/>
        <v>5.6698099995448397</v>
      </c>
      <c r="AV350" s="80">
        <f t="shared" si="365"/>
        <v>45.326689414647944</v>
      </c>
      <c r="AW350" s="80">
        <f t="shared" si="366"/>
        <v>21.901644155611947</v>
      </c>
      <c r="AX350" s="80">
        <f t="shared" si="367"/>
        <v>13.504278781444341</v>
      </c>
      <c r="AY350" s="80">
        <f t="shared" si="368"/>
        <v>10.524573776947095</v>
      </c>
      <c r="AZ350" s="80">
        <f t="shared" si="369"/>
        <v>102.12296900287785</v>
      </c>
      <c r="BA350" s="80">
        <f t="shared" si="370"/>
        <v>42.352431359495682</v>
      </c>
      <c r="BB350" s="80">
        <f t="shared" si="346"/>
        <v>521.19460947919174</v>
      </c>
      <c r="BC350" s="80">
        <f t="shared" si="347"/>
        <v>188.14923820608391</v>
      </c>
      <c r="BD350" s="80">
        <f t="shared" si="348"/>
        <v>144.44938234763345</v>
      </c>
      <c r="BE350" s="80">
        <f t="shared" si="349"/>
        <v>104.52696663246896</v>
      </c>
      <c r="BF350" s="80">
        <f t="shared" si="350"/>
        <v>891.44885604365811</v>
      </c>
      <c r="BG350" s="80">
        <f t="shared" si="351"/>
        <v>477.00052533608516</v>
      </c>
      <c r="BH350" s="49">
        <f t="shared" si="352"/>
        <v>898.80237040802797</v>
      </c>
      <c r="BI350" s="79">
        <f t="shared" si="353"/>
        <v>-87281.121385513194</v>
      </c>
      <c r="BJ350" s="79">
        <f t="shared" si="321"/>
        <v>112400</v>
      </c>
      <c r="BK350" s="44">
        <f t="shared" si="354"/>
        <v>0.28779280348082237</v>
      </c>
      <c r="BL350" s="79">
        <f t="shared" si="371"/>
        <v>10205.351910895273</v>
      </c>
      <c r="BM350" s="49">
        <f t="shared" si="355"/>
        <v>122605.35191089528</v>
      </c>
      <c r="BN350" s="44">
        <f t="shared" si="356"/>
        <v>0.40471788130858211</v>
      </c>
      <c r="BO350" s="49">
        <f t="shared" si="322"/>
        <v>12314.601444031892</v>
      </c>
      <c r="BP350" s="49">
        <f t="shared" si="323"/>
        <v>124714.6014440319</v>
      </c>
      <c r="BQ350" s="44">
        <f t="shared" si="324"/>
        <v>0.42888404117974432</v>
      </c>
      <c r="BS350" s="49">
        <f t="shared" si="325"/>
        <v>87281.121385513194</v>
      </c>
      <c r="BT350" s="49">
        <f t="shared" si="372"/>
        <v>82.669998000000007</v>
      </c>
      <c r="BU350" s="49">
        <f t="shared" si="373"/>
        <v>38.790000999999997</v>
      </c>
      <c r="BV350" s="49">
        <f t="shared" si="326"/>
        <v>2168.3472534335488</v>
      </c>
      <c r="BW350" s="18">
        <f t="shared" si="327"/>
        <v>2156</v>
      </c>
      <c r="BX350" s="19">
        <f t="shared" si="357"/>
        <v>0.50550458715596325</v>
      </c>
      <c r="BY350" s="49">
        <f t="shared" si="358"/>
        <v>1096.1094831576929</v>
      </c>
      <c r="BZ350" s="19">
        <f t="shared" si="328"/>
        <v>10.588479748742611</v>
      </c>
      <c r="CA350" s="19">
        <f t="shared" si="329"/>
        <v>3.8420064615360023</v>
      </c>
      <c r="CB350" s="19">
        <f t="shared" si="330"/>
        <v>2.106148543459212</v>
      </c>
      <c r="CC350" s="19">
        <f t="shared" si="331"/>
        <v>0.99074449550701793</v>
      </c>
      <c r="CD350" s="19">
        <f t="shared" si="332"/>
        <v>33.511933552408081</v>
      </c>
      <c r="CE350" s="19">
        <f t="shared" si="333"/>
        <v>13.185425503673418</v>
      </c>
      <c r="CF350" s="49">
        <f t="shared" si="334"/>
        <v>-875.34959965159214</v>
      </c>
      <c r="CG350" s="49">
        <f t="shared" si="335"/>
        <v>-259.75806070645558</v>
      </c>
      <c r="CH350" s="49">
        <f t="shared" si="336"/>
        <v>-144.62921626704701</v>
      </c>
      <c r="CI350" s="49">
        <f t="shared" si="337"/>
        <v>-82.925311301703914</v>
      </c>
      <c r="CJ350" s="49">
        <f t="shared" si="338"/>
        <v>-1193.0247674418606</v>
      </c>
      <c r="CK350" s="49">
        <f t="shared" si="339"/>
        <v>-511.46266847291736</v>
      </c>
    </row>
    <row r="351" spans="2:89" ht="12.75" customHeight="1" x14ac:dyDescent="0.2">
      <c r="B351" s="77">
        <v>41456</v>
      </c>
      <c r="C351" s="49">
        <v>84.279999000000004</v>
      </c>
      <c r="D351" s="49">
        <v>68.660004000000001</v>
      </c>
      <c r="E351" s="49">
        <v>69.709998999999996</v>
      </c>
      <c r="F351" s="49">
        <v>85.68</v>
      </c>
      <c r="G351" s="49">
        <v>35.919998</v>
      </c>
      <c r="H351" s="49">
        <v>37.720001000000003</v>
      </c>
      <c r="J351" s="78">
        <f>IF(inter=Weekly_2,J350+$C$5,IF(inter=Bi_weekly_2,0,IF(inter=Monthly_2,0,IF(inter=Quarterly_2,0,IF(inter=Yearly_2,0,IF(inter=None_2,0,0))))))</f>
        <v>0</v>
      </c>
      <c r="K351" s="79">
        <f t="shared" si="340"/>
        <v>0</v>
      </c>
      <c r="L351" s="79">
        <f t="shared" si="341"/>
        <v>0</v>
      </c>
      <c r="M351" s="79">
        <f t="shared" si="342"/>
        <v>0</v>
      </c>
      <c r="N351" s="79">
        <f t="shared" si="343"/>
        <v>0</v>
      </c>
      <c r="O351" s="79">
        <f t="shared" si="344"/>
        <v>0</v>
      </c>
      <c r="P351" s="79">
        <f t="shared" si="345"/>
        <v>0</v>
      </c>
      <c r="Q351" s="79"/>
      <c r="R351" s="80">
        <f t="shared" si="303"/>
        <v>0</v>
      </c>
      <c r="S351" s="80">
        <f t="shared" si="304"/>
        <v>0</v>
      </c>
      <c r="T351" s="80">
        <f t="shared" si="305"/>
        <v>0</v>
      </c>
      <c r="U351" s="80">
        <f t="shared" si="306"/>
        <v>0</v>
      </c>
      <c r="V351" s="80">
        <f t="shared" si="307"/>
        <v>0</v>
      </c>
      <c r="W351" s="80">
        <f t="shared" si="308"/>
        <v>0</v>
      </c>
      <c r="X351" s="80">
        <f t="shared" si="359"/>
        <v>475.8679200645438</v>
      </c>
      <c r="Y351" s="80">
        <f t="shared" si="360"/>
        <v>166.24759405047195</v>
      </c>
      <c r="Z351" s="80">
        <f t="shared" si="361"/>
        <v>130.94510356618909</v>
      </c>
      <c r="AA351" s="80">
        <f t="shared" si="362"/>
        <v>94.002392855521862</v>
      </c>
      <c r="AB351" s="80">
        <f t="shared" si="363"/>
        <v>789.32588704078023</v>
      </c>
      <c r="AC351" s="80">
        <f t="shared" si="364"/>
        <v>434.64809397658951</v>
      </c>
      <c r="AD351" s="80"/>
      <c r="AE351" s="80"/>
      <c r="AF351" s="80"/>
      <c r="AG351" s="80"/>
      <c r="AH351" s="80"/>
      <c r="AI351" s="80"/>
      <c r="AJ351" s="45">
        <f t="shared" si="309"/>
        <v>0</v>
      </c>
      <c r="AK351" s="45">
        <f t="shared" si="310"/>
        <v>0</v>
      </c>
      <c r="AL351" s="45">
        <f t="shared" si="311"/>
        <v>0</v>
      </c>
      <c r="AM351" s="45">
        <f t="shared" si="312"/>
        <v>0</v>
      </c>
      <c r="AN351" s="45">
        <f t="shared" si="313"/>
        <v>0</v>
      </c>
      <c r="AO351" s="45">
        <f t="shared" si="314"/>
        <v>0</v>
      </c>
      <c r="AP351" s="80">
        <f t="shared" si="315"/>
        <v>0</v>
      </c>
      <c r="AQ351" s="80">
        <f t="shared" si="316"/>
        <v>0</v>
      </c>
      <c r="AR351" s="80">
        <f t="shared" si="317"/>
        <v>0</v>
      </c>
      <c r="AS351" s="80">
        <f t="shared" si="318"/>
        <v>0</v>
      </c>
      <c r="AT351" s="80">
        <f t="shared" si="319"/>
        <v>0</v>
      </c>
      <c r="AU351" s="80">
        <f t="shared" si="320"/>
        <v>0</v>
      </c>
      <c r="AV351" s="80">
        <f t="shared" si="365"/>
        <v>45.326689414647944</v>
      </c>
      <c r="AW351" s="80">
        <f t="shared" si="366"/>
        <v>21.901644155611947</v>
      </c>
      <c r="AX351" s="80">
        <f t="shared" si="367"/>
        <v>13.504278781444341</v>
      </c>
      <c r="AY351" s="80">
        <f t="shared" si="368"/>
        <v>10.524573776947095</v>
      </c>
      <c r="AZ351" s="80">
        <f t="shared" si="369"/>
        <v>102.12296900287785</v>
      </c>
      <c r="BA351" s="80">
        <f t="shared" si="370"/>
        <v>42.352431359495682</v>
      </c>
      <c r="BB351" s="80">
        <f t="shared" si="346"/>
        <v>521.19460947919174</v>
      </c>
      <c r="BC351" s="80">
        <f t="shared" si="347"/>
        <v>188.14923820608391</v>
      </c>
      <c r="BD351" s="80">
        <f t="shared" si="348"/>
        <v>144.44938234763345</v>
      </c>
      <c r="BE351" s="80">
        <f t="shared" si="349"/>
        <v>104.52696663246896</v>
      </c>
      <c r="BF351" s="80">
        <f t="shared" si="350"/>
        <v>891.44885604365811</v>
      </c>
      <c r="BG351" s="80">
        <f t="shared" si="351"/>
        <v>477.00052533608516</v>
      </c>
      <c r="BH351" s="49">
        <f t="shared" si="352"/>
        <v>0</v>
      </c>
      <c r="BI351" s="79">
        <f t="shared" si="353"/>
        <v>-87281.121385513194</v>
      </c>
      <c r="BJ351" s="79">
        <f t="shared" si="321"/>
        <v>113450.52718148076</v>
      </c>
      <c r="BK351" s="44">
        <f t="shared" si="354"/>
        <v>0.29982893643608866</v>
      </c>
      <c r="BL351" s="79">
        <f t="shared" si="371"/>
        <v>10205.351910895273</v>
      </c>
      <c r="BM351" s="49">
        <f t="shared" si="355"/>
        <v>123655.87909237604</v>
      </c>
      <c r="BN351" s="44">
        <f t="shared" si="356"/>
        <v>0.41675401426384839</v>
      </c>
      <c r="BO351" s="49">
        <f t="shared" si="322"/>
        <v>12432.819650999809</v>
      </c>
      <c r="BP351" s="49">
        <f t="shared" si="323"/>
        <v>125883.34683248056</v>
      </c>
      <c r="BQ351" s="44">
        <f t="shared" si="324"/>
        <v>0.44227462748175128</v>
      </c>
      <c r="BS351" s="49">
        <f t="shared" si="325"/>
        <v>87281.121385513194</v>
      </c>
      <c r="BT351" s="49">
        <f t="shared" si="372"/>
        <v>84.279999000000004</v>
      </c>
      <c r="BU351" s="49">
        <f t="shared" si="373"/>
        <v>37.720001000000003</v>
      </c>
      <c r="BV351" s="49">
        <f t="shared" si="326"/>
        <v>0</v>
      </c>
      <c r="BW351" s="18">
        <f t="shared" si="327"/>
        <v>2163</v>
      </c>
      <c r="BX351" s="19">
        <f t="shared" si="357"/>
        <v>0.50389908256880733</v>
      </c>
      <c r="BY351" s="49">
        <f t="shared" si="358"/>
        <v>0</v>
      </c>
      <c r="BZ351" s="19">
        <f t="shared" si="328"/>
        <v>0</v>
      </c>
      <c r="CA351" s="19">
        <f t="shared" si="329"/>
        <v>0</v>
      </c>
      <c r="CB351" s="19">
        <f t="shared" si="330"/>
        <v>0</v>
      </c>
      <c r="CC351" s="19">
        <f t="shared" si="331"/>
        <v>0</v>
      </c>
      <c r="CD351" s="19">
        <f t="shared" si="332"/>
        <v>0</v>
      </c>
      <c r="CE351" s="19">
        <f t="shared" si="333"/>
        <v>0</v>
      </c>
      <c r="CF351" s="49">
        <f t="shared" si="334"/>
        <v>0</v>
      </c>
      <c r="CG351" s="49">
        <f t="shared" si="335"/>
        <v>0</v>
      </c>
      <c r="CH351" s="49">
        <f t="shared" si="336"/>
        <v>0</v>
      </c>
      <c r="CI351" s="49">
        <f t="shared" si="337"/>
        <v>0</v>
      </c>
      <c r="CJ351" s="49">
        <f t="shared" si="338"/>
        <v>0</v>
      </c>
      <c r="CK351" s="49">
        <f t="shared" si="339"/>
        <v>0</v>
      </c>
    </row>
    <row r="352" spans="2:89" ht="12.75" customHeight="1" x14ac:dyDescent="0.2">
      <c r="B352" s="77">
        <v>41463</v>
      </c>
      <c r="C352" s="49">
        <v>86.690002000000007</v>
      </c>
      <c r="D352" s="49">
        <v>70.639999000000003</v>
      </c>
      <c r="E352" s="49">
        <v>71.870002999999997</v>
      </c>
      <c r="F352" s="49">
        <v>88.209998999999996</v>
      </c>
      <c r="G352" s="49">
        <v>37.189999</v>
      </c>
      <c r="H352" s="49">
        <v>39.200001</v>
      </c>
      <c r="J352" s="78">
        <f>IF(inter=Weekly_2,J351+$C$5,IF(inter=Bi_weekly_2,J350+$C$5,IF(inter=Monthly_2,0,IF(inter=Quarterly_2,0,IF(inter=Yearly_2,0,IF(inter=None_2,0,0))))))</f>
        <v>113000</v>
      </c>
      <c r="K352" s="79">
        <f t="shared" si="340"/>
        <v>1702.9909421311459</v>
      </c>
      <c r="L352" s="79">
        <f t="shared" si="341"/>
        <v>443.72987747774459</v>
      </c>
      <c r="M352" s="79">
        <f t="shared" si="342"/>
        <v>371.0249861373195</v>
      </c>
      <c r="N352" s="79">
        <f t="shared" si="343"/>
        <v>381.95097978318972</v>
      </c>
      <c r="O352" s="79">
        <f t="shared" si="344"/>
        <v>1105.0289497207305</v>
      </c>
      <c r="P352" s="79">
        <f t="shared" si="345"/>
        <v>88.205718530403828</v>
      </c>
      <c r="Q352" s="79"/>
      <c r="R352" s="80">
        <f t="shared" si="303"/>
        <v>-19.6446061003799</v>
      </c>
      <c r="S352" s="80">
        <f t="shared" si="304"/>
        <v>-6.2815668708849302</v>
      </c>
      <c r="T352" s="80">
        <f t="shared" si="305"/>
        <v>-5.1624456748293097</v>
      </c>
      <c r="U352" s="80">
        <f t="shared" si="306"/>
        <v>-4.3300190920894321</v>
      </c>
      <c r="V352" s="80">
        <f t="shared" si="307"/>
        <v>-29.713067476036514</v>
      </c>
      <c r="W352" s="80">
        <f t="shared" si="308"/>
        <v>-2.2501458234759695</v>
      </c>
      <c r="X352" s="80">
        <f t="shared" si="359"/>
        <v>456.22331396416388</v>
      </c>
      <c r="Y352" s="80">
        <f t="shared" si="360"/>
        <v>159.966027179587</v>
      </c>
      <c r="Z352" s="80">
        <f t="shared" si="361"/>
        <v>125.78265789135978</v>
      </c>
      <c r="AA352" s="80">
        <f t="shared" si="362"/>
        <v>89.672373763432432</v>
      </c>
      <c r="AB352" s="80">
        <f t="shared" si="363"/>
        <v>759.61281956474375</v>
      </c>
      <c r="AC352" s="80">
        <f t="shared" si="364"/>
        <v>432.39794815311353</v>
      </c>
      <c r="AD352" s="80"/>
      <c r="AE352" s="80"/>
      <c r="AF352" s="80"/>
      <c r="AG352" s="80"/>
      <c r="AH352" s="80"/>
      <c r="AI352" s="80"/>
      <c r="AJ352" s="45">
        <f t="shared" si="309"/>
        <v>0</v>
      </c>
      <c r="AK352" s="45">
        <f t="shared" si="310"/>
        <v>0</v>
      </c>
      <c r="AL352" s="45">
        <f t="shared" si="311"/>
        <v>0</v>
      </c>
      <c r="AM352" s="45">
        <f t="shared" si="312"/>
        <v>0</v>
      </c>
      <c r="AN352" s="45">
        <f t="shared" si="313"/>
        <v>0</v>
      </c>
      <c r="AO352" s="45">
        <f t="shared" si="314"/>
        <v>0</v>
      </c>
      <c r="AP352" s="80">
        <f t="shared" si="315"/>
        <v>0</v>
      </c>
      <c r="AQ352" s="80">
        <f t="shared" si="316"/>
        <v>0</v>
      </c>
      <c r="AR352" s="80">
        <f t="shared" si="317"/>
        <v>0</v>
      </c>
      <c r="AS352" s="80">
        <f t="shared" si="318"/>
        <v>0</v>
      </c>
      <c r="AT352" s="80">
        <f t="shared" si="319"/>
        <v>0</v>
      </c>
      <c r="AU352" s="80">
        <f t="shared" si="320"/>
        <v>0</v>
      </c>
      <c r="AV352" s="80">
        <f t="shared" si="365"/>
        <v>45.326689414647944</v>
      </c>
      <c r="AW352" s="80">
        <f t="shared" si="366"/>
        <v>21.901644155611947</v>
      </c>
      <c r="AX352" s="80">
        <f t="shared" si="367"/>
        <v>13.504278781444341</v>
      </c>
      <c r="AY352" s="80">
        <f t="shared" si="368"/>
        <v>10.524573776947095</v>
      </c>
      <c r="AZ352" s="80">
        <f t="shared" si="369"/>
        <v>102.12296900287785</v>
      </c>
      <c r="BA352" s="80">
        <f t="shared" si="370"/>
        <v>42.352431359495682</v>
      </c>
      <c r="BB352" s="80">
        <f t="shared" si="346"/>
        <v>501.55000337881182</v>
      </c>
      <c r="BC352" s="80">
        <f t="shared" si="347"/>
        <v>181.86767133519896</v>
      </c>
      <c r="BD352" s="80">
        <f t="shared" si="348"/>
        <v>139.28693667280413</v>
      </c>
      <c r="BE352" s="80">
        <f t="shared" si="349"/>
        <v>100.19694754037953</v>
      </c>
      <c r="BF352" s="80">
        <f t="shared" si="350"/>
        <v>861.73578856762163</v>
      </c>
      <c r="BG352" s="80">
        <f t="shared" si="351"/>
        <v>474.75037951260924</v>
      </c>
      <c r="BH352" s="49">
        <f t="shared" si="352"/>
        <v>0</v>
      </c>
      <c r="BI352" s="79">
        <f t="shared" si="353"/>
        <v>-83188.189931732675</v>
      </c>
      <c r="BJ352" s="79">
        <f t="shared" si="321"/>
        <v>113000</v>
      </c>
      <c r="BK352" s="44">
        <f t="shared" si="354"/>
        <v>0.35836589415795683</v>
      </c>
      <c r="BL352" s="79">
        <f t="shared" si="371"/>
        <v>10205.351910895273</v>
      </c>
      <c r="BM352" s="49">
        <f t="shared" si="355"/>
        <v>123205.35191089528</v>
      </c>
      <c r="BN352" s="44">
        <f t="shared" si="356"/>
        <v>0.48104378772999112</v>
      </c>
      <c r="BO352" s="49">
        <f t="shared" si="322"/>
        <v>12833.596582873883</v>
      </c>
      <c r="BP352" s="49">
        <f t="shared" si="323"/>
        <v>125833.5965828739</v>
      </c>
      <c r="BQ352" s="44">
        <f t="shared" si="324"/>
        <v>0.51263775165847014</v>
      </c>
      <c r="BS352" s="49">
        <f t="shared" si="325"/>
        <v>83188.189931732675</v>
      </c>
      <c r="BT352" s="49">
        <f t="shared" si="372"/>
        <v>86.690002000000007</v>
      </c>
      <c r="BU352" s="49">
        <f t="shared" si="373"/>
        <v>39.200001</v>
      </c>
      <c r="BV352" s="49">
        <f t="shared" si="326"/>
        <v>-4092.931453780534</v>
      </c>
      <c r="BW352" s="18">
        <f t="shared" si="327"/>
        <v>2170</v>
      </c>
      <c r="BX352" s="19">
        <f t="shared" si="357"/>
        <v>0.50229357798165142</v>
      </c>
      <c r="BY352" s="49">
        <f t="shared" si="358"/>
        <v>-2055.8531843530664</v>
      </c>
      <c r="BZ352" s="19">
        <f t="shared" si="328"/>
        <v>0</v>
      </c>
      <c r="CA352" s="19">
        <f t="shared" si="329"/>
        <v>0</v>
      </c>
      <c r="CB352" s="19">
        <f t="shared" si="330"/>
        <v>0</v>
      </c>
      <c r="CC352" s="19">
        <f t="shared" si="331"/>
        <v>0</v>
      </c>
      <c r="CD352" s="19">
        <f t="shared" si="332"/>
        <v>0</v>
      </c>
      <c r="CE352" s="19">
        <f t="shared" si="333"/>
        <v>0</v>
      </c>
      <c r="CF352" s="49">
        <f t="shared" si="334"/>
        <v>0</v>
      </c>
      <c r="CG352" s="49">
        <f t="shared" si="335"/>
        <v>0</v>
      </c>
      <c r="CH352" s="49">
        <f t="shared" si="336"/>
        <v>0</v>
      </c>
      <c r="CI352" s="49">
        <f t="shared" si="337"/>
        <v>0</v>
      </c>
      <c r="CJ352" s="49">
        <f t="shared" si="338"/>
        <v>0</v>
      </c>
      <c r="CK352" s="49">
        <f t="shared" si="339"/>
        <v>0</v>
      </c>
    </row>
    <row r="353" spans="2:89" ht="12.75" customHeight="1" x14ac:dyDescent="0.2">
      <c r="B353" s="77">
        <v>41470</v>
      </c>
      <c r="C353" s="49">
        <v>87.529999000000004</v>
      </c>
      <c r="D353" s="49">
        <v>71.529999000000004</v>
      </c>
      <c r="E353" s="49">
        <v>72.529999000000004</v>
      </c>
      <c r="F353" s="49">
        <v>89.389999000000003</v>
      </c>
      <c r="G353" s="49">
        <v>37.68</v>
      </c>
      <c r="H353" s="49">
        <v>39.549999</v>
      </c>
      <c r="J353" s="78">
        <f>IF(inter=Weekly_2,J352+$C$5,IF(inter=Bi_weekly_2,0,IF(inter=Monthly_2,0,IF(inter=Quarterly_2,0,IF(inter=Yearly_2,0,IF(inter=None_2,0,0))))))</f>
        <v>0</v>
      </c>
      <c r="K353" s="79">
        <f t="shared" si="340"/>
        <v>0</v>
      </c>
      <c r="L353" s="79">
        <f t="shared" si="341"/>
        <v>0</v>
      </c>
      <c r="M353" s="79">
        <f t="shared" si="342"/>
        <v>0</v>
      </c>
      <c r="N353" s="79">
        <f t="shared" si="343"/>
        <v>0</v>
      </c>
      <c r="O353" s="79">
        <f t="shared" si="344"/>
        <v>0</v>
      </c>
      <c r="P353" s="79">
        <f t="shared" si="345"/>
        <v>0</v>
      </c>
      <c r="Q353" s="79"/>
      <c r="R353" s="80">
        <f t="shared" si="303"/>
        <v>0</v>
      </c>
      <c r="S353" s="80">
        <f t="shared" si="304"/>
        <v>0</v>
      </c>
      <c r="T353" s="80">
        <f t="shared" si="305"/>
        <v>0</v>
      </c>
      <c r="U353" s="80">
        <f t="shared" si="306"/>
        <v>0</v>
      </c>
      <c r="V353" s="80">
        <f t="shared" si="307"/>
        <v>0</v>
      </c>
      <c r="W353" s="80">
        <f t="shared" si="308"/>
        <v>0</v>
      </c>
      <c r="X353" s="80">
        <f t="shared" si="359"/>
        <v>456.22331396416388</v>
      </c>
      <c r="Y353" s="80">
        <f t="shared" si="360"/>
        <v>159.966027179587</v>
      </c>
      <c r="Z353" s="80">
        <f t="shared" si="361"/>
        <v>125.78265789135978</v>
      </c>
      <c r="AA353" s="80">
        <f t="shared" si="362"/>
        <v>89.672373763432432</v>
      </c>
      <c r="AB353" s="80">
        <f t="shared" si="363"/>
        <v>759.61281956474375</v>
      </c>
      <c r="AC353" s="80">
        <f t="shared" si="364"/>
        <v>432.39794815311353</v>
      </c>
      <c r="AD353" s="80"/>
      <c r="AE353" s="80"/>
      <c r="AF353" s="80"/>
      <c r="AG353" s="80"/>
      <c r="AH353" s="80"/>
      <c r="AI353" s="80"/>
      <c r="AJ353" s="45">
        <f t="shared" si="309"/>
        <v>0</v>
      </c>
      <c r="AK353" s="45">
        <f t="shared" si="310"/>
        <v>0</v>
      </c>
      <c r="AL353" s="45">
        <f t="shared" si="311"/>
        <v>0</v>
      </c>
      <c r="AM353" s="45">
        <f t="shared" si="312"/>
        <v>0</v>
      </c>
      <c r="AN353" s="45">
        <f t="shared" si="313"/>
        <v>0</v>
      </c>
      <c r="AO353" s="45">
        <f t="shared" si="314"/>
        <v>0</v>
      </c>
      <c r="AP353" s="80">
        <f t="shared" si="315"/>
        <v>0</v>
      </c>
      <c r="AQ353" s="80">
        <f t="shared" si="316"/>
        <v>0</v>
      </c>
      <c r="AR353" s="80">
        <f t="shared" si="317"/>
        <v>0</v>
      </c>
      <c r="AS353" s="80">
        <f t="shared" si="318"/>
        <v>0</v>
      </c>
      <c r="AT353" s="80">
        <f t="shared" si="319"/>
        <v>0</v>
      </c>
      <c r="AU353" s="80">
        <f t="shared" si="320"/>
        <v>0</v>
      </c>
      <c r="AV353" s="80">
        <f t="shared" si="365"/>
        <v>45.326689414647944</v>
      </c>
      <c r="AW353" s="80">
        <f t="shared" si="366"/>
        <v>21.901644155611947</v>
      </c>
      <c r="AX353" s="80">
        <f t="shared" si="367"/>
        <v>13.504278781444341</v>
      </c>
      <c r="AY353" s="80">
        <f t="shared" si="368"/>
        <v>10.524573776947095</v>
      </c>
      <c r="AZ353" s="80">
        <f t="shared" si="369"/>
        <v>102.12296900287785</v>
      </c>
      <c r="BA353" s="80">
        <f t="shared" si="370"/>
        <v>42.352431359495682</v>
      </c>
      <c r="BB353" s="80">
        <f t="shared" si="346"/>
        <v>501.55000337881182</v>
      </c>
      <c r="BC353" s="80">
        <f t="shared" si="347"/>
        <v>181.86767133519896</v>
      </c>
      <c r="BD353" s="80">
        <f t="shared" si="348"/>
        <v>139.28693667280413</v>
      </c>
      <c r="BE353" s="80">
        <f t="shared" si="349"/>
        <v>100.19694754037953</v>
      </c>
      <c r="BF353" s="80">
        <f t="shared" si="350"/>
        <v>861.73578856762163</v>
      </c>
      <c r="BG353" s="80">
        <f t="shared" si="351"/>
        <v>474.75037951260924</v>
      </c>
      <c r="BH353" s="49">
        <f t="shared" si="352"/>
        <v>0</v>
      </c>
      <c r="BI353" s="79">
        <f t="shared" si="353"/>
        <v>-83188.189931732675</v>
      </c>
      <c r="BJ353" s="79">
        <f t="shared" si="321"/>
        <v>114237.97488962555</v>
      </c>
      <c r="BK353" s="44">
        <f t="shared" si="354"/>
        <v>0.37324751245788002</v>
      </c>
      <c r="BL353" s="79">
        <f t="shared" si="371"/>
        <v>10205.351910895273</v>
      </c>
      <c r="BM353" s="49">
        <f t="shared" si="355"/>
        <v>124443.32680052082</v>
      </c>
      <c r="BN353" s="44">
        <f t="shared" si="356"/>
        <v>0.49592540602991431</v>
      </c>
      <c r="BO353" s="49">
        <f t="shared" si="322"/>
        <v>12977.358719541389</v>
      </c>
      <c r="BP353" s="49">
        <f t="shared" si="323"/>
        <v>127215.33360916693</v>
      </c>
      <c r="BQ353" s="44">
        <f t="shared" si="324"/>
        <v>0.52924752556299848</v>
      </c>
      <c r="BS353" s="49">
        <f t="shared" si="325"/>
        <v>83188.189931732675</v>
      </c>
      <c r="BT353" s="49">
        <f t="shared" si="372"/>
        <v>87.529999000000004</v>
      </c>
      <c r="BU353" s="49">
        <f t="shared" si="373"/>
        <v>39.549999</v>
      </c>
      <c r="BV353" s="49">
        <f t="shared" si="326"/>
        <v>0</v>
      </c>
      <c r="BW353" s="18">
        <f t="shared" si="327"/>
        <v>2177</v>
      </c>
      <c r="BX353" s="19">
        <f t="shared" si="357"/>
        <v>0.50068807339449539</v>
      </c>
      <c r="BY353" s="49">
        <f t="shared" si="358"/>
        <v>0</v>
      </c>
      <c r="BZ353" s="19">
        <f t="shared" si="328"/>
        <v>0</v>
      </c>
      <c r="CA353" s="19">
        <f t="shared" si="329"/>
        <v>0</v>
      </c>
      <c r="CB353" s="19">
        <f t="shared" si="330"/>
        <v>0</v>
      </c>
      <c r="CC353" s="19">
        <f t="shared" si="331"/>
        <v>0</v>
      </c>
      <c r="CD353" s="19">
        <f t="shared" si="332"/>
        <v>0</v>
      </c>
      <c r="CE353" s="19">
        <f t="shared" si="333"/>
        <v>0</v>
      </c>
      <c r="CF353" s="49">
        <f t="shared" si="334"/>
        <v>0</v>
      </c>
      <c r="CG353" s="49">
        <f t="shared" si="335"/>
        <v>0</v>
      </c>
      <c r="CH353" s="49">
        <f t="shared" si="336"/>
        <v>0</v>
      </c>
      <c r="CI353" s="49">
        <f t="shared" si="337"/>
        <v>0</v>
      </c>
      <c r="CJ353" s="49">
        <f t="shared" si="338"/>
        <v>0</v>
      </c>
      <c r="CK353" s="49">
        <f t="shared" si="339"/>
        <v>0</v>
      </c>
    </row>
    <row r="354" spans="2:89" ht="12.75" customHeight="1" x14ac:dyDescent="0.2">
      <c r="B354" s="77">
        <v>41477</v>
      </c>
      <c r="C354" s="49">
        <v>87.540001000000004</v>
      </c>
      <c r="D354" s="49">
        <v>71.480002999999996</v>
      </c>
      <c r="E354" s="49">
        <v>72.379997000000003</v>
      </c>
      <c r="F354" s="49">
        <v>89.349997999999999</v>
      </c>
      <c r="G354" s="49">
        <v>37.720001000000003</v>
      </c>
      <c r="H354" s="49">
        <v>40.060001</v>
      </c>
      <c r="J354" s="78">
        <f>IF(inter=Weekly_2,J353+$C$5,IF(inter=Bi_weekly_2,J352+$C$5,IF(inter=Monthly_2,J350+$C$5,IF(inter=Quarterly_2,J341+$C$5,IF(inter=Yearly_2,J302+$C$5,IF(inter=None_2,0,0))))))</f>
        <v>113600</v>
      </c>
      <c r="K354" s="79">
        <f t="shared" si="340"/>
        <v>177.78936064622394</v>
      </c>
      <c r="L354" s="79">
        <f t="shared" si="341"/>
        <v>74.372102694960631</v>
      </c>
      <c r="M354" s="79">
        <f t="shared" si="342"/>
        <v>16.148400828647937</v>
      </c>
      <c r="N354" s="79">
        <f t="shared" si="343"/>
        <v>60.226416417939618</v>
      </c>
      <c r="O354" s="79">
        <f t="shared" si="344"/>
        <v>252.59631359495688</v>
      </c>
      <c r="P354" s="79">
        <f t="shared" si="345"/>
        <v>281.86223541167783</v>
      </c>
      <c r="Q354" s="79"/>
      <c r="R354" s="80">
        <f t="shared" si="303"/>
        <v>-2.0309499499117432</v>
      </c>
      <c r="S354" s="80">
        <f t="shared" si="304"/>
        <v>-1.0404602626410164</v>
      </c>
      <c r="T354" s="80">
        <f t="shared" si="305"/>
        <v>-0.22310585103572103</v>
      </c>
      <c r="U354" s="80">
        <f t="shared" si="306"/>
        <v>-0.67405056257460261</v>
      </c>
      <c r="V354" s="80">
        <f t="shared" si="307"/>
        <v>-6.6966147109846803</v>
      </c>
      <c r="W354" s="80">
        <f t="shared" si="308"/>
        <v>-7.036001706831656</v>
      </c>
      <c r="X354" s="80">
        <f t="shared" si="359"/>
        <v>454.19236401425212</v>
      </c>
      <c r="Y354" s="80">
        <f t="shared" si="360"/>
        <v>158.925566916946</v>
      </c>
      <c r="Z354" s="80">
        <f t="shared" si="361"/>
        <v>125.55955204032405</v>
      </c>
      <c r="AA354" s="80">
        <f t="shared" si="362"/>
        <v>88.998323200857826</v>
      </c>
      <c r="AB354" s="80">
        <f t="shared" si="363"/>
        <v>752.91620485375904</v>
      </c>
      <c r="AC354" s="80">
        <f t="shared" si="364"/>
        <v>425.36194644628188</v>
      </c>
      <c r="AD354" s="80"/>
      <c r="AE354" s="80"/>
      <c r="AF354" s="80"/>
      <c r="AG354" s="80"/>
      <c r="AH354" s="80"/>
      <c r="AI354" s="80"/>
      <c r="AJ354" s="45">
        <f t="shared" si="309"/>
        <v>0</v>
      </c>
      <c r="AK354" s="45">
        <f t="shared" si="310"/>
        <v>0</v>
      </c>
      <c r="AL354" s="45">
        <f t="shared" si="311"/>
        <v>0</v>
      </c>
      <c r="AM354" s="45">
        <f t="shared" si="312"/>
        <v>0</v>
      </c>
      <c r="AN354" s="45">
        <f t="shared" si="313"/>
        <v>0</v>
      </c>
      <c r="AO354" s="45">
        <f t="shared" si="314"/>
        <v>0</v>
      </c>
      <c r="AP354" s="80">
        <f t="shared" si="315"/>
        <v>0</v>
      </c>
      <c r="AQ354" s="80">
        <f t="shared" si="316"/>
        <v>0</v>
      </c>
      <c r="AR354" s="80">
        <f t="shared" si="317"/>
        <v>0</v>
      </c>
      <c r="AS354" s="80">
        <f t="shared" si="318"/>
        <v>0</v>
      </c>
      <c r="AT354" s="80">
        <f t="shared" si="319"/>
        <v>0</v>
      </c>
      <c r="AU354" s="80">
        <f t="shared" si="320"/>
        <v>0</v>
      </c>
      <c r="AV354" s="80">
        <f t="shared" si="365"/>
        <v>45.326689414647944</v>
      </c>
      <c r="AW354" s="80">
        <f t="shared" si="366"/>
        <v>21.901644155611947</v>
      </c>
      <c r="AX354" s="80">
        <f t="shared" si="367"/>
        <v>13.504278781444341</v>
      </c>
      <c r="AY354" s="80">
        <f t="shared" si="368"/>
        <v>10.524573776947095</v>
      </c>
      <c r="AZ354" s="80">
        <f t="shared" si="369"/>
        <v>102.12296900287785</v>
      </c>
      <c r="BA354" s="80">
        <f t="shared" si="370"/>
        <v>42.352431359495682</v>
      </c>
      <c r="BB354" s="80">
        <f t="shared" si="346"/>
        <v>499.51905342890007</v>
      </c>
      <c r="BC354" s="80">
        <f t="shared" si="347"/>
        <v>180.82721107255793</v>
      </c>
      <c r="BD354" s="80">
        <f t="shared" si="348"/>
        <v>139.06383082176839</v>
      </c>
      <c r="BE354" s="80">
        <f t="shared" si="349"/>
        <v>99.522896977804919</v>
      </c>
      <c r="BF354" s="80">
        <f t="shared" si="350"/>
        <v>855.03917385663692</v>
      </c>
      <c r="BG354" s="80">
        <f t="shared" si="351"/>
        <v>467.71437780577753</v>
      </c>
      <c r="BH354" s="49">
        <f t="shared" si="352"/>
        <v>0</v>
      </c>
      <c r="BI354" s="79">
        <f t="shared" si="353"/>
        <v>-82325.195102138256</v>
      </c>
      <c r="BJ354" s="79">
        <f t="shared" si="321"/>
        <v>113600</v>
      </c>
      <c r="BK354" s="44">
        <f t="shared" si="354"/>
        <v>0.37989348047168403</v>
      </c>
      <c r="BL354" s="79">
        <f t="shared" si="371"/>
        <v>10205.351910895273</v>
      </c>
      <c r="BM354" s="49">
        <f t="shared" si="355"/>
        <v>123805.35191089528</v>
      </c>
      <c r="BN354" s="44">
        <f t="shared" si="356"/>
        <v>0.50385737631467387</v>
      </c>
      <c r="BO354" s="49">
        <f t="shared" si="322"/>
        <v>12999.955265767576</v>
      </c>
      <c r="BP354" s="49">
        <f t="shared" si="323"/>
        <v>126599.95526576758</v>
      </c>
      <c r="BQ354" s="44">
        <f t="shared" si="324"/>
        <v>0.53780328256372845</v>
      </c>
      <c r="BS354" s="49">
        <f t="shared" si="325"/>
        <v>82325.195102138256</v>
      </c>
      <c r="BT354" s="49">
        <f t="shared" si="372"/>
        <v>87.540001000000004</v>
      </c>
      <c r="BU354" s="49">
        <f t="shared" si="373"/>
        <v>40.060001</v>
      </c>
      <c r="BV354" s="49">
        <f t="shared" si="326"/>
        <v>-862.99482959440684</v>
      </c>
      <c r="BW354" s="18">
        <f t="shared" si="327"/>
        <v>2184</v>
      </c>
      <c r="BX354" s="19">
        <f t="shared" si="357"/>
        <v>0.49908256880733948</v>
      </c>
      <c r="BY354" s="49">
        <f t="shared" si="358"/>
        <v>-430.70567642142873</v>
      </c>
      <c r="BZ354" s="19">
        <f t="shared" si="328"/>
        <v>0</v>
      </c>
      <c r="CA354" s="19">
        <f t="shared" si="329"/>
        <v>0</v>
      </c>
      <c r="CB354" s="19">
        <f t="shared" si="330"/>
        <v>0</v>
      </c>
      <c r="CC354" s="19">
        <f t="shared" si="331"/>
        <v>0</v>
      </c>
      <c r="CD354" s="19">
        <f t="shared" si="332"/>
        <v>0</v>
      </c>
      <c r="CE354" s="19">
        <f t="shared" si="333"/>
        <v>0</v>
      </c>
      <c r="CF354" s="49">
        <f t="shared" si="334"/>
        <v>0</v>
      </c>
      <c r="CG354" s="49">
        <f t="shared" si="335"/>
        <v>0</v>
      </c>
      <c r="CH354" s="49">
        <f t="shared" si="336"/>
        <v>0</v>
      </c>
      <c r="CI354" s="49">
        <f t="shared" si="337"/>
        <v>0</v>
      </c>
      <c r="CJ354" s="49">
        <f t="shared" si="338"/>
        <v>0</v>
      </c>
      <c r="CK354" s="49">
        <f t="shared" si="339"/>
        <v>0</v>
      </c>
    </row>
    <row r="355" spans="2:89" ht="12.75" customHeight="1" x14ac:dyDescent="0.2">
      <c r="B355" s="77">
        <v>41484</v>
      </c>
      <c r="C355" s="49">
        <v>88.57</v>
      </c>
      <c r="D355" s="49">
        <v>72.129997000000003</v>
      </c>
      <c r="E355" s="49">
        <v>73.809997999999993</v>
      </c>
      <c r="F355" s="49">
        <v>90.589995999999999</v>
      </c>
      <c r="G355" s="49">
        <v>38.270000000000003</v>
      </c>
      <c r="H355" s="49">
        <v>39.799999</v>
      </c>
      <c r="J355" s="78">
        <f>IF(inter=Weekly_2,J354+$C$5,IF(inter=Bi_weekly_2,0,IF(inter=Monthly_2,0,IF(inter=Quarterly_2,0,IF(inter=Yearly_2,0,IF(inter=None_2,0,0))))))</f>
        <v>0</v>
      </c>
      <c r="K355" s="79">
        <f t="shared" si="340"/>
        <v>0</v>
      </c>
      <c r="L355" s="79">
        <f t="shared" si="341"/>
        <v>0</v>
      </c>
      <c r="M355" s="79">
        <f t="shared" si="342"/>
        <v>0</v>
      </c>
      <c r="N355" s="79">
        <f t="shared" si="343"/>
        <v>0</v>
      </c>
      <c r="O355" s="79">
        <f t="shared" si="344"/>
        <v>0</v>
      </c>
      <c r="P355" s="79">
        <f t="shared" si="345"/>
        <v>0</v>
      </c>
      <c r="Q355" s="79"/>
      <c r="R355" s="80">
        <f t="shared" si="303"/>
        <v>0</v>
      </c>
      <c r="S355" s="80">
        <f t="shared" si="304"/>
        <v>0</v>
      </c>
      <c r="T355" s="80">
        <f t="shared" si="305"/>
        <v>0</v>
      </c>
      <c r="U355" s="80">
        <f t="shared" si="306"/>
        <v>0</v>
      </c>
      <c r="V355" s="80">
        <f t="shared" si="307"/>
        <v>0</v>
      </c>
      <c r="W355" s="80">
        <f t="shared" si="308"/>
        <v>0</v>
      </c>
      <c r="X355" s="80">
        <f t="shared" si="359"/>
        <v>454.19236401425212</v>
      </c>
      <c r="Y355" s="80">
        <f t="shared" si="360"/>
        <v>158.925566916946</v>
      </c>
      <c r="Z355" s="80">
        <f t="shared" si="361"/>
        <v>125.55955204032405</v>
      </c>
      <c r="AA355" s="80">
        <f t="shared" si="362"/>
        <v>88.998323200857826</v>
      </c>
      <c r="AB355" s="80">
        <f t="shared" si="363"/>
        <v>752.91620485375904</v>
      </c>
      <c r="AC355" s="80">
        <f t="shared" si="364"/>
        <v>425.36194644628188</v>
      </c>
      <c r="AD355" s="80"/>
      <c r="AE355" s="80"/>
      <c r="AF355" s="80"/>
      <c r="AG355" s="80"/>
      <c r="AH355" s="80"/>
      <c r="AI355" s="80"/>
      <c r="AJ355" s="45">
        <f t="shared" si="309"/>
        <v>0</v>
      </c>
      <c r="AK355" s="45">
        <f t="shared" si="310"/>
        <v>0</v>
      </c>
      <c r="AL355" s="45">
        <f t="shared" si="311"/>
        <v>0</v>
      </c>
      <c r="AM355" s="45">
        <f t="shared" si="312"/>
        <v>0</v>
      </c>
      <c r="AN355" s="45">
        <f t="shared" si="313"/>
        <v>0</v>
      </c>
      <c r="AO355" s="45">
        <f t="shared" si="314"/>
        <v>0</v>
      </c>
      <c r="AP355" s="80">
        <f t="shared" si="315"/>
        <v>0</v>
      </c>
      <c r="AQ355" s="80">
        <f t="shared" si="316"/>
        <v>0</v>
      </c>
      <c r="AR355" s="80">
        <f t="shared" si="317"/>
        <v>0</v>
      </c>
      <c r="AS355" s="80">
        <f t="shared" si="318"/>
        <v>0</v>
      </c>
      <c r="AT355" s="80">
        <f t="shared" si="319"/>
        <v>0</v>
      </c>
      <c r="AU355" s="80">
        <f t="shared" si="320"/>
        <v>0</v>
      </c>
      <c r="AV355" s="80">
        <f t="shared" si="365"/>
        <v>45.326689414647944</v>
      </c>
      <c r="AW355" s="80">
        <f t="shared" si="366"/>
        <v>21.901644155611947</v>
      </c>
      <c r="AX355" s="80">
        <f t="shared" si="367"/>
        <v>13.504278781444341</v>
      </c>
      <c r="AY355" s="80">
        <f t="shared" si="368"/>
        <v>10.524573776947095</v>
      </c>
      <c r="AZ355" s="80">
        <f t="shared" si="369"/>
        <v>102.12296900287785</v>
      </c>
      <c r="BA355" s="80">
        <f t="shared" si="370"/>
        <v>42.352431359495682</v>
      </c>
      <c r="BB355" s="80">
        <f t="shared" si="346"/>
        <v>499.51905342890007</v>
      </c>
      <c r="BC355" s="80">
        <f t="shared" si="347"/>
        <v>180.82721107255793</v>
      </c>
      <c r="BD355" s="80">
        <f t="shared" si="348"/>
        <v>139.06383082176839</v>
      </c>
      <c r="BE355" s="80">
        <f t="shared" si="349"/>
        <v>99.522896977804919</v>
      </c>
      <c r="BF355" s="80">
        <f t="shared" si="350"/>
        <v>855.03917385663692</v>
      </c>
      <c r="BG355" s="80">
        <f t="shared" si="351"/>
        <v>467.71437780577753</v>
      </c>
      <c r="BH355" s="49">
        <f t="shared" si="352"/>
        <v>0</v>
      </c>
      <c r="BI355" s="79">
        <f t="shared" si="353"/>
        <v>-82325.195102138256</v>
      </c>
      <c r="BJ355" s="79">
        <f t="shared" si="321"/>
        <v>114764.53457638799</v>
      </c>
      <c r="BK355" s="44">
        <f t="shared" si="354"/>
        <v>0.39403902333912821</v>
      </c>
      <c r="BL355" s="79">
        <f t="shared" si="371"/>
        <v>10205.351910895273</v>
      </c>
      <c r="BM355" s="49">
        <f t="shared" si="355"/>
        <v>124969.88648728326</v>
      </c>
      <c r="BN355" s="44">
        <f t="shared" si="356"/>
        <v>0.51800291918211783</v>
      </c>
      <c r="BO355" s="49">
        <f t="shared" si="322"/>
        <v>13138.395044395551</v>
      </c>
      <c r="BP355" s="49">
        <f t="shared" si="323"/>
        <v>127902.92962078353</v>
      </c>
      <c r="BQ355" s="44">
        <f t="shared" si="324"/>
        <v>0.55363044645200565</v>
      </c>
      <c r="BS355" s="49">
        <f t="shared" si="325"/>
        <v>82325.195102138256</v>
      </c>
      <c r="BT355" s="49">
        <f t="shared" si="372"/>
        <v>88.57</v>
      </c>
      <c r="BU355" s="49">
        <f t="shared" si="373"/>
        <v>39.799999</v>
      </c>
      <c r="BV355" s="49">
        <f t="shared" si="326"/>
        <v>0</v>
      </c>
      <c r="BW355" s="18">
        <f t="shared" si="327"/>
        <v>2191</v>
      </c>
      <c r="BX355" s="19">
        <f t="shared" si="357"/>
        <v>0.49747706422018351</v>
      </c>
      <c r="BY355" s="49">
        <f t="shared" si="358"/>
        <v>0</v>
      </c>
      <c r="BZ355" s="19">
        <f t="shared" si="328"/>
        <v>0</v>
      </c>
      <c r="CA355" s="19">
        <f t="shared" si="329"/>
        <v>0</v>
      </c>
      <c r="CB355" s="19">
        <f t="shared" si="330"/>
        <v>0</v>
      </c>
      <c r="CC355" s="19">
        <f t="shared" si="331"/>
        <v>0</v>
      </c>
      <c r="CD355" s="19">
        <f t="shared" si="332"/>
        <v>0</v>
      </c>
      <c r="CE355" s="19">
        <f t="shared" si="333"/>
        <v>0</v>
      </c>
      <c r="CF355" s="49">
        <f t="shared" si="334"/>
        <v>0</v>
      </c>
      <c r="CG355" s="49">
        <f t="shared" si="335"/>
        <v>0</v>
      </c>
      <c r="CH355" s="49">
        <f t="shared" si="336"/>
        <v>0</v>
      </c>
      <c r="CI355" s="49">
        <f t="shared" si="337"/>
        <v>0</v>
      </c>
      <c r="CJ355" s="49">
        <f t="shared" si="338"/>
        <v>0</v>
      </c>
      <c r="CK355" s="49">
        <f t="shared" si="339"/>
        <v>0</v>
      </c>
    </row>
    <row r="356" spans="2:89" ht="12.75" customHeight="1" x14ac:dyDescent="0.2">
      <c r="B356" s="77">
        <v>41491</v>
      </c>
      <c r="C356" s="49">
        <v>87.790001000000004</v>
      </c>
      <c r="D356" s="49">
        <v>71.449996999999996</v>
      </c>
      <c r="E356" s="49">
        <v>73.300003000000004</v>
      </c>
      <c r="F356" s="49">
        <v>89.580001999999993</v>
      </c>
      <c r="G356" s="49">
        <v>38.290000999999997</v>
      </c>
      <c r="H356" s="49">
        <v>39.580002</v>
      </c>
      <c r="J356" s="78">
        <f>IF(inter=Weekly_2,J355+$C$5,IF(inter=Bi_weekly_2,J354+$C$5,IF(inter=Monthly_2,0,IF(inter=Quarterly_2,0,IF(inter=Yearly_2,0,IF(inter=None_2,0,0))))))</f>
        <v>114200</v>
      </c>
      <c r="K356" s="79">
        <f t="shared" si="340"/>
        <v>-96.451908996437851</v>
      </c>
      <c r="L356" s="79">
        <f t="shared" si="341"/>
        <v>-64.76872056090906</v>
      </c>
      <c r="M356" s="79">
        <f t="shared" si="342"/>
        <v>67.515541234410193</v>
      </c>
      <c r="N356" s="79">
        <f t="shared" si="343"/>
        <v>-21.530029670510885</v>
      </c>
      <c r="O356" s="79">
        <f t="shared" si="344"/>
        <v>279.16223676663503</v>
      </c>
      <c r="P356" s="79">
        <f t="shared" si="345"/>
        <v>-294.17330893226972</v>
      </c>
      <c r="Q356" s="79"/>
      <c r="R356" s="80">
        <f t="shared" si="303"/>
        <v>1.0986662250572004</v>
      </c>
      <c r="S356" s="80">
        <f t="shared" si="304"/>
        <v>0.90649017887165295</v>
      </c>
      <c r="T356" s="80">
        <f t="shared" si="305"/>
        <v>-0.92108510874699678</v>
      </c>
      <c r="U356" s="80">
        <f t="shared" si="306"/>
        <v>0.24034415259904646</v>
      </c>
      <c r="V356" s="80">
        <f t="shared" si="307"/>
        <v>-7.2907346428806585</v>
      </c>
      <c r="W356" s="80">
        <f t="shared" si="308"/>
        <v>7.432372260422567</v>
      </c>
      <c r="X356" s="80">
        <f t="shared" si="359"/>
        <v>455.29103023930929</v>
      </c>
      <c r="Y356" s="80">
        <f t="shared" si="360"/>
        <v>159.83205709581765</v>
      </c>
      <c r="Z356" s="80">
        <f t="shared" si="361"/>
        <v>124.63846693157706</v>
      </c>
      <c r="AA356" s="80">
        <f t="shared" si="362"/>
        <v>89.238667353456876</v>
      </c>
      <c r="AB356" s="80">
        <f t="shared" si="363"/>
        <v>745.62547021087835</v>
      </c>
      <c r="AC356" s="80">
        <f t="shared" si="364"/>
        <v>432.79431870670442</v>
      </c>
      <c r="AD356" s="80"/>
      <c r="AE356" s="80"/>
      <c r="AF356" s="80"/>
      <c r="AG356" s="80"/>
      <c r="AH356" s="80"/>
      <c r="AI356" s="80"/>
      <c r="AJ356" s="45">
        <f t="shared" si="309"/>
        <v>0</v>
      </c>
      <c r="AK356" s="45">
        <f t="shared" si="310"/>
        <v>0</v>
      </c>
      <c r="AL356" s="45">
        <f t="shared" si="311"/>
        <v>0</v>
      </c>
      <c r="AM356" s="45">
        <f t="shared" si="312"/>
        <v>0</v>
      </c>
      <c r="AN356" s="45">
        <f t="shared" si="313"/>
        <v>0</v>
      </c>
      <c r="AO356" s="45">
        <f t="shared" si="314"/>
        <v>0</v>
      </c>
      <c r="AP356" s="80">
        <f t="shared" si="315"/>
        <v>0</v>
      </c>
      <c r="AQ356" s="80">
        <f t="shared" si="316"/>
        <v>0</v>
      </c>
      <c r="AR356" s="80">
        <f t="shared" si="317"/>
        <v>0</v>
      </c>
      <c r="AS356" s="80">
        <f t="shared" si="318"/>
        <v>0</v>
      </c>
      <c r="AT356" s="80">
        <f t="shared" si="319"/>
        <v>0</v>
      </c>
      <c r="AU356" s="80">
        <f t="shared" si="320"/>
        <v>0</v>
      </c>
      <c r="AV356" s="80">
        <f t="shared" si="365"/>
        <v>45.326689414647944</v>
      </c>
      <c r="AW356" s="80">
        <f t="shared" si="366"/>
        <v>21.901644155611947</v>
      </c>
      <c r="AX356" s="80">
        <f t="shared" si="367"/>
        <v>13.504278781444341</v>
      </c>
      <c r="AY356" s="80">
        <f t="shared" si="368"/>
        <v>10.524573776947095</v>
      </c>
      <c r="AZ356" s="80">
        <f t="shared" si="369"/>
        <v>102.12296900287785</v>
      </c>
      <c r="BA356" s="80">
        <f t="shared" si="370"/>
        <v>42.352431359495682</v>
      </c>
      <c r="BB356" s="80">
        <f t="shared" si="346"/>
        <v>500.61771965395724</v>
      </c>
      <c r="BC356" s="80">
        <f t="shared" si="347"/>
        <v>181.73370125142958</v>
      </c>
      <c r="BD356" s="80">
        <f t="shared" si="348"/>
        <v>138.14274571302138</v>
      </c>
      <c r="BE356" s="80">
        <f t="shared" si="349"/>
        <v>99.763241130403969</v>
      </c>
      <c r="BF356" s="80">
        <f t="shared" si="350"/>
        <v>847.74843921375623</v>
      </c>
      <c r="BG356" s="80">
        <f t="shared" si="351"/>
        <v>475.14675006620007</v>
      </c>
      <c r="BH356" s="49">
        <f t="shared" si="352"/>
        <v>0</v>
      </c>
      <c r="BI356" s="79">
        <f t="shared" si="353"/>
        <v>-82455.441292297342</v>
      </c>
      <c r="BJ356" s="79">
        <f t="shared" si="321"/>
        <v>114200</v>
      </c>
      <c r="BK356" s="44">
        <f t="shared" si="354"/>
        <v>0.38499046527652392</v>
      </c>
      <c r="BL356" s="79">
        <f t="shared" si="371"/>
        <v>10205.351910895273</v>
      </c>
      <c r="BM356" s="49">
        <f t="shared" si="355"/>
        <v>124405.35191089528</v>
      </c>
      <c r="BN356" s="44">
        <f t="shared" si="356"/>
        <v>0.50875854838844603</v>
      </c>
      <c r="BO356" s="49">
        <f t="shared" si="322"/>
        <v>13063.355436589811</v>
      </c>
      <c r="BP356" s="49">
        <f t="shared" si="323"/>
        <v>127263.3554365898</v>
      </c>
      <c r="BQ356" s="44">
        <f t="shared" si="324"/>
        <v>0.54341973606632354</v>
      </c>
      <c r="BS356" s="49">
        <f t="shared" si="325"/>
        <v>82455.441292297342</v>
      </c>
      <c r="BT356" s="49">
        <f t="shared" si="372"/>
        <v>87.790001000000004</v>
      </c>
      <c r="BU356" s="49">
        <f t="shared" si="373"/>
        <v>39.580002</v>
      </c>
      <c r="BV356" s="49">
        <f t="shared" si="326"/>
        <v>130.24619015908229</v>
      </c>
      <c r="BW356" s="18">
        <f t="shared" si="327"/>
        <v>2198</v>
      </c>
      <c r="BX356" s="19">
        <f t="shared" si="357"/>
        <v>0.49587155963302754</v>
      </c>
      <c r="BY356" s="49">
        <f t="shared" si="358"/>
        <v>64.585381450444018</v>
      </c>
      <c r="BZ356" s="19">
        <f t="shared" si="328"/>
        <v>1.0986662250572004</v>
      </c>
      <c r="CA356" s="19">
        <f t="shared" si="329"/>
        <v>0.90649017887165295</v>
      </c>
      <c r="CB356" s="19">
        <f t="shared" si="330"/>
        <v>0</v>
      </c>
      <c r="CC356" s="19">
        <f t="shared" si="331"/>
        <v>0.24034415259904646</v>
      </c>
      <c r="CD356" s="19">
        <f t="shared" si="332"/>
        <v>0</v>
      </c>
      <c r="CE356" s="19">
        <f t="shared" si="333"/>
        <v>7.432372260422567</v>
      </c>
      <c r="CF356" s="49">
        <f t="shared" si="334"/>
        <v>-96.451908996437851</v>
      </c>
      <c r="CG356" s="49">
        <f t="shared" si="335"/>
        <v>-64.76872056090906</v>
      </c>
      <c r="CH356" s="49">
        <f t="shared" si="336"/>
        <v>0</v>
      </c>
      <c r="CI356" s="49">
        <f t="shared" si="337"/>
        <v>-21.530029670510885</v>
      </c>
      <c r="CJ356" s="49">
        <f t="shared" si="338"/>
        <v>0</v>
      </c>
      <c r="CK356" s="49">
        <f t="shared" si="339"/>
        <v>-294.17330893226972</v>
      </c>
    </row>
    <row r="357" spans="2:89" ht="12.75" customHeight="1" x14ac:dyDescent="0.2">
      <c r="B357" s="77">
        <v>41498</v>
      </c>
      <c r="C357" s="49">
        <v>85.879997000000003</v>
      </c>
      <c r="D357" s="49">
        <v>69.879997000000003</v>
      </c>
      <c r="E357" s="49">
        <v>71.639999000000003</v>
      </c>
      <c r="F357" s="49">
        <v>87.519997000000004</v>
      </c>
      <c r="G357" s="49">
        <v>38.270000000000003</v>
      </c>
      <c r="H357" s="49">
        <v>39.279998999999997</v>
      </c>
      <c r="J357" s="78">
        <f>IF(inter=Weekly_2,J356+$C$5,IF(inter=Bi_weekly_2,0,IF(inter=Monthly_2,0,IF(inter=Quarterly_2,0,IF(inter=Yearly_2,0,IF(inter=None_2,0,0))))))</f>
        <v>0</v>
      </c>
      <c r="K357" s="79">
        <f t="shared" si="340"/>
        <v>0</v>
      </c>
      <c r="L357" s="79">
        <f t="shared" si="341"/>
        <v>0</v>
      </c>
      <c r="M357" s="79">
        <f t="shared" si="342"/>
        <v>0</v>
      </c>
      <c r="N357" s="79">
        <f t="shared" si="343"/>
        <v>0</v>
      </c>
      <c r="O357" s="79">
        <f t="shared" si="344"/>
        <v>0</v>
      </c>
      <c r="P357" s="79">
        <f t="shared" si="345"/>
        <v>0</v>
      </c>
      <c r="Q357" s="79"/>
      <c r="R357" s="80">
        <f t="shared" si="303"/>
        <v>0</v>
      </c>
      <c r="S357" s="80">
        <f t="shared" si="304"/>
        <v>0</v>
      </c>
      <c r="T357" s="80">
        <f t="shared" si="305"/>
        <v>0</v>
      </c>
      <c r="U357" s="80">
        <f t="shared" si="306"/>
        <v>0</v>
      </c>
      <c r="V357" s="80">
        <f t="shared" si="307"/>
        <v>0</v>
      </c>
      <c r="W357" s="80">
        <f t="shared" si="308"/>
        <v>0</v>
      </c>
      <c r="X357" s="80">
        <f t="shared" si="359"/>
        <v>455.29103023930929</v>
      </c>
      <c r="Y357" s="80">
        <f t="shared" si="360"/>
        <v>159.83205709581765</v>
      </c>
      <c r="Z357" s="80">
        <f t="shared" si="361"/>
        <v>124.63846693157706</v>
      </c>
      <c r="AA357" s="80">
        <f t="shared" si="362"/>
        <v>89.238667353456876</v>
      </c>
      <c r="AB357" s="80">
        <f t="shared" si="363"/>
        <v>745.62547021087835</v>
      </c>
      <c r="AC357" s="80">
        <f t="shared" si="364"/>
        <v>432.79431870670442</v>
      </c>
      <c r="AD357" s="80"/>
      <c r="AE357" s="80"/>
      <c r="AF357" s="80"/>
      <c r="AG357" s="80"/>
      <c r="AH357" s="80"/>
      <c r="AI357" s="80"/>
      <c r="AJ357" s="45">
        <f t="shared" si="309"/>
        <v>0</v>
      </c>
      <c r="AK357" s="45">
        <f t="shared" si="310"/>
        <v>0</v>
      </c>
      <c r="AL357" s="45">
        <f t="shared" si="311"/>
        <v>0</v>
      </c>
      <c r="AM357" s="45">
        <f t="shared" si="312"/>
        <v>0</v>
      </c>
      <c r="AN357" s="45">
        <f t="shared" si="313"/>
        <v>0</v>
      </c>
      <c r="AO357" s="45">
        <f t="shared" si="314"/>
        <v>0</v>
      </c>
      <c r="AP357" s="80">
        <f t="shared" si="315"/>
        <v>0</v>
      </c>
      <c r="AQ357" s="80">
        <f t="shared" si="316"/>
        <v>0</v>
      </c>
      <c r="AR357" s="80">
        <f t="shared" si="317"/>
        <v>0</v>
      </c>
      <c r="AS357" s="80">
        <f t="shared" si="318"/>
        <v>0</v>
      </c>
      <c r="AT357" s="80">
        <f t="shared" si="319"/>
        <v>0</v>
      </c>
      <c r="AU357" s="80">
        <f t="shared" si="320"/>
        <v>0</v>
      </c>
      <c r="AV357" s="80">
        <f t="shared" si="365"/>
        <v>45.326689414647944</v>
      </c>
      <c r="AW357" s="80">
        <f t="shared" si="366"/>
        <v>21.901644155611947</v>
      </c>
      <c r="AX357" s="80">
        <f t="shared" si="367"/>
        <v>13.504278781444341</v>
      </c>
      <c r="AY357" s="80">
        <f t="shared" si="368"/>
        <v>10.524573776947095</v>
      </c>
      <c r="AZ357" s="80">
        <f t="shared" si="369"/>
        <v>102.12296900287785</v>
      </c>
      <c r="BA357" s="80">
        <f t="shared" si="370"/>
        <v>42.352431359495682</v>
      </c>
      <c r="BB357" s="80">
        <f t="shared" si="346"/>
        <v>500.61771965395724</v>
      </c>
      <c r="BC357" s="80">
        <f t="shared" si="347"/>
        <v>181.73370125142958</v>
      </c>
      <c r="BD357" s="80">
        <f t="shared" si="348"/>
        <v>138.14274571302138</v>
      </c>
      <c r="BE357" s="80">
        <f t="shared" si="349"/>
        <v>99.763241130403969</v>
      </c>
      <c r="BF357" s="80">
        <f t="shared" si="350"/>
        <v>847.74843921375623</v>
      </c>
      <c r="BG357" s="80">
        <f t="shared" si="351"/>
        <v>475.14675006620007</v>
      </c>
      <c r="BH357" s="49">
        <f t="shared" si="352"/>
        <v>0</v>
      </c>
      <c r="BI357" s="79">
        <f t="shared" si="353"/>
        <v>-82455.441292297342</v>
      </c>
      <c r="BJ357" s="79">
        <f t="shared" si="321"/>
        <v>112543.97067781197</v>
      </c>
      <c r="BK357" s="44">
        <f t="shared" si="354"/>
        <v>0.36490653514124571</v>
      </c>
      <c r="BL357" s="79">
        <f t="shared" si="371"/>
        <v>10205.351910895273</v>
      </c>
      <c r="BM357" s="49">
        <f t="shared" si="355"/>
        <v>122749.32258870725</v>
      </c>
      <c r="BN357" s="44">
        <f t="shared" si="356"/>
        <v>0.48867461825316805</v>
      </c>
      <c r="BO357" s="49">
        <f t="shared" si="322"/>
        <v>12883.549447810903</v>
      </c>
      <c r="BP357" s="49">
        <f t="shared" si="323"/>
        <v>125427.52012562286</v>
      </c>
      <c r="BQ357" s="44">
        <f t="shared" si="324"/>
        <v>0.52115516162230269</v>
      </c>
      <c r="BS357" s="49">
        <f t="shared" si="325"/>
        <v>82455.441292297342</v>
      </c>
      <c r="BT357" s="49">
        <f t="shared" si="372"/>
        <v>85.879997000000003</v>
      </c>
      <c r="BU357" s="49">
        <f t="shared" si="373"/>
        <v>39.279998999999997</v>
      </c>
      <c r="BV357" s="49">
        <f t="shared" si="326"/>
        <v>0</v>
      </c>
      <c r="BW357" s="18">
        <f t="shared" si="327"/>
        <v>2205</v>
      </c>
      <c r="BX357" s="19">
        <f t="shared" si="357"/>
        <v>0.49426605504587157</v>
      </c>
      <c r="BY357" s="49">
        <f t="shared" si="358"/>
        <v>0</v>
      </c>
      <c r="BZ357" s="19">
        <f t="shared" si="328"/>
        <v>0</v>
      </c>
      <c r="CA357" s="19">
        <f t="shared" si="329"/>
        <v>0</v>
      </c>
      <c r="CB357" s="19">
        <f t="shared" si="330"/>
        <v>0</v>
      </c>
      <c r="CC357" s="19">
        <f t="shared" si="331"/>
        <v>0</v>
      </c>
      <c r="CD357" s="19">
        <f t="shared" si="332"/>
        <v>0</v>
      </c>
      <c r="CE357" s="19">
        <f t="shared" si="333"/>
        <v>0</v>
      </c>
      <c r="CF357" s="49">
        <f t="shared" si="334"/>
        <v>0</v>
      </c>
      <c r="CG357" s="49">
        <f t="shared" si="335"/>
        <v>0</v>
      </c>
      <c r="CH357" s="49">
        <f t="shared" si="336"/>
        <v>0</v>
      </c>
      <c r="CI357" s="49">
        <f t="shared" si="337"/>
        <v>0</v>
      </c>
      <c r="CJ357" s="49">
        <f t="shared" si="338"/>
        <v>0</v>
      </c>
      <c r="CK357" s="49">
        <f t="shared" si="339"/>
        <v>0</v>
      </c>
    </row>
    <row r="358" spans="2:89" ht="12.75" customHeight="1" x14ac:dyDescent="0.2">
      <c r="B358" s="77">
        <v>41505</v>
      </c>
      <c r="C358" s="49">
        <v>86.480002999999996</v>
      </c>
      <c r="D358" s="49">
        <v>70.099997999999999</v>
      </c>
      <c r="E358" s="49">
        <v>72.089995999999999</v>
      </c>
      <c r="F358" s="49">
        <v>88.269997000000004</v>
      </c>
      <c r="G358" s="49">
        <v>38.209999000000003</v>
      </c>
      <c r="H358" s="49">
        <v>38.669998</v>
      </c>
      <c r="J358" s="78">
        <f>IF(inter=Weekly_2,J357+$C$5,IF(inter=Bi_weekly_2,J356+$C$5,IF(inter=Monthly_2,J354+$C$5,IF(inter=Quarterly_2,0,IF(inter=Yearly_2,0,IF(inter=None_2,0,0))))))</f>
        <v>114800</v>
      </c>
      <c r="K358" s="79">
        <f t="shared" si="340"/>
        <v>-806.43033903144533</v>
      </c>
      <c r="L358" s="79">
        <f t="shared" si="341"/>
        <v>-275.77311724729771</v>
      </c>
      <c r="M358" s="79">
        <f t="shared" si="342"/>
        <v>-198.81341745647842</v>
      </c>
      <c r="N358" s="79">
        <f t="shared" si="343"/>
        <v>-158.90310042636429</v>
      </c>
      <c r="O358" s="79">
        <f t="shared" si="344"/>
        <v>-209.65152886780561</v>
      </c>
      <c r="P358" s="79">
        <f t="shared" si="345"/>
        <v>-483.84456120037794</v>
      </c>
      <c r="Q358" s="79"/>
      <c r="R358" s="80">
        <f t="shared" si="303"/>
        <v>9.3250498503271952</v>
      </c>
      <c r="S358" s="80">
        <f t="shared" si="304"/>
        <v>3.9339960786774588</v>
      </c>
      <c r="T358" s="80">
        <f t="shared" si="305"/>
        <v>2.75785030500596</v>
      </c>
      <c r="U358" s="80">
        <f t="shared" si="306"/>
        <v>1.8001937898147236</v>
      </c>
      <c r="V358" s="80">
        <f t="shared" si="307"/>
        <v>5.4868237203514605</v>
      </c>
      <c r="W358" s="80">
        <f t="shared" si="308"/>
        <v>12.5121434244806</v>
      </c>
      <c r="X358" s="80">
        <f t="shared" si="359"/>
        <v>464.61608008963651</v>
      </c>
      <c r="Y358" s="80">
        <f t="shared" si="360"/>
        <v>163.76605317449511</v>
      </c>
      <c r="Z358" s="80">
        <f t="shared" si="361"/>
        <v>127.39631723658302</v>
      </c>
      <c r="AA358" s="80">
        <f t="shared" si="362"/>
        <v>91.038861143271603</v>
      </c>
      <c r="AB358" s="80">
        <f t="shared" si="363"/>
        <v>751.11229393122983</v>
      </c>
      <c r="AC358" s="80">
        <f t="shared" si="364"/>
        <v>445.30646213118501</v>
      </c>
      <c r="AD358" s="80"/>
      <c r="AE358" s="80"/>
      <c r="AF358" s="80"/>
      <c r="AG358" s="80"/>
      <c r="AH358" s="80"/>
      <c r="AI358" s="80"/>
      <c r="AJ358" s="45">
        <f t="shared" si="309"/>
        <v>0</v>
      </c>
      <c r="AK358" s="45">
        <f t="shared" si="310"/>
        <v>0</v>
      </c>
      <c r="AL358" s="45">
        <f t="shared" si="311"/>
        <v>0</v>
      </c>
      <c r="AM358" s="45">
        <f t="shared" si="312"/>
        <v>0</v>
      </c>
      <c r="AN358" s="45">
        <f t="shared" si="313"/>
        <v>0</v>
      </c>
      <c r="AO358" s="45">
        <f t="shared" si="314"/>
        <v>0</v>
      </c>
      <c r="AP358" s="80">
        <f t="shared" si="315"/>
        <v>0</v>
      </c>
      <c r="AQ358" s="80">
        <f t="shared" si="316"/>
        <v>0</v>
      </c>
      <c r="AR358" s="80">
        <f t="shared" si="317"/>
        <v>0</v>
      </c>
      <c r="AS358" s="80">
        <f t="shared" si="318"/>
        <v>0</v>
      </c>
      <c r="AT358" s="80">
        <f t="shared" si="319"/>
        <v>0</v>
      </c>
      <c r="AU358" s="80">
        <f t="shared" si="320"/>
        <v>0</v>
      </c>
      <c r="AV358" s="80">
        <f t="shared" si="365"/>
        <v>45.326689414647944</v>
      </c>
      <c r="AW358" s="80">
        <f t="shared" si="366"/>
        <v>21.901644155611947</v>
      </c>
      <c r="AX358" s="80">
        <f t="shared" si="367"/>
        <v>13.504278781444341</v>
      </c>
      <c r="AY358" s="80">
        <f t="shared" si="368"/>
        <v>10.524573776947095</v>
      </c>
      <c r="AZ358" s="80">
        <f t="shared" si="369"/>
        <v>102.12296900287785</v>
      </c>
      <c r="BA358" s="80">
        <f t="shared" si="370"/>
        <v>42.352431359495682</v>
      </c>
      <c r="BB358" s="80">
        <f t="shared" si="346"/>
        <v>509.94276950428446</v>
      </c>
      <c r="BC358" s="80">
        <f t="shared" si="347"/>
        <v>185.66769733010705</v>
      </c>
      <c r="BD358" s="80">
        <f t="shared" si="348"/>
        <v>140.90059601802736</v>
      </c>
      <c r="BE358" s="80">
        <f t="shared" si="349"/>
        <v>101.5634349202187</v>
      </c>
      <c r="BF358" s="80">
        <f t="shared" si="350"/>
        <v>853.23526293410771</v>
      </c>
      <c r="BG358" s="80">
        <f t="shared" si="351"/>
        <v>487.65889349068073</v>
      </c>
      <c r="BH358" s="49">
        <f t="shared" si="352"/>
        <v>0</v>
      </c>
      <c r="BI358" s="79">
        <f t="shared" si="353"/>
        <v>-84588.857356527122</v>
      </c>
      <c r="BJ358" s="79">
        <f t="shared" si="321"/>
        <v>114800.00000000001</v>
      </c>
      <c r="BK358" s="44">
        <f t="shared" si="354"/>
        <v>0.35715274549859743</v>
      </c>
      <c r="BL358" s="79">
        <f t="shared" si="371"/>
        <v>10205.351910895273</v>
      </c>
      <c r="BM358" s="49">
        <f t="shared" si="355"/>
        <v>125005.35191089529</v>
      </c>
      <c r="BN358" s="44">
        <f t="shared" si="356"/>
        <v>0.47779927306524272</v>
      </c>
      <c r="BO358" s="49">
        <f t="shared" si="322"/>
        <v>12897.571926562367</v>
      </c>
      <c r="BP358" s="49">
        <f t="shared" si="323"/>
        <v>127697.57192656238</v>
      </c>
      <c r="BQ358" s="44">
        <f t="shared" si="324"/>
        <v>0.50962639663448361</v>
      </c>
      <c r="BS358" s="49">
        <f t="shared" si="325"/>
        <v>84588.857356527122</v>
      </c>
      <c r="BT358" s="49">
        <f t="shared" si="372"/>
        <v>86.480002999999996</v>
      </c>
      <c r="BU358" s="49">
        <f t="shared" si="373"/>
        <v>38.669998</v>
      </c>
      <c r="BV358" s="49">
        <f t="shared" si="326"/>
        <v>2133.4160642297693</v>
      </c>
      <c r="BW358" s="18">
        <f t="shared" si="327"/>
        <v>2212</v>
      </c>
      <c r="BX358" s="19">
        <f t="shared" si="357"/>
        <v>0.4926605504587156</v>
      </c>
      <c r="BY358" s="49">
        <f t="shared" si="358"/>
        <v>1051.0499325609046</v>
      </c>
      <c r="BZ358" s="19">
        <f t="shared" si="328"/>
        <v>9.3250498503271952</v>
      </c>
      <c r="CA358" s="19">
        <f t="shared" si="329"/>
        <v>3.9339960786774588</v>
      </c>
      <c r="CB358" s="19">
        <f t="shared" si="330"/>
        <v>2.75785030500596</v>
      </c>
      <c r="CC358" s="19">
        <f t="shared" si="331"/>
        <v>1.8001937898147236</v>
      </c>
      <c r="CD358" s="19">
        <f t="shared" si="332"/>
        <v>5.4868237203514605</v>
      </c>
      <c r="CE358" s="19">
        <f t="shared" si="333"/>
        <v>12.5121434244806</v>
      </c>
      <c r="CF358" s="49">
        <f t="shared" si="334"/>
        <v>-806.43033903144533</v>
      </c>
      <c r="CG358" s="49">
        <f t="shared" si="335"/>
        <v>-275.77311724729771</v>
      </c>
      <c r="CH358" s="49">
        <f t="shared" si="336"/>
        <v>-198.81341745647842</v>
      </c>
      <c r="CI358" s="49">
        <f t="shared" si="337"/>
        <v>-158.90310042636429</v>
      </c>
      <c r="CJ358" s="49">
        <f t="shared" si="338"/>
        <v>-209.65152886780561</v>
      </c>
      <c r="CK358" s="49">
        <f t="shared" si="339"/>
        <v>-483.84456120037794</v>
      </c>
    </row>
    <row r="359" spans="2:89" ht="12.75" customHeight="1" x14ac:dyDescent="0.2">
      <c r="B359" s="77">
        <v>41512</v>
      </c>
      <c r="C359" s="49">
        <v>84.769997000000004</v>
      </c>
      <c r="D359" s="49">
        <v>68.629997000000003</v>
      </c>
      <c r="E359" s="49">
        <v>70.419998000000007</v>
      </c>
      <c r="F359" s="49">
        <v>85.699996999999996</v>
      </c>
      <c r="G359" s="49">
        <v>36.849997999999999</v>
      </c>
      <c r="H359" s="49">
        <v>37.720001000000003</v>
      </c>
      <c r="J359" s="78">
        <f>IF(inter=Weekly_2,J358+$C$5,IF(inter=Bi_weekly_2,0,IF(inter=Monthly_2,0,IF(inter=Quarterly_2,0,IF(inter=Yearly_2,0,IF(inter=None_2,0,0))))))</f>
        <v>0</v>
      </c>
      <c r="K359" s="79">
        <f t="shared" si="340"/>
        <v>0</v>
      </c>
      <c r="L359" s="79">
        <f t="shared" si="341"/>
        <v>0</v>
      </c>
      <c r="M359" s="79">
        <f t="shared" si="342"/>
        <v>0</v>
      </c>
      <c r="N359" s="79">
        <f t="shared" si="343"/>
        <v>0</v>
      </c>
      <c r="O359" s="79">
        <f t="shared" si="344"/>
        <v>0</v>
      </c>
      <c r="P359" s="79">
        <f t="shared" si="345"/>
        <v>0</v>
      </c>
      <c r="Q359" s="79"/>
      <c r="R359" s="80">
        <f t="shared" si="303"/>
        <v>0</v>
      </c>
      <c r="S359" s="80">
        <f t="shared" si="304"/>
        <v>0</v>
      </c>
      <c r="T359" s="80">
        <f t="shared" si="305"/>
        <v>0</v>
      </c>
      <c r="U359" s="80">
        <f t="shared" si="306"/>
        <v>0</v>
      </c>
      <c r="V359" s="80">
        <f t="shared" si="307"/>
        <v>0</v>
      </c>
      <c r="W359" s="80">
        <f t="shared" si="308"/>
        <v>0</v>
      </c>
      <c r="X359" s="80">
        <f t="shared" si="359"/>
        <v>464.61608008963651</v>
      </c>
      <c r="Y359" s="80">
        <f t="shared" si="360"/>
        <v>163.76605317449511</v>
      </c>
      <c r="Z359" s="80">
        <f t="shared" si="361"/>
        <v>127.39631723658302</v>
      </c>
      <c r="AA359" s="80">
        <f t="shared" si="362"/>
        <v>91.038861143271603</v>
      </c>
      <c r="AB359" s="80">
        <f t="shared" si="363"/>
        <v>751.11229393122983</v>
      </c>
      <c r="AC359" s="80">
        <f t="shared" si="364"/>
        <v>445.30646213118501</v>
      </c>
      <c r="AD359" s="80"/>
      <c r="AE359" s="80"/>
      <c r="AF359" s="80"/>
      <c r="AG359" s="80"/>
      <c r="AH359" s="80"/>
      <c r="AI359" s="80"/>
      <c r="AJ359" s="45">
        <f t="shared" si="309"/>
        <v>0</v>
      </c>
      <c r="AK359" s="45">
        <f t="shared" si="310"/>
        <v>0</v>
      </c>
      <c r="AL359" s="45">
        <f t="shared" si="311"/>
        <v>0</v>
      </c>
      <c r="AM359" s="45">
        <f t="shared" si="312"/>
        <v>0</v>
      </c>
      <c r="AN359" s="45">
        <f t="shared" si="313"/>
        <v>0</v>
      </c>
      <c r="AO359" s="45">
        <f t="shared" si="314"/>
        <v>0</v>
      </c>
      <c r="AP359" s="80">
        <f t="shared" si="315"/>
        <v>0</v>
      </c>
      <c r="AQ359" s="80">
        <f t="shared" si="316"/>
        <v>0</v>
      </c>
      <c r="AR359" s="80">
        <f t="shared" si="317"/>
        <v>0</v>
      </c>
      <c r="AS359" s="80">
        <f t="shared" si="318"/>
        <v>0</v>
      </c>
      <c r="AT359" s="80">
        <f t="shared" si="319"/>
        <v>0</v>
      </c>
      <c r="AU359" s="80">
        <f t="shared" si="320"/>
        <v>0</v>
      </c>
      <c r="AV359" s="80">
        <f t="shared" si="365"/>
        <v>45.326689414647944</v>
      </c>
      <c r="AW359" s="80">
        <f t="shared" si="366"/>
        <v>21.901644155611947</v>
      </c>
      <c r="AX359" s="80">
        <f t="shared" si="367"/>
        <v>13.504278781444341</v>
      </c>
      <c r="AY359" s="80">
        <f t="shared" si="368"/>
        <v>10.524573776947095</v>
      </c>
      <c r="AZ359" s="80">
        <f t="shared" si="369"/>
        <v>102.12296900287785</v>
      </c>
      <c r="BA359" s="80">
        <f t="shared" si="370"/>
        <v>42.352431359495682</v>
      </c>
      <c r="BB359" s="80">
        <f t="shared" si="346"/>
        <v>509.94276950428446</v>
      </c>
      <c r="BC359" s="80">
        <f t="shared" si="347"/>
        <v>185.66769733010705</v>
      </c>
      <c r="BD359" s="80">
        <f t="shared" si="348"/>
        <v>140.90059601802736</v>
      </c>
      <c r="BE359" s="80">
        <f t="shared" si="349"/>
        <v>101.5634349202187</v>
      </c>
      <c r="BF359" s="80">
        <f t="shared" si="350"/>
        <v>853.23526293410771</v>
      </c>
      <c r="BG359" s="80">
        <f t="shared" si="351"/>
        <v>487.65889349068073</v>
      </c>
      <c r="BH359" s="49">
        <f t="shared" si="352"/>
        <v>0</v>
      </c>
      <c r="BI359" s="79">
        <f t="shared" si="353"/>
        <v>-84588.857356527122</v>
      </c>
      <c r="BJ359" s="79">
        <f t="shared" si="321"/>
        <v>111873.49271132302</v>
      </c>
      <c r="BK359" s="44">
        <f t="shared" si="354"/>
        <v>0.32255590402168433</v>
      </c>
      <c r="BL359" s="79">
        <f t="shared" si="371"/>
        <v>10205.351910895273</v>
      </c>
      <c r="BM359" s="49">
        <f t="shared" si="355"/>
        <v>122078.8446222183</v>
      </c>
      <c r="BN359" s="44">
        <f t="shared" si="356"/>
        <v>0.44320243158832962</v>
      </c>
      <c r="BO359" s="49">
        <f t="shared" si="322"/>
        <v>12559.14528102847</v>
      </c>
      <c r="BP359" s="49">
        <f t="shared" si="323"/>
        <v>124432.63799235148</v>
      </c>
      <c r="BQ359" s="44">
        <f t="shared" si="324"/>
        <v>0.47102871324871831</v>
      </c>
      <c r="BS359" s="49">
        <f t="shared" si="325"/>
        <v>84588.857356527122</v>
      </c>
      <c r="BT359" s="49">
        <f t="shared" si="372"/>
        <v>84.769997000000004</v>
      </c>
      <c r="BU359" s="49">
        <f t="shared" si="373"/>
        <v>37.720001000000003</v>
      </c>
      <c r="BV359" s="49">
        <f t="shared" si="326"/>
        <v>0</v>
      </c>
      <c r="BW359" s="18">
        <f t="shared" si="327"/>
        <v>2219</v>
      </c>
      <c r="BX359" s="19">
        <f t="shared" si="357"/>
        <v>0.49105504587155963</v>
      </c>
      <c r="BY359" s="49">
        <f t="shared" si="358"/>
        <v>0</v>
      </c>
      <c r="BZ359" s="19">
        <f t="shared" si="328"/>
        <v>0</v>
      </c>
      <c r="CA359" s="19">
        <f t="shared" si="329"/>
        <v>0</v>
      </c>
      <c r="CB359" s="19">
        <f t="shared" si="330"/>
        <v>0</v>
      </c>
      <c r="CC359" s="19">
        <f t="shared" si="331"/>
        <v>0</v>
      </c>
      <c r="CD359" s="19">
        <f t="shared" si="332"/>
        <v>0</v>
      </c>
      <c r="CE359" s="19">
        <f t="shared" si="333"/>
        <v>0</v>
      </c>
      <c r="CF359" s="49">
        <f t="shared" si="334"/>
        <v>0</v>
      </c>
      <c r="CG359" s="49">
        <f t="shared" si="335"/>
        <v>0</v>
      </c>
      <c r="CH359" s="49">
        <f t="shared" si="336"/>
        <v>0</v>
      </c>
      <c r="CI359" s="49">
        <f t="shared" si="337"/>
        <v>0</v>
      </c>
      <c r="CJ359" s="49">
        <f t="shared" si="338"/>
        <v>0</v>
      </c>
      <c r="CK359" s="49">
        <f t="shared" si="339"/>
        <v>0</v>
      </c>
    </row>
    <row r="360" spans="2:89" ht="12.75" customHeight="1" x14ac:dyDescent="0.2">
      <c r="B360" s="77">
        <v>41520</v>
      </c>
      <c r="C360" s="49">
        <v>86.129997000000003</v>
      </c>
      <c r="D360" s="49">
        <v>69.290001000000004</v>
      </c>
      <c r="E360" s="49">
        <v>71.5</v>
      </c>
      <c r="F360" s="49">
        <v>86.870002999999997</v>
      </c>
      <c r="G360" s="49">
        <v>38.090000000000003</v>
      </c>
      <c r="H360" s="49">
        <v>39.580002</v>
      </c>
      <c r="J360" s="78">
        <f>IF(inter=Weekly_2,J359+$C$5,IF(inter=Bi_weekly_2,J358+$C$5,IF(inter=Monthly_2,0,IF(inter=Quarterly_2,0,IF(inter=Yearly_2,0,IF(inter=None_2,0,0))))))</f>
        <v>115400</v>
      </c>
      <c r="K360" s="79">
        <f t="shared" si="340"/>
        <v>-372.61841572784761</v>
      </c>
      <c r="L360" s="79">
        <f t="shared" si="341"/>
        <v>-192.65001177317936</v>
      </c>
      <c r="M360" s="79">
        <f t="shared" si="342"/>
        <v>-123.16331758431443</v>
      </c>
      <c r="N360" s="79">
        <f t="shared" si="343"/>
        <v>-169.45385936741332</v>
      </c>
      <c r="O360" s="79">
        <f t="shared" si="344"/>
        <v>-240.13272415945175</v>
      </c>
      <c r="P360" s="79">
        <f t="shared" si="345"/>
        <v>315.23066176522843</v>
      </c>
      <c r="Q360" s="79"/>
      <c r="R360" s="80">
        <f t="shared" si="303"/>
        <v>4.3262327726291181</v>
      </c>
      <c r="S360" s="80">
        <f t="shared" si="304"/>
        <v>2.7803436136936894</v>
      </c>
      <c r="T360" s="80">
        <f t="shared" si="305"/>
        <v>1.722563882298104</v>
      </c>
      <c r="U360" s="80">
        <f t="shared" si="306"/>
        <v>1.9506602223487124</v>
      </c>
      <c r="V360" s="80">
        <f t="shared" si="307"/>
        <v>6.3043508574285045</v>
      </c>
      <c r="W360" s="80">
        <f t="shared" si="308"/>
        <v>-7.9643922646903462</v>
      </c>
      <c r="X360" s="80">
        <f t="shared" si="359"/>
        <v>468.94231286226562</v>
      </c>
      <c r="Y360" s="80">
        <f t="shared" si="360"/>
        <v>166.54639678818882</v>
      </c>
      <c r="Z360" s="80">
        <f t="shared" si="361"/>
        <v>129.11888111888112</v>
      </c>
      <c r="AA360" s="80">
        <f t="shared" si="362"/>
        <v>92.98952136562032</v>
      </c>
      <c r="AB360" s="80">
        <f t="shared" si="363"/>
        <v>757.41664478865835</v>
      </c>
      <c r="AC360" s="80">
        <f t="shared" si="364"/>
        <v>437.34206986649468</v>
      </c>
      <c r="AD360" s="80"/>
      <c r="AE360" s="80"/>
      <c r="AF360" s="80"/>
      <c r="AG360" s="80"/>
      <c r="AH360" s="80"/>
      <c r="AI360" s="80"/>
      <c r="AJ360" s="45">
        <f t="shared" si="309"/>
        <v>0</v>
      </c>
      <c r="AK360" s="45">
        <f t="shared" si="310"/>
        <v>0</v>
      </c>
      <c r="AL360" s="45">
        <f t="shared" si="311"/>
        <v>0</v>
      </c>
      <c r="AM360" s="45">
        <f t="shared" si="312"/>
        <v>0</v>
      </c>
      <c r="AN360" s="45">
        <f t="shared" si="313"/>
        <v>0</v>
      </c>
      <c r="AO360" s="45">
        <f t="shared" si="314"/>
        <v>0</v>
      </c>
      <c r="AP360" s="80">
        <f t="shared" si="315"/>
        <v>0</v>
      </c>
      <c r="AQ360" s="80">
        <f t="shared" si="316"/>
        <v>0</v>
      </c>
      <c r="AR360" s="80">
        <f t="shared" si="317"/>
        <v>0</v>
      </c>
      <c r="AS360" s="80">
        <f t="shared" si="318"/>
        <v>0</v>
      </c>
      <c r="AT360" s="80">
        <f t="shared" si="319"/>
        <v>0</v>
      </c>
      <c r="AU360" s="80">
        <f t="shared" si="320"/>
        <v>0</v>
      </c>
      <c r="AV360" s="80">
        <f t="shared" si="365"/>
        <v>45.326689414647944</v>
      </c>
      <c r="AW360" s="80">
        <f t="shared" si="366"/>
        <v>21.901644155611947</v>
      </c>
      <c r="AX360" s="80">
        <f t="shared" si="367"/>
        <v>13.504278781444341</v>
      </c>
      <c r="AY360" s="80">
        <f t="shared" si="368"/>
        <v>10.524573776947095</v>
      </c>
      <c r="AZ360" s="80">
        <f t="shared" si="369"/>
        <v>102.12296900287785</v>
      </c>
      <c r="BA360" s="80">
        <f t="shared" si="370"/>
        <v>42.352431359495682</v>
      </c>
      <c r="BB360" s="80">
        <f t="shared" si="346"/>
        <v>514.26900227691362</v>
      </c>
      <c r="BC360" s="80">
        <f t="shared" si="347"/>
        <v>188.44804094380078</v>
      </c>
      <c r="BD360" s="80">
        <f t="shared" si="348"/>
        <v>142.62315990032545</v>
      </c>
      <c r="BE360" s="80">
        <f t="shared" si="349"/>
        <v>103.51409514256741</v>
      </c>
      <c r="BF360" s="80">
        <f t="shared" si="350"/>
        <v>859.53961379153623</v>
      </c>
      <c r="BG360" s="80">
        <f t="shared" si="351"/>
        <v>479.69450122599039</v>
      </c>
      <c r="BH360" s="49">
        <f t="shared" si="352"/>
        <v>0</v>
      </c>
      <c r="BI360" s="79">
        <f t="shared" si="353"/>
        <v>-85371.645023374091</v>
      </c>
      <c r="BJ360" s="79">
        <f t="shared" si="321"/>
        <v>115400</v>
      </c>
      <c r="BK360" s="44">
        <f t="shared" si="354"/>
        <v>0.35173686729832121</v>
      </c>
      <c r="BL360" s="79">
        <f t="shared" si="371"/>
        <v>10205.351910895273</v>
      </c>
      <c r="BM360" s="49">
        <f t="shared" si="355"/>
        <v>125605.35191089528</v>
      </c>
      <c r="BN360" s="44">
        <f t="shared" si="356"/>
        <v>0.4712771655800414</v>
      </c>
      <c r="BO360" s="49">
        <f t="shared" si="322"/>
        <v>12867.551464431261</v>
      </c>
      <c r="BP360" s="49">
        <f t="shared" si="323"/>
        <v>128267.55146443128</v>
      </c>
      <c r="BQ360" s="44">
        <f t="shared" si="324"/>
        <v>0.5024608162266595</v>
      </c>
      <c r="BS360" s="49">
        <f t="shared" si="325"/>
        <v>85371.645023374091</v>
      </c>
      <c r="BT360" s="49">
        <f t="shared" si="372"/>
        <v>86.129997000000003</v>
      </c>
      <c r="BU360" s="49">
        <f t="shared" si="373"/>
        <v>39.580002</v>
      </c>
      <c r="BV360" s="49">
        <f t="shared" si="326"/>
        <v>782.78766684697803</v>
      </c>
      <c r="BW360" s="18">
        <f t="shared" si="327"/>
        <v>2227</v>
      </c>
      <c r="BX360" s="19">
        <f t="shared" si="357"/>
        <v>0.48922018348623852</v>
      </c>
      <c r="BY360" s="49">
        <f t="shared" si="358"/>
        <v>382.95552600564315</v>
      </c>
      <c r="BZ360" s="19">
        <f t="shared" si="328"/>
        <v>4.3262327726291181</v>
      </c>
      <c r="CA360" s="19">
        <f t="shared" si="329"/>
        <v>2.7803436136936894</v>
      </c>
      <c r="CB360" s="19">
        <f t="shared" si="330"/>
        <v>1.722563882298104</v>
      </c>
      <c r="CC360" s="19">
        <f t="shared" si="331"/>
        <v>1.9506602223487124</v>
      </c>
      <c r="CD360" s="19">
        <f t="shared" si="332"/>
        <v>6.3043508574285045</v>
      </c>
      <c r="CE360" s="19">
        <f t="shared" si="333"/>
        <v>0</v>
      </c>
      <c r="CF360" s="49">
        <f t="shared" si="334"/>
        <v>-372.61841572784761</v>
      </c>
      <c r="CG360" s="49">
        <f t="shared" si="335"/>
        <v>-192.65001177317936</v>
      </c>
      <c r="CH360" s="49">
        <f t="shared" si="336"/>
        <v>-123.16331758431443</v>
      </c>
      <c r="CI360" s="49">
        <f t="shared" si="337"/>
        <v>-169.45385936741332</v>
      </c>
      <c r="CJ360" s="49">
        <f t="shared" si="338"/>
        <v>-240.13272415945175</v>
      </c>
      <c r="CK360" s="49">
        <f t="shared" si="339"/>
        <v>0</v>
      </c>
    </row>
    <row r="361" spans="2:89" ht="12.75" customHeight="1" x14ac:dyDescent="0.2">
      <c r="B361" s="77">
        <v>41526</v>
      </c>
      <c r="C361" s="49">
        <v>87.919998000000007</v>
      </c>
      <c r="D361" s="49">
        <v>70.800003000000004</v>
      </c>
      <c r="E361" s="49">
        <v>73.110000999999997</v>
      </c>
      <c r="F361" s="49">
        <v>88.809997999999993</v>
      </c>
      <c r="G361" s="49">
        <v>39.110000999999997</v>
      </c>
      <c r="H361" s="49">
        <v>40.880001</v>
      </c>
      <c r="J361" s="78">
        <f>IF(inter=Weekly_2,J360+$C$5,IF(inter=Bi_weekly_2,0,IF(inter=Monthly_2,0,IF(inter=Quarterly_2,0,IF(inter=Yearly_2,0,IF(inter=None_2,0,0))))))</f>
        <v>0</v>
      </c>
      <c r="K361" s="79">
        <f t="shared" si="340"/>
        <v>0</v>
      </c>
      <c r="L361" s="79">
        <f t="shared" si="341"/>
        <v>0</v>
      </c>
      <c r="M361" s="79">
        <f t="shared" si="342"/>
        <v>0</v>
      </c>
      <c r="N361" s="79">
        <f t="shared" si="343"/>
        <v>0</v>
      </c>
      <c r="O361" s="79">
        <f t="shared" si="344"/>
        <v>0</v>
      </c>
      <c r="P361" s="79">
        <f t="shared" si="345"/>
        <v>0</v>
      </c>
      <c r="Q361" s="79"/>
      <c r="R361" s="80">
        <f t="shared" si="303"/>
        <v>0</v>
      </c>
      <c r="S361" s="80">
        <f t="shared" si="304"/>
        <v>0</v>
      </c>
      <c r="T361" s="80">
        <f t="shared" si="305"/>
        <v>0</v>
      </c>
      <c r="U361" s="80">
        <f t="shared" si="306"/>
        <v>0</v>
      </c>
      <c r="V361" s="80">
        <f t="shared" si="307"/>
        <v>0</v>
      </c>
      <c r="W361" s="80">
        <f t="shared" si="308"/>
        <v>0</v>
      </c>
      <c r="X361" s="80">
        <f t="shared" si="359"/>
        <v>468.94231286226562</v>
      </c>
      <c r="Y361" s="80">
        <f t="shared" si="360"/>
        <v>166.54639678818882</v>
      </c>
      <c r="Z361" s="80">
        <f t="shared" si="361"/>
        <v>129.11888111888112</v>
      </c>
      <c r="AA361" s="80">
        <f t="shared" si="362"/>
        <v>92.98952136562032</v>
      </c>
      <c r="AB361" s="80">
        <f t="shared" si="363"/>
        <v>757.41664478865835</v>
      </c>
      <c r="AC361" s="80">
        <f t="shared" si="364"/>
        <v>437.34206986649468</v>
      </c>
      <c r="AD361" s="80"/>
      <c r="AE361" s="80"/>
      <c r="AF361" s="80"/>
      <c r="AG361" s="80"/>
      <c r="AH361" s="80"/>
      <c r="AI361" s="80"/>
      <c r="AJ361" s="45">
        <f t="shared" si="309"/>
        <v>0</v>
      </c>
      <c r="AK361" s="45">
        <f t="shared" si="310"/>
        <v>0</v>
      </c>
      <c r="AL361" s="45">
        <f t="shared" si="311"/>
        <v>0</v>
      </c>
      <c r="AM361" s="45">
        <f t="shared" si="312"/>
        <v>0</v>
      </c>
      <c r="AN361" s="45">
        <f t="shared" si="313"/>
        <v>0</v>
      </c>
      <c r="AO361" s="45">
        <f t="shared" si="314"/>
        <v>0</v>
      </c>
      <c r="AP361" s="80">
        <f t="shared" si="315"/>
        <v>0</v>
      </c>
      <c r="AQ361" s="80">
        <f t="shared" si="316"/>
        <v>0</v>
      </c>
      <c r="AR361" s="80">
        <f t="shared" si="317"/>
        <v>0</v>
      </c>
      <c r="AS361" s="80">
        <f t="shared" si="318"/>
        <v>0</v>
      </c>
      <c r="AT361" s="80">
        <f t="shared" si="319"/>
        <v>0</v>
      </c>
      <c r="AU361" s="80">
        <f t="shared" si="320"/>
        <v>0</v>
      </c>
      <c r="AV361" s="80">
        <f t="shared" si="365"/>
        <v>45.326689414647944</v>
      </c>
      <c r="AW361" s="80">
        <f t="shared" si="366"/>
        <v>21.901644155611947</v>
      </c>
      <c r="AX361" s="80">
        <f t="shared" si="367"/>
        <v>13.504278781444341</v>
      </c>
      <c r="AY361" s="80">
        <f t="shared" si="368"/>
        <v>10.524573776947095</v>
      </c>
      <c r="AZ361" s="80">
        <f t="shared" si="369"/>
        <v>102.12296900287785</v>
      </c>
      <c r="BA361" s="80">
        <f t="shared" si="370"/>
        <v>42.352431359495682</v>
      </c>
      <c r="BB361" s="80">
        <f t="shared" si="346"/>
        <v>514.26900227691362</v>
      </c>
      <c r="BC361" s="80">
        <f t="shared" si="347"/>
        <v>188.44804094380078</v>
      </c>
      <c r="BD361" s="80">
        <f t="shared" si="348"/>
        <v>142.62315990032545</v>
      </c>
      <c r="BE361" s="80">
        <f t="shared" si="349"/>
        <v>103.51409514256741</v>
      </c>
      <c r="BF361" s="80">
        <f t="shared" si="350"/>
        <v>859.53961379153623</v>
      </c>
      <c r="BG361" s="80">
        <f t="shared" si="351"/>
        <v>479.69450122599039</v>
      </c>
      <c r="BH361" s="49">
        <f t="shared" si="352"/>
        <v>0</v>
      </c>
      <c r="BI361" s="79">
        <f t="shared" si="353"/>
        <v>-85371.645023374091</v>
      </c>
      <c r="BJ361" s="79">
        <f t="shared" si="321"/>
        <v>118220.28332401616</v>
      </c>
      <c r="BK361" s="44">
        <f t="shared" si="354"/>
        <v>0.3847722307757846</v>
      </c>
      <c r="BL361" s="79">
        <f t="shared" si="371"/>
        <v>10205.351910895273</v>
      </c>
      <c r="BM361" s="49">
        <f t="shared" si="355"/>
        <v>128425.63523491143</v>
      </c>
      <c r="BN361" s="44">
        <f t="shared" si="356"/>
        <v>0.50431252905750501</v>
      </c>
      <c r="BO361" s="49">
        <f t="shared" si="322"/>
        <v>13183.140982056062</v>
      </c>
      <c r="BP361" s="49">
        <f t="shared" si="323"/>
        <v>131403.42430607221</v>
      </c>
      <c r="BQ361" s="44">
        <f t="shared" si="324"/>
        <v>0.53919283469464574</v>
      </c>
      <c r="BS361" s="49">
        <f t="shared" si="325"/>
        <v>85371.645023374091</v>
      </c>
      <c r="BT361" s="49">
        <f t="shared" si="372"/>
        <v>87.919998000000007</v>
      </c>
      <c r="BU361" s="49">
        <f t="shared" si="373"/>
        <v>40.880001</v>
      </c>
      <c r="BV361" s="49">
        <f t="shared" si="326"/>
        <v>0</v>
      </c>
      <c r="BW361" s="18">
        <f t="shared" si="327"/>
        <v>2233</v>
      </c>
      <c r="BX361" s="19">
        <f t="shared" si="357"/>
        <v>0.48784403669724768</v>
      </c>
      <c r="BY361" s="49">
        <f t="shared" si="358"/>
        <v>0</v>
      </c>
      <c r="BZ361" s="19">
        <f t="shared" si="328"/>
        <v>0</v>
      </c>
      <c r="CA361" s="19">
        <f t="shared" si="329"/>
        <v>0</v>
      </c>
      <c r="CB361" s="19">
        <f t="shared" si="330"/>
        <v>0</v>
      </c>
      <c r="CC361" s="19">
        <f t="shared" si="331"/>
        <v>0</v>
      </c>
      <c r="CD361" s="19">
        <f t="shared" si="332"/>
        <v>0</v>
      </c>
      <c r="CE361" s="19">
        <f t="shared" si="333"/>
        <v>0</v>
      </c>
      <c r="CF361" s="49">
        <f t="shared" si="334"/>
        <v>0</v>
      </c>
      <c r="CG361" s="49">
        <f t="shared" si="335"/>
        <v>0</v>
      </c>
      <c r="CH361" s="49">
        <f t="shared" si="336"/>
        <v>0</v>
      </c>
      <c r="CI361" s="49">
        <f t="shared" si="337"/>
        <v>0</v>
      </c>
      <c r="CJ361" s="49">
        <f t="shared" si="338"/>
        <v>0</v>
      </c>
      <c r="CK361" s="49">
        <f t="shared" si="339"/>
        <v>0</v>
      </c>
    </row>
    <row r="362" spans="2:89" ht="12.75" customHeight="1" x14ac:dyDescent="0.2">
      <c r="B362" s="77">
        <v>41533</v>
      </c>
      <c r="C362" s="49">
        <v>89.199996999999996</v>
      </c>
      <c r="D362" s="49">
        <v>71.540001000000004</v>
      </c>
      <c r="E362" s="49">
        <v>73.910004000000001</v>
      </c>
      <c r="F362" s="49">
        <v>90.169998000000007</v>
      </c>
      <c r="G362" s="49">
        <v>40.009998000000003</v>
      </c>
      <c r="H362" s="49">
        <v>41.779998999999997</v>
      </c>
      <c r="J362" s="78">
        <f>IF(inter=Weekly_2,J361+$C$5,IF(inter=Bi_weekly_2,J360+$C$5,IF(inter=Monthly_2,J358+$C$5,IF(inter=Quarterly_2,0,IF(inter=Yearly_2,0,IF(inter=None_2,0,0))))))</f>
        <v>116000</v>
      </c>
      <c r="K362" s="79">
        <f t="shared" si="340"/>
        <v>1229.6529004871554</v>
      </c>
      <c r="L362" s="79">
        <f t="shared" si="341"/>
        <v>314.72939277342448</v>
      </c>
      <c r="M362" s="79">
        <f t="shared" si="342"/>
        <v>263.17701997202857</v>
      </c>
      <c r="N362" s="79">
        <f t="shared" si="343"/>
        <v>264.86495555894089</v>
      </c>
      <c r="O362" s="79">
        <f t="shared" si="344"/>
        <v>1304.2384431609316</v>
      </c>
      <c r="P362" s="79">
        <f t="shared" si="345"/>
        <v>872.15124168007605</v>
      </c>
      <c r="Q362" s="79"/>
      <c r="R362" s="80">
        <f t="shared" ref="R362:R425" si="374">-((K362)/C362)</f>
        <v>-13.785346881650181</v>
      </c>
      <c r="S362" s="80">
        <f t="shared" ref="S362:S425" si="375">-((L362)/D362)</f>
        <v>-4.3993484536493712</v>
      </c>
      <c r="T362" s="80">
        <f t="shared" ref="T362:T425" si="376">-(M362)/E362</f>
        <v>-3.560776697725907</v>
      </c>
      <c r="U362" s="80">
        <f t="shared" ref="U362:U425" si="377">-(N362)/F362</f>
        <v>-2.9373956020154384</v>
      </c>
      <c r="V362" s="80">
        <f t="shared" ref="V362:V425" si="378">-(O362)/G362</f>
        <v>-32.597813255600052</v>
      </c>
      <c r="W362" s="80">
        <f t="shared" ref="W362:W425" si="379">-(P362)/H362</f>
        <v>-20.874850707394131</v>
      </c>
      <c r="X362" s="80">
        <f t="shared" si="359"/>
        <v>455.15696598061544</v>
      </c>
      <c r="Y362" s="80">
        <f t="shared" si="360"/>
        <v>162.14704833453945</v>
      </c>
      <c r="Z362" s="80">
        <f t="shared" si="361"/>
        <v>125.55810442115521</v>
      </c>
      <c r="AA362" s="80">
        <f t="shared" si="362"/>
        <v>90.052125763604877</v>
      </c>
      <c r="AB362" s="80">
        <f t="shared" si="363"/>
        <v>724.8188315330583</v>
      </c>
      <c r="AC362" s="80">
        <f t="shared" si="364"/>
        <v>416.46721915910052</v>
      </c>
      <c r="AD362" s="80"/>
      <c r="AE362" s="80"/>
      <c r="AF362" s="80"/>
      <c r="AG362" s="80"/>
      <c r="AH362" s="80"/>
      <c r="AI362" s="80"/>
      <c r="AJ362" s="45">
        <f t="shared" ref="AJ362:AJ425" si="380">(X362*AD362)</f>
        <v>0</v>
      </c>
      <c r="AK362" s="45">
        <f t="shared" ref="AK362:AK425" si="381">(Y362*AE362)</f>
        <v>0</v>
      </c>
      <c r="AL362" s="45">
        <f t="shared" ref="AL362:AL425" si="382">(Z362*AF362)</f>
        <v>0</v>
      </c>
      <c r="AM362" s="45">
        <f t="shared" ref="AM362:AM425" si="383">(AA362*AG362)</f>
        <v>0</v>
      </c>
      <c r="AN362" s="45">
        <f t="shared" ref="AN362:AN425" si="384">(AB362*AH362)</f>
        <v>0</v>
      </c>
      <c r="AO362" s="45">
        <f t="shared" ref="AO362:AO425" si="385">(AC362*AI362)</f>
        <v>0</v>
      </c>
      <c r="AP362" s="80">
        <f t="shared" ref="AP362:AP425" si="386">IF(AJ362&gt;0,AJ362/C362,0)</f>
        <v>0</v>
      </c>
      <c r="AQ362" s="80">
        <f t="shared" ref="AQ362:AQ425" si="387">IF(AK362&gt;0,AK362/D362,0)</f>
        <v>0</v>
      </c>
      <c r="AR362" s="80">
        <f t="shared" ref="AR362:AR425" si="388">IF(AL362&gt;0,AL362/E362,0)</f>
        <v>0</v>
      </c>
      <c r="AS362" s="80">
        <f t="shared" ref="AS362:AS425" si="389">IF(AM362&gt;0,AM362/F362,0)</f>
        <v>0</v>
      </c>
      <c r="AT362" s="80">
        <f t="shared" ref="AT362:AT425" si="390">IF(AN362&gt;0,AN362/G362,0)</f>
        <v>0</v>
      </c>
      <c r="AU362" s="80">
        <f t="shared" ref="AU362:AU425" si="391">IF(AO362&gt;0,AO362/H362,0)</f>
        <v>0</v>
      </c>
      <c r="AV362" s="80">
        <f t="shared" si="365"/>
        <v>45.326689414647944</v>
      </c>
      <c r="AW362" s="80">
        <f t="shared" si="366"/>
        <v>21.901644155611947</v>
      </c>
      <c r="AX362" s="80">
        <f t="shared" si="367"/>
        <v>13.504278781444341</v>
      </c>
      <c r="AY362" s="80">
        <f t="shared" si="368"/>
        <v>10.524573776947095</v>
      </c>
      <c r="AZ362" s="80">
        <f t="shared" si="369"/>
        <v>102.12296900287785</v>
      </c>
      <c r="BA362" s="80">
        <f t="shared" si="370"/>
        <v>42.352431359495682</v>
      </c>
      <c r="BB362" s="80">
        <f t="shared" si="346"/>
        <v>500.48365539526338</v>
      </c>
      <c r="BC362" s="80">
        <f t="shared" si="347"/>
        <v>184.04869249015138</v>
      </c>
      <c r="BD362" s="80">
        <f t="shared" si="348"/>
        <v>139.06238320259956</v>
      </c>
      <c r="BE362" s="80">
        <f t="shared" si="349"/>
        <v>100.57669954055197</v>
      </c>
      <c r="BF362" s="80">
        <f t="shared" si="350"/>
        <v>826.94180053593618</v>
      </c>
      <c r="BG362" s="80">
        <f t="shared" si="351"/>
        <v>458.81965051859618</v>
      </c>
      <c r="BH362" s="49">
        <f t="shared" si="352"/>
        <v>0</v>
      </c>
      <c r="BI362" s="79">
        <f t="shared" si="353"/>
        <v>-81122.831069741515</v>
      </c>
      <c r="BJ362" s="79">
        <f t="shared" ref="BJ362:BJ425" si="392">(X362*C362)+(Y362*D362)+(Z362*E362)+(AA362*F362)+(AB362*G362)+(AC362*H362)</f>
        <v>116000</v>
      </c>
      <c r="BK362" s="44">
        <f t="shared" si="354"/>
        <v>0.42993037188599215</v>
      </c>
      <c r="BL362" s="79">
        <f t="shared" si="371"/>
        <v>10205.351910895273</v>
      </c>
      <c r="BM362" s="49">
        <f t="shared" si="355"/>
        <v>126205.35191089528</v>
      </c>
      <c r="BN362" s="44">
        <f t="shared" si="356"/>
        <v>0.55573160165473268</v>
      </c>
      <c r="BO362" s="49">
        <f t="shared" ref="BO362:BO425" si="393">(C362*AV362)+(D362*AW362)+(E362*AX362)+(F362*AY362)+(G362*AZ362)+(H362*BA362)</f>
        <v>13412.510625178991</v>
      </c>
      <c r="BP362" s="49">
        <f t="shared" ref="BP362:BP425" si="394">(C362*BB362)+(D362*BC362)+(E362*BD362)+(F362*BE362)+(G362*BF362)+(H362*BG362)</f>
        <v>129412.510625179</v>
      </c>
      <c r="BQ362" s="44">
        <f t="shared" ref="BQ362:BQ425" si="395">(BP362/ABS(BI362))-1</f>
        <v>0.5952662021117423</v>
      </c>
      <c r="BS362" s="49">
        <f t="shared" ref="BS362:BS425" si="396">ABS(BI362)</f>
        <v>81122.831069741515</v>
      </c>
      <c r="BT362" s="49">
        <f t="shared" si="372"/>
        <v>89.199996999999996</v>
      </c>
      <c r="BU362" s="49">
        <f t="shared" si="373"/>
        <v>41.779998999999997</v>
      </c>
      <c r="BV362" s="49">
        <f t="shared" ref="BV362:BV425" si="397">-(K362+L362+M362+N362+O362+P362+BH362)</f>
        <v>-4248.8139536325571</v>
      </c>
      <c r="BW362" s="18">
        <f t="shared" ref="BW362:BW425" si="398">DATEDIF($B$42,B362,"d")</f>
        <v>2240</v>
      </c>
      <c r="BX362" s="19">
        <f t="shared" si="357"/>
        <v>0.48623853211009177</v>
      </c>
      <c r="BY362" s="49">
        <f t="shared" si="358"/>
        <v>-2065.93706002317</v>
      </c>
      <c r="BZ362" s="19">
        <f t="shared" ref="BZ362:BZ425" si="399">IF(R362&gt;0,R362,0)</f>
        <v>0</v>
      </c>
      <c r="CA362" s="19">
        <f t="shared" ref="CA362:CA425" si="400">IF(S362&gt;0,S362,0)</f>
        <v>0</v>
      </c>
      <c r="CB362" s="19">
        <f t="shared" ref="CB362:CB425" si="401">IF(T362&gt;0,T362,0)</f>
        <v>0</v>
      </c>
      <c r="CC362" s="19">
        <f t="shared" ref="CC362:CC425" si="402">IF(U362&gt;0,U362,0)</f>
        <v>0</v>
      </c>
      <c r="CD362" s="19">
        <f t="shared" ref="CD362:CD425" si="403">IF(V362&gt;0,V362,0)</f>
        <v>0</v>
      </c>
      <c r="CE362" s="19">
        <f t="shared" ref="CE362:CE425" si="404">IF(W362&gt;0,W362,0)</f>
        <v>0</v>
      </c>
      <c r="CF362" s="49">
        <f t="shared" ref="CF362:CF425" si="405">IF(K362&lt;0,K362,0)</f>
        <v>0</v>
      </c>
      <c r="CG362" s="49">
        <f t="shared" ref="CG362:CG425" si="406">IF(L362&lt;0,L362,0)</f>
        <v>0</v>
      </c>
      <c r="CH362" s="49">
        <f t="shared" ref="CH362:CH425" si="407">IF(M362&lt;0,M362,0)</f>
        <v>0</v>
      </c>
      <c r="CI362" s="49">
        <f t="shared" ref="CI362:CI425" si="408">IF(N362&lt;0,N362,0)</f>
        <v>0</v>
      </c>
      <c r="CJ362" s="49">
        <f t="shared" ref="CJ362:CJ425" si="409">IF(O362&lt;0,O362,0)</f>
        <v>0</v>
      </c>
      <c r="CK362" s="49">
        <f t="shared" ref="CK362:CK425" si="410">IF(P362&lt;0,P362,0)</f>
        <v>0</v>
      </c>
    </row>
    <row r="363" spans="2:89" ht="12.75" customHeight="1" x14ac:dyDescent="0.2">
      <c r="B363" s="77">
        <v>41540</v>
      </c>
      <c r="C363" s="49">
        <v>88.059997999999993</v>
      </c>
      <c r="D363" s="49">
        <v>70.209998999999996</v>
      </c>
      <c r="E363" s="49">
        <v>73.410004000000001</v>
      </c>
      <c r="F363" s="49">
        <v>90.269997000000004</v>
      </c>
      <c r="G363" s="49">
        <v>39.880001</v>
      </c>
      <c r="H363" s="49">
        <v>40.520000000000003</v>
      </c>
      <c r="J363" s="78">
        <f>IF(inter=Weekly_2,J362+$C$5,IF(inter=Bi_weekly_2,0,IF(inter=Monthly_2,0,IF(inter=Quarterly_2,0,IF(inter=Yearly_2,0,IF(inter=None_2,0,0))))))</f>
        <v>0</v>
      </c>
      <c r="K363" s="79">
        <f t="shared" ref="K363:K426" si="411">IF(J363=0,0,-((J363*$C$36)-(X362*C363)))</f>
        <v>0</v>
      </c>
      <c r="L363" s="79">
        <f t="shared" ref="L363:L426" si="412">IF(J363=0,0,-((J363*$D$36)-(Y362*D363)))</f>
        <v>0</v>
      </c>
      <c r="M363" s="79">
        <f t="shared" ref="M363:M426" si="413">IF(J363=0,0,-((J363*$E$36)-(Z362*E363)))</f>
        <v>0</v>
      </c>
      <c r="N363" s="79">
        <f t="shared" ref="N363:N426" si="414">IF(J363=0,0,-((J363*$F$36)-(AA362*F363)))</f>
        <v>0</v>
      </c>
      <c r="O363" s="79">
        <f t="shared" ref="O363:O426" si="415">IF(J363=0,0,-((J363*$G$36)-(AB362*G363)))</f>
        <v>0</v>
      </c>
      <c r="P363" s="79">
        <f t="shared" ref="P363:P426" si="416">IF(J363=0,0,-((J363*$H$36)-(AC362*H363)))</f>
        <v>0</v>
      </c>
      <c r="Q363" s="79"/>
      <c r="R363" s="80">
        <f t="shared" si="374"/>
        <v>0</v>
      </c>
      <c r="S363" s="80">
        <f t="shared" si="375"/>
        <v>0</v>
      </c>
      <c r="T363" s="80">
        <f t="shared" si="376"/>
        <v>0</v>
      </c>
      <c r="U363" s="80">
        <f t="shared" si="377"/>
        <v>0</v>
      </c>
      <c r="V363" s="80">
        <f t="shared" si="378"/>
        <v>0</v>
      </c>
      <c r="W363" s="80">
        <f t="shared" si="379"/>
        <v>0</v>
      </c>
      <c r="X363" s="80">
        <f t="shared" si="359"/>
        <v>455.15696598061544</v>
      </c>
      <c r="Y363" s="80">
        <f t="shared" si="360"/>
        <v>162.14704833453945</v>
      </c>
      <c r="Z363" s="80">
        <f t="shared" si="361"/>
        <v>125.55810442115521</v>
      </c>
      <c r="AA363" s="80">
        <f t="shared" si="362"/>
        <v>90.052125763604877</v>
      </c>
      <c r="AB363" s="80">
        <f t="shared" si="363"/>
        <v>724.8188315330583</v>
      </c>
      <c r="AC363" s="80">
        <f t="shared" si="364"/>
        <v>416.46721915910052</v>
      </c>
      <c r="AD363" s="80">
        <v>0.42899999999999999</v>
      </c>
      <c r="AE363" s="80">
        <v>0.41699999999999998</v>
      </c>
      <c r="AF363" s="80"/>
      <c r="AG363" s="80"/>
      <c r="AH363" s="80">
        <v>0.16400000000000001</v>
      </c>
      <c r="AI363" s="80">
        <v>0.34499999999999997</v>
      </c>
      <c r="AJ363" s="45">
        <f t="shared" si="380"/>
        <v>195.26233840568403</v>
      </c>
      <c r="AK363" s="45">
        <f t="shared" si="381"/>
        <v>67.615319155502945</v>
      </c>
      <c r="AL363" s="45">
        <f t="shared" si="382"/>
        <v>0</v>
      </c>
      <c r="AM363" s="45">
        <f t="shared" si="383"/>
        <v>0</v>
      </c>
      <c r="AN363" s="45">
        <f t="shared" si="384"/>
        <v>118.87028837142157</v>
      </c>
      <c r="AO363" s="45">
        <f t="shared" si="385"/>
        <v>143.68119060988968</v>
      </c>
      <c r="AP363" s="80">
        <f t="shared" si="386"/>
        <v>2.2173784106341228</v>
      </c>
      <c r="AQ363" s="80">
        <f t="shared" si="387"/>
        <v>0.96304401251313143</v>
      </c>
      <c r="AR363" s="80">
        <f t="shared" si="388"/>
        <v>0</v>
      </c>
      <c r="AS363" s="80">
        <f t="shared" si="389"/>
        <v>0</v>
      </c>
      <c r="AT363" s="80">
        <f t="shared" si="390"/>
        <v>2.9806992324654549</v>
      </c>
      <c r="AU363" s="80">
        <f t="shared" si="391"/>
        <v>3.5459326409153422</v>
      </c>
      <c r="AV363" s="80">
        <f t="shared" si="365"/>
        <v>47.54406782528207</v>
      </c>
      <c r="AW363" s="80">
        <f t="shared" si="366"/>
        <v>22.864688168125078</v>
      </c>
      <c r="AX363" s="80">
        <f t="shared" si="367"/>
        <v>13.504278781444341</v>
      </c>
      <c r="AY363" s="80">
        <f t="shared" si="368"/>
        <v>10.524573776947095</v>
      </c>
      <c r="AZ363" s="80">
        <f t="shared" si="369"/>
        <v>105.10366823534331</v>
      </c>
      <c r="BA363" s="80">
        <f t="shared" si="370"/>
        <v>45.898364000411021</v>
      </c>
      <c r="BB363" s="80">
        <f t="shared" ref="BB363:BB426" si="417">X363+AV363</f>
        <v>502.70103380589751</v>
      </c>
      <c r="BC363" s="80">
        <f t="shared" ref="BC363:BC426" si="418">Y363+AW363</f>
        <v>185.01173650266452</v>
      </c>
      <c r="BD363" s="80">
        <f t="shared" ref="BD363:BD426" si="419">Z363+AX363</f>
        <v>139.06238320259956</v>
      </c>
      <c r="BE363" s="80">
        <f t="shared" ref="BE363:BE426" si="420">AA363+AY363</f>
        <v>100.57669954055197</v>
      </c>
      <c r="BF363" s="80">
        <f t="shared" ref="BF363:BF426" si="421">AB363+AZ363</f>
        <v>829.92249976840162</v>
      </c>
      <c r="BG363" s="80">
        <f t="shared" ref="BG363:BG426" si="422">AC363+BA363</f>
        <v>462.36558315951152</v>
      </c>
      <c r="BH363" s="49">
        <f t="shared" ref="BH363:BH426" si="423">(AJ363+AK363+AL363+AM363+AN363+AO363)</f>
        <v>525.42913654249821</v>
      </c>
      <c r="BI363" s="79">
        <f t="shared" ref="BI363:BI426" si="424">BI362+K363+L363+M363+N363+O363+P363</f>
        <v>-81122.831069741515</v>
      </c>
      <c r="BJ363" s="79">
        <f t="shared" si="392"/>
        <v>114592.71913235766</v>
      </c>
      <c r="BK363" s="44">
        <f t="shared" ref="BK363:BK426" si="425">BJ363/ABS(BI363)-1</f>
        <v>0.41258284038240722</v>
      </c>
      <c r="BL363" s="79">
        <f t="shared" si="371"/>
        <v>10730.781047437771</v>
      </c>
      <c r="BM363" s="49">
        <f t="shared" ref="BM363:BM426" si="426">BJ363+BL363</f>
        <v>125323.50017979543</v>
      </c>
      <c r="BN363" s="44">
        <f t="shared" ref="BN363:BN426" si="427">BM363/ABS(BI363)-1</f>
        <v>0.54486102774266443</v>
      </c>
      <c r="BO363" s="49">
        <f t="shared" si="393"/>
        <v>13784.798757285627</v>
      </c>
      <c r="BP363" s="49">
        <f t="shared" si="394"/>
        <v>128377.51788964328</v>
      </c>
      <c r="BQ363" s="44">
        <f t="shared" si="395"/>
        <v>0.58250786118739839</v>
      </c>
      <c r="BS363" s="49">
        <f t="shared" si="396"/>
        <v>81122.831069741515</v>
      </c>
      <c r="BT363" s="49">
        <f t="shared" si="372"/>
        <v>88.059997999999993</v>
      </c>
      <c r="BU363" s="49">
        <f t="shared" si="373"/>
        <v>40.520000000000003</v>
      </c>
      <c r="BV363" s="49">
        <f t="shared" si="397"/>
        <v>-525.42913654249821</v>
      </c>
      <c r="BW363" s="18">
        <f t="shared" si="398"/>
        <v>2247</v>
      </c>
      <c r="BX363" s="19">
        <f t="shared" ref="BX363:BX426" si="428">($BW$40-BW363)/$BW$40</f>
        <v>0.4846330275229358</v>
      </c>
      <c r="BY363" s="49">
        <f t="shared" ref="BY363:BY426" si="429">BX363*BV363</f>
        <v>-254.64031319135293</v>
      </c>
      <c r="BZ363" s="19">
        <f t="shared" si="399"/>
        <v>0</v>
      </c>
      <c r="CA363" s="19">
        <f t="shared" si="400"/>
        <v>0</v>
      </c>
      <c r="CB363" s="19">
        <f t="shared" si="401"/>
        <v>0</v>
      </c>
      <c r="CC363" s="19">
        <f t="shared" si="402"/>
        <v>0</v>
      </c>
      <c r="CD363" s="19">
        <f t="shared" si="403"/>
        <v>0</v>
      </c>
      <c r="CE363" s="19">
        <f t="shared" si="404"/>
        <v>0</v>
      </c>
      <c r="CF363" s="49">
        <f t="shared" si="405"/>
        <v>0</v>
      </c>
      <c r="CG363" s="49">
        <f t="shared" si="406"/>
        <v>0</v>
      </c>
      <c r="CH363" s="49">
        <f t="shared" si="407"/>
        <v>0</v>
      </c>
      <c r="CI363" s="49">
        <f t="shared" si="408"/>
        <v>0</v>
      </c>
      <c r="CJ363" s="49">
        <f t="shared" si="409"/>
        <v>0</v>
      </c>
      <c r="CK363" s="49">
        <f t="shared" si="410"/>
        <v>0</v>
      </c>
    </row>
    <row r="364" spans="2:89" ht="12.75" customHeight="1" x14ac:dyDescent="0.2">
      <c r="B364" s="77">
        <v>41547</v>
      </c>
      <c r="C364" s="49">
        <v>88.150002000000001</v>
      </c>
      <c r="D364" s="49">
        <v>70.129997000000003</v>
      </c>
      <c r="E364" s="49">
        <v>74.040001000000004</v>
      </c>
      <c r="F364" s="49">
        <v>90.849997999999999</v>
      </c>
      <c r="G364" s="49">
        <v>39.630001</v>
      </c>
      <c r="H364" s="49">
        <v>41.5</v>
      </c>
      <c r="J364" s="78">
        <f>IF(inter=Weekly_2,J363+$C$5,IF(inter=Bi_weekly_2,J362+$C$5,IF(inter=Monthly_2,0,IF(inter=Quarterly_2,0,IF(inter=Yearly_2,0,IF(inter=None_2,0,0))))))</f>
        <v>116600</v>
      </c>
      <c r="K364" s="79">
        <f t="shared" si="411"/>
        <v>-687.91253849482018</v>
      </c>
      <c r="L364" s="79">
        <f t="shared" si="412"/>
        <v>-288.62798673989346</v>
      </c>
      <c r="M364" s="79">
        <f t="shared" si="413"/>
        <v>-31.677823099564193</v>
      </c>
      <c r="N364" s="79">
        <f t="shared" si="414"/>
        <v>19.235445519250788</v>
      </c>
      <c r="O364" s="79">
        <f t="shared" si="415"/>
        <v>-425.42898152606722</v>
      </c>
      <c r="P364" s="79">
        <f t="shared" si="416"/>
        <v>-206.61040489732841</v>
      </c>
      <c r="Q364" s="79"/>
      <c r="R364" s="80">
        <f t="shared" si="374"/>
        <v>7.8038856822126919</v>
      </c>
      <c r="S364" s="80">
        <f t="shared" si="375"/>
        <v>4.1156138469518746</v>
      </c>
      <c r="T364" s="80">
        <f t="shared" si="376"/>
        <v>0.42784741587948105</v>
      </c>
      <c r="U364" s="80">
        <f t="shared" si="377"/>
        <v>-0.21172752826313535</v>
      </c>
      <c r="V364" s="80">
        <f t="shared" si="378"/>
        <v>10.735023234697048</v>
      </c>
      <c r="W364" s="80">
        <f t="shared" si="379"/>
        <v>4.9785639734296003</v>
      </c>
      <c r="X364" s="80">
        <f t="shared" ref="X364:X427" si="430">X363+R364</f>
        <v>462.96085166282813</v>
      </c>
      <c r="Y364" s="80">
        <f t="shared" ref="Y364:Y427" si="431">Y363+S364</f>
        <v>166.26266218149132</v>
      </c>
      <c r="Z364" s="80">
        <f t="shared" ref="Z364:Z427" si="432">Z363+T364</f>
        <v>125.98595183703469</v>
      </c>
      <c r="AA364" s="80">
        <f t="shared" ref="AA364:AA427" si="433">AA363+U364</f>
        <v>89.840398235341738</v>
      </c>
      <c r="AB364" s="80">
        <f t="shared" ref="AB364:AB427" si="434">AB363+V364</f>
        <v>735.5538547677553</v>
      </c>
      <c r="AC364" s="80">
        <f t="shared" ref="AC364:AC427" si="435">AC363+W364</f>
        <v>421.4457831325301</v>
      </c>
      <c r="AD364" s="80"/>
      <c r="AE364" s="80"/>
      <c r="AF364" s="80"/>
      <c r="AG364" s="80"/>
      <c r="AH364" s="80"/>
      <c r="AI364" s="80"/>
      <c r="AJ364" s="45">
        <f t="shared" si="380"/>
        <v>0</v>
      </c>
      <c r="AK364" s="45">
        <f t="shared" si="381"/>
        <v>0</v>
      </c>
      <c r="AL364" s="45">
        <f t="shared" si="382"/>
        <v>0</v>
      </c>
      <c r="AM364" s="45">
        <f t="shared" si="383"/>
        <v>0</v>
      </c>
      <c r="AN364" s="45">
        <f t="shared" si="384"/>
        <v>0</v>
      </c>
      <c r="AO364" s="45">
        <f t="shared" si="385"/>
        <v>0</v>
      </c>
      <c r="AP364" s="80">
        <f t="shared" si="386"/>
        <v>0</v>
      </c>
      <c r="AQ364" s="80">
        <f t="shared" si="387"/>
        <v>0</v>
      </c>
      <c r="AR364" s="80">
        <f t="shared" si="388"/>
        <v>0</v>
      </c>
      <c r="AS364" s="80">
        <f t="shared" si="389"/>
        <v>0</v>
      </c>
      <c r="AT364" s="80">
        <f t="shared" si="390"/>
        <v>0</v>
      </c>
      <c r="AU364" s="80">
        <f t="shared" si="391"/>
        <v>0</v>
      </c>
      <c r="AV364" s="80">
        <f t="shared" ref="AV364:AV427" si="436">AP364+AV363+IF(AP364&lt;0,AP364,0)</f>
        <v>47.54406782528207</v>
      </c>
      <c r="AW364" s="80">
        <f t="shared" ref="AW364:AW427" si="437">AQ364+AW363+IF(AQ364&lt;0,AQ364,0)</f>
        <v>22.864688168125078</v>
      </c>
      <c r="AX364" s="80">
        <f t="shared" ref="AX364:AX427" si="438">AR364+AX363+IF(AR364&lt;0,AR364,0)</f>
        <v>13.504278781444341</v>
      </c>
      <c r="AY364" s="80">
        <f t="shared" ref="AY364:AY427" si="439">AS364+AY363+IF(AS364&lt;0,AS364,0)</f>
        <v>10.524573776947095</v>
      </c>
      <c r="AZ364" s="80">
        <f t="shared" ref="AZ364:AZ427" si="440">AT364+AZ363+IF(AT364&lt;0,AT364,0)</f>
        <v>105.10366823534331</v>
      </c>
      <c r="BA364" s="80">
        <f t="shared" ref="BA364:BA427" si="441">AU364+BA363+IF(AU364&lt;0,AU364,0)</f>
        <v>45.898364000411021</v>
      </c>
      <c r="BB364" s="80">
        <f t="shared" si="417"/>
        <v>510.5049194881102</v>
      </c>
      <c r="BC364" s="80">
        <f t="shared" si="418"/>
        <v>189.12735034961639</v>
      </c>
      <c r="BD364" s="80">
        <f t="shared" si="419"/>
        <v>139.49023061847902</v>
      </c>
      <c r="BE364" s="80">
        <f t="shared" si="420"/>
        <v>100.36497201228883</v>
      </c>
      <c r="BF364" s="80">
        <f t="shared" si="421"/>
        <v>840.65752300309862</v>
      </c>
      <c r="BG364" s="80">
        <f t="shared" si="422"/>
        <v>467.34414713294109</v>
      </c>
      <c r="BH364" s="49">
        <f t="shared" si="423"/>
        <v>0</v>
      </c>
      <c r="BI364" s="79">
        <f t="shared" si="424"/>
        <v>-82743.853358979948</v>
      </c>
      <c r="BJ364" s="79">
        <f t="shared" si="392"/>
        <v>116600</v>
      </c>
      <c r="BK364" s="44">
        <f t="shared" si="425"/>
        <v>0.40916811662295816</v>
      </c>
      <c r="BL364" s="79">
        <f t="shared" ref="BL364:BL427" si="442">BL363+BH364</f>
        <v>10730.781047437771</v>
      </c>
      <c r="BM364" s="49">
        <f t="shared" si="426"/>
        <v>127330.78104743778</v>
      </c>
      <c r="BN364" s="44">
        <f t="shared" si="427"/>
        <v>0.53885486206473532</v>
      </c>
      <c r="BO364" s="49">
        <f t="shared" si="393"/>
        <v>13820.565090879591</v>
      </c>
      <c r="BP364" s="49">
        <f t="shared" si="394"/>
        <v>130420.56509087959</v>
      </c>
      <c r="BQ364" s="44">
        <f t="shared" si="395"/>
        <v>0.57619641576343672</v>
      </c>
      <c r="BS364" s="49">
        <f t="shared" si="396"/>
        <v>82743.853358979948</v>
      </c>
      <c r="BT364" s="49">
        <f t="shared" si="372"/>
        <v>88.150002000000001</v>
      </c>
      <c r="BU364" s="49">
        <f t="shared" si="373"/>
        <v>41.5</v>
      </c>
      <c r="BV364" s="49">
        <f t="shared" si="397"/>
        <v>1621.0222892384227</v>
      </c>
      <c r="BW364" s="18">
        <f t="shared" si="398"/>
        <v>2254</v>
      </c>
      <c r="BX364" s="19">
        <f t="shared" si="428"/>
        <v>0.48302752293577983</v>
      </c>
      <c r="BY364" s="49">
        <f t="shared" si="429"/>
        <v>782.99838099452256</v>
      </c>
      <c r="BZ364" s="19">
        <f t="shared" si="399"/>
        <v>7.8038856822126919</v>
      </c>
      <c r="CA364" s="19">
        <f t="shared" si="400"/>
        <v>4.1156138469518746</v>
      </c>
      <c r="CB364" s="19">
        <f t="shared" si="401"/>
        <v>0.42784741587948105</v>
      </c>
      <c r="CC364" s="19">
        <f t="shared" si="402"/>
        <v>0</v>
      </c>
      <c r="CD364" s="19">
        <f t="shared" si="403"/>
        <v>10.735023234697048</v>
      </c>
      <c r="CE364" s="19">
        <f t="shared" si="404"/>
        <v>4.9785639734296003</v>
      </c>
      <c r="CF364" s="49">
        <f t="shared" si="405"/>
        <v>-687.91253849482018</v>
      </c>
      <c r="CG364" s="49">
        <f t="shared" si="406"/>
        <v>-288.62798673989346</v>
      </c>
      <c r="CH364" s="49">
        <f t="shared" si="407"/>
        <v>-31.677823099564193</v>
      </c>
      <c r="CI364" s="49">
        <f t="shared" si="408"/>
        <v>0</v>
      </c>
      <c r="CJ364" s="49">
        <f t="shared" si="409"/>
        <v>-425.42898152606722</v>
      </c>
      <c r="CK364" s="49">
        <f t="shared" si="410"/>
        <v>-206.61040489732841</v>
      </c>
    </row>
    <row r="365" spans="2:89" ht="12.75" customHeight="1" x14ac:dyDescent="0.2">
      <c r="B365" s="77">
        <v>41554</v>
      </c>
      <c r="C365" s="49">
        <v>88.699996999999996</v>
      </c>
      <c r="D365" s="49">
        <v>71.010002</v>
      </c>
      <c r="E365" s="49">
        <v>74.440002000000007</v>
      </c>
      <c r="F365" s="49">
        <v>91.370002999999997</v>
      </c>
      <c r="G365" s="49">
        <v>40.049999</v>
      </c>
      <c r="H365" s="49">
        <v>42.150002000000001</v>
      </c>
      <c r="J365" s="78">
        <f>IF(inter=Weekly_2,J364+$C$5,IF(inter=Bi_weekly_2,0,IF(inter=Monthly_2,0,IF(inter=Quarterly_2,0,IF(inter=Yearly_2,0,IF(inter=None_2,0,0))))))</f>
        <v>0</v>
      </c>
      <c r="K365" s="79">
        <f t="shared" si="411"/>
        <v>0</v>
      </c>
      <c r="L365" s="79">
        <f t="shared" si="412"/>
        <v>0</v>
      </c>
      <c r="M365" s="79">
        <f t="shared" si="413"/>
        <v>0</v>
      </c>
      <c r="N365" s="79">
        <f t="shared" si="414"/>
        <v>0</v>
      </c>
      <c r="O365" s="79">
        <f t="shared" si="415"/>
        <v>0</v>
      </c>
      <c r="P365" s="79">
        <f t="shared" si="416"/>
        <v>0</v>
      </c>
      <c r="Q365" s="79"/>
      <c r="R365" s="80">
        <f t="shared" si="374"/>
        <v>0</v>
      </c>
      <c r="S365" s="80">
        <f t="shared" si="375"/>
        <v>0</v>
      </c>
      <c r="T365" s="80">
        <f t="shared" si="376"/>
        <v>0</v>
      </c>
      <c r="U365" s="80">
        <f t="shared" si="377"/>
        <v>0</v>
      </c>
      <c r="V365" s="80">
        <f t="shared" si="378"/>
        <v>0</v>
      </c>
      <c r="W365" s="80">
        <f t="shared" si="379"/>
        <v>0</v>
      </c>
      <c r="X365" s="80">
        <f t="shared" si="430"/>
        <v>462.96085166282813</v>
      </c>
      <c r="Y365" s="80">
        <f t="shared" si="431"/>
        <v>166.26266218149132</v>
      </c>
      <c r="Z365" s="80">
        <f t="shared" si="432"/>
        <v>125.98595183703469</v>
      </c>
      <c r="AA365" s="80">
        <f t="shared" si="433"/>
        <v>89.840398235341738</v>
      </c>
      <c r="AB365" s="80">
        <f t="shared" si="434"/>
        <v>735.5538547677553</v>
      </c>
      <c r="AC365" s="80">
        <f t="shared" si="435"/>
        <v>421.4457831325301</v>
      </c>
      <c r="AD365" s="80"/>
      <c r="AE365" s="80"/>
      <c r="AF365" s="80"/>
      <c r="AG365" s="80"/>
      <c r="AH365" s="80"/>
      <c r="AI365" s="80"/>
      <c r="AJ365" s="45">
        <f t="shared" si="380"/>
        <v>0</v>
      </c>
      <c r="AK365" s="45">
        <f t="shared" si="381"/>
        <v>0</v>
      </c>
      <c r="AL365" s="45">
        <f t="shared" si="382"/>
        <v>0</v>
      </c>
      <c r="AM365" s="45">
        <f t="shared" si="383"/>
        <v>0</v>
      </c>
      <c r="AN365" s="45">
        <f t="shared" si="384"/>
        <v>0</v>
      </c>
      <c r="AO365" s="45">
        <f t="shared" si="385"/>
        <v>0</v>
      </c>
      <c r="AP365" s="80">
        <f t="shared" si="386"/>
        <v>0</v>
      </c>
      <c r="AQ365" s="80">
        <f t="shared" si="387"/>
        <v>0</v>
      </c>
      <c r="AR365" s="80">
        <f t="shared" si="388"/>
        <v>0</v>
      </c>
      <c r="AS365" s="80">
        <f t="shared" si="389"/>
        <v>0</v>
      </c>
      <c r="AT365" s="80">
        <f t="shared" si="390"/>
        <v>0</v>
      </c>
      <c r="AU365" s="80">
        <f t="shared" si="391"/>
        <v>0</v>
      </c>
      <c r="AV365" s="80">
        <f t="shared" si="436"/>
        <v>47.54406782528207</v>
      </c>
      <c r="AW365" s="80">
        <f t="shared" si="437"/>
        <v>22.864688168125078</v>
      </c>
      <c r="AX365" s="80">
        <f t="shared" si="438"/>
        <v>13.504278781444341</v>
      </c>
      <c r="AY365" s="80">
        <f t="shared" si="439"/>
        <v>10.524573776947095</v>
      </c>
      <c r="AZ365" s="80">
        <f t="shared" si="440"/>
        <v>105.10366823534331</v>
      </c>
      <c r="BA365" s="80">
        <f t="shared" si="441"/>
        <v>45.898364000411021</v>
      </c>
      <c r="BB365" s="80">
        <f t="shared" si="417"/>
        <v>510.5049194881102</v>
      </c>
      <c r="BC365" s="80">
        <f t="shared" si="418"/>
        <v>189.12735034961639</v>
      </c>
      <c r="BD365" s="80">
        <f t="shared" si="419"/>
        <v>139.49023061847902</v>
      </c>
      <c r="BE365" s="80">
        <f t="shared" si="420"/>
        <v>100.36497201228883</v>
      </c>
      <c r="BF365" s="80">
        <f t="shared" si="421"/>
        <v>840.65752300309862</v>
      </c>
      <c r="BG365" s="80">
        <f t="shared" si="422"/>
        <v>467.34414713294109</v>
      </c>
      <c r="BH365" s="49">
        <f t="shared" si="423"/>
        <v>0</v>
      </c>
      <c r="BI365" s="79">
        <f t="shared" si="424"/>
        <v>-82743.853358979948</v>
      </c>
      <c r="BJ365" s="79">
        <f t="shared" si="392"/>
        <v>117680.92184047091</v>
      </c>
      <c r="BK365" s="44">
        <f t="shared" si="425"/>
        <v>0.42223158655565984</v>
      </c>
      <c r="BL365" s="79">
        <f t="shared" si="442"/>
        <v>10730.781047437771</v>
      </c>
      <c r="BM365" s="49">
        <f t="shared" si="426"/>
        <v>128411.70288790869</v>
      </c>
      <c r="BN365" s="44">
        <f t="shared" si="427"/>
        <v>0.55191833199743701</v>
      </c>
      <c r="BO365" s="49">
        <f t="shared" si="393"/>
        <v>13951.68704522679</v>
      </c>
      <c r="BP365" s="49">
        <f t="shared" si="394"/>
        <v>131632.6088856977</v>
      </c>
      <c r="BQ365" s="44">
        <f t="shared" si="395"/>
        <v>0.59084455874464048</v>
      </c>
      <c r="BS365" s="49">
        <f t="shared" si="396"/>
        <v>82743.853358979948</v>
      </c>
      <c r="BT365" s="49">
        <f t="shared" si="372"/>
        <v>88.699996999999996</v>
      </c>
      <c r="BU365" s="49">
        <f t="shared" si="373"/>
        <v>42.150002000000001</v>
      </c>
      <c r="BV365" s="49">
        <f t="shared" si="397"/>
        <v>0</v>
      </c>
      <c r="BW365" s="18">
        <f t="shared" si="398"/>
        <v>2261</v>
      </c>
      <c r="BX365" s="19">
        <f t="shared" si="428"/>
        <v>0.48142201834862386</v>
      </c>
      <c r="BY365" s="49">
        <f t="shared" si="429"/>
        <v>0</v>
      </c>
      <c r="BZ365" s="19">
        <f t="shared" si="399"/>
        <v>0</v>
      </c>
      <c r="CA365" s="19">
        <f t="shared" si="400"/>
        <v>0</v>
      </c>
      <c r="CB365" s="19">
        <f t="shared" si="401"/>
        <v>0</v>
      </c>
      <c r="CC365" s="19">
        <f t="shared" si="402"/>
        <v>0</v>
      </c>
      <c r="CD365" s="19">
        <f t="shared" si="403"/>
        <v>0</v>
      </c>
      <c r="CE365" s="19">
        <f t="shared" si="404"/>
        <v>0</v>
      </c>
      <c r="CF365" s="49">
        <f t="shared" si="405"/>
        <v>0</v>
      </c>
      <c r="CG365" s="49">
        <f t="shared" si="406"/>
        <v>0</v>
      </c>
      <c r="CH365" s="49">
        <f t="shared" si="407"/>
        <v>0</v>
      </c>
      <c r="CI365" s="49">
        <f t="shared" si="408"/>
        <v>0</v>
      </c>
      <c r="CJ365" s="49">
        <f t="shared" si="409"/>
        <v>0</v>
      </c>
      <c r="CK365" s="49">
        <f t="shared" si="410"/>
        <v>0</v>
      </c>
    </row>
    <row r="366" spans="2:89" ht="12.75" customHeight="1" x14ac:dyDescent="0.2">
      <c r="B366" s="77">
        <v>41561</v>
      </c>
      <c r="C366" s="49">
        <v>90.949996999999996</v>
      </c>
      <c r="D366" s="49">
        <v>72.589995999999999</v>
      </c>
      <c r="E366" s="49">
        <v>76.279999000000004</v>
      </c>
      <c r="F366" s="49">
        <v>93.699996999999996</v>
      </c>
      <c r="G366" s="49">
        <v>41.029998999999997</v>
      </c>
      <c r="H366" s="49">
        <v>42.5</v>
      </c>
      <c r="J366" s="78">
        <f>IF(inter=Weekly_2,J365+$C$5,IF(inter=Bi_weekly_2,J364+$C$5,IF(inter=Monthly_2,J362+$C$5,IF(inter=Quarterly_2,0,IF(inter=Yearly_2,0,IF(inter=None_2,0,0))))))</f>
        <v>117200</v>
      </c>
      <c r="K366" s="79">
        <f t="shared" si="411"/>
        <v>1086.2880698516601</v>
      </c>
      <c r="L366" s="79">
        <f t="shared" si="412"/>
        <v>349.00598270380578</v>
      </c>
      <c r="M366" s="79">
        <f t="shared" si="413"/>
        <v>234.20828014305516</v>
      </c>
      <c r="N366" s="79">
        <f t="shared" si="414"/>
        <v>214.04504513032589</v>
      </c>
      <c r="O366" s="79">
        <f t="shared" si="415"/>
        <v>879.77392556714403</v>
      </c>
      <c r="P366" s="79">
        <f t="shared" si="416"/>
        <v>331.44578313253078</v>
      </c>
      <c r="Q366" s="79"/>
      <c r="R366" s="80">
        <f t="shared" si="374"/>
        <v>-11.943794455008724</v>
      </c>
      <c r="S366" s="80">
        <f t="shared" si="375"/>
        <v>-4.8079074519277532</v>
      </c>
      <c r="T366" s="80">
        <f t="shared" si="376"/>
        <v>-3.0703760253465022</v>
      </c>
      <c r="U366" s="80">
        <f t="shared" si="377"/>
        <v>-2.284365549449547</v>
      </c>
      <c r="V366" s="80">
        <f t="shared" si="378"/>
        <v>-21.442211723357442</v>
      </c>
      <c r="W366" s="80">
        <f t="shared" si="379"/>
        <v>-7.7987243090007246</v>
      </c>
      <c r="X366" s="80">
        <f t="shared" si="430"/>
        <v>451.01705720781939</v>
      </c>
      <c r="Y366" s="80">
        <f t="shared" si="431"/>
        <v>161.45475472956358</v>
      </c>
      <c r="Z366" s="80">
        <f t="shared" si="432"/>
        <v>122.91557581168819</v>
      </c>
      <c r="AA366" s="80">
        <f t="shared" si="433"/>
        <v>87.556032685892191</v>
      </c>
      <c r="AB366" s="80">
        <f t="shared" si="434"/>
        <v>714.11164304439785</v>
      </c>
      <c r="AC366" s="80">
        <f t="shared" si="435"/>
        <v>413.64705882352939</v>
      </c>
      <c r="AD366" s="80"/>
      <c r="AE366" s="80"/>
      <c r="AF366" s="80"/>
      <c r="AG366" s="80"/>
      <c r="AH366" s="80"/>
      <c r="AI366" s="80"/>
      <c r="AJ366" s="45">
        <f t="shared" si="380"/>
        <v>0</v>
      </c>
      <c r="AK366" s="45">
        <f t="shared" si="381"/>
        <v>0</v>
      </c>
      <c r="AL366" s="45">
        <f t="shared" si="382"/>
        <v>0</v>
      </c>
      <c r="AM366" s="45">
        <f t="shared" si="383"/>
        <v>0</v>
      </c>
      <c r="AN366" s="45">
        <f t="shared" si="384"/>
        <v>0</v>
      </c>
      <c r="AO366" s="45">
        <f t="shared" si="385"/>
        <v>0</v>
      </c>
      <c r="AP366" s="80">
        <f t="shared" si="386"/>
        <v>0</v>
      </c>
      <c r="AQ366" s="80">
        <f t="shared" si="387"/>
        <v>0</v>
      </c>
      <c r="AR366" s="80">
        <f t="shared" si="388"/>
        <v>0</v>
      </c>
      <c r="AS366" s="80">
        <f t="shared" si="389"/>
        <v>0</v>
      </c>
      <c r="AT366" s="80">
        <f t="shared" si="390"/>
        <v>0</v>
      </c>
      <c r="AU366" s="80">
        <f t="shared" si="391"/>
        <v>0</v>
      </c>
      <c r="AV366" s="80">
        <f t="shared" si="436"/>
        <v>47.54406782528207</v>
      </c>
      <c r="AW366" s="80">
        <f t="shared" si="437"/>
        <v>22.864688168125078</v>
      </c>
      <c r="AX366" s="80">
        <f t="shared" si="438"/>
        <v>13.504278781444341</v>
      </c>
      <c r="AY366" s="80">
        <f t="shared" si="439"/>
        <v>10.524573776947095</v>
      </c>
      <c r="AZ366" s="80">
        <f t="shared" si="440"/>
        <v>105.10366823534331</v>
      </c>
      <c r="BA366" s="80">
        <f t="shared" si="441"/>
        <v>45.898364000411021</v>
      </c>
      <c r="BB366" s="80">
        <f t="shared" si="417"/>
        <v>498.56112503310146</v>
      </c>
      <c r="BC366" s="80">
        <f t="shared" si="418"/>
        <v>184.31944289768865</v>
      </c>
      <c r="BD366" s="80">
        <f t="shared" si="419"/>
        <v>136.41985459313253</v>
      </c>
      <c r="BE366" s="80">
        <f t="shared" si="420"/>
        <v>98.080606462839285</v>
      </c>
      <c r="BF366" s="80">
        <f t="shared" si="421"/>
        <v>819.21531127974117</v>
      </c>
      <c r="BG366" s="80">
        <f t="shared" si="422"/>
        <v>459.54542282394038</v>
      </c>
      <c r="BH366" s="49">
        <f t="shared" si="423"/>
        <v>0</v>
      </c>
      <c r="BI366" s="79">
        <f t="shared" si="424"/>
        <v>-79649.086272451415</v>
      </c>
      <c r="BJ366" s="79">
        <f t="shared" si="392"/>
        <v>117200</v>
      </c>
      <c r="BK366" s="44">
        <f t="shared" si="425"/>
        <v>0.47145441944054656</v>
      </c>
      <c r="BL366" s="79">
        <f t="shared" si="442"/>
        <v>10730.781047437771</v>
      </c>
      <c r="BM366" s="49">
        <f t="shared" si="426"/>
        <v>127930.78104743778</v>
      </c>
      <c r="BN366" s="44">
        <f t="shared" si="427"/>
        <v>0.6061801463714438</v>
      </c>
      <c r="BO366" s="49">
        <f t="shared" si="393"/>
        <v>14263.223224623101</v>
      </c>
      <c r="BP366" s="49">
        <f t="shared" si="394"/>
        <v>131463.2232246231</v>
      </c>
      <c r="BQ366" s="44">
        <f t="shared" si="395"/>
        <v>0.65053021167039882</v>
      </c>
      <c r="BS366" s="49">
        <f t="shared" si="396"/>
        <v>79649.086272451415</v>
      </c>
      <c r="BT366" s="49">
        <f t="shared" si="372"/>
        <v>90.949996999999996</v>
      </c>
      <c r="BU366" s="49">
        <f t="shared" si="373"/>
        <v>42.5</v>
      </c>
      <c r="BV366" s="49">
        <f t="shared" si="397"/>
        <v>-3094.7670865285218</v>
      </c>
      <c r="BW366" s="18">
        <f t="shared" si="398"/>
        <v>2268</v>
      </c>
      <c r="BX366" s="19">
        <f t="shared" si="428"/>
        <v>0.47981651376146789</v>
      </c>
      <c r="BY366" s="49">
        <f t="shared" si="429"/>
        <v>-1484.9203543618503</v>
      </c>
      <c r="BZ366" s="19">
        <f t="shared" si="399"/>
        <v>0</v>
      </c>
      <c r="CA366" s="19">
        <f t="shared" si="400"/>
        <v>0</v>
      </c>
      <c r="CB366" s="19">
        <f t="shared" si="401"/>
        <v>0</v>
      </c>
      <c r="CC366" s="19">
        <f t="shared" si="402"/>
        <v>0</v>
      </c>
      <c r="CD366" s="19">
        <f t="shared" si="403"/>
        <v>0</v>
      </c>
      <c r="CE366" s="19">
        <f t="shared" si="404"/>
        <v>0</v>
      </c>
      <c r="CF366" s="49">
        <f t="shared" si="405"/>
        <v>0</v>
      </c>
      <c r="CG366" s="49">
        <f t="shared" si="406"/>
        <v>0</v>
      </c>
      <c r="CH366" s="49">
        <f t="shared" si="407"/>
        <v>0</v>
      </c>
      <c r="CI366" s="49">
        <f t="shared" si="408"/>
        <v>0</v>
      </c>
      <c r="CJ366" s="49">
        <f t="shared" si="409"/>
        <v>0</v>
      </c>
      <c r="CK366" s="49">
        <f t="shared" si="410"/>
        <v>0</v>
      </c>
    </row>
    <row r="367" spans="2:89" ht="12.75" customHeight="1" x14ac:dyDescent="0.2">
      <c r="B367" s="77">
        <v>41568</v>
      </c>
      <c r="C367" s="49">
        <v>91.669998000000007</v>
      </c>
      <c r="D367" s="49">
        <v>73.069999999999993</v>
      </c>
      <c r="E367" s="49">
        <v>76.879997000000003</v>
      </c>
      <c r="F367" s="49">
        <v>94.470000999999996</v>
      </c>
      <c r="G367" s="49">
        <v>41.200001</v>
      </c>
      <c r="H367" s="49">
        <v>42.119999</v>
      </c>
      <c r="J367" s="78">
        <f>IF(inter=Weekly_2,J366+$C$5,IF(inter=Bi_weekly_2,0,IF(inter=Monthly_2,0,IF(inter=Quarterly_2,J354+$C$5,IF(inter=Yearly_2,0,IF(inter=None_2,0,0))))))</f>
        <v>0</v>
      </c>
      <c r="K367" s="79">
        <f t="shared" si="411"/>
        <v>0</v>
      </c>
      <c r="L367" s="79">
        <f t="shared" si="412"/>
        <v>0</v>
      </c>
      <c r="M367" s="79">
        <f t="shared" si="413"/>
        <v>0</v>
      </c>
      <c r="N367" s="79">
        <f t="shared" si="414"/>
        <v>0</v>
      </c>
      <c r="O367" s="79">
        <f t="shared" si="415"/>
        <v>0</v>
      </c>
      <c r="P367" s="79">
        <f t="shared" si="416"/>
        <v>0</v>
      </c>
      <c r="Q367" s="79"/>
      <c r="R367" s="80">
        <f t="shared" si="374"/>
        <v>0</v>
      </c>
      <c r="S367" s="80">
        <f t="shared" si="375"/>
        <v>0</v>
      </c>
      <c r="T367" s="80">
        <f t="shared" si="376"/>
        <v>0</v>
      </c>
      <c r="U367" s="80">
        <f t="shared" si="377"/>
        <v>0</v>
      </c>
      <c r="V367" s="80">
        <f t="shared" si="378"/>
        <v>0</v>
      </c>
      <c r="W367" s="80">
        <f t="shared" si="379"/>
        <v>0</v>
      </c>
      <c r="X367" s="80">
        <f t="shared" si="430"/>
        <v>451.01705720781939</v>
      </c>
      <c r="Y367" s="80">
        <f t="shared" si="431"/>
        <v>161.45475472956358</v>
      </c>
      <c r="Z367" s="80">
        <f t="shared" si="432"/>
        <v>122.91557581168819</v>
      </c>
      <c r="AA367" s="80">
        <f t="shared" si="433"/>
        <v>87.556032685892191</v>
      </c>
      <c r="AB367" s="80">
        <f t="shared" si="434"/>
        <v>714.11164304439785</v>
      </c>
      <c r="AC367" s="80">
        <f t="shared" si="435"/>
        <v>413.64705882352939</v>
      </c>
      <c r="AD367" s="80"/>
      <c r="AE367" s="80"/>
      <c r="AF367" s="80"/>
      <c r="AG367" s="80"/>
      <c r="AH367" s="80"/>
      <c r="AI367" s="80"/>
      <c r="AJ367" s="45">
        <f t="shared" si="380"/>
        <v>0</v>
      </c>
      <c r="AK367" s="45">
        <f t="shared" si="381"/>
        <v>0</v>
      </c>
      <c r="AL367" s="45">
        <f t="shared" si="382"/>
        <v>0</v>
      </c>
      <c r="AM367" s="45">
        <f t="shared" si="383"/>
        <v>0</v>
      </c>
      <c r="AN367" s="45">
        <f t="shared" si="384"/>
        <v>0</v>
      </c>
      <c r="AO367" s="45">
        <f t="shared" si="385"/>
        <v>0</v>
      </c>
      <c r="AP367" s="80">
        <f t="shared" si="386"/>
        <v>0</v>
      </c>
      <c r="AQ367" s="80">
        <f t="shared" si="387"/>
        <v>0</v>
      </c>
      <c r="AR367" s="80">
        <f t="shared" si="388"/>
        <v>0</v>
      </c>
      <c r="AS367" s="80">
        <f t="shared" si="389"/>
        <v>0</v>
      </c>
      <c r="AT367" s="80">
        <f t="shared" si="390"/>
        <v>0</v>
      </c>
      <c r="AU367" s="80">
        <f t="shared" si="391"/>
        <v>0</v>
      </c>
      <c r="AV367" s="80">
        <f t="shared" si="436"/>
        <v>47.54406782528207</v>
      </c>
      <c r="AW367" s="80">
        <f t="shared" si="437"/>
        <v>22.864688168125078</v>
      </c>
      <c r="AX367" s="80">
        <f t="shared" si="438"/>
        <v>13.504278781444341</v>
      </c>
      <c r="AY367" s="80">
        <f t="shared" si="439"/>
        <v>10.524573776947095</v>
      </c>
      <c r="AZ367" s="80">
        <f t="shared" si="440"/>
        <v>105.10366823534331</v>
      </c>
      <c r="BA367" s="80">
        <f t="shared" si="441"/>
        <v>45.898364000411021</v>
      </c>
      <c r="BB367" s="80">
        <f t="shared" si="417"/>
        <v>498.56112503310146</v>
      </c>
      <c r="BC367" s="80">
        <f t="shared" si="418"/>
        <v>184.31944289768865</v>
      </c>
      <c r="BD367" s="80">
        <f t="shared" si="419"/>
        <v>136.41985459313253</v>
      </c>
      <c r="BE367" s="80">
        <f t="shared" si="420"/>
        <v>98.080606462839285</v>
      </c>
      <c r="BF367" s="80">
        <f t="shared" si="421"/>
        <v>819.21531127974117</v>
      </c>
      <c r="BG367" s="80">
        <f t="shared" si="422"/>
        <v>459.54542282394038</v>
      </c>
      <c r="BH367" s="49">
        <f t="shared" si="423"/>
        <v>0</v>
      </c>
      <c r="BI367" s="79">
        <f t="shared" si="424"/>
        <v>-79649.086272451415</v>
      </c>
      <c r="BJ367" s="79">
        <f t="shared" si="392"/>
        <v>117707.61336688486</v>
      </c>
      <c r="BK367" s="44">
        <f t="shared" si="425"/>
        <v>0.47782754172783171</v>
      </c>
      <c r="BL367" s="79">
        <f t="shared" si="442"/>
        <v>10730.781047437771</v>
      </c>
      <c r="BM367" s="49">
        <f t="shared" si="426"/>
        <v>128438.39441432264</v>
      </c>
      <c r="BN367" s="44">
        <f t="shared" si="427"/>
        <v>0.61255326865872917</v>
      </c>
      <c r="BO367" s="49">
        <f t="shared" si="393"/>
        <v>14325.063056536501</v>
      </c>
      <c r="BP367" s="49">
        <f t="shared" si="394"/>
        <v>132032.67642342136</v>
      </c>
      <c r="BQ367" s="44">
        <f t="shared" si="395"/>
        <v>0.65767973748982089</v>
      </c>
      <c r="BS367" s="49">
        <f t="shared" si="396"/>
        <v>79649.086272451415</v>
      </c>
      <c r="BT367" s="49">
        <f t="shared" si="372"/>
        <v>91.669998000000007</v>
      </c>
      <c r="BU367" s="49">
        <f t="shared" si="373"/>
        <v>42.119999</v>
      </c>
      <c r="BV367" s="49">
        <f t="shared" si="397"/>
        <v>0</v>
      </c>
      <c r="BW367" s="18">
        <f t="shared" si="398"/>
        <v>2275</v>
      </c>
      <c r="BX367" s="19">
        <f t="shared" si="428"/>
        <v>0.47821100917431192</v>
      </c>
      <c r="BY367" s="49">
        <f t="shared" si="429"/>
        <v>0</v>
      </c>
      <c r="BZ367" s="19">
        <f t="shared" si="399"/>
        <v>0</v>
      </c>
      <c r="CA367" s="19">
        <f t="shared" si="400"/>
        <v>0</v>
      </c>
      <c r="CB367" s="19">
        <f t="shared" si="401"/>
        <v>0</v>
      </c>
      <c r="CC367" s="19">
        <f t="shared" si="402"/>
        <v>0</v>
      </c>
      <c r="CD367" s="19">
        <f t="shared" si="403"/>
        <v>0</v>
      </c>
      <c r="CE367" s="19">
        <f t="shared" si="404"/>
        <v>0</v>
      </c>
      <c r="CF367" s="49">
        <f t="shared" si="405"/>
        <v>0</v>
      </c>
      <c r="CG367" s="49">
        <f t="shared" si="406"/>
        <v>0</v>
      </c>
      <c r="CH367" s="49">
        <f t="shared" si="407"/>
        <v>0</v>
      </c>
      <c r="CI367" s="49">
        <f t="shared" si="408"/>
        <v>0</v>
      </c>
      <c r="CJ367" s="49">
        <f t="shared" si="409"/>
        <v>0</v>
      </c>
      <c r="CK367" s="49">
        <f t="shared" si="410"/>
        <v>0</v>
      </c>
    </row>
    <row r="368" spans="2:89" ht="12.75" customHeight="1" x14ac:dyDescent="0.2">
      <c r="B368" s="77">
        <v>41575</v>
      </c>
      <c r="C368" s="49">
        <v>91.510002</v>
      </c>
      <c r="D368" s="49">
        <v>73.220000999999996</v>
      </c>
      <c r="E368" s="49">
        <v>76.730002999999996</v>
      </c>
      <c r="F368" s="49">
        <v>93.720000999999996</v>
      </c>
      <c r="G368" s="49">
        <v>40.650002000000001</v>
      </c>
      <c r="H368" s="49">
        <v>41.849997999999999</v>
      </c>
      <c r="J368" s="78">
        <f>IF(inter=Weekly_2,J367+$C$5,IF(inter=Bi_weekly_2,J366+$C$5,IF(inter=Monthly_2,0,IF(inter=Quarterly_2,0,IF(inter=Yearly_2,0,IF(inter=None_2,0,0))))))</f>
        <v>117800</v>
      </c>
      <c r="K368" s="79">
        <f t="shared" si="411"/>
        <v>42.571807121668826</v>
      </c>
      <c r="L368" s="79">
        <f t="shared" si="412"/>
        <v>41.717302753399053</v>
      </c>
      <c r="M368" s="79">
        <f t="shared" si="413"/>
        <v>7.3125007775615813</v>
      </c>
      <c r="N368" s="79">
        <f t="shared" si="414"/>
        <v>-40.248529122151012</v>
      </c>
      <c r="O368" s="79">
        <f t="shared" si="415"/>
        <v>-421.36028202194211</v>
      </c>
      <c r="P368" s="79">
        <f t="shared" si="416"/>
        <v>-358.87141552941466</v>
      </c>
      <c r="Q368" s="79"/>
      <c r="R368" s="80">
        <f t="shared" si="374"/>
        <v>-0.46521479828695478</v>
      </c>
      <c r="S368" s="80">
        <f t="shared" si="375"/>
        <v>-0.56975282960456464</v>
      </c>
      <c r="T368" s="80">
        <f t="shared" si="376"/>
        <v>-9.5301713692902912E-2</v>
      </c>
      <c r="U368" s="80">
        <f t="shared" si="377"/>
        <v>0.42945506500955982</v>
      </c>
      <c r="V368" s="80">
        <f t="shared" si="378"/>
        <v>10.365566083414759</v>
      </c>
      <c r="W368" s="80">
        <f t="shared" si="379"/>
        <v>8.575183576577821</v>
      </c>
      <c r="X368" s="80">
        <f t="shared" si="430"/>
        <v>450.55184240953241</v>
      </c>
      <c r="Y368" s="80">
        <f t="shared" si="431"/>
        <v>160.88500189995901</v>
      </c>
      <c r="Z368" s="80">
        <f t="shared" si="432"/>
        <v>122.82027409799528</v>
      </c>
      <c r="AA368" s="80">
        <f t="shared" si="433"/>
        <v>87.985487750901754</v>
      </c>
      <c r="AB368" s="80">
        <f t="shared" si="434"/>
        <v>724.47720912781256</v>
      </c>
      <c r="AC368" s="80">
        <f t="shared" si="435"/>
        <v>422.22224240010723</v>
      </c>
      <c r="AD368" s="80"/>
      <c r="AE368" s="80"/>
      <c r="AF368" s="80"/>
      <c r="AG368" s="80"/>
      <c r="AH368" s="80"/>
      <c r="AI368" s="80"/>
      <c r="AJ368" s="45">
        <f t="shared" si="380"/>
        <v>0</v>
      </c>
      <c r="AK368" s="45">
        <f t="shared" si="381"/>
        <v>0</v>
      </c>
      <c r="AL368" s="45">
        <f t="shared" si="382"/>
        <v>0</v>
      </c>
      <c r="AM368" s="45">
        <f t="shared" si="383"/>
        <v>0</v>
      </c>
      <c r="AN368" s="45">
        <f t="shared" si="384"/>
        <v>0</v>
      </c>
      <c r="AO368" s="45">
        <f t="shared" si="385"/>
        <v>0</v>
      </c>
      <c r="AP368" s="80">
        <f t="shared" si="386"/>
        <v>0</v>
      </c>
      <c r="AQ368" s="80">
        <f t="shared" si="387"/>
        <v>0</v>
      </c>
      <c r="AR368" s="80">
        <f t="shared" si="388"/>
        <v>0</v>
      </c>
      <c r="AS368" s="80">
        <f t="shared" si="389"/>
        <v>0</v>
      </c>
      <c r="AT368" s="80">
        <f t="shared" si="390"/>
        <v>0</v>
      </c>
      <c r="AU368" s="80">
        <f t="shared" si="391"/>
        <v>0</v>
      </c>
      <c r="AV368" s="80">
        <f t="shared" si="436"/>
        <v>47.54406782528207</v>
      </c>
      <c r="AW368" s="80">
        <f t="shared" si="437"/>
        <v>22.864688168125078</v>
      </c>
      <c r="AX368" s="80">
        <f t="shared" si="438"/>
        <v>13.504278781444341</v>
      </c>
      <c r="AY368" s="80">
        <f t="shared" si="439"/>
        <v>10.524573776947095</v>
      </c>
      <c r="AZ368" s="80">
        <f t="shared" si="440"/>
        <v>105.10366823534331</v>
      </c>
      <c r="BA368" s="80">
        <f t="shared" si="441"/>
        <v>45.898364000411021</v>
      </c>
      <c r="BB368" s="80">
        <f t="shared" si="417"/>
        <v>498.09591023481448</v>
      </c>
      <c r="BC368" s="80">
        <f t="shared" si="418"/>
        <v>183.74969006808408</v>
      </c>
      <c r="BD368" s="80">
        <f t="shared" si="419"/>
        <v>136.32455287943964</v>
      </c>
      <c r="BE368" s="80">
        <f t="shared" si="420"/>
        <v>98.510061527848848</v>
      </c>
      <c r="BF368" s="80">
        <f t="shared" si="421"/>
        <v>829.58087736315588</v>
      </c>
      <c r="BG368" s="80">
        <f t="shared" si="422"/>
        <v>468.12060640051823</v>
      </c>
      <c r="BH368" s="49">
        <f t="shared" si="423"/>
        <v>0</v>
      </c>
      <c r="BI368" s="79">
        <f t="shared" si="424"/>
        <v>-80377.964888472285</v>
      </c>
      <c r="BJ368" s="79">
        <f t="shared" si="392"/>
        <v>117800</v>
      </c>
      <c r="BK368" s="44">
        <f t="shared" si="425"/>
        <v>0.46557579758895762</v>
      </c>
      <c r="BL368" s="79">
        <f t="shared" si="442"/>
        <v>10730.781047437771</v>
      </c>
      <c r="BM368" s="49">
        <f t="shared" si="426"/>
        <v>128530.78104743778</v>
      </c>
      <c r="BN368" s="44">
        <f t="shared" si="427"/>
        <v>0.59907981280416212</v>
      </c>
      <c r="BO368" s="49">
        <f t="shared" si="393"/>
        <v>14240.767414222135</v>
      </c>
      <c r="BP368" s="49">
        <f t="shared" si="394"/>
        <v>132040.76741422212</v>
      </c>
      <c r="BQ368" s="44">
        <f t="shared" si="395"/>
        <v>0.64274832782136371</v>
      </c>
      <c r="BS368" s="49">
        <f t="shared" si="396"/>
        <v>80377.964888472285</v>
      </c>
      <c r="BT368" s="49">
        <f t="shared" si="372"/>
        <v>91.510002</v>
      </c>
      <c r="BU368" s="49">
        <f t="shared" si="373"/>
        <v>41.849997999999999</v>
      </c>
      <c r="BV368" s="49">
        <f t="shared" si="397"/>
        <v>728.87861602087833</v>
      </c>
      <c r="BW368" s="18">
        <f t="shared" si="398"/>
        <v>2282</v>
      </c>
      <c r="BX368" s="19">
        <f t="shared" si="428"/>
        <v>0.47660550458715595</v>
      </c>
      <c r="BY368" s="49">
        <f t="shared" si="429"/>
        <v>347.38756057141859</v>
      </c>
      <c r="BZ368" s="19">
        <f t="shared" si="399"/>
        <v>0</v>
      </c>
      <c r="CA368" s="19">
        <f t="shared" si="400"/>
        <v>0</v>
      </c>
      <c r="CB368" s="19">
        <f t="shared" si="401"/>
        <v>0</v>
      </c>
      <c r="CC368" s="19">
        <f t="shared" si="402"/>
        <v>0.42945506500955982</v>
      </c>
      <c r="CD368" s="19">
        <f t="shared" si="403"/>
        <v>10.365566083414759</v>
      </c>
      <c r="CE368" s="19">
        <f t="shared" si="404"/>
        <v>8.575183576577821</v>
      </c>
      <c r="CF368" s="49">
        <f t="shared" si="405"/>
        <v>0</v>
      </c>
      <c r="CG368" s="49">
        <f t="shared" si="406"/>
        <v>0</v>
      </c>
      <c r="CH368" s="49">
        <f t="shared" si="407"/>
        <v>0</v>
      </c>
      <c r="CI368" s="49">
        <f t="shared" si="408"/>
        <v>-40.248529122151012</v>
      </c>
      <c r="CJ368" s="49">
        <f t="shared" si="409"/>
        <v>-421.36028202194211</v>
      </c>
      <c r="CK368" s="49">
        <f t="shared" si="410"/>
        <v>-358.87141552941466</v>
      </c>
    </row>
    <row r="369" spans="2:89" ht="12.75" customHeight="1" x14ac:dyDescent="0.2">
      <c r="B369" s="77">
        <v>41582</v>
      </c>
      <c r="C369" s="49">
        <v>91.889999000000003</v>
      </c>
      <c r="D369" s="49">
        <v>74.069999999999993</v>
      </c>
      <c r="E369" s="49">
        <v>77.059997999999993</v>
      </c>
      <c r="F369" s="49">
        <v>93.849997999999999</v>
      </c>
      <c r="G369" s="49">
        <v>40.419998</v>
      </c>
      <c r="H369" s="49">
        <v>40.57</v>
      </c>
      <c r="J369" s="78">
        <f>IF(inter=Weekly_2,J368+$C$5,IF(inter=Bi_weekly_2,0,IF(inter=Monthly_2,0,IF(inter=Quarterly_2,0,IF(inter=Yearly_2,0,IF(inter=None_2,0,0))))))</f>
        <v>0</v>
      </c>
      <c r="K369" s="79">
        <f t="shared" si="411"/>
        <v>0</v>
      </c>
      <c r="L369" s="79">
        <f t="shared" si="412"/>
        <v>0</v>
      </c>
      <c r="M369" s="79">
        <f t="shared" si="413"/>
        <v>0</v>
      </c>
      <c r="N369" s="79">
        <f t="shared" si="414"/>
        <v>0</v>
      </c>
      <c r="O369" s="79">
        <f t="shared" si="415"/>
        <v>0</v>
      </c>
      <c r="P369" s="79">
        <f t="shared" si="416"/>
        <v>0</v>
      </c>
      <c r="Q369" s="79"/>
      <c r="R369" s="80">
        <f t="shared" si="374"/>
        <v>0</v>
      </c>
      <c r="S369" s="80">
        <f t="shared" si="375"/>
        <v>0</v>
      </c>
      <c r="T369" s="80">
        <f t="shared" si="376"/>
        <v>0</v>
      </c>
      <c r="U369" s="80">
        <f t="shared" si="377"/>
        <v>0</v>
      </c>
      <c r="V369" s="80">
        <f t="shared" si="378"/>
        <v>0</v>
      </c>
      <c r="W369" s="80">
        <f t="shared" si="379"/>
        <v>0</v>
      </c>
      <c r="X369" s="80">
        <f t="shared" si="430"/>
        <v>450.55184240953241</v>
      </c>
      <c r="Y369" s="80">
        <f t="shared" si="431"/>
        <v>160.88500189995901</v>
      </c>
      <c r="Z369" s="80">
        <f t="shared" si="432"/>
        <v>122.82027409799528</v>
      </c>
      <c r="AA369" s="80">
        <f t="shared" si="433"/>
        <v>87.985487750901754</v>
      </c>
      <c r="AB369" s="80">
        <f t="shared" si="434"/>
        <v>724.47720912781256</v>
      </c>
      <c r="AC369" s="80">
        <f t="shared" si="435"/>
        <v>422.22224240010723</v>
      </c>
      <c r="AD369" s="80"/>
      <c r="AE369" s="80"/>
      <c r="AF369" s="80"/>
      <c r="AG369" s="80"/>
      <c r="AH369" s="80"/>
      <c r="AI369" s="80"/>
      <c r="AJ369" s="45">
        <f t="shared" si="380"/>
        <v>0</v>
      </c>
      <c r="AK369" s="45">
        <f t="shared" si="381"/>
        <v>0</v>
      </c>
      <c r="AL369" s="45">
        <f t="shared" si="382"/>
        <v>0</v>
      </c>
      <c r="AM369" s="45">
        <f t="shared" si="383"/>
        <v>0</v>
      </c>
      <c r="AN369" s="45">
        <f t="shared" si="384"/>
        <v>0</v>
      </c>
      <c r="AO369" s="45">
        <f t="shared" si="385"/>
        <v>0</v>
      </c>
      <c r="AP369" s="80">
        <f t="shared" si="386"/>
        <v>0</v>
      </c>
      <c r="AQ369" s="80">
        <f t="shared" si="387"/>
        <v>0</v>
      </c>
      <c r="AR369" s="80">
        <f t="shared" si="388"/>
        <v>0</v>
      </c>
      <c r="AS369" s="80">
        <f t="shared" si="389"/>
        <v>0</v>
      </c>
      <c r="AT369" s="80">
        <f t="shared" si="390"/>
        <v>0</v>
      </c>
      <c r="AU369" s="80">
        <f t="shared" si="391"/>
        <v>0</v>
      </c>
      <c r="AV369" s="80">
        <f t="shared" si="436"/>
        <v>47.54406782528207</v>
      </c>
      <c r="AW369" s="80">
        <f t="shared" si="437"/>
        <v>22.864688168125078</v>
      </c>
      <c r="AX369" s="80">
        <f t="shared" si="438"/>
        <v>13.504278781444341</v>
      </c>
      <c r="AY369" s="80">
        <f t="shared" si="439"/>
        <v>10.524573776947095</v>
      </c>
      <c r="AZ369" s="80">
        <f t="shared" si="440"/>
        <v>105.10366823534331</v>
      </c>
      <c r="BA369" s="80">
        <f t="shared" si="441"/>
        <v>45.898364000411021</v>
      </c>
      <c r="BB369" s="80">
        <f t="shared" si="417"/>
        <v>498.09591023481448</v>
      </c>
      <c r="BC369" s="80">
        <f t="shared" si="418"/>
        <v>183.74969006808408</v>
      </c>
      <c r="BD369" s="80">
        <f t="shared" si="419"/>
        <v>136.32455287943964</v>
      </c>
      <c r="BE369" s="80">
        <f t="shared" si="420"/>
        <v>98.510061527848848</v>
      </c>
      <c r="BF369" s="80">
        <f t="shared" si="421"/>
        <v>829.58087736315588</v>
      </c>
      <c r="BG369" s="80">
        <f t="shared" si="422"/>
        <v>468.12060640051823</v>
      </c>
      <c r="BH369" s="49">
        <f t="shared" si="423"/>
        <v>0</v>
      </c>
      <c r="BI369" s="79">
        <f t="shared" si="424"/>
        <v>-80377.964888472285</v>
      </c>
      <c r="BJ369" s="79">
        <f t="shared" si="392"/>
        <v>117452.85208315628</v>
      </c>
      <c r="BK369" s="44">
        <f t="shared" si="425"/>
        <v>0.46125685374252656</v>
      </c>
      <c r="BL369" s="79">
        <f t="shared" si="442"/>
        <v>10730.781047437771</v>
      </c>
      <c r="BM369" s="49">
        <f t="shared" si="426"/>
        <v>128183.63313059405</v>
      </c>
      <c r="BN369" s="44">
        <f t="shared" si="427"/>
        <v>0.59476086895773106</v>
      </c>
      <c r="BO369" s="49">
        <f t="shared" si="393"/>
        <v>14201.169408702923</v>
      </c>
      <c r="BP369" s="49">
        <f t="shared" si="394"/>
        <v>131654.02149185922</v>
      </c>
      <c r="BQ369" s="44">
        <f t="shared" si="395"/>
        <v>0.63793673644928139</v>
      </c>
      <c r="BS369" s="49">
        <f t="shared" si="396"/>
        <v>80377.964888472285</v>
      </c>
      <c r="BT369" s="49">
        <f t="shared" si="372"/>
        <v>91.889999000000003</v>
      </c>
      <c r="BU369" s="49">
        <f t="shared" si="373"/>
        <v>40.57</v>
      </c>
      <c r="BV369" s="49">
        <f t="shared" si="397"/>
        <v>0</v>
      </c>
      <c r="BW369" s="18">
        <f t="shared" si="398"/>
        <v>2289</v>
      </c>
      <c r="BX369" s="19">
        <f t="shared" si="428"/>
        <v>0.47499999999999998</v>
      </c>
      <c r="BY369" s="49">
        <f t="shared" si="429"/>
        <v>0</v>
      </c>
      <c r="BZ369" s="19">
        <f t="shared" si="399"/>
        <v>0</v>
      </c>
      <c r="CA369" s="19">
        <f t="shared" si="400"/>
        <v>0</v>
      </c>
      <c r="CB369" s="19">
        <f t="shared" si="401"/>
        <v>0</v>
      </c>
      <c r="CC369" s="19">
        <f t="shared" si="402"/>
        <v>0</v>
      </c>
      <c r="CD369" s="19">
        <f t="shared" si="403"/>
        <v>0</v>
      </c>
      <c r="CE369" s="19">
        <f t="shared" si="404"/>
        <v>0</v>
      </c>
      <c r="CF369" s="49">
        <f t="shared" si="405"/>
        <v>0</v>
      </c>
      <c r="CG369" s="49">
        <f t="shared" si="406"/>
        <v>0</v>
      </c>
      <c r="CH369" s="49">
        <f t="shared" si="407"/>
        <v>0</v>
      </c>
      <c r="CI369" s="49">
        <f t="shared" si="408"/>
        <v>0</v>
      </c>
      <c r="CJ369" s="49">
        <f t="shared" si="409"/>
        <v>0</v>
      </c>
      <c r="CK369" s="49">
        <f t="shared" si="410"/>
        <v>0</v>
      </c>
    </row>
    <row r="370" spans="2:89" ht="12.75" customHeight="1" x14ac:dyDescent="0.2">
      <c r="B370" s="77">
        <v>41589</v>
      </c>
      <c r="C370" s="49">
        <v>93.440002000000007</v>
      </c>
      <c r="D370" s="49">
        <v>75.099997999999999</v>
      </c>
      <c r="E370" s="49">
        <v>78.730002999999996</v>
      </c>
      <c r="F370" s="49">
        <v>95.550003000000004</v>
      </c>
      <c r="G370" s="49">
        <v>41.049999</v>
      </c>
      <c r="H370" s="49">
        <v>41.610000999999997</v>
      </c>
      <c r="J370" s="78">
        <f>IF(inter=Weekly_2,J369+$C$5,IF(inter=Bi_weekly_2,J368+$C$5,IF(inter=Monthly_2,J366+$C$5,IF(inter=Quarterly_2,0,IF(inter=Yearly_2,0,IF(inter=None_2,0,0))))))</f>
        <v>118400</v>
      </c>
      <c r="K370" s="79">
        <f t="shared" si="411"/>
        <v>659.56505585039849</v>
      </c>
      <c r="L370" s="79">
        <f t="shared" si="412"/>
        <v>242.46332091691693</v>
      </c>
      <c r="M370" s="79">
        <f t="shared" si="413"/>
        <v>197.64054819599005</v>
      </c>
      <c r="N370" s="79">
        <f t="shared" si="414"/>
        <v>119.0136185551255</v>
      </c>
      <c r="O370" s="79">
        <f t="shared" si="415"/>
        <v>139.78871021949453</v>
      </c>
      <c r="P370" s="79">
        <f t="shared" si="416"/>
        <v>-191.33207150929593</v>
      </c>
      <c r="Q370" s="79"/>
      <c r="R370" s="80">
        <f t="shared" si="374"/>
        <v>-7.0587012171767549</v>
      </c>
      <c r="S370" s="80">
        <f t="shared" si="375"/>
        <v>-3.2285396454593371</v>
      </c>
      <c r="T370" s="80">
        <f t="shared" si="376"/>
        <v>-2.5103587027170575</v>
      </c>
      <c r="U370" s="80">
        <f t="shared" si="377"/>
        <v>-1.2455637343635195</v>
      </c>
      <c r="V370" s="80">
        <f t="shared" si="378"/>
        <v>-3.4053279811162609</v>
      </c>
      <c r="W370" s="80">
        <f t="shared" si="379"/>
        <v>4.5982231894033347</v>
      </c>
      <c r="X370" s="80">
        <f t="shared" si="430"/>
        <v>443.49314119235567</v>
      </c>
      <c r="Y370" s="80">
        <f t="shared" si="431"/>
        <v>157.65646225449967</v>
      </c>
      <c r="Z370" s="80">
        <f t="shared" si="432"/>
        <v>120.30991539527822</v>
      </c>
      <c r="AA370" s="80">
        <f t="shared" si="433"/>
        <v>86.739924016538239</v>
      </c>
      <c r="AB370" s="80">
        <f t="shared" si="434"/>
        <v>721.07188114669634</v>
      </c>
      <c r="AC370" s="80">
        <f t="shared" si="435"/>
        <v>426.82046558951055</v>
      </c>
      <c r="AD370" s="80"/>
      <c r="AE370" s="80"/>
      <c r="AF370" s="80"/>
      <c r="AG370" s="80"/>
      <c r="AH370" s="80"/>
      <c r="AI370" s="80"/>
      <c r="AJ370" s="45">
        <f t="shared" si="380"/>
        <v>0</v>
      </c>
      <c r="AK370" s="45">
        <f t="shared" si="381"/>
        <v>0</v>
      </c>
      <c r="AL370" s="45">
        <f t="shared" si="382"/>
        <v>0</v>
      </c>
      <c r="AM370" s="45">
        <f t="shared" si="383"/>
        <v>0</v>
      </c>
      <c r="AN370" s="45">
        <f t="shared" si="384"/>
        <v>0</v>
      </c>
      <c r="AO370" s="45">
        <f t="shared" si="385"/>
        <v>0</v>
      </c>
      <c r="AP370" s="80">
        <f t="shared" si="386"/>
        <v>0</v>
      </c>
      <c r="AQ370" s="80">
        <f t="shared" si="387"/>
        <v>0</v>
      </c>
      <c r="AR370" s="80">
        <f t="shared" si="388"/>
        <v>0</v>
      </c>
      <c r="AS370" s="80">
        <f t="shared" si="389"/>
        <v>0</v>
      </c>
      <c r="AT370" s="80">
        <f t="shared" si="390"/>
        <v>0</v>
      </c>
      <c r="AU370" s="80">
        <f t="shared" si="391"/>
        <v>0</v>
      </c>
      <c r="AV370" s="80">
        <f t="shared" si="436"/>
        <v>47.54406782528207</v>
      </c>
      <c r="AW370" s="80">
        <f t="shared" si="437"/>
        <v>22.864688168125078</v>
      </c>
      <c r="AX370" s="80">
        <f t="shared" si="438"/>
        <v>13.504278781444341</v>
      </c>
      <c r="AY370" s="80">
        <f t="shared" si="439"/>
        <v>10.524573776947095</v>
      </c>
      <c r="AZ370" s="80">
        <f t="shared" si="440"/>
        <v>105.10366823534331</v>
      </c>
      <c r="BA370" s="80">
        <f t="shared" si="441"/>
        <v>45.898364000411021</v>
      </c>
      <c r="BB370" s="80">
        <f t="shared" si="417"/>
        <v>491.03720901763774</v>
      </c>
      <c r="BC370" s="80">
        <f t="shared" si="418"/>
        <v>180.52115042262474</v>
      </c>
      <c r="BD370" s="80">
        <f t="shared" si="419"/>
        <v>133.81419417672257</v>
      </c>
      <c r="BE370" s="80">
        <f t="shared" si="420"/>
        <v>97.264497793485333</v>
      </c>
      <c r="BF370" s="80">
        <f t="shared" si="421"/>
        <v>826.17554938203966</v>
      </c>
      <c r="BG370" s="80">
        <f t="shared" si="422"/>
        <v>472.7188295899216</v>
      </c>
      <c r="BH370" s="49">
        <f t="shared" si="423"/>
        <v>0</v>
      </c>
      <c r="BI370" s="79">
        <f t="shared" si="424"/>
        <v>-79210.825706243661</v>
      </c>
      <c r="BJ370" s="79">
        <f t="shared" si="392"/>
        <v>118400</v>
      </c>
      <c r="BK370" s="44">
        <f t="shared" si="425"/>
        <v>0.49474518090609076</v>
      </c>
      <c r="BL370" s="79">
        <f t="shared" si="442"/>
        <v>10730.781047437771</v>
      </c>
      <c r="BM370" s="49">
        <f t="shared" si="426"/>
        <v>129130.78104743778</v>
      </c>
      <c r="BN370" s="44">
        <f t="shared" si="427"/>
        <v>0.63021632328798294</v>
      </c>
      <c r="BO370" s="49">
        <f t="shared" si="393"/>
        <v>14452.807241228918</v>
      </c>
      <c r="BP370" s="49">
        <f t="shared" si="394"/>
        <v>132852.80724122893</v>
      </c>
      <c r="BQ370" s="44">
        <f t="shared" si="395"/>
        <v>0.67720518068980362</v>
      </c>
      <c r="BS370" s="49">
        <f t="shared" si="396"/>
        <v>79210.825706243661</v>
      </c>
      <c r="BT370" s="49">
        <f t="shared" si="372"/>
        <v>93.440002000000007</v>
      </c>
      <c r="BU370" s="49">
        <f t="shared" si="373"/>
        <v>41.610000999999997</v>
      </c>
      <c r="BV370" s="49">
        <f t="shared" si="397"/>
        <v>-1167.1391822286296</v>
      </c>
      <c r="BW370" s="18">
        <f t="shared" si="398"/>
        <v>2296</v>
      </c>
      <c r="BX370" s="19">
        <f t="shared" si="428"/>
        <v>0.47339449541284406</v>
      </c>
      <c r="BY370" s="49">
        <f t="shared" si="429"/>
        <v>-552.51726424768151</v>
      </c>
      <c r="BZ370" s="19">
        <f t="shared" si="399"/>
        <v>0</v>
      </c>
      <c r="CA370" s="19">
        <f t="shared" si="400"/>
        <v>0</v>
      </c>
      <c r="CB370" s="19">
        <f t="shared" si="401"/>
        <v>0</v>
      </c>
      <c r="CC370" s="19">
        <f t="shared" si="402"/>
        <v>0</v>
      </c>
      <c r="CD370" s="19">
        <f t="shared" si="403"/>
        <v>0</v>
      </c>
      <c r="CE370" s="19">
        <f t="shared" si="404"/>
        <v>4.5982231894033347</v>
      </c>
      <c r="CF370" s="49">
        <f t="shared" si="405"/>
        <v>0</v>
      </c>
      <c r="CG370" s="49">
        <f t="shared" si="406"/>
        <v>0</v>
      </c>
      <c r="CH370" s="49">
        <f t="shared" si="407"/>
        <v>0</v>
      </c>
      <c r="CI370" s="49">
        <f t="shared" si="408"/>
        <v>0</v>
      </c>
      <c r="CJ370" s="49">
        <f t="shared" si="409"/>
        <v>0</v>
      </c>
      <c r="CK370" s="49">
        <f t="shared" si="410"/>
        <v>-191.33207150929593</v>
      </c>
    </row>
    <row r="371" spans="2:89" ht="12.75" customHeight="1" x14ac:dyDescent="0.2">
      <c r="B371" s="77">
        <v>41596</v>
      </c>
      <c r="C371" s="49">
        <v>93.730002999999996</v>
      </c>
      <c r="D371" s="49">
        <v>75.559997999999993</v>
      </c>
      <c r="E371" s="49">
        <v>78.680000000000007</v>
      </c>
      <c r="F371" s="49">
        <v>95.940002000000007</v>
      </c>
      <c r="G371" s="49">
        <v>41.040000999999997</v>
      </c>
      <c r="H371" s="49">
        <v>41.349997999999999</v>
      </c>
      <c r="J371" s="78">
        <f>IF(inter=Weekly_2,J370+$C$5,IF(inter=Bi_weekly_2,0,IF(inter=Monthly_2,0,IF(inter=Quarterly_2,0,IF(inter=Yearly_2,0,IF(inter=None_2,0,0))))))</f>
        <v>0</v>
      </c>
      <c r="K371" s="79">
        <f t="shared" si="411"/>
        <v>0</v>
      </c>
      <c r="L371" s="79">
        <f t="shared" si="412"/>
        <v>0</v>
      </c>
      <c r="M371" s="79">
        <f t="shared" si="413"/>
        <v>0</v>
      </c>
      <c r="N371" s="79">
        <f t="shared" si="414"/>
        <v>0</v>
      </c>
      <c r="O371" s="79">
        <f t="shared" si="415"/>
        <v>0</v>
      </c>
      <c r="P371" s="79">
        <f t="shared" si="416"/>
        <v>0</v>
      </c>
      <c r="Q371" s="79"/>
      <c r="R371" s="80">
        <f t="shared" si="374"/>
        <v>0</v>
      </c>
      <c r="S371" s="80">
        <f t="shared" si="375"/>
        <v>0</v>
      </c>
      <c r="T371" s="80">
        <f t="shared" si="376"/>
        <v>0</v>
      </c>
      <c r="U371" s="80">
        <f t="shared" si="377"/>
        <v>0</v>
      </c>
      <c r="V371" s="80">
        <f t="shared" si="378"/>
        <v>0</v>
      </c>
      <c r="W371" s="80">
        <f t="shared" si="379"/>
        <v>0</v>
      </c>
      <c r="X371" s="80">
        <f t="shared" si="430"/>
        <v>443.49314119235567</v>
      </c>
      <c r="Y371" s="80">
        <f t="shared" si="431"/>
        <v>157.65646225449967</v>
      </c>
      <c r="Z371" s="80">
        <f t="shared" si="432"/>
        <v>120.30991539527822</v>
      </c>
      <c r="AA371" s="80">
        <f t="shared" si="433"/>
        <v>86.739924016538239</v>
      </c>
      <c r="AB371" s="80">
        <f t="shared" si="434"/>
        <v>721.07188114669634</v>
      </c>
      <c r="AC371" s="80">
        <f t="shared" si="435"/>
        <v>426.82046558951055</v>
      </c>
      <c r="AD371" s="80"/>
      <c r="AE371" s="80"/>
      <c r="AF371" s="80"/>
      <c r="AG371" s="80"/>
      <c r="AH371" s="80"/>
      <c r="AI371" s="80"/>
      <c r="AJ371" s="45">
        <f t="shared" si="380"/>
        <v>0</v>
      </c>
      <c r="AK371" s="45">
        <f t="shared" si="381"/>
        <v>0</v>
      </c>
      <c r="AL371" s="45">
        <f t="shared" si="382"/>
        <v>0</v>
      </c>
      <c r="AM371" s="45">
        <f t="shared" si="383"/>
        <v>0</v>
      </c>
      <c r="AN371" s="45">
        <f t="shared" si="384"/>
        <v>0</v>
      </c>
      <c r="AO371" s="45">
        <f t="shared" si="385"/>
        <v>0</v>
      </c>
      <c r="AP371" s="80">
        <f t="shared" si="386"/>
        <v>0</v>
      </c>
      <c r="AQ371" s="80">
        <f t="shared" si="387"/>
        <v>0</v>
      </c>
      <c r="AR371" s="80">
        <f t="shared" si="388"/>
        <v>0</v>
      </c>
      <c r="AS371" s="80">
        <f t="shared" si="389"/>
        <v>0</v>
      </c>
      <c r="AT371" s="80">
        <f t="shared" si="390"/>
        <v>0</v>
      </c>
      <c r="AU371" s="80">
        <f t="shared" si="391"/>
        <v>0</v>
      </c>
      <c r="AV371" s="80">
        <f t="shared" si="436"/>
        <v>47.54406782528207</v>
      </c>
      <c r="AW371" s="80">
        <f t="shared" si="437"/>
        <v>22.864688168125078</v>
      </c>
      <c r="AX371" s="80">
        <f t="shared" si="438"/>
        <v>13.504278781444341</v>
      </c>
      <c r="AY371" s="80">
        <f t="shared" si="439"/>
        <v>10.524573776947095</v>
      </c>
      <c r="AZ371" s="80">
        <f t="shared" si="440"/>
        <v>105.10366823534331</v>
      </c>
      <c r="BA371" s="80">
        <f t="shared" si="441"/>
        <v>45.898364000411021</v>
      </c>
      <c r="BB371" s="80">
        <f t="shared" si="417"/>
        <v>491.03720901763774</v>
      </c>
      <c r="BC371" s="80">
        <f t="shared" si="418"/>
        <v>180.52115042262474</v>
      </c>
      <c r="BD371" s="80">
        <f t="shared" si="419"/>
        <v>133.81419417672257</v>
      </c>
      <c r="BE371" s="80">
        <f t="shared" si="420"/>
        <v>97.264497793485333</v>
      </c>
      <c r="BF371" s="80">
        <f t="shared" si="421"/>
        <v>826.17554938203966</v>
      </c>
      <c r="BG371" s="80">
        <f t="shared" si="422"/>
        <v>472.7188295899216</v>
      </c>
      <c r="BH371" s="49">
        <f t="shared" si="423"/>
        <v>0</v>
      </c>
      <c r="BI371" s="79">
        <f t="shared" si="424"/>
        <v>-79210.825706243661</v>
      </c>
      <c r="BJ371" s="79">
        <f t="shared" si="392"/>
        <v>118510.76417582063</v>
      </c>
      <c r="BK371" s="44">
        <f t="shared" si="425"/>
        <v>0.49614352734211198</v>
      </c>
      <c r="BL371" s="79">
        <f t="shared" si="442"/>
        <v>10730.781047437771</v>
      </c>
      <c r="BM371" s="49">
        <f t="shared" si="426"/>
        <v>129241.54522325841</v>
      </c>
      <c r="BN371" s="44">
        <f t="shared" si="427"/>
        <v>0.63161466972400415</v>
      </c>
      <c r="BO371" s="49">
        <f t="shared" si="393"/>
        <v>14467.557604985963</v>
      </c>
      <c r="BP371" s="49">
        <f t="shared" si="394"/>
        <v>132978.32178080658</v>
      </c>
      <c r="BQ371" s="44">
        <f t="shared" si="395"/>
        <v>0.67878974363885192</v>
      </c>
      <c r="BS371" s="49">
        <f t="shared" si="396"/>
        <v>79210.825706243661</v>
      </c>
      <c r="BT371" s="49">
        <f t="shared" si="372"/>
        <v>93.730002999999996</v>
      </c>
      <c r="BU371" s="49">
        <f t="shared" si="373"/>
        <v>41.349997999999999</v>
      </c>
      <c r="BV371" s="49">
        <f t="shared" si="397"/>
        <v>0</v>
      </c>
      <c r="BW371" s="18">
        <f t="shared" si="398"/>
        <v>2303</v>
      </c>
      <c r="BX371" s="19">
        <f t="shared" si="428"/>
        <v>0.47178899082568809</v>
      </c>
      <c r="BY371" s="49">
        <f t="shared" si="429"/>
        <v>0</v>
      </c>
      <c r="BZ371" s="19">
        <f t="shared" si="399"/>
        <v>0</v>
      </c>
      <c r="CA371" s="19">
        <f t="shared" si="400"/>
        <v>0</v>
      </c>
      <c r="CB371" s="19">
        <f t="shared" si="401"/>
        <v>0</v>
      </c>
      <c r="CC371" s="19">
        <f t="shared" si="402"/>
        <v>0</v>
      </c>
      <c r="CD371" s="19">
        <f t="shared" si="403"/>
        <v>0</v>
      </c>
      <c r="CE371" s="19">
        <f t="shared" si="404"/>
        <v>0</v>
      </c>
      <c r="CF371" s="49">
        <f t="shared" si="405"/>
        <v>0</v>
      </c>
      <c r="CG371" s="49">
        <f t="shared" si="406"/>
        <v>0</v>
      </c>
      <c r="CH371" s="49">
        <f t="shared" si="407"/>
        <v>0</v>
      </c>
      <c r="CI371" s="49">
        <f t="shared" si="408"/>
        <v>0</v>
      </c>
      <c r="CJ371" s="49">
        <f t="shared" si="409"/>
        <v>0</v>
      </c>
      <c r="CK371" s="49">
        <f t="shared" si="410"/>
        <v>0</v>
      </c>
    </row>
    <row r="372" spans="2:89" ht="12.75" customHeight="1" x14ac:dyDescent="0.2">
      <c r="B372" s="77">
        <v>41603</v>
      </c>
      <c r="C372" s="49">
        <v>93.860000999999997</v>
      </c>
      <c r="D372" s="49">
        <v>75.309997999999993</v>
      </c>
      <c r="E372" s="49">
        <v>78.769997000000004</v>
      </c>
      <c r="F372" s="49">
        <v>96.529999000000004</v>
      </c>
      <c r="G372" s="49">
        <v>41.119999</v>
      </c>
      <c r="H372" s="49">
        <v>41.48</v>
      </c>
      <c r="J372" s="78">
        <f>IF(inter=Weekly_2,J371+$C$5,IF(inter=Bi_weekly_2,J370+$C$5,IF(inter=Monthly_2,0,IF(inter=Quarterly_2,0,IF(inter=Yearly_2,0,IF(inter=None_2,0,0))))))</f>
        <v>119000</v>
      </c>
      <c r="K372" s="79">
        <f t="shared" si="411"/>
        <v>-23.733324192355212</v>
      </c>
      <c r="L372" s="79">
        <f t="shared" si="412"/>
        <v>-26.892142926555607</v>
      </c>
      <c r="M372" s="79">
        <f t="shared" si="413"/>
        <v>-43.188325243680083</v>
      </c>
      <c r="N372" s="79">
        <f t="shared" si="414"/>
        <v>43.004778576512763</v>
      </c>
      <c r="O372" s="79">
        <f t="shared" si="415"/>
        <v>-99.524968319728941</v>
      </c>
      <c r="P372" s="79">
        <f t="shared" si="416"/>
        <v>-145.48708734710453</v>
      </c>
      <c r="Q372" s="79"/>
      <c r="R372" s="80">
        <f t="shared" si="374"/>
        <v>0.25285876773382104</v>
      </c>
      <c r="S372" s="80">
        <f t="shared" si="375"/>
        <v>0.35708595990874425</v>
      </c>
      <c r="T372" s="80">
        <f t="shared" si="376"/>
        <v>0.54828395186659817</v>
      </c>
      <c r="U372" s="80">
        <f t="shared" si="377"/>
        <v>-0.44550687891867441</v>
      </c>
      <c r="V372" s="80">
        <f t="shared" si="378"/>
        <v>2.4203543467919086</v>
      </c>
      <c r="W372" s="80">
        <f t="shared" si="379"/>
        <v>3.5074032629485186</v>
      </c>
      <c r="X372" s="80">
        <f t="shared" si="430"/>
        <v>443.74599996008948</v>
      </c>
      <c r="Y372" s="80">
        <f t="shared" si="431"/>
        <v>158.01354821440842</v>
      </c>
      <c r="Z372" s="80">
        <f t="shared" si="432"/>
        <v>120.85819934714482</v>
      </c>
      <c r="AA372" s="80">
        <f t="shared" si="433"/>
        <v>86.294417137619561</v>
      </c>
      <c r="AB372" s="80">
        <f t="shared" si="434"/>
        <v>723.49223549348824</v>
      </c>
      <c r="AC372" s="80">
        <f t="shared" si="435"/>
        <v>430.32786885245906</v>
      </c>
      <c r="AD372" s="80"/>
      <c r="AE372" s="80"/>
      <c r="AF372" s="80"/>
      <c r="AG372" s="80"/>
      <c r="AH372" s="80"/>
      <c r="AI372" s="80"/>
      <c r="AJ372" s="45">
        <f t="shared" si="380"/>
        <v>0</v>
      </c>
      <c r="AK372" s="45">
        <f t="shared" si="381"/>
        <v>0</v>
      </c>
      <c r="AL372" s="45">
        <f t="shared" si="382"/>
        <v>0</v>
      </c>
      <c r="AM372" s="45">
        <f t="shared" si="383"/>
        <v>0</v>
      </c>
      <c r="AN372" s="45">
        <f t="shared" si="384"/>
        <v>0</v>
      </c>
      <c r="AO372" s="45">
        <f t="shared" si="385"/>
        <v>0</v>
      </c>
      <c r="AP372" s="80">
        <f t="shared" si="386"/>
        <v>0</v>
      </c>
      <c r="AQ372" s="80">
        <f t="shared" si="387"/>
        <v>0</v>
      </c>
      <c r="AR372" s="80">
        <f t="shared" si="388"/>
        <v>0</v>
      </c>
      <c r="AS372" s="80">
        <f t="shared" si="389"/>
        <v>0</v>
      </c>
      <c r="AT372" s="80">
        <f t="shared" si="390"/>
        <v>0</v>
      </c>
      <c r="AU372" s="80">
        <f t="shared" si="391"/>
        <v>0</v>
      </c>
      <c r="AV372" s="80">
        <f t="shared" si="436"/>
        <v>47.54406782528207</v>
      </c>
      <c r="AW372" s="80">
        <f t="shared" si="437"/>
        <v>22.864688168125078</v>
      </c>
      <c r="AX372" s="80">
        <f t="shared" si="438"/>
        <v>13.504278781444341</v>
      </c>
      <c r="AY372" s="80">
        <f t="shared" si="439"/>
        <v>10.524573776947095</v>
      </c>
      <c r="AZ372" s="80">
        <f t="shared" si="440"/>
        <v>105.10366823534331</v>
      </c>
      <c r="BA372" s="80">
        <f t="shared" si="441"/>
        <v>45.898364000411021</v>
      </c>
      <c r="BB372" s="80">
        <f t="shared" si="417"/>
        <v>491.29006778537155</v>
      </c>
      <c r="BC372" s="80">
        <f t="shared" si="418"/>
        <v>180.87823638253349</v>
      </c>
      <c r="BD372" s="80">
        <f t="shared" si="419"/>
        <v>134.36247812858915</v>
      </c>
      <c r="BE372" s="80">
        <f t="shared" si="420"/>
        <v>96.818990914566655</v>
      </c>
      <c r="BF372" s="80">
        <f t="shared" si="421"/>
        <v>828.59590372883156</v>
      </c>
      <c r="BG372" s="80">
        <f t="shared" si="422"/>
        <v>476.22623285287011</v>
      </c>
      <c r="BH372" s="49">
        <f t="shared" si="423"/>
        <v>0</v>
      </c>
      <c r="BI372" s="79">
        <f t="shared" si="424"/>
        <v>-79506.646775696587</v>
      </c>
      <c r="BJ372" s="79">
        <f t="shared" si="392"/>
        <v>119000</v>
      </c>
      <c r="BK372" s="44">
        <f t="shared" si="425"/>
        <v>0.49673020842800342</v>
      </c>
      <c r="BL372" s="79">
        <f t="shared" si="442"/>
        <v>10730.781047437771</v>
      </c>
      <c r="BM372" s="49">
        <f t="shared" si="426"/>
        <v>129730.78104743778</v>
      </c>
      <c r="BN372" s="44">
        <f t="shared" si="427"/>
        <v>0.6316973021568002</v>
      </c>
      <c r="BO372" s="49">
        <f t="shared" si="393"/>
        <v>14489.821840573528</v>
      </c>
      <c r="BP372" s="49">
        <f t="shared" si="394"/>
        <v>133489.82184057354</v>
      </c>
      <c r="BQ372" s="44">
        <f t="shared" si="395"/>
        <v>0.67897688123074529</v>
      </c>
      <c r="BS372" s="49">
        <f t="shared" si="396"/>
        <v>79506.646775696587</v>
      </c>
      <c r="BT372" s="49">
        <f t="shared" si="372"/>
        <v>93.860000999999997</v>
      </c>
      <c r="BU372" s="49">
        <f t="shared" si="373"/>
        <v>41.48</v>
      </c>
      <c r="BV372" s="49">
        <f t="shared" si="397"/>
        <v>295.82106945291162</v>
      </c>
      <c r="BW372" s="18">
        <f t="shared" si="398"/>
        <v>2310</v>
      </c>
      <c r="BX372" s="19">
        <f t="shared" si="428"/>
        <v>0.47018348623853212</v>
      </c>
      <c r="BY372" s="49">
        <f t="shared" si="429"/>
        <v>139.09018173818092</v>
      </c>
      <c r="BZ372" s="19">
        <f t="shared" si="399"/>
        <v>0.25285876773382104</v>
      </c>
      <c r="CA372" s="19">
        <f t="shared" si="400"/>
        <v>0.35708595990874425</v>
      </c>
      <c r="CB372" s="19">
        <f t="shared" si="401"/>
        <v>0.54828395186659817</v>
      </c>
      <c r="CC372" s="19">
        <f t="shared" si="402"/>
        <v>0</v>
      </c>
      <c r="CD372" s="19">
        <f t="shared" si="403"/>
        <v>2.4203543467919086</v>
      </c>
      <c r="CE372" s="19">
        <f t="shared" si="404"/>
        <v>3.5074032629485186</v>
      </c>
      <c r="CF372" s="49">
        <f t="shared" si="405"/>
        <v>-23.733324192355212</v>
      </c>
      <c r="CG372" s="49">
        <f t="shared" si="406"/>
        <v>-26.892142926555607</v>
      </c>
      <c r="CH372" s="49">
        <f t="shared" si="407"/>
        <v>-43.188325243680083</v>
      </c>
      <c r="CI372" s="49">
        <f t="shared" si="408"/>
        <v>0</v>
      </c>
      <c r="CJ372" s="49">
        <f t="shared" si="409"/>
        <v>-99.524968319728941</v>
      </c>
      <c r="CK372" s="49">
        <f t="shared" si="410"/>
        <v>-145.48708734710453</v>
      </c>
    </row>
    <row r="373" spans="2:89" ht="12.75" customHeight="1" x14ac:dyDescent="0.2">
      <c r="B373" s="77">
        <v>41610</v>
      </c>
      <c r="C373" s="49">
        <v>93.860000999999997</v>
      </c>
      <c r="D373" s="49">
        <v>75.239998</v>
      </c>
      <c r="E373" s="49">
        <v>79.019997000000004</v>
      </c>
      <c r="F373" s="49">
        <v>96.18</v>
      </c>
      <c r="G373" s="49">
        <v>40.549999</v>
      </c>
      <c r="H373" s="49">
        <v>41.330002</v>
      </c>
      <c r="J373" s="78">
        <f>IF(inter=Weekly_2,J372+$C$5,IF(inter=Bi_weekly_2,0,IF(inter=Monthly_2,0,IF(inter=Quarterly_2,0,IF(inter=Yearly_2,0,IF(inter=None_2,0,0))))))</f>
        <v>0</v>
      </c>
      <c r="K373" s="79">
        <f t="shared" si="411"/>
        <v>0</v>
      </c>
      <c r="L373" s="79">
        <f t="shared" si="412"/>
        <v>0</v>
      </c>
      <c r="M373" s="79">
        <f t="shared" si="413"/>
        <v>0</v>
      </c>
      <c r="N373" s="79">
        <f t="shared" si="414"/>
        <v>0</v>
      </c>
      <c r="O373" s="79">
        <f t="shared" si="415"/>
        <v>0</v>
      </c>
      <c r="P373" s="79">
        <f t="shared" si="416"/>
        <v>0</v>
      </c>
      <c r="Q373" s="79"/>
      <c r="R373" s="80">
        <f t="shared" si="374"/>
        <v>0</v>
      </c>
      <c r="S373" s="80">
        <f t="shared" si="375"/>
        <v>0</v>
      </c>
      <c r="T373" s="80">
        <f t="shared" si="376"/>
        <v>0</v>
      </c>
      <c r="U373" s="80">
        <f t="shared" si="377"/>
        <v>0</v>
      </c>
      <c r="V373" s="80">
        <f t="shared" si="378"/>
        <v>0</v>
      </c>
      <c r="W373" s="80">
        <f t="shared" si="379"/>
        <v>0</v>
      </c>
      <c r="X373" s="80">
        <f t="shared" si="430"/>
        <v>443.74599996008948</v>
      </c>
      <c r="Y373" s="80">
        <f t="shared" si="431"/>
        <v>158.01354821440842</v>
      </c>
      <c r="Z373" s="80">
        <f t="shared" si="432"/>
        <v>120.85819934714482</v>
      </c>
      <c r="AA373" s="80">
        <f t="shared" si="433"/>
        <v>86.294417137619561</v>
      </c>
      <c r="AB373" s="80">
        <f t="shared" si="434"/>
        <v>723.49223549348824</v>
      </c>
      <c r="AC373" s="80">
        <f t="shared" si="435"/>
        <v>430.32786885245906</v>
      </c>
      <c r="AD373" s="80"/>
      <c r="AE373" s="80"/>
      <c r="AF373" s="80"/>
      <c r="AG373" s="80"/>
      <c r="AH373" s="80"/>
      <c r="AI373" s="80"/>
      <c r="AJ373" s="45">
        <f t="shared" si="380"/>
        <v>0</v>
      </c>
      <c r="AK373" s="45">
        <f t="shared" si="381"/>
        <v>0</v>
      </c>
      <c r="AL373" s="45">
        <f t="shared" si="382"/>
        <v>0</v>
      </c>
      <c r="AM373" s="45">
        <f t="shared" si="383"/>
        <v>0</v>
      </c>
      <c r="AN373" s="45">
        <f t="shared" si="384"/>
        <v>0</v>
      </c>
      <c r="AO373" s="45">
        <f t="shared" si="385"/>
        <v>0</v>
      </c>
      <c r="AP373" s="80">
        <f t="shared" si="386"/>
        <v>0</v>
      </c>
      <c r="AQ373" s="80">
        <f t="shared" si="387"/>
        <v>0</v>
      </c>
      <c r="AR373" s="80">
        <f t="shared" si="388"/>
        <v>0</v>
      </c>
      <c r="AS373" s="80">
        <f t="shared" si="389"/>
        <v>0</v>
      </c>
      <c r="AT373" s="80">
        <f t="shared" si="390"/>
        <v>0</v>
      </c>
      <c r="AU373" s="80">
        <f t="shared" si="391"/>
        <v>0</v>
      </c>
      <c r="AV373" s="80">
        <f t="shared" si="436"/>
        <v>47.54406782528207</v>
      </c>
      <c r="AW373" s="80">
        <f t="shared" si="437"/>
        <v>22.864688168125078</v>
      </c>
      <c r="AX373" s="80">
        <f t="shared" si="438"/>
        <v>13.504278781444341</v>
      </c>
      <c r="AY373" s="80">
        <f t="shared" si="439"/>
        <v>10.524573776947095</v>
      </c>
      <c r="AZ373" s="80">
        <f t="shared" si="440"/>
        <v>105.10366823534331</v>
      </c>
      <c r="BA373" s="80">
        <f t="shared" si="441"/>
        <v>45.898364000411021</v>
      </c>
      <c r="BB373" s="80">
        <f t="shared" si="417"/>
        <v>491.29006778537155</v>
      </c>
      <c r="BC373" s="80">
        <f t="shared" si="418"/>
        <v>180.87823638253349</v>
      </c>
      <c r="BD373" s="80">
        <f t="shared" si="419"/>
        <v>134.36247812858915</v>
      </c>
      <c r="BE373" s="80">
        <f t="shared" si="420"/>
        <v>96.818990914566655</v>
      </c>
      <c r="BF373" s="80">
        <f t="shared" si="421"/>
        <v>828.59590372883156</v>
      </c>
      <c r="BG373" s="80">
        <f t="shared" si="422"/>
        <v>476.22623285287011</v>
      </c>
      <c r="BH373" s="49">
        <f t="shared" si="423"/>
        <v>0</v>
      </c>
      <c r="BI373" s="79">
        <f t="shared" si="424"/>
        <v>-79506.646775696587</v>
      </c>
      <c r="BJ373" s="79">
        <f t="shared" si="392"/>
        <v>118512.0117478546</v>
      </c>
      <c r="BK373" s="44">
        <f t="shared" si="425"/>
        <v>0.49059250457637327</v>
      </c>
      <c r="BL373" s="79">
        <f t="shared" si="442"/>
        <v>10730.781047437771</v>
      </c>
      <c r="BM373" s="49">
        <f t="shared" si="426"/>
        <v>129242.79279529238</v>
      </c>
      <c r="BN373" s="44">
        <f t="shared" si="427"/>
        <v>0.62555959830517005</v>
      </c>
      <c r="BO373" s="49">
        <f t="shared" si="393"/>
        <v>14421.120038102283</v>
      </c>
      <c r="BP373" s="49">
        <f t="shared" si="394"/>
        <v>132933.13178595688</v>
      </c>
      <c r="BQ373" s="44">
        <f t="shared" si="395"/>
        <v>0.67197507600825612</v>
      </c>
      <c r="BS373" s="49">
        <f t="shared" si="396"/>
        <v>79506.646775696587</v>
      </c>
      <c r="BT373" s="49">
        <f t="shared" si="372"/>
        <v>93.860000999999997</v>
      </c>
      <c r="BU373" s="49">
        <f t="shared" si="373"/>
        <v>41.330002</v>
      </c>
      <c r="BV373" s="49">
        <f t="shared" si="397"/>
        <v>0</v>
      </c>
      <c r="BW373" s="18">
        <f t="shared" si="398"/>
        <v>2317</v>
      </c>
      <c r="BX373" s="19">
        <f t="shared" si="428"/>
        <v>0.46857798165137615</v>
      </c>
      <c r="BY373" s="49">
        <f t="shared" si="429"/>
        <v>0</v>
      </c>
      <c r="BZ373" s="19">
        <f t="shared" si="399"/>
        <v>0</v>
      </c>
      <c r="CA373" s="19">
        <f t="shared" si="400"/>
        <v>0</v>
      </c>
      <c r="CB373" s="19">
        <f t="shared" si="401"/>
        <v>0</v>
      </c>
      <c r="CC373" s="19">
        <f t="shared" si="402"/>
        <v>0</v>
      </c>
      <c r="CD373" s="19">
        <f t="shared" si="403"/>
        <v>0</v>
      </c>
      <c r="CE373" s="19">
        <f t="shared" si="404"/>
        <v>0</v>
      </c>
      <c r="CF373" s="49">
        <f t="shared" si="405"/>
        <v>0</v>
      </c>
      <c r="CG373" s="49">
        <f t="shared" si="406"/>
        <v>0</v>
      </c>
      <c r="CH373" s="49">
        <f t="shared" si="407"/>
        <v>0</v>
      </c>
      <c r="CI373" s="49">
        <f t="shared" si="408"/>
        <v>0</v>
      </c>
      <c r="CJ373" s="49">
        <f t="shared" si="409"/>
        <v>0</v>
      </c>
      <c r="CK373" s="49">
        <f t="shared" si="410"/>
        <v>0</v>
      </c>
    </row>
    <row r="374" spans="2:89" ht="12.75" customHeight="1" x14ac:dyDescent="0.2">
      <c r="B374" s="77">
        <v>41617</v>
      </c>
      <c r="C374" s="49">
        <v>92.459998999999996</v>
      </c>
      <c r="D374" s="49">
        <v>73.989998</v>
      </c>
      <c r="E374" s="49">
        <v>77.839995999999999</v>
      </c>
      <c r="F374" s="49">
        <v>94.849997999999999</v>
      </c>
      <c r="G374" s="49">
        <v>39.759998000000003</v>
      </c>
      <c r="H374" s="49">
        <v>40.340000000000003</v>
      </c>
      <c r="J374" s="78">
        <f>IF(inter=Weekly_2,J373+$C$5,IF(inter=Bi_weekly_2,J372+$C$5,IF(inter=Monthly_2,J370+$C$5,IF(inter=Quarterly_2,0,IF(inter=Yearly_2,0,IF(inter=None_2,0,0))))))</f>
        <v>119600</v>
      </c>
      <c r="K374" s="79">
        <f t="shared" si="411"/>
        <v>-831.24528743612609</v>
      </c>
      <c r="L374" s="79">
        <f t="shared" si="412"/>
        <v>-268.57788364301814</v>
      </c>
      <c r="M374" s="79">
        <f t="shared" si="413"/>
        <v>-160.39824625104484</v>
      </c>
      <c r="N374" s="79">
        <f t="shared" si="414"/>
        <v>-186.97470708561923</v>
      </c>
      <c r="O374" s="79">
        <f t="shared" si="415"/>
        <v>-1133.9501637633766</v>
      </c>
      <c r="P374" s="79">
        <f t="shared" si="416"/>
        <v>-580.57377049179922</v>
      </c>
      <c r="Q374" s="79"/>
      <c r="R374" s="80">
        <f t="shared" si="374"/>
        <v>8.9903233444348842</v>
      </c>
      <c r="S374" s="80">
        <f t="shared" si="375"/>
        <v>3.629921488077593</v>
      </c>
      <c r="T374" s="80">
        <f t="shared" si="376"/>
        <v>2.0606147802351487</v>
      </c>
      <c r="U374" s="80">
        <f t="shared" si="377"/>
        <v>1.9712673803706273</v>
      </c>
      <c r="V374" s="80">
        <f t="shared" si="378"/>
        <v>28.519874768690293</v>
      </c>
      <c r="W374" s="80">
        <f t="shared" si="379"/>
        <v>14.392012158943956</v>
      </c>
      <c r="X374" s="80">
        <f t="shared" si="430"/>
        <v>452.73632330452438</v>
      </c>
      <c r="Y374" s="80">
        <f t="shared" si="431"/>
        <v>161.64346970248602</v>
      </c>
      <c r="Z374" s="80">
        <f t="shared" si="432"/>
        <v>122.91881412737996</v>
      </c>
      <c r="AA374" s="80">
        <f t="shared" si="433"/>
        <v>88.265684517990195</v>
      </c>
      <c r="AB374" s="80">
        <f t="shared" si="434"/>
        <v>752.01211026217857</v>
      </c>
      <c r="AC374" s="80">
        <f t="shared" si="435"/>
        <v>444.719881011403</v>
      </c>
      <c r="AD374" s="80"/>
      <c r="AE374" s="80"/>
      <c r="AF374" s="80"/>
      <c r="AG374" s="80"/>
      <c r="AH374" s="80"/>
      <c r="AI374" s="80"/>
      <c r="AJ374" s="45">
        <f t="shared" si="380"/>
        <v>0</v>
      </c>
      <c r="AK374" s="45">
        <f t="shared" si="381"/>
        <v>0</v>
      </c>
      <c r="AL374" s="45">
        <f t="shared" si="382"/>
        <v>0</v>
      </c>
      <c r="AM374" s="45">
        <f t="shared" si="383"/>
        <v>0</v>
      </c>
      <c r="AN374" s="45">
        <f t="shared" si="384"/>
        <v>0</v>
      </c>
      <c r="AO374" s="45">
        <f t="shared" si="385"/>
        <v>0</v>
      </c>
      <c r="AP374" s="80">
        <f t="shared" si="386"/>
        <v>0</v>
      </c>
      <c r="AQ374" s="80">
        <f t="shared" si="387"/>
        <v>0</v>
      </c>
      <c r="AR374" s="80">
        <f t="shared" si="388"/>
        <v>0</v>
      </c>
      <c r="AS374" s="80">
        <f t="shared" si="389"/>
        <v>0</v>
      </c>
      <c r="AT374" s="80">
        <f t="shared" si="390"/>
        <v>0</v>
      </c>
      <c r="AU374" s="80">
        <f t="shared" si="391"/>
        <v>0</v>
      </c>
      <c r="AV374" s="80">
        <f t="shared" si="436"/>
        <v>47.54406782528207</v>
      </c>
      <c r="AW374" s="80">
        <f t="shared" si="437"/>
        <v>22.864688168125078</v>
      </c>
      <c r="AX374" s="80">
        <f t="shared" si="438"/>
        <v>13.504278781444341</v>
      </c>
      <c r="AY374" s="80">
        <f t="shared" si="439"/>
        <v>10.524573776947095</v>
      </c>
      <c r="AZ374" s="80">
        <f t="shared" si="440"/>
        <v>105.10366823534331</v>
      </c>
      <c r="BA374" s="80">
        <f t="shared" si="441"/>
        <v>45.898364000411021</v>
      </c>
      <c r="BB374" s="80">
        <f t="shared" si="417"/>
        <v>500.28039112980645</v>
      </c>
      <c r="BC374" s="80">
        <f t="shared" si="418"/>
        <v>184.50815787061109</v>
      </c>
      <c r="BD374" s="80">
        <f t="shared" si="419"/>
        <v>136.42309290882429</v>
      </c>
      <c r="BE374" s="80">
        <f t="shared" si="420"/>
        <v>98.790258294937288</v>
      </c>
      <c r="BF374" s="80">
        <f t="shared" si="421"/>
        <v>857.11577849752189</v>
      </c>
      <c r="BG374" s="80">
        <f t="shared" si="422"/>
        <v>490.618245011814</v>
      </c>
      <c r="BH374" s="49">
        <f t="shared" si="423"/>
        <v>0</v>
      </c>
      <c r="BI374" s="79">
        <f t="shared" si="424"/>
        <v>-82668.366834367582</v>
      </c>
      <c r="BJ374" s="79">
        <f t="shared" si="392"/>
        <v>119600</v>
      </c>
      <c r="BK374" s="44">
        <f t="shared" si="425"/>
        <v>0.44674443901411265</v>
      </c>
      <c r="BL374" s="79">
        <f t="shared" si="442"/>
        <v>10730.781047437771</v>
      </c>
      <c r="BM374" s="49">
        <f t="shared" si="426"/>
        <v>130330.78104743778</v>
      </c>
      <c r="BN374" s="44">
        <f t="shared" si="427"/>
        <v>0.5765496046216263</v>
      </c>
      <c r="BO374" s="49">
        <f t="shared" si="393"/>
        <v>14167.573146043002</v>
      </c>
      <c r="BP374" s="49">
        <f t="shared" si="394"/>
        <v>133767.57314604303</v>
      </c>
      <c r="BQ374" s="44">
        <f t="shared" si="395"/>
        <v>0.61812284757066305</v>
      </c>
      <c r="BS374" s="49">
        <f t="shared" si="396"/>
        <v>82668.366834367582</v>
      </c>
      <c r="BT374" s="49">
        <f t="shared" si="372"/>
        <v>92.459998999999996</v>
      </c>
      <c r="BU374" s="49">
        <f t="shared" si="373"/>
        <v>40.340000000000003</v>
      </c>
      <c r="BV374" s="49">
        <f t="shared" si="397"/>
        <v>3161.7200586709841</v>
      </c>
      <c r="BW374" s="18">
        <f t="shared" si="398"/>
        <v>2324</v>
      </c>
      <c r="BX374" s="19">
        <f t="shared" si="428"/>
        <v>0.46697247706422018</v>
      </c>
      <c r="BY374" s="49">
        <f t="shared" si="429"/>
        <v>1476.4362475812211</v>
      </c>
      <c r="BZ374" s="19">
        <f t="shared" si="399"/>
        <v>8.9903233444348842</v>
      </c>
      <c r="CA374" s="19">
        <f t="shared" si="400"/>
        <v>3.629921488077593</v>
      </c>
      <c r="CB374" s="19">
        <f t="shared" si="401"/>
        <v>2.0606147802351487</v>
      </c>
      <c r="CC374" s="19">
        <f t="shared" si="402"/>
        <v>1.9712673803706273</v>
      </c>
      <c r="CD374" s="19">
        <f t="shared" si="403"/>
        <v>28.519874768690293</v>
      </c>
      <c r="CE374" s="19">
        <f t="shared" si="404"/>
        <v>14.392012158943956</v>
      </c>
      <c r="CF374" s="49">
        <f t="shared" si="405"/>
        <v>-831.24528743612609</v>
      </c>
      <c r="CG374" s="49">
        <f t="shared" si="406"/>
        <v>-268.57788364301814</v>
      </c>
      <c r="CH374" s="49">
        <f t="shared" si="407"/>
        <v>-160.39824625104484</v>
      </c>
      <c r="CI374" s="49">
        <f t="shared" si="408"/>
        <v>-186.97470708561923</v>
      </c>
      <c r="CJ374" s="49">
        <f t="shared" si="409"/>
        <v>-1133.9501637633766</v>
      </c>
      <c r="CK374" s="49">
        <f t="shared" si="410"/>
        <v>-580.57377049179922</v>
      </c>
    </row>
    <row r="375" spans="2:89" ht="12.75" customHeight="1" x14ac:dyDescent="0.2">
      <c r="B375" s="77">
        <v>41624</v>
      </c>
      <c r="C375" s="49">
        <v>94.330001999999993</v>
      </c>
      <c r="D375" s="49">
        <v>75.760002</v>
      </c>
      <c r="E375" s="49">
        <v>79.559997999999993</v>
      </c>
      <c r="F375" s="49">
        <v>97.449996999999996</v>
      </c>
      <c r="G375" s="49">
        <v>40.470001000000003</v>
      </c>
      <c r="H375" s="49">
        <v>39.950001</v>
      </c>
      <c r="J375" s="78">
        <f>IF(inter=Weekly_2,J374+$C$5,IF(inter=Bi_weekly_2,0,IF(inter=Monthly_2,0,IF(inter=Quarterly_2,0,IF(inter=Yearly_2,0,IF(inter=None_2,0,0))))))</f>
        <v>0</v>
      </c>
      <c r="K375" s="79">
        <f t="shared" si="411"/>
        <v>0</v>
      </c>
      <c r="L375" s="79">
        <f t="shared" si="412"/>
        <v>0</v>
      </c>
      <c r="M375" s="79">
        <f t="shared" si="413"/>
        <v>0</v>
      </c>
      <c r="N375" s="79">
        <f t="shared" si="414"/>
        <v>0</v>
      </c>
      <c r="O375" s="79">
        <f t="shared" si="415"/>
        <v>0</v>
      </c>
      <c r="P375" s="79">
        <f t="shared" si="416"/>
        <v>0</v>
      </c>
      <c r="Q375" s="79"/>
      <c r="R375" s="80">
        <f t="shared" si="374"/>
        <v>0</v>
      </c>
      <c r="S375" s="80">
        <f t="shared" si="375"/>
        <v>0</v>
      </c>
      <c r="T375" s="80">
        <f t="shared" si="376"/>
        <v>0</v>
      </c>
      <c r="U375" s="80">
        <f t="shared" si="377"/>
        <v>0</v>
      </c>
      <c r="V375" s="80">
        <f t="shared" si="378"/>
        <v>0</v>
      </c>
      <c r="W375" s="80">
        <f t="shared" si="379"/>
        <v>0</v>
      </c>
      <c r="X375" s="80">
        <f t="shared" si="430"/>
        <v>452.73632330452438</v>
      </c>
      <c r="Y375" s="80">
        <f t="shared" si="431"/>
        <v>161.64346970248602</v>
      </c>
      <c r="Z375" s="80">
        <f t="shared" si="432"/>
        <v>122.91881412737996</v>
      </c>
      <c r="AA375" s="80">
        <f t="shared" si="433"/>
        <v>88.265684517990195</v>
      </c>
      <c r="AB375" s="80">
        <f t="shared" si="434"/>
        <v>752.01211026217857</v>
      </c>
      <c r="AC375" s="80">
        <f t="shared" si="435"/>
        <v>444.719881011403</v>
      </c>
      <c r="AD375" s="80"/>
      <c r="AE375" s="80"/>
      <c r="AF375" s="80"/>
      <c r="AG375" s="80"/>
      <c r="AH375" s="80"/>
      <c r="AI375" s="80"/>
      <c r="AJ375" s="45">
        <f t="shared" si="380"/>
        <v>0</v>
      </c>
      <c r="AK375" s="45">
        <f t="shared" si="381"/>
        <v>0</v>
      </c>
      <c r="AL375" s="45">
        <f t="shared" si="382"/>
        <v>0</v>
      </c>
      <c r="AM375" s="45">
        <f t="shared" si="383"/>
        <v>0</v>
      </c>
      <c r="AN375" s="45">
        <f t="shared" si="384"/>
        <v>0</v>
      </c>
      <c r="AO375" s="45">
        <f t="shared" si="385"/>
        <v>0</v>
      </c>
      <c r="AP375" s="80">
        <f t="shared" si="386"/>
        <v>0</v>
      </c>
      <c r="AQ375" s="80">
        <f t="shared" si="387"/>
        <v>0</v>
      </c>
      <c r="AR375" s="80">
        <f t="shared" si="388"/>
        <v>0</v>
      </c>
      <c r="AS375" s="80">
        <f t="shared" si="389"/>
        <v>0</v>
      </c>
      <c r="AT375" s="80">
        <f t="shared" si="390"/>
        <v>0</v>
      </c>
      <c r="AU375" s="80">
        <f t="shared" si="391"/>
        <v>0</v>
      </c>
      <c r="AV375" s="80">
        <f t="shared" si="436"/>
        <v>47.54406782528207</v>
      </c>
      <c r="AW375" s="80">
        <f t="shared" si="437"/>
        <v>22.864688168125078</v>
      </c>
      <c r="AX375" s="80">
        <f t="shared" si="438"/>
        <v>13.504278781444341</v>
      </c>
      <c r="AY375" s="80">
        <f t="shared" si="439"/>
        <v>10.524573776947095</v>
      </c>
      <c r="AZ375" s="80">
        <f t="shared" si="440"/>
        <v>105.10366823534331</v>
      </c>
      <c r="BA375" s="80">
        <f t="shared" si="441"/>
        <v>45.898364000411021</v>
      </c>
      <c r="BB375" s="80">
        <f t="shared" si="417"/>
        <v>500.28039112980645</v>
      </c>
      <c r="BC375" s="80">
        <f t="shared" si="418"/>
        <v>184.50815787061109</v>
      </c>
      <c r="BD375" s="80">
        <f t="shared" si="419"/>
        <v>136.42309290882429</v>
      </c>
      <c r="BE375" s="80">
        <f t="shared" si="420"/>
        <v>98.790258294937288</v>
      </c>
      <c r="BF375" s="80">
        <f t="shared" si="421"/>
        <v>857.11577849752189</v>
      </c>
      <c r="BG375" s="80">
        <f t="shared" si="422"/>
        <v>490.618245011814</v>
      </c>
      <c r="BH375" s="49">
        <f t="shared" si="423"/>
        <v>0</v>
      </c>
      <c r="BI375" s="79">
        <f t="shared" si="424"/>
        <v>-82668.366834367582</v>
      </c>
      <c r="BJ375" s="79">
        <f t="shared" si="392"/>
        <v>121534.12971380143</v>
      </c>
      <c r="BK375" s="44">
        <f t="shared" si="425"/>
        <v>0.47014068824299371</v>
      </c>
      <c r="BL375" s="79">
        <f t="shared" si="442"/>
        <v>10730.781047437771</v>
      </c>
      <c r="BM375" s="49">
        <f t="shared" si="426"/>
        <v>132264.91076123921</v>
      </c>
      <c r="BN375" s="44">
        <f t="shared" si="427"/>
        <v>0.59994585385050736</v>
      </c>
      <c r="BO375" s="49">
        <f t="shared" si="393"/>
        <v>14404.266156529247</v>
      </c>
      <c r="BP375" s="49">
        <f t="shared" si="394"/>
        <v>135938.39587033069</v>
      </c>
      <c r="BQ375" s="44">
        <f t="shared" si="395"/>
        <v>0.64438225981521691</v>
      </c>
      <c r="BS375" s="49">
        <f t="shared" si="396"/>
        <v>82668.366834367582</v>
      </c>
      <c r="BT375" s="49">
        <f t="shared" si="372"/>
        <v>94.330001999999993</v>
      </c>
      <c r="BU375" s="49">
        <f t="shared" si="373"/>
        <v>39.950001</v>
      </c>
      <c r="BV375" s="49">
        <f t="shared" si="397"/>
        <v>0</v>
      </c>
      <c r="BW375" s="18">
        <f t="shared" si="398"/>
        <v>2331</v>
      </c>
      <c r="BX375" s="19">
        <f t="shared" si="428"/>
        <v>0.46536697247706421</v>
      </c>
      <c r="BY375" s="49">
        <f t="shared" si="429"/>
        <v>0</v>
      </c>
      <c r="BZ375" s="19">
        <f t="shared" si="399"/>
        <v>0</v>
      </c>
      <c r="CA375" s="19">
        <f t="shared" si="400"/>
        <v>0</v>
      </c>
      <c r="CB375" s="19">
        <f t="shared" si="401"/>
        <v>0</v>
      </c>
      <c r="CC375" s="19">
        <f t="shared" si="402"/>
        <v>0</v>
      </c>
      <c r="CD375" s="19">
        <f t="shared" si="403"/>
        <v>0</v>
      </c>
      <c r="CE375" s="19">
        <f t="shared" si="404"/>
        <v>0</v>
      </c>
      <c r="CF375" s="49">
        <f t="shared" si="405"/>
        <v>0</v>
      </c>
      <c r="CG375" s="49">
        <f t="shared" si="406"/>
        <v>0</v>
      </c>
      <c r="CH375" s="49">
        <f t="shared" si="407"/>
        <v>0</v>
      </c>
      <c r="CI375" s="49">
        <f t="shared" si="408"/>
        <v>0</v>
      </c>
      <c r="CJ375" s="49">
        <f t="shared" si="409"/>
        <v>0</v>
      </c>
      <c r="CK375" s="49">
        <f t="shared" si="410"/>
        <v>0</v>
      </c>
    </row>
    <row r="376" spans="2:89" ht="12.75" customHeight="1" x14ac:dyDescent="0.2">
      <c r="B376" s="77">
        <v>41631</v>
      </c>
      <c r="C376" s="49">
        <v>95.540001000000004</v>
      </c>
      <c r="D376" s="49">
        <v>76.160004000000001</v>
      </c>
      <c r="E376" s="49">
        <v>79.230002999999996</v>
      </c>
      <c r="F376" s="49">
        <v>96.980002999999996</v>
      </c>
      <c r="G376" s="49">
        <v>41.389999000000003</v>
      </c>
      <c r="H376" s="49">
        <v>40.669998</v>
      </c>
      <c r="J376" s="78">
        <f>IF(inter=Weekly_2,J375+$C$5,IF(inter=Bi_weekly_2,J374+$C$5,IF(inter=Monthly_2,0,IF(inter=Quarterly_2,0,IF(inter=Yearly_2,0,IF(inter=None_2,0,0))))))</f>
        <v>120200</v>
      </c>
      <c r="K376" s="79">
        <f t="shared" si="411"/>
        <v>1184.4287812505863</v>
      </c>
      <c r="L376" s="79">
        <f t="shared" si="412"/>
        <v>290.76729911521397</v>
      </c>
      <c r="M376" s="79">
        <f t="shared" si="413"/>
        <v>122.85801206875658</v>
      </c>
      <c r="N376" s="79">
        <f t="shared" si="414"/>
        <v>146.00634935174276</v>
      </c>
      <c r="O376" s="79">
        <f t="shared" si="415"/>
        <v>1075.7804917394642</v>
      </c>
      <c r="P376" s="79">
        <f t="shared" si="416"/>
        <v>56.756671293998807</v>
      </c>
      <c r="Q376" s="79"/>
      <c r="R376" s="80">
        <f t="shared" si="374"/>
        <v>-12.397202939641859</v>
      </c>
      <c r="S376" s="80">
        <f t="shared" si="375"/>
        <v>-3.8178477395459955</v>
      </c>
      <c r="T376" s="80">
        <f t="shared" si="376"/>
        <v>-1.5506500999218262</v>
      </c>
      <c r="U376" s="80">
        <f t="shared" si="377"/>
        <v>-1.5055304685002202</v>
      </c>
      <c r="V376" s="80">
        <f t="shared" si="378"/>
        <v>-25.991314755515315</v>
      </c>
      <c r="W376" s="80">
        <f t="shared" si="379"/>
        <v>-1.3955415314748432</v>
      </c>
      <c r="X376" s="80">
        <f t="shared" si="430"/>
        <v>440.33912036488249</v>
      </c>
      <c r="Y376" s="80">
        <f t="shared" si="431"/>
        <v>157.82562196294003</v>
      </c>
      <c r="Z376" s="80">
        <f t="shared" si="432"/>
        <v>121.36816402745814</v>
      </c>
      <c r="AA376" s="80">
        <f t="shared" si="433"/>
        <v>86.760154049489969</v>
      </c>
      <c r="AB376" s="80">
        <f t="shared" si="434"/>
        <v>726.02079550666326</v>
      </c>
      <c r="AC376" s="80">
        <f t="shared" si="435"/>
        <v>443.32433947992814</v>
      </c>
      <c r="AD376" s="80">
        <v>0.49399999999999999</v>
      </c>
      <c r="AE376" s="80">
        <v>0.49199999999999999</v>
      </c>
      <c r="AF376" s="80">
        <v>1.2050000000000001</v>
      </c>
      <c r="AG376" s="80">
        <v>1.7969999999999999</v>
      </c>
      <c r="AH376" s="80">
        <v>0.21299999999999999</v>
      </c>
      <c r="AI376" s="80">
        <v>0.216</v>
      </c>
      <c r="AJ376" s="45">
        <f t="shared" si="380"/>
        <v>217.52752546025195</v>
      </c>
      <c r="AK376" s="45">
        <f t="shared" si="381"/>
        <v>77.650206005766492</v>
      </c>
      <c r="AL376" s="45">
        <f t="shared" si="382"/>
        <v>146.24863765308706</v>
      </c>
      <c r="AM376" s="45">
        <f t="shared" si="383"/>
        <v>155.90799682693347</v>
      </c>
      <c r="AN376" s="45">
        <f t="shared" si="384"/>
        <v>154.64242944291928</v>
      </c>
      <c r="AO376" s="45">
        <f t="shared" si="385"/>
        <v>95.758057327664474</v>
      </c>
      <c r="AP376" s="80">
        <f t="shared" si="386"/>
        <v>2.276821469368123</v>
      </c>
      <c r="AQ376" s="80">
        <f t="shared" si="387"/>
        <v>1.0195667269892277</v>
      </c>
      <c r="AR376" s="80">
        <f t="shared" si="388"/>
        <v>1.8458744429567555</v>
      </c>
      <c r="AS376" s="80">
        <f t="shared" si="389"/>
        <v>1.6076303568162755</v>
      </c>
      <c r="AT376" s="80">
        <f t="shared" si="390"/>
        <v>3.7362269432023729</v>
      </c>
      <c r="AU376" s="80">
        <f t="shared" si="391"/>
        <v>2.3545134506194092</v>
      </c>
      <c r="AV376" s="80">
        <f t="shared" si="436"/>
        <v>49.820889294650193</v>
      </c>
      <c r="AW376" s="80">
        <f t="shared" si="437"/>
        <v>23.884254895114307</v>
      </c>
      <c r="AX376" s="80">
        <f t="shared" si="438"/>
        <v>15.350153224401097</v>
      </c>
      <c r="AY376" s="80">
        <f t="shared" si="439"/>
        <v>12.13220413376337</v>
      </c>
      <c r="AZ376" s="80">
        <f t="shared" si="440"/>
        <v>108.83989517854567</v>
      </c>
      <c r="BA376" s="80">
        <f t="shared" si="441"/>
        <v>48.252877451030429</v>
      </c>
      <c r="BB376" s="80">
        <f t="shared" si="417"/>
        <v>490.1600096595327</v>
      </c>
      <c r="BC376" s="80">
        <f t="shared" si="418"/>
        <v>181.70987685805434</v>
      </c>
      <c r="BD376" s="80">
        <f t="shared" si="419"/>
        <v>136.71831725185922</v>
      </c>
      <c r="BE376" s="80">
        <f t="shared" si="420"/>
        <v>98.892358183253336</v>
      </c>
      <c r="BF376" s="80">
        <f t="shared" si="421"/>
        <v>834.86069068520897</v>
      </c>
      <c r="BG376" s="80">
        <f t="shared" si="422"/>
        <v>491.57721693095857</v>
      </c>
      <c r="BH376" s="49">
        <f t="shared" si="423"/>
        <v>847.73485271662275</v>
      </c>
      <c r="BI376" s="79">
        <f t="shared" si="424"/>
        <v>-79791.769229547805</v>
      </c>
      <c r="BJ376" s="79">
        <f t="shared" si="392"/>
        <v>120199.99999999999</v>
      </c>
      <c r="BK376" s="44">
        <f t="shared" si="425"/>
        <v>0.50642104017275691</v>
      </c>
      <c r="BL376" s="79">
        <f t="shared" si="442"/>
        <v>11578.515900154394</v>
      </c>
      <c r="BM376" s="49">
        <f t="shared" si="426"/>
        <v>131778.51590015437</v>
      </c>
      <c r="BN376" s="44">
        <f t="shared" si="427"/>
        <v>0.65153019130393308</v>
      </c>
      <c r="BO376" s="49">
        <f t="shared" si="393"/>
        <v>15439.0142227172</v>
      </c>
      <c r="BP376" s="49">
        <f t="shared" si="394"/>
        <v>135639.01422271717</v>
      </c>
      <c r="BQ376" s="44">
        <f t="shared" si="395"/>
        <v>0.69991235352240433</v>
      </c>
      <c r="BS376" s="49">
        <f t="shared" si="396"/>
        <v>79791.769229547805</v>
      </c>
      <c r="BT376" s="49">
        <f t="shared" si="372"/>
        <v>95.540001000000004</v>
      </c>
      <c r="BU376" s="49">
        <f t="shared" si="373"/>
        <v>40.669998</v>
      </c>
      <c r="BV376" s="49">
        <f t="shared" si="397"/>
        <v>-3724.3324575363854</v>
      </c>
      <c r="BW376" s="18">
        <f t="shared" si="398"/>
        <v>2338</v>
      </c>
      <c r="BX376" s="19">
        <f t="shared" si="428"/>
        <v>0.46376146788990824</v>
      </c>
      <c r="BY376" s="49">
        <f t="shared" si="429"/>
        <v>-1727.2018874171035</v>
      </c>
      <c r="BZ376" s="19">
        <f t="shared" si="399"/>
        <v>0</v>
      </c>
      <c r="CA376" s="19">
        <f t="shared" si="400"/>
        <v>0</v>
      </c>
      <c r="CB376" s="19">
        <f t="shared" si="401"/>
        <v>0</v>
      </c>
      <c r="CC376" s="19">
        <f t="shared" si="402"/>
        <v>0</v>
      </c>
      <c r="CD376" s="19">
        <f t="shared" si="403"/>
        <v>0</v>
      </c>
      <c r="CE376" s="19">
        <f t="shared" si="404"/>
        <v>0</v>
      </c>
      <c r="CF376" s="49">
        <f t="shared" si="405"/>
        <v>0</v>
      </c>
      <c r="CG376" s="49">
        <f t="shared" si="406"/>
        <v>0</v>
      </c>
      <c r="CH376" s="49">
        <f t="shared" si="407"/>
        <v>0</v>
      </c>
      <c r="CI376" s="49">
        <f t="shared" si="408"/>
        <v>0</v>
      </c>
      <c r="CJ376" s="49">
        <f t="shared" si="409"/>
        <v>0</v>
      </c>
      <c r="CK376" s="49">
        <f t="shared" si="410"/>
        <v>0</v>
      </c>
    </row>
    <row r="377" spans="2:89" ht="12.75" customHeight="1" x14ac:dyDescent="0.2">
      <c r="B377" s="77">
        <v>41638</v>
      </c>
      <c r="C377" s="49">
        <v>95.059997999999993</v>
      </c>
      <c r="D377" s="49">
        <v>75.760002</v>
      </c>
      <c r="E377" s="49">
        <v>79</v>
      </c>
      <c r="F377" s="49">
        <v>96.639999000000003</v>
      </c>
      <c r="G377" s="49">
        <v>40.990001999999997</v>
      </c>
      <c r="H377" s="49">
        <v>39.650002000000001</v>
      </c>
      <c r="J377" s="78">
        <f>IF(inter=Weekly_2,J376+$C$5,IF(inter=Bi_weekly_2,0,IF(inter=Monthly_2,0,IF(inter=Quarterly_2,0,IF(inter=Yearly_2,0,IF(inter=None_2,0,0))))))</f>
        <v>0</v>
      </c>
      <c r="K377" s="79">
        <f t="shared" si="411"/>
        <v>0</v>
      </c>
      <c r="L377" s="79">
        <f t="shared" si="412"/>
        <v>0</v>
      </c>
      <c r="M377" s="79">
        <f t="shared" si="413"/>
        <v>0</v>
      </c>
      <c r="N377" s="79">
        <f t="shared" si="414"/>
        <v>0</v>
      </c>
      <c r="O377" s="79">
        <f t="shared" si="415"/>
        <v>0</v>
      </c>
      <c r="P377" s="79">
        <f t="shared" si="416"/>
        <v>0</v>
      </c>
      <c r="Q377" s="79"/>
      <c r="R377" s="80">
        <f t="shared" si="374"/>
        <v>0</v>
      </c>
      <c r="S377" s="80">
        <f t="shared" si="375"/>
        <v>0</v>
      </c>
      <c r="T377" s="80">
        <f t="shared" si="376"/>
        <v>0</v>
      </c>
      <c r="U377" s="80">
        <f t="shared" si="377"/>
        <v>0</v>
      </c>
      <c r="V377" s="80">
        <f t="shared" si="378"/>
        <v>0</v>
      </c>
      <c r="W377" s="80">
        <f t="shared" si="379"/>
        <v>0</v>
      </c>
      <c r="X377" s="80">
        <f t="shared" si="430"/>
        <v>440.33912036488249</v>
      </c>
      <c r="Y377" s="80">
        <f t="shared" si="431"/>
        <v>157.82562196294003</v>
      </c>
      <c r="Z377" s="80">
        <f t="shared" si="432"/>
        <v>121.36816402745814</v>
      </c>
      <c r="AA377" s="80">
        <f t="shared" si="433"/>
        <v>86.760154049489969</v>
      </c>
      <c r="AB377" s="80">
        <f t="shared" si="434"/>
        <v>726.02079550666326</v>
      </c>
      <c r="AC377" s="80">
        <f t="shared" si="435"/>
        <v>443.32433947992814</v>
      </c>
      <c r="AD377" s="80"/>
      <c r="AE377" s="80"/>
      <c r="AF377" s="80"/>
      <c r="AG377" s="80"/>
      <c r="AH377" s="80"/>
      <c r="AI377" s="80"/>
      <c r="AJ377" s="45">
        <f t="shared" si="380"/>
        <v>0</v>
      </c>
      <c r="AK377" s="45">
        <f t="shared" si="381"/>
        <v>0</v>
      </c>
      <c r="AL377" s="45">
        <f t="shared" si="382"/>
        <v>0</v>
      </c>
      <c r="AM377" s="45">
        <f t="shared" si="383"/>
        <v>0</v>
      </c>
      <c r="AN377" s="45">
        <f t="shared" si="384"/>
        <v>0</v>
      </c>
      <c r="AO377" s="45">
        <f t="shared" si="385"/>
        <v>0</v>
      </c>
      <c r="AP377" s="80">
        <f t="shared" si="386"/>
        <v>0</v>
      </c>
      <c r="AQ377" s="80">
        <f t="shared" si="387"/>
        <v>0</v>
      </c>
      <c r="AR377" s="80">
        <f t="shared" si="388"/>
        <v>0</v>
      </c>
      <c r="AS377" s="80">
        <f t="shared" si="389"/>
        <v>0</v>
      </c>
      <c r="AT377" s="80">
        <f t="shared" si="390"/>
        <v>0</v>
      </c>
      <c r="AU377" s="80">
        <f t="shared" si="391"/>
        <v>0</v>
      </c>
      <c r="AV377" s="80">
        <f t="shared" si="436"/>
        <v>49.820889294650193</v>
      </c>
      <c r="AW377" s="80">
        <f t="shared" si="437"/>
        <v>23.884254895114307</v>
      </c>
      <c r="AX377" s="80">
        <f t="shared" si="438"/>
        <v>15.350153224401097</v>
      </c>
      <c r="AY377" s="80">
        <f t="shared" si="439"/>
        <v>12.13220413376337</v>
      </c>
      <c r="AZ377" s="80">
        <f t="shared" si="440"/>
        <v>108.83989517854567</v>
      </c>
      <c r="BA377" s="80">
        <f t="shared" si="441"/>
        <v>48.252877451030429</v>
      </c>
      <c r="BB377" s="80">
        <f t="shared" si="417"/>
        <v>490.1600096595327</v>
      </c>
      <c r="BC377" s="80">
        <f t="shared" si="418"/>
        <v>181.70987685805434</v>
      </c>
      <c r="BD377" s="80">
        <f t="shared" si="419"/>
        <v>136.71831725185922</v>
      </c>
      <c r="BE377" s="80">
        <f t="shared" si="420"/>
        <v>98.892358183253336</v>
      </c>
      <c r="BF377" s="80">
        <f t="shared" si="421"/>
        <v>834.86069068520897</v>
      </c>
      <c r="BG377" s="80">
        <f t="shared" si="422"/>
        <v>491.57721693095857</v>
      </c>
      <c r="BH377" s="49">
        <f t="shared" si="423"/>
        <v>0</v>
      </c>
      <c r="BI377" s="79">
        <f t="shared" si="424"/>
        <v>-79791.769229547805</v>
      </c>
      <c r="BJ377" s="79">
        <f t="shared" si="392"/>
        <v>119125.49630241036</v>
      </c>
      <c r="BK377" s="44">
        <f t="shared" si="425"/>
        <v>0.49295469260376823</v>
      </c>
      <c r="BL377" s="79">
        <f t="shared" si="442"/>
        <v>11578.515900154394</v>
      </c>
      <c r="BM377" s="49">
        <f t="shared" si="426"/>
        <v>130704.01220256476</v>
      </c>
      <c r="BN377" s="44">
        <f t="shared" si="427"/>
        <v>0.63806384373494462</v>
      </c>
      <c r="BO377" s="49">
        <f t="shared" si="393"/>
        <v>15305.137343899902</v>
      </c>
      <c r="BP377" s="49">
        <f t="shared" si="394"/>
        <v>134430.63364631028</v>
      </c>
      <c r="BQ377" s="44">
        <f t="shared" si="395"/>
        <v>0.68476817777502141</v>
      </c>
      <c r="BS377" s="49">
        <f t="shared" si="396"/>
        <v>79791.769229547805</v>
      </c>
      <c r="BT377" s="49">
        <f t="shared" si="372"/>
        <v>95.059997999999993</v>
      </c>
      <c r="BU377" s="49">
        <f t="shared" si="373"/>
        <v>39.650002000000001</v>
      </c>
      <c r="BV377" s="49">
        <f t="shared" si="397"/>
        <v>0</v>
      </c>
      <c r="BW377" s="18">
        <f t="shared" si="398"/>
        <v>2345</v>
      </c>
      <c r="BX377" s="19">
        <f t="shared" si="428"/>
        <v>0.46215596330275227</v>
      </c>
      <c r="BY377" s="49">
        <f t="shared" si="429"/>
        <v>0</v>
      </c>
      <c r="BZ377" s="19">
        <f t="shared" si="399"/>
        <v>0</v>
      </c>
      <c r="CA377" s="19">
        <f t="shared" si="400"/>
        <v>0</v>
      </c>
      <c r="CB377" s="19">
        <f t="shared" si="401"/>
        <v>0</v>
      </c>
      <c r="CC377" s="19">
        <f t="shared" si="402"/>
        <v>0</v>
      </c>
      <c r="CD377" s="19">
        <f t="shared" si="403"/>
        <v>0</v>
      </c>
      <c r="CE377" s="19">
        <f t="shared" si="404"/>
        <v>0</v>
      </c>
      <c r="CF377" s="49">
        <f t="shared" si="405"/>
        <v>0</v>
      </c>
      <c r="CG377" s="49">
        <f t="shared" si="406"/>
        <v>0</v>
      </c>
      <c r="CH377" s="49">
        <f t="shared" si="407"/>
        <v>0</v>
      </c>
      <c r="CI377" s="49">
        <f t="shared" si="408"/>
        <v>0</v>
      </c>
      <c r="CJ377" s="49">
        <f t="shared" si="409"/>
        <v>0</v>
      </c>
      <c r="CK377" s="49">
        <f t="shared" si="410"/>
        <v>0</v>
      </c>
    </row>
    <row r="378" spans="2:89" ht="12.75" customHeight="1" x14ac:dyDescent="0.2">
      <c r="B378" s="77">
        <v>41645</v>
      </c>
      <c r="C378" s="49">
        <v>95.839995999999999</v>
      </c>
      <c r="D378" s="49">
        <v>76.269997000000004</v>
      </c>
      <c r="E378" s="49">
        <v>80.099997999999999</v>
      </c>
      <c r="F378" s="49">
        <v>97.5</v>
      </c>
      <c r="G378" s="49">
        <v>41.459999000000003</v>
      </c>
      <c r="H378" s="49">
        <v>39.869999</v>
      </c>
      <c r="J378" s="78">
        <f>IF(inter=Weekly_2,J377+$C$5,IF(inter=Bi_weekly_2,J376+$C$5,IF(inter=Monthly_2,J374+$C$5,IF(inter=Quarterly_2,0,IF(inter=Yearly_2,0,IF(inter=None_2,0,0))))))</f>
        <v>120800</v>
      </c>
      <c r="K378" s="79">
        <f t="shared" si="411"/>
        <v>-77.900465586142673</v>
      </c>
      <c r="L378" s="79">
        <f t="shared" si="412"/>
        <v>-42.640286363428459</v>
      </c>
      <c r="M378" s="79">
        <f t="shared" si="413"/>
        <v>57.58969586306921</v>
      </c>
      <c r="N378" s="79">
        <f t="shared" si="414"/>
        <v>3.1150198252726113</v>
      </c>
      <c r="O378" s="79">
        <f t="shared" si="415"/>
        <v>-99.17854431453452</v>
      </c>
      <c r="P378" s="79">
        <f t="shared" si="416"/>
        <v>-444.65902825960438</v>
      </c>
      <c r="Q378" s="79"/>
      <c r="R378" s="80">
        <f t="shared" si="374"/>
        <v>0.81281791357903099</v>
      </c>
      <c r="S378" s="80">
        <f t="shared" si="375"/>
        <v>0.55907025095895124</v>
      </c>
      <c r="T378" s="80">
        <f t="shared" si="376"/>
        <v>-0.71897250063688156</v>
      </c>
      <c r="U378" s="80">
        <f t="shared" si="377"/>
        <v>-3.1948921284847297E-2</v>
      </c>
      <c r="V378" s="80">
        <f t="shared" si="378"/>
        <v>2.3921501858824095</v>
      </c>
      <c r="W378" s="80">
        <f t="shared" si="379"/>
        <v>11.152722332890061</v>
      </c>
      <c r="X378" s="80">
        <f t="shared" si="430"/>
        <v>441.1519382784615</v>
      </c>
      <c r="Y378" s="80">
        <f t="shared" si="431"/>
        <v>158.38469221389897</v>
      </c>
      <c r="Z378" s="80">
        <f t="shared" si="432"/>
        <v>120.64919152682126</v>
      </c>
      <c r="AA378" s="80">
        <f t="shared" si="433"/>
        <v>86.728205128205119</v>
      </c>
      <c r="AB378" s="80">
        <f t="shared" si="434"/>
        <v>728.41294569254569</v>
      </c>
      <c r="AC378" s="80">
        <f t="shared" si="435"/>
        <v>454.47706181281819</v>
      </c>
      <c r="AD378" s="80"/>
      <c r="AE378" s="80"/>
      <c r="AF378" s="80"/>
      <c r="AG378" s="80"/>
      <c r="AH378" s="80"/>
      <c r="AI378" s="80"/>
      <c r="AJ378" s="45">
        <f t="shared" si="380"/>
        <v>0</v>
      </c>
      <c r="AK378" s="45">
        <f t="shared" si="381"/>
        <v>0</v>
      </c>
      <c r="AL378" s="45">
        <f t="shared" si="382"/>
        <v>0</v>
      </c>
      <c r="AM378" s="45">
        <f t="shared" si="383"/>
        <v>0</v>
      </c>
      <c r="AN378" s="45">
        <f t="shared" si="384"/>
        <v>0</v>
      </c>
      <c r="AO378" s="45">
        <f t="shared" si="385"/>
        <v>0</v>
      </c>
      <c r="AP378" s="80">
        <f t="shared" si="386"/>
        <v>0</v>
      </c>
      <c r="AQ378" s="80">
        <f t="shared" si="387"/>
        <v>0</v>
      </c>
      <c r="AR378" s="80">
        <f t="shared" si="388"/>
        <v>0</v>
      </c>
      <c r="AS378" s="80">
        <f t="shared" si="389"/>
        <v>0</v>
      </c>
      <c r="AT378" s="80">
        <f t="shared" si="390"/>
        <v>0</v>
      </c>
      <c r="AU378" s="80">
        <f t="shared" si="391"/>
        <v>0</v>
      </c>
      <c r="AV378" s="80">
        <f t="shared" si="436"/>
        <v>49.820889294650193</v>
      </c>
      <c r="AW378" s="80">
        <f t="shared" si="437"/>
        <v>23.884254895114307</v>
      </c>
      <c r="AX378" s="80">
        <f t="shared" si="438"/>
        <v>15.350153224401097</v>
      </c>
      <c r="AY378" s="80">
        <f t="shared" si="439"/>
        <v>12.13220413376337</v>
      </c>
      <c r="AZ378" s="80">
        <f t="shared" si="440"/>
        <v>108.83989517854567</v>
      </c>
      <c r="BA378" s="80">
        <f t="shared" si="441"/>
        <v>48.252877451030429</v>
      </c>
      <c r="BB378" s="80">
        <f t="shared" si="417"/>
        <v>490.97282757311172</v>
      </c>
      <c r="BC378" s="80">
        <f t="shared" si="418"/>
        <v>182.26894710901328</v>
      </c>
      <c r="BD378" s="80">
        <f t="shared" si="419"/>
        <v>135.99934475122234</v>
      </c>
      <c r="BE378" s="80">
        <f t="shared" si="420"/>
        <v>98.860409261968485</v>
      </c>
      <c r="BF378" s="80">
        <f t="shared" si="421"/>
        <v>837.25284087109139</v>
      </c>
      <c r="BG378" s="80">
        <f t="shared" si="422"/>
        <v>502.72993926384862</v>
      </c>
      <c r="BH378" s="49">
        <f t="shared" si="423"/>
        <v>0</v>
      </c>
      <c r="BI378" s="79">
        <f t="shared" si="424"/>
        <v>-80395.442838383169</v>
      </c>
      <c r="BJ378" s="79">
        <f t="shared" si="392"/>
        <v>120800</v>
      </c>
      <c r="BK378" s="44">
        <f t="shared" si="425"/>
        <v>0.50257272968619682</v>
      </c>
      <c r="BL378" s="79">
        <f t="shared" si="442"/>
        <v>11578.515900154394</v>
      </c>
      <c r="BM378" s="49">
        <f t="shared" si="426"/>
        <v>132378.51590015439</v>
      </c>
      <c r="BN378" s="44">
        <f t="shared" si="427"/>
        <v>0.64659228466806784</v>
      </c>
      <c r="BO378" s="49">
        <f t="shared" si="393"/>
        <v>15445.267146511786</v>
      </c>
      <c r="BP378" s="49">
        <f t="shared" si="394"/>
        <v>136245.26714651179</v>
      </c>
      <c r="BQ378" s="44">
        <f t="shared" si="395"/>
        <v>0.69468893181423286</v>
      </c>
      <c r="BS378" s="49">
        <f t="shared" si="396"/>
        <v>80395.442838383169</v>
      </c>
      <c r="BT378" s="49">
        <f t="shared" si="372"/>
        <v>95.839995999999999</v>
      </c>
      <c r="BU378" s="49">
        <f t="shared" si="373"/>
        <v>39.869999</v>
      </c>
      <c r="BV378" s="49">
        <f t="shared" si="397"/>
        <v>603.67360883536821</v>
      </c>
      <c r="BW378" s="18">
        <f t="shared" si="398"/>
        <v>2352</v>
      </c>
      <c r="BX378" s="19">
        <f t="shared" si="428"/>
        <v>0.46055045871559636</v>
      </c>
      <c r="BY378" s="49">
        <f t="shared" si="429"/>
        <v>278.02215746362833</v>
      </c>
      <c r="BZ378" s="19">
        <f t="shared" si="399"/>
        <v>0.81281791357903099</v>
      </c>
      <c r="CA378" s="19">
        <f t="shared" si="400"/>
        <v>0.55907025095895124</v>
      </c>
      <c r="CB378" s="19">
        <f t="shared" si="401"/>
        <v>0</v>
      </c>
      <c r="CC378" s="19">
        <f t="shared" si="402"/>
        <v>0</v>
      </c>
      <c r="CD378" s="19">
        <f t="shared" si="403"/>
        <v>2.3921501858824095</v>
      </c>
      <c r="CE378" s="19">
        <f t="shared" si="404"/>
        <v>11.152722332890061</v>
      </c>
      <c r="CF378" s="49">
        <f t="shared" si="405"/>
        <v>-77.900465586142673</v>
      </c>
      <c r="CG378" s="49">
        <f t="shared" si="406"/>
        <v>-42.640286363428459</v>
      </c>
      <c r="CH378" s="49">
        <f t="shared" si="407"/>
        <v>0</v>
      </c>
      <c r="CI378" s="49">
        <f t="shared" si="408"/>
        <v>0</v>
      </c>
      <c r="CJ378" s="49">
        <f t="shared" si="409"/>
        <v>-99.17854431453452</v>
      </c>
      <c r="CK378" s="49">
        <f t="shared" si="410"/>
        <v>-444.65902825960438</v>
      </c>
    </row>
    <row r="379" spans="2:89" ht="12.75" customHeight="1" x14ac:dyDescent="0.2">
      <c r="B379" s="77">
        <v>41652</v>
      </c>
      <c r="C379" s="49">
        <v>95.709998999999996</v>
      </c>
      <c r="D379" s="49">
        <v>75.940002000000007</v>
      </c>
      <c r="E379" s="49">
        <v>79.940002000000007</v>
      </c>
      <c r="F379" s="49">
        <v>97.480002999999996</v>
      </c>
      <c r="G379" s="49">
        <v>41.450001</v>
      </c>
      <c r="H379" s="49">
        <v>39.439999</v>
      </c>
      <c r="J379" s="78">
        <f>IF(inter=Weekly_2,J378+$C$5,IF(inter=Bi_weekly_2,0,IF(inter=Monthly_2,0,IF(inter=Quarterly_2,0,IF(inter=Yearly_2,0,IF(inter=None_2,0,0))))))</f>
        <v>0</v>
      </c>
      <c r="K379" s="79">
        <f t="shared" si="411"/>
        <v>0</v>
      </c>
      <c r="L379" s="79">
        <f t="shared" si="412"/>
        <v>0</v>
      </c>
      <c r="M379" s="79">
        <f t="shared" si="413"/>
        <v>0</v>
      </c>
      <c r="N379" s="79">
        <f t="shared" si="414"/>
        <v>0</v>
      </c>
      <c r="O379" s="79">
        <f t="shared" si="415"/>
        <v>0</v>
      </c>
      <c r="P379" s="79">
        <f t="shared" si="416"/>
        <v>0</v>
      </c>
      <c r="Q379" s="79"/>
      <c r="R379" s="80">
        <f t="shared" si="374"/>
        <v>0</v>
      </c>
      <c r="S379" s="80">
        <f t="shared" si="375"/>
        <v>0</v>
      </c>
      <c r="T379" s="80">
        <f t="shared" si="376"/>
        <v>0</v>
      </c>
      <c r="U379" s="80">
        <f t="shared" si="377"/>
        <v>0</v>
      </c>
      <c r="V379" s="80">
        <f t="shared" si="378"/>
        <v>0</v>
      </c>
      <c r="W379" s="80">
        <f t="shared" si="379"/>
        <v>0</v>
      </c>
      <c r="X379" s="80">
        <f t="shared" si="430"/>
        <v>441.1519382784615</v>
      </c>
      <c r="Y379" s="80">
        <f t="shared" si="431"/>
        <v>158.38469221389897</v>
      </c>
      <c r="Z379" s="80">
        <f t="shared" si="432"/>
        <v>120.64919152682126</v>
      </c>
      <c r="AA379" s="80">
        <f t="shared" si="433"/>
        <v>86.728205128205119</v>
      </c>
      <c r="AB379" s="80">
        <f t="shared" si="434"/>
        <v>728.41294569254569</v>
      </c>
      <c r="AC379" s="80">
        <f t="shared" si="435"/>
        <v>454.47706181281819</v>
      </c>
      <c r="AD379" s="80"/>
      <c r="AE379" s="80"/>
      <c r="AF379" s="80"/>
      <c r="AG379" s="80"/>
      <c r="AH379" s="80"/>
      <c r="AI379" s="80"/>
      <c r="AJ379" s="45">
        <f t="shared" si="380"/>
        <v>0</v>
      </c>
      <c r="AK379" s="45">
        <f t="shared" si="381"/>
        <v>0</v>
      </c>
      <c r="AL379" s="45">
        <f t="shared" si="382"/>
        <v>0</v>
      </c>
      <c r="AM379" s="45">
        <f t="shared" si="383"/>
        <v>0</v>
      </c>
      <c r="AN379" s="45">
        <f t="shared" si="384"/>
        <v>0</v>
      </c>
      <c r="AO379" s="45">
        <f t="shared" si="385"/>
        <v>0</v>
      </c>
      <c r="AP379" s="80">
        <f t="shared" si="386"/>
        <v>0</v>
      </c>
      <c r="AQ379" s="80">
        <f t="shared" si="387"/>
        <v>0</v>
      </c>
      <c r="AR379" s="80">
        <f t="shared" si="388"/>
        <v>0</v>
      </c>
      <c r="AS379" s="80">
        <f t="shared" si="389"/>
        <v>0</v>
      </c>
      <c r="AT379" s="80">
        <f t="shared" si="390"/>
        <v>0</v>
      </c>
      <c r="AU379" s="80">
        <f t="shared" si="391"/>
        <v>0</v>
      </c>
      <c r="AV379" s="80">
        <f t="shared" si="436"/>
        <v>49.820889294650193</v>
      </c>
      <c r="AW379" s="80">
        <f t="shared" si="437"/>
        <v>23.884254895114307</v>
      </c>
      <c r="AX379" s="80">
        <f t="shared" si="438"/>
        <v>15.350153224401097</v>
      </c>
      <c r="AY379" s="80">
        <f t="shared" si="439"/>
        <v>12.13220413376337</v>
      </c>
      <c r="AZ379" s="80">
        <f t="shared" si="440"/>
        <v>108.83989517854567</v>
      </c>
      <c r="BA379" s="80">
        <f t="shared" si="441"/>
        <v>48.252877451030429</v>
      </c>
      <c r="BB379" s="80">
        <f t="shared" si="417"/>
        <v>490.97282757311172</v>
      </c>
      <c r="BC379" s="80">
        <f t="shared" si="418"/>
        <v>182.26894710901328</v>
      </c>
      <c r="BD379" s="80">
        <f t="shared" si="419"/>
        <v>135.99934475122234</v>
      </c>
      <c r="BE379" s="80">
        <f t="shared" si="420"/>
        <v>98.860409261968485</v>
      </c>
      <c r="BF379" s="80">
        <f t="shared" si="421"/>
        <v>837.25284087109139</v>
      </c>
      <c r="BG379" s="80">
        <f t="shared" si="422"/>
        <v>502.72993926384862</v>
      </c>
      <c r="BH379" s="49">
        <f t="shared" si="423"/>
        <v>0</v>
      </c>
      <c r="BI379" s="79">
        <f t="shared" si="424"/>
        <v>-80395.442838383169</v>
      </c>
      <c r="BJ379" s="79">
        <f t="shared" si="392"/>
        <v>120466.63991379648</v>
      </c>
      <c r="BK379" s="44">
        <f t="shared" si="425"/>
        <v>0.49842622492878585</v>
      </c>
      <c r="BL379" s="79">
        <f t="shared" si="442"/>
        <v>11578.515900154394</v>
      </c>
      <c r="BM379" s="49">
        <f t="shared" si="426"/>
        <v>132045.15581395087</v>
      </c>
      <c r="BN379" s="44">
        <f t="shared" si="427"/>
        <v>0.64244577991065688</v>
      </c>
      <c r="BO379" s="49">
        <f t="shared" si="393"/>
        <v>15406.373406294742</v>
      </c>
      <c r="BP379" s="49">
        <f t="shared" si="394"/>
        <v>135873.01332009121</v>
      </c>
      <c r="BQ379" s="44">
        <f t="shared" si="395"/>
        <v>0.69005864664783467</v>
      </c>
      <c r="BS379" s="49">
        <f t="shared" si="396"/>
        <v>80395.442838383169</v>
      </c>
      <c r="BT379" s="49">
        <f t="shared" si="372"/>
        <v>95.709998999999996</v>
      </c>
      <c r="BU379" s="49">
        <f t="shared" si="373"/>
        <v>39.439999</v>
      </c>
      <c r="BV379" s="49">
        <f t="shared" si="397"/>
        <v>0</v>
      </c>
      <c r="BW379" s="18">
        <f t="shared" si="398"/>
        <v>2359</v>
      </c>
      <c r="BX379" s="19">
        <f t="shared" si="428"/>
        <v>0.45894495412844039</v>
      </c>
      <c r="BY379" s="49">
        <f t="shared" si="429"/>
        <v>0</v>
      </c>
      <c r="BZ379" s="19">
        <f t="shared" si="399"/>
        <v>0</v>
      </c>
      <c r="CA379" s="19">
        <f t="shared" si="400"/>
        <v>0</v>
      </c>
      <c r="CB379" s="19">
        <f t="shared" si="401"/>
        <v>0</v>
      </c>
      <c r="CC379" s="19">
        <f t="shared" si="402"/>
        <v>0</v>
      </c>
      <c r="CD379" s="19">
        <f t="shared" si="403"/>
        <v>0</v>
      </c>
      <c r="CE379" s="19">
        <f t="shared" si="404"/>
        <v>0</v>
      </c>
      <c r="CF379" s="49">
        <f t="shared" si="405"/>
        <v>0</v>
      </c>
      <c r="CG379" s="49">
        <f t="shared" si="406"/>
        <v>0</v>
      </c>
      <c r="CH379" s="49">
        <f t="shared" si="407"/>
        <v>0</v>
      </c>
      <c r="CI379" s="49">
        <f t="shared" si="408"/>
        <v>0</v>
      </c>
      <c r="CJ379" s="49">
        <f t="shared" si="409"/>
        <v>0</v>
      </c>
      <c r="CK379" s="49">
        <f t="shared" si="410"/>
        <v>0</v>
      </c>
    </row>
    <row r="380" spans="2:89" ht="12.75" customHeight="1" x14ac:dyDescent="0.2">
      <c r="B380" s="77">
        <v>41660</v>
      </c>
      <c r="C380" s="49">
        <v>93.32</v>
      </c>
      <c r="D380" s="49">
        <v>73.830001999999993</v>
      </c>
      <c r="E380" s="49">
        <v>77.819999999999993</v>
      </c>
      <c r="F380" s="49">
        <v>95.110000999999997</v>
      </c>
      <c r="G380" s="49">
        <v>40.209999000000003</v>
      </c>
      <c r="H380" s="49">
        <v>37.959999000000003</v>
      </c>
      <c r="J380" s="78">
        <f>IF(inter=Weekly_2,J379+$C$5,IF(inter=Bi_weekly_2,J378+$C$5,IF(inter=Monthly_2,0,IF(inter=Quarterly_2,J367+$C$5,IF(inter=Yearly_2,0,IF(inter=None_2,0,0))))))</f>
        <v>121400</v>
      </c>
      <c r="K380" s="79">
        <f t="shared" si="411"/>
        <v>-1321.7011198539767</v>
      </c>
      <c r="L380" s="79">
        <f t="shared" si="412"/>
        <v>-446.45785707845607</v>
      </c>
      <c r="M380" s="79">
        <f t="shared" si="413"/>
        <v>-323.0799153827702</v>
      </c>
      <c r="N380" s="79">
        <f t="shared" si="414"/>
        <v>-249.28032352820628</v>
      </c>
      <c r="O380" s="79">
        <f t="shared" si="415"/>
        <v>-1060.5161821156798</v>
      </c>
      <c r="P380" s="79">
        <f t="shared" si="416"/>
        <v>-958.05118806247992</v>
      </c>
      <c r="Q380" s="79"/>
      <c r="R380" s="80">
        <f t="shared" si="374"/>
        <v>14.163106727968033</v>
      </c>
      <c r="S380" s="80">
        <f t="shared" si="375"/>
        <v>6.047106121959148</v>
      </c>
      <c r="T380" s="80">
        <f t="shared" si="376"/>
        <v>4.1516308838700873</v>
      </c>
      <c r="U380" s="80">
        <f t="shared" si="377"/>
        <v>2.6209685722556801</v>
      </c>
      <c r="V380" s="80">
        <f t="shared" si="378"/>
        <v>26.374439405374762</v>
      </c>
      <c r="W380" s="80">
        <f t="shared" si="379"/>
        <v>25.238440814039006</v>
      </c>
      <c r="X380" s="80">
        <f t="shared" si="430"/>
        <v>455.31504500642956</v>
      </c>
      <c r="Y380" s="80">
        <f t="shared" si="431"/>
        <v>164.43179833585813</v>
      </c>
      <c r="Z380" s="80">
        <f t="shared" si="432"/>
        <v>124.80082241069134</v>
      </c>
      <c r="AA380" s="80">
        <f t="shared" si="433"/>
        <v>89.349173700460796</v>
      </c>
      <c r="AB380" s="80">
        <f t="shared" si="434"/>
        <v>754.78738509792049</v>
      </c>
      <c r="AC380" s="80">
        <f t="shared" si="435"/>
        <v>479.71550262685719</v>
      </c>
      <c r="AD380" s="80"/>
      <c r="AE380" s="80"/>
      <c r="AF380" s="80"/>
      <c r="AG380" s="80"/>
      <c r="AH380" s="80"/>
      <c r="AI380" s="80"/>
      <c r="AJ380" s="45">
        <f t="shared" si="380"/>
        <v>0</v>
      </c>
      <c r="AK380" s="45">
        <f t="shared" si="381"/>
        <v>0</v>
      </c>
      <c r="AL380" s="45">
        <f t="shared" si="382"/>
        <v>0</v>
      </c>
      <c r="AM380" s="45">
        <f t="shared" si="383"/>
        <v>0</v>
      </c>
      <c r="AN380" s="45">
        <f t="shared" si="384"/>
        <v>0</v>
      </c>
      <c r="AO380" s="45">
        <f t="shared" si="385"/>
        <v>0</v>
      </c>
      <c r="AP380" s="80">
        <f t="shared" si="386"/>
        <v>0</v>
      </c>
      <c r="AQ380" s="80">
        <f t="shared" si="387"/>
        <v>0</v>
      </c>
      <c r="AR380" s="80">
        <f t="shared" si="388"/>
        <v>0</v>
      </c>
      <c r="AS380" s="80">
        <f t="shared" si="389"/>
        <v>0</v>
      </c>
      <c r="AT380" s="80">
        <f t="shared" si="390"/>
        <v>0</v>
      </c>
      <c r="AU380" s="80">
        <f t="shared" si="391"/>
        <v>0</v>
      </c>
      <c r="AV380" s="80">
        <f t="shared" si="436"/>
        <v>49.820889294650193</v>
      </c>
      <c r="AW380" s="80">
        <f t="shared" si="437"/>
        <v>23.884254895114307</v>
      </c>
      <c r="AX380" s="80">
        <f t="shared" si="438"/>
        <v>15.350153224401097</v>
      </c>
      <c r="AY380" s="80">
        <f t="shared" si="439"/>
        <v>12.13220413376337</v>
      </c>
      <c r="AZ380" s="80">
        <f t="shared" si="440"/>
        <v>108.83989517854567</v>
      </c>
      <c r="BA380" s="80">
        <f t="shared" si="441"/>
        <v>48.252877451030429</v>
      </c>
      <c r="BB380" s="80">
        <f t="shared" si="417"/>
        <v>505.13593430107977</v>
      </c>
      <c r="BC380" s="80">
        <f t="shared" si="418"/>
        <v>188.31605323097244</v>
      </c>
      <c r="BD380" s="80">
        <f t="shared" si="419"/>
        <v>140.15097563509244</v>
      </c>
      <c r="BE380" s="80">
        <f t="shared" si="420"/>
        <v>101.48137783422416</v>
      </c>
      <c r="BF380" s="80">
        <f t="shared" si="421"/>
        <v>863.62728027646619</v>
      </c>
      <c r="BG380" s="80">
        <f t="shared" si="422"/>
        <v>527.96838007788756</v>
      </c>
      <c r="BH380" s="49">
        <f t="shared" si="423"/>
        <v>0</v>
      </c>
      <c r="BI380" s="79">
        <f t="shared" si="424"/>
        <v>-84754.529424404725</v>
      </c>
      <c r="BJ380" s="79">
        <f t="shared" si="392"/>
        <v>121400</v>
      </c>
      <c r="BK380" s="44">
        <f t="shared" si="425"/>
        <v>0.43237182513390682</v>
      </c>
      <c r="BL380" s="79">
        <f t="shared" si="442"/>
        <v>11578.515900154394</v>
      </c>
      <c r="BM380" s="49">
        <f t="shared" si="426"/>
        <v>132978.51590015439</v>
      </c>
      <c r="BN380" s="44">
        <f t="shared" si="427"/>
        <v>0.5689841805889817</v>
      </c>
      <c r="BO380" s="49">
        <f t="shared" si="393"/>
        <v>14969.234102946552</v>
      </c>
      <c r="BP380" s="49">
        <f t="shared" si="394"/>
        <v>136369.23410294653</v>
      </c>
      <c r="BQ380" s="44">
        <f t="shared" si="395"/>
        <v>0.60899051683814265</v>
      </c>
      <c r="BS380" s="49">
        <f t="shared" si="396"/>
        <v>84754.529424404725</v>
      </c>
      <c r="BT380" s="49">
        <f t="shared" si="372"/>
        <v>93.32</v>
      </c>
      <c r="BU380" s="49">
        <f t="shared" si="373"/>
        <v>37.959999000000003</v>
      </c>
      <c r="BV380" s="49">
        <f t="shared" si="397"/>
        <v>4359.086586021569</v>
      </c>
      <c r="BW380" s="18">
        <f t="shared" si="398"/>
        <v>2367</v>
      </c>
      <c r="BX380" s="19">
        <f t="shared" si="428"/>
        <v>0.45711009174311928</v>
      </c>
      <c r="BY380" s="49">
        <f t="shared" si="429"/>
        <v>1992.58246925252</v>
      </c>
      <c r="BZ380" s="19">
        <f t="shared" si="399"/>
        <v>14.163106727968033</v>
      </c>
      <c r="CA380" s="19">
        <f t="shared" si="400"/>
        <v>6.047106121959148</v>
      </c>
      <c r="CB380" s="19">
        <f t="shared" si="401"/>
        <v>4.1516308838700873</v>
      </c>
      <c r="CC380" s="19">
        <f t="shared" si="402"/>
        <v>2.6209685722556801</v>
      </c>
      <c r="CD380" s="19">
        <f t="shared" si="403"/>
        <v>26.374439405374762</v>
      </c>
      <c r="CE380" s="19">
        <f t="shared" si="404"/>
        <v>25.238440814039006</v>
      </c>
      <c r="CF380" s="49">
        <f t="shared" si="405"/>
        <v>-1321.7011198539767</v>
      </c>
      <c r="CG380" s="49">
        <f t="shared" si="406"/>
        <v>-446.45785707845607</v>
      </c>
      <c r="CH380" s="49">
        <f t="shared" si="407"/>
        <v>-323.0799153827702</v>
      </c>
      <c r="CI380" s="49">
        <f t="shared" si="408"/>
        <v>-249.28032352820628</v>
      </c>
      <c r="CJ380" s="49">
        <f t="shared" si="409"/>
        <v>-1060.5161821156798</v>
      </c>
      <c r="CK380" s="49">
        <f t="shared" si="410"/>
        <v>-958.05118806247992</v>
      </c>
    </row>
    <row r="381" spans="2:89" ht="12.75" customHeight="1" x14ac:dyDescent="0.2">
      <c r="B381" s="77">
        <v>41666</v>
      </c>
      <c r="C381" s="49">
        <v>92.879997000000003</v>
      </c>
      <c r="D381" s="49">
        <v>73.569999999999993</v>
      </c>
      <c r="E381" s="49">
        <v>77.720000999999996</v>
      </c>
      <c r="F381" s="49">
        <v>94.660004000000001</v>
      </c>
      <c r="G381" s="49">
        <v>39.509998000000003</v>
      </c>
      <c r="H381" s="49">
        <v>37.669998</v>
      </c>
      <c r="J381" s="78">
        <f>IF(inter=Weekly_2,J380+$C$5,IF(inter=Bi_weekly_2,0,IF(inter=Monthly_2,0,IF(inter=Quarterly_2,0,IF(inter=Yearly_2,0,IF(inter=None_2,0,0))))))</f>
        <v>0</v>
      </c>
      <c r="K381" s="79">
        <f t="shared" si="411"/>
        <v>0</v>
      </c>
      <c r="L381" s="79">
        <f t="shared" si="412"/>
        <v>0</v>
      </c>
      <c r="M381" s="79">
        <f t="shared" si="413"/>
        <v>0</v>
      </c>
      <c r="N381" s="79">
        <f t="shared" si="414"/>
        <v>0</v>
      </c>
      <c r="O381" s="79">
        <f t="shared" si="415"/>
        <v>0</v>
      </c>
      <c r="P381" s="79">
        <f t="shared" si="416"/>
        <v>0</v>
      </c>
      <c r="Q381" s="79"/>
      <c r="R381" s="80">
        <f t="shared" si="374"/>
        <v>0</v>
      </c>
      <c r="S381" s="80">
        <f t="shared" si="375"/>
        <v>0</v>
      </c>
      <c r="T381" s="80">
        <f t="shared" si="376"/>
        <v>0</v>
      </c>
      <c r="U381" s="80">
        <f t="shared" si="377"/>
        <v>0</v>
      </c>
      <c r="V381" s="80">
        <f t="shared" si="378"/>
        <v>0</v>
      </c>
      <c r="W381" s="80">
        <f t="shared" si="379"/>
        <v>0</v>
      </c>
      <c r="X381" s="80">
        <f t="shared" si="430"/>
        <v>455.31504500642956</v>
      </c>
      <c r="Y381" s="80">
        <f t="shared" si="431"/>
        <v>164.43179833585813</v>
      </c>
      <c r="Z381" s="80">
        <f t="shared" si="432"/>
        <v>124.80082241069134</v>
      </c>
      <c r="AA381" s="80">
        <f t="shared" si="433"/>
        <v>89.349173700460796</v>
      </c>
      <c r="AB381" s="80">
        <f t="shared" si="434"/>
        <v>754.78738509792049</v>
      </c>
      <c r="AC381" s="80">
        <f t="shared" si="435"/>
        <v>479.71550262685719</v>
      </c>
      <c r="AD381" s="80"/>
      <c r="AE381" s="80"/>
      <c r="AF381" s="80"/>
      <c r="AG381" s="80"/>
      <c r="AH381" s="80"/>
      <c r="AI381" s="80"/>
      <c r="AJ381" s="45">
        <f t="shared" si="380"/>
        <v>0</v>
      </c>
      <c r="AK381" s="45">
        <f t="shared" si="381"/>
        <v>0</v>
      </c>
      <c r="AL381" s="45">
        <f t="shared" si="382"/>
        <v>0</v>
      </c>
      <c r="AM381" s="45">
        <f t="shared" si="383"/>
        <v>0</v>
      </c>
      <c r="AN381" s="45">
        <f t="shared" si="384"/>
        <v>0</v>
      </c>
      <c r="AO381" s="45">
        <f t="shared" si="385"/>
        <v>0</v>
      </c>
      <c r="AP381" s="80">
        <f t="shared" si="386"/>
        <v>0</v>
      </c>
      <c r="AQ381" s="80">
        <f t="shared" si="387"/>
        <v>0</v>
      </c>
      <c r="AR381" s="80">
        <f t="shared" si="388"/>
        <v>0</v>
      </c>
      <c r="AS381" s="80">
        <f t="shared" si="389"/>
        <v>0</v>
      </c>
      <c r="AT381" s="80">
        <f t="shared" si="390"/>
        <v>0</v>
      </c>
      <c r="AU381" s="80">
        <f t="shared" si="391"/>
        <v>0</v>
      </c>
      <c r="AV381" s="80">
        <f t="shared" si="436"/>
        <v>49.820889294650193</v>
      </c>
      <c r="AW381" s="80">
        <f t="shared" si="437"/>
        <v>23.884254895114307</v>
      </c>
      <c r="AX381" s="80">
        <f t="shared" si="438"/>
        <v>15.350153224401097</v>
      </c>
      <c r="AY381" s="80">
        <f t="shared" si="439"/>
        <v>12.13220413376337</v>
      </c>
      <c r="AZ381" s="80">
        <f t="shared" si="440"/>
        <v>108.83989517854567</v>
      </c>
      <c r="BA381" s="80">
        <f t="shared" si="441"/>
        <v>48.252877451030429</v>
      </c>
      <c r="BB381" s="80">
        <f t="shared" si="417"/>
        <v>505.13593430107977</v>
      </c>
      <c r="BC381" s="80">
        <f t="shared" si="418"/>
        <v>188.31605323097244</v>
      </c>
      <c r="BD381" s="80">
        <f t="shared" si="419"/>
        <v>140.15097563509244</v>
      </c>
      <c r="BE381" s="80">
        <f t="shared" si="420"/>
        <v>101.48137783422416</v>
      </c>
      <c r="BF381" s="80">
        <f t="shared" si="421"/>
        <v>863.62728027646619</v>
      </c>
      <c r="BG381" s="80">
        <f t="shared" si="422"/>
        <v>527.96838007788756</v>
      </c>
      <c r="BH381" s="49">
        <f t="shared" si="423"/>
        <v>0</v>
      </c>
      <c r="BI381" s="79">
        <f t="shared" si="424"/>
        <v>-84754.529424404725</v>
      </c>
      <c r="BJ381" s="79">
        <f t="shared" si="392"/>
        <v>120436.75070042996</v>
      </c>
      <c r="BK381" s="44">
        <f t="shared" si="425"/>
        <v>0.42100665909367518</v>
      </c>
      <c r="BL381" s="79">
        <f t="shared" si="442"/>
        <v>11578.515900154394</v>
      </c>
      <c r="BM381" s="49">
        <f t="shared" si="426"/>
        <v>132015.26660058435</v>
      </c>
      <c r="BN381" s="44">
        <f t="shared" si="427"/>
        <v>0.55761901454875029</v>
      </c>
      <c r="BO381" s="49">
        <f t="shared" si="393"/>
        <v>14843.926934538576</v>
      </c>
      <c r="BP381" s="49">
        <f t="shared" si="394"/>
        <v>135280.67763496854</v>
      </c>
      <c r="BQ381" s="44">
        <f t="shared" si="395"/>
        <v>0.59614687915446107</v>
      </c>
      <c r="BS381" s="49">
        <f t="shared" si="396"/>
        <v>84754.529424404725</v>
      </c>
      <c r="BT381" s="49">
        <f t="shared" si="372"/>
        <v>92.879997000000003</v>
      </c>
      <c r="BU381" s="49">
        <f t="shared" si="373"/>
        <v>37.669998</v>
      </c>
      <c r="BV381" s="49">
        <f t="shared" si="397"/>
        <v>0</v>
      </c>
      <c r="BW381" s="18">
        <f t="shared" si="398"/>
        <v>2373</v>
      </c>
      <c r="BX381" s="19">
        <f t="shared" si="428"/>
        <v>0.45573394495412844</v>
      </c>
      <c r="BY381" s="49">
        <f t="shared" si="429"/>
        <v>0</v>
      </c>
      <c r="BZ381" s="19">
        <f t="shared" si="399"/>
        <v>0</v>
      </c>
      <c r="CA381" s="19">
        <f t="shared" si="400"/>
        <v>0</v>
      </c>
      <c r="CB381" s="19">
        <f t="shared" si="401"/>
        <v>0</v>
      </c>
      <c r="CC381" s="19">
        <f t="shared" si="402"/>
        <v>0</v>
      </c>
      <c r="CD381" s="19">
        <f t="shared" si="403"/>
        <v>0</v>
      </c>
      <c r="CE381" s="19">
        <f t="shared" si="404"/>
        <v>0</v>
      </c>
      <c r="CF381" s="49">
        <f t="shared" si="405"/>
        <v>0</v>
      </c>
      <c r="CG381" s="49">
        <f t="shared" si="406"/>
        <v>0</v>
      </c>
      <c r="CH381" s="49">
        <f t="shared" si="407"/>
        <v>0</v>
      </c>
      <c r="CI381" s="49">
        <f t="shared" si="408"/>
        <v>0</v>
      </c>
      <c r="CJ381" s="49">
        <f t="shared" si="409"/>
        <v>0</v>
      </c>
      <c r="CK381" s="49">
        <f t="shared" si="410"/>
        <v>0</v>
      </c>
    </row>
    <row r="382" spans="2:89" ht="12.75" customHeight="1" x14ac:dyDescent="0.2">
      <c r="B382" s="77">
        <v>41673</v>
      </c>
      <c r="C382" s="49">
        <v>93.550003000000004</v>
      </c>
      <c r="D382" s="49">
        <v>73.879997000000003</v>
      </c>
      <c r="E382" s="49">
        <v>77.940002000000007</v>
      </c>
      <c r="F382" s="49">
        <v>93.980002999999996</v>
      </c>
      <c r="G382" s="49">
        <v>40.400002000000001</v>
      </c>
      <c r="H382" s="49">
        <v>38.279998999999997</v>
      </c>
      <c r="J382" s="78">
        <f>IF(inter=Weekly_2,J381+$C$5,IF(inter=Bi_weekly_2,J380+$C$5,IF(inter=Monthly_2,J378+$C$5,IF(inter=Quarterly_2,0,IF(inter=Yearly_2,0,IF(inter=None_2,0,0))))))</f>
        <v>122000</v>
      </c>
      <c r="K382" s="79">
        <f t="shared" si="411"/>
        <v>-105.27617370337975</v>
      </c>
      <c r="L382" s="79">
        <f t="shared" si="412"/>
        <v>-51.779232242195576</v>
      </c>
      <c r="M382" s="79">
        <f t="shared" si="413"/>
        <v>-33.023651709070691</v>
      </c>
      <c r="N382" s="79">
        <f t="shared" si="414"/>
        <v>-142.96438758317345</v>
      </c>
      <c r="O382" s="79">
        <f t="shared" si="415"/>
        <v>-6.5881324692418275</v>
      </c>
      <c r="P382" s="79">
        <f t="shared" si="416"/>
        <v>63.508960840590589</v>
      </c>
      <c r="Q382" s="79"/>
      <c r="R382" s="80">
        <f t="shared" si="374"/>
        <v>1.1253465561447362</v>
      </c>
      <c r="S382" s="80">
        <f t="shared" si="375"/>
        <v>0.70085590612836079</v>
      </c>
      <c r="T382" s="80">
        <f t="shared" si="376"/>
        <v>0.42370606699587571</v>
      </c>
      <c r="U382" s="80">
        <f t="shared" si="377"/>
        <v>1.5212213558151668</v>
      </c>
      <c r="V382" s="80">
        <f t="shared" si="378"/>
        <v>0.16307257779942258</v>
      </c>
      <c r="W382" s="80">
        <f t="shared" si="379"/>
        <v>-1.6590638061560712</v>
      </c>
      <c r="X382" s="80">
        <f t="shared" si="430"/>
        <v>456.44039156257429</v>
      </c>
      <c r="Y382" s="80">
        <f t="shared" si="431"/>
        <v>165.1326542419865</v>
      </c>
      <c r="Z382" s="80">
        <f t="shared" si="432"/>
        <v>125.22452847768722</v>
      </c>
      <c r="AA382" s="80">
        <f t="shared" si="433"/>
        <v>90.870395056275967</v>
      </c>
      <c r="AB382" s="80">
        <f t="shared" si="434"/>
        <v>754.95045767571992</v>
      </c>
      <c r="AC382" s="80">
        <f t="shared" si="435"/>
        <v>478.05643882070109</v>
      </c>
      <c r="AD382" s="80"/>
      <c r="AE382" s="80"/>
      <c r="AF382" s="80"/>
      <c r="AG382" s="80"/>
      <c r="AH382" s="80"/>
      <c r="AI382" s="80"/>
      <c r="AJ382" s="45">
        <f t="shared" si="380"/>
        <v>0</v>
      </c>
      <c r="AK382" s="45">
        <f t="shared" si="381"/>
        <v>0</v>
      </c>
      <c r="AL382" s="45">
        <f t="shared" si="382"/>
        <v>0</v>
      </c>
      <c r="AM382" s="45">
        <f t="shared" si="383"/>
        <v>0</v>
      </c>
      <c r="AN382" s="45">
        <f t="shared" si="384"/>
        <v>0</v>
      </c>
      <c r="AO382" s="45">
        <f t="shared" si="385"/>
        <v>0</v>
      </c>
      <c r="AP382" s="80">
        <f t="shared" si="386"/>
        <v>0</v>
      </c>
      <c r="AQ382" s="80">
        <f t="shared" si="387"/>
        <v>0</v>
      </c>
      <c r="AR382" s="80">
        <f t="shared" si="388"/>
        <v>0</v>
      </c>
      <c r="AS382" s="80">
        <f t="shared" si="389"/>
        <v>0</v>
      </c>
      <c r="AT382" s="80">
        <f t="shared" si="390"/>
        <v>0</v>
      </c>
      <c r="AU382" s="80">
        <f t="shared" si="391"/>
        <v>0</v>
      </c>
      <c r="AV382" s="80">
        <f t="shared" si="436"/>
        <v>49.820889294650193</v>
      </c>
      <c r="AW382" s="80">
        <f t="shared" si="437"/>
        <v>23.884254895114307</v>
      </c>
      <c r="AX382" s="80">
        <f t="shared" si="438"/>
        <v>15.350153224401097</v>
      </c>
      <c r="AY382" s="80">
        <f t="shared" si="439"/>
        <v>12.13220413376337</v>
      </c>
      <c r="AZ382" s="80">
        <f t="shared" si="440"/>
        <v>108.83989517854567</v>
      </c>
      <c r="BA382" s="80">
        <f t="shared" si="441"/>
        <v>48.252877451030429</v>
      </c>
      <c r="BB382" s="80">
        <f t="shared" si="417"/>
        <v>506.26128085722451</v>
      </c>
      <c r="BC382" s="80">
        <f t="shared" si="418"/>
        <v>189.01690913710081</v>
      </c>
      <c r="BD382" s="80">
        <f t="shared" si="419"/>
        <v>140.5746817020883</v>
      </c>
      <c r="BE382" s="80">
        <f t="shared" si="420"/>
        <v>103.00259919003933</v>
      </c>
      <c r="BF382" s="80">
        <f t="shared" si="421"/>
        <v>863.79035285426562</v>
      </c>
      <c r="BG382" s="80">
        <f t="shared" si="422"/>
        <v>526.30931627173152</v>
      </c>
      <c r="BH382" s="49">
        <f t="shared" si="423"/>
        <v>0</v>
      </c>
      <c r="BI382" s="79">
        <f t="shared" si="424"/>
        <v>-85030.652041271183</v>
      </c>
      <c r="BJ382" s="79">
        <f t="shared" si="392"/>
        <v>122000</v>
      </c>
      <c r="BK382" s="44">
        <f t="shared" si="425"/>
        <v>0.43477671958560382</v>
      </c>
      <c r="BL382" s="79">
        <f t="shared" si="442"/>
        <v>11578.515900154394</v>
      </c>
      <c r="BM382" s="49">
        <f t="shared" si="426"/>
        <v>133578.51590015439</v>
      </c>
      <c r="BN382" s="44">
        <f t="shared" si="427"/>
        <v>0.57094544959292581</v>
      </c>
      <c r="BO382" s="49">
        <f t="shared" si="393"/>
        <v>15006.140660338899</v>
      </c>
      <c r="BP382" s="49">
        <f t="shared" si="394"/>
        <v>137006.14066033889</v>
      </c>
      <c r="BQ382" s="44">
        <f t="shared" si="395"/>
        <v>0.61125591032561344</v>
      </c>
      <c r="BS382" s="49">
        <f t="shared" si="396"/>
        <v>85030.652041271183</v>
      </c>
      <c r="BT382" s="49">
        <f t="shared" si="372"/>
        <v>93.550003000000004</v>
      </c>
      <c r="BU382" s="49">
        <f t="shared" si="373"/>
        <v>38.279998999999997</v>
      </c>
      <c r="BV382" s="49">
        <f t="shared" si="397"/>
        <v>276.12261686647071</v>
      </c>
      <c r="BW382" s="18">
        <f t="shared" si="398"/>
        <v>2380</v>
      </c>
      <c r="BX382" s="19">
        <f t="shared" si="428"/>
        <v>0.45412844036697247</v>
      </c>
      <c r="BY382" s="49">
        <f t="shared" si="429"/>
        <v>125.39513334761743</v>
      </c>
      <c r="BZ382" s="19">
        <f t="shared" si="399"/>
        <v>1.1253465561447362</v>
      </c>
      <c r="CA382" s="19">
        <f t="shared" si="400"/>
        <v>0.70085590612836079</v>
      </c>
      <c r="CB382" s="19">
        <f t="shared" si="401"/>
        <v>0.42370606699587571</v>
      </c>
      <c r="CC382" s="19">
        <f t="shared" si="402"/>
        <v>1.5212213558151668</v>
      </c>
      <c r="CD382" s="19">
        <f t="shared" si="403"/>
        <v>0.16307257779942258</v>
      </c>
      <c r="CE382" s="19">
        <f t="shared" si="404"/>
        <v>0</v>
      </c>
      <c r="CF382" s="49">
        <f t="shared" si="405"/>
        <v>-105.27617370337975</v>
      </c>
      <c r="CG382" s="49">
        <f t="shared" si="406"/>
        <v>-51.779232242195576</v>
      </c>
      <c r="CH382" s="49">
        <f t="shared" si="407"/>
        <v>-33.023651709070691</v>
      </c>
      <c r="CI382" s="49">
        <f t="shared" si="408"/>
        <v>-142.96438758317345</v>
      </c>
      <c r="CJ382" s="49">
        <f t="shared" si="409"/>
        <v>-6.5881324692418275</v>
      </c>
      <c r="CK382" s="49">
        <f t="shared" si="410"/>
        <v>0</v>
      </c>
    </row>
    <row r="383" spans="2:89" ht="12.75" customHeight="1" x14ac:dyDescent="0.2">
      <c r="B383" s="77">
        <v>41680</v>
      </c>
      <c r="C383" s="49">
        <v>95.900002000000001</v>
      </c>
      <c r="D383" s="49">
        <v>75.610000999999997</v>
      </c>
      <c r="E383" s="49">
        <v>79.919998000000007</v>
      </c>
      <c r="F383" s="49">
        <v>96.790001000000004</v>
      </c>
      <c r="G383" s="49">
        <v>41.23</v>
      </c>
      <c r="H383" s="49">
        <v>39.099997999999999</v>
      </c>
      <c r="J383" s="78">
        <f>IF(inter=Weekly_2,J382+$C$5,IF(inter=Bi_weekly_2,0,IF(inter=Monthly_2,0,IF(inter=Quarterly_2,0,IF(inter=Yearly_2,0,IF(inter=None_2,0,0))))))</f>
        <v>0</v>
      </c>
      <c r="K383" s="79">
        <f t="shared" si="411"/>
        <v>0</v>
      </c>
      <c r="L383" s="79">
        <f t="shared" si="412"/>
        <v>0</v>
      </c>
      <c r="M383" s="79">
        <f t="shared" si="413"/>
        <v>0</v>
      </c>
      <c r="N383" s="79">
        <f t="shared" si="414"/>
        <v>0</v>
      </c>
      <c r="O383" s="79">
        <f t="shared" si="415"/>
        <v>0</v>
      </c>
      <c r="P383" s="79">
        <f t="shared" si="416"/>
        <v>0</v>
      </c>
      <c r="Q383" s="79"/>
      <c r="R383" s="80">
        <f t="shared" si="374"/>
        <v>0</v>
      </c>
      <c r="S383" s="80">
        <f t="shared" si="375"/>
        <v>0</v>
      </c>
      <c r="T383" s="80">
        <f t="shared" si="376"/>
        <v>0</v>
      </c>
      <c r="U383" s="80">
        <f t="shared" si="377"/>
        <v>0</v>
      </c>
      <c r="V383" s="80">
        <f t="shared" si="378"/>
        <v>0</v>
      </c>
      <c r="W383" s="80">
        <f t="shared" si="379"/>
        <v>0</v>
      </c>
      <c r="X383" s="80">
        <f t="shared" si="430"/>
        <v>456.44039156257429</v>
      </c>
      <c r="Y383" s="80">
        <f t="shared" si="431"/>
        <v>165.1326542419865</v>
      </c>
      <c r="Z383" s="80">
        <f t="shared" si="432"/>
        <v>125.22452847768722</v>
      </c>
      <c r="AA383" s="80">
        <f t="shared" si="433"/>
        <v>90.870395056275967</v>
      </c>
      <c r="AB383" s="80">
        <f t="shared" si="434"/>
        <v>754.95045767571992</v>
      </c>
      <c r="AC383" s="80">
        <f t="shared" si="435"/>
        <v>478.05643882070109</v>
      </c>
      <c r="AD383" s="80"/>
      <c r="AE383" s="80"/>
      <c r="AF383" s="80"/>
      <c r="AG383" s="80"/>
      <c r="AH383" s="80"/>
      <c r="AI383" s="80"/>
      <c r="AJ383" s="45">
        <f t="shared" si="380"/>
        <v>0</v>
      </c>
      <c r="AK383" s="45">
        <f t="shared" si="381"/>
        <v>0</v>
      </c>
      <c r="AL383" s="45">
        <f t="shared" si="382"/>
        <v>0</v>
      </c>
      <c r="AM383" s="45">
        <f t="shared" si="383"/>
        <v>0</v>
      </c>
      <c r="AN383" s="45">
        <f t="shared" si="384"/>
        <v>0</v>
      </c>
      <c r="AO383" s="45">
        <f t="shared" si="385"/>
        <v>0</v>
      </c>
      <c r="AP383" s="80">
        <f t="shared" si="386"/>
        <v>0</v>
      </c>
      <c r="AQ383" s="80">
        <f t="shared" si="387"/>
        <v>0</v>
      </c>
      <c r="AR383" s="80">
        <f t="shared" si="388"/>
        <v>0</v>
      </c>
      <c r="AS383" s="80">
        <f t="shared" si="389"/>
        <v>0</v>
      </c>
      <c r="AT383" s="80">
        <f t="shared" si="390"/>
        <v>0</v>
      </c>
      <c r="AU383" s="80">
        <f t="shared" si="391"/>
        <v>0</v>
      </c>
      <c r="AV383" s="80">
        <f t="shared" si="436"/>
        <v>49.820889294650193</v>
      </c>
      <c r="AW383" s="80">
        <f t="shared" si="437"/>
        <v>23.884254895114307</v>
      </c>
      <c r="AX383" s="80">
        <f t="shared" si="438"/>
        <v>15.350153224401097</v>
      </c>
      <c r="AY383" s="80">
        <f t="shared" si="439"/>
        <v>12.13220413376337</v>
      </c>
      <c r="AZ383" s="80">
        <f t="shared" si="440"/>
        <v>108.83989517854567</v>
      </c>
      <c r="BA383" s="80">
        <f t="shared" si="441"/>
        <v>48.252877451030429</v>
      </c>
      <c r="BB383" s="80">
        <f t="shared" si="417"/>
        <v>506.26128085722451</v>
      </c>
      <c r="BC383" s="80">
        <f t="shared" si="418"/>
        <v>189.01690913710081</v>
      </c>
      <c r="BD383" s="80">
        <f t="shared" si="419"/>
        <v>140.5746817020883</v>
      </c>
      <c r="BE383" s="80">
        <f t="shared" si="420"/>
        <v>103.00259919003933</v>
      </c>
      <c r="BF383" s="80">
        <f t="shared" si="421"/>
        <v>863.79035285426562</v>
      </c>
      <c r="BG383" s="80">
        <f t="shared" si="422"/>
        <v>526.30931627173152</v>
      </c>
      <c r="BH383" s="49">
        <f t="shared" si="423"/>
        <v>0</v>
      </c>
      <c r="BI383" s="79">
        <f t="shared" si="424"/>
        <v>-85030.652041271183</v>
      </c>
      <c r="BJ383" s="79">
        <f t="shared" si="392"/>
        <v>124880.21748170242</v>
      </c>
      <c r="BK383" s="44">
        <f t="shared" si="425"/>
        <v>0.46864941622568668</v>
      </c>
      <c r="BL383" s="79">
        <f t="shared" si="442"/>
        <v>11578.515900154394</v>
      </c>
      <c r="BM383" s="49">
        <f t="shared" si="426"/>
        <v>136458.73338185681</v>
      </c>
      <c r="BN383" s="44">
        <f t="shared" si="427"/>
        <v>0.60481814623300867</v>
      </c>
      <c r="BO383" s="49">
        <f t="shared" si="393"/>
        <v>15358.928474776541</v>
      </c>
      <c r="BP383" s="49">
        <f t="shared" si="394"/>
        <v>140239.14595647898</v>
      </c>
      <c r="BQ383" s="44">
        <f t="shared" si="395"/>
        <v>0.64927755567970191</v>
      </c>
      <c r="BS383" s="49">
        <f t="shared" si="396"/>
        <v>85030.652041271183</v>
      </c>
      <c r="BT383" s="49">
        <f t="shared" si="372"/>
        <v>95.900002000000001</v>
      </c>
      <c r="BU383" s="49">
        <f t="shared" si="373"/>
        <v>39.099997999999999</v>
      </c>
      <c r="BV383" s="49">
        <f t="shared" si="397"/>
        <v>0</v>
      </c>
      <c r="BW383" s="18">
        <f t="shared" si="398"/>
        <v>2387</v>
      </c>
      <c r="BX383" s="19">
        <f t="shared" si="428"/>
        <v>0.4525229357798165</v>
      </c>
      <c r="BY383" s="49">
        <f t="shared" si="429"/>
        <v>0</v>
      </c>
      <c r="BZ383" s="19">
        <f t="shared" si="399"/>
        <v>0</v>
      </c>
      <c r="CA383" s="19">
        <f t="shared" si="400"/>
        <v>0</v>
      </c>
      <c r="CB383" s="19">
        <f t="shared" si="401"/>
        <v>0</v>
      </c>
      <c r="CC383" s="19">
        <f t="shared" si="402"/>
        <v>0</v>
      </c>
      <c r="CD383" s="19">
        <f t="shared" si="403"/>
        <v>0</v>
      </c>
      <c r="CE383" s="19">
        <f t="shared" si="404"/>
        <v>0</v>
      </c>
      <c r="CF383" s="49">
        <f t="shared" si="405"/>
        <v>0</v>
      </c>
      <c r="CG383" s="49">
        <f t="shared" si="406"/>
        <v>0</v>
      </c>
      <c r="CH383" s="49">
        <f t="shared" si="407"/>
        <v>0</v>
      </c>
      <c r="CI383" s="49">
        <f t="shared" si="408"/>
        <v>0</v>
      </c>
      <c r="CJ383" s="49">
        <f t="shared" si="409"/>
        <v>0</v>
      </c>
      <c r="CK383" s="49">
        <f t="shared" si="410"/>
        <v>0</v>
      </c>
    </row>
    <row r="384" spans="2:89" ht="12.75" customHeight="1" x14ac:dyDescent="0.2">
      <c r="B384" s="77">
        <v>41688</v>
      </c>
      <c r="C384" s="49">
        <v>96.099997999999999</v>
      </c>
      <c r="D384" s="49">
        <v>75.599997999999999</v>
      </c>
      <c r="E384" s="49">
        <v>80.879997000000003</v>
      </c>
      <c r="F384" s="49">
        <v>97.510002</v>
      </c>
      <c r="G384" s="49">
        <v>41.5</v>
      </c>
      <c r="H384" s="49">
        <v>39.07</v>
      </c>
      <c r="J384" s="78">
        <f>IF(inter=Weekly_2,J383+$C$5,IF(inter=Bi_weekly_2,J382+$C$5,IF(inter=Monthly_2,0,IF(inter=Quarterly_2,0,IF(inter=Yearly_2,0,IF(inter=None_2,0,0))))))</f>
        <v>122600</v>
      </c>
      <c r="K384" s="79">
        <f t="shared" si="411"/>
        <v>953.92071628260601</v>
      </c>
      <c r="L384" s="79">
        <f t="shared" si="412"/>
        <v>224.02833042887141</v>
      </c>
      <c r="M384" s="79">
        <f t="shared" si="413"/>
        <v>320.15948760175706</v>
      </c>
      <c r="N384" s="79">
        <f t="shared" si="414"/>
        <v>278.77240367826016</v>
      </c>
      <c r="O384" s="79">
        <f t="shared" si="415"/>
        <v>680.44399354237612</v>
      </c>
      <c r="P384" s="79">
        <f t="shared" si="416"/>
        <v>287.66506472479159</v>
      </c>
      <c r="Q384" s="79"/>
      <c r="R384" s="80">
        <f t="shared" si="374"/>
        <v>-9.9263344030725786</v>
      </c>
      <c r="S384" s="80">
        <f t="shared" si="375"/>
        <v>-2.9633377824807803</v>
      </c>
      <c r="T384" s="80">
        <f t="shared" si="376"/>
        <v>-3.9584507848307298</v>
      </c>
      <c r="U384" s="80">
        <f t="shared" si="377"/>
        <v>-2.8589108600188538</v>
      </c>
      <c r="V384" s="80">
        <f t="shared" si="378"/>
        <v>-16.396240808250027</v>
      </c>
      <c r="W384" s="80">
        <f t="shared" si="379"/>
        <v>-7.3628119970512307</v>
      </c>
      <c r="X384" s="80">
        <f t="shared" si="430"/>
        <v>446.5140571595017</v>
      </c>
      <c r="Y384" s="80">
        <f t="shared" si="431"/>
        <v>162.16931645950572</v>
      </c>
      <c r="Z384" s="80">
        <f t="shared" si="432"/>
        <v>121.26607769285648</v>
      </c>
      <c r="AA384" s="80">
        <f t="shared" si="433"/>
        <v>88.011484196257115</v>
      </c>
      <c r="AB384" s="80">
        <f t="shared" si="434"/>
        <v>738.5542168674699</v>
      </c>
      <c r="AC384" s="80">
        <f t="shared" si="435"/>
        <v>470.69362682364988</v>
      </c>
      <c r="AD384" s="80"/>
      <c r="AE384" s="80"/>
      <c r="AF384" s="80"/>
      <c r="AG384" s="80"/>
      <c r="AH384" s="80"/>
      <c r="AI384" s="80"/>
      <c r="AJ384" s="45">
        <f t="shared" si="380"/>
        <v>0</v>
      </c>
      <c r="AK384" s="45">
        <f t="shared" si="381"/>
        <v>0</v>
      </c>
      <c r="AL384" s="45">
        <f t="shared" si="382"/>
        <v>0</v>
      </c>
      <c r="AM384" s="45">
        <f t="shared" si="383"/>
        <v>0</v>
      </c>
      <c r="AN384" s="45">
        <f t="shared" si="384"/>
        <v>0</v>
      </c>
      <c r="AO384" s="45">
        <f t="shared" si="385"/>
        <v>0</v>
      </c>
      <c r="AP384" s="80">
        <f t="shared" si="386"/>
        <v>0</v>
      </c>
      <c r="AQ384" s="80">
        <f t="shared" si="387"/>
        <v>0</v>
      </c>
      <c r="AR384" s="80">
        <f t="shared" si="388"/>
        <v>0</v>
      </c>
      <c r="AS384" s="80">
        <f t="shared" si="389"/>
        <v>0</v>
      </c>
      <c r="AT384" s="80">
        <f t="shared" si="390"/>
        <v>0</v>
      </c>
      <c r="AU384" s="80">
        <f t="shared" si="391"/>
        <v>0</v>
      </c>
      <c r="AV384" s="80">
        <f t="shared" si="436"/>
        <v>49.820889294650193</v>
      </c>
      <c r="AW384" s="80">
        <f t="shared" si="437"/>
        <v>23.884254895114307</v>
      </c>
      <c r="AX384" s="80">
        <f t="shared" si="438"/>
        <v>15.350153224401097</v>
      </c>
      <c r="AY384" s="80">
        <f t="shared" si="439"/>
        <v>12.13220413376337</v>
      </c>
      <c r="AZ384" s="80">
        <f t="shared" si="440"/>
        <v>108.83989517854567</v>
      </c>
      <c r="BA384" s="80">
        <f t="shared" si="441"/>
        <v>48.252877451030429</v>
      </c>
      <c r="BB384" s="80">
        <f t="shared" si="417"/>
        <v>496.33494645415192</v>
      </c>
      <c r="BC384" s="80">
        <f t="shared" si="418"/>
        <v>186.05357135462003</v>
      </c>
      <c r="BD384" s="80">
        <f t="shared" si="419"/>
        <v>136.61623091725758</v>
      </c>
      <c r="BE384" s="80">
        <f t="shared" si="420"/>
        <v>100.14368833002048</v>
      </c>
      <c r="BF384" s="80">
        <f t="shared" si="421"/>
        <v>847.39411204601561</v>
      </c>
      <c r="BG384" s="80">
        <f t="shared" si="422"/>
        <v>518.94650427468036</v>
      </c>
      <c r="BH384" s="49">
        <f t="shared" si="423"/>
        <v>0</v>
      </c>
      <c r="BI384" s="79">
        <f t="shared" si="424"/>
        <v>-82285.662045012519</v>
      </c>
      <c r="BJ384" s="79">
        <f t="shared" si="392"/>
        <v>122600</v>
      </c>
      <c r="BK384" s="44">
        <f t="shared" si="425"/>
        <v>0.48993150146783071</v>
      </c>
      <c r="BL384" s="79">
        <f t="shared" si="442"/>
        <v>11578.515900154394</v>
      </c>
      <c r="BM384" s="49">
        <f t="shared" si="426"/>
        <v>134178.51590015439</v>
      </c>
      <c r="BN384" s="44">
        <f t="shared" si="427"/>
        <v>0.63064272153215528</v>
      </c>
      <c r="BO384" s="49">
        <f t="shared" si="393"/>
        <v>15420.064151884417</v>
      </c>
      <c r="BP384" s="49">
        <f t="shared" si="394"/>
        <v>138020.06415188441</v>
      </c>
      <c r="BQ384" s="44">
        <f t="shared" si="395"/>
        <v>0.67732823339725501</v>
      </c>
      <c r="BS384" s="49">
        <f t="shared" si="396"/>
        <v>82285.662045012519</v>
      </c>
      <c r="BT384" s="49">
        <f t="shared" si="372"/>
        <v>96.099997999999999</v>
      </c>
      <c r="BU384" s="49">
        <f t="shared" si="373"/>
        <v>39.07</v>
      </c>
      <c r="BV384" s="49">
        <f t="shared" si="397"/>
        <v>-2744.9899962586624</v>
      </c>
      <c r="BW384" s="18">
        <f t="shared" si="398"/>
        <v>2395</v>
      </c>
      <c r="BX384" s="19">
        <f t="shared" si="428"/>
        <v>0.4506880733944954</v>
      </c>
      <c r="BY384" s="49">
        <f t="shared" si="429"/>
        <v>-1237.1342529009796</v>
      </c>
      <c r="BZ384" s="19">
        <f t="shared" si="399"/>
        <v>0</v>
      </c>
      <c r="CA384" s="19">
        <f t="shared" si="400"/>
        <v>0</v>
      </c>
      <c r="CB384" s="19">
        <f t="shared" si="401"/>
        <v>0</v>
      </c>
      <c r="CC384" s="19">
        <f t="shared" si="402"/>
        <v>0</v>
      </c>
      <c r="CD384" s="19">
        <f t="shared" si="403"/>
        <v>0</v>
      </c>
      <c r="CE384" s="19">
        <f t="shared" si="404"/>
        <v>0</v>
      </c>
      <c r="CF384" s="49">
        <f t="shared" si="405"/>
        <v>0</v>
      </c>
      <c r="CG384" s="49">
        <f t="shared" si="406"/>
        <v>0</v>
      </c>
      <c r="CH384" s="49">
        <f t="shared" si="407"/>
        <v>0</v>
      </c>
      <c r="CI384" s="49">
        <f t="shared" si="408"/>
        <v>0</v>
      </c>
      <c r="CJ384" s="49">
        <f t="shared" si="409"/>
        <v>0</v>
      </c>
      <c r="CK384" s="49">
        <f t="shared" si="410"/>
        <v>0</v>
      </c>
    </row>
    <row r="385" spans="2:89" ht="12.75" customHeight="1" x14ac:dyDescent="0.2">
      <c r="B385" s="77">
        <v>41694</v>
      </c>
      <c r="C385" s="49">
        <v>97.400002000000001</v>
      </c>
      <c r="D385" s="49">
        <v>76.489998</v>
      </c>
      <c r="E385" s="49">
        <v>81.910004000000001</v>
      </c>
      <c r="F385" s="49">
        <v>99.360000999999997</v>
      </c>
      <c r="G385" s="49">
        <v>41.860000999999997</v>
      </c>
      <c r="H385" s="49">
        <v>38.889999000000003</v>
      </c>
      <c r="J385" s="78">
        <f>IF(inter=Weekly_2,J384+$C$5,IF(inter=Bi_weekly_2,0,IF(inter=Monthly_2,0,IF(inter=Quarterly_2,0,IF(inter=Yearly_2,0,IF(inter=None_2,0,0))))))</f>
        <v>0</v>
      </c>
      <c r="K385" s="79">
        <f t="shared" si="411"/>
        <v>0</v>
      </c>
      <c r="L385" s="79">
        <f t="shared" si="412"/>
        <v>0</v>
      </c>
      <c r="M385" s="79">
        <f t="shared" si="413"/>
        <v>0</v>
      </c>
      <c r="N385" s="79">
        <f t="shared" si="414"/>
        <v>0</v>
      </c>
      <c r="O385" s="79">
        <f t="shared" si="415"/>
        <v>0</v>
      </c>
      <c r="P385" s="79">
        <f t="shared" si="416"/>
        <v>0</v>
      </c>
      <c r="Q385" s="79"/>
      <c r="R385" s="80">
        <f t="shared" si="374"/>
        <v>0</v>
      </c>
      <c r="S385" s="80">
        <f t="shared" si="375"/>
        <v>0</v>
      </c>
      <c r="T385" s="80">
        <f t="shared" si="376"/>
        <v>0</v>
      </c>
      <c r="U385" s="80">
        <f t="shared" si="377"/>
        <v>0</v>
      </c>
      <c r="V385" s="80">
        <f t="shared" si="378"/>
        <v>0</v>
      </c>
      <c r="W385" s="80">
        <f t="shared" si="379"/>
        <v>0</v>
      </c>
      <c r="X385" s="80">
        <f t="shared" si="430"/>
        <v>446.5140571595017</v>
      </c>
      <c r="Y385" s="80">
        <f t="shared" si="431"/>
        <v>162.16931645950572</v>
      </c>
      <c r="Z385" s="80">
        <f t="shared" si="432"/>
        <v>121.26607769285648</v>
      </c>
      <c r="AA385" s="80">
        <f t="shared" si="433"/>
        <v>88.011484196257115</v>
      </c>
      <c r="AB385" s="80">
        <f t="shared" si="434"/>
        <v>738.5542168674699</v>
      </c>
      <c r="AC385" s="80">
        <f t="shared" si="435"/>
        <v>470.69362682364988</v>
      </c>
      <c r="AD385" s="80"/>
      <c r="AE385" s="80"/>
      <c r="AF385" s="80"/>
      <c r="AG385" s="80"/>
      <c r="AH385" s="80"/>
      <c r="AI385" s="80"/>
      <c r="AJ385" s="45">
        <f t="shared" si="380"/>
        <v>0</v>
      </c>
      <c r="AK385" s="45">
        <f t="shared" si="381"/>
        <v>0</v>
      </c>
      <c r="AL385" s="45">
        <f t="shared" si="382"/>
        <v>0</v>
      </c>
      <c r="AM385" s="45">
        <f t="shared" si="383"/>
        <v>0</v>
      </c>
      <c r="AN385" s="45">
        <f t="shared" si="384"/>
        <v>0</v>
      </c>
      <c r="AO385" s="45">
        <f t="shared" si="385"/>
        <v>0</v>
      </c>
      <c r="AP385" s="80">
        <f t="shared" si="386"/>
        <v>0</v>
      </c>
      <c r="AQ385" s="80">
        <f t="shared" si="387"/>
        <v>0</v>
      </c>
      <c r="AR385" s="80">
        <f t="shared" si="388"/>
        <v>0</v>
      </c>
      <c r="AS385" s="80">
        <f t="shared" si="389"/>
        <v>0</v>
      </c>
      <c r="AT385" s="80">
        <f t="shared" si="390"/>
        <v>0</v>
      </c>
      <c r="AU385" s="80">
        <f t="shared" si="391"/>
        <v>0</v>
      </c>
      <c r="AV385" s="80">
        <f t="shared" si="436"/>
        <v>49.820889294650193</v>
      </c>
      <c r="AW385" s="80">
        <f t="shared" si="437"/>
        <v>23.884254895114307</v>
      </c>
      <c r="AX385" s="80">
        <f t="shared" si="438"/>
        <v>15.350153224401097</v>
      </c>
      <c r="AY385" s="80">
        <f t="shared" si="439"/>
        <v>12.13220413376337</v>
      </c>
      <c r="AZ385" s="80">
        <f t="shared" si="440"/>
        <v>108.83989517854567</v>
      </c>
      <c r="BA385" s="80">
        <f t="shared" si="441"/>
        <v>48.252877451030429</v>
      </c>
      <c r="BB385" s="80">
        <f t="shared" si="417"/>
        <v>496.33494645415192</v>
      </c>
      <c r="BC385" s="80">
        <f t="shared" si="418"/>
        <v>186.05357135462003</v>
      </c>
      <c r="BD385" s="80">
        <f t="shared" si="419"/>
        <v>136.61623091725758</v>
      </c>
      <c r="BE385" s="80">
        <f t="shared" si="420"/>
        <v>100.14368833002048</v>
      </c>
      <c r="BF385" s="80">
        <f t="shared" si="421"/>
        <v>847.39411204601561</v>
      </c>
      <c r="BG385" s="80">
        <f t="shared" si="422"/>
        <v>518.94650427468036</v>
      </c>
      <c r="BH385" s="49">
        <f t="shared" si="423"/>
        <v>0</v>
      </c>
      <c r="BI385" s="79">
        <f t="shared" si="424"/>
        <v>-82285.662045012519</v>
      </c>
      <c r="BJ385" s="79">
        <f t="shared" si="392"/>
        <v>123793.68175175494</v>
      </c>
      <c r="BK385" s="44">
        <f t="shared" si="425"/>
        <v>0.50443805974407052</v>
      </c>
      <c r="BL385" s="79">
        <f t="shared" si="442"/>
        <v>11578.515900154394</v>
      </c>
      <c r="BM385" s="49">
        <f t="shared" si="426"/>
        <v>135372.19765190932</v>
      </c>
      <c r="BN385" s="44">
        <f t="shared" si="427"/>
        <v>0.64514927980839487</v>
      </c>
      <c r="BO385" s="49">
        <f t="shared" si="393"/>
        <v>15574.840729805243</v>
      </c>
      <c r="BP385" s="49">
        <f t="shared" si="394"/>
        <v>139368.52248156018</v>
      </c>
      <c r="BQ385" s="44">
        <f t="shared" si="395"/>
        <v>0.69371575822434006</v>
      </c>
      <c r="BS385" s="49">
        <f t="shared" si="396"/>
        <v>82285.662045012519</v>
      </c>
      <c r="BT385" s="49">
        <f t="shared" si="372"/>
        <v>97.400002000000001</v>
      </c>
      <c r="BU385" s="49">
        <f t="shared" si="373"/>
        <v>38.889999000000003</v>
      </c>
      <c r="BV385" s="49">
        <f t="shared" si="397"/>
        <v>0</v>
      </c>
      <c r="BW385" s="18">
        <f t="shared" si="398"/>
        <v>2401</v>
      </c>
      <c r="BX385" s="19">
        <f t="shared" si="428"/>
        <v>0.44931192660550456</v>
      </c>
      <c r="BY385" s="49">
        <f t="shared" si="429"/>
        <v>0</v>
      </c>
      <c r="BZ385" s="19">
        <f t="shared" si="399"/>
        <v>0</v>
      </c>
      <c r="CA385" s="19">
        <f t="shared" si="400"/>
        <v>0</v>
      </c>
      <c r="CB385" s="19">
        <f t="shared" si="401"/>
        <v>0</v>
      </c>
      <c r="CC385" s="19">
        <f t="shared" si="402"/>
        <v>0</v>
      </c>
      <c r="CD385" s="19">
        <f t="shared" si="403"/>
        <v>0</v>
      </c>
      <c r="CE385" s="19">
        <f t="shared" si="404"/>
        <v>0</v>
      </c>
      <c r="CF385" s="49">
        <f t="shared" si="405"/>
        <v>0</v>
      </c>
      <c r="CG385" s="49">
        <f t="shared" si="406"/>
        <v>0</v>
      </c>
      <c r="CH385" s="49">
        <f t="shared" si="407"/>
        <v>0</v>
      </c>
      <c r="CI385" s="49">
        <f t="shared" si="408"/>
        <v>0</v>
      </c>
      <c r="CJ385" s="49">
        <f t="shared" si="409"/>
        <v>0</v>
      </c>
      <c r="CK385" s="49">
        <f t="shared" si="410"/>
        <v>0</v>
      </c>
    </row>
    <row r="386" spans="2:89" ht="12.75" customHeight="1" x14ac:dyDescent="0.2">
      <c r="B386" s="77">
        <v>41701</v>
      </c>
      <c r="C386" s="49">
        <v>98.379997000000003</v>
      </c>
      <c r="D386" s="49">
        <v>77.510002</v>
      </c>
      <c r="E386" s="49">
        <v>82.459998999999996</v>
      </c>
      <c r="F386" s="49">
        <v>100.800003</v>
      </c>
      <c r="G386" s="49">
        <v>41.98</v>
      </c>
      <c r="H386" s="49">
        <v>38.950001</v>
      </c>
      <c r="J386" s="78">
        <f>IF(inter=Weekly_2,J385+$C$5,IF(inter=Bi_weekly_2,J384+$C$5,IF(inter=Monthly_2,J382+$C$5,IF(inter=Quarterly_2,0,IF(inter=Yearly_2,0,IF(inter=None_2,0,0))))))</f>
        <v>123200</v>
      </c>
      <c r="K386" s="79">
        <f t="shared" si="411"/>
        <v>808.05160380961024</v>
      </c>
      <c r="L386" s="79">
        <f t="shared" si="412"/>
        <v>249.74404311492071</v>
      </c>
      <c r="M386" s="79">
        <f t="shared" si="413"/>
        <v>143.6006452868678</v>
      </c>
      <c r="N386" s="79">
        <f t="shared" si="414"/>
        <v>247.55787101717033</v>
      </c>
      <c r="O386" s="79">
        <f t="shared" si="415"/>
        <v>204.50602409638304</v>
      </c>
      <c r="P386" s="79">
        <f t="shared" si="416"/>
        <v>-146.48276452521168</v>
      </c>
      <c r="Q386" s="79"/>
      <c r="R386" s="80">
        <f t="shared" si="374"/>
        <v>-8.2135762192553248</v>
      </c>
      <c r="S386" s="80">
        <f t="shared" si="375"/>
        <v>-3.222087945694037</v>
      </c>
      <c r="T386" s="80">
        <f t="shared" si="376"/>
        <v>-1.7414582467660205</v>
      </c>
      <c r="U386" s="80">
        <f t="shared" si="377"/>
        <v>-2.4559311869977853</v>
      </c>
      <c r="V386" s="80">
        <f t="shared" si="378"/>
        <v>-4.8715108169695824</v>
      </c>
      <c r="W386" s="80">
        <f t="shared" si="379"/>
        <v>3.7607897500493435</v>
      </c>
      <c r="X386" s="80">
        <f t="shared" si="430"/>
        <v>438.30048094024636</v>
      </c>
      <c r="Y386" s="80">
        <f t="shared" si="431"/>
        <v>158.94722851381169</v>
      </c>
      <c r="Z386" s="80">
        <f t="shared" si="432"/>
        <v>119.52461944609047</v>
      </c>
      <c r="AA386" s="80">
        <f t="shared" si="433"/>
        <v>85.555553009259327</v>
      </c>
      <c r="AB386" s="80">
        <f t="shared" si="434"/>
        <v>733.68270605050031</v>
      </c>
      <c r="AC386" s="80">
        <f t="shared" si="435"/>
        <v>474.45441657369923</v>
      </c>
      <c r="AD386" s="80"/>
      <c r="AE386" s="80"/>
      <c r="AF386" s="80"/>
      <c r="AG386" s="80"/>
      <c r="AH386" s="80"/>
      <c r="AI386" s="80"/>
      <c r="AJ386" s="45">
        <f t="shared" si="380"/>
        <v>0</v>
      </c>
      <c r="AK386" s="45">
        <f t="shared" si="381"/>
        <v>0</v>
      </c>
      <c r="AL386" s="45">
        <f t="shared" si="382"/>
        <v>0</v>
      </c>
      <c r="AM386" s="45">
        <f t="shared" si="383"/>
        <v>0</v>
      </c>
      <c r="AN386" s="45">
        <f t="shared" si="384"/>
        <v>0</v>
      </c>
      <c r="AO386" s="45">
        <f t="shared" si="385"/>
        <v>0</v>
      </c>
      <c r="AP386" s="80">
        <f t="shared" si="386"/>
        <v>0</v>
      </c>
      <c r="AQ386" s="80">
        <f t="shared" si="387"/>
        <v>0</v>
      </c>
      <c r="AR386" s="80">
        <f t="shared" si="388"/>
        <v>0</v>
      </c>
      <c r="AS386" s="80">
        <f t="shared" si="389"/>
        <v>0</v>
      </c>
      <c r="AT386" s="80">
        <f t="shared" si="390"/>
        <v>0</v>
      </c>
      <c r="AU386" s="80">
        <f t="shared" si="391"/>
        <v>0</v>
      </c>
      <c r="AV386" s="80">
        <f t="shared" si="436"/>
        <v>49.820889294650193</v>
      </c>
      <c r="AW386" s="80">
        <f t="shared" si="437"/>
        <v>23.884254895114307</v>
      </c>
      <c r="AX386" s="80">
        <f t="shared" si="438"/>
        <v>15.350153224401097</v>
      </c>
      <c r="AY386" s="80">
        <f t="shared" si="439"/>
        <v>12.13220413376337</v>
      </c>
      <c r="AZ386" s="80">
        <f t="shared" si="440"/>
        <v>108.83989517854567</v>
      </c>
      <c r="BA386" s="80">
        <f t="shared" si="441"/>
        <v>48.252877451030429</v>
      </c>
      <c r="BB386" s="80">
        <f t="shared" si="417"/>
        <v>488.12137023489657</v>
      </c>
      <c r="BC386" s="80">
        <f t="shared" si="418"/>
        <v>182.831483408926</v>
      </c>
      <c r="BD386" s="80">
        <f t="shared" si="419"/>
        <v>134.87477267049155</v>
      </c>
      <c r="BE386" s="80">
        <f t="shared" si="420"/>
        <v>97.687757143022694</v>
      </c>
      <c r="BF386" s="80">
        <f t="shared" si="421"/>
        <v>842.52260122904602</v>
      </c>
      <c r="BG386" s="80">
        <f t="shared" si="422"/>
        <v>522.70729402472966</v>
      </c>
      <c r="BH386" s="49">
        <f t="shared" si="423"/>
        <v>0</v>
      </c>
      <c r="BI386" s="79">
        <f t="shared" si="424"/>
        <v>-80778.684622212779</v>
      </c>
      <c r="BJ386" s="79">
        <f t="shared" si="392"/>
        <v>123200</v>
      </c>
      <c r="BK386" s="44">
        <f t="shared" si="425"/>
        <v>0.52515481746433479</v>
      </c>
      <c r="BL386" s="79">
        <f t="shared" si="442"/>
        <v>11578.515900154394</v>
      </c>
      <c r="BM386" s="49">
        <f t="shared" si="426"/>
        <v>134778.51590015439</v>
      </c>
      <c r="BN386" s="44">
        <f t="shared" si="427"/>
        <v>0.66849109428420395</v>
      </c>
      <c r="BO386" s="49">
        <f t="shared" si="393"/>
        <v>15689.89584121362</v>
      </c>
      <c r="BP386" s="49">
        <f t="shared" si="394"/>
        <v>138889.89584121361</v>
      </c>
      <c r="BQ386" s="44">
        <f t="shared" si="395"/>
        <v>0.71938793619599539</v>
      </c>
      <c r="BS386" s="49">
        <f t="shared" si="396"/>
        <v>80778.684622212779</v>
      </c>
      <c r="BT386" s="49">
        <f t="shared" si="372"/>
        <v>98.379997000000003</v>
      </c>
      <c r="BU386" s="49">
        <f t="shared" si="373"/>
        <v>38.950001</v>
      </c>
      <c r="BV386" s="49">
        <f t="shared" si="397"/>
        <v>-1506.9774227997405</v>
      </c>
      <c r="BW386" s="18">
        <f t="shared" si="398"/>
        <v>2408</v>
      </c>
      <c r="BX386" s="19">
        <f t="shared" si="428"/>
        <v>0.44770642201834865</v>
      </c>
      <c r="BY386" s="49">
        <f t="shared" si="429"/>
        <v>-674.68347002410405</v>
      </c>
      <c r="BZ386" s="19">
        <f t="shared" si="399"/>
        <v>0</v>
      </c>
      <c r="CA386" s="19">
        <f t="shared" si="400"/>
        <v>0</v>
      </c>
      <c r="CB386" s="19">
        <f t="shared" si="401"/>
        <v>0</v>
      </c>
      <c r="CC386" s="19">
        <f t="shared" si="402"/>
        <v>0</v>
      </c>
      <c r="CD386" s="19">
        <f t="shared" si="403"/>
        <v>0</v>
      </c>
      <c r="CE386" s="19">
        <f t="shared" si="404"/>
        <v>3.7607897500493435</v>
      </c>
      <c r="CF386" s="49">
        <f t="shared" si="405"/>
        <v>0</v>
      </c>
      <c r="CG386" s="49">
        <f t="shared" si="406"/>
        <v>0</v>
      </c>
      <c r="CH386" s="49">
        <f t="shared" si="407"/>
        <v>0</v>
      </c>
      <c r="CI386" s="49">
        <f t="shared" si="408"/>
        <v>0</v>
      </c>
      <c r="CJ386" s="49">
        <f t="shared" si="409"/>
        <v>0</v>
      </c>
      <c r="CK386" s="49">
        <f t="shared" si="410"/>
        <v>-146.48276452521168</v>
      </c>
    </row>
    <row r="387" spans="2:89" ht="12.75" customHeight="1" x14ac:dyDescent="0.2">
      <c r="B387" s="77">
        <v>41708</v>
      </c>
      <c r="C387" s="49">
        <v>96.580001999999993</v>
      </c>
      <c r="D387" s="49">
        <v>76.139999000000003</v>
      </c>
      <c r="E387" s="49">
        <v>81.099997999999999</v>
      </c>
      <c r="F387" s="49">
        <v>99.18</v>
      </c>
      <c r="G387" s="49">
        <v>40.400002000000001</v>
      </c>
      <c r="H387" s="49">
        <v>38.009998000000003</v>
      </c>
      <c r="J387" s="78">
        <f>IF(inter=Weekly_2,J386+$C$5,IF(inter=Bi_weekly_2,0,IF(inter=Monthly_2,0,IF(inter=Quarterly_2,0,IF(inter=Yearly_2,0,IF(inter=None_2,0,0))))))</f>
        <v>0</v>
      </c>
      <c r="K387" s="79">
        <f t="shared" si="411"/>
        <v>0</v>
      </c>
      <c r="L387" s="79">
        <f t="shared" si="412"/>
        <v>0</v>
      </c>
      <c r="M387" s="79">
        <f t="shared" si="413"/>
        <v>0</v>
      </c>
      <c r="N387" s="79">
        <f t="shared" si="414"/>
        <v>0</v>
      </c>
      <c r="O387" s="79">
        <f t="shared" si="415"/>
        <v>0</v>
      </c>
      <c r="P387" s="79">
        <f t="shared" si="416"/>
        <v>0</v>
      </c>
      <c r="Q387" s="79"/>
      <c r="R387" s="80">
        <f t="shared" si="374"/>
        <v>0</v>
      </c>
      <c r="S387" s="80">
        <f t="shared" si="375"/>
        <v>0</v>
      </c>
      <c r="T387" s="80">
        <f t="shared" si="376"/>
        <v>0</v>
      </c>
      <c r="U387" s="80">
        <f t="shared" si="377"/>
        <v>0</v>
      </c>
      <c r="V387" s="80">
        <f t="shared" si="378"/>
        <v>0</v>
      </c>
      <c r="W387" s="80">
        <f t="shared" si="379"/>
        <v>0</v>
      </c>
      <c r="X387" s="80">
        <f t="shared" si="430"/>
        <v>438.30048094024636</v>
      </c>
      <c r="Y387" s="80">
        <f t="shared" si="431"/>
        <v>158.94722851381169</v>
      </c>
      <c r="Z387" s="80">
        <f t="shared" si="432"/>
        <v>119.52461944609047</v>
      </c>
      <c r="AA387" s="80">
        <f t="shared" si="433"/>
        <v>85.555553009259327</v>
      </c>
      <c r="AB387" s="80">
        <f t="shared" si="434"/>
        <v>733.68270605050031</v>
      </c>
      <c r="AC387" s="80">
        <f t="shared" si="435"/>
        <v>474.45441657369923</v>
      </c>
      <c r="AD387" s="80"/>
      <c r="AE387" s="80"/>
      <c r="AF387" s="80"/>
      <c r="AG387" s="80"/>
      <c r="AH387" s="80"/>
      <c r="AI387" s="80"/>
      <c r="AJ387" s="45">
        <f t="shared" si="380"/>
        <v>0</v>
      </c>
      <c r="AK387" s="45">
        <f t="shared" si="381"/>
        <v>0</v>
      </c>
      <c r="AL387" s="45">
        <f t="shared" si="382"/>
        <v>0</v>
      </c>
      <c r="AM387" s="45">
        <f t="shared" si="383"/>
        <v>0</v>
      </c>
      <c r="AN387" s="45">
        <f t="shared" si="384"/>
        <v>0</v>
      </c>
      <c r="AO387" s="45">
        <f t="shared" si="385"/>
        <v>0</v>
      </c>
      <c r="AP387" s="80">
        <f t="shared" si="386"/>
        <v>0</v>
      </c>
      <c r="AQ387" s="80">
        <f t="shared" si="387"/>
        <v>0</v>
      </c>
      <c r="AR387" s="80">
        <f t="shared" si="388"/>
        <v>0</v>
      </c>
      <c r="AS387" s="80">
        <f t="shared" si="389"/>
        <v>0</v>
      </c>
      <c r="AT387" s="80">
        <f t="shared" si="390"/>
        <v>0</v>
      </c>
      <c r="AU387" s="80">
        <f t="shared" si="391"/>
        <v>0</v>
      </c>
      <c r="AV387" s="80">
        <f t="shared" si="436"/>
        <v>49.820889294650193</v>
      </c>
      <c r="AW387" s="80">
        <f t="shared" si="437"/>
        <v>23.884254895114307</v>
      </c>
      <c r="AX387" s="80">
        <f t="shared" si="438"/>
        <v>15.350153224401097</v>
      </c>
      <c r="AY387" s="80">
        <f t="shared" si="439"/>
        <v>12.13220413376337</v>
      </c>
      <c r="AZ387" s="80">
        <f t="shared" si="440"/>
        <v>108.83989517854567</v>
      </c>
      <c r="BA387" s="80">
        <f t="shared" si="441"/>
        <v>48.252877451030429</v>
      </c>
      <c r="BB387" s="80">
        <f t="shared" si="417"/>
        <v>488.12137023489657</v>
      </c>
      <c r="BC387" s="80">
        <f t="shared" si="418"/>
        <v>182.831483408926</v>
      </c>
      <c r="BD387" s="80">
        <f t="shared" si="419"/>
        <v>134.87477267049155</v>
      </c>
      <c r="BE387" s="80">
        <f t="shared" si="420"/>
        <v>97.687757143022694</v>
      </c>
      <c r="BF387" s="80">
        <f t="shared" si="421"/>
        <v>842.52260122904602</v>
      </c>
      <c r="BG387" s="80">
        <f t="shared" si="422"/>
        <v>522.70729402472966</v>
      </c>
      <c r="BH387" s="49">
        <f t="shared" si="423"/>
        <v>0</v>
      </c>
      <c r="BI387" s="79">
        <f t="shared" si="424"/>
        <v>-80778.684622212779</v>
      </c>
      <c r="BJ387" s="79">
        <f t="shared" si="392"/>
        <v>120286.94350825448</v>
      </c>
      <c r="BK387" s="44">
        <f t="shared" si="425"/>
        <v>0.48909262475385229</v>
      </c>
      <c r="BL387" s="79">
        <f t="shared" si="442"/>
        <v>11578.515900154394</v>
      </c>
      <c r="BM387" s="49">
        <f t="shared" si="426"/>
        <v>131865.45940840887</v>
      </c>
      <c r="BN387" s="44">
        <f t="shared" si="427"/>
        <v>0.63242890157372145</v>
      </c>
      <c r="BO387" s="49">
        <f t="shared" si="393"/>
        <v>15309.641891635063</v>
      </c>
      <c r="BP387" s="49">
        <f t="shared" si="394"/>
        <v>135596.58539988953</v>
      </c>
      <c r="BQ387" s="44">
        <f t="shared" si="395"/>
        <v>0.67861838842821109</v>
      </c>
      <c r="BS387" s="49">
        <f t="shared" si="396"/>
        <v>80778.684622212779</v>
      </c>
      <c r="BT387" s="49">
        <f t="shared" si="372"/>
        <v>96.580001999999993</v>
      </c>
      <c r="BU387" s="49">
        <f t="shared" si="373"/>
        <v>38.009998000000003</v>
      </c>
      <c r="BV387" s="49">
        <f t="shared" si="397"/>
        <v>0</v>
      </c>
      <c r="BW387" s="18">
        <f t="shared" si="398"/>
        <v>2415</v>
      </c>
      <c r="BX387" s="19">
        <f t="shared" si="428"/>
        <v>0.44610091743119268</v>
      </c>
      <c r="BY387" s="49">
        <f t="shared" si="429"/>
        <v>0</v>
      </c>
      <c r="BZ387" s="19">
        <f t="shared" si="399"/>
        <v>0</v>
      </c>
      <c r="CA387" s="19">
        <f t="shared" si="400"/>
        <v>0</v>
      </c>
      <c r="CB387" s="19">
        <f t="shared" si="401"/>
        <v>0</v>
      </c>
      <c r="CC387" s="19">
        <f t="shared" si="402"/>
        <v>0</v>
      </c>
      <c r="CD387" s="19">
        <f t="shared" si="403"/>
        <v>0</v>
      </c>
      <c r="CE387" s="19">
        <f t="shared" si="404"/>
        <v>0</v>
      </c>
      <c r="CF387" s="49">
        <f t="shared" si="405"/>
        <v>0</v>
      </c>
      <c r="CG387" s="49">
        <f t="shared" si="406"/>
        <v>0</v>
      </c>
      <c r="CH387" s="49">
        <f t="shared" si="407"/>
        <v>0</v>
      </c>
      <c r="CI387" s="49">
        <f t="shared" si="408"/>
        <v>0</v>
      </c>
      <c r="CJ387" s="49">
        <f t="shared" si="409"/>
        <v>0</v>
      </c>
      <c r="CK387" s="49">
        <f t="shared" si="410"/>
        <v>0</v>
      </c>
    </row>
    <row r="388" spans="2:89" ht="12.75" customHeight="1" x14ac:dyDescent="0.2">
      <c r="B388" s="77">
        <v>41715</v>
      </c>
      <c r="C388" s="49">
        <v>97.75</v>
      </c>
      <c r="D388" s="49">
        <v>77.529999000000004</v>
      </c>
      <c r="E388" s="49">
        <v>82.220000999999996</v>
      </c>
      <c r="F388" s="49">
        <v>100.80999799999999</v>
      </c>
      <c r="G388" s="49">
        <v>40.409999999999997</v>
      </c>
      <c r="H388" s="49">
        <v>38.650002000000001</v>
      </c>
      <c r="J388" s="78">
        <f>IF(inter=Weekly_2,J387+$C$5,IF(inter=Bi_weekly_2,J386+$C$5,IF(inter=Monthly_2,0,IF(inter=Quarterly_2,0,IF(inter=Yearly_2,0,IF(inter=None_2,0,0))))))</f>
        <v>123800</v>
      </c>
      <c r="K388" s="79">
        <f t="shared" si="411"/>
        <v>-486.12798809092055</v>
      </c>
      <c r="L388" s="79">
        <f t="shared" si="412"/>
        <v>-56.821532271407705</v>
      </c>
      <c r="M388" s="79">
        <f t="shared" si="413"/>
        <v>-76.685669617821986</v>
      </c>
      <c r="N388" s="79">
        <f t="shared" si="414"/>
        <v>-41.144872247674357</v>
      </c>
      <c r="O388" s="79">
        <f t="shared" si="415"/>
        <v>-1301.8818484992844</v>
      </c>
      <c r="P388" s="79">
        <f t="shared" si="416"/>
        <v>-232.33585051769114</v>
      </c>
      <c r="Q388" s="79"/>
      <c r="R388" s="80">
        <f t="shared" si="374"/>
        <v>4.9731763487562208</v>
      </c>
      <c r="S388" s="80">
        <f t="shared" si="375"/>
        <v>0.73289736881600764</v>
      </c>
      <c r="T388" s="80">
        <f t="shared" si="376"/>
        <v>0.93268874586637363</v>
      </c>
      <c r="U388" s="80">
        <f t="shared" si="377"/>
        <v>0.40814277416883155</v>
      </c>
      <c r="V388" s="80">
        <f t="shared" si="378"/>
        <v>32.216823768851384</v>
      </c>
      <c r="W388" s="80">
        <f t="shared" si="379"/>
        <v>6.0112765457991735</v>
      </c>
      <c r="X388" s="80">
        <f t="shared" si="430"/>
        <v>443.27365728900259</v>
      </c>
      <c r="Y388" s="80">
        <f t="shared" si="431"/>
        <v>159.68012588262769</v>
      </c>
      <c r="Z388" s="80">
        <f t="shared" si="432"/>
        <v>120.45730819195684</v>
      </c>
      <c r="AA388" s="80">
        <f t="shared" si="433"/>
        <v>85.963695783428165</v>
      </c>
      <c r="AB388" s="80">
        <f t="shared" si="434"/>
        <v>765.89952981935176</v>
      </c>
      <c r="AC388" s="80">
        <f t="shared" si="435"/>
        <v>480.46569311949838</v>
      </c>
      <c r="AD388" s="80"/>
      <c r="AE388" s="80"/>
      <c r="AF388" s="80"/>
      <c r="AG388" s="80"/>
      <c r="AH388" s="80"/>
      <c r="AI388" s="80"/>
      <c r="AJ388" s="45">
        <f t="shared" si="380"/>
        <v>0</v>
      </c>
      <c r="AK388" s="45">
        <f t="shared" si="381"/>
        <v>0</v>
      </c>
      <c r="AL388" s="45">
        <f t="shared" si="382"/>
        <v>0</v>
      </c>
      <c r="AM388" s="45">
        <f t="shared" si="383"/>
        <v>0</v>
      </c>
      <c r="AN388" s="45">
        <f t="shared" si="384"/>
        <v>0</v>
      </c>
      <c r="AO388" s="45">
        <f t="shared" si="385"/>
        <v>0</v>
      </c>
      <c r="AP388" s="80">
        <f t="shared" si="386"/>
        <v>0</v>
      </c>
      <c r="AQ388" s="80">
        <f t="shared" si="387"/>
        <v>0</v>
      </c>
      <c r="AR388" s="80">
        <f t="shared" si="388"/>
        <v>0</v>
      </c>
      <c r="AS388" s="80">
        <f t="shared" si="389"/>
        <v>0</v>
      </c>
      <c r="AT388" s="80">
        <f t="shared" si="390"/>
        <v>0</v>
      </c>
      <c r="AU388" s="80">
        <f t="shared" si="391"/>
        <v>0</v>
      </c>
      <c r="AV388" s="80">
        <f t="shared" si="436"/>
        <v>49.820889294650193</v>
      </c>
      <c r="AW388" s="80">
        <f t="shared" si="437"/>
        <v>23.884254895114307</v>
      </c>
      <c r="AX388" s="80">
        <f t="shared" si="438"/>
        <v>15.350153224401097</v>
      </c>
      <c r="AY388" s="80">
        <f t="shared" si="439"/>
        <v>12.13220413376337</v>
      </c>
      <c r="AZ388" s="80">
        <f t="shared" si="440"/>
        <v>108.83989517854567</v>
      </c>
      <c r="BA388" s="80">
        <f t="shared" si="441"/>
        <v>48.252877451030429</v>
      </c>
      <c r="BB388" s="80">
        <f t="shared" si="417"/>
        <v>493.0945465836528</v>
      </c>
      <c r="BC388" s="80">
        <f t="shared" si="418"/>
        <v>183.564380777742</v>
      </c>
      <c r="BD388" s="80">
        <f t="shared" si="419"/>
        <v>135.80746141635794</v>
      </c>
      <c r="BE388" s="80">
        <f t="shared" si="420"/>
        <v>98.095899917191531</v>
      </c>
      <c r="BF388" s="80">
        <f t="shared" si="421"/>
        <v>874.73942499789746</v>
      </c>
      <c r="BG388" s="80">
        <f t="shared" si="422"/>
        <v>528.71857057052875</v>
      </c>
      <c r="BH388" s="49">
        <f t="shared" si="423"/>
        <v>0</v>
      </c>
      <c r="BI388" s="79">
        <f t="shared" si="424"/>
        <v>-82973.682383457577</v>
      </c>
      <c r="BJ388" s="79">
        <f t="shared" si="392"/>
        <v>123800</v>
      </c>
      <c r="BK388" s="44">
        <f t="shared" si="425"/>
        <v>0.49203936047897945</v>
      </c>
      <c r="BL388" s="79">
        <f t="shared" si="442"/>
        <v>11578.515900154394</v>
      </c>
      <c r="BM388" s="49">
        <f t="shared" si="426"/>
        <v>135378.51590015439</v>
      </c>
      <c r="BN388" s="44">
        <f t="shared" si="427"/>
        <v>0.63158379875815585</v>
      </c>
      <c r="BO388" s="49">
        <f t="shared" si="393"/>
        <v>15470.069248759815</v>
      </c>
      <c r="BP388" s="49">
        <f t="shared" si="394"/>
        <v>139270.06924875983</v>
      </c>
      <c r="BQ388" s="44">
        <f t="shared" si="395"/>
        <v>0.67848485505478817</v>
      </c>
      <c r="BS388" s="49">
        <f t="shared" si="396"/>
        <v>82973.682383457577</v>
      </c>
      <c r="BT388" s="49">
        <f t="shared" si="372"/>
        <v>97.75</v>
      </c>
      <c r="BU388" s="49">
        <f t="shared" si="373"/>
        <v>38.650002000000001</v>
      </c>
      <c r="BV388" s="49">
        <f t="shared" si="397"/>
        <v>2194.9977612448001</v>
      </c>
      <c r="BW388" s="18">
        <f t="shared" si="398"/>
        <v>2422</v>
      </c>
      <c r="BX388" s="19">
        <f t="shared" si="428"/>
        <v>0.44449541284403671</v>
      </c>
      <c r="BY388" s="49">
        <f t="shared" si="429"/>
        <v>975.66643607624371</v>
      </c>
      <c r="BZ388" s="19">
        <f t="shared" si="399"/>
        <v>4.9731763487562208</v>
      </c>
      <c r="CA388" s="19">
        <f t="shared" si="400"/>
        <v>0.73289736881600764</v>
      </c>
      <c r="CB388" s="19">
        <f t="shared" si="401"/>
        <v>0.93268874586637363</v>
      </c>
      <c r="CC388" s="19">
        <f t="shared" si="402"/>
        <v>0.40814277416883155</v>
      </c>
      <c r="CD388" s="19">
        <f t="shared" si="403"/>
        <v>32.216823768851384</v>
      </c>
      <c r="CE388" s="19">
        <f t="shared" si="404"/>
        <v>6.0112765457991735</v>
      </c>
      <c r="CF388" s="49">
        <f t="shared" si="405"/>
        <v>-486.12798809092055</v>
      </c>
      <c r="CG388" s="49">
        <f t="shared" si="406"/>
        <v>-56.821532271407705</v>
      </c>
      <c r="CH388" s="49">
        <f t="shared" si="407"/>
        <v>-76.685669617821986</v>
      </c>
      <c r="CI388" s="49">
        <f t="shared" si="408"/>
        <v>-41.144872247674357</v>
      </c>
      <c r="CJ388" s="49">
        <f t="shared" si="409"/>
        <v>-1301.8818484992844</v>
      </c>
      <c r="CK388" s="49">
        <f t="shared" si="410"/>
        <v>-232.33585051769114</v>
      </c>
    </row>
    <row r="389" spans="2:89" ht="12.75" customHeight="1" x14ac:dyDescent="0.2">
      <c r="B389" s="77">
        <v>41722</v>
      </c>
      <c r="C389" s="49">
        <v>96.519997000000004</v>
      </c>
      <c r="D389" s="49">
        <v>77.379997000000003</v>
      </c>
      <c r="E389" s="49">
        <v>81.809997999999993</v>
      </c>
      <c r="F389" s="49">
        <v>99</v>
      </c>
      <c r="G389" s="49">
        <v>41.040000999999997</v>
      </c>
      <c r="H389" s="49">
        <v>40.279998999999997</v>
      </c>
      <c r="J389" s="78">
        <f>IF(inter=Weekly_2,J388+$C$5,IF(inter=Bi_weekly_2,0,IF(inter=Monthly_2,0,IF(inter=Quarterly_2,0,IF(inter=Yearly_2,0,IF(inter=None_2,0,0))))))</f>
        <v>0</v>
      </c>
      <c r="K389" s="79">
        <f t="shared" si="411"/>
        <v>0</v>
      </c>
      <c r="L389" s="79">
        <f t="shared" si="412"/>
        <v>0</v>
      </c>
      <c r="M389" s="79">
        <f t="shared" si="413"/>
        <v>0</v>
      </c>
      <c r="N389" s="79">
        <f t="shared" si="414"/>
        <v>0</v>
      </c>
      <c r="O389" s="79">
        <f t="shared" si="415"/>
        <v>0</v>
      </c>
      <c r="P389" s="79">
        <f t="shared" si="416"/>
        <v>0</v>
      </c>
      <c r="Q389" s="79"/>
      <c r="R389" s="80">
        <f t="shared" si="374"/>
        <v>0</v>
      </c>
      <c r="S389" s="80">
        <f t="shared" si="375"/>
        <v>0</v>
      </c>
      <c r="T389" s="80">
        <f t="shared" si="376"/>
        <v>0</v>
      </c>
      <c r="U389" s="80">
        <f t="shared" si="377"/>
        <v>0</v>
      </c>
      <c r="V389" s="80">
        <f t="shared" si="378"/>
        <v>0</v>
      </c>
      <c r="W389" s="80">
        <f t="shared" si="379"/>
        <v>0</v>
      </c>
      <c r="X389" s="80">
        <f t="shared" si="430"/>
        <v>443.27365728900259</v>
      </c>
      <c r="Y389" s="80">
        <f t="shared" si="431"/>
        <v>159.68012588262769</v>
      </c>
      <c r="Z389" s="80">
        <f t="shared" si="432"/>
        <v>120.45730819195684</v>
      </c>
      <c r="AA389" s="80">
        <f t="shared" si="433"/>
        <v>85.963695783428165</v>
      </c>
      <c r="AB389" s="80">
        <f t="shared" si="434"/>
        <v>765.89952981935176</v>
      </c>
      <c r="AC389" s="80">
        <f t="shared" si="435"/>
        <v>480.46569311949838</v>
      </c>
      <c r="AD389" s="80">
        <v>0.42299999999999999</v>
      </c>
      <c r="AE389" s="80">
        <v>0.43</v>
      </c>
      <c r="AF389" s="80">
        <v>1.9E-2</v>
      </c>
      <c r="AG389" s="80">
        <v>2.4E-2</v>
      </c>
      <c r="AH389" s="80">
        <v>0.42899999999999999</v>
      </c>
      <c r="AI389" s="80">
        <v>0.105</v>
      </c>
      <c r="AJ389" s="45">
        <f t="shared" si="380"/>
        <v>187.5047570332481</v>
      </c>
      <c r="AK389" s="45">
        <f t="shared" si="381"/>
        <v>68.662454129529905</v>
      </c>
      <c r="AL389" s="45">
        <f t="shared" si="382"/>
        <v>2.2886888556471798</v>
      </c>
      <c r="AM389" s="45">
        <f t="shared" si="383"/>
        <v>2.0631286988022759</v>
      </c>
      <c r="AN389" s="45">
        <f t="shared" si="384"/>
        <v>328.57089829250191</v>
      </c>
      <c r="AO389" s="45">
        <f t="shared" si="385"/>
        <v>50.44889777754733</v>
      </c>
      <c r="AP389" s="80">
        <f t="shared" si="386"/>
        <v>1.9426519152631976</v>
      </c>
      <c r="AQ389" s="80">
        <f t="shared" si="387"/>
        <v>0.88734113196631303</v>
      </c>
      <c r="AR389" s="80">
        <f t="shared" si="388"/>
        <v>2.7975662041296957E-2</v>
      </c>
      <c r="AS389" s="80">
        <f t="shared" si="389"/>
        <v>2.0839683826285614E-2</v>
      </c>
      <c r="AT389" s="80">
        <f t="shared" si="390"/>
        <v>8.0061133110718483</v>
      </c>
      <c r="AU389" s="80">
        <f t="shared" si="391"/>
        <v>1.2524552887289628</v>
      </c>
      <c r="AV389" s="80">
        <f t="shared" si="436"/>
        <v>51.763541209913392</v>
      </c>
      <c r="AW389" s="80">
        <f t="shared" si="437"/>
        <v>24.771596027080619</v>
      </c>
      <c r="AX389" s="80">
        <f t="shared" si="438"/>
        <v>15.378128886442394</v>
      </c>
      <c r="AY389" s="80">
        <f t="shared" si="439"/>
        <v>12.153043817589655</v>
      </c>
      <c r="AZ389" s="80">
        <f t="shared" si="440"/>
        <v>116.84600848961752</v>
      </c>
      <c r="BA389" s="80">
        <f t="shared" si="441"/>
        <v>49.505332739759389</v>
      </c>
      <c r="BB389" s="80">
        <f t="shared" si="417"/>
        <v>495.03719849891598</v>
      </c>
      <c r="BC389" s="80">
        <f t="shared" si="418"/>
        <v>184.45172190970831</v>
      </c>
      <c r="BD389" s="80">
        <f t="shared" si="419"/>
        <v>135.83543707839922</v>
      </c>
      <c r="BE389" s="80">
        <f t="shared" si="420"/>
        <v>98.116739601017827</v>
      </c>
      <c r="BF389" s="80">
        <f t="shared" si="421"/>
        <v>882.74553830896923</v>
      </c>
      <c r="BG389" s="80">
        <f t="shared" si="422"/>
        <v>529.97102585925779</v>
      </c>
      <c r="BH389" s="49">
        <f t="shared" si="423"/>
        <v>639.53882478727678</v>
      </c>
      <c r="BI389" s="79">
        <f t="shared" si="424"/>
        <v>-82973.682383457577</v>
      </c>
      <c r="BJ389" s="79">
        <f t="shared" si="392"/>
        <v>124291.51286637309</v>
      </c>
      <c r="BK389" s="44">
        <f t="shared" si="425"/>
        <v>0.49796308053399141</v>
      </c>
      <c r="BL389" s="79">
        <f t="shared" si="442"/>
        <v>12218.05472494167</v>
      </c>
      <c r="BM389" s="49">
        <f t="shared" si="426"/>
        <v>136509.56759131476</v>
      </c>
      <c r="BN389" s="44">
        <f t="shared" si="427"/>
        <v>0.64521524982396827</v>
      </c>
      <c r="BO389" s="49">
        <f t="shared" si="393"/>
        <v>16163.713958447981</v>
      </c>
      <c r="BP389" s="49">
        <f t="shared" si="394"/>
        <v>140455.22682482109</v>
      </c>
      <c r="BQ389" s="44">
        <f t="shared" si="395"/>
        <v>0.69276839101483079</v>
      </c>
      <c r="BS389" s="49">
        <f t="shared" si="396"/>
        <v>82973.682383457577</v>
      </c>
      <c r="BT389" s="49">
        <f t="shared" si="372"/>
        <v>96.519997000000004</v>
      </c>
      <c r="BU389" s="49">
        <f t="shared" si="373"/>
        <v>40.279998999999997</v>
      </c>
      <c r="BV389" s="49">
        <f t="shared" si="397"/>
        <v>-639.53882478727678</v>
      </c>
      <c r="BW389" s="18">
        <f t="shared" si="398"/>
        <v>2429</v>
      </c>
      <c r="BX389" s="19">
        <f t="shared" si="428"/>
        <v>0.44288990825688074</v>
      </c>
      <c r="BY389" s="49">
        <f t="shared" si="429"/>
        <v>-283.24529143675034</v>
      </c>
      <c r="BZ389" s="19">
        <f t="shared" si="399"/>
        <v>0</v>
      </c>
      <c r="CA389" s="19">
        <f t="shared" si="400"/>
        <v>0</v>
      </c>
      <c r="CB389" s="19">
        <f t="shared" si="401"/>
        <v>0</v>
      </c>
      <c r="CC389" s="19">
        <f t="shared" si="402"/>
        <v>0</v>
      </c>
      <c r="CD389" s="19">
        <f t="shared" si="403"/>
        <v>0</v>
      </c>
      <c r="CE389" s="19">
        <f t="shared" si="404"/>
        <v>0</v>
      </c>
      <c r="CF389" s="49">
        <f t="shared" si="405"/>
        <v>0</v>
      </c>
      <c r="CG389" s="49">
        <f t="shared" si="406"/>
        <v>0</v>
      </c>
      <c r="CH389" s="49">
        <f t="shared" si="407"/>
        <v>0</v>
      </c>
      <c r="CI389" s="49">
        <f t="shared" si="408"/>
        <v>0</v>
      </c>
      <c r="CJ389" s="49">
        <f t="shared" si="409"/>
        <v>0</v>
      </c>
      <c r="CK389" s="49">
        <f t="shared" si="410"/>
        <v>0</v>
      </c>
    </row>
    <row r="390" spans="2:89" ht="12.75" customHeight="1" x14ac:dyDescent="0.2">
      <c r="B390" s="77">
        <v>41729</v>
      </c>
      <c r="C390" s="49">
        <v>96.919998000000007</v>
      </c>
      <c r="D390" s="49">
        <v>78.040001000000004</v>
      </c>
      <c r="E390" s="49">
        <v>82.809997999999993</v>
      </c>
      <c r="F390" s="49">
        <v>100.25</v>
      </c>
      <c r="G390" s="49">
        <v>41.389999000000003</v>
      </c>
      <c r="H390" s="49">
        <v>40.810001</v>
      </c>
      <c r="J390" s="78">
        <f>IF(inter=Weekly_2,J389+$C$5,IF(inter=Bi_weekly_2,J388+$C$5,IF(inter=Monthly_2,J386+$C$5,IF(inter=Quarterly_2,0,IF(inter=Yearly_2,0,IF(inter=None_2,0,0))))))</f>
        <v>124400</v>
      </c>
      <c r="K390" s="79">
        <f t="shared" si="411"/>
        <v>-577.91802209718298</v>
      </c>
      <c r="L390" s="79">
        <f t="shared" si="412"/>
        <v>21.437183560392441</v>
      </c>
      <c r="M390" s="79">
        <f t="shared" si="413"/>
        <v>23.069450461329325</v>
      </c>
      <c r="N390" s="79">
        <f t="shared" si="414"/>
        <v>-90.13949771132684</v>
      </c>
      <c r="O390" s="79">
        <f t="shared" si="415"/>
        <v>600.58077332344328</v>
      </c>
      <c r="P390" s="79">
        <f t="shared" si="416"/>
        <v>947.80541667242142</v>
      </c>
      <c r="Q390" s="79"/>
      <c r="R390" s="80">
        <f t="shared" si="374"/>
        <v>5.9628356791462478</v>
      </c>
      <c r="S390" s="80">
        <f t="shared" si="375"/>
        <v>-0.27469481401457746</v>
      </c>
      <c r="T390" s="80">
        <f t="shared" si="376"/>
        <v>-0.27858291291504833</v>
      </c>
      <c r="U390" s="80">
        <f t="shared" si="377"/>
        <v>0.89914710933991859</v>
      </c>
      <c r="V390" s="80">
        <f t="shared" si="378"/>
        <v>-14.510287215117915</v>
      </c>
      <c r="W390" s="80">
        <f t="shared" si="379"/>
        <v>-23.224831988424146</v>
      </c>
      <c r="X390" s="80">
        <f t="shared" si="430"/>
        <v>449.23649296814881</v>
      </c>
      <c r="Y390" s="80">
        <f t="shared" si="431"/>
        <v>159.40543106861313</v>
      </c>
      <c r="Z390" s="80">
        <f t="shared" si="432"/>
        <v>120.1787252790418</v>
      </c>
      <c r="AA390" s="80">
        <f t="shared" si="433"/>
        <v>86.862842892768086</v>
      </c>
      <c r="AB390" s="80">
        <f t="shared" si="434"/>
        <v>751.3892426042338</v>
      </c>
      <c r="AC390" s="80">
        <f t="shared" si="435"/>
        <v>457.24086113107421</v>
      </c>
      <c r="AD390" s="80"/>
      <c r="AE390" s="80"/>
      <c r="AF390" s="80"/>
      <c r="AG390" s="80"/>
      <c r="AH390" s="80"/>
      <c r="AI390" s="80"/>
      <c r="AJ390" s="45">
        <f t="shared" si="380"/>
        <v>0</v>
      </c>
      <c r="AK390" s="45">
        <f t="shared" si="381"/>
        <v>0</v>
      </c>
      <c r="AL390" s="45">
        <f t="shared" si="382"/>
        <v>0</v>
      </c>
      <c r="AM390" s="45">
        <f t="shared" si="383"/>
        <v>0</v>
      </c>
      <c r="AN390" s="45">
        <f t="shared" si="384"/>
        <v>0</v>
      </c>
      <c r="AO390" s="45">
        <f t="shared" si="385"/>
        <v>0</v>
      </c>
      <c r="AP390" s="80">
        <f t="shared" si="386"/>
        <v>0</v>
      </c>
      <c r="AQ390" s="80">
        <f t="shared" si="387"/>
        <v>0</v>
      </c>
      <c r="AR390" s="80">
        <f t="shared" si="388"/>
        <v>0</v>
      </c>
      <c r="AS390" s="80">
        <f t="shared" si="389"/>
        <v>0</v>
      </c>
      <c r="AT390" s="80">
        <f t="shared" si="390"/>
        <v>0</v>
      </c>
      <c r="AU390" s="80">
        <f t="shared" si="391"/>
        <v>0</v>
      </c>
      <c r="AV390" s="80">
        <f t="shared" si="436"/>
        <v>51.763541209913392</v>
      </c>
      <c r="AW390" s="80">
        <f t="shared" si="437"/>
        <v>24.771596027080619</v>
      </c>
      <c r="AX390" s="80">
        <f t="shared" si="438"/>
        <v>15.378128886442394</v>
      </c>
      <c r="AY390" s="80">
        <f t="shared" si="439"/>
        <v>12.153043817589655</v>
      </c>
      <c r="AZ390" s="80">
        <f t="shared" si="440"/>
        <v>116.84600848961752</v>
      </c>
      <c r="BA390" s="80">
        <f t="shared" si="441"/>
        <v>49.505332739759389</v>
      </c>
      <c r="BB390" s="80">
        <f t="shared" si="417"/>
        <v>501.00003417806221</v>
      </c>
      <c r="BC390" s="80">
        <f t="shared" si="418"/>
        <v>184.17702709569375</v>
      </c>
      <c r="BD390" s="80">
        <f t="shared" si="419"/>
        <v>135.5568541654842</v>
      </c>
      <c r="BE390" s="80">
        <f t="shared" si="420"/>
        <v>99.015886710357734</v>
      </c>
      <c r="BF390" s="80">
        <f t="shared" si="421"/>
        <v>868.23525109385128</v>
      </c>
      <c r="BG390" s="80">
        <f t="shared" si="422"/>
        <v>506.74619387083362</v>
      </c>
      <c r="BH390" s="49">
        <f t="shared" si="423"/>
        <v>0</v>
      </c>
      <c r="BI390" s="79">
        <f t="shared" si="424"/>
        <v>-82048.847079248488</v>
      </c>
      <c r="BJ390" s="79">
        <f t="shared" si="392"/>
        <v>124400</v>
      </c>
      <c r="BK390" s="44">
        <f t="shared" si="425"/>
        <v>0.51616999419682053</v>
      </c>
      <c r="BL390" s="79">
        <f t="shared" si="442"/>
        <v>12218.05472494167</v>
      </c>
      <c r="BM390" s="49">
        <f t="shared" si="426"/>
        <v>136618.05472494167</v>
      </c>
      <c r="BN390" s="44">
        <f t="shared" si="427"/>
        <v>0.66508195530141268</v>
      </c>
      <c r="BO390" s="49">
        <f t="shared" si="393"/>
        <v>16298.472007460266</v>
      </c>
      <c r="BP390" s="49">
        <f t="shared" si="394"/>
        <v>140698.47200746028</v>
      </c>
      <c r="BQ390" s="44">
        <f t="shared" si="395"/>
        <v>0.71481351677695004</v>
      </c>
      <c r="BS390" s="49">
        <f t="shared" si="396"/>
        <v>82048.847079248488</v>
      </c>
      <c r="BT390" s="49">
        <f t="shared" si="372"/>
        <v>96.919998000000007</v>
      </c>
      <c r="BU390" s="49">
        <f t="shared" si="373"/>
        <v>40.810001</v>
      </c>
      <c r="BV390" s="49">
        <f t="shared" si="397"/>
        <v>-924.83530420907664</v>
      </c>
      <c r="BW390" s="18">
        <f t="shared" si="398"/>
        <v>2436</v>
      </c>
      <c r="BX390" s="19">
        <f t="shared" si="428"/>
        <v>0.44128440366972477</v>
      </c>
      <c r="BY390" s="49">
        <f t="shared" si="429"/>
        <v>-408.11539571061087</v>
      </c>
      <c r="BZ390" s="19">
        <f t="shared" si="399"/>
        <v>5.9628356791462478</v>
      </c>
      <c r="CA390" s="19">
        <f t="shared" si="400"/>
        <v>0</v>
      </c>
      <c r="CB390" s="19">
        <f t="shared" si="401"/>
        <v>0</v>
      </c>
      <c r="CC390" s="19">
        <f t="shared" si="402"/>
        <v>0.89914710933991859</v>
      </c>
      <c r="CD390" s="19">
        <f t="shared" si="403"/>
        <v>0</v>
      </c>
      <c r="CE390" s="19">
        <f t="shared" si="404"/>
        <v>0</v>
      </c>
      <c r="CF390" s="49">
        <f t="shared" si="405"/>
        <v>-577.91802209718298</v>
      </c>
      <c r="CG390" s="49">
        <f t="shared" si="406"/>
        <v>0</v>
      </c>
      <c r="CH390" s="49">
        <f t="shared" si="407"/>
        <v>0</v>
      </c>
      <c r="CI390" s="49">
        <f t="shared" si="408"/>
        <v>-90.13949771132684</v>
      </c>
      <c r="CJ390" s="49">
        <f t="shared" si="409"/>
        <v>0</v>
      </c>
      <c r="CK390" s="49">
        <f t="shared" si="410"/>
        <v>0</v>
      </c>
    </row>
    <row r="391" spans="2:89" ht="12.75" customHeight="1" x14ac:dyDescent="0.2">
      <c r="B391" s="77">
        <v>41736</v>
      </c>
      <c r="C391" s="49">
        <v>94.25</v>
      </c>
      <c r="D391" s="49">
        <v>76.089995999999999</v>
      </c>
      <c r="E391" s="49">
        <v>80.040001000000004</v>
      </c>
      <c r="F391" s="49">
        <v>97.080001999999993</v>
      </c>
      <c r="G391" s="49">
        <v>40.759998000000003</v>
      </c>
      <c r="H391" s="49">
        <v>41.32</v>
      </c>
      <c r="J391" s="78">
        <f>IF(inter=Weekly_2,J390+$C$5,IF(inter=Bi_weekly_2,0,IF(inter=Monthly_2,0,IF(inter=Quarterly_2,0,IF(inter=Yearly_2,0,IF(inter=None_2,0,0))))))</f>
        <v>0</v>
      </c>
      <c r="K391" s="79">
        <f t="shared" si="411"/>
        <v>0</v>
      </c>
      <c r="L391" s="79">
        <f t="shared" si="412"/>
        <v>0</v>
      </c>
      <c r="M391" s="79">
        <f t="shared" si="413"/>
        <v>0</v>
      </c>
      <c r="N391" s="79">
        <f t="shared" si="414"/>
        <v>0</v>
      </c>
      <c r="O391" s="79">
        <f t="shared" si="415"/>
        <v>0</v>
      </c>
      <c r="P391" s="79">
        <f t="shared" si="416"/>
        <v>0</v>
      </c>
      <c r="Q391" s="79"/>
      <c r="R391" s="80">
        <f t="shared" si="374"/>
        <v>0</v>
      </c>
      <c r="S391" s="80">
        <f t="shared" si="375"/>
        <v>0</v>
      </c>
      <c r="T391" s="80">
        <f t="shared" si="376"/>
        <v>0</v>
      </c>
      <c r="U391" s="80">
        <f t="shared" si="377"/>
        <v>0</v>
      </c>
      <c r="V391" s="80">
        <f t="shared" si="378"/>
        <v>0</v>
      </c>
      <c r="W391" s="80">
        <f t="shared" si="379"/>
        <v>0</v>
      </c>
      <c r="X391" s="80">
        <f t="shared" si="430"/>
        <v>449.23649296814881</v>
      </c>
      <c r="Y391" s="80">
        <f t="shared" si="431"/>
        <v>159.40543106861313</v>
      </c>
      <c r="Z391" s="80">
        <f t="shared" si="432"/>
        <v>120.1787252790418</v>
      </c>
      <c r="AA391" s="80">
        <f t="shared" si="433"/>
        <v>86.862842892768086</v>
      </c>
      <c r="AB391" s="80">
        <f t="shared" si="434"/>
        <v>751.3892426042338</v>
      </c>
      <c r="AC391" s="80">
        <f t="shared" si="435"/>
        <v>457.24086113107421</v>
      </c>
      <c r="AD391" s="80"/>
      <c r="AE391" s="80"/>
      <c r="AF391" s="80"/>
      <c r="AG391" s="80"/>
      <c r="AH391" s="80"/>
      <c r="AI391" s="80"/>
      <c r="AJ391" s="45">
        <f t="shared" si="380"/>
        <v>0</v>
      </c>
      <c r="AK391" s="45">
        <f t="shared" si="381"/>
        <v>0</v>
      </c>
      <c r="AL391" s="45">
        <f t="shared" si="382"/>
        <v>0</v>
      </c>
      <c r="AM391" s="45">
        <f t="shared" si="383"/>
        <v>0</v>
      </c>
      <c r="AN391" s="45">
        <f t="shared" si="384"/>
        <v>0</v>
      </c>
      <c r="AO391" s="45">
        <f t="shared" si="385"/>
        <v>0</v>
      </c>
      <c r="AP391" s="80">
        <f t="shared" si="386"/>
        <v>0</v>
      </c>
      <c r="AQ391" s="80">
        <f t="shared" si="387"/>
        <v>0</v>
      </c>
      <c r="AR391" s="80">
        <f t="shared" si="388"/>
        <v>0</v>
      </c>
      <c r="AS391" s="80">
        <f t="shared" si="389"/>
        <v>0</v>
      </c>
      <c r="AT391" s="80">
        <f t="shared" si="390"/>
        <v>0</v>
      </c>
      <c r="AU391" s="80">
        <f t="shared" si="391"/>
        <v>0</v>
      </c>
      <c r="AV391" s="80">
        <f t="shared" si="436"/>
        <v>51.763541209913392</v>
      </c>
      <c r="AW391" s="80">
        <f t="shared" si="437"/>
        <v>24.771596027080619</v>
      </c>
      <c r="AX391" s="80">
        <f t="shared" si="438"/>
        <v>15.378128886442394</v>
      </c>
      <c r="AY391" s="80">
        <f t="shared" si="439"/>
        <v>12.153043817589655</v>
      </c>
      <c r="AZ391" s="80">
        <f t="shared" si="440"/>
        <v>116.84600848961752</v>
      </c>
      <c r="BA391" s="80">
        <f t="shared" si="441"/>
        <v>49.505332739759389</v>
      </c>
      <c r="BB391" s="80">
        <f t="shared" si="417"/>
        <v>501.00003417806221</v>
      </c>
      <c r="BC391" s="80">
        <f t="shared" si="418"/>
        <v>184.17702709569375</v>
      </c>
      <c r="BD391" s="80">
        <f t="shared" si="419"/>
        <v>135.5568541654842</v>
      </c>
      <c r="BE391" s="80">
        <f t="shared" si="420"/>
        <v>99.015886710357734</v>
      </c>
      <c r="BF391" s="80">
        <f t="shared" si="421"/>
        <v>868.23525109385128</v>
      </c>
      <c r="BG391" s="80">
        <f t="shared" si="422"/>
        <v>506.74619387083362</v>
      </c>
      <c r="BH391" s="49">
        <f t="shared" si="423"/>
        <v>0</v>
      </c>
      <c r="BI391" s="79">
        <f t="shared" si="424"/>
        <v>-82048.847079248488</v>
      </c>
      <c r="BJ391" s="79">
        <f t="shared" si="392"/>
        <v>122041.26473561197</v>
      </c>
      <c r="BK391" s="44">
        <f t="shared" si="425"/>
        <v>0.48742205503187663</v>
      </c>
      <c r="BL391" s="79">
        <f t="shared" si="442"/>
        <v>12218.05472494167</v>
      </c>
      <c r="BM391" s="49">
        <f t="shared" si="426"/>
        <v>134259.31946055364</v>
      </c>
      <c r="BN391" s="44">
        <f t="shared" si="427"/>
        <v>0.63633401613646856</v>
      </c>
      <c r="BO391" s="49">
        <f t="shared" si="393"/>
        <v>15982.470792366837</v>
      </c>
      <c r="BP391" s="49">
        <f t="shared" si="394"/>
        <v>138023.73552797883</v>
      </c>
      <c r="BQ391" s="44">
        <f t="shared" si="395"/>
        <v>0.68221419850867493</v>
      </c>
      <c r="BS391" s="49">
        <f t="shared" si="396"/>
        <v>82048.847079248488</v>
      </c>
      <c r="BT391" s="49">
        <f t="shared" si="372"/>
        <v>94.25</v>
      </c>
      <c r="BU391" s="49">
        <f t="shared" si="373"/>
        <v>41.32</v>
      </c>
      <c r="BV391" s="49">
        <f t="shared" si="397"/>
        <v>0</v>
      </c>
      <c r="BW391" s="18">
        <f t="shared" si="398"/>
        <v>2443</v>
      </c>
      <c r="BX391" s="19">
        <f t="shared" si="428"/>
        <v>0.4396788990825688</v>
      </c>
      <c r="BY391" s="49">
        <f t="shared" si="429"/>
        <v>0</v>
      </c>
      <c r="BZ391" s="19">
        <f t="shared" si="399"/>
        <v>0</v>
      </c>
      <c r="CA391" s="19">
        <f t="shared" si="400"/>
        <v>0</v>
      </c>
      <c r="CB391" s="19">
        <f t="shared" si="401"/>
        <v>0</v>
      </c>
      <c r="CC391" s="19">
        <f t="shared" si="402"/>
        <v>0</v>
      </c>
      <c r="CD391" s="19">
        <f t="shared" si="403"/>
        <v>0</v>
      </c>
      <c r="CE391" s="19">
        <f t="shared" si="404"/>
        <v>0</v>
      </c>
      <c r="CF391" s="49">
        <f t="shared" si="405"/>
        <v>0</v>
      </c>
      <c r="CG391" s="49">
        <f t="shared" si="406"/>
        <v>0</v>
      </c>
      <c r="CH391" s="49">
        <f t="shared" si="407"/>
        <v>0</v>
      </c>
      <c r="CI391" s="49">
        <f t="shared" si="408"/>
        <v>0</v>
      </c>
      <c r="CJ391" s="49">
        <f t="shared" si="409"/>
        <v>0</v>
      </c>
      <c r="CK391" s="49">
        <f t="shared" si="410"/>
        <v>0</v>
      </c>
    </row>
    <row r="392" spans="2:89" ht="12.75" customHeight="1" x14ac:dyDescent="0.2">
      <c r="B392" s="77">
        <v>41743</v>
      </c>
      <c r="C392" s="49">
        <v>96.730002999999996</v>
      </c>
      <c r="D392" s="49">
        <v>78.010002</v>
      </c>
      <c r="E392" s="49">
        <v>82.220000999999996</v>
      </c>
      <c r="F392" s="49">
        <v>99.300003000000004</v>
      </c>
      <c r="G392" s="49">
        <v>41.48</v>
      </c>
      <c r="H392" s="49">
        <v>41.560001</v>
      </c>
      <c r="J392" s="78">
        <f>IF(inter=Weekly_2,J391+$C$5,IF(inter=Bi_weekly_2,J390+$C$5,IF(inter=Monthly_2,0,IF(inter=Quarterly_2,0,IF(inter=Yearly_2,0,IF(inter=None_2,0,0))))))</f>
        <v>125000</v>
      </c>
      <c r="K392" s="79">
        <f t="shared" si="411"/>
        <v>-295.35268748148519</v>
      </c>
      <c r="L392" s="79">
        <f t="shared" si="412"/>
        <v>-64.782003526628614</v>
      </c>
      <c r="M392" s="79">
        <f t="shared" si="413"/>
        <v>-118.90508737845812</v>
      </c>
      <c r="N392" s="79">
        <f t="shared" si="414"/>
        <v>-124.51944015959998</v>
      </c>
      <c r="O392" s="79">
        <f t="shared" si="415"/>
        <v>-82.374216776384856</v>
      </c>
      <c r="P392" s="79">
        <f t="shared" si="416"/>
        <v>252.93064584830427</v>
      </c>
      <c r="Q392" s="79"/>
      <c r="R392" s="80">
        <f t="shared" si="374"/>
        <v>3.0533720492232921</v>
      </c>
      <c r="S392" s="80">
        <f t="shared" si="375"/>
        <v>0.83043201981495418</v>
      </c>
      <c r="T392" s="80">
        <f t="shared" si="376"/>
        <v>1.4461820230147908</v>
      </c>
      <c r="U392" s="80">
        <f t="shared" si="377"/>
        <v>1.2539721691609613</v>
      </c>
      <c r="V392" s="80">
        <f t="shared" si="378"/>
        <v>1.985877935785556</v>
      </c>
      <c r="W392" s="80">
        <f t="shared" si="379"/>
        <v>-6.08591529745883</v>
      </c>
      <c r="X392" s="80">
        <f t="shared" si="430"/>
        <v>452.28986501737211</v>
      </c>
      <c r="Y392" s="80">
        <f t="shared" si="431"/>
        <v>160.23586308842809</v>
      </c>
      <c r="Z392" s="80">
        <f t="shared" si="432"/>
        <v>121.62490730205658</v>
      </c>
      <c r="AA392" s="80">
        <f t="shared" si="433"/>
        <v>88.116815061929046</v>
      </c>
      <c r="AB392" s="80">
        <f t="shared" si="434"/>
        <v>753.37512054001934</v>
      </c>
      <c r="AC392" s="80">
        <f t="shared" si="435"/>
        <v>451.15494583361539</v>
      </c>
      <c r="AD392" s="80"/>
      <c r="AE392" s="80"/>
      <c r="AF392" s="80"/>
      <c r="AG392" s="80"/>
      <c r="AH392" s="80"/>
      <c r="AI392" s="80"/>
      <c r="AJ392" s="45">
        <f t="shared" si="380"/>
        <v>0</v>
      </c>
      <c r="AK392" s="45">
        <f t="shared" si="381"/>
        <v>0</v>
      </c>
      <c r="AL392" s="45">
        <f t="shared" si="382"/>
        <v>0</v>
      </c>
      <c r="AM392" s="45">
        <f t="shared" si="383"/>
        <v>0</v>
      </c>
      <c r="AN392" s="45">
        <f t="shared" si="384"/>
        <v>0</v>
      </c>
      <c r="AO392" s="45">
        <f t="shared" si="385"/>
        <v>0</v>
      </c>
      <c r="AP392" s="80">
        <f t="shared" si="386"/>
        <v>0</v>
      </c>
      <c r="AQ392" s="80">
        <f t="shared" si="387"/>
        <v>0</v>
      </c>
      <c r="AR392" s="80">
        <f t="shared" si="388"/>
        <v>0</v>
      </c>
      <c r="AS392" s="80">
        <f t="shared" si="389"/>
        <v>0</v>
      </c>
      <c r="AT392" s="80">
        <f t="shared" si="390"/>
        <v>0</v>
      </c>
      <c r="AU392" s="80">
        <f t="shared" si="391"/>
        <v>0</v>
      </c>
      <c r="AV392" s="80">
        <f t="shared" si="436"/>
        <v>51.763541209913392</v>
      </c>
      <c r="AW392" s="80">
        <f t="shared" si="437"/>
        <v>24.771596027080619</v>
      </c>
      <c r="AX392" s="80">
        <f t="shared" si="438"/>
        <v>15.378128886442394</v>
      </c>
      <c r="AY392" s="80">
        <f t="shared" si="439"/>
        <v>12.153043817589655</v>
      </c>
      <c r="AZ392" s="80">
        <f t="shared" si="440"/>
        <v>116.84600848961752</v>
      </c>
      <c r="BA392" s="80">
        <f t="shared" si="441"/>
        <v>49.505332739759389</v>
      </c>
      <c r="BB392" s="80">
        <f t="shared" si="417"/>
        <v>504.05340622728551</v>
      </c>
      <c r="BC392" s="80">
        <f t="shared" si="418"/>
        <v>185.00745911550871</v>
      </c>
      <c r="BD392" s="80">
        <f t="shared" si="419"/>
        <v>137.00303618849898</v>
      </c>
      <c r="BE392" s="80">
        <f t="shared" si="420"/>
        <v>100.26985887951869</v>
      </c>
      <c r="BF392" s="80">
        <f t="shared" si="421"/>
        <v>870.22112902963681</v>
      </c>
      <c r="BG392" s="80">
        <f t="shared" si="422"/>
        <v>500.6602785733748</v>
      </c>
      <c r="BH392" s="49">
        <f t="shared" si="423"/>
        <v>0</v>
      </c>
      <c r="BI392" s="79">
        <f t="shared" si="424"/>
        <v>-82481.84986872274</v>
      </c>
      <c r="BJ392" s="79">
        <f t="shared" si="392"/>
        <v>125000</v>
      </c>
      <c r="BK392" s="44">
        <f t="shared" si="425"/>
        <v>0.51548492424634884</v>
      </c>
      <c r="BL392" s="79">
        <f t="shared" si="442"/>
        <v>12218.05472494167</v>
      </c>
      <c r="BM392" s="49">
        <f t="shared" si="426"/>
        <v>137218.05472494167</v>
      </c>
      <c r="BN392" s="44">
        <f t="shared" si="427"/>
        <v>0.66361514616047668</v>
      </c>
      <c r="BO392" s="49">
        <f t="shared" si="393"/>
        <v>16314.920922427569</v>
      </c>
      <c r="BP392" s="49">
        <f t="shared" si="394"/>
        <v>141314.92092242755</v>
      </c>
      <c r="BQ392" s="44">
        <f t="shared" si="395"/>
        <v>0.71328505783203111</v>
      </c>
      <c r="BS392" s="49">
        <f t="shared" si="396"/>
        <v>82481.84986872274</v>
      </c>
      <c r="BT392" s="49">
        <f t="shared" si="372"/>
        <v>96.730002999999996</v>
      </c>
      <c r="BU392" s="49">
        <f t="shared" si="373"/>
        <v>41.560001</v>
      </c>
      <c r="BV392" s="49">
        <f t="shared" si="397"/>
        <v>433.00278947425249</v>
      </c>
      <c r="BW392" s="18">
        <f t="shared" si="398"/>
        <v>2450</v>
      </c>
      <c r="BX392" s="19">
        <f t="shared" si="428"/>
        <v>0.43807339449541283</v>
      </c>
      <c r="BY392" s="49">
        <f t="shared" si="429"/>
        <v>189.68700181096841</v>
      </c>
      <c r="BZ392" s="19">
        <f t="shared" si="399"/>
        <v>3.0533720492232921</v>
      </c>
      <c r="CA392" s="19">
        <f t="shared" si="400"/>
        <v>0.83043201981495418</v>
      </c>
      <c r="CB392" s="19">
        <f t="shared" si="401"/>
        <v>1.4461820230147908</v>
      </c>
      <c r="CC392" s="19">
        <f t="shared" si="402"/>
        <v>1.2539721691609613</v>
      </c>
      <c r="CD392" s="19">
        <f t="shared" si="403"/>
        <v>1.985877935785556</v>
      </c>
      <c r="CE392" s="19">
        <f t="shared" si="404"/>
        <v>0</v>
      </c>
      <c r="CF392" s="49">
        <f t="shared" si="405"/>
        <v>-295.35268748148519</v>
      </c>
      <c r="CG392" s="49">
        <f t="shared" si="406"/>
        <v>-64.782003526628614</v>
      </c>
      <c r="CH392" s="49">
        <f t="shared" si="407"/>
        <v>-118.90508737845812</v>
      </c>
      <c r="CI392" s="49">
        <f t="shared" si="408"/>
        <v>-124.51944015959998</v>
      </c>
      <c r="CJ392" s="49">
        <f t="shared" si="409"/>
        <v>-82.374216776384856</v>
      </c>
      <c r="CK392" s="49">
        <f t="shared" si="410"/>
        <v>0</v>
      </c>
    </row>
    <row r="393" spans="2:89" ht="12.75" customHeight="1" x14ac:dyDescent="0.2">
      <c r="B393" s="77">
        <v>41750</v>
      </c>
      <c r="C393" s="49">
        <v>96.550003000000004</v>
      </c>
      <c r="D393" s="49">
        <v>77.980002999999996</v>
      </c>
      <c r="E393" s="49">
        <v>82.349997999999999</v>
      </c>
      <c r="F393" s="49">
        <v>99.050003000000004</v>
      </c>
      <c r="G393" s="49">
        <v>41.400002000000001</v>
      </c>
      <c r="H393" s="49">
        <v>40.459999000000003</v>
      </c>
      <c r="J393" s="78">
        <f>IF(inter=Weekly_2,J392+$C$5,IF(inter=Bi_weekly_2,0,IF(inter=Monthly_2,0,IF(inter=Quarterly_2,J380+$C$5,IF(inter=Yearly_2,0,IF(inter=None_2,0,0))))))</f>
        <v>0</v>
      </c>
      <c r="K393" s="79">
        <f t="shared" si="411"/>
        <v>0</v>
      </c>
      <c r="L393" s="79">
        <f t="shared" si="412"/>
        <v>0</v>
      </c>
      <c r="M393" s="79">
        <f t="shared" si="413"/>
        <v>0</v>
      </c>
      <c r="N393" s="79">
        <f t="shared" si="414"/>
        <v>0</v>
      </c>
      <c r="O393" s="79">
        <f t="shared" si="415"/>
        <v>0</v>
      </c>
      <c r="P393" s="79">
        <f t="shared" si="416"/>
        <v>0</v>
      </c>
      <c r="Q393" s="79"/>
      <c r="R393" s="80">
        <f t="shared" si="374"/>
        <v>0</v>
      </c>
      <c r="S393" s="80">
        <f t="shared" si="375"/>
        <v>0</v>
      </c>
      <c r="T393" s="80">
        <f t="shared" si="376"/>
        <v>0</v>
      </c>
      <c r="U393" s="80">
        <f t="shared" si="377"/>
        <v>0</v>
      </c>
      <c r="V393" s="80">
        <f t="shared" si="378"/>
        <v>0</v>
      </c>
      <c r="W393" s="80">
        <f t="shared" si="379"/>
        <v>0</v>
      </c>
      <c r="X393" s="80">
        <f t="shared" si="430"/>
        <v>452.28986501737211</v>
      </c>
      <c r="Y393" s="80">
        <f t="shared" si="431"/>
        <v>160.23586308842809</v>
      </c>
      <c r="Z393" s="80">
        <f t="shared" si="432"/>
        <v>121.62490730205658</v>
      </c>
      <c r="AA393" s="80">
        <f t="shared" si="433"/>
        <v>88.116815061929046</v>
      </c>
      <c r="AB393" s="80">
        <f t="shared" si="434"/>
        <v>753.37512054001934</v>
      </c>
      <c r="AC393" s="80">
        <f t="shared" si="435"/>
        <v>451.15494583361539</v>
      </c>
      <c r="AD393" s="80"/>
      <c r="AE393" s="80"/>
      <c r="AF393" s="80"/>
      <c r="AG393" s="80"/>
      <c r="AH393" s="80"/>
      <c r="AI393" s="80"/>
      <c r="AJ393" s="45">
        <f t="shared" si="380"/>
        <v>0</v>
      </c>
      <c r="AK393" s="45">
        <f t="shared" si="381"/>
        <v>0</v>
      </c>
      <c r="AL393" s="45">
        <f t="shared" si="382"/>
        <v>0</v>
      </c>
      <c r="AM393" s="45">
        <f t="shared" si="383"/>
        <v>0</v>
      </c>
      <c r="AN393" s="45">
        <f t="shared" si="384"/>
        <v>0</v>
      </c>
      <c r="AO393" s="45">
        <f t="shared" si="385"/>
        <v>0</v>
      </c>
      <c r="AP393" s="80">
        <f t="shared" si="386"/>
        <v>0</v>
      </c>
      <c r="AQ393" s="80">
        <f t="shared" si="387"/>
        <v>0</v>
      </c>
      <c r="AR393" s="80">
        <f t="shared" si="388"/>
        <v>0</v>
      </c>
      <c r="AS393" s="80">
        <f t="shared" si="389"/>
        <v>0</v>
      </c>
      <c r="AT393" s="80">
        <f t="shared" si="390"/>
        <v>0</v>
      </c>
      <c r="AU393" s="80">
        <f t="shared" si="391"/>
        <v>0</v>
      </c>
      <c r="AV393" s="80">
        <f t="shared" si="436"/>
        <v>51.763541209913392</v>
      </c>
      <c r="AW393" s="80">
        <f t="shared" si="437"/>
        <v>24.771596027080619</v>
      </c>
      <c r="AX393" s="80">
        <f t="shared" si="438"/>
        <v>15.378128886442394</v>
      </c>
      <c r="AY393" s="80">
        <f t="shared" si="439"/>
        <v>12.153043817589655</v>
      </c>
      <c r="AZ393" s="80">
        <f t="shared" si="440"/>
        <v>116.84600848961752</v>
      </c>
      <c r="BA393" s="80">
        <f t="shared" si="441"/>
        <v>49.505332739759389</v>
      </c>
      <c r="BB393" s="80">
        <f t="shared" si="417"/>
        <v>504.05340622728551</v>
      </c>
      <c r="BC393" s="80">
        <f t="shared" si="418"/>
        <v>185.00745911550871</v>
      </c>
      <c r="BD393" s="80">
        <f t="shared" si="419"/>
        <v>137.00303618849898</v>
      </c>
      <c r="BE393" s="80">
        <f t="shared" si="420"/>
        <v>100.26985887951869</v>
      </c>
      <c r="BF393" s="80">
        <f t="shared" si="421"/>
        <v>870.22112902963681</v>
      </c>
      <c r="BG393" s="80">
        <f t="shared" si="422"/>
        <v>500.6602785733748</v>
      </c>
      <c r="BH393" s="49">
        <f t="shared" si="423"/>
        <v>0</v>
      </c>
      <c r="BI393" s="79">
        <f t="shared" si="424"/>
        <v>-82481.84986872274</v>
      </c>
      <c r="BJ393" s="79">
        <f t="shared" si="392"/>
        <v>124351.02273232934</v>
      </c>
      <c r="BK393" s="44">
        <f t="shared" si="425"/>
        <v>0.5076168021236811</v>
      </c>
      <c r="BL393" s="79">
        <f t="shared" si="442"/>
        <v>12218.05472494167</v>
      </c>
      <c r="BM393" s="49">
        <f t="shared" si="426"/>
        <v>136569.07745727099</v>
      </c>
      <c r="BN393" s="44">
        <f t="shared" si="427"/>
        <v>0.65574702403780871</v>
      </c>
      <c r="BO393" s="49">
        <f t="shared" si="393"/>
        <v>16240.01779955547</v>
      </c>
      <c r="BP393" s="49">
        <f t="shared" si="394"/>
        <v>140591.04053188479</v>
      </c>
      <c r="BQ393" s="44">
        <f t="shared" si="395"/>
        <v>0.70450881928143017</v>
      </c>
      <c r="BS393" s="49">
        <f t="shared" si="396"/>
        <v>82481.84986872274</v>
      </c>
      <c r="BT393" s="49">
        <f t="shared" si="372"/>
        <v>96.550003000000004</v>
      </c>
      <c r="BU393" s="49">
        <f t="shared" si="373"/>
        <v>40.459999000000003</v>
      </c>
      <c r="BV393" s="49">
        <f t="shared" si="397"/>
        <v>0</v>
      </c>
      <c r="BW393" s="18">
        <f t="shared" si="398"/>
        <v>2457</v>
      </c>
      <c r="BX393" s="19">
        <f t="shared" si="428"/>
        <v>0.43646788990825686</v>
      </c>
      <c r="BY393" s="49">
        <f t="shared" si="429"/>
        <v>0</v>
      </c>
      <c r="BZ393" s="19">
        <f t="shared" si="399"/>
        <v>0</v>
      </c>
      <c r="CA393" s="19">
        <f t="shared" si="400"/>
        <v>0</v>
      </c>
      <c r="CB393" s="19">
        <f t="shared" si="401"/>
        <v>0</v>
      </c>
      <c r="CC393" s="19">
        <f t="shared" si="402"/>
        <v>0</v>
      </c>
      <c r="CD393" s="19">
        <f t="shared" si="403"/>
        <v>0</v>
      </c>
      <c r="CE393" s="19">
        <f t="shared" si="404"/>
        <v>0</v>
      </c>
      <c r="CF393" s="49">
        <f t="shared" si="405"/>
        <v>0</v>
      </c>
      <c r="CG393" s="49">
        <f t="shared" si="406"/>
        <v>0</v>
      </c>
      <c r="CH393" s="49">
        <f t="shared" si="407"/>
        <v>0</v>
      </c>
      <c r="CI393" s="49">
        <f t="shared" si="408"/>
        <v>0</v>
      </c>
      <c r="CJ393" s="49">
        <f t="shared" si="409"/>
        <v>0</v>
      </c>
      <c r="CK393" s="49">
        <f t="shared" si="410"/>
        <v>0</v>
      </c>
    </row>
    <row r="394" spans="2:89" ht="12.75" customHeight="1" x14ac:dyDescent="0.2">
      <c r="B394" s="77">
        <v>41757</v>
      </c>
      <c r="C394" s="49">
        <v>97.480002999999996</v>
      </c>
      <c r="D394" s="49">
        <v>78.470000999999996</v>
      </c>
      <c r="E394" s="49">
        <v>83.169998000000007</v>
      </c>
      <c r="F394" s="49">
        <v>99.849997999999999</v>
      </c>
      <c r="G394" s="49">
        <v>42</v>
      </c>
      <c r="H394" s="49">
        <v>41.240001999999997</v>
      </c>
      <c r="J394" s="78">
        <f>IF(inter=Weekly_2,J393+$C$5,IF(inter=Bi_weekly_2,J392+$C$5,IF(inter=Monthly_2,J390+$C$5,IF(inter=Quarterly_2,0,IF(inter=Yearly_2,0,IF(inter=None_2,0,0))))))</f>
        <v>125600</v>
      </c>
      <c r="K394" s="79">
        <f t="shared" si="411"/>
        <v>129.21739876302308</v>
      </c>
      <c r="L394" s="79">
        <f t="shared" si="412"/>
        <v>13.708336784815401</v>
      </c>
      <c r="M394" s="79">
        <f t="shared" si="413"/>
        <v>67.54329706223325</v>
      </c>
      <c r="N394" s="79">
        <f t="shared" si="414"/>
        <v>6.4638076999854093</v>
      </c>
      <c r="O394" s="79">
        <f t="shared" si="415"/>
        <v>241.75506268081153</v>
      </c>
      <c r="P394" s="79">
        <f t="shared" si="416"/>
        <v>-234.36913151181216</v>
      </c>
      <c r="Q394" s="79"/>
      <c r="R394" s="80">
        <f t="shared" si="374"/>
        <v>-1.3255785267366385</v>
      </c>
      <c r="S394" s="80">
        <f t="shared" si="375"/>
        <v>-0.17469525436625649</v>
      </c>
      <c r="T394" s="80">
        <f t="shared" si="376"/>
        <v>-0.8121113224294324</v>
      </c>
      <c r="U394" s="80">
        <f t="shared" si="377"/>
        <v>-6.4735181066156944E-2</v>
      </c>
      <c r="V394" s="80">
        <f t="shared" si="378"/>
        <v>-5.756072920971703</v>
      </c>
      <c r="W394" s="80">
        <f t="shared" si="379"/>
        <v>5.6830533497988718</v>
      </c>
      <c r="X394" s="80">
        <f t="shared" si="430"/>
        <v>450.96428649063546</v>
      </c>
      <c r="Y394" s="80">
        <f t="shared" si="431"/>
        <v>160.06116783406182</v>
      </c>
      <c r="Z394" s="80">
        <f t="shared" si="432"/>
        <v>120.81279597962715</v>
      </c>
      <c r="AA394" s="80">
        <f t="shared" si="433"/>
        <v>88.052079880862891</v>
      </c>
      <c r="AB394" s="80">
        <f t="shared" si="434"/>
        <v>747.61904761904759</v>
      </c>
      <c r="AC394" s="80">
        <f t="shared" si="435"/>
        <v>456.83799918341424</v>
      </c>
      <c r="AD394" s="80"/>
      <c r="AE394" s="80"/>
      <c r="AF394" s="80"/>
      <c r="AG394" s="80"/>
      <c r="AH394" s="80"/>
      <c r="AI394" s="80"/>
      <c r="AJ394" s="45">
        <f t="shared" si="380"/>
        <v>0</v>
      </c>
      <c r="AK394" s="45">
        <f t="shared" si="381"/>
        <v>0</v>
      </c>
      <c r="AL394" s="45">
        <f t="shared" si="382"/>
        <v>0</v>
      </c>
      <c r="AM394" s="45">
        <f t="shared" si="383"/>
        <v>0</v>
      </c>
      <c r="AN394" s="45">
        <f t="shared" si="384"/>
        <v>0</v>
      </c>
      <c r="AO394" s="45">
        <f t="shared" si="385"/>
        <v>0</v>
      </c>
      <c r="AP394" s="80">
        <f t="shared" si="386"/>
        <v>0</v>
      </c>
      <c r="AQ394" s="80">
        <f t="shared" si="387"/>
        <v>0</v>
      </c>
      <c r="AR394" s="80">
        <f t="shared" si="388"/>
        <v>0</v>
      </c>
      <c r="AS394" s="80">
        <f t="shared" si="389"/>
        <v>0</v>
      </c>
      <c r="AT394" s="80">
        <f t="shared" si="390"/>
        <v>0</v>
      </c>
      <c r="AU394" s="80">
        <f t="shared" si="391"/>
        <v>0</v>
      </c>
      <c r="AV394" s="80">
        <f t="shared" si="436"/>
        <v>51.763541209913392</v>
      </c>
      <c r="AW394" s="80">
        <f t="shared" si="437"/>
        <v>24.771596027080619</v>
      </c>
      <c r="AX394" s="80">
        <f t="shared" si="438"/>
        <v>15.378128886442394</v>
      </c>
      <c r="AY394" s="80">
        <f t="shared" si="439"/>
        <v>12.153043817589655</v>
      </c>
      <c r="AZ394" s="80">
        <f t="shared" si="440"/>
        <v>116.84600848961752</v>
      </c>
      <c r="BA394" s="80">
        <f t="shared" si="441"/>
        <v>49.505332739759389</v>
      </c>
      <c r="BB394" s="80">
        <f t="shared" si="417"/>
        <v>502.72782770054886</v>
      </c>
      <c r="BC394" s="80">
        <f t="shared" si="418"/>
        <v>184.83276386114244</v>
      </c>
      <c r="BD394" s="80">
        <f t="shared" si="419"/>
        <v>136.19092486606954</v>
      </c>
      <c r="BE394" s="80">
        <f t="shared" si="420"/>
        <v>100.20512369845255</v>
      </c>
      <c r="BF394" s="80">
        <f t="shared" si="421"/>
        <v>864.46505610866507</v>
      </c>
      <c r="BG394" s="80">
        <f t="shared" si="422"/>
        <v>506.34333192317365</v>
      </c>
      <c r="BH394" s="49">
        <f t="shared" si="423"/>
        <v>0</v>
      </c>
      <c r="BI394" s="79">
        <f t="shared" si="424"/>
        <v>-82257.531097243686</v>
      </c>
      <c r="BJ394" s="79">
        <f t="shared" si="392"/>
        <v>125600</v>
      </c>
      <c r="BK394" s="44">
        <f t="shared" si="425"/>
        <v>0.52691186234993448</v>
      </c>
      <c r="BL394" s="79">
        <f t="shared" si="442"/>
        <v>12218.05472494167</v>
      </c>
      <c r="BM394" s="49">
        <f t="shared" si="426"/>
        <v>137818.05472494167</v>
      </c>
      <c r="BN394" s="44">
        <f t="shared" si="427"/>
        <v>0.67544603985275375</v>
      </c>
      <c r="BO394" s="49">
        <f t="shared" si="393"/>
        <v>16431.350044821265</v>
      </c>
      <c r="BP394" s="49">
        <f t="shared" si="394"/>
        <v>142031.35004482124</v>
      </c>
      <c r="BQ394" s="44">
        <f t="shared" si="395"/>
        <v>0.72666682491252743</v>
      </c>
      <c r="BS394" s="49">
        <f t="shared" si="396"/>
        <v>82257.531097243686</v>
      </c>
      <c r="BT394" s="49">
        <f t="shared" si="372"/>
        <v>97.480002999999996</v>
      </c>
      <c r="BU394" s="49">
        <f t="shared" si="373"/>
        <v>41.240001999999997</v>
      </c>
      <c r="BV394" s="49">
        <f t="shared" si="397"/>
        <v>-224.31877147905652</v>
      </c>
      <c r="BW394" s="18">
        <f t="shared" si="398"/>
        <v>2464</v>
      </c>
      <c r="BX394" s="19">
        <f t="shared" si="428"/>
        <v>0.43486238532110094</v>
      </c>
      <c r="BY394" s="49">
        <f t="shared" si="429"/>
        <v>-97.547796037681465</v>
      </c>
      <c r="BZ394" s="19">
        <f t="shared" si="399"/>
        <v>0</v>
      </c>
      <c r="CA394" s="19">
        <f t="shared" si="400"/>
        <v>0</v>
      </c>
      <c r="CB394" s="19">
        <f t="shared" si="401"/>
        <v>0</v>
      </c>
      <c r="CC394" s="19">
        <f t="shared" si="402"/>
        <v>0</v>
      </c>
      <c r="CD394" s="19">
        <f t="shared" si="403"/>
        <v>0</v>
      </c>
      <c r="CE394" s="19">
        <f t="shared" si="404"/>
        <v>5.6830533497988718</v>
      </c>
      <c r="CF394" s="49">
        <f t="shared" si="405"/>
        <v>0</v>
      </c>
      <c r="CG394" s="49">
        <f t="shared" si="406"/>
        <v>0</v>
      </c>
      <c r="CH394" s="49">
        <f t="shared" si="407"/>
        <v>0</v>
      </c>
      <c r="CI394" s="49">
        <f t="shared" si="408"/>
        <v>0</v>
      </c>
      <c r="CJ394" s="49">
        <f t="shared" si="409"/>
        <v>0</v>
      </c>
      <c r="CK394" s="49">
        <f t="shared" si="410"/>
        <v>-234.36913151181216</v>
      </c>
    </row>
    <row r="395" spans="2:89" ht="12.75" customHeight="1" x14ac:dyDescent="0.2">
      <c r="B395" s="77">
        <v>41764</v>
      </c>
      <c r="C395" s="49">
        <v>97.169998000000007</v>
      </c>
      <c r="D395" s="49">
        <v>78.5</v>
      </c>
      <c r="E395" s="49">
        <v>82.82</v>
      </c>
      <c r="F395" s="49">
        <v>99.040001000000004</v>
      </c>
      <c r="G395" s="49">
        <v>41.860000999999997</v>
      </c>
      <c r="H395" s="49">
        <v>41.34</v>
      </c>
      <c r="J395" s="78">
        <f>IF(inter=Weekly_2,J394+$C$5,IF(inter=Bi_weekly_2,0,IF(inter=Monthly_2,0,IF(inter=Quarterly_2,0,IF(inter=Yearly_2,0,IF(inter=None_2,0,0))))))</f>
        <v>0</v>
      </c>
      <c r="K395" s="79">
        <f t="shared" si="411"/>
        <v>0</v>
      </c>
      <c r="L395" s="79">
        <f t="shared" si="412"/>
        <v>0</v>
      </c>
      <c r="M395" s="79">
        <f t="shared" si="413"/>
        <v>0</v>
      </c>
      <c r="N395" s="79">
        <f t="shared" si="414"/>
        <v>0</v>
      </c>
      <c r="O395" s="79">
        <f t="shared" si="415"/>
        <v>0</v>
      </c>
      <c r="P395" s="79">
        <f t="shared" si="416"/>
        <v>0</v>
      </c>
      <c r="Q395" s="79"/>
      <c r="R395" s="80">
        <f t="shared" si="374"/>
        <v>0</v>
      </c>
      <c r="S395" s="80">
        <f t="shared" si="375"/>
        <v>0</v>
      </c>
      <c r="T395" s="80">
        <f t="shared" si="376"/>
        <v>0</v>
      </c>
      <c r="U395" s="80">
        <f t="shared" si="377"/>
        <v>0</v>
      </c>
      <c r="V395" s="80">
        <f t="shared" si="378"/>
        <v>0</v>
      </c>
      <c r="W395" s="80">
        <f t="shared" si="379"/>
        <v>0</v>
      </c>
      <c r="X395" s="80">
        <f t="shared" si="430"/>
        <v>450.96428649063546</v>
      </c>
      <c r="Y395" s="80">
        <f t="shared" si="431"/>
        <v>160.06116783406182</v>
      </c>
      <c r="Z395" s="80">
        <f t="shared" si="432"/>
        <v>120.81279597962715</v>
      </c>
      <c r="AA395" s="80">
        <f t="shared" si="433"/>
        <v>88.052079880862891</v>
      </c>
      <c r="AB395" s="80">
        <f t="shared" si="434"/>
        <v>747.61904761904759</v>
      </c>
      <c r="AC395" s="80">
        <f t="shared" si="435"/>
        <v>456.83799918341424</v>
      </c>
      <c r="AD395" s="80"/>
      <c r="AE395" s="80"/>
      <c r="AF395" s="80"/>
      <c r="AG395" s="80"/>
      <c r="AH395" s="80"/>
      <c r="AI395" s="80"/>
      <c r="AJ395" s="45">
        <f t="shared" si="380"/>
        <v>0</v>
      </c>
      <c r="AK395" s="45">
        <f t="shared" si="381"/>
        <v>0</v>
      </c>
      <c r="AL395" s="45">
        <f t="shared" si="382"/>
        <v>0</v>
      </c>
      <c r="AM395" s="45">
        <f t="shared" si="383"/>
        <v>0</v>
      </c>
      <c r="AN395" s="45">
        <f t="shared" si="384"/>
        <v>0</v>
      </c>
      <c r="AO395" s="45">
        <f t="shared" si="385"/>
        <v>0</v>
      </c>
      <c r="AP395" s="80">
        <f t="shared" si="386"/>
        <v>0</v>
      </c>
      <c r="AQ395" s="80">
        <f t="shared" si="387"/>
        <v>0</v>
      </c>
      <c r="AR395" s="80">
        <f t="shared" si="388"/>
        <v>0</v>
      </c>
      <c r="AS395" s="80">
        <f t="shared" si="389"/>
        <v>0</v>
      </c>
      <c r="AT395" s="80">
        <f t="shared" si="390"/>
        <v>0</v>
      </c>
      <c r="AU395" s="80">
        <f t="shared" si="391"/>
        <v>0</v>
      </c>
      <c r="AV395" s="80">
        <f t="shared" si="436"/>
        <v>51.763541209913392</v>
      </c>
      <c r="AW395" s="80">
        <f t="shared" si="437"/>
        <v>24.771596027080619</v>
      </c>
      <c r="AX395" s="80">
        <f t="shared" si="438"/>
        <v>15.378128886442394</v>
      </c>
      <c r="AY395" s="80">
        <f t="shared" si="439"/>
        <v>12.153043817589655</v>
      </c>
      <c r="AZ395" s="80">
        <f t="shared" si="440"/>
        <v>116.84600848961752</v>
      </c>
      <c r="BA395" s="80">
        <f t="shared" si="441"/>
        <v>49.505332739759389</v>
      </c>
      <c r="BB395" s="80">
        <f t="shared" si="417"/>
        <v>502.72782770054886</v>
      </c>
      <c r="BC395" s="80">
        <f t="shared" si="418"/>
        <v>184.83276386114244</v>
      </c>
      <c r="BD395" s="80">
        <f t="shared" si="419"/>
        <v>136.19092486606954</v>
      </c>
      <c r="BE395" s="80">
        <f t="shared" si="420"/>
        <v>100.20512369845255</v>
      </c>
      <c r="BF395" s="80">
        <f t="shared" si="421"/>
        <v>864.46505610866507</v>
      </c>
      <c r="BG395" s="80">
        <f t="shared" si="422"/>
        <v>506.34333192317365</v>
      </c>
      <c r="BH395" s="49">
        <f t="shared" si="423"/>
        <v>0</v>
      </c>
      <c r="BI395" s="79">
        <f t="shared" si="424"/>
        <v>-82257.531097243686</v>
      </c>
      <c r="BJ395" s="79">
        <f t="shared" si="392"/>
        <v>125292.41130102052</v>
      </c>
      <c r="BK395" s="44">
        <f t="shared" si="425"/>
        <v>0.52317252450601281</v>
      </c>
      <c r="BL395" s="79">
        <f t="shared" si="442"/>
        <v>12218.05472494167</v>
      </c>
      <c r="BM395" s="49">
        <f t="shared" si="426"/>
        <v>137510.4660259622</v>
      </c>
      <c r="BN395" s="44">
        <f t="shared" si="427"/>
        <v>0.67170670200883231</v>
      </c>
      <c r="BO395" s="49">
        <f t="shared" si="393"/>
        <v>16389.412077871362</v>
      </c>
      <c r="BP395" s="49">
        <f t="shared" si="394"/>
        <v>141681.82337889189</v>
      </c>
      <c r="BQ395" s="44">
        <f t="shared" si="395"/>
        <v>0.72241764965444499</v>
      </c>
      <c r="BS395" s="49">
        <f t="shared" si="396"/>
        <v>82257.531097243686</v>
      </c>
      <c r="BT395" s="49">
        <f t="shared" si="372"/>
        <v>97.169998000000007</v>
      </c>
      <c r="BU395" s="49">
        <f t="shared" si="373"/>
        <v>41.34</v>
      </c>
      <c r="BV395" s="49">
        <f t="shared" si="397"/>
        <v>0</v>
      </c>
      <c r="BW395" s="18">
        <f t="shared" si="398"/>
        <v>2471</v>
      </c>
      <c r="BX395" s="19">
        <f t="shared" si="428"/>
        <v>0.43325688073394497</v>
      </c>
      <c r="BY395" s="49">
        <f t="shared" si="429"/>
        <v>0</v>
      </c>
      <c r="BZ395" s="19">
        <f t="shared" si="399"/>
        <v>0</v>
      </c>
      <c r="CA395" s="19">
        <f t="shared" si="400"/>
        <v>0</v>
      </c>
      <c r="CB395" s="19">
        <f t="shared" si="401"/>
        <v>0</v>
      </c>
      <c r="CC395" s="19">
        <f t="shared" si="402"/>
        <v>0</v>
      </c>
      <c r="CD395" s="19">
        <f t="shared" si="403"/>
        <v>0</v>
      </c>
      <c r="CE395" s="19">
        <f t="shared" si="404"/>
        <v>0</v>
      </c>
      <c r="CF395" s="49">
        <f t="shared" si="405"/>
        <v>0</v>
      </c>
      <c r="CG395" s="49">
        <f t="shared" si="406"/>
        <v>0</v>
      </c>
      <c r="CH395" s="49">
        <f t="shared" si="407"/>
        <v>0</v>
      </c>
      <c r="CI395" s="49">
        <f t="shared" si="408"/>
        <v>0</v>
      </c>
      <c r="CJ395" s="49">
        <f t="shared" si="409"/>
        <v>0</v>
      </c>
      <c r="CK395" s="49">
        <f t="shared" si="410"/>
        <v>0</v>
      </c>
    </row>
    <row r="396" spans="2:89" ht="12.75" customHeight="1" x14ac:dyDescent="0.2">
      <c r="B396" s="77">
        <v>41771</v>
      </c>
      <c r="C396" s="49">
        <v>97.18</v>
      </c>
      <c r="D396" s="49">
        <v>78.309997999999993</v>
      </c>
      <c r="E396" s="49">
        <v>82.760002</v>
      </c>
      <c r="F396" s="49">
        <v>98.699996999999996</v>
      </c>
      <c r="G396" s="49">
        <v>42.060001</v>
      </c>
      <c r="H396" s="49">
        <v>42.610000999999997</v>
      </c>
      <c r="J396" s="78">
        <f>IF(inter=Weekly_2,J395+$C$5,IF(inter=Bi_weekly_2,J394+$C$5,IF(inter=Monthly_2,0,IF(inter=Quarterly_2,0,IF(inter=Yearly_2,0,IF(inter=None_2,0,0))))))</f>
        <v>126200</v>
      </c>
      <c r="K396" s="79">
        <f t="shared" si="411"/>
        <v>-345.29063884004427</v>
      </c>
      <c r="L396" s="79">
        <f t="shared" si="412"/>
        <v>-85.610267036956429</v>
      </c>
      <c r="M396" s="79">
        <f t="shared" si="413"/>
        <v>-97.532763100465672</v>
      </c>
      <c r="N396" s="79">
        <f t="shared" si="414"/>
        <v>-143.25997991507211</v>
      </c>
      <c r="O396" s="79">
        <f t="shared" si="415"/>
        <v>-105.14210952381109</v>
      </c>
      <c r="P396" s="79">
        <f t="shared" si="416"/>
        <v>535.86760204327948</v>
      </c>
      <c r="Q396" s="79"/>
      <c r="R396" s="80">
        <f t="shared" si="374"/>
        <v>3.5531039189138118</v>
      </c>
      <c r="S396" s="80">
        <f t="shared" si="375"/>
        <v>1.09322269471845</v>
      </c>
      <c r="T396" s="80">
        <f t="shared" si="376"/>
        <v>1.1785012172965592</v>
      </c>
      <c r="U396" s="80">
        <f t="shared" si="377"/>
        <v>1.4514689389004958</v>
      </c>
      <c r="V396" s="80">
        <f t="shared" si="378"/>
        <v>2.4998123400855623</v>
      </c>
      <c r="W396" s="80">
        <f t="shared" si="379"/>
        <v>-12.57609925996668</v>
      </c>
      <c r="X396" s="80">
        <f t="shared" si="430"/>
        <v>454.51739040954925</v>
      </c>
      <c r="Y396" s="80">
        <f t="shared" si="431"/>
        <v>161.15439052878028</v>
      </c>
      <c r="Z396" s="80">
        <f t="shared" si="432"/>
        <v>121.99129719692371</v>
      </c>
      <c r="AA396" s="80">
        <f t="shared" si="433"/>
        <v>89.503548819763381</v>
      </c>
      <c r="AB396" s="80">
        <f t="shared" si="434"/>
        <v>750.11885995913315</v>
      </c>
      <c r="AC396" s="80">
        <f t="shared" si="435"/>
        <v>444.26189992344757</v>
      </c>
      <c r="AD396" s="80"/>
      <c r="AE396" s="80"/>
      <c r="AF396" s="80"/>
      <c r="AG396" s="80"/>
      <c r="AH396" s="80"/>
      <c r="AI396" s="80"/>
      <c r="AJ396" s="45">
        <f t="shared" si="380"/>
        <v>0</v>
      </c>
      <c r="AK396" s="45">
        <f t="shared" si="381"/>
        <v>0</v>
      </c>
      <c r="AL396" s="45">
        <f t="shared" si="382"/>
        <v>0</v>
      </c>
      <c r="AM396" s="45">
        <f t="shared" si="383"/>
        <v>0</v>
      </c>
      <c r="AN396" s="45">
        <f t="shared" si="384"/>
        <v>0</v>
      </c>
      <c r="AO396" s="45">
        <f t="shared" si="385"/>
        <v>0</v>
      </c>
      <c r="AP396" s="80">
        <f t="shared" si="386"/>
        <v>0</v>
      </c>
      <c r="AQ396" s="80">
        <f t="shared" si="387"/>
        <v>0</v>
      </c>
      <c r="AR396" s="80">
        <f t="shared" si="388"/>
        <v>0</v>
      </c>
      <c r="AS396" s="80">
        <f t="shared" si="389"/>
        <v>0</v>
      </c>
      <c r="AT396" s="80">
        <f t="shared" si="390"/>
        <v>0</v>
      </c>
      <c r="AU396" s="80">
        <f t="shared" si="391"/>
        <v>0</v>
      </c>
      <c r="AV396" s="80">
        <f t="shared" si="436"/>
        <v>51.763541209913392</v>
      </c>
      <c r="AW396" s="80">
        <f t="shared" si="437"/>
        <v>24.771596027080619</v>
      </c>
      <c r="AX396" s="80">
        <f t="shared" si="438"/>
        <v>15.378128886442394</v>
      </c>
      <c r="AY396" s="80">
        <f t="shared" si="439"/>
        <v>12.153043817589655</v>
      </c>
      <c r="AZ396" s="80">
        <f t="shared" si="440"/>
        <v>116.84600848961752</v>
      </c>
      <c r="BA396" s="80">
        <f t="shared" si="441"/>
        <v>49.505332739759389</v>
      </c>
      <c r="BB396" s="80">
        <f t="shared" si="417"/>
        <v>506.28093161946265</v>
      </c>
      <c r="BC396" s="80">
        <f t="shared" si="418"/>
        <v>185.9259865558609</v>
      </c>
      <c r="BD396" s="80">
        <f t="shared" si="419"/>
        <v>137.36942608336611</v>
      </c>
      <c r="BE396" s="80">
        <f t="shared" si="420"/>
        <v>101.65659263735304</v>
      </c>
      <c r="BF396" s="80">
        <f t="shared" si="421"/>
        <v>866.96486844875062</v>
      </c>
      <c r="BG396" s="80">
        <f t="shared" si="422"/>
        <v>493.76723266320698</v>
      </c>
      <c r="BH396" s="49">
        <f t="shared" si="423"/>
        <v>0</v>
      </c>
      <c r="BI396" s="79">
        <f t="shared" si="424"/>
        <v>-82498.49925361677</v>
      </c>
      <c r="BJ396" s="79">
        <f t="shared" si="392"/>
        <v>126200</v>
      </c>
      <c r="BK396" s="44">
        <f t="shared" si="425"/>
        <v>0.52972479671461836</v>
      </c>
      <c r="BL396" s="79">
        <f t="shared" si="442"/>
        <v>12218.05472494167</v>
      </c>
      <c r="BM396" s="49">
        <f t="shared" si="426"/>
        <v>138418.05472494167</v>
      </c>
      <c r="BN396" s="44">
        <f t="shared" si="427"/>
        <v>0.67782512381730831</v>
      </c>
      <c r="BO396" s="49">
        <f t="shared" si="393"/>
        <v>16466.409447317874</v>
      </c>
      <c r="BP396" s="49">
        <f t="shared" si="394"/>
        <v>142666.40944731788</v>
      </c>
      <c r="BQ396" s="44">
        <f t="shared" si="395"/>
        <v>0.7293212693328277</v>
      </c>
      <c r="BS396" s="49">
        <f t="shared" si="396"/>
        <v>82498.49925361677</v>
      </c>
      <c r="BT396" s="49">
        <f t="shared" si="372"/>
        <v>97.18</v>
      </c>
      <c r="BU396" s="49">
        <f t="shared" si="373"/>
        <v>42.610000999999997</v>
      </c>
      <c r="BV396" s="49">
        <f t="shared" si="397"/>
        <v>240.96815637307009</v>
      </c>
      <c r="BW396" s="18">
        <f t="shared" si="398"/>
        <v>2478</v>
      </c>
      <c r="BX396" s="19">
        <f t="shared" si="428"/>
        <v>0.431651376146789</v>
      </c>
      <c r="BY396" s="49">
        <f t="shared" si="429"/>
        <v>104.01423630599035</v>
      </c>
      <c r="BZ396" s="19">
        <f t="shared" si="399"/>
        <v>3.5531039189138118</v>
      </c>
      <c r="CA396" s="19">
        <f t="shared" si="400"/>
        <v>1.09322269471845</v>
      </c>
      <c r="CB396" s="19">
        <f t="shared" si="401"/>
        <v>1.1785012172965592</v>
      </c>
      <c r="CC396" s="19">
        <f t="shared" si="402"/>
        <v>1.4514689389004958</v>
      </c>
      <c r="CD396" s="19">
        <f t="shared" si="403"/>
        <v>2.4998123400855623</v>
      </c>
      <c r="CE396" s="19">
        <f t="shared" si="404"/>
        <v>0</v>
      </c>
      <c r="CF396" s="49">
        <f t="shared" si="405"/>
        <v>-345.29063884004427</v>
      </c>
      <c r="CG396" s="49">
        <f t="shared" si="406"/>
        <v>-85.610267036956429</v>
      </c>
      <c r="CH396" s="49">
        <f t="shared" si="407"/>
        <v>-97.532763100465672</v>
      </c>
      <c r="CI396" s="49">
        <f t="shared" si="408"/>
        <v>-143.25997991507211</v>
      </c>
      <c r="CJ396" s="49">
        <f t="shared" si="409"/>
        <v>-105.14210952381109</v>
      </c>
      <c r="CK396" s="49">
        <f t="shared" si="410"/>
        <v>0</v>
      </c>
    </row>
    <row r="397" spans="2:89" ht="12.75" customHeight="1" x14ac:dyDescent="0.2">
      <c r="B397" s="77">
        <v>41778</v>
      </c>
      <c r="C397" s="49">
        <v>98.489998</v>
      </c>
      <c r="D397" s="49">
        <v>78.940002000000007</v>
      </c>
      <c r="E397" s="49">
        <v>83.669998000000007</v>
      </c>
      <c r="F397" s="49">
        <v>100.139999</v>
      </c>
      <c r="G397" s="49">
        <v>42.25</v>
      </c>
      <c r="H397" s="49">
        <v>42.900002000000001</v>
      </c>
      <c r="J397" s="78">
        <f>IF(inter=Weekly_2,J396+$C$5,IF(inter=Bi_weekly_2,0,IF(inter=Monthly_2,0,IF(inter=Quarterly_2,0,IF(inter=Yearly_2,0,IF(inter=None_2,0,0))))))</f>
        <v>0</v>
      </c>
      <c r="K397" s="79">
        <f t="shared" si="411"/>
        <v>0</v>
      </c>
      <c r="L397" s="79">
        <f t="shared" si="412"/>
        <v>0</v>
      </c>
      <c r="M397" s="79">
        <f t="shared" si="413"/>
        <v>0</v>
      </c>
      <c r="N397" s="79">
        <f t="shared" si="414"/>
        <v>0</v>
      </c>
      <c r="O397" s="79">
        <f t="shared" si="415"/>
        <v>0</v>
      </c>
      <c r="P397" s="79">
        <f t="shared" si="416"/>
        <v>0</v>
      </c>
      <c r="Q397" s="79"/>
      <c r="R397" s="80">
        <f t="shared" si="374"/>
        <v>0</v>
      </c>
      <c r="S397" s="80">
        <f t="shared" si="375"/>
        <v>0</v>
      </c>
      <c r="T397" s="80">
        <f t="shared" si="376"/>
        <v>0</v>
      </c>
      <c r="U397" s="80">
        <f t="shared" si="377"/>
        <v>0</v>
      </c>
      <c r="V397" s="80">
        <f t="shared" si="378"/>
        <v>0</v>
      </c>
      <c r="W397" s="80">
        <f t="shared" si="379"/>
        <v>0</v>
      </c>
      <c r="X397" s="80">
        <f t="shared" si="430"/>
        <v>454.51739040954925</v>
      </c>
      <c r="Y397" s="80">
        <f t="shared" si="431"/>
        <v>161.15439052878028</v>
      </c>
      <c r="Z397" s="80">
        <f t="shared" si="432"/>
        <v>121.99129719692371</v>
      </c>
      <c r="AA397" s="80">
        <f t="shared" si="433"/>
        <v>89.503548819763381</v>
      </c>
      <c r="AB397" s="80">
        <f t="shared" si="434"/>
        <v>750.11885995913315</v>
      </c>
      <c r="AC397" s="80">
        <f t="shared" si="435"/>
        <v>444.26189992344757</v>
      </c>
      <c r="AD397" s="80"/>
      <c r="AE397" s="80"/>
      <c r="AF397" s="80"/>
      <c r="AG397" s="80"/>
      <c r="AH397" s="80"/>
      <c r="AI397" s="80"/>
      <c r="AJ397" s="45">
        <f t="shared" si="380"/>
        <v>0</v>
      </c>
      <c r="AK397" s="45">
        <f t="shared" si="381"/>
        <v>0</v>
      </c>
      <c r="AL397" s="45">
        <f t="shared" si="382"/>
        <v>0</v>
      </c>
      <c r="AM397" s="45">
        <f t="shared" si="383"/>
        <v>0</v>
      </c>
      <c r="AN397" s="45">
        <f t="shared" si="384"/>
        <v>0</v>
      </c>
      <c r="AO397" s="45">
        <f t="shared" si="385"/>
        <v>0</v>
      </c>
      <c r="AP397" s="80">
        <f t="shared" si="386"/>
        <v>0</v>
      </c>
      <c r="AQ397" s="80">
        <f t="shared" si="387"/>
        <v>0</v>
      </c>
      <c r="AR397" s="80">
        <f t="shared" si="388"/>
        <v>0</v>
      </c>
      <c r="AS397" s="80">
        <f t="shared" si="389"/>
        <v>0</v>
      </c>
      <c r="AT397" s="80">
        <f t="shared" si="390"/>
        <v>0</v>
      </c>
      <c r="AU397" s="80">
        <f t="shared" si="391"/>
        <v>0</v>
      </c>
      <c r="AV397" s="80">
        <f t="shared" si="436"/>
        <v>51.763541209913392</v>
      </c>
      <c r="AW397" s="80">
        <f t="shared" si="437"/>
        <v>24.771596027080619</v>
      </c>
      <c r="AX397" s="80">
        <f t="shared" si="438"/>
        <v>15.378128886442394</v>
      </c>
      <c r="AY397" s="80">
        <f t="shared" si="439"/>
        <v>12.153043817589655</v>
      </c>
      <c r="AZ397" s="80">
        <f t="shared" si="440"/>
        <v>116.84600848961752</v>
      </c>
      <c r="BA397" s="80">
        <f t="shared" si="441"/>
        <v>49.505332739759389</v>
      </c>
      <c r="BB397" s="80">
        <f t="shared" si="417"/>
        <v>506.28093161946265</v>
      </c>
      <c r="BC397" s="80">
        <f t="shared" si="418"/>
        <v>185.9259865558609</v>
      </c>
      <c r="BD397" s="80">
        <f t="shared" si="419"/>
        <v>137.36942608336611</v>
      </c>
      <c r="BE397" s="80">
        <f t="shared" si="420"/>
        <v>101.65659263735304</v>
      </c>
      <c r="BF397" s="80">
        <f t="shared" si="421"/>
        <v>866.96486844875062</v>
      </c>
      <c r="BG397" s="80">
        <f t="shared" si="422"/>
        <v>493.76723266320698</v>
      </c>
      <c r="BH397" s="49">
        <f t="shared" si="423"/>
        <v>0</v>
      </c>
      <c r="BI397" s="79">
        <f t="shared" si="424"/>
        <v>-82498.49925361677</v>
      </c>
      <c r="BJ397" s="79">
        <f t="shared" si="392"/>
        <v>127408.19989335706</v>
      </c>
      <c r="BK397" s="44">
        <f t="shared" si="425"/>
        <v>0.54436991031411308</v>
      </c>
      <c r="BL397" s="79">
        <f t="shared" si="442"/>
        <v>12218.05472494167</v>
      </c>
      <c r="BM397" s="49">
        <f t="shared" si="426"/>
        <v>139626.25461829873</v>
      </c>
      <c r="BN397" s="44">
        <f t="shared" si="427"/>
        <v>0.69247023741680302</v>
      </c>
      <c r="BO397" s="49">
        <f t="shared" si="393"/>
        <v>16617.87745130367</v>
      </c>
      <c r="BP397" s="49">
        <f t="shared" si="394"/>
        <v>144026.07734466076</v>
      </c>
      <c r="BQ397" s="44">
        <f t="shared" si="395"/>
        <v>0.74580239213680732</v>
      </c>
      <c r="BS397" s="49">
        <f t="shared" si="396"/>
        <v>82498.49925361677</v>
      </c>
      <c r="BT397" s="49">
        <f t="shared" si="372"/>
        <v>98.489998</v>
      </c>
      <c r="BU397" s="49">
        <f t="shared" si="373"/>
        <v>42.900002000000001</v>
      </c>
      <c r="BV397" s="49">
        <f t="shared" si="397"/>
        <v>0</v>
      </c>
      <c r="BW397" s="18">
        <f t="shared" si="398"/>
        <v>2485</v>
      </c>
      <c r="BX397" s="19">
        <f t="shared" si="428"/>
        <v>0.43004587155963303</v>
      </c>
      <c r="BY397" s="49">
        <f t="shared" si="429"/>
        <v>0</v>
      </c>
      <c r="BZ397" s="19">
        <f t="shared" si="399"/>
        <v>0</v>
      </c>
      <c r="CA397" s="19">
        <f t="shared" si="400"/>
        <v>0</v>
      </c>
      <c r="CB397" s="19">
        <f t="shared" si="401"/>
        <v>0</v>
      </c>
      <c r="CC397" s="19">
        <f t="shared" si="402"/>
        <v>0</v>
      </c>
      <c r="CD397" s="19">
        <f t="shared" si="403"/>
        <v>0</v>
      </c>
      <c r="CE397" s="19">
        <f t="shared" si="404"/>
        <v>0</v>
      </c>
      <c r="CF397" s="49">
        <f t="shared" si="405"/>
        <v>0</v>
      </c>
      <c r="CG397" s="49">
        <f t="shared" si="406"/>
        <v>0</v>
      </c>
      <c r="CH397" s="49">
        <f t="shared" si="407"/>
        <v>0</v>
      </c>
      <c r="CI397" s="49">
        <f t="shared" si="408"/>
        <v>0</v>
      </c>
      <c r="CJ397" s="49">
        <f t="shared" si="409"/>
        <v>0</v>
      </c>
      <c r="CK397" s="49">
        <f t="shared" si="410"/>
        <v>0</v>
      </c>
    </row>
    <row r="398" spans="2:89" ht="12.75" customHeight="1" x14ac:dyDescent="0.2">
      <c r="B398" s="77">
        <v>41786</v>
      </c>
      <c r="C398" s="49">
        <v>99.580001999999993</v>
      </c>
      <c r="D398" s="49">
        <v>79.870002999999997</v>
      </c>
      <c r="E398" s="49">
        <v>84.589995999999999</v>
      </c>
      <c r="F398" s="49">
        <v>101.129997</v>
      </c>
      <c r="G398" s="49">
        <v>42.66</v>
      </c>
      <c r="H398" s="49">
        <v>42.209999000000003</v>
      </c>
      <c r="J398" s="78">
        <f>IF(inter=Weekly_2,J397+$C$5,IF(inter=Bi_weekly_2,J396+$C$5,IF(inter=Monthly_2,J394+$C$5,IF(inter=Quarterly_2,0,IF(inter=Yearly_2,0,IF(inter=None_2,0,0))))))</f>
        <v>126800</v>
      </c>
      <c r="K398" s="79">
        <f t="shared" si="411"/>
        <v>880.84264601769246</v>
      </c>
      <c r="L398" s="79">
        <f t="shared" si="412"/>
        <v>191.40165499685281</v>
      </c>
      <c r="M398" s="79">
        <f t="shared" si="413"/>
        <v>175.24334192258721</v>
      </c>
      <c r="N398" s="79">
        <f t="shared" si="414"/>
        <v>175.49362363202454</v>
      </c>
      <c r="O398" s="79">
        <f t="shared" si="415"/>
        <v>300.07056585661849</v>
      </c>
      <c r="P398" s="79">
        <f t="shared" si="416"/>
        <v>-267.70564849317816</v>
      </c>
      <c r="Q398" s="79"/>
      <c r="R398" s="80">
        <f t="shared" si="374"/>
        <v>-8.8455777096458839</v>
      </c>
      <c r="S398" s="80">
        <f t="shared" si="375"/>
        <v>-2.3964147715989546</v>
      </c>
      <c r="T398" s="80">
        <f t="shared" si="376"/>
        <v>-2.0716792789845648</v>
      </c>
      <c r="U398" s="80">
        <f t="shared" si="377"/>
        <v>-1.7353270922377713</v>
      </c>
      <c r="V398" s="80">
        <f t="shared" si="378"/>
        <v>-7.0340029502254691</v>
      </c>
      <c r="W398" s="80">
        <f t="shared" si="379"/>
        <v>6.3422329977590888</v>
      </c>
      <c r="X398" s="80">
        <f t="shared" si="430"/>
        <v>445.67181269990334</v>
      </c>
      <c r="Y398" s="80">
        <f t="shared" si="431"/>
        <v>158.75797575718133</v>
      </c>
      <c r="Z398" s="80">
        <f t="shared" si="432"/>
        <v>119.91961791793915</v>
      </c>
      <c r="AA398" s="80">
        <f t="shared" si="433"/>
        <v>87.768221727525614</v>
      </c>
      <c r="AB398" s="80">
        <f t="shared" si="434"/>
        <v>743.08485700890765</v>
      </c>
      <c r="AC398" s="80">
        <f t="shared" si="435"/>
        <v>450.60413292120666</v>
      </c>
      <c r="AD398" s="80"/>
      <c r="AE398" s="80"/>
      <c r="AF398" s="80"/>
      <c r="AG398" s="80"/>
      <c r="AH398" s="80"/>
      <c r="AI398" s="80"/>
      <c r="AJ398" s="45">
        <f t="shared" si="380"/>
        <v>0</v>
      </c>
      <c r="AK398" s="45">
        <f t="shared" si="381"/>
        <v>0</v>
      </c>
      <c r="AL398" s="45">
        <f t="shared" si="382"/>
        <v>0</v>
      </c>
      <c r="AM398" s="45">
        <f t="shared" si="383"/>
        <v>0</v>
      </c>
      <c r="AN398" s="45">
        <f t="shared" si="384"/>
        <v>0</v>
      </c>
      <c r="AO398" s="45">
        <f t="shared" si="385"/>
        <v>0</v>
      </c>
      <c r="AP398" s="80">
        <f t="shared" si="386"/>
        <v>0</v>
      </c>
      <c r="AQ398" s="80">
        <f t="shared" si="387"/>
        <v>0</v>
      </c>
      <c r="AR398" s="80">
        <f t="shared" si="388"/>
        <v>0</v>
      </c>
      <c r="AS398" s="80">
        <f t="shared" si="389"/>
        <v>0</v>
      </c>
      <c r="AT398" s="80">
        <f t="shared" si="390"/>
        <v>0</v>
      </c>
      <c r="AU398" s="80">
        <f t="shared" si="391"/>
        <v>0</v>
      </c>
      <c r="AV398" s="80">
        <f t="shared" si="436"/>
        <v>51.763541209913392</v>
      </c>
      <c r="AW398" s="80">
        <f t="shared" si="437"/>
        <v>24.771596027080619</v>
      </c>
      <c r="AX398" s="80">
        <f t="shared" si="438"/>
        <v>15.378128886442394</v>
      </c>
      <c r="AY398" s="80">
        <f t="shared" si="439"/>
        <v>12.153043817589655</v>
      </c>
      <c r="AZ398" s="80">
        <f t="shared" si="440"/>
        <v>116.84600848961752</v>
      </c>
      <c r="BA398" s="80">
        <f t="shared" si="441"/>
        <v>49.505332739759389</v>
      </c>
      <c r="BB398" s="80">
        <f t="shared" si="417"/>
        <v>497.43535390981674</v>
      </c>
      <c r="BC398" s="80">
        <f t="shared" si="418"/>
        <v>183.52957178426195</v>
      </c>
      <c r="BD398" s="80">
        <f t="shared" si="419"/>
        <v>135.29774680438155</v>
      </c>
      <c r="BE398" s="80">
        <f t="shared" si="420"/>
        <v>99.921265545115261</v>
      </c>
      <c r="BF398" s="80">
        <f t="shared" si="421"/>
        <v>859.93086549852512</v>
      </c>
      <c r="BG398" s="80">
        <f t="shared" si="422"/>
        <v>500.10946566096607</v>
      </c>
      <c r="BH398" s="49">
        <f t="shared" si="423"/>
        <v>0</v>
      </c>
      <c r="BI398" s="79">
        <f t="shared" si="424"/>
        <v>-81043.153069684195</v>
      </c>
      <c r="BJ398" s="79">
        <f t="shared" si="392"/>
        <v>126800</v>
      </c>
      <c r="BK398" s="44">
        <f t="shared" si="425"/>
        <v>0.56459855271144499</v>
      </c>
      <c r="BL398" s="79">
        <f t="shared" si="442"/>
        <v>12218.05472494167</v>
      </c>
      <c r="BM398" s="49">
        <f t="shared" si="426"/>
        <v>139018.05472494167</v>
      </c>
      <c r="BN398" s="44">
        <f t="shared" si="427"/>
        <v>0.7153584165883613</v>
      </c>
      <c r="BO398" s="49">
        <f t="shared" si="393"/>
        <v>16737.264899620324</v>
      </c>
      <c r="BP398" s="49">
        <f t="shared" si="394"/>
        <v>143537.26489962032</v>
      </c>
      <c r="BQ398" s="44">
        <f t="shared" si="395"/>
        <v>0.77112142683048313</v>
      </c>
      <c r="BS398" s="49">
        <f t="shared" si="396"/>
        <v>81043.153069684195</v>
      </c>
      <c r="BT398" s="49">
        <f t="shared" si="372"/>
        <v>99.580001999999993</v>
      </c>
      <c r="BU398" s="49">
        <f t="shared" si="373"/>
        <v>42.209999000000003</v>
      </c>
      <c r="BV398" s="49">
        <f t="shared" si="397"/>
        <v>-1455.3461839325973</v>
      </c>
      <c r="BW398" s="18">
        <f t="shared" si="398"/>
        <v>2493</v>
      </c>
      <c r="BX398" s="19">
        <f t="shared" si="428"/>
        <v>0.42821100917431193</v>
      </c>
      <c r="BY398" s="49">
        <f t="shared" si="429"/>
        <v>-623.19525811976132</v>
      </c>
      <c r="BZ398" s="19">
        <f t="shared" si="399"/>
        <v>0</v>
      </c>
      <c r="CA398" s="19">
        <f t="shared" si="400"/>
        <v>0</v>
      </c>
      <c r="CB398" s="19">
        <f t="shared" si="401"/>
        <v>0</v>
      </c>
      <c r="CC398" s="19">
        <f t="shared" si="402"/>
        <v>0</v>
      </c>
      <c r="CD398" s="19">
        <f t="shared" si="403"/>
        <v>0</v>
      </c>
      <c r="CE398" s="19">
        <f t="shared" si="404"/>
        <v>6.3422329977590888</v>
      </c>
      <c r="CF398" s="49">
        <f t="shared" si="405"/>
        <v>0</v>
      </c>
      <c r="CG398" s="49">
        <f t="shared" si="406"/>
        <v>0</v>
      </c>
      <c r="CH398" s="49">
        <f t="shared" si="407"/>
        <v>0</v>
      </c>
      <c r="CI398" s="49">
        <f t="shared" si="408"/>
        <v>0</v>
      </c>
      <c r="CJ398" s="49">
        <f t="shared" si="409"/>
        <v>0</v>
      </c>
      <c r="CK398" s="49">
        <f t="shared" si="410"/>
        <v>-267.70564849317816</v>
      </c>
    </row>
    <row r="399" spans="2:89" ht="12.75" customHeight="1" x14ac:dyDescent="0.2">
      <c r="B399" s="77">
        <v>41792</v>
      </c>
      <c r="C399" s="49">
        <v>101.199997</v>
      </c>
      <c r="D399" s="49">
        <v>81</v>
      </c>
      <c r="E399" s="49">
        <v>86.160004000000001</v>
      </c>
      <c r="F399" s="49">
        <v>103.790001</v>
      </c>
      <c r="G399" s="49">
        <v>43.169998</v>
      </c>
      <c r="H399" s="49">
        <v>43.360000999999997</v>
      </c>
      <c r="J399" s="78">
        <f>IF(inter=Weekly_2,J398+$C$5,IF(inter=Bi_weekly_2,0,IF(inter=Monthly_2,0,IF(inter=Quarterly_2,0,IF(inter=Yearly_2,0,IF(inter=None_2,0,0))))))</f>
        <v>0</v>
      </c>
      <c r="K399" s="79">
        <f t="shared" si="411"/>
        <v>0</v>
      </c>
      <c r="L399" s="79">
        <f t="shared" si="412"/>
        <v>0</v>
      </c>
      <c r="M399" s="79">
        <f t="shared" si="413"/>
        <v>0</v>
      </c>
      <c r="N399" s="79">
        <f t="shared" si="414"/>
        <v>0</v>
      </c>
      <c r="O399" s="79">
        <f t="shared" si="415"/>
        <v>0</v>
      </c>
      <c r="P399" s="79">
        <f t="shared" si="416"/>
        <v>0</v>
      </c>
      <c r="Q399" s="79"/>
      <c r="R399" s="80">
        <f t="shared" si="374"/>
        <v>0</v>
      </c>
      <c r="S399" s="80">
        <f t="shared" si="375"/>
        <v>0</v>
      </c>
      <c r="T399" s="80">
        <f t="shared" si="376"/>
        <v>0</v>
      </c>
      <c r="U399" s="80">
        <f t="shared" si="377"/>
        <v>0</v>
      </c>
      <c r="V399" s="80">
        <f t="shared" si="378"/>
        <v>0</v>
      </c>
      <c r="W399" s="80">
        <f t="shared" si="379"/>
        <v>0</v>
      </c>
      <c r="X399" s="80">
        <f t="shared" si="430"/>
        <v>445.67181269990334</v>
      </c>
      <c r="Y399" s="80">
        <f t="shared" si="431"/>
        <v>158.75797575718133</v>
      </c>
      <c r="Z399" s="80">
        <f t="shared" si="432"/>
        <v>119.91961791793915</v>
      </c>
      <c r="AA399" s="80">
        <f t="shared" si="433"/>
        <v>87.768221727525614</v>
      </c>
      <c r="AB399" s="80">
        <f t="shared" si="434"/>
        <v>743.08485700890765</v>
      </c>
      <c r="AC399" s="80">
        <f t="shared" si="435"/>
        <v>450.60413292120666</v>
      </c>
      <c r="AD399" s="80"/>
      <c r="AE399" s="80"/>
      <c r="AF399" s="80"/>
      <c r="AG399" s="80"/>
      <c r="AH399" s="80"/>
      <c r="AI399" s="80"/>
      <c r="AJ399" s="45">
        <f t="shared" si="380"/>
        <v>0</v>
      </c>
      <c r="AK399" s="45">
        <f t="shared" si="381"/>
        <v>0</v>
      </c>
      <c r="AL399" s="45">
        <f t="shared" si="382"/>
        <v>0</v>
      </c>
      <c r="AM399" s="45">
        <f t="shared" si="383"/>
        <v>0</v>
      </c>
      <c r="AN399" s="45">
        <f t="shared" si="384"/>
        <v>0</v>
      </c>
      <c r="AO399" s="45">
        <f t="shared" si="385"/>
        <v>0</v>
      </c>
      <c r="AP399" s="80">
        <f t="shared" si="386"/>
        <v>0</v>
      </c>
      <c r="AQ399" s="80">
        <f t="shared" si="387"/>
        <v>0</v>
      </c>
      <c r="AR399" s="80">
        <f t="shared" si="388"/>
        <v>0</v>
      </c>
      <c r="AS399" s="80">
        <f t="shared" si="389"/>
        <v>0</v>
      </c>
      <c r="AT399" s="80">
        <f t="shared" si="390"/>
        <v>0</v>
      </c>
      <c r="AU399" s="80">
        <f t="shared" si="391"/>
        <v>0</v>
      </c>
      <c r="AV399" s="80">
        <f t="shared" si="436"/>
        <v>51.763541209913392</v>
      </c>
      <c r="AW399" s="80">
        <f t="shared" si="437"/>
        <v>24.771596027080619</v>
      </c>
      <c r="AX399" s="80">
        <f t="shared" si="438"/>
        <v>15.378128886442394</v>
      </c>
      <c r="AY399" s="80">
        <f t="shared" si="439"/>
        <v>12.153043817589655</v>
      </c>
      <c r="AZ399" s="80">
        <f t="shared" si="440"/>
        <v>116.84600848961752</v>
      </c>
      <c r="BA399" s="80">
        <f t="shared" si="441"/>
        <v>49.505332739759389</v>
      </c>
      <c r="BB399" s="80">
        <f t="shared" si="417"/>
        <v>497.43535390981674</v>
      </c>
      <c r="BC399" s="80">
        <f t="shared" si="418"/>
        <v>183.52957178426195</v>
      </c>
      <c r="BD399" s="80">
        <f t="shared" si="419"/>
        <v>135.29774680438155</v>
      </c>
      <c r="BE399" s="80">
        <f t="shared" si="420"/>
        <v>99.921265545115261</v>
      </c>
      <c r="BF399" s="80">
        <f t="shared" si="421"/>
        <v>859.93086549852512</v>
      </c>
      <c r="BG399" s="80">
        <f t="shared" si="422"/>
        <v>500.10946566096607</v>
      </c>
      <c r="BH399" s="49">
        <f t="shared" si="423"/>
        <v>0</v>
      </c>
      <c r="BI399" s="79">
        <f t="shared" si="424"/>
        <v>-81043.153069684195</v>
      </c>
      <c r="BJ399" s="79">
        <f t="shared" si="392"/>
        <v>129020.28816987517</v>
      </c>
      <c r="BK399" s="44">
        <f t="shared" si="425"/>
        <v>0.59199492224763617</v>
      </c>
      <c r="BL399" s="79">
        <f t="shared" si="442"/>
        <v>12218.05472494167</v>
      </c>
      <c r="BM399" s="49">
        <f t="shared" si="426"/>
        <v>141238.34289481683</v>
      </c>
      <c r="BN399" s="44">
        <f t="shared" si="427"/>
        <v>0.74275478612455226</v>
      </c>
      <c r="BO399" s="49">
        <f t="shared" si="393"/>
        <v>17022.106799601279</v>
      </c>
      <c r="BP399" s="49">
        <f t="shared" si="394"/>
        <v>146042.39496947645</v>
      </c>
      <c r="BQ399" s="44">
        <f t="shared" si="395"/>
        <v>0.80203249056589976</v>
      </c>
      <c r="BS399" s="49">
        <f t="shared" si="396"/>
        <v>81043.153069684195</v>
      </c>
      <c r="BT399" s="49">
        <f t="shared" si="372"/>
        <v>101.199997</v>
      </c>
      <c r="BU399" s="49">
        <f t="shared" si="373"/>
        <v>43.360000999999997</v>
      </c>
      <c r="BV399" s="49">
        <f t="shared" si="397"/>
        <v>0</v>
      </c>
      <c r="BW399" s="18">
        <f t="shared" si="398"/>
        <v>2499</v>
      </c>
      <c r="BX399" s="19">
        <f t="shared" si="428"/>
        <v>0.42683486238532109</v>
      </c>
      <c r="BY399" s="49">
        <f t="shared" si="429"/>
        <v>0</v>
      </c>
      <c r="BZ399" s="19">
        <f t="shared" si="399"/>
        <v>0</v>
      </c>
      <c r="CA399" s="19">
        <f t="shared" si="400"/>
        <v>0</v>
      </c>
      <c r="CB399" s="19">
        <f t="shared" si="401"/>
        <v>0</v>
      </c>
      <c r="CC399" s="19">
        <f t="shared" si="402"/>
        <v>0</v>
      </c>
      <c r="CD399" s="19">
        <f t="shared" si="403"/>
        <v>0</v>
      </c>
      <c r="CE399" s="19">
        <f t="shared" si="404"/>
        <v>0</v>
      </c>
      <c r="CF399" s="49">
        <f t="shared" si="405"/>
        <v>0</v>
      </c>
      <c r="CG399" s="49">
        <f t="shared" si="406"/>
        <v>0</v>
      </c>
      <c r="CH399" s="49">
        <f t="shared" si="407"/>
        <v>0</v>
      </c>
      <c r="CI399" s="49">
        <f t="shared" si="408"/>
        <v>0</v>
      </c>
      <c r="CJ399" s="49">
        <f t="shared" si="409"/>
        <v>0</v>
      </c>
      <c r="CK399" s="49">
        <f t="shared" si="410"/>
        <v>0</v>
      </c>
    </row>
    <row r="400" spans="2:89" ht="12.75" customHeight="1" x14ac:dyDescent="0.2">
      <c r="B400" s="77">
        <v>41799</v>
      </c>
      <c r="C400" s="49">
        <v>100.620003</v>
      </c>
      <c r="D400" s="49">
        <v>80.559997999999993</v>
      </c>
      <c r="E400" s="49">
        <v>85.309997999999993</v>
      </c>
      <c r="F400" s="49">
        <v>103.269997</v>
      </c>
      <c r="G400" s="49">
        <v>42.84</v>
      </c>
      <c r="H400" s="49">
        <v>43.610000999999997</v>
      </c>
      <c r="J400" s="78">
        <f>IF(inter=Weekly_2,J399+$C$5,IF(inter=Bi_weekly_2,J398+$C$5,IF(inter=Monthly_2,0,IF(inter=Quarterly_2,0,IF(inter=Yearly_2,0,IF(inter=None_2,0,0))))))</f>
        <v>127400</v>
      </c>
      <c r="K400" s="79">
        <f t="shared" si="411"/>
        <v>253.49913087971072</v>
      </c>
      <c r="L400" s="79">
        <f t="shared" si="412"/>
        <v>49.542209482575345</v>
      </c>
      <c r="M400" s="79">
        <f t="shared" si="413"/>
        <v>38.342364740152334</v>
      </c>
      <c r="N400" s="79">
        <f t="shared" si="414"/>
        <v>145.82399449690456</v>
      </c>
      <c r="O400" s="79">
        <f t="shared" si="415"/>
        <v>-16.244725738393754</v>
      </c>
      <c r="P400" s="79">
        <f t="shared" si="416"/>
        <v>540.84668729795521</v>
      </c>
      <c r="Q400" s="79"/>
      <c r="R400" s="80">
        <f t="shared" si="374"/>
        <v>-2.5193711321963561</v>
      </c>
      <c r="S400" s="80">
        <f t="shared" si="375"/>
        <v>-0.61497282413754961</v>
      </c>
      <c r="T400" s="80">
        <f t="shared" si="376"/>
        <v>-0.44944749313148896</v>
      </c>
      <c r="U400" s="80">
        <f t="shared" si="377"/>
        <v>-1.4120654472073293</v>
      </c>
      <c r="V400" s="80">
        <f t="shared" si="378"/>
        <v>0.3791952786739905</v>
      </c>
      <c r="W400" s="80">
        <f t="shared" si="379"/>
        <v>-12.401895778400814</v>
      </c>
      <c r="X400" s="80">
        <f t="shared" si="430"/>
        <v>443.152441567707</v>
      </c>
      <c r="Y400" s="80">
        <f t="shared" si="431"/>
        <v>158.14300293304379</v>
      </c>
      <c r="Z400" s="80">
        <f t="shared" si="432"/>
        <v>119.47017042480766</v>
      </c>
      <c r="AA400" s="80">
        <f t="shared" si="433"/>
        <v>86.356156280318288</v>
      </c>
      <c r="AB400" s="80">
        <f t="shared" si="434"/>
        <v>743.46405228758169</v>
      </c>
      <c r="AC400" s="80">
        <f t="shared" si="435"/>
        <v>438.20223714280587</v>
      </c>
      <c r="AD400" s="80"/>
      <c r="AE400" s="80"/>
      <c r="AF400" s="80"/>
      <c r="AG400" s="80"/>
      <c r="AH400" s="80"/>
      <c r="AI400" s="80"/>
      <c r="AJ400" s="45">
        <f t="shared" si="380"/>
        <v>0</v>
      </c>
      <c r="AK400" s="45">
        <f t="shared" si="381"/>
        <v>0</v>
      </c>
      <c r="AL400" s="45">
        <f t="shared" si="382"/>
        <v>0</v>
      </c>
      <c r="AM400" s="45">
        <f t="shared" si="383"/>
        <v>0</v>
      </c>
      <c r="AN400" s="45">
        <f t="shared" si="384"/>
        <v>0</v>
      </c>
      <c r="AO400" s="45">
        <f t="shared" si="385"/>
        <v>0</v>
      </c>
      <c r="AP400" s="80">
        <f t="shared" si="386"/>
        <v>0</v>
      </c>
      <c r="AQ400" s="80">
        <f t="shared" si="387"/>
        <v>0</v>
      </c>
      <c r="AR400" s="80">
        <f t="shared" si="388"/>
        <v>0</v>
      </c>
      <c r="AS400" s="80">
        <f t="shared" si="389"/>
        <v>0</v>
      </c>
      <c r="AT400" s="80">
        <f t="shared" si="390"/>
        <v>0</v>
      </c>
      <c r="AU400" s="80">
        <f t="shared" si="391"/>
        <v>0</v>
      </c>
      <c r="AV400" s="80">
        <f t="shared" si="436"/>
        <v>51.763541209913392</v>
      </c>
      <c r="AW400" s="80">
        <f t="shared" si="437"/>
        <v>24.771596027080619</v>
      </c>
      <c r="AX400" s="80">
        <f t="shared" si="438"/>
        <v>15.378128886442394</v>
      </c>
      <c r="AY400" s="80">
        <f t="shared" si="439"/>
        <v>12.153043817589655</v>
      </c>
      <c r="AZ400" s="80">
        <f t="shared" si="440"/>
        <v>116.84600848961752</v>
      </c>
      <c r="BA400" s="80">
        <f t="shared" si="441"/>
        <v>49.505332739759389</v>
      </c>
      <c r="BB400" s="80">
        <f t="shared" si="417"/>
        <v>494.9159827776204</v>
      </c>
      <c r="BC400" s="80">
        <f t="shared" si="418"/>
        <v>182.91459896012441</v>
      </c>
      <c r="BD400" s="80">
        <f t="shared" si="419"/>
        <v>134.84829931125006</v>
      </c>
      <c r="BE400" s="80">
        <f t="shared" si="420"/>
        <v>98.50920009790795</v>
      </c>
      <c r="BF400" s="80">
        <f t="shared" si="421"/>
        <v>860.31006077719917</v>
      </c>
      <c r="BG400" s="80">
        <f t="shared" si="422"/>
        <v>487.70756988256528</v>
      </c>
      <c r="BH400" s="49">
        <f t="shared" si="423"/>
        <v>0</v>
      </c>
      <c r="BI400" s="79">
        <f t="shared" si="424"/>
        <v>-80031.343408525281</v>
      </c>
      <c r="BJ400" s="79">
        <f t="shared" si="392"/>
        <v>127400</v>
      </c>
      <c r="BK400" s="44">
        <f t="shared" si="425"/>
        <v>0.59187631462936063</v>
      </c>
      <c r="BL400" s="79">
        <f t="shared" si="442"/>
        <v>12218.05472494167</v>
      </c>
      <c r="BM400" s="49">
        <f t="shared" si="426"/>
        <v>139618.05472494167</v>
      </c>
      <c r="BN400" s="44">
        <f t="shared" si="427"/>
        <v>0.74454218533171534</v>
      </c>
      <c r="BO400" s="49">
        <f t="shared" si="393"/>
        <v>16935.610955341483</v>
      </c>
      <c r="BP400" s="49">
        <f t="shared" si="394"/>
        <v>144335.61095534149</v>
      </c>
      <c r="BQ400" s="44">
        <f t="shared" si="395"/>
        <v>0.80348854346441279</v>
      </c>
      <c r="BS400" s="49">
        <f t="shared" si="396"/>
        <v>80031.343408525281</v>
      </c>
      <c r="BT400" s="49">
        <f t="shared" si="372"/>
        <v>100.620003</v>
      </c>
      <c r="BU400" s="49">
        <f t="shared" si="373"/>
        <v>43.610000999999997</v>
      </c>
      <c r="BV400" s="49">
        <f t="shared" si="397"/>
        <v>-1011.8096611589044</v>
      </c>
      <c r="BW400" s="18">
        <f t="shared" si="398"/>
        <v>2506</v>
      </c>
      <c r="BX400" s="19">
        <f t="shared" si="428"/>
        <v>0.42522935779816512</v>
      </c>
      <c r="BY400" s="49">
        <f t="shared" si="429"/>
        <v>-430.25117242857999</v>
      </c>
      <c r="BZ400" s="19">
        <f t="shared" si="399"/>
        <v>0</v>
      </c>
      <c r="CA400" s="19">
        <f t="shared" si="400"/>
        <v>0</v>
      </c>
      <c r="CB400" s="19">
        <f t="shared" si="401"/>
        <v>0</v>
      </c>
      <c r="CC400" s="19">
        <f t="shared" si="402"/>
        <v>0</v>
      </c>
      <c r="CD400" s="19">
        <f t="shared" si="403"/>
        <v>0.3791952786739905</v>
      </c>
      <c r="CE400" s="19">
        <f t="shared" si="404"/>
        <v>0</v>
      </c>
      <c r="CF400" s="49">
        <f t="shared" si="405"/>
        <v>0</v>
      </c>
      <c r="CG400" s="49">
        <f t="shared" si="406"/>
        <v>0</v>
      </c>
      <c r="CH400" s="49">
        <f t="shared" si="407"/>
        <v>0</v>
      </c>
      <c r="CI400" s="49">
        <f t="shared" si="408"/>
        <v>0</v>
      </c>
      <c r="CJ400" s="49">
        <f t="shared" si="409"/>
        <v>-16.244725738393754</v>
      </c>
      <c r="CK400" s="49">
        <f t="shared" si="410"/>
        <v>0</v>
      </c>
    </row>
    <row r="401" spans="2:89" ht="12.75" customHeight="1" x14ac:dyDescent="0.2">
      <c r="B401" s="77">
        <v>41806</v>
      </c>
      <c r="C401" s="49">
        <v>102.16999800000001</v>
      </c>
      <c r="D401" s="49">
        <v>81.919998000000007</v>
      </c>
      <c r="E401" s="49">
        <v>86.690002000000007</v>
      </c>
      <c r="F401" s="49">
        <v>105.08000199999999</v>
      </c>
      <c r="G401" s="49">
        <v>43.310001</v>
      </c>
      <c r="H401" s="49">
        <v>43.610000999999997</v>
      </c>
      <c r="J401" s="78">
        <f>IF(inter=Weekly_2,J400+$C$5,IF(inter=Bi_weekly_2,0,IF(inter=Monthly_2,0,IF(inter=Quarterly_2,0,IF(inter=Yearly_2,0,IF(inter=None_2,0,0))))))</f>
        <v>0</v>
      </c>
      <c r="K401" s="79">
        <f t="shared" si="411"/>
        <v>0</v>
      </c>
      <c r="L401" s="79">
        <f t="shared" si="412"/>
        <v>0</v>
      </c>
      <c r="M401" s="79">
        <f t="shared" si="413"/>
        <v>0</v>
      </c>
      <c r="N401" s="79">
        <f t="shared" si="414"/>
        <v>0</v>
      </c>
      <c r="O401" s="79">
        <f t="shared" si="415"/>
        <v>0</v>
      </c>
      <c r="P401" s="79">
        <f t="shared" si="416"/>
        <v>0</v>
      </c>
      <c r="Q401" s="79"/>
      <c r="R401" s="80">
        <f t="shared" si="374"/>
        <v>0</v>
      </c>
      <c r="S401" s="80">
        <f t="shared" si="375"/>
        <v>0</v>
      </c>
      <c r="T401" s="80">
        <f t="shared" si="376"/>
        <v>0</v>
      </c>
      <c r="U401" s="80">
        <f t="shared" si="377"/>
        <v>0</v>
      </c>
      <c r="V401" s="80">
        <f t="shared" si="378"/>
        <v>0</v>
      </c>
      <c r="W401" s="80">
        <f t="shared" si="379"/>
        <v>0</v>
      </c>
      <c r="X401" s="80">
        <f t="shared" si="430"/>
        <v>443.152441567707</v>
      </c>
      <c r="Y401" s="80">
        <f t="shared" si="431"/>
        <v>158.14300293304379</v>
      </c>
      <c r="Z401" s="80">
        <f t="shared" si="432"/>
        <v>119.47017042480766</v>
      </c>
      <c r="AA401" s="80">
        <f t="shared" si="433"/>
        <v>86.356156280318288</v>
      </c>
      <c r="AB401" s="80">
        <f t="shared" si="434"/>
        <v>743.46405228758169</v>
      </c>
      <c r="AC401" s="80">
        <f t="shared" si="435"/>
        <v>438.20223714280587</v>
      </c>
      <c r="AD401" s="80"/>
      <c r="AE401" s="80"/>
      <c r="AF401" s="80"/>
      <c r="AG401" s="80"/>
      <c r="AH401" s="80"/>
      <c r="AI401" s="80"/>
      <c r="AJ401" s="45">
        <f t="shared" si="380"/>
        <v>0</v>
      </c>
      <c r="AK401" s="45">
        <f t="shared" si="381"/>
        <v>0</v>
      </c>
      <c r="AL401" s="45">
        <f t="shared" si="382"/>
        <v>0</v>
      </c>
      <c r="AM401" s="45">
        <f t="shared" si="383"/>
        <v>0</v>
      </c>
      <c r="AN401" s="45">
        <f t="shared" si="384"/>
        <v>0</v>
      </c>
      <c r="AO401" s="45">
        <f t="shared" si="385"/>
        <v>0</v>
      </c>
      <c r="AP401" s="80">
        <f t="shared" si="386"/>
        <v>0</v>
      </c>
      <c r="AQ401" s="80">
        <f t="shared" si="387"/>
        <v>0</v>
      </c>
      <c r="AR401" s="80">
        <f t="shared" si="388"/>
        <v>0</v>
      </c>
      <c r="AS401" s="80">
        <f t="shared" si="389"/>
        <v>0</v>
      </c>
      <c r="AT401" s="80">
        <f t="shared" si="390"/>
        <v>0</v>
      </c>
      <c r="AU401" s="80">
        <f t="shared" si="391"/>
        <v>0</v>
      </c>
      <c r="AV401" s="80">
        <f t="shared" si="436"/>
        <v>51.763541209913392</v>
      </c>
      <c r="AW401" s="80">
        <f t="shared" si="437"/>
        <v>24.771596027080619</v>
      </c>
      <c r="AX401" s="80">
        <f t="shared" si="438"/>
        <v>15.378128886442394</v>
      </c>
      <c r="AY401" s="80">
        <f t="shared" si="439"/>
        <v>12.153043817589655</v>
      </c>
      <c r="AZ401" s="80">
        <f t="shared" si="440"/>
        <v>116.84600848961752</v>
      </c>
      <c r="BA401" s="80">
        <f t="shared" si="441"/>
        <v>49.505332739759389</v>
      </c>
      <c r="BB401" s="80">
        <f t="shared" si="417"/>
        <v>494.9159827776204</v>
      </c>
      <c r="BC401" s="80">
        <f t="shared" si="418"/>
        <v>182.91459896012441</v>
      </c>
      <c r="BD401" s="80">
        <f t="shared" si="419"/>
        <v>134.84829931125006</v>
      </c>
      <c r="BE401" s="80">
        <f t="shared" si="420"/>
        <v>98.50920009790795</v>
      </c>
      <c r="BF401" s="80">
        <f t="shared" si="421"/>
        <v>860.31006077719917</v>
      </c>
      <c r="BG401" s="80">
        <f t="shared" si="422"/>
        <v>487.70756988256528</v>
      </c>
      <c r="BH401" s="49">
        <f t="shared" si="423"/>
        <v>0</v>
      </c>
      <c r="BI401" s="79">
        <f t="shared" si="424"/>
        <v>-80031.343408525281</v>
      </c>
      <c r="BJ401" s="79">
        <f t="shared" si="392"/>
        <v>128972.56178841098</v>
      </c>
      <c r="BK401" s="44">
        <f t="shared" si="425"/>
        <v>0.61152563852467168</v>
      </c>
      <c r="BL401" s="79">
        <f t="shared" si="442"/>
        <v>12218.05472494167</v>
      </c>
      <c r="BM401" s="49">
        <f t="shared" si="426"/>
        <v>141190.61651335267</v>
      </c>
      <c r="BN401" s="44">
        <f t="shared" si="427"/>
        <v>0.76419150922702661</v>
      </c>
      <c r="BO401" s="49">
        <f t="shared" si="393"/>
        <v>17147.670246282963</v>
      </c>
      <c r="BP401" s="49">
        <f t="shared" si="394"/>
        <v>146120.23203469394</v>
      </c>
      <c r="BQ401" s="44">
        <f t="shared" si="395"/>
        <v>0.82578757036244599</v>
      </c>
      <c r="BS401" s="49">
        <f t="shared" si="396"/>
        <v>80031.343408525281</v>
      </c>
      <c r="BT401" s="49">
        <f t="shared" si="372"/>
        <v>102.16999800000001</v>
      </c>
      <c r="BU401" s="49">
        <f t="shared" si="373"/>
        <v>43.610000999999997</v>
      </c>
      <c r="BV401" s="49">
        <f t="shared" si="397"/>
        <v>0</v>
      </c>
      <c r="BW401" s="18">
        <f t="shared" si="398"/>
        <v>2513</v>
      </c>
      <c r="BX401" s="19">
        <f t="shared" si="428"/>
        <v>0.42362385321100915</v>
      </c>
      <c r="BY401" s="49">
        <f t="shared" si="429"/>
        <v>0</v>
      </c>
      <c r="BZ401" s="19">
        <f t="shared" si="399"/>
        <v>0</v>
      </c>
      <c r="CA401" s="19">
        <f t="shared" si="400"/>
        <v>0</v>
      </c>
      <c r="CB401" s="19">
        <f t="shared" si="401"/>
        <v>0</v>
      </c>
      <c r="CC401" s="19">
        <f t="shared" si="402"/>
        <v>0</v>
      </c>
      <c r="CD401" s="19">
        <f t="shared" si="403"/>
        <v>0</v>
      </c>
      <c r="CE401" s="19">
        <f t="shared" si="404"/>
        <v>0</v>
      </c>
      <c r="CF401" s="49">
        <f t="shared" si="405"/>
        <v>0</v>
      </c>
      <c r="CG401" s="49">
        <f t="shared" si="406"/>
        <v>0</v>
      </c>
      <c r="CH401" s="49">
        <f t="shared" si="407"/>
        <v>0</v>
      </c>
      <c r="CI401" s="49">
        <f t="shared" si="408"/>
        <v>0</v>
      </c>
      <c r="CJ401" s="49">
        <f t="shared" si="409"/>
        <v>0</v>
      </c>
      <c r="CK401" s="49">
        <f t="shared" si="410"/>
        <v>0</v>
      </c>
    </row>
    <row r="402" spans="2:89" ht="12.75" customHeight="1" x14ac:dyDescent="0.2">
      <c r="B402" s="77">
        <v>41813</v>
      </c>
      <c r="C402" s="49">
        <v>101.730003</v>
      </c>
      <c r="D402" s="49">
        <v>81.040001000000004</v>
      </c>
      <c r="E402" s="49">
        <v>86.760002</v>
      </c>
      <c r="F402" s="49">
        <v>105.18</v>
      </c>
      <c r="G402" s="49">
        <v>42.540000999999997</v>
      </c>
      <c r="H402" s="49">
        <v>43.200001</v>
      </c>
      <c r="J402" s="78">
        <f>IF(inter=Weekly_2,J401+$C$5,IF(inter=Bi_weekly_2,J400+$C$5,IF(inter=Monthly_2,J398+$C$5,IF(inter=Quarterly_2,0,IF(inter=Yearly_2,0,IF(inter=None_2,0,0))))))</f>
        <v>128000</v>
      </c>
      <c r="K402" s="79">
        <f t="shared" si="411"/>
        <v>281.89921014015272</v>
      </c>
      <c r="L402" s="79">
        <f t="shared" si="412"/>
        <v>15.909115836871933</v>
      </c>
      <c r="M402" s="79">
        <f t="shared" si="413"/>
        <v>125.2322249966528</v>
      </c>
      <c r="N402" s="79">
        <f t="shared" si="414"/>
        <v>122.94051756387853</v>
      </c>
      <c r="O402" s="79">
        <f t="shared" si="415"/>
        <v>-373.03847222222612</v>
      </c>
      <c r="P402" s="79">
        <f t="shared" si="416"/>
        <v>-269.66291722855021</v>
      </c>
      <c r="Q402" s="79"/>
      <c r="R402" s="80">
        <f t="shared" si="374"/>
        <v>-2.7710528047478062</v>
      </c>
      <c r="S402" s="80">
        <f t="shared" si="375"/>
        <v>-0.19631189092497583</v>
      </c>
      <c r="T402" s="80">
        <f t="shared" si="376"/>
        <v>-1.4434327121921091</v>
      </c>
      <c r="U402" s="80">
        <f t="shared" si="377"/>
        <v>-1.1688583149256373</v>
      </c>
      <c r="V402" s="80">
        <f t="shared" si="378"/>
        <v>8.7691223190668506</v>
      </c>
      <c r="W402" s="80">
        <f t="shared" si="379"/>
        <v>6.2421970135729907</v>
      </c>
      <c r="X402" s="80">
        <f t="shared" si="430"/>
        <v>440.3813887629592</v>
      </c>
      <c r="Y402" s="80">
        <f t="shared" si="431"/>
        <v>157.9466910421188</v>
      </c>
      <c r="Z402" s="80">
        <f t="shared" si="432"/>
        <v>118.02673771261556</v>
      </c>
      <c r="AA402" s="80">
        <f t="shared" si="433"/>
        <v>85.187297965392645</v>
      </c>
      <c r="AB402" s="80">
        <f t="shared" si="434"/>
        <v>752.2331746066485</v>
      </c>
      <c r="AC402" s="80">
        <f t="shared" si="435"/>
        <v>444.44443415637886</v>
      </c>
      <c r="AD402" s="80">
        <v>0.42</v>
      </c>
      <c r="AE402" s="80">
        <v>0.45400000000000001</v>
      </c>
      <c r="AF402" s="80"/>
      <c r="AG402" s="80"/>
      <c r="AH402" s="80">
        <v>0.51300000000000001</v>
      </c>
      <c r="AI402" s="80">
        <v>0.41799999999999998</v>
      </c>
      <c r="AJ402" s="45">
        <f t="shared" si="380"/>
        <v>184.96018328044286</v>
      </c>
      <c r="AK402" s="45">
        <f t="shared" si="381"/>
        <v>71.707797733121936</v>
      </c>
      <c r="AL402" s="45">
        <f t="shared" si="382"/>
        <v>0</v>
      </c>
      <c r="AM402" s="45">
        <f t="shared" si="383"/>
        <v>0</v>
      </c>
      <c r="AN402" s="45">
        <f t="shared" si="384"/>
        <v>385.8956185732107</v>
      </c>
      <c r="AO402" s="45">
        <f t="shared" si="385"/>
        <v>185.77777347736637</v>
      </c>
      <c r="AP402" s="80">
        <f t="shared" si="386"/>
        <v>1.8181478209574304</v>
      </c>
      <c r="AQ402" s="80">
        <f t="shared" si="387"/>
        <v>0.88484448233313739</v>
      </c>
      <c r="AR402" s="80">
        <f t="shared" si="388"/>
        <v>0</v>
      </c>
      <c r="AS402" s="80">
        <f t="shared" si="389"/>
        <v>0</v>
      </c>
      <c r="AT402" s="80">
        <f t="shared" si="390"/>
        <v>9.0713589445663327</v>
      </c>
      <c r="AU402" s="80">
        <f t="shared" si="391"/>
        <v>4.3004113235406258</v>
      </c>
      <c r="AV402" s="80">
        <f t="shared" si="436"/>
        <v>53.58168903087082</v>
      </c>
      <c r="AW402" s="80">
        <f t="shared" si="437"/>
        <v>25.656440509413756</v>
      </c>
      <c r="AX402" s="80">
        <f t="shared" si="438"/>
        <v>15.378128886442394</v>
      </c>
      <c r="AY402" s="80">
        <f t="shared" si="439"/>
        <v>12.153043817589655</v>
      </c>
      <c r="AZ402" s="80">
        <f t="shared" si="440"/>
        <v>125.91736743418384</v>
      </c>
      <c r="BA402" s="80">
        <f t="shared" si="441"/>
        <v>53.805744063300011</v>
      </c>
      <c r="BB402" s="80">
        <f t="shared" si="417"/>
        <v>493.96307779383005</v>
      </c>
      <c r="BC402" s="80">
        <f t="shared" si="418"/>
        <v>183.60313155153256</v>
      </c>
      <c r="BD402" s="80">
        <f t="shared" si="419"/>
        <v>133.40486659905795</v>
      </c>
      <c r="BE402" s="80">
        <f t="shared" si="420"/>
        <v>97.340341782982307</v>
      </c>
      <c r="BF402" s="80">
        <f t="shared" si="421"/>
        <v>878.15054204083231</v>
      </c>
      <c r="BG402" s="80">
        <f t="shared" si="422"/>
        <v>498.2501782196789</v>
      </c>
      <c r="BH402" s="49">
        <f t="shared" si="423"/>
        <v>828.34137306414198</v>
      </c>
      <c r="BI402" s="79">
        <f t="shared" si="424"/>
        <v>-80128.063729438494</v>
      </c>
      <c r="BJ402" s="79">
        <f t="shared" si="392"/>
        <v>128000.00000000001</v>
      </c>
      <c r="BK402" s="44">
        <f t="shared" si="425"/>
        <v>0.59744281893802587</v>
      </c>
      <c r="BL402" s="79">
        <f t="shared" si="442"/>
        <v>13046.396098005813</v>
      </c>
      <c r="BM402" s="49">
        <f t="shared" si="426"/>
        <v>141046.39609800582</v>
      </c>
      <c r="BN402" s="44">
        <f t="shared" si="427"/>
        <v>0.76026212956131056</v>
      </c>
      <c r="BO402" s="49">
        <f t="shared" si="393"/>
        <v>17823.460125980819</v>
      </c>
      <c r="BP402" s="49">
        <f t="shared" si="394"/>
        <v>145823.46012598084</v>
      </c>
      <c r="BQ402" s="44">
        <f t="shared" si="395"/>
        <v>0.81987999383549703</v>
      </c>
      <c r="BS402" s="49">
        <f t="shared" si="396"/>
        <v>80128.063729438494</v>
      </c>
      <c r="BT402" s="49">
        <f t="shared" si="372"/>
        <v>101.730003</v>
      </c>
      <c r="BU402" s="49">
        <f t="shared" si="373"/>
        <v>43.200001</v>
      </c>
      <c r="BV402" s="49">
        <f t="shared" si="397"/>
        <v>-731.62105215092163</v>
      </c>
      <c r="BW402" s="18">
        <f t="shared" si="398"/>
        <v>2520</v>
      </c>
      <c r="BX402" s="19">
        <f t="shared" si="428"/>
        <v>0.42201834862385323</v>
      </c>
      <c r="BY402" s="49">
        <f t="shared" si="429"/>
        <v>-308.75750824717795</v>
      </c>
      <c r="BZ402" s="19">
        <f t="shared" si="399"/>
        <v>0</v>
      </c>
      <c r="CA402" s="19">
        <f t="shared" si="400"/>
        <v>0</v>
      </c>
      <c r="CB402" s="19">
        <f t="shared" si="401"/>
        <v>0</v>
      </c>
      <c r="CC402" s="19">
        <f t="shared" si="402"/>
        <v>0</v>
      </c>
      <c r="CD402" s="19">
        <f t="shared" si="403"/>
        <v>8.7691223190668506</v>
      </c>
      <c r="CE402" s="19">
        <f t="shared" si="404"/>
        <v>6.2421970135729907</v>
      </c>
      <c r="CF402" s="49">
        <f t="shared" si="405"/>
        <v>0</v>
      </c>
      <c r="CG402" s="49">
        <f t="shared" si="406"/>
        <v>0</v>
      </c>
      <c r="CH402" s="49">
        <f t="shared" si="407"/>
        <v>0</v>
      </c>
      <c r="CI402" s="49">
        <f t="shared" si="408"/>
        <v>0</v>
      </c>
      <c r="CJ402" s="49">
        <f t="shared" si="409"/>
        <v>-373.03847222222612</v>
      </c>
      <c r="CK402" s="49">
        <f t="shared" si="410"/>
        <v>-269.66291722855021</v>
      </c>
    </row>
    <row r="403" spans="2:89" ht="12.75" customHeight="1" x14ac:dyDescent="0.2">
      <c r="B403" s="77">
        <v>41820</v>
      </c>
      <c r="C403" s="49">
        <v>102.980003</v>
      </c>
      <c r="D403" s="49">
        <v>81.819999999999993</v>
      </c>
      <c r="E403" s="49">
        <v>87.489998</v>
      </c>
      <c r="F403" s="49">
        <v>106.589996</v>
      </c>
      <c r="G403" s="49">
        <v>43.09</v>
      </c>
      <c r="H403" s="49">
        <v>44.009998000000003</v>
      </c>
      <c r="J403" s="78">
        <f>IF(inter=Weekly_2,J402+$C$5,IF(inter=Bi_weekly_2,0,IF(inter=Monthly_2,0,IF(inter=Quarterly_2,0,IF(inter=Yearly_2,0,IF(inter=None_2,0,0))))))</f>
        <v>0</v>
      </c>
      <c r="K403" s="79">
        <f t="shared" si="411"/>
        <v>0</v>
      </c>
      <c r="L403" s="79">
        <f t="shared" si="412"/>
        <v>0</v>
      </c>
      <c r="M403" s="79">
        <f t="shared" si="413"/>
        <v>0</v>
      </c>
      <c r="N403" s="79">
        <f t="shared" si="414"/>
        <v>0</v>
      </c>
      <c r="O403" s="79">
        <f t="shared" si="415"/>
        <v>0</v>
      </c>
      <c r="P403" s="79">
        <f t="shared" si="416"/>
        <v>0</v>
      </c>
      <c r="Q403" s="79"/>
      <c r="R403" s="80">
        <f t="shared" si="374"/>
        <v>0</v>
      </c>
      <c r="S403" s="80">
        <f t="shared" si="375"/>
        <v>0</v>
      </c>
      <c r="T403" s="80">
        <f t="shared" si="376"/>
        <v>0</v>
      </c>
      <c r="U403" s="80">
        <f t="shared" si="377"/>
        <v>0</v>
      </c>
      <c r="V403" s="80">
        <f t="shared" si="378"/>
        <v>0</v>
      </c>
      <c r="W403" s="80">
        <f t="shared" si="379"/>
        <v>0</v>
      </c>
      <c r="X403" s="80">
        <f t="shared" si="430"/>
        <v>440.3813887629592</v>
      </c>
      <c r="Y403" s="80">
        <f t="shared" si="431"/>
        <v>157.9466910421188</v>
      </c>
      <c r="Z403" s="80">
        <f t="shared" si="432"/>
        <v>118.02673771261556</v>
      </c>
      <c r="AA403" s="80">
        <f t="shared" si="433"/>
        <v>85.187297965392645</v>
      </c>
      <c r="AB403" s="80">
        <f t="shared" si="434"/>
        <v>752.2331746066485</v>
      </c>
      <c r="AC403" s="80">
        <f t="shared" si="435"/>
        <v>444.44443415637886</v>
      </c>
      <c r="AD403" s="80"/>
      <c r="AE403" s="80"/>
      <c r="AF403" s="80"/>
      <c r="AG403" s="80"/>
      <c r="AH403" s="80"/>
      <c r="AI403" s="80"/>
      <c r="AJ403" s="45">
        <f t="shared" si="380"/>
        <v>0</v>
      </c>
      <c r="AK403" s="45">
        <f t="shared" si="381"/>
        <v>0</v>
      </c>
      <c r="AL403" s="45">
        <f t="shared" si="382"/>
        <v>0</v>
      </c>
      <c r="AM403" s="45">
        <f t="shared" si="383"/>
        <v>0</v>
      </c>
      <c r="AN403" s="45">
        <f t="shared" si="384"/>
        <v>0</v>
      </c>
      <c r="AO403" s="45">
        <f t="shared" si="385"/>
        <v>0</v>
      </c>
      <c r="AP403" s="80">
        <f t="shared" si="386"/>
        <v>0</v>
      </c>
      <c r="AQ403" s="80">
        <f t="shared" si="387"/>
        <v>0</v>
      </c>
      <c r="AR403" s="80">
        <f t="shared" si="388"/>
        <v>0</v>
      </c>
      <c r="AS403" s="80">
        <f t="shared" si="389"/>
        <v>0</v>
      </c>
      <c r="AT403" s="80">
        <f t="shared" si="390"/>
        <v>0</v>
      </c>
      <c r="AU403" s="80">
        <f t="shared" si="391"/>
        <v>0</v>
      </c>
      <c r="AV403" s="80">
        <f t="shared" si="436"/>
        <v>53.58168903087082</v>
      </c>
      <c r="AW403" s="80">
        <f t="shared" si="437"/>
        <v>25.656440509413756</v>
      </c>
      <c r="AX403" s="80">
        <f t="shared" si="438"/>
        <v>15.378128886442394</v>
      </c>
      <c r="AY403" s="80">
        <f t="shared" si="439"/>
        <v>12.153043817589655</v>
      </c>
      <c r="AZ403" s="80">
        <f t="shared" si="440"/>
        <v>125.91736743418384</v>
      </c>
      <c r="BA403" s="80">
        <f t="shared" si="441"/>
        <v>53.805744063300011</v>
      </c>
      <c r="BB403" s="80">
        <f t="shared" si="417"/>
        <v>493.96307779383005</v>
      </c>
      <c r="BC403" s="80">
        <f t="shared" si="418"/>
        <v>183.60313155153256</v>
      </c>
      <c r="BD403" s="80">
        <f t="shared" si="419"/>
        <v>133.40486659905795</v>
      </c>
      <c r="BE403" s="80">
        <f t="shared" si="420"/>
        <v>97.340341782982307</v>
      </c>
      <c r="BF403" s="80">
        <f t="shared" si="421"/>
        <v>878.15054204083231</v>
      </c>
      <c r="BG403" s="80">
        <f t="shared" si="422"/>
        <v>498.2501782196789</v>
      </c>
      <c r="BH403" s="49">
        <f t="shared" si="423"/>
        <v>0</v>
      </c>
      <c r="BI403" s="79">
        <f t="shared" si="424"/>
        <v>-80128.063729438494</v>
      </c>
      <c r="BJ403" s="79">
        <f t="shared" si="392"/>
        <v>129653.67394495898</v>
      </c>
      <c r="BK403" s="44">
        <f t="shared" si="425"/>
        <v>0.61808070618989785</v>
      </c>
      <c r="BL403" s="79">
        <f t="shared" si="442"/>
        <v>13046.396098005813</v>
      </c>
      <c r="BM403" s="49">
        <f t="shared" si="426"/>
        <v>142700.0700429648</v>
      </c>
      <c r="BN403" s="44">
        <f t="shared" si="427"/>
        <v>0.78090001681318277</v>
      </c>
      <c r="BO403" s="49">
        <f t="shared" si="393"/>
        <v>18051.647868401</v>
      </c>
      <c r="BP403" s="49">
        <f t="shared" si="394"/>
        <v>147705.32181336</v>
      </c>
      <c r="BQ403" s="44">
        <f t="shared" si="395"/>
        <v>0.84336566913814104</v>
      </c>
      <c r="BS403" s="49">
        <f t="shared" si="396"/>
        <v>80128.063729438494</v>
      </c>
      <c r="BT403" s="49">
        <f t="shared" si="372"/>
        <v>102.980003</v>
      </c>
      <c r="BU403" s="49">
        <f t="shared" si="373"/>
        <v>44.009998000000003</v>
      </c>
      <c r="BV403" s="49">
        <f t="shared" si="397"/>
        <v>0</v>
      </c>
      <c r="BW403" s="18">
        <f t="shared" si="398"/>
        <v>2527</v>
      </c>
      <c r="BX403" s="19">
        <f t="shared" si="428"/>
        <v>0.42041284403669726</v>
      </c>
      <c r="BY403" s="49">
        <f t="shared" si="429"/>
        <v>0</v>
      </c>
      <c r="BZ403" s="19">
        <f t="shared" si="399"/>
        <v>0</v>
      </c>
      <c r="CA403" s="19">
        <f t="shared" si="400"/>
        <v>0</v>
      </c>
      <c r="CB403" s="19">
        <f t="shared" si="401"/>
        <v>0</v>
      </c>
      <c r="CC403" s="19">
        <f t="shared" si="402"/>
        <v>0</v>
      </c>
      <c r="CD403" s="19">
        <f t="shared" si="403"/>
        <v>0</v>
      </c>
      <c r="CE403" s="19">
        <f t="shared" si="404"/>
        <v>0</v>
      </c>
      <c r="CF403" s="49">
        <f t="shared" si="405"/>
        <v>0</v>
      </c>
      <c r="CG403" s="49">
        <f t="shared" si="406"/>
        <v>0</v>
      </c>
      <c r="CH403" s="49">
        <f t="shared" si="407"/>
        <v>0</v>
      </c>
      <c r="CI403" s="49">
        <f t="shared" si="408"/>
        <v>0</v>
      </c>
      <c r="CJ403" s="49">
        <f t="shared" si="409"/>
        <v>0</v>
      </c>
      <c r="CK403" s="49">
        <f t="shared" si="410"/>
        <v>0</v>
      </c>
    </row>
    <row r="404" spans="2:89" ht="12.75" customHeight="1" x14ac:dyDescent="0.2">
      <c r="B404" s="77">
        <v>41827</v>
      </c>
      <c r="C404" s="49">
        <v>101.739998</v>
      </c>
      <c r="D404" s="49">
        <v>81.300003000000004</v>
      </c>
      <c r="E404" s="49">
        <v>86.690002000000007</v>
      </c>
      <c r="F404" s="49">
        <v>103.879997</v>
      </c>
      <c r="G404" s="49">
        <v>42.040000999999997</v>
      </c>
      <c r="H404" s="49">
        <v>43.98</v>
      </c>
      <c r="J404" s="78">
        <f>IF(inter=Weekly_2,J403+$C$5,IF(inter=Bi_weekly_2,J402+$C$5,IF(inter=Monthly_2,0,IF(inter=Quarterly_2,0,IF(inter=Yearly_2,0,IF(inter=None_2,0,0))))))</f>
        <v>128600</v>
      </c>
      <c r="K404" s="79">
        <f t="shared" si="411"/>
        <v>-205.59838801930891</v>
      </c>
      <c r="L404" s="79">
        <f t="shared" si="412"/>
        <v>-18.9335444356675</v>
      </c>
      <c r="M404" s="79">
        <f t="shared" si="413"/>
        <v>-56.261871639881065</v>
      </c>
      <c r="N404" s="79">
        <f t="shared" si="414"/>
        <v>-152.74374291690583</v>
      </c>
      <c r="O404" s="79">
        <f t="shared" si="415"/>
        <v>-526.1165873033242</v>
      </c>
      <c r="P404" s="79">
        <f t="shared" si="416"/>
        <v>256.66621419753938</v>
      </c>
      <c r="Q404" s="79"/>
      <c r="R404" s="80">
        <f t="shared" si="374"/>
        <v>2.0208216243459027</v>
      </c>
      <c r="S404" s="80">
        <f t="shared" si="375"/>
        <v>0.23288491681442494</v>
      </c>
      <c r="T404" s="80">
        <f t="shared" si="376"/>
        <v>0.64900069606505562</v>
      </c>
      <c r="U404" s="80">
        <f t="shared" si="377"/>
        <v>1.4703864779367084</v>
      </c>
      <c r="V404" s="80">
        <f t="shared" si="378"/>
        <v>12.51466638412602</v>
      </c>
      <c r="W404" s="80">
        <f t="shared" si="379"/>
        <v>-5.8359757662014413</v>
      </c>
      <c r="X404" s="80">
        <f t="shared" si="430"/>
        <v>442.4022103873051</v>
      </c>
      <c r="Y404" s="80">
        <f t="shared" si="431"/>
        <v>158.17957595893321</v>
      </c>
      <c r="Z404" s="80">
        <f t="shared" si="432"/>
        <v>118.67573840868062</v>
      </c>
      <c r="AA404" s="80">
        <f t="shared" si="433"/>
        <v>86.657684443329359</v>
      </c>
      <c r="AB404" s="80">
        <f t="shared" si="434"/>
        <v>764.74784099077453</v>
      </c>
      <c r="AC404" s="80">
        <f t="shared" si="435"/>
        <v>438.60845839017742</v>
      </c>
      <c r="AD404" s="80"/>
      <c r="AE404" s="80"/>
      <c r="AF404" s="80"/>
      <c r="AG404" s="80"/>
      <c r="AH404" s="80"/>
      <c r="AI404" s="80"/>
      <c r="AJ404" s="45">
        <f t="shared" si="380"/>
        <v>0</v>
      </c>
      <c r="AK404" s="45">
        <f t="shared" si="381"/>
        <v>0</v>
      </c>
      <c r="AL404" s="45">
        <f t="shared" si="382"/>
        <v>0</v>
      </c>
      <c r="AM404" s="45">
        <f t="shared" si="383"/>
        <v>0</v>
      </c>
      <c r="AN404" s="45">
        <f t="shared" si="384"/>
        <v>0</v>
      </c>
      <c r="AO404" s="45">
        <f t="shared" si="385"/>
        <v>0</v>
      </c>
      <c r="AP404" s="80">
        <f t="shared" si="386"/>
        <v>0</v>
      </c>
      <c r="AQ404" s="80">
        <f t="shared" si="387"/>
        <v>0</v>
      </c>
      <c r="AR404" s="80">
        <f t="shared" si="388"/>
        <v>0</v>
      </c>
      <c r="AS404" s="80">
        <f t="shared" si="389"/>
        <v>0</v>
      </c>
      <c r="AT404" s="80">
        <f t="shared" si="390"/>
        <v>0</v>
      </c>
      <c r="AU404" s="80">
        <f t="shared" si="391"/>
        <v>0</v>
      </c>
      <c r="AV404" s="80">
        <f t="shared" si="436"/>
        <v>53.58168903087082</v>
      </c>
      <c r="AW404" s="80">
        <f t="shared" si="437"/>
        <v>25.656440509413756</v>
      </c>
      <c r="AX404" s="80">
        <f t="shared" si="438"/>
        <v>15.378128886442394</v>
      </c>
      <c r="AY404" s="80">
        <f t="shared" si="439"/>
        <v>12.153043817589655</v>
      </c>
      <c r="AZ404" s="80">
        <f t="shared" si="440"/>
        <v>125.91736743418384</v>
      </c>
      <c r="BA404" s="80">
        <f t="shared" si="441"/>
        <v>53.805744063300011</v>
      </c>
      <c r="BB404" s="80">
        <f t="shared" si="417"/>
        <v>495.98389941817595</v>
      </c>
      <c r="BC404" s="80">
        <f t="shared" si="418"/>
        <v>183.83601646834697</v>
      </c>
      <c r="BD404" s="80">
        <f t="shared" si="419"/>
        <v>134.05386729512301</v>
      </c>
      <c r="BE404" s="80">
        <f t="shared" si="420"/>
        <v>98.810728260919007</v>
      </c>
      <c r="BF404" s="80">
        <f t="shared" si="421"/>
        <v>890.66520842495834</v>
      </c>
      <c r="BG404" s="80">
        <f t="shared" si="422"/>
        <v>492.4142024534774</v>
      </c>
      <c r="BH404" s="49">
        <f t="shared" si="423"/>
        <v>0</v>
      </c>
      <c r="BI404" s="79">
        <f t="shared" si="424"/>
        <v>-80831.051649556044</v>
      </c>
      <c r="BJ404" s="79">
        <f t="shared" si="392"/>
        <v>128600</v>
      </c>
      <c r="BK404" s="44">
        <f t="shared" si="425"/>
        <v>0.59097274346431594</v>
      </c>
      <c r="BL404" s="79">
        <f t="shared" si="442"/>
        <v>13046.396098005813</v>
      </c>
      <c r="BM404" s="49">
        <f t="shared" si="426"/>
        <v>141646.39609800582</v>
      </c>
      <c r="BN404" s="44">
        <f t="shared" si="427"/>
        <v>0.75237601401148901</v>
      </c>
      <c r="BO404" s="49">
        <f t="shared" si="393"/>
        <v>17792.800681210501</v>
      </c>
      <c r="BP404" s="49">
        <f t="shared" si="394"/>
        <v>146392.8006812105</v>
      </c>
      <c r="BQ404" s="44">
        <f t="shared" si="395"/>
        <v>0.8110960787185868</v>
      </c>
      <c r="BS404" s="49">
        <f t="shared" si="396"/>
        <v>80831.051649556044</v>
      </c>
      <c r="BT404" s="49">
        <f t="shared" si="372"/>
        <v>101.739998</v>
      </c>
      <c r="BU404" s="49">
        <f t="shared" si="373"/>
        <v>43.98</v>
      </c>
      <c r="BV404" s="49">
        <f t="shared" si="397"/>
        <v>702.98792011754813</v>
      </c>
      <c r="BW404" s="18">
        <f t="shared" si="398"/>
        <v>2534</v>
      </c>
      <c r="BX404" s="19">
        <f t="shared" si="428"/>
        <v>0.41880733944954129</v>
      </c>
      <c r="BY404" s="49">
        <f t="shared" si="429"/>
        <v>294.41650048959701</v>
      </c>
      <c r="BZ404" s="19">
        <f t="shared" si="399"/>
        <v>2.0208216243459027</v>
      </c>
      <c r="CA404" s="19">
        <f t="shared" si="400"/>
        <v>0.23288491681442494</v>
      </c>
      <c r="CB404" s="19">
        <f t="shared" si="401"/>
        <v>0.64900069606505562</v>
      </c>
      <c r="CC404" s="19">
        <f t="shared" si="402"/>
        <v>1.4703864779367084</v>
      </c>
      <c r="CD404" s="19">
        <f t="shared" si="403"/>
        <v>12.51466638412602</v>
      </c>
      <c r="CE404" s="19">
        <f t="shared" si="404"/>
        <v>0</v>
      </c>
      <c r="CF404" s="49">
        <f t="shared" si="405"/>
        <v>-205.59838801930891</v>
      </c>
      <c r="CG404" s="49">
        <f t="shared" si="406"/>
        <v>-18.9335444356675</v>
      </c>
      <c r="CH404" s="49">
        <f t="shared" si="407"/>
        <v>-56.261871639881065</v>
      </c>
      <c r="CI404" s="49">
        <f t="shared" si="408"/>
        <v>-152.74374291690583</v>
      </c>
      <c r="CJ404" s="49">
        <f t="shared" si="409"/>
        <v>-526.1165873033242</v>
      </c>
      <c r="CK404" s="49">
        <f t="shared" si="410"/>
        <v>0</v>
      </c>
    </row>
    <row r="405" spans="2:89" ht="12.75" customHeight="1" x14ac:dyDescent="0.2">
      <c r="B405" s="77">
        <v>41834</v>
      </c>
      <c r="C405" s="49">
        <v>102.139999</v>
      </c>
      <c r="D405" s="49">
        <v>82.050003000000004</v>
      </c>
      <c r="E405" s="49">
        <v>86.699996999999996</v>
      </c>
      <c r="F405" s="49">
        <v>103.879997</v>
      </c>
      <c r="G405" s="49">
        <v>42.310001</v>
      </c>
      <c r="H405" s="49">
        <v>44.23</v>
      </c>
      <c r="J405" s="78">
        <f>IF(inter=Weekly_2,J404+$C$5,IF(inter=Bi_weekly_2,0,IF(inter=Monthly_2,0,IF(inter=Quarterly_2,0,IF(inter=Yearly_2,0,IF(inter=None_2,0,0))))))</f>
        <v>0</v>
      </c>
      <c r="K405" s="79">
        <f t="shared" si="411"/>
        <v>0</v>
      </c>
      <c r="L405" s="79">
        <f t="shared" si="412"/>
        <v>0</v>
      </c>
      <c r="M405" s="79">
        <f t="shared" si="413"/>
        <v>0</v>
      </c>
      <c r="N405" s="79">
        <f t="shared" si="414"/>
        <v>0</v>
      </c>
      <c r="O405" s="79">
        <f t="shared" si="415"/>
        <v>0</v>
      </c>
      <c r="P405" s="79">
        <f t="shared" si="416"/>
        <v>0</v>
      </c>
      <c r="Q405" s="79"/>
      <c r="R405" s="80">
        <f t="shared" si="374"/>
        <v>0</v>
      </c>
      <c r="S405" s="80">
        <f t="shared" si="375"/>
        <v>0</v>
      </c>
      <c r="T405" s="80">
        <f t="shared" si="376"/>
        <v>0</v>
      </c>
      <c r="U405" s="80">
        <f t="shared" si="377"/>
        <v>0</v>
      </c>
      <c r="V405" s="80">
        <f t="shared" si="378"/>
        <v>0</v>
      </c>
      <c r="W405" s="80">
        <f t="shared" si="379"/>
        <v>0</v>
      </c>
      <c r="X405" s="80">
        <f t="shared" si="430"/>
        <v>442.4022103873051</v>
      </c>
      <c r="Y405" s="80">
        <f t="shared" si="431"/>
        <v>158.17957595893321</v>
      </c>
      <c r="Z405" s="80">
        <f t="shared" si="432"/>
        <v>118.67573840868062</v>
      </c>
      <c r="AA405" s="80">
        <f t="shared" si="433"/>
        <v>86.657684443329359</v>
      </c>
      <c r="AB405" s="80">
        <f t="shared" si="434"/>
        <v>764.74784099077453</v>
      </c>
      <c r="AC405" s="80">
        <f t="shared" si="435"/>
        <v>438.60845839017742</v>
      </c>
      <c r="AD405" s="80"/>
      <c r="AE405" s="80"/>
      <c r="AF405" s="80"/>
      <c r="AG405" s="80"/>
      <c r="AH405" s="80"/>
      <c r="AI405" s="80"/>
      <c r="AJ405" s="45">
        <f t="shared" si="380"/>
        <v>0</v>
      </c>
      <c r="AK405" s="45">
        <f t="shared" si="381"/>
        <v>0</v>
      </c>
      <c r="AL405" s="45">
        <f t="shared" si="382"/>
        <v>0</v>
      </c>
      <c r="AM405" s="45">
        <f t="shared" si="383"/>
        <v>0</v>
      </c>
      <c r="AN405" s="45">
        <f t="shared" si="384"/>
        <v>0</v>
      </c>
      <c r="AO405" s="45">
        <f t="shared" si="385"/>
        <v>0</v>
      </c>
      <c r="AP405" s="80">
        <f t="shared" si="386"/>
        <v>0</v>
      </c>
      <c r="AQ405" s="80">
        <f t="shared" si="387"/>
        <v>0</v>
      </c>
      <c r="AR405" s="80">
        <f t="shared" si="388"/>
        <v>0</v>
      </c>
      <c r="AS405" s="80">
        <f t="shared" si="389"/>
        <v>0</v>
      </c>
      <c r="AT405" s="80">
        <f t="shared" si="390"/>
        <v>0</v>
      </c>
      <c r="AU405" s="80">
        <f t="shared" si="391"/>
        <v>0</v>
      </c>
      <c r="AV405" s="80">
        <f t="shared" si="436"/>
        <v>53.58168903087082</v>
      </c>
      <c r="AW405" s="80">
        <f t="shared" si="437"/>
        <v>25.656440509413756</v>
      </c>
      <c r="AX405" s="80">
        <f t="shared" si="438"/>
        <v>15.378128886442394</v>
      </c>
      <c r="AY405" s="80">
        <f t="shared" si="439"/>
        <v>12.153043817589655</v>
      </c>
      <c r="AZ405" s="80">
        <f t="shared" si="440"/>
        <v>125.91736743418384</v>
      </c>
      <c r="BA405" s="80">
        <f t="shared" si="441"/>
        <v>53.805744063300011</v>
      </c>
      <c r="BB405" s="80">
        <f t="shared" si="417"/>
        <v>495.98389941817595</v>
      </c>
      <c r="BC405" s="80">
        <f t="shared" si="418"/>
        <v>183.83601646834697</v>
      </c>
      <c r="BD405" s="80">
        <f t="shared" si="419"/>
        <v>134.05386729512301</v>
      </c>
      <c r="BE405" s="80">
        <f t="shared" si="420"/>
        <v>98.810728260919007</v>
      </c>
      <c r="BF405" s="80">
        <f t="shared" si="421"/>
        <v>890.66520842495834</v>
      </c>
      <c r="BG405" s="80">
        <f t="shared" si="422"/>
        <v>492.4142024534774</v>
      </c>
      <c r="BH405" s="49">
        <f t="shared" si="423"/>
        <v>0</v>
      </c>
      <c r="BI405" s="79">
        <f t="shared" si="424"/>
        <v>-80831.051649556044</v>
      </c>
      <c r="BJ405" s="79">
        <f t="shared" si="392"/>
        <v>129212.91620419676</v>
      </c>
      <c r="BK405" s="44">
        <f t="shared" si="425"/>
        <v>0.59855542600634282</v>
      </c>
      <c r="BL405" s="79">
        <f t="shared" si="442"/>
        <v>13046.396098005813</v>
      </c>
      <c r="BM405" s="49">
        <f t="shared" si="426"/>
        <v>142259.31230220257</v>
      </c>
      <c r="BN405" s="44">
        <f t="shared" si="427"/>
        <v>0.75995869655351589</v>
      </c>
      <c r="BO405" s="49">
        <f t="shared" si="393"/>
        <v>17881.078570407873</v>
      </c>
      <c r="BP405" s="49">
        <f t="shared" si="394"/>
        <v>147093.99477460465</v>
      </c>
      <c r="BQ405" s="44">
        <f t="shared" si="395"/>
        <v>0.81977088968645817</v>
      </c>
      <c r="BS405" s="49">
        <f t="shared" si="396"/>
        <v>80831.051649556044</v>
      </c>
      <c r="BT405" s="49">
        <f t="shared" si="372"/>
        <v>102.139999</v>
      </c>
      <c r="BU405" s="49">
        <f t="shared" si="373"/>
        <v>44.23</v>
      </c>
      <c r="BV405" s="49">
        <f t="shared" si="397"/>
        <v>0</v>
      </c>
      <c r="BW405" s="18">
        <f t="shared" si="398"/>
        <v>2541</v>
      </c>
      <c r="BX405" s="19">
        <f t="shared" si="428"/>
        <v>0.41720183486238532</v>
      </c>
      <c r="BY405" s="49">
        <f t="shared" si="429"/>
        <v>0</v>
      </c>
      <c r="BZ405" s="19">
        <f t="shared" si="399"/>
        <v>0</v>
      </c>
      <c r="CA405" s="19">
        <f t="shared" si="400"/>
        <v>0</v>
      </c>
      <c r="CB405" s="19">
        <f t="shared" si="401"/>
        <v>0</v>
      </c>
      <c r="CC405" s="19">
        <f t="shared" si="402"/>
        <v>0</v>
      </c>
      <c r="CD405" s="19">
        <f t="shared" si="403"/>
        <v>0</v>
      </c>
      <c r="CE405" s="19">
        <f t="shared" si="404"/>
        <v>0</v>
      </c>
      <c r="CF405" s="49">
        <f t="shared" si="405"/>
        <v>0</v>
      </c>
      <c r="CG405" s="49">
        <f t="shared" si="406"/>
        <v>0</v>
      </c>
      <c r="CH405" s="49">
        <f t="shared" si="407"/>
        <v>0</v>
      </c>
      <c r="CI405" s="49">
        <f t="shared" si="408"/>
        <v>0</v>
      </c>
      <c r="CJ405" s="49">
        <f t="shared" si="409"/>
        <v>0</v>
      </c>
      <c r="CK405" s="49">
        <f t="shared" si="410"/>
        <v>0</v>
      </c>
    </row>
    <row r="406" spans="2:89" ht="12.75" customHeight="1" x14ac:dyDescent="0.2">
      <c r="B406" s="77">
        <v>41841</v>
      </c>
      <c r="C406" s="49">
        <v>102.139999</v>
      </c>
      <c r="D406" s="49">
        <v>82.089995999999999</v>
      </c>
      <c r="E406" s="49">
        <v>86.82</v>
      </c>
      <c r="F406" s="49">
        <v>103.089996</v>
      </c>
      <c r="G406" s="49">
        <v>42.369999</v>
      </c>
      <c r="H406" s="49">
        <v>44.900002000000001</v>
      </c>
      <c r="J406" s="78">
        <f>IF(inter=Weekly_2,J405+$C$5,IF(inter=Bi_weekly_2,J404+$C$5,IF(inter=Monthly_2,J402+$C$5,IF(inter=Quarterly_2,J393+$C$5,IF(inter=Yearly_2,J354+$C$5,IF(inter=None_2,0,0))))))</f>
        <v>129200</v>
      </c>
      <c r="K406" s="79">
        <f t="shared" si="411"/>
        <v>-33.038673442868458</v>
      </c>
      <c r="L406" s="79">
        <f t="shared" si="412"/>
        <v>64.960757750523044</v>
      </c>
      <c r="M406" s="79">
        <f t="shared" si="413"/>
        <v>-32.572391358349705</v>
      </c>
      <c r="N406" s="79">
        <f t="shared" si="414"/>
        <v>-110.45965736791368</v>
      </c>
      <c r="O406" s="79">
        <f t="shared" si="415"/>
        <v>102.36525803127734</v>
      </c>
      <c r="P406" s="79">
        <f t="shared" si="416"/>
        <v>313.52065893588224</v>
      </c>
      <c r="Q406" s="79"/>
      <c r="R406" s="80">
        <f t="shared" si="374"/>
        <v>0.32346459532340954</v>
      </c>
      <c r="S406" s="80">
        <f t="shared" si="375"/>
        <v>-0.79133586205221695</v>
      </c>
      <c r="T406" s="80">
        <f t="shared" si="376"/>
        <v>0.37517151990727604</v>
      </c>
      <c r="U406" s="80">
        <f t="shared" si="377"/>
        <v>1.071487648208985</v>
      </c>
      <c r="V406" s="80">
        <f t="shared" si="378"/>
        <v>-2.4159844334968557</v>
      </c>
      <c r="W406" s="80">
        <f t="shared" si="379"/>
        <v>-6.9826424269620802</v>
      </c>
      <c r="X406" s="80">
        <f t="shared" si="430"/>
        <v>442.7256749826285</v>
      </c>
      <c r="Y406" s="80">
        <f t="shared" si="431"/>
        <v>157.38824009688099</v>
      </c>
      <c r="Z406" s="80">
        <f t="shared" si="432"/>
        <v>119.05090992858788</v>
      </c>
      <c r="AA406" s="80">
        <f t="shared" si="433"/>
        <v>87.729172091538345</v>
      </c>
      <c r="AB406" s="80">
        <f t="shared" si="434"/>
        <v>762.33185655727766</v>
      </c>
      <c r="AC406" s="80">
        <f t="shared" si="435"/>
        <v>431.62581596321536</v>
      </c>
      <c r="AD406" s="80"/>
      <c r="AE406" s="80"/>
      <c r="AF406" s="80"/>
      <c r="AG406" s="80"/>
      <c r="AH406" s="80"/>
      <c r="AI406" s="80"/>
      <c r="AJ406" s="45">
        <f t="shared" si="380"/>
        <v>0</v>
      </c>
      <c r="AK406" s="45">
        <f t="shared" si="381"/>
        <v>0</v>
      </c>
      <c r="AL406" s="45">
        <f t="shared" si="382"/>
        <v>0</v>
      </c>
      <c r="AM406" s="45">
        <f t="shared" si="383"/>
        <v>0</v>
      </c>
      <c r="AN406" s="45">
        <f t="shared" si="384"/>
        <v>0</v>
      </c>
      <c r="AO406" s="45">
        <f t="shared" si="385"/>
        <v>0</v>
      </c>
      <c r="AP406" s="80">
        <f t="shared" si="386"/>
        <v>0</v>
      </c>
      <c r="AQ406" s="80">
        <f t="shared" si="387"/>
        <v>0</v>
      </c>
      <c r="AR406" s="80">
        <f t="shared" si="388"/>
        <v>0</v>
      </c>
      <c r="AS406" s="80">
        <f t="shared" si="389"/>
        <v>0</v>
      </c>
      <c r="AT406" s="80">
        <f t="shared" si="390"/>
        <v>0</v>
      </c>
      <c r="AU406" s="80">
        <f t="shared" si="391"/>
        <v>0</v>
      </c>
      <c r="AV406" s="80">
        <f t="shared" si="436"/>
        <v>53.58168903087082</v>
      </c>
      <c r="AW406" s="80">
        <f t="shared" si="437"/>
        <v>25.656440509413756</v>
      </c>
      <c r="AX406" s="80">
        <f t="shared" si="438"/>
        <v>15.378128886442394</v>
      </c>
      <c r="AY406" s="80">
        <f t="shared" si="439"/>
        <v>12.153043817589655</v>
      </c>
      <c r="AZ406" s="80">
        <f t="shared" si="440"/>
        <v>125.91736743418384</v>
      </c>
      <c r="BA406" s="80">
        <f t="shared" si="441"/>
        <v>53.805744063300011</v>
      </c>
      <c r="BB406" s="80">
        <f t="shared" si="417"/>
        <v>496.3073640134993</v>
      </c>
      <c r="BC406" s="80">
        <f t="shared" si="418"/>
        <v>183.04468060629475</v>
      </c>
      <c r="BD406" s="80">
        <f t="shared" si="419"/>
        <v>134.42903881503028</v>
      </c>
      <c r="BE406" s="80">
        <f t="shared" si="420"/>
        <v>99.882215909128007</v>
      </c>
      <c r="BF406" s="80">
        <f t="shared" si="421"/>
        <v>888.24922399146146</v>
      </c>
      <c r="BG406" s="80">
        <f t="shared" si="422"/>
        <v>485.4315600265154</v>
      </c>
      <c r="BH406" s="49">
        <f t="shared" si="423"/>
        <v>0</v>
      </c>
      <c r="BI406" s="79">
        <f t="shared" si="424"/>
        <v>-80526.275697007484</v>
      </c>
      <c r="BJ406" s="79">
        <f t="shared" si="392"/>
        <v>129200</v>
      </c>
      <c r="BK406" s="44">
        <f t="shared" si="425"/>
        <v>0.60444524326612226</v>
      </c>
      <c r="BL406" s="79">
        <f t="shared" si="442"/>
        <v>13046.396098005813</v>
      </c>
      <c r="BM406" s="49">
        <f t="shared" si="426"/>
        <v>142246.39609800582</v>
      </c>
      <c r="BN406" s="44">
        <f t="shared" si="427"/>
        <v>0.76645939312069755</v>
      </c>
      <c r="BO406" s="49">
        <f t="shared" si="393"/>
        <v>17917.953899610202</v>
      </c>
      <c r="BP406" s="49">
        <f t="shared" si="394"/>
        <v>147117.95389961021</v>
      </c>
      <c r="BQ406" s="44">
        <f t="shared" si="395"/>
        <v>0.82695589267240144</v>
      </c>
      <c r="BS406" s="49">
        <f t="shared" si="396"/>
        <v>80526.275697007484</v>
      </c>
      <c r="BT406" s="49">
        <f t="shared" si="372"/>
        <v>102.139999</v>
      </c>
      <c r="BU406" s="49">
        <f t="shared" si="373"/>
        <v>44.900002000000001</v>
      </c>
      <c r="BV406" s="49">
        <f t="shared" si="397"/>
        <v>-304.77595254855078</v>
      </c>
      <c r="BW406" s="18">
        <f t="shared" si="398"/>
        <v>2548</v>
      </c>
      <c r="BX406" s="19">
        <f t="shared" si="428"/>
        <v>0.41559633027522935</v>
      </c>
      <c r="BY406" s="49">
        <f t="shared" si="429"/>
        <v>-126.66376743531514</v>
      </c>
      <c r="BZ406" s="19">
        <f t="shared" si="399"/>
        <v>0.32346459532340954</v>
      </c>
      <c r="CA406" s="19">
        <f t="shared" si="400"/>
        <v>0</v>
      </c>
      <c r="CB406" s="19">
        <f t="shared" si="401"/>
        <v>0.37517151990727604</v>
      </c>
      <c r="CC406" s="19">
        <f t="shared" si="402"/>
        <v>1.071487648208985</v>
      </c>
      <c r="CD406" s="19">
        <f t="shared" si="403"/>
        <v>0</v>
      </c>
      <c r="CE406" s="19">
        <f t="shared" si="404"/>
        <v>0</v>
      </c>
      <c r="CF406" s="49">
        <f t="shared" si="405"/>
        <v>-33.038673442868458</v>
      </c>
      <c r="CG406" s="49">
        <f t="shared" si="406"/>
        <v>0</v>
      </c>
      <c r="CH406" s="49">
        <f t="shared" si="407"/>
        <v>-32.572391358349705</v>
      </c>
      <c r="CI406" s="49">
        <f t="shared" si="408"/>
        <v>-110.45965736791368</v>
      </c>
      <c r="CJ406" s="49">
        <f t="shared" si="409"/>
        <v>0</v>
      </c>
      <c r="CK406" s="49">
        <f t="shared" si="410"/>
        <v>0</v>
      </c>
    </row>
    <row r="407" spans="2:89" ht="12.75" customHeight="1" x14ac:dyDescent="0.2">
      <c r="B407" s="77">
        <v>41848</v>
      </c>
      <c r="C407" s="49">
        <v>99.489998</v>
      </c>
      <c r="D407" s="49">
        <v>79.730002999999996</v>
      </c>
      <c r="E407" s="49">
        <v>84.589995999999999</v>
      </c>
      <c r="F407" s="49">
        <v>100.30999799999999</v>
      </c>
      <c r="G407" s="49">
        <v>41.349997999999999</v>
      </c>
      <c r="H407" s="49">
        <v>43.98</v>
      </c>
      <c r="J407" s="78">
        <f>IF(inter=Weekly_2,J406+$C$5,IF(inter=Bi_weekly_2,0,IF(inter=Monthly_2,0,IF(inter=Quarterly_2,0,IF(inter=Yearly_2,0,IF(inter=None_2,0,0))))))</f>
        <v>0</v>
      </c>
      <c r="K407" s="79">
        <f t="shared" si="411"/>
        <v>0</v>
      </c>
      <c r="L407" s="79">
        <f t="shared" si="412"/>
        <v>0</v>
      </c>
      <c r="M407" s="79">
        <f t="shared" si="413"/>
        <v>0</v>
      </c>
      <c r="N407" s="79">
        <f t="shared" si="414"/>
        <v>0</v>
      </c>
      <c r="O407" s="79">
        <f t="shared" si="415"/>
        <v>0</v>
      </c>
      <c r="P407" s="79">
        <f t="shared" si="416"/>
        <v>0</v>
      </c>
      <c r="Q407" s="79"/>
      <c r="R407" s="80">
        <f t="shared" si="374"/>
        <v>0</v>
      </c>
      <c r="S407" s="80">
        <f t="shared" si="375"/>
        <v>0</v>
      </c>
      <c r="T407" s="80">
        <f t="shared" si="376"/>
        <v>0</v>
      </c>
      <c r="U407" s="80">
        <f t="shared" si="377"/>
        <v>0</v>
      </c>
      <c r="V407" s="80">
        <f t="shared" si="378"/>
        <v>0</v>
      </c>
      <c r="W407" s="80">
        <f t="shared" si="379"/>
        <v>0</v>
      </c>
      <c r="X407" s="80">
        <f t="shared" si="430"/>
        <v>442.7256749826285</v>
      </c>
      <c r="Y407" s="80">
        <f t="shared" si="431"/>
        <v>157.38824009688099</v>
      </c>
      <c r="Z407" s="80">
        <f t="shared" si="432"/>
        <v>119.05090992858788</v>
      </c>
      <c r="AA407" s="80">
        <f t="shared" si="433"/>
        <v>87.729172091538345</v>
      </c>
      <c r="AB407" s="80">
        <f t="shared" si="434"/>
        <v>762.33185655727766</v>
      </c>
      <c r="AC407" s="80">
        <f t="shared" si="435"/>
        <v>431.62581596321536</v>
      </c>
      <c r="AD407" s="80"/>
      <c r="AE407" s="80"/>
      <c r="AF407" s="80"/>
      <c r="AG407" s="80"/>
      <c r="AH407" s="80"/>
      <c r="AI407" s="80"/>
      <c r="AJ407" s="45">
        <f t="shared" si="380"/>
        <v>0</v>
      </c>
      <c r="AK407" s="45">
        <f t="shared" si="381"/>
        <v>0</v>
      </c>
      <c r="AL407" s="45">
        <f t="shared" si="382"/>
        <v>0</v>
      </c>
      <c r="AM407" s="45">
        <f t="shared" si="383"/>
        <v>0</v>
      </c>
      <c r="AN407" s="45">
        <f t="shared" si="384"/>
        <v>0</v>
      </c>
      <c r="AO407" s="45">
        <f t="shared" si="385"/>
        <v>0</v>
      </c>
      <c r="AP407" s="80">
        <f t="shared" si="386"/>
        <v>0</v>
      </c>
      <c r="AQ407" s="80">
        <f t="shared" si="387"/>
        <v>0</v>
      </c>
      <c r="AR407" s="80">
        <f t="shared" si="388"/>
        <v>0</v>
      </c>
      <c r="AS407" s="80">
        <f t="shared" si="389"/>
        <v>0</v>
      </c>
      <c r="AT407" s="80">
        <f t="shared" si="390"/>
        <v>0</v>
      </c>
      <c r="AU407" s="80">
        <f t="shared" si="391"/>
        <v>0</v>
      </c>
      <c r="AV407" s="80">
        <f t="shared" si="436"/>
        <v>53.58168903087082</v>
      </c>
      <c r="AW407" s="80">
        <f t="shared" si="437"/>
        <v>25.656440509413756</v>
      </c>
      <c r="AX407" s="80">
        <f t="shared" si="438"/>
        <v>15.378128886442394</v>
      </c>
      <c r="AY407" s="80">
        <f t="shared" si="439"/>
        <v>12.153043817589655</v>
      </c>
      <c r="AZ407" s="80">
        <f t="shared" si="440"/>
        <v>125.91736743418384</v>
      </c>
      <c r="BA407" s="80">
        <f t="shared" si="441"/>
        <v>53.805744063300011</v>
      </c>
      <c r="BB407" s="80">
        <f t="shared" si="417"/>
        <v>496.3073640134993</v>
      </c>
      <c r="BC407" s="80">
        <f t="shared" si="418"/>
        <v>183.04468060629475</v>
      </c>
      <c r="BD407" s="80">
        <f t="shared" si="419"/>
        <v>134.42903881503028</v>
      </c>
      <c r="BE407" s="80">
        <f t="shared" si="420"/>
        <v>99.882215909128007</v>
      </c>
      <c r="BF407" s="80">
        <f t="shared" si="421"/>
        <v>888.24922399146146</v>
      </c>
      <c r="BG407" s="80">
        <f t="shared" si="422"/>
        <v>485.4315600265154</v>
      </c>
      <c r="BH407" s="49">
        <f t="shared" si="423"/>
        <v>0</v>
      </c>
      <c r="BI407" s="79">
        <f t="shared" si="424"/>
        <v>-80526.275697007484</v>
      </c>
      <c r="BJ407" s="79">
        <f t="shared" si="392"/>
        <v>125971.29457540081</v>
      </c>
      <c r="BK407" s="44">
        <f t="shared" si="425"/>
        <v>0.56435018861901942</v>
      </c>
      <c r="BL407" s="79">
        <f t="shared" si="442"/>
        <v>13046.396098005813</v>
      </c>
      <c r="BM407" s="49">
        <f t="shared" si="426"/>
        <v>139017.69067340661</v>
      </c>
      <c r="BN407" s="44">
        <f t="shared" si="427"/>
        <v>0.7263643384735945</v>
      </c>
      <c r="BO407" s="49">
        <f t="shared" si="393"/>
        <v>17469.397390803519</v>
      </c>
      <c r="BP407" s="49">
        <f t="shared" si="394"/>
        <v>143440.69196620432</v>
      </c>
      <c r="BQ407" s="44">
        <f t="shared" si="395"/>
        <v>0.7812905256654612</v>
      </c>
      <c r="BS407" s="49">
        <f t="shared" si="396"/>
        <v>80526.275697007484</v>
      </c>
      <c r="BT407" s="49">
        <f t="shared" si="372"/>
        <v>99.489998</v>
      </c>
      <c r="BU407" s="49">
        <f t="shared" si="373"/>
        <v>43.98</v>
      </c>
      <c r="BV407" s="49">
        <f t="shared" si="397"/>
        <v>0</v>
      </c>
      <c r="BW407" s="18">
        <f t="shared" si="398"/>
        <v>2555</v>
      </c>
      <c r="BX407" s="19">
        <f t="shared" si="428"/>
        <v>0.41399082568807338</v>
      </c>
      <c r="BY407" s="49">
        <f t="shared" si="429"/>
        <v>0</v>
      </c>
      <c r="BZ407" s="19">
        <f t="shared" si="399"/>
        <v>0</v>
      </c>
      <c r="CA407" s="19">
        <f t="shared" si="400"/>
        <v>0</v>
      </c>
      <c r="CB407" s="19">
        <f t="shared" si="401"/>
        <v>0</v>
      </c>
      <c r="CC407" s="19">
        <f t="shared" si="402"/>
        <v>0</v>
      </c>
      <c r="CD407" s="19">
        <f t="shared" si="403"/>
        <v>0</v>
      </c>
      <c r="CE407" s="19">
        <f t="shared" si="404"/>
        <v>0</v>
      </c>
      <c r="CF407" s="49">
        <f t="shared" si="405"/>
        <v>0</v>
      </c>
      <c r="CG407" s="49">
        <f t="shared" si="406"/>
        <v>0</v>
      </c>
      <c r="CH407" s="49">
        <f t="shared" si="407"/>
        <v>0</v>
      </c>
      <c r="CI407" s="49">
        <f t="shared" si="408"/>
        <v>0</v>
      </c>
      <c r="CJ407" s="49">
        <f t="shared" si="409"/>
        <v>0</v>
      </c>
      <c r="CK407" s="49">
        <f t="shared" si="410"/>
        <v>0</v>
      </c>
    </row>
    <row r="408" spans="2:89" ht="12.75" customHeight="1" x14ac:dyDescent="0.2">
      <c r="B408" s="77">
        <v>41855</v>
      </c>
      <c r="C408" s="49">
        <v>99.93</v>
      </c>
      <c r="D408" s="49">
        <v>79.849997999999999</v>
      </c>
      <c r="E408" s="49">
        <v>84.519997000000004</v>
      </c>
      <c r="F408" s="49">
        <v>101.349998</v>
      </c>
      <c r="G408" s="49">
        <v>40.810001</v>
      </c>
      <c r="H408" s="49">
        <v>43.779998999999997</v>
      </c>
      <c r="J408" s="78">
        <f>IF(inter=Weekly_2,J407+$C$5,IF(inter=Bi_weekly_2,J406+$C$5,IF(inter=Monthly_2,0,IF(inter=Quarterly_2,0,IF(inter=Yearly_2,0,IF(inter=None_2,0,0))))))</f>
        <v>129800</v>
      </c>
      <c r="K408" s="79">
        <f t="shared" si="411"/>
        <v>-1188.4232989859302</v>
      </c>
      <c r="L408" s="79">
        <f t="shared" si="412"/>
        <v>-412.54934304053313</v>
      </c>
      <c r="M408" s="79">
        <f t="shared" si="413"/>
        <v>-321.8174499884808</v>
      </c>
      <c r="N408" s="79">
        <f t="shared" si="414"/>
        <v>-194.64858398093384</v>
      </c>
      <c r="O408" s="79">
        <f t="shared" si="415"/>
        <v>-1339.2361715656407</v>
      </c>
      <c r="P408" s="79">
        <f t="shared" si="416"/>
        <v>-573.42220875624844</v>
      </c>
      <c r="Q408" s="79"/>
      <c r="R408" s="80">
        <f t="shared" si="374"/>
        <v>11.892557780305514</v>
      </c>
      <c r="S408" s="80">
        <f t="shared" si="375"/>
        <v>5.166554206307346</v>
      </c>
      <c r="T408" s="80">
        <f t="shared" si="376"/>
        <v>3.8075894629821248</v>
      </c>
      <c r="U408" s="80">
        <f t="shared" si="377"/>
        <v>1.9205583406221067</v>
      </c>
      <c r="V408" s="80">
        <f t="shared" si="378"/>
        <v>32.816371937007318</v>
      </c>
      <c r="W408" s="80">
        <f t="shared" si="379"/>
        <v>13.09781228538284</v>
      </c>
      <c r="X408" s="80">
        <f t="shared" si="430"/>
        <v>454.61823276293404</v>
      </c>
      <c r="Y408" s="80">
        <f t="shared" si="431"/>
        <v>162.55479430318834</v>
      </c>
      <c r="Z408" s="80">
        <f t="shared" si="432"/>
        <v>122.85849939157001</v>
      </c>
      <c r="AA408" s="80">
        <f t="shared" si="433"/>
        <v>89.649730432160453</v>
      </c>
      <c r="AB408" s="80">
        <f t="shared" si="434"/>
        <v>795.14822849428492</v>
      </c>
      <c r="AC408" s="80">
        <f t="shared" si="435"/>
        <v>444.72362824859817</v>
      </c>
      <c r="AD408" s="80"/>
      <c r="AE408" s="80"/>
      <c r="AF408" s="80"/>
      <c r="AG408" s="80"/>
      <c r="AH408" s="80"/>
      <c r="AI408" s="80"/>
      <c r="AJ408" s="45">
        <f t="shared" si="380"/>
        <v>0</v>
      </c>
      <c r="AK408" s="45">
        <f t="shared" si="381"/>
        <v>0</v>
      </c>
      <c r="AL408" s="45">
        <f t="shared" si="382"/>
        <v>0</v>
      </c>
      <c r="AM408" s="45">
        <f t="shared" si="383"/>
        <v>0</v>
      </c>
      <c r="AN408" s="45">
        <f t="shared" si="384"/>
        <v>0</v>
      </c>
      <c r="AO408" s="45">
        <f t="shared" si="385"/>
        <v>0</v>
      </c>
      <c r="AP408" s="80">
        <f t="shared" si="386"/>
        <v>0</v>
      </c>
      <c r="AQ408" s="80">
        <f t="shared" si="387"/>
        <v>0</v>
      </c>
      <c r="AR408" s="80">
        <f t="shared" si="388"/>
        <v>0</v>
      </c>
      <c r="AS408" s="80">
        <f t="shared" si="389"/>
        <v>0</v>
      </c>
      <c r="AT408" s="80">
        <f t="shared" si="390"/>
        <v>0</v>
      </c>
      <c r="AU408" s="80">
        <f t="shared" si="391"/>
        <v>0</v>
      </c>
      <c r="AV408" s="80">
        <f t="shared" si="436"/>
        <v>53.58168903087082</v>
      </c>
      <c r="AW408" s="80">
        <f t="shared" si="437"/>
        <v>25.656440509413756</v>
      </c>
      <c r="AX408" s="80">
        <f t="shared" si="438"/>
        <v>15.378128886442394</v>
      </c>
      <c r="AY408" s="80">
        <f t="shared" si="439"/>
        <v>12.153043817589655</v>
      </c>
      <c r="AZ408" s="80">
        <f t="shared" si="440"/>
        <v>125.91736743418384</v>
      </c>
      <c r="BA408" s="80">
        <f t="shared" si="441"/>
        <v>53.805744063300011</v>
      </c>
      <c r="BB408" s="80">
        <f t="shared" si="417"/>
        <v>508.19992179380483</v>
      </c>
      <c r="BC408" s="80">
        <f t="shared" si="418"/>
        <v>188.2112348126021</v>
      </c>
      <c r="BD408" s="80">
        <f t="shared" si="419"/>
        <v>138.2366282780124</v>
      </c>
      <c r="BE408" s="80">
        <f t="shared" si="420"/>
        <v>101.80277424975012</v>
      </c>
      <c r="BF408" s="80">
        <f t="shared" si="421"/>
        <v>921.06559592846872</v>
      </c>
      <c r="BG408" s="80">
        <f t="shared" si="422"/>
        <v>498.52937231189821</v>
      </c>
      <c r="BH408" s="49">
        <f t="shared" si="423"/>
        <v>0</v>
      </c>
      <c r="BI408" s="79">
        <f t="shared" si="424"/>
        <v>-84556.372753325253</v>
      </c>
      <c r="BJ408" s="79">
        <f t="shared" si="392"/>
        <v>129800</v>
      </c>
      <c r="BK408" s="44">
        <f t="shared" si="425"/>
        <v>0.53507057804694558</v>
      </c>
      <c r="BL408" s="79">
        <f t="shared" si="442"/>
        <v>13046.396098005813</v>
      </c>
      <c r="BM408" s="49">
        <f t="shared" si="426"/>
        <v>142846.39609800582</v>
      </c>
      <c r="BN408" s="44">
        <f t="shared" si="427"/>
        <v>0.68936286463858831</v>
      </c>
      <c r="BO408" s="49">
        <f t="shared" si="393"/>
        <v>17428.858594365018</v>
      </c>
      <c r="BP408" s="49">
        <f t="shared" si="394"/>
        <v>147228.85859436501</v>
      </c>
      <c r="BQ408" s="44">
        <f t="shared" si="395"/>
        <v>0.74119174936551557</v>
      </c>
      <c r="BS408" s="49">
        <f t="shared" si="396"/>
        <v>84556.372753325253</v>
      </c>
      <c r="BT408" s="49">
        <f t="shared" ref="BT408:BT471" si="443">C408</f>
        <v>99.93</v>
      </c>
      <c r="BU408" s="49">
        <f t="shared" ref="BU408:BU471" si="444">H408</f>
        <v>43.779998999999997</v>
      </c>
      <c r="BV408" s="49">
        <f t="shared" si="397"/>
        <v>4030.0970563177671</v>
      </c>
      <c r="BW408" s="18">
        <f t="shared" si="398"/>
        <v>2562</v>
      </c>
      <c r="BX408" s="19">
        <f t="shared" si="428"/>
        <v>0.41238532110091741</v>
      </c>
      <c r="BY408" s="49">
        <f t="shared" si="429"/>
        <v>1661.9528686374645</v>
      </c>
      <c r="BZ408" s="19">
        <f t="shared" si="399"/>
        <v>11.892557780305514</v>
      </c>
      <c r="CA408" s="19">
        <f t="shared" si="400"/>
        <v>5.166554206307346</v>
      </c>
      <c r="CB408" s="19">
        <f t="shared" si="401"/>
        <v>3.8075894629821248</v>
      </c>
      <c r="CC408" s="19">
        <f t="shared" si="402"/>
        <v>1.9205583406221067</v>
      </c>
      <c r="CD408" s="19">
        <f t="shared" si="403"/>
        <v>32.816371937007318</v>
      </c>
      <c r="CE408" s="19">
        <f t="shared" si="404"/>
        <v>13.09781228538284</v>
      </c>
      <c r="CF408" s="49">
        <f t="shared" si="405"/>
        <v>-1188.4232989859302</v>
      </c>
      <c r="CG408" s="49">
        <f t="shared" si="406"/>
        <v>-412.54934304053313</v>
      </c>
      <c r="CH408" s="49">
        <f t="shared" si="407"/>
        <v>-321.8174499884808</v>
      </c>
      <c r="CI408" s="49">
        <f t="shared" si="408"/>
        <v>-194.64858398093384</v>
      </c>
      <c r="CJ408" s="49">
        <f t="shared" si="409"/>
        <v>-1339.2361715656407</v>
      </c>
      <c r="CK408" s="49">
        <f t="shared" si="410"/>
        <v>-573.42220875624844</v>
      </c>
    </row>
    <row r="409" spans="2:89" ht="12.75" customHeight="1" x14ac:dyDescent="0.2">
      <c r="B409" s="77">
        <v>41862</v>
      </c>
      <c r="C409" s="49">
        <v>101.269997</v>
      </c>
      <c r="D409" s="49">
        <v>80.680000000000007</v>
      </c>
      <c r="E409" s="49">
        <v>85.650002000000001</v>
      </c>
      <c r="F409" s="49">
        <v>102.75</v>
      </c>
      <c r="G409" s="49">
        <v>41.360000999999997</v>
      </c>
      <c r="H409" s="49">
        <v>44.580002</v>
      </c>
      <c r="J409" s="78">
        <f>IF(inter=Weekly_2,J408+$C$5,IF(inter=Bi_weekly_2,0,IF(inter=Monthly_2,0,IF(inter=Quarterly_2,0,IF(inter=Yearly_2,0,IF(inter=None_2,0,0))))))</f>
        <v>0</v>
      </c>
      <c r="K409" s="79">
        <f t="shared" si="411"/>
        <v>0</v>
      </c>
      <c r="L409" s="79">
        <f t="shared" si="412"/>
        <v>0</v>
      </c>
      <c r="M409" s="79">
        <f t="shared" si="413"/>
        <v>0</v>
      </c>
      <c r="N409" s="79">
        <f t="shared" si="414"/>
        <v>0</v>
      </c>
      <c r="O409" s="79">
        <f t="shared" si="415"/>
        <v>0</v>
      </c>
      <c r="P409" s="79">
        <f t="shared" si="416"/>
        <v>0</v>
      </c>
      <c r="Q409" s="79"/>
      <c r="R409" s="80">
        <f t="shared" si="374"/>
        <v>0</v>
      </c>
      <c r="S409" s="80">
        <f t="shared" si="375"/>
        <v>0</v>
      </c>
      <c r="T409" s="80">
        <f t="shared" si="376"/>
        <v>0</v>
      </c>
      <c r="U409" s="80">
        <f t="shared" si="377"/>
        <v>0</v>
      </c>
      <c r="V409" s="80">
        <f t="shared" si="378"/>
        <v>0</v>
      </c>
      <c r="W409" s="80">
        <f t="shared" si="379"/>
        <v>0</v>
      </c>
      <c r="X409" s="80">
        <f t="shared" si="430"/>
        <v>454.61823276293404</v>
      </c>
      <c r="Y409" s="80">
        <f t="shared" si="431"/>
        <v>162.55479430318834</v>
      </c>
      <c r="Z409" s="80">
        <f t="shared" si="432"/>
        <v>122.85849939157001</v>
      </c>
      <c r="AA409" s="80">
        <f t="shared" si="433"/>
        <v>89.649730432160453</v>
      </c>
      <c r="AB409" s="80">
        <f t="shared" si="434"/>
        <v>795.14822849428492</v>
      </c>
      <c r="AC409" s="80">
        <f t="shared" si="435"/>
        <v>444.72362824859817</v>
      </c>
      <c r="AD409" s="80"/>
      <c r="AE409" s="80"/>
      <c r="AF409" s="80"/>
      <c r="AG409" s="80"/>
      <c r="AH409" s="80"/>
      <c r="AI409" s="80"/>
      <c r="AJ409" s="45">
        <f t="shared" si="380"/>
        <v>0</v>
      </c>
      <c r="AK409" s="45">
        <f t="shared" si="381"/>
        <v>0</v>
      </c>
      <c r="AL409" s="45">
        <f t="shared" si="382"/>
        <v>0</v>
      </c>
      <c r="AM409" s="45">
        <f t="shared" si="383"/>
        <v>0</v>
      </c>
      <c r="AN409" s="45">
        <f t="shared" si="384"/>
        <v>0</v>
      </c>
      <c r="AO409" s="45">
        <f t="shared" si="385"/>
        <v>0</v>
      </c>
      <c r="AP409" s="80">
        <f t="shared" si="386"/>
        <v>0</v>
      </c>
      <c r="AQ409" s="80">
        <f t="shared" si="387"/>
        <v>0</v>
      </c>
      <c r="AR409" s="80">
        <f t="shared" si="388"/>
        <v>0</v>
      </c>
      <c r="AS409" s="80">
        <f t="shared" si="389"/>
        <v>0</v>
      </c>
      <c r="AT409" s="80">
        <f t="shared" si="390"/>
        <v>0</v>
      </c>
      <c r="AU409" s="80">
        <f t="shared" si="391"/>
        <v>0</v>
      </c>
      <c r="AV409" s="80">
        <f t="shared" si="436"/>
        <v>53.58168903087082</v>
      </c>
      <c r="AW409" s="80">
        <f t="shared" si="437"/>
        <v>25.656440509413756</v>
      </c>
      <c r="AX409" s="80">
        <f t="shared" si="438"/>
        <v>15.378128886442394</v>
      </c>
      <c r="AY409" s="80">
        <f t="shared" si="439"/>
        <v>12.153043817589655</v>
      </c>
      <c r="AZ409" s="80">
        <f t="shared" si="440"/>
        <v>125.91736743418384</v>
      </c>
      <c r="BA409" s="80">
        <f t="shared" si="441"/>
        <v>53.805744063300011</v>
      </c>
      <c r="BB409" s="80">
        <f t="shared" si="417"/>
        <v>508.19992179380483</v>
      </c>
      <c r="BC409" s="80">
        <f t="shared" si="418"/>
        <v>188.2112348126021</v>
      </c>
      <c r="BD409" s="80">
        <f t="shared" si="419"/>
        <v>138.2366282780124</v>
      </c>
      <c r="BE409" s="80">
        <f t="shared" si="420"/>
        <v>101.80277424975012</v>
      </c>
      <c r="BF409" s="80">
        <f t="shared" si="421"/>
        <v>921.06559592846872</v>
      </c>
      <c r="BG409" s="80">
        <f t="shared" si="422"/>
        <v>498.52937231189821</v>
      </c>
      <c r="BH409" s="49">
        <f t="shared" si="423"/>
        <v>0</v>
      </c>
      <c r="BI409" s="79">
        <f t="shared" si="424"/>
        <v>-84556.372753325253</v>
      </c>
      <c r="BJ409" s="79">
        <f t="shared" si="392"/>
        <v>131601.56015537994</v>
      </c>
      <c r="BK409" s="44">
        <f t="shared" si="425"/>
        <v>0.55637660261632482</v>
      </c>
      <c r="BL409" s="79">
        <f t="shared" si="442"/>
        <v>13046.396098005813</v>
      </c>
      <c r="BM409" s="49">
        <f t="shared" si="426"/>
        <v>144647.95625338575</v>
      </c>
      <c r="BN409" s="44">
        <f t="shared" si="427"/>
        <v>0.71066888920796734</v>
      </c>
      <c r="BO409" s="49">
        <f t="shared" si="393"/>
        <v>17668.64375079672</v>
      </c>
      <c r="BP409" s="49">
        <f t="shared" si="394"/>
        <v>149270.20390617667</v>
      </c>
      <c r="BQ409" s="44">
        <f t="shared" si="395"/>
        <v>0.76533357623605602</v>
      </c>
      <c r="BS409" s="49">
        <f t="shared" si="396"/>
        <v>84556.372753325253</v>
      </c>
      <c r="BT409" s="49">
        <f t="shared" si="443"/>
        <v>101.269997</v>
      </c>
      <c r="BU409" s="49">
        <f t="shared" si="444"/>
        <v>44.580002</v>
      </c>
      <c r="BV409" s="49">
        <f t="shared" si="397"/>
        <v>0</v>
      </c>
      <c r="BW409" s="18">
        <f t="shared" si="398"/>
        <v>2569</v>
      </c>
      <c r="BX409" s="19">
        <f t="shared" si="428"/>
        <v>0.41077981651376144</v>
      </c>
      <c r="BY409" s="49">
        <f t="shared" si="429"/>
        <v>0</v>
      </c>
      <c r="BZ409" s="19">
        <f t="shared" si="399"/>
        <v>0</v>
      </c>
      <c r="CA409" s="19">
        <f t="shared" si="400"/>
        <v>0</v>
      </c>
      <c r="CB409" s="19">
        <f t="shared" si="401"/>
        <v>0</v>
      </c>
      <c r="CC409" s="19">
        <f t="shared" si="402"/>
        <v>0</v>
      </c>
      <c r="CD409" s="19">
        <f t="shared" si="403"/>
        <v>0</v>
      </c>
      <c r="CE409" s="19">
        <f t="shared" si="404"/>
        <v>0</v>
      </c>
      <c r="CF409" s="49">
        <f t="shared" si="405"/>
        <v>0</v>
      </c>
      <c r="CG409" s="49">
        <f t="shared" si="406"/>
        <v>0</v>
      </c>
      <c r="CH409" s="49">
        <f t="shared" si="407"/>
        <v>0</v>
      </c>
      <c r="CI409" s="49">
        <f t="shared" si="408"/>
        <v>0</v>
      </c>
      <c r="CJ409" s="49">
        <f t="shared" si="409"/>
        <v>0</v>
      </c>
      <c r="CK409" s="49">
        <f t="shared" si="410"/>
        <v>0</v>
      </c>
    </row>
    <row r="410" spans="2:89" ht="12.75" customHeight="1" x14ac:dyDescent="0.2">
      <c r="B410" s="77">
        <v>41869</v>
      </c>
      <c r="C410" s="49">
        <v>103.010002</v>
      </c>
      <c r="D410" s="49">
        <v>81.959998999999996</v>
      </c>
      <c r="E410" s="49">
        <v>87.080001999999993</v>
      </c>
      <c r="F410" s="49">
        <v>104.639999</v>
      </c>
      <c r="G410" s="49">
        <v>41.529998999999997</v>
      </c>
      <c r="H410" s="49">
        <v>44.990001999999997</v>
      </c>
      <c r="J410" s="78">
        <f>IF(inter=Weekly_2,J409+$C$5,IF(inter=Bi_weekly_2,J408+$C$5,IF(inter=Monthly_2,J406+$C$5,IF(inter=Quarterly_2,0,IF(inter=Yearly_2,0,IF(inter=None_2,0,0))))))</f>
        <v>130400</v>
      </c>
      <c r="K410" s="79">
        <f t="shared" si="411"/>
        <v>1190.225066146304</v>
      </c>
      <c r="L410" s="79">
        <f t="shared" si="412"/>
        <v>282.99077853452218</v>
      </c>
      <c r="M410" s="79">
        <f t="shared" si="413"/>
        <v>266.51837273491401</v>
      </c>
      <c r="N410" s="79">
        <f t="shared" si="414"/>
        <v>252.94770277154021</v>
      </c>
      <c r="O410" s="79">
        <f t="shared" si="415"/>
        <v>422.50513421942014</v>
      </c>
      <c r="P410" s="79">
        <f t="shared" si="416"/>
        <v>448.11692435168879</v>
      </c>
      <c r="Q410" s="79"/>
      <c r="R410" s="80">
        <f t="shared" si="374"/>
        <v>-11.554461149765865</v>
      </c>
      <c r="S410" s="80">
        <f t="shared" si="375"/>
        <v>-3.4527913858871839</v>
      </c>
      <c r="T410" s="80">
        <f t="shared" si="376"/>
        <v>-3.0606151425549353</v>
      </c>
      <c r="U410" s="80">
        <f t="shared" si="377"/>
        <v>-2.4173136963766617</v>
      </c>
      <c r="V410" s="80">
        <f t="shared" si="378"/>
        <v>-10.173492520898451</v>
      </c>
      <c r="W410" s="80">
        <f t="shared" si="379"/>
        <v>-9.9603668466538142</v>
      </c>
      <c r="X410" s="80">
        <f t="shared" si="430"/>
        <v>443.06377161316817</v>
      </c>
      <c r="Y410" s="80">
        <f t="shared" si="431"/>
        <v>159.10200291730115</v>
      </c>
      <c r="Z410" s="80">
        <f t="shared" si="432"/>
        <v>119.79788424901507</v>
      </c>
      <c r="AA410" s="80">
        <f t="shared" si="433"/>
        <v>87.232416735783787</v>
      </c>
      <c r="AB410" s="80">
        <f t="shared" si="434"/>
        <v>784.97473597338649</v>
      </c>
      <c r="AC410" s="80">
        <f t="shared" si="435"/>
        <v>434.76326140194436</v>
      </c>
      <c r="AD410" s="80"/>
      <c r="AE410" s="80"/>
      <c r="AF410" s="80"/>
      <c r="AG410" s="80"/>
      <c r="AH410" s="80"/>
      <c r="AI410" s="80"/>
      <c r="AJ410" s="45">
        <f t="shared" si="380"/>
        <v>0</v>
      </c>
      <c r="AK410" s="45">
        <f t="shared" si="381"/>
        <v>0</v>
      </c>
      <c r="AL410" s="45">
        <f t="shared" si="382"/>
        <v>0</v>
      </c>
      <c r="AM410" s="45">
        <f t="shared" si="383"/>
        <v>0</v>
      </c>
      <c r="AN410" s="45">
        <f t="shared" si="384"/>
        <v>0</v>
      </c>
      <c r="AO410" s="45">
        <f t="shared" si="385"/>
        <v>0</v>
      </c>
      <c r="AP410" s="80">
        <f t="shared" si="386"/>
        <v>0</v>
      </c>
      <c r="AQ410" s="80">
        <f t="shared" si="387"/>
        <v>0</v>
      </c>
      <c r="AR410" s="80">
        <f t="shared" si="388"/>
        <v>0</v>
      </c>
      <c r="AS410" s="80">
        <f t="shared" si="389"/>
        <v>0</v>
      </c>
      <c r="AT410" s="80">
        <f t="shared" si="390"/>
        <v>0</v>
      </c>
      <c r="AU410" s="80">
        <f t="shared" si="391"/>
        <v>0</v>
      </c>
      <c r="AV410" s="80">
        <f t="shared" si="436"/>
        <v>53.58168903087082</v>
      </c>
      <c r="AW410" s="80">
        <f t="shared" si="437"/>
        <v>25.656440509413756</v>
      </c>
      <c r="AX410" s="80">
        <f t="shared" si="438"/>
        <v>15.378128886442394</v>
      </c>
      <c r="AY410" s="80">
        <f t="shared" si="439"/>
        <v>12.153043817589655</v>
      </c>
      <c r="AZ410" s="80">
        <f t="shared" si="440"/>
        <v>125.91736743418384</v>
      </c>
      <c r="BA410" s="80">
        <f t="shared" si="441"/>
        <v>53.805744063300011</v>
      </c>
      <c r="BB410" s="80">
        <f t="shared" si="417"/>
        <v>496.64546064403896</v>
      </c>
      <c r="BC410" s="80">
        <f t="shared" si="418"/>
        <v>184.7584434267149</v>
      </c>
      <c r="BD410" s="80">
        <f t="shared" si="419"/>
        <v>135.17601313545745</v>
      </c>
      <c r="BE410" s="80">
        <f t="shared" si="420"/>
        <v>99.385460553373434</v>
      </c>
      <c r="BF410" s="80">
        <f t="shared" si="421"/>
        <v>910.89210340757029</v>
      </c>
      <c r="BG410" s="80">
        <f t="shared" si="422"/>
        <v>488.56900546524435</v>
      </c>
      <c r="BH410" s="49">
        <f t="shared" si="423"/>
        <v>0</v>
      </c>
      <c r="BI410" s="79">
        <f t="shared" si="424"/>
        <v>-81693.06877456684</v>
      </c>
      <c r="BJ410" s="79">
        <f t="shared" si="392"/>
        <v>130400</v>
      </c>
      <c r="BK410" s="44">
        <f t="shared" si="425"/>
        <v>0.59621865056680168</v>
      </c>
      <c r="BL410" s="79">
        <f t="shared" si="442"/>
        <v>13046.396098005813</v>
      </c>
      <c r="BM410" s="49">
        <f t="shared" si="426"/>
        <v>143446.39609800582</v>
      </c>
      <c r="BN410" s="44">
        <f t="shared" si="427"/>
        <v>0.75591880987906257</v>
      </c>
      <c r="BO410" s="49">
        <f t="shared" si="393"/>
        <v>17883.142396479336</v>
      </c>
      <c r="BP410" s="49">
        <f t="shared" si="394"/>
        <v>148283.14239647932</v>
      </c>
      <c r="BQ410" s="44">
        <f t="shared" si="395"/>
        <v>0.81512513387970187</v>
      </c>
      <c r="BS410" s="49">
        <f t="shared" si="396"/>
        <v>81693.06877456684</v>
      </c>
      <c r="BT410" s="49">
        <f t="shared" si="443"/>
        <v>103.010002</v>
      </c>
      <c r="BU410" s="49">
        <f t="shared" si="444"/>
        <v>44.990001999999997</v>
      </c>
      <c r="BV410" s="49">
        <f t="shared" si="397"/>
        <v>-2863.3039787583893</v>
      </c>
      <c r="BW410" s="18">
        <f t="shared" si="398"/>
        <v>2576</v>
      </c>
      <c r="BX410" s="19">
        <f t="shared" si="428"/>
        <v>0.40917431192660553</v>
      </c>
      <c r="BY410" s="49">
        <f t="shared" si="429"/>
        <v>-1171.5904353451758</v>
      </c>
      <c r="BZ410" s="19">
        <f t="shared" si="399"/>
        <v>0</v>
      </c>
      <c r="CA410" s="19">
        <f t="shared" si="400"/>
        <v>0</v>
      </c>
      <c r="CB410" s="19">
        <f t="shared" si="401"/>
        <v>0</v>
      </c>
      <c r="CC410" s="19">
        <f t="shared" si="402"/>
        <v>0</v>
      </c>
      <c r="CD410" s="19">
        <f t="shared" si="403"/>
        <v>0</v>
      </c>
      <c r="CE410" s="19">
        <f t="shared" si="404"/>
        <v>0</v>
      </c>
      <c r="CF410" s="49">
        <f t="shared" si="405"/>
        <v>0</v>
      </c>
      <c r="CG410" s="49">
        <f t="shared" si="406"/>
        <v>0</v>
      </c>
      <c r="CH410" s="49">
        <f t="shared" si="407"/>
        <v>0</v>
      </c>
      <c r="CI410" s="49">
        <f t="shared" si="408"/>
        <v>0</v>
      </c>
      <c r="CJ410" s="49">
        <f t="shared" si="409"/>
        <v>0</v>
      </c>
      <c r="CK410" s="49">
        <f t="shared" si="410"/>
        <v>0</v>
      </c>
    </row>
    <row r="411" spans="2:89" ht="12.75" customHeight="1" x14ac:dyDescent="0.2">
      <c r="B411" s="77">
        <v>41876</v>
      </c>
      <c r="C411" s="49">
        <v>103.879997</v>
      </c>
      <c r="D411" s="49">
        <v>82.730002999999996</v>
      </c>
      <c r="E411" s="49">
        <v>87.949996999999996</v>
      </c>
      <c r="F411" s="49">
        <v>105.589996</v>
      </c>
      <c r="G411" s="49">
        <v>41.689999</v>
      </c>
      <c r="H411" s="49">
        <v>45.400002000000001</v>
      </c>
      <c r="J411" s="78">
        <f>IF(inter=Weekly_2,J410+$C$5,IF(inter=Bi_weekly_2,0,IF(inter=Monthly_2,0,IF(inter=Quarterly_2,0,IF(inter=Yearly_2,0,IF(inter=None_2,0,0))))))</f>
        <v>0</v>
      </c>
      <c r="K411" s="79">
        <f t="shared" si="411"/>
        <v>0</v>
      </c>
      <c r="L411" s="79">
        <f t="shared" si="412"/>
        <v>0</v>
      </c>
      <c r="M411" s="79">
        <f t="shared" si="413"/>
        <v>0</v>
      </c>
      <c r="N411" s="79">
        <f t="shared" si="414"/>
        <v>0</v>
      </c>
      <c r="O411" s="79">
        <f t="shared" si="415"/>
        <v>0</v>
      </c>
      <c r="P411" s="79">
        <f t="shared" si="416"/>
        <v>0</v>
      </c>
      <c r="Q411" s="79"/>
      <c r="R411" s="80">
        <f t="shared" si="374"/>
        <v>0</v>
      </c>
      <c r="S411" s="80">
        <f t="shared" si="375"/>
        <v>0</v>
      </c>
      <c r="T411" s="80">
        <f t="shared" si="376"/>
        <v>0</v>
      </c>
      <c r="U411" s="80">
        <f t="shared" si="377"/>
        <v>0</v>
      </c>
      <c r="V411" s="80">
        <f t="shared" si="378"/>
        <v>0</v>
      </c>
      <c r="W411" s="80">
        <f t="shared" si="379"/>
        <v>0</v>
      </c>
      <c r="X411" s="80">
        <f t="shared" si="430"/>
        <v>443.06377161316817</v>
      </c>
      <c r="Y411" s="80">
        <f t="shared" si="431"/>
        <v>159.10200291730115</v>
      </c>
      <c r="Z411" s="80">
        <f t="shared" si="432"/>
        <v>119.79788424901507</v>
      </c>
      <c r="AA411" s="80">
        <f t="shared" si="433"/>
        <v>87.232416735783787</v>
      </c>
      <c r="AB411" s="80">
        <f t="shared" si="434"/>
        <v>784.97473597338649</v>
      </c>
      <c r="AC411" s="80">
        <f t="shared" si="435"/>
        <v>434.76326140194436</v>
      </c>
      <c r="AD411" s="80"/>
      <c r="AE411" s="80"/>
      <c r="AF411" s="80"/>
      <c r="AG411" s="80"/>
      <c r="AH411" s="80"/>
      <c r="AI411" s="80"/>
      <c r="AJ411" s="45">
        <f t="shared" si="380"/>
        <v>0</v>
      </c>
      <c r="AK411" s="45">
        <f t="shared" si="381"/>
        <v>0</v>
      </c>
      <c r="AL411" s="45">
        <f t="shared" si="382"/>
        <v>0</v>
      </c>
      <c r="AM411" s="45">
        <f t="shared" si="383"/>
        <v>0</v>
      </c>
      <c r="AN411" s="45">
        <f t="shared" si="384"/>
        <v>0</v>
      </c>
      <c r="AO411" s="45">
        <f t="shared" si="385"/>
        <v>0</v>
      </c>
      <c r="AP411" s="80">
        <f t="shared" si="386"/>
        <v>0</v>
      </c>
      <c r="AQ411" s="80">
        <f t="shared" si="387"/>
        <v>0</v>
      </c>
      <c r="AR411" s="80">
        <f t="shared" si="388"/>
        <v>0</v>
      </c>
      <c r="AS411" s="80">
        <f t="shared" si="389"/>
        <v>0</v>
      </c>
      <c r="AT411" s="80">
        <f t="shared" si="390"/>
        <v>0</v>
      </c>
      <c r="AU411" s="80">
        <f t="shared" si="391"/>
        <v>0</v>
      </c>
      <c r="AV411" s="80">
        <f t="shared" si="436"/>
        <v>53.58168903087082</v>
      </c>
      <c r="AW411" s="80">
        <f t="shared" si="437"/>
        <v>25.656440509413756</v>
      </c>
      <c r="AX411" s="80">
        <f t="shared" si="438"/>
        <v>15.378128886442394</v>
      </c>
      <c r="AY411" s="80">
        <f t="shared" si="439"/>
        <v>12.153043817589655</v>
      </c>
      <c r="AZ411" s="80">
        <f t="shared" si="440"/>
        <v>125.91736743418384</v>
      </c>
      <c r="BA411" s="80">
        <f t="shared" si="441"/>
        <v>53.805744063300011</v>
      </c>
      <c r="BB411" s="80">
        <f t="shared" si="417"/>
        <v>496.64546064403896</v>
      </c>
      <c r="BC411" s="80">
        <f t="shared" si="418"/>
        <v>184.7584434267149</v>
      </c>
      <c r="BD411" s="80">
        <f t="shared" si="419"/>
        <v>135.17601313545745</v>
      </c>
      <c r="BE411" s="80">
        <f t="shared" si="420"/>
        <v>99.385460553373434</v>
      </c>
      <c r="BF411" s="80">
        <f t="shared" si="421"/>
        <v>910.89210340757029</v>
      </c>
      <c r="BG411" s="80">
        <f t="shared" si="422"/>
        <v>488.56900546524435</v>
      </c>
      <c r="BH411" s="49">
        <f t="shared" si="423"/>
        <v>0</v>
      </c>
      <c r="BI411" s="79">
        <f t="shared" si="424"/>
        <v>-81693.06877456684</v>
      </c>
      <c r="BJ411" s="79">
        <f t="shared" si="392"/>
        <v>131398.91543407846</v>
      </c>
      <c r="BK411" s="44">
        <f t="shared" si="425"/>
        <v>0.60844631503164104</v>
      </c>
      <c r="BL411" s="79">
        <f t="shared" si="442"/>
        <v>13046.396098005813</v>
      </c>
      <c r="BM411" s="49">
        <f t="shared" si="426"/>
        <v>144445.31153208428</v>
      </c>
      <c r="BN411" s="44">
        <f t="shared" si="427"/>
        <v>0.76814647434390215</v>
      </c>
      <c r="BO411" s="49">
        <f t="shared" si="393"/>
        <v>18016.64514410932</v>
      </c>
      <c r="BP411" s="49">
        <f t="shared" si="394"/>
        <v>149415.56057818772</v>
      </c>
      <c r="BQ411" s="44">
        <f t="shared" si="395"/>
        <v>0.82898699754445571</v>
      </c>
      <c r="BS411" s="49">
        <f t="shared" si="396"/>
        <v>81693.06877456684</v>
      </c>
      <c r="BT411" s="49">
        <f t="shared" si="443"/>
        <v>103.879997</v>
      </c>
      <c r="BU411" s="49">
        <f t="shared" si="444"/>
        <v>45.400002000000001</v>
      </c>
      <c r="BV411" s="49">
        <f t="shared" si="397"/>
        <v>0</v>
      </c>
      <c r="BW411" s="18">
        <f t="shared" si="398"/>
        <v>2583</v>
      </c>
      <c r="BX411" s="19">
        <f t="shared" si="428"/>
        <v>0.40756880733944956</v>
      </c>
      <c r="BY411" s="49">
        <f t="shared" si="429"/>
        <v>0</v>
      </c>
      <c r="BZ411" s="19">
        <f t="shared" si="399"/>
        <v>0</v>
      </c>
      <c r="CA411" s="19">
        <f t="shared" si="400"/>
        <v>0</v>
      </c>
      <c r="CB411" s="19">
        <f t="shared" si="401"/>
        <v>0</v>
      </c>
      <c r="CC411" s="19">
        <f t="shared" si="402"/>
        <v>0</v>
      </c>
      <c r="CD411" s="19">
        <f t="shared" si="403"/>
        <v>0</v>
      </c>
      <c r="CE411" s="19">
        <f t="shared" si="404"/>
        <v>0</v>
      </c>
      <c r="CF411" s="49">
        <f t="shared" si="405"/>
        <v>0</v>
      </c>
      <c r="CG411" s="49">
        <f t="shared" si="406"/>
        <v>0</v>
      </c>
      <c r="CH411" s="49">
        <f t="shared" si="407"/>
        <v>0</v>
      </c>
      <c r="CI411" s="49">
        <f t="shared" si="408"/>
        <v>0</v>
      </c>
      <c r="CJ411" s="49">
        <f t="shared" si="409"/>
        <v>0</v>
      </c>
      <c r="CK411" s="49">
        <f t="shared" si="410"/>
        <v>0</v>
      </c>
    </row>
    <row r="412" spans="2:89" ht="12.75" customHeight="1" x14ac:dyDescent="0.2">
      <c r="B412" s="77">
        <v>41884</v>
      </c>
      <c r="C412" s="49">
        <v>104.110001</v>
      </c>
      <c r="D412" s="49">
        <v>83.040001000000004</v>
      </c>
      <c r="E412" s="49">
        <v>88.07</v>
      </c>
      <c r="F412" s="49">
        <v>105.790001</v>
      </c>
      <c r="G412" s="49">
        <v>41.810001</v>
      </c>
      <c r="H412" s="49">
        <v>46.490001999999997</v>
      </c>
      <c r="J412" s="78">
        <f>IF(inter=Weekly_2,J411+$C$5,IF(inter=Bi_weekly_2,J410+$C$5,IF(inter=Monthly_2,0,IF(inter=Quarterly_2,0,IF(inter=Yearly_2,0,IF(inter=None_2,0,0))))))</f>
        <v>131000</v>
      </c>
      <c r="K412" s="79">
        <f t="shared" si="411"/>
        <v>277.3697057107056</v>
      </c>
      <c r="L412" s="79">
        <f t="shared" si="412"/>
        <v>111.83048135469107</v>
      </c>
      <c r="M412" s="79">
        <f t="shared" si="413"/>
        <v>70.599665810756051</v>
      </c>
      <c r="N412" s="79">
        <f t="shared" si="414"/>
        <v>58.31745371098441</v>
      </c>
      <c r="O412" s="79">
        <f t="shared" si="415"/>
        <v>69.794496022026578</v>
      </c>
      <c r="P412" s="79">
        <f t="shared" si="416"/>
        <v>562.14489210291504</v>
      </c>
      <c r="Q412" s="79"/>
      <c r="R412" s="80">
        <f t="shared" si="374"/>
        <v>-2.6641984732158979</v>
      </c>
      <c r="S412" s="80">
        <f t="shared" si="375"/>
        <v>-1.3467061657994328</v>
      </c>
      <c r="T412" s="80">
        <f t="shared" si="376"/>
        <v>-0.80163126843143018</v>
      </c>
      <c r="U412" s="80">
        <f t="shared" si="377"/>
        <v>-0.55125676490904285</v>
      </c>
      <c r="V412" s="80">
        <f t="shared" si="378"/>
        <v>-1.6693253851399472</v>
      </c>
      <c r="W412" s="80">
        <f t="shared" si="379"/>
        <v>-12.091737318120895</v>
      </c>
      <c r="X412" s="80">
        <f t="shared" si="430"/>
        <v>440.39957313995228</v>
      </c>
      <c r="Y412" s="80">
        <f t="shared" si="431"/>
        <v>157.7552967515017</v>
      </c>
      <c r="Z412" s="80">
        <f t="shared" si="432"/>
        <v>118.99625298058363</v>
      </c>
      <c r="AA412" s="80">
        <f t="shared" si="433"/>
        <v>86.681159970874745</v>
      </c>
      <c r="AB412" s="80">
        <f t="shared" si="434"/>
        <v>783.30541058824656</v>
      </c>
      <c r="AC412" s="80">
        <f t="shared" si="435"/>
        <v>422.67152408382344</v>
      </c>
      <c r="AD412" s="80"/>
      <c r="AE412" s="80"/>
      <c r="AF412" s="80"/>
      <c r="AG412" s="80"/>
      <c r="AH412" s="80"/>
      <c r="AI412" s="80"/>
      <c r="AJ412" s="45">
        <f t="shared" si="380"/>
        <v>0</v>
      </c>
      <c r="AK412" s="45">
        <f t="shared" si="381"/>
        <v>0</v>
      </c>
      <c r="AL412" s="45">
        <f t="shared" si="382"/>
        <v>0</v>
      </c>
      <c r="AM412" s="45">
        <f t="shared" si="383"/>
        <v>0</v>
      </c>
      <c r="AN412" s="45">
        <f t="shared" si="384"/>
        <v>0</v>
      </c>
      <c r="AO412" s="45">
        <f t="shared" si="385"/>
        <v>0</v>
      </c>
      <c r="AP412" s="80">
        <f t="shared" si="386"/>
        <v>0</v>
      </c>
      <c r="AQ412" s="80">
        <f t="shared" si="387"/>
        <v>0</v>
      </c>
      <c r="AR412" s="80">
        <f t="shared" si="388"/>
        <v>0</v>
      </c>
      <c r="AS412" s="80">
        <f t="shared" si="389"/>
        <v>0</v>
      </c>
      <c r="AT412" s="80">
        <f t="shared" si="390"/>
        <v>0</v>
      </c>
      <c r="AU412" s="80">
        <f t="shared" si="391"/>
        <v>0</v>
      </c>
      <c r="AV412" s="80">
        <f t="shared" si="436"/>
        <v>53.58168903087082</v>
      </c>
      <c r="AW412" s="80">
        <f t="shared" si="437"/>
        <v>25.656440509413756</v>
      </c>
      <c r="AX412" s="80">
        <f t="shared" si="438"/>
        <v>15.378128886442394</v>
      </c>
      <c r="AY412" s="80">
        <f t="shared" si="439"/>
        <v>12.153043817589655</v>
      </c>
      <c r="AZ412" s="80">
        <f t="shared" si="440"/>
        <v>125.91736743418384</v>
      </c>
      <c r="BA412" s="80">
        <f t="shared" si="441"/>
        <v>53.805744063300011</v>
      </c>
      <c r="BB412" s="80">
        <f t="shared" si="417"/>
        <v>493.98126217082313</v>
      </c>
      <c r="BC412" s="80">
        <f t="shared" si="418"/>
        <v>183.41173726091546</v>
      </c>
      <c r="BD412" s="80">
        <f t="shared" si="419"/>
        <v>134.37438186702602</v>
      </c>
      <c r="BE412" s="80">
        <f t="shared" si="420"/>
        <v>98.834203788464407</v>
      </c>
      <c r="BF412" s="80">
        <f t="shared" si="421"/>
        <v>909.22277802243036</v>
      </c>
      <c r="BG412" s="80">
        <f t="shared" si="422"/>
        <v>476.47726814712348</v>
      </c>
      <c r="BH412" s="49">
        <f t="shared" si="423"/>
        <v>0</v>
      </c>
      <c r="BI412" s="79">
        <f t="shared" si="424"/>
        <v>-80543.012079854758</v>
      </c>
      <c r="BJ412" s="79">
        <f t="shared" si="392"/>
        <v>131000</v>
      </c>
      <c r="BK412" s="44">
        <f t="shared" si="425"/>
        <v>0.62646015609795436</v>
      </c>
      <c r="BL412" s="79">
        <f t="shared" si="442"/>
        <v>13046.396098005813</v>
      </c>
      <c r="BM412" s="49">
        <f t="shared" si="426"/>
        <v>144046.39609800582</v>
      </c>
      <c r="BN412" s="44">
        <f t="shared" si="427"/>
        <v>0.78844064032755967</v>
      </c>
      <c r="BO412" s="49">
        <f t="shared" si="393"/>
        <v>18114.957280243543</v>
      </c>
      <c r="BP412" s="49">
        <f t="shared" si="394"/>
        <v>149114.95728024354</v>
      </c>
      <c r="BQ412" s="44">
        <f t="shared" si="395"/>
        <v>0.85137050911881462</v>
      </c>
      <c r="BS412" s="49">
        <f t="shared" si="396"/>
        <v>80543.012079854758</v>
      </c>
      <c r="BT412" s="49">
        <f t="shared" si="443"/>
        <v>104.110001</v>
      </c>
      <c r="BU412" s="49">
        <f t="shared" si="444"/>
        <v>46.490001999999997</v>
      </c>
      <c r="BV412" s="49">
        <f t="shared" si="397"/>
        <v>-1150.0566947120788</v>
      </c>
      <c r="BW412" s="18">
        <f t="shared" si="398"/>
        <v>2591</v>
      </c>
      <c r="BX412" s="19">
        <f t="shared" si="428"/>
        <v>0.40573394495412846</v>
      </c>
      <c r="BY412" s="49">
        <f t="shared" si="429"/>
        <v>-466.61703966643745</v>
      </c>
      <c r="BZ412" s="19">
        <f t="shared" si="399"/>
        <v>0</v>
      </c>
      <c r="CA412" s="19">
        <f t="shared" si="400"/>
        <v>0</v>
      </c>
      <c r="CB412" s="19">
        <f t="shared" si="401"/>
        <v>0</v>
      </c>
      <c r="CC412" s="19">
        <f t="shared" si="402"/>
        <v>0</v>
      </c>
      <c r="CD412" s="19">
        <f t="shared" si="403"/>
        <v>0</v>
      </c>
      <c r="CE412" s="19">
        <f t="shared" si="404"/>
        <v>0</v>
      </c>
      <c r="CF412" s="49">
        <f t="shared" si="405"/>
        <v>0</v>
      </c>
      <c r="CG412" s="49">
        <f t="shared" si="406"/>
        <v>0</v>
      </c>
      <c r="CH412" s="49">
        <f t="shared" si="407"/>
        <v>0</v>
      </c>
      <c r="CI412" s="49">
        <f t="shared" si="408"/>
        <v>0</v>
      </c>
      <c r="CJ412" s="49">
        <f t="shared" si="409"/>
        <v>0</v>
      </c>
      <c r="CK412" s="49">
        <f t="shared" si="410"/>
        <v>0</v>
      </c>
    </row>
    <row r="413" spans="2:89" ht="12.75" customHeight="1" x14ac:dyDescent="0.2">
      <c r="B413" s="77">
        <v>41890</v>
      </c>
      <c r="C413" s="49">
        <v>103.08000199999999</v>
      </c>
      <c r="D413" s="49">
        <v>82.25</v>
      </c>
      <c r="E413" s="49">
        <v>86.879997000000003</v>
      </c>
      <c r="F413" s="49">
        <v>104.489998</v>
      </c>
      <c r="G413" s="49">
        <v>41.16</v>
      </c>
      <c r="H413" s="49">
        <v>44.259998000000003</v>
      </c>
      <c r="J413" s="78">
        <f>IF(inter=Weekly_2,J412+$C$5,IF(inter=Bi_weekly_2,0,IF(inter=Monthly_2,0,IF(inter=Quarterly_2,0,IF(inter=Yearly_2,0,IF(inter=None_2,0,0))))))</f>
        <v>0</v>
      </c>
      <c r="K413" s="79">
        <f t="shared" si="411"/>
        <v>0</v>
      </c>
      <c r="L413" s="79">
        <f t="shared" si="412"/>
        <v>0</v>
      </c>
      <c r="M413" s="79">
        <f t="shared" si="413"/>
        <v>0</v>
      </c>
      <c r="N413" s="79">
        <f t="shared" si="414"/>
        <v>0</v>
      </c>
      <c r="O413" s="79">
        <f t="shared" si="415"/>
        <v>0</v>
      </c>
      <c r="P413" s="79">
        <f t="shared" si="416"/>
        <v>0</v>
      </c>
      <c r="Q413" s="79"/>
      <c r="R413" s="80">
        <f t="shared" si="374"/>
        <v>0</v>
      </c>
      <c r="S413" s="80">
        <f t="shared" si="375"/>
        <v>0</v>
      </c>
      <c r="T413" s="80">
        <f t="shared" si="376"/>
        <v>0</v>
      </c>
      <c r="U413" s="80">
        <f t="shared" si="377"/>
        <v>0</v>
      </c>
      <c r="V413" s="80">
        <f t="shared" si="378"/>
        <v>0</v>
      </c>
      <c r="W413" s="80">
        <f t="shared" si="379"/>
        <v>0</v>
      </c>
      <c r="X413" s="80">
        <f t="shared" si="430"/>
        <v>440.39957313995228</v>
      </c>
      <c r="Y413" s="80">
        <f t="shared" si="431"/>
        <v>157.7552967515017</v>
      </c>
      <c r="Z413" s="80">
        <f t="shared" si="432"/>
        <v>118.99625298058363</v>
      </c>
      <c r="AA413" s="80">
        <f t="shared" si="433"/>
        <v>86.681159970874745</v>
      </c>
      <c r="AB413" s="80">
        <f t="shared" si="434"/>
        <v>783.30541058824656</v>
      </c>
      <c r="AC413" s="80">
        <f t="shared" si="435"/>
        <v>422.67152408382344</v>
      </c>
      <c r="AD413" s="80"/>
      <c r="AE413" s="80"/>
      <c r="AF413" s="80"/>
      <c r="AG413" s="80"/>
      <c r="AH413" s="80"/>
      <c r="AI413" s="80"/>
      <c r="AJ413" s="45">
        <f t="shared" si="380"/>
        <v>0</v>
      </c>
      <c r="AK413" s="45">
        <f t="shared" si="381"/>
        <v>0</v>
      </c>
      <c r="AL413" s="45">
        <f t="shared" si="382"/>
        <v>0</v>
      </c>
      <c r="AM413" s="45">
        <f t="shared" si="383"/>
        <v>0</v>
      </c>
      <c r="AN413" s="45">
        <f t="shared" si="384"/>
        <v>0</v>
      </c>
      <c r="AO413" s="45">
        <f t="shared" si="385"/>
        <v>0</v>
      </c>
      <c r="AP413" s="80">
        <f t="shared" si="386"/>
        <v>0</v>
      </c>
      <c r="AQ413" s="80">
        <f t="shared" si="387"/>
        <v>0</v>
      </c>
      <c r="AR413" s="80">
        <f t="shared" si="388"/>
        <v>0</v>
      </c>
      <c r="AS413" s="80">
        <f t="shared" si="389"/>
        <v>0</v>
      </c>
      <c r="AT413" s="80">
        <f t="shared" si="390"/>
        <v>0</v>
      </c>
      <c r="AU413" s="80">
        <f t="shared" si="391"/>
        <v>0</v>
      </c>
      <c r="AV413" s="80">
        <f t="shared" si="436"/>
        <v>53.58168903087082</v>
      </c>
      <c r="AW413" s="80">
        <f t="shared" si="437"/>
        <v>25.656440509413756</v>
      </c>
      <c r="AX413" s="80">
        <f t="shared" si="438"/>
        <v>15.378128886442394</v>
      </c>
      <c r="AY413" s="80">
        <f t="shared" si="439"/>
        <v>12.153043817589655</v>
      </c>
      <c r="AZ413" s="80">
        <f t="shared" si="440"/>
        <v>125.91736743418384</v>
      </c>
      <c r="BA413" s="80">
        <f t="shared" si="441"/>
        <v>53.805744063300011</v>
      </c>
      <c r="BB413" s="80">
        <f t="shared" si="417"/>
        <v>493.98126217082313</v>
      </c>
      <c r="BC413" s="80">
        <f t="shared" si="418"/>
        <v>183.41173726091546</v>
      </c>
      <c r="BD413" s="80">
        <f t="shared" si="419"/>
        <v>134.37438186702602</v>
      </c>
      <c r="BE413" s="80">
        <f t="shared" si="420"/>
        <v>98.834203788464407</v>
      </c>
      <c r="BF413" s="80">
        <f t="shared" si="421"/>
        <v>909.22277802243036</v>
      </c>
      <c r="BG413" s="80">
        <f t="shared" si="422"/>
        <v>476.47726814712348</v>
      </c>
      <c r="BH413" s="49">
        <f t="shared" si="423"/>
        <v>0</v>
      </c>
      <c r="BI413" s="79">
        <f t="shared" si="424"/>
        <v>-80543.012079854758</v>
      </c>
      <c r="BJ413" s="79">
        <f t="shared" si="392"/>
        <v>128715.76188225437</v>
      </c>
      <c r="BK413" s="44">
        <f t="shared" si="425"/>
        <v>0.59809968063571439</v>
      </c>
      <c r="BL413" s="79">
        <f t="shared" si="442"/>
        <v>13046.396098005813</v>
      </c>
      <c r="BM413" s="49">
        <f t="shared" si="426"/>
        <v>141762.15798026018</v>
      </c>
      <c r="BN413" s="44">
        <f t="shared" si="427"/>
        <v>0.76008016486531949</v>
      </c>
      <c r="BO413" s="49">
        <f t="shared" si="393"/>
        <v>17803.567128299586</v>
      </c>
      <c r="BP413" s="49">
        <f t="shared" si="394"/>
        <v>146519.32901055395</v>
      </c>
      <c r="BQ413" s="44">
        <f t="shared" si="395"/>
        <v>0.81914389873185578</v>
      </c>
      <c r="BS413" s="49">
        <f t="shared" si="396"/>
        <v>80543.012079854758</v>
      </c>
      <c r="BT413" s="49">
        <f t="shared" si="443"/>
        <v>103.08000199999999</v>
      </c>
      <c r="BU413" s="49">
        <f t="shared" si="444"/>
        <v>44.259998000000003</v>
      </c>
      <c r="BV413" s="49">
        <f t="shared" si="397"/>
        <v>0</v>
      </c>
      <c r="BW413" s="18">
        <f t="shared" si="398"/>
        <v>2597</v>
      </c>
      <c r="BX413" s="19">
        <f t="shared" si="428"/>
        <v>0.40435779816513762</v>
      </c>
      <c r="BY413" s="49">
        <f t="shared" si="429"/>
        <v>0</v>
      </c>
      <c r="BZ413" s="19">
        <f t="shared" si="399"/>
        <v>0</v>
      </c>
      <c r="CA413" s="19">
        <f t="shared" si="400"/>
        <v>0</v>
      </c>
      <c r="CB413" s="19">
        <f t="shared" si="401"/>
        <v>0</v>
      </c>
      <c r="CC413" s="19">
        <f t="shared" si="402"/>
        <v>0</v>
      </c>
      <c r="CD413" s="19">
        <f t="shared" si="403"/>
        <v>0</v>
      </c>
      <c r="CE413" s="19">
        <f t="shared" si="404"/>
        <v>0</v>
      </c>
      <c r="CF413" s="49">
        <f t="shared" si="405"/>
        <v>0</v>
      </c>
      <c r="CG413" s="49">
        <f t="shared" si="406"/>
        <v>0</v>
      </c>
      <c r="CH413" s="49">
        <f t="shared" si="407"/>
        <v>0</v>
      </c>
      <c r="CI413" s="49">
        <f t="shared" si="408"/>
        <v>0</v>
      </c>
      <c r="CJ413" s="49">
        <f t="shared" si="409"/>
        <v>0</v>
      </c>
      <c r="CK413" s="49">
        <f t="shared" si="410"/>
        <v>0</v>
      </c>
    </row>
    <row r="414" spans="2:89" ht="12.75" customHeight="1" x14ac:dyDescent="0.2">
      <c r="B414" s="77">
        <v>41897</v>
      </c>
      <c r="C414" s="49">
        <v>103.980003</v>
      </c>
      <c r="D414" s="49">
        <v>83.519997000000004</v>
      </c>
      <c r="E414" s="49">
        <v>87.07</v>
      </c>
      <c r="F414" s="49">
        <v>103.849998</v>
      </c>
      <c r="G414" s="49">
        <v>41.099997999999999</v>
      </c>
      <c r="H414" s="49">
        <v>43.970001000000003</v>
      </c>
      <c r="J414" s="78">
        <f>IF(inter=Weekly_2,J413+$C$5,IF(inter=Bi_weekly_2,J412+$C$5,IF(inter=Monthly_2,J410+$C$5,IF(inter=Quarterly_2,0,IF(inter=Yearly_2,0,IF(inter=None_2,0,0))))))</f>
        <v>131600</v>
      </c>
      <c r="K414" s="79">
        <f t="shared" si="411"/>
        <v>-267.25106370904541</v>
      </c>
      <c r="L414" s="79">
        <f t="shared" si="412"/>
        <v>15.721911419532262</v>
      </c>
      <c r="M414" s="79">
        <f t="shared" si="413"/>
        <v>-166.99625298058345</v>
      </c>
      <c r="N414" s="79">
        <f t="shared" si="414"/>
        <v>-210.16171038697757</v>
      </c>
      <c r="O414" s="79">
        <f t="shared" si="415"/>
        <v>-706.14919143388761</v>
      </c>
      <c r="P414" s="79">
        <f t="shared" si="416"/>
        <v>-1155.1326633627577</v>
      </c>
      <c r="Q414" s="79"/>
      <c r="R414" s="80">
        <f t="shared" si="374"/>
        <v>2.5702159645931673</v>
      </c>
      <c r="S414" s="80">
        <f t="shared" si="375"/>
        <v>-0.18824128333639981</v>
      </c>
      <c r="T414" s="80">
        <f t="shared" si="376"/>
        <v>1.9179539793336793</v>
      </c>
      <c r="U414" s="80">
        <f t="shared" si="377"/>
        <v>2.0237045203118598</v>
      </c>
      <c r="V414" s="80">
        <f t="shared" si="378"/>
        <v>17.181246369741615</v>
      </c>
      <c r="W414" s="80">
        <f t="shared" si="379"/>
        <v>26.270926474683446</v>
      </c>
      <c r="X414" s="80">
        <f t="shared" si="430"/>
        <v>442.96978910454544</v>
      </c>
      <c r="Y414" s="80">
        <f t="shared" si="431"/>
        <v>157.56705546816531</v>
      </c>
      <c r="Z414" s="80">
        <f t="shared" si="432"/>
        <v>120.91420695991731</v>
      </c>
      <c r="AA414" s="80">
        <f t="shared" si="433"/>
        <v>88.704864491186612</v>
      </c>
      <c r="AB414" s="80">
        <f t="shared" si="434"/>
        <v>800.4866569579882</v>
      </c>
      <c r="AC414" s="80">
        <f t="shared" si="435"/>
        <v>448.94245055850689</v>
      </c>
      <c r="AD414" s="80"/>
      <c r="AE414" s="80"/>
      <c r="AF414" s="80"/>
      <c r="AG414" s="80"/>
      <c r="AH414" s="80"/>
      <c r="AI414" s="80"/>
      <c r="AJ414" s="45">
        <f t="shared" si="380"/>
        <v>0</v>
      </c>
      <c r="AK414" s="45">
        <f t="shared" si="381"/>
        <v>0</v>
      </c>
      <c r="AL414" s="45">
        <f t="shared" si="382"/>
        <v>0</v>
      </c>
      <c r="AM414" s="45">
        <f t="shared" si="383"/>
        <v>0</v>
      </c>
      <c r="AN414" s="45">
        <f t="shared" si="384"/>
        <v>0</v>
      </c>
      <c r="AO414" s="45">
        <f t="shared" si="385"/>
        <v>0</v>
      </c>
      <c r="AP414" s="80">
        <f t="shared" si="386"/>
        <v>0</v>
      </c>
      <c r="AQ414" s="80">
        <f t="shared" si="387"/>
        <v>0</v>
      </c>
      <c r="AR414" s="80">
        <f t="shared" si="388"/>
        <v>0</v>
      </c>
      <c r="AS414" s="80">
        <f t="shared" si="389"/>
        <v>0</v>
      </c>
      <c r="AT414" s="80">
        <f t="shared" si="390"/>
        <v>0</v>
      </c>
      <c r="AU414" s="80">
        <f t="shared" si="391"/>
        <v>0</v>
      </c>
      <c r="AV414" s="80">
        <f t="shared" si="436"/>
        <v>53.58168903087082</v>
      </c>
      <c r="AW414" s="80">
        <f t="shared" si="437"/>
        <v>25.656440509413756</v>
      </c>
      <c r="AX414" s="80">
        <f t="shared" si="438"/>
        <v>15.378128886442394</v>
      </c>
      <c r="AY414" s="80">
        <f t="shared" si="439"/>
        <v>12.153043817589655</v>
      </c>
      <c r="AZ414" s="80">
        <f t="shared" si="440"/>
        <v>125.91736743418384</v>
      </c>
      <c r="BA414" s="80">
        <f t="shared" si="441"/>
        <v>53.805744063300011</v>
      </c>
      <c r="BB414" s="80">
        <f t="shared" si="417"/>
        <v>496.55147813541623</v>
      </c>
      <c r="BC414" s="80">
        <f t="shared" si="418"/>
        <v>183.22349597757906</v>
      </c>
      <c r="BD414" s="80">
        <f t="shared" si="419"/>
        <v>136.29233584635969</v>
      </c>
      <c r="BE414" s="80">
        <f t="shared" si="420"/>
        <v>100.85790830877627</v>
      </c>
      <c r="BF414" s="80">
        <f t="shared" si="421"/>
        <v>926.404024392172</v>
      </c>
      <c r="BG414" s="80">
        <f t="shared" si="422"/>
        <v>502.74819462180687</v>
      </c>
      <c r="BH414" s="49">
        <f t="shared" si="423"/>
        <v>0</v>
      </c>
      <c r="BI414" s="79">
        <f t="shared" si="424"/>
        <v>-83032.981050308474</v>
      </c>
      <c r="BJ414" s="79">
        <f t="shared" si="392"/>
        <v>131600</v>
      </c>
      <c r="BK414" s="44">
        <f t="shared" si="425"/>
        <v>0.58491238463744266</v>
      </c>
      <c r="BL414" s="79">
        <f t="shared" si="442"/>
        <v>13046.396098005813</v>
      </c>
      <c r="BM414" s="49">
        <f t="shared" si="426"/>
        <v>144646.39609800582</v>
      </c>
      <c r="BN414" s="44">
        <f t="shared" si="427"/>
        <v>0.74203544505245067</v>
      </c>
      <c r="BO414" s="49">
        <f t="shared" si="393"/>
        <v>17856.359448824336</v>
      </c>
      <c r="BP414" s="49">
        <f t="shared" si="394"/>
        <v>149456.35944882431</v>
      </c>
      <c r="BQ414" s="44">
        <f t="shared" si="395"/>
        <v>0.79996379219807712</v>
      </c>
      <c r="BS414" s="49">
        <f t="shared" si="396"/>
        <v>83032.981050308474</v>
      </c>
      <c r="BT414" s="49">
        <f t="shared" si="443"/>
        <v>103.980003</v>
      </c>
      <c r="BU414" s="49">
        <f t="shared" si="444"/>
        <v>43.970001000000003</v>
      </c>
      <c r="BV414" s="49">
        <f t="shared" si="397"/>
        <v>2489.9689704537195</v>
      </c>
      <c r="BW414" s="18">
        <f t="shared" si="398"/>
        <v>2604</v>
      </c>
      <c r="BX414" s="19">
        <f t="shared" si="428"/>
        <v>0.40275229357798165</v>
      </c>
      <c r="BY414" s="49">
        <f t="shared" si="429"/>
        <v>1002.8407137882411</v>
      </c>
      <c r="BZ414" s="19">
        <f t="shared" si="399"/>
        <v>2.5702159645931673</v>
      </c>
      <c r="CA414" s="19">
        <f t="shared" si="400"/>
        <v>0</v>
      </c>
      <c r="CB414" s="19">
        <f t="shared" si="401"/>
        <v>1.9179539793336793</v>
      </c>
      <c r="CC414" s="19">
        <f t="shared" si="402"/>
        <v>2.0237045203118598</v>
      </c>
      <c r="CD414" s="19">
        <f t="shared" si="403"/>
        <v>17.181246369741615</v>
      </c>
      <c r="CE414" s="19">
        <f t="shared" si="404"/>
        <v>26.270926474683446</v>
      </c>
      <c r="CF414" s="49">
        <f t="shared" si="405"/>
        <v>-267.25106370904541</v>
      </c>
      <c r="CG414" s="49">
        <f t="shared" si="406"/>
        <v>0</v>
      </c>
      <c r="CH414" s="49">
        <f t="shared" si="407"/>
        <v>-166.99625298058345</v>
      </c>
      <c r="CI414" s="49">
        <f t="shared" si="408"/>
        <v>-210.16171038697757</v>
      </c>
      <c r="CJ414" s="49">
        <f t="shared" si="409"/>
        <v>-706.14919143388761</v>
      </c>
      <c r="CK414" s="49">
        <f t="shared" si="410"/>
        <v>-1155.1326633627577</v>
      </c>
    </row>
    <row r="415" spans="2:89" ht="12.75" customHeight="1" x14ac:dyDescent="0.2">
      <c r="B415" s="77">
        <v>41904</v>
      </c>
      <c r="C415" s="49">
        <v>101.900002</v>
      </c>
      <c r="D415" s="49">
        <v>81.650002000000001</v>
      </c>
      <c r="E415" s="49">
        <v>85.529999000000004</v>
      </c>
      <c r="F415" s="49">
        <v>101.239998</v>
      </c>
      <c r="G415" s="49">
        <v>40.18</v>
      </c>
      <c r="H415" s="49">
        <v>42.529998999999997</v>
      </c>
      <c r="J415" s="78">
        <f>IF(inter=Weekly_2,J414+$C$5,IF(inter=Bi_weekly_2,0,IF(inter=Monthly_2,0,IF(inter=Quarterly_2,0,IF(inter=Yearly_2,0,IF(inter=None_2,0,0))))))</f>
        <v>0</v>
      </c>
      <c r="K415" s="79">
        <f t="shared" si="411"/>
        <v>0</v>
      </c>
      <c r="L415" s="79">
        <f t="shared" si="412"/>
        <v>0</v>
      </c>
      <c r="M415" s="79">
        <f t="shared" si="413"/>
        <v>0</v>
      </c>
      <c r="N415" s="79">
        <f t="shared" si="414"/>
        <v>0</v>
      </c>
      <c r="O415" s="79">
        <f t="shared" si="415"/>
        <v>0</v>
      </c>
      <c r="P415" s="79">
        <f t="shared" si="416"/>
        <v>0</v>
      </c>
      <c r="Q415" s="79"/>
      <c r="R415" s="80">
        <f t="shared" si="374"/>
        <v>0</v>
      </c>
      <c r="S415" s="80">
        <f t="shared" si="375"/>
        <v>0</v>
      </c>
      <c r="T415" s="80">
        <f t="shared" si="376"/>
        <v>0</v>
      </c>
      <c r="U415" s="80">
        <f t="shared" si="377"/>
        <v>0</v>
      </c>
      <c r="V415" s="80">
        <f t="shared" si="378"/>
        <v>0</v>
      </c>
      <c r="W415" s="80">
        <f t="shared" si="379"/>
        <v>0</v>
      </c>
      <c r="X415" s="80">
        <f t="shared" si="430"/>
        <v>442.96978910454544</v>
      </c>
      <c r="Y415" s="80">
        <f t="shared" si="431"/>
        <v>157.56705546816531</v>
      </c>
      <c r="Z415" s="80">
        <f t="shared" si="432"/>
        <v>120.91420695991731</v>
      </c>
      <c r="AA415" s="80">
        <f t="shared" si="433"/>
        <v>88.704864491186612</v>
      </c>
      <c r="AB415" s="80">
        <f t="shared" si="434"/>
        <v>800.4866569579882</v>
      </c>
      <c r="AC415" s="80">
        <f t="shared" si="435"/>
        <v>448.94245055850689</v>
      </c>
      <c r="AD415" s="80">
        <v>0.46500000000000002</v>
      </c>
      <c r="AE415" s="80">
        <v>0.47599999999999998</v>
      </c>
      <c r="AF415" s="80"/>
      <c r="AG415" s="80"/>
      <c r="AH415" s="80">
        <v>0.21199999999999999</v>
      </c>
      <c r="AI415" s="80">
        <v>0.44600000000000001</v>
      </c>
      <c r="AJ415" s="45">
        <f t="shared" si="380"/>
        <v>205.98095193361365</v>
      </c>
      <c r="AK415" s="45">
        <f t="shared" si="381"/>
        <v>75.001918402846684</v>
      </c>
      <c r="AL415" s="45">
        <f t="shared" si="382"/>
        <v>0</v>
      </c>
      <c r="AM415" s="45">
        <f t="shared" si="383"/>
        <v>0</v>
      </c>
      <c r="AN415" s="45">
        <f t="shared" si="384"/>
        <v>169.7031712750935</v>
      </c>
      <c r="AO415" s="45">
        <f t="shared" si="385"/>
        <v>200.22833294909407</v>
      </c>
      <c r="AP415" s="80">
        <f t="shared" si="386"/>
        <v>2.0214028252287339</v>
      </c>
      <c r="AQ415" s="80">
        <f t="shared" si="387"/>
        <v>0.91857828004519437</v>
      </c>
      <c r="AR415" s="80">
        <f t="shared" si="388"/>
        <v>0</v>
      </c>
      <c r="AS415" s="80">
        <f t="shared" si="389"/>
        <v>0</v>
      </c>
      <c r="AT415" s="80">
        <f t="shared" si="390"/>
        <v>4.2235732024662394</v>
      </c>
      <c r="AU415" s="80">
        <f t="shared" si="391"/>
        <v>4.7079317577480797</v>
      </c>
      <c r="AV415" s="80">
        <f t="shared" si="436"/>
        <v>55.603091856099553</v>
      </c>
      <c r="AW415" s="80">
        <f t="shared" si="437"/>
        <v>26.575018789458952</v>
      </c>
      <c r="AX415" s="80">
        <f t="shared" si="438"/>
        <v>15.378128886442394</v>
      </c>
      <c r="AY415" s="80">
        <f t="shared" si="439"/>
        <v>12.153043817589655</v>
      </c>
      <c r="AZ415" s="80">
        <f t="shared" si="440"/>
        <v>130.14094063665007</v>
      </c>
      <c r="BA415" s="80">
        <f t="shared" si="441"/>
        <v>58.513675821048089</v>
      </c>
      <c r="BB415" s="80">
        <f t="shared" si="417"/>
        <v>498.57288096064497</v>
      </c>
      <c r="BC415" s="80">
        <f t="shared" si="418"/>
        <v>184.14207425762424</v>
      </c>
      <c r="BD415" s="80">
        <f t="shared" si="419"/>
        <v>136.29233584635969</v>
      </c>
      <c r="BE415" s="80">
        <f t="shared" si="420"/>
        <v>100.85790830877627</v>
      </c>
      <c r="BF415" s="80">
        <f t="shared" si="421"/>
        <v>930.62759759463825</v>
      </c>
      <c r="BG415" s="80">
        <f t="shared" si="422"/>
        <v>507.45612637955497</v>
      </c>
      <c r="BH415" s="49">
        <f t="shared" si="423"/>
        <v>650.91437456064796</v>
      </c>
      <c r="BI415" s="79">
        <f t="shared" si="424"/>
        <v>-83032.981050308474</v>
      </c>
      <c r="BJ415" s="79">
        <f t="shared" si="392"/>
        <v>128583.32094373091</v>
      </c>
      <c r="BK415" s="44">
        <f t="shared" si="425"/>
        <v>0.54858129043715964</v>
      </c>
      <c r="BL415" s="79">
        <f t="shared" si="442"/>
        <v>13697.31047256646</v>
      </c>
      <c r="BM415" s="49">
        <f t="shared" si="426"/>
        <v>142280.63141629737</v>
      </c>
      <c r="BN415" s="44">
        <f t="shared" si="427"/>
        <v>0.71354357770307697</v>
      </c>
      <c r="BO415" s="49">
        <f t="shared" si="393"/>
        <v>18099.120557654165</v>
      </c>
      <c r="BP415" s="49">
        <f t="shared" si="394"/>
        <v>146682.44150138504</v>
      </c>
      <c r="BQ415" s="44">
        <f t="shared" si="395"/>
        <v>0.76655636887843737</v>
      </c>
      <c r="BS415" s="49">
        <f t="shared" si="396"/>
        <v>83032.981050308474</v>
      </c>
      <c r="BT415" s="49">
        <f t="shared" si="443"/>
        <v>101.900002</v>
      </c>
      <c r="BU415" s="49">
        <f t="shared" si="444"/>
        <v>42.529998999999997</v>
      </c>
      <c r="BV415" s="49">
        <f t="shared" si="397"/>
        <v>-650.91437456064796</v>
      </c>
      <c r="BW415" s="18">
        <f t="shared" si="398"/>
        <v>2611</v>
      </c>
      <c r="BX415" s="19">
        <f t="shared" si="428"/>
        <v>0.40114678899082568</v>
      </c>
      <c r="BY415" s="49">
        <f t="shared" si="429"/>
        <v>-261.11221126297551</v>
      </c>
      <c r="BZ415" s="19">
        <f t="shared" si="399"/>
        <v>0</v>
      </c>
      <c r="CA415" s="19">
        <f t="shared" si="400"/>
        <v>0</v>
      </c>
      <c r="CB415" s="19">
        <f t="shared" si="401"/>
        <v>0</v>
      </c>
      <c r="CC415" s="19">
        <f t="shared" si="402"/>
        <v>0</v>
      </c>
      <c r="CD415" s="19">
        <f t="shared" si="403"/>
        <v>0</v>
      </c>
      <c r="CE415" s="19">
        <f t="shared" si="404"/>
        <v>0</v>
      </c>
      <c r="CF415" s="49">
        <f t="shared" si="405"/>
        <v>0</v>
      </c>
      <c r="CG415" s="49">
        <f t="shared" si="406"/>
        <v>0</v>
      </c>
      <c r="CH415" s="49">
        <f t="shared" si="407"/>
        <v>0</v>
      </c>
      <c r="CI415" s="49">
        <f t="shared" si="408"/>
        <v>0</v>
      </c>
      <c r="CJ415" s="49">
        <f t="shared" si="409"/>
        <v>0</v>
      </c>
      <c r="CK415" s="49">
        <f t="shared" si="410"/>
        <v>0</v>
      </c>
    </row>
    <row r="416" spans="2:89" ht="12.75" customHeight="1" x14ac:dyDescent="0.2">
      <c r="B416" s="77">
        <v>41911</v>
      </c>
      <c r="C416" s="49">
        <v>101.08000199999999</v>
      </c>
      <c r="D416" s="49">
        <v>81.050003000000004</v>
      </c>
      <c r="E416" s="49">
        <v>84.870002999999997</v>
      </c>
      <c r="F416" s="49">
        <v>99.589995999999999</v>
      </c>
      <c r="G416" s="49">
        <v>38.880001</v>
      </c>
      <c r="H416" s="49">
        <v>41.5</v>
      </c>
      <c r="J416" s="78">
        <f>IF(inter=Weekly_2,J415+$C$5,IF(inter=Bi_weekly_2,J414+$C$5,IF(inter=Monthly_2,0,IF(inter=Quarterly_2,0,IF(inter=Yearly_2,0,IF(inter=None_2,0,0))))))</f>
        <v>132200</v>
      </c>
      <c r="K416" s="79">
        <f t="shared" si="411"/>
        <v>-1494.6128313729714</v>
      </c>
      <c r="L416" s="79">
        <f t="shared" si="412"/>
        <v>-449.18968160403529</v>
      </c>
      <c r="M416" s="79">
        <f t="shared" si="413"/>
        <v>-314.0108925691984</v>
      </c>
      <c r="N416" s="79">
        <f t="shared" si="414"/>
        <v>-419.88290014218364</v>
      </c>
      <c r="O416" s="79">
        <f t="shared" si="415"/>
        <v>-1927.0779769867622</v>
      </c>
      <c r="P416" s="79">
        <f t="shared" si="416"/>
        <v>-1198.888301821964</v>
      </c>
      <c r="Q416" s="79"/>
      <c r="R416" s="80">
        <f t="shared" si="374"/>
        <v>14.786434525129625</v>
      </c>
      <c r="S416" s="80">
        <f t="shared" si="375"/>
        <v>5.5421303513589661</v>
      </c>
      <c r="T416" s="80">
        <f t="shared" si="376"/>
        <v>3.6999043415751784</v>
      </c>
      <c r="U416" s="80">
        <f t="shared" si="377"/>
        <v>4.2161152425609458</v>
      </c>
      <c r="V416" s="80">
        <f t="shared" si="378"/>
        <v>49.564761507767507</v>
      </c>
      <c r="W416" s="80">
        <f t="shared" si="379"/>
        <v>28.888874742697926</v>
      </c>
      <c r="X416" s="80">
        <f t="shared" si="430"/>
        <v>457.75622362967505</v>
      </c>
      <c r="Y416" s="80">
        <f t="shared" si="431"/>
        <v>163.10918581952427</v>
      </c>
      <c r="Z416" s="80">
        <f t="shared" si="432"/>
        <v>124.61411130149249</v>
      </c>
      <c r="AA416" s="80">
        <f t="shared" si="433"/>
        <v>92.920979733747558</v>
      </c>
      <c r="AB416" s="80">
        <f t="shared" si="434"/>
        <v>850.05141846575566</v>
      </c>
      <c r="AC416" s="80">
        <f t="shared" si="435"/>
        <v>477.8313253012048</v>
      </c>
      <c r="AD416" s="80"/>
      <c r="AE416" s="80"/>
      <c r="AF416" s="80"/>
      <c r="AG416" s="80"/>
      <c r="AH416" s="80"/>
      <c r="AI416" s="80"/>
      <c r="AJ416" s="45">
        <f t="shared" si="380"/>
        <v>0</v>
      </c>
      <c r="AK416" s="45">
        <f t="shared" si="381"/>
        <v>0</v>
      </c>
      <c r="AL416" s="45">
        <f t="shared" si="382"/>
        <v>0</v>
      </c>
      <c r="AM416" s="45">
        <f t="shared" si="383"/>
        <v>0</v>
      </c>
      <c r="AN416" s="45">
        <f t="shared" si="384"/>
        <v>0</v>
      </c>
      <c r="AO416" s="45">
        <f t="shared" si="385"/>
        <v>0</v>
      </c>
      <c r="AP416" s="80">
        <f t="shared" si="386"/>
        <v>0</v>
      </c>
      <c r="AQ416" s="80">
        <f t="shared" si="387"/>
        <v>0</v>
      </c>
      <c r="AR416" s="80">
        <f t="shared" si="388"/>
        <v>0</v>
      </c>
      <c r="AS416" s="80">
        <f t="shared" si="389"/>
        <v>0</v>
      </c>
      <c r="AT416" s="80">
        <f t="shared" si="390"/>
        <v>0</v>
      </c>
      <c r="AU416" s="80">
        <f t="shared" si="391"/>
        <v>0</v>
      </c>
      <c r="AV416" s="80">
        <f t="shared" si="436"/>
        <v>55.603091856099553</v>
      </c>
      <c r="AW416" s="80">
        <f t="shared" si="437"/>
        <v>26.575018789458952</v>
      </c>
      <c r="AX416" s="80">
        <f t="shared" si="438"/>
        <v>15.378128886442394</v>
      </c>
      <c r="AY416" s="80">
        <f t="shared" si="439"/>
        <v>12.153043817589655</v>
      </c>
      <c r="AZ416" s="80">
        <f t="shared" si="440"/>
        <v>130.14094063665007</v>
      </c>
      <c r="BA416" s="80">
        <f t="shared" si="441"/>
        <v>58.513675821048089</v>
      </c>
      <c r="BB416" s="80">
        <f t="shared" si="417"/>
        <v>513.35931548577457</v>
      </c>
      <c r="BC416" s="80">
        <f t="shared" si="418"/>
        <v>189.68420460898324</v>
      </c>
      <c r="BD416" s="80">
        <f t="shared" si="419"/>
        <v>139.99224018793487</v>
      </c>
      <c r="BE416" s="80">
        <f t="shared" si="420"/>
        <v>105.07402355133721</v>
      </c>
      <c r="BF416" s="80">
        <f t="shared" si="421"/>
        <v>980.1923591024057</v>
      </c>
      <c r="BG416" s="80">
        <f t="shared" si="422"/>
        <v>536.34500112225294</v>
      </c>
      <c r="BH416" s="49">
        <f t="shared" si="423"/>
        <v>0</v>
      </c>
      <c r="BI416" s="79">
        <f t="shared" si="424"/>
        <v>-88836.643634805601</v>
      </c>
      <c r="BJ416" s="79">
        <f t="shared" si="392"/>
        <v>132200</v>
      </c>
      <c r="BK416" s="44">
        <f t="shared" si="425"/>
        <v>0.48812465882271283</v>
      </c>
      <c r="BL416" s="79">
        <f t="shared" si="442"/>
        <v>13697.31047256646</v>
      </c>
      <c r="BM416" s="49">
        <f t="shared" si="426"/>
        <v>145897.31047256646</v>
      </c>
      <c r="BN416" s="44">
        <f t="shared" si="427"/>
        <v>0.64231002549273342</v>
      </c>
      <c r="BO416" s="49">
        <f t="shared" si="393"/>
        <v>17777.926867207152</v>
      </c>
      <c r="BP416" s="49">
        <f t="shared" si="394"/>
        <v>149977.92686720713</v>
      </c>
      <c r="BQ416" s="44">
        <f t="shared" si="395"/>
        <v>0.68824395801966998</v>
      </c>
      <c r="BS416" s="49">
        <f t="shared" si="396"/>
        <v>88836.643634805601</v>
      </c>
      <c r="BT416" s="49">
        <f t="shared" si="443"/>
        <v>101.08000199999999</v>
      </c>
      <c r="BU416" s="49">
        <f t="shared" si="444"/>
        <v>41.5</v>
      </c>
      <c r="BV416" s="49">
        <f t="shared" si="397"/>
        <v>5803.6625844971149</v>
      </c>
      <c r="BW416" s="18">
        <f t="shared" si="398"/>
        <v>2618</v>
      </c>
      <c r="BX416" s="19">
        <f t="shared" si="428"/>
        <v>0.39954128440366971</v>
      </c>
      <c r="BY416" s="49">
        <f t="shared" si="429"/>
        <v>2318.8028032554985</v>
      </c>
      <c r="BZ416" s="19">
        <f t="shared" si="399"/>
        <v>14.786434525129625</v>
      </c>
      <c r="CA416" s="19">
        <f t="shared" si="400"/>
        <v>5.5421303513589661</v>
      </c>
      <c r="CB416" s="19">
        <f t="shared" si="401"/>
        <v>3.6999043415751784</v>
      </c>
      <c r="CC416" s="19">
        <f t="shared" si="402"/>
        <v>4.2161152425609458</v>
      </c>
      <c r="CD416" s="19">
        <f t="shared" si="403"/>
        <v>49.564761507767507</v>
      </c>
      <c r="CE416" s="19">
        <f t="shared" si="404"/>
        <v>28.888874742697926</v>
      </c>
      <c r="CF416" s="49">
        <f t="shared" si="405"/>
        <v>-1494.6128313729714</v>
      </c>
      <c r="CG416" s="49">
        <f t="shared" si="406"/>
        <v>-449.18968160403529</v>
      </c>
      <c r="CH416" s="49">
        <f t="shared" si="407"/>
        <v>-314.0108925691984</v>
      </c>
      <c r="CI416" s="49">
        <f t="shared" si="408"/>
        <v>-419.88290014218364</v>
      </c>
      <c r="CJ416" s="49">
        <f t="shared" si="409"/>
        <v>-1927.0779769867622</v>
      </c>
      <c r="CK416" s="49">
        <f t="shared" si="410"/>
        <v>-1198.888301821964</v>
      </c>
    </row>
    <row r="417" spans="2:89" ht="12.75" customHeight="1" x14ac:dyDescent="0.2">
      <c r="B417" s="77">
        <v>41918</v>
      </c>
      <c r="C417" s="49">
        <v>97.660004000000001</v>
      </c>
      <c r="D417" s="49">
        <v>78.680000000000007</v>
      </c>
      <c r="E417" s="49">
        <v>82.010002</v>
      </c>
      <c r="F417" s="49">
        <v>95.599997999999999</v>
      </c>
      <c r="G417" s="49">
        <v>37.439999</v>
      </c>
      <c r="H417" s="49">
        <v>40.93</v>
      </c>
      <c r="J417" s="78">
        <f>IF(inter=Weekly_2,J416+$C$5,IF(inter=Bi_weekly_2,0,IF(inter=Monthly_2,0,IF(inter=Quarterly_2,0,IF(inter=Yearly_2,0,IF(inter=None_2,0,0))))))</f>
        <v>0</v>
      </c>
      <c r="K417" s="79">
        <f t="shared" si="411"/>
        <v>0</v>
      </c>
      <c r="L417" s="79">
        <f t="shared" si="412"/>
        <v>0</v>
      </c>
      <c r="M417" s="79">
        <f t="shared" si="413"/>
        <v>0</v>
      </c>
      <c r="N417" s="79">
        <f t="shared" si="414"/>
        <v>0</v>
      </c>
      <c r="O417" s="79">
        <f t="shared" si="415"/>
        <v>0</v>
      </c>
      <c r="P417" s="79">
        <f t="shared" si="416"/>
        <v>0</v>
      </c>
      <c r="Q417" s="79"/>
      <c r="R417" s="80">
        <f t="shared" si="374"/>
        <v>0</v>
      </c>
      <c r="S417" s="80">
        <f t="shared" si="375"/>
        <v>0</v>
      </c>
      <c r="T417" s="80">
        <f t="shared" si="376"/>
        <v>0</v>
      </c>
      <c r="U417" s="80">
        <f t="shared" si="377"/>
        <v>0</v>
      </c>
      <c r="V417" s="80">
        <f t="shared" si="378"/>
        <v>0</v>
      </c>
      <c r="W417" s="80">
        <f t="shared" si="379"/>
        <v>0</v>
      </c>
      <c r="X417" s="80">
        <f t="shared" si="430"/>
        <v>457.75622362967505</v>
      </c>
      <c r="Y417" s="80">
        <f t="shared" si="431"/>
        <v>163.10918581952427</v>
      </c>
      <c r="Z417" s="80">
        <f t="shared" si="432"/>
        <v>124.61411130149249</v>
      </c>
      <c r="AA417" s="80">
        <f t="shared" si="433"/>
        <v>92.920979733747558</v>
      </c>
      <c r="AB417" s="80">
        <f t="shared" si="434"/>
        <v>850.05141846575566</v>
      </c>
      <c r="AC417" s="80">
        <f t="shared" si="435"/>
        <v>477.8313253012048</v>
      </c>
      <c r="AD417" s="80"/>
      <c r="AE417" s="80"/>
      <c r="AF417" s="80"/>
      <c r="AG417" s="80"/>
      <c r="AH417" s="80"/>
      <c r="AI417" s="80"/>
      <c r="AJ417" s="45">
        <f t="shared" si="380"/>
        <v>0</v>
      </c>
      <c r="AK417" s="45">
        <f t="shared" si="381"/>
        <v>0</v>
      </c>
      <c r="AL417" s="45">
        <f t="shared" si="382"/>
        <v>0</v>
      </c>
      <c r="AM417" s="45">
        <f t="shared" si="383"/>
        <v>0</v>
      </c>
      <c r="AN417" s="45">
        <f t="shared" si="384"/>
        <v>0</v>
      </c>
      <c r="AO417" s="45">
        <f t="shared" si="385"/>
        <v>0</v>
      </c>
      <c r="AP417" s="80">
        <f t="shared" si="386"/>
        <v>0</v>
      </c>
      <c r="AQ417" s="80">
        <f t="shared" si="387"/>
        <v>0</v>
      </c>
      <c r="AR417" s="80">
        <f t="shared" si="388"/>
        <v>0</v>
      </c>
      <c r="AS417" s="80">
        <f t="shared" si="389"/>
        <v>0</v>
      </c>
      <c r="AT417" s="80">
        <f t="shared" si="390"/>
        <v>0</v>
      </c>
      <c r="AU417" s="80">
        <f t="shared" si="391"/>
        <v>0</v>
      </c>
      <c r="AV417" s="80">
        <f t="shared" si="436"/>
        <v>55.603091856099553</v>
      </c>
      <c r="AW417" s="80">
        <f t="shared" si="437"/>
        <v>26.575018789458952</v>
      </c>
      <c r="AX417" s="80">
        <f t="shared" si="438"/>
        <v>15.378128886442394</v>
      </c>
      <c r="AY417" s="80">
        <f t="shared" si="439"/>
        <v>12.153043817589655</v>
      </c>
      <c r="AZ417" s="80">
        <f t="shared" si="440"/>
        <v>130.14094063665007</v>
      </c>
      <c r="BA417" s="80">
        <f t="shared" si="441"/>
        <v>58.513675821048089</v>
      </c>
      <c r="BB417" s="80">
        <f t="shared" si="417"/>
        <v>513.35931548577457</v>
      </c>
      <c r="BC417" s="80">
        <f t="shared" si="418"/>
        <v>189.68420460898324</v>
      </c>
      <c r="BD417" s="80">
        <f t="shared" si="419"/>
        <v>139.99224018793487</v>
      </c>
      <c r="BE417" s="80">
        <f t="shared" si="420"/>
        <v>105.07402355133721</v>
      </c>
      <c r="BF417" s="80">
        <f t="shared" si="421"/>
        <v>980.1923591024057</v>
      </c>
      <c r="BG417" s="80">
        <f t="shared" si="422"/>
        <v>536.34500112225294</v>
      </c>
      <c r="BH417" s="49">
        <f t="shared" si="423"/>
        <v>0</v>
      </c>
      <c r="BI417" s="79">
        <f t="shared" si="424"/>
        <v>-88836.643634805601</v>
      </c>
      <c r="BJ417" s="79">
        <f t="shared" si="392"/>
        <v>128024.31476663184</v>
      </c>
      <c r="BK417" s="44">
        <f t="shared" si="425"/>
        <v>0.44112057286766704</v>
      </c>
      <c r="BL417" s="79">
        <f t="shared" si="442"/>
        <v>13697.31047256646</v>
      </c>
      <c r="BM417" s="49">
        <f t="shared" si="426"/>
        <v>141721.6252391983</v>
      </c>
      <c r="BN417" s="44">
        <f t="shared" si="427"/>
        <v>0.59530593953768784</v>
      </c>
      <c r="BO417" s="49">
        <f t="shared" si="393"/>
        <v>17211.553435473299</v>
      </c>
      <c r="BP417" s="49">
        <f t="shared" si="394"/>
        <v>145235.86820210514</v>
      </c>
      <c r="BQ417" s="44">
        <f t="shared" si="395"/>
        <v>0.63486442372978957</v>
      </c>
      <c r="BS417" s="49">
        <f t="shared" si="396"/>
        <v>88836.643634805601</v>
      </c>
      <c r="BT417" s="49">
        <f t="shared" si="443"/>
        <v>97.660004000000001</v>
      </c>
      <c r="BU417" s="49">
        <f t="shared" si="444"/>
        <v>40.93</v>
      </c>
      <c r="BV417" s="49">
        <f t="shared" si="397"/>
        <v>0</v>
      </c>
      <c r="BW417" s="18">
        <f t="shared" si="398"/>
        <v>2625</v>
      </c>
      <c r="BX417" s="19">
        <f t="shared" si="428"/>
        <v>0.39793577981651373</v>
      </c>
      <c r="BY417" s="49">
        <f t="shared" si="429"/>
        <v>0</v>
      </c>
      <c r="BZ417" s="19">
        <f t="shared" si="399"/>
        <v>0</v>
      </c>
      <c r="CA417" s="19">
        <f t="shared" si="400"/>
        <v>0</v>
      </c>
      <c r="CB417" s="19">
        <f t="shared" si="401"/>
        <v>0</v>
      </c>
      <c r="CC417" s="19">
        <f t="shared" si="402"/>
        <v>0</v>
      </c>
      <c r="CD417" s="19">
        <f t="shared" si="403"/>
        <v>0</v>
      </c>
      <c r="CE417" s="19">
        <f t="shared" si="404"/>
        <v>0</v>
      </c>
      <c r="CF417" s="49">
        <f t="shared" si="405"/>
        <v>0</v>
      </c>
      <c r="CG417" s="49">
        <f t="shared" si="406"/>
        <v>0</v>
      </c>
      <c r="CH417" s="49">
        <f t="shared" si="407"/>
        <v>0</v>
      </c>
      <c r="CI417" s="49">
        <f t="shared" si="408"/>
        <v>0</v>
      </c>
      <c r="CJ417" s="49">
        <f t="shared" si="409"/>
        <v>0</v>
      </c>
      <c r="CK417" s="49">
        <f t="shared" si="410"/>
        <v>0</v>
      </c>
    </row>
    <row r="418" spans="2:89" ht="12.75" customHeight="1" x14ac:dyDescent="0.2">
      <c r="B418" s="77">
        <v>41925</v>
      </c>
      <c r="C418" s="49">
        <v>97.120002999999997</v>
      </c>
      <c r="D418" s="49">
        <v>77.730002999999996</v>
      </c>
      <c r="E418" s="49">
        <v>81.959998999999996</v>
      </c>
      <c r="F418" s="49">
        <v>97.120002999999997</v>
      </c>
      <c r="G418" s="49">
        <v>37.57</v>
      </c>
      <c r="H418" s="49">
        <v>41.150002000000001</v>
      </c>
      <c r="J418" s="78">
        <f>IF(inter=Weekly_2,J417+$C$5,IF(inter=Bi_weekly_2,J416+$C$5,IF(inter=Monthly_2,J414+$C$5,IF(inter=Quarterly_2,0,IF(inter=Yearly_2,0,IF(inter=None_2,0,0))))))</f>
        <v>132800</v>
      </c>
      <c r="K418" s="79">
        <f t="shared" si="411"/>
        <v>-2022.7141878172915</v>
      </c>
      <c r="L418" s="79">
        <f t="shared" si="412"/>
        <v>-601.52249692082114</v>
      </c>
      <c r="M418" s="79">
        <f t="shared" si="413"/>
        <v>-410.62756234378685</v>
      </c>
      <c r="N418" s="79">
        <f t="shared" si="414"/>
        <v>-271.51416949549821</v>
      </c>
      <c r="O418" s="79">
        <f t="shared" si="415"/>
        <v>-1263.5682082415588</v>
      </c>
      <c r="P418" s="79">
        <f t="shared" si="416"/>
        <v>-257.24000819276989</v>
      </c>
      <c r="Q418" s="79"/>
      <c r="R418" s="80">
        <f t="shared" si="374"/>
        <v>20.826957633200358</v>
      </c>
      <c r="S418" s="80">
        <f t="shared" si="375"/>
        <v>7.7386140962945955</v>
      </c>
      <c r="T418" s="80">
        <f t="shared" si="376"/>
        <v>5.0100972102718897</v>
      </c>
      <c r="U418" s="80">
        <f t="shared" si="377"/>
        <v>2.7956565188275193</v>
      </c>
      <c r="V418" s="80">
        <f t="shared" si="378"/>
        <v>33.632371792429034</v>
      </c>
      <c r="W418" s="80">
        <f t="shared" si="379"/>
        <v>6.2512757154366572</v>
      </c>
      <c r="X418" s="80">
        <f t="shared" si="430"/>
        <v>478.58318126287543</v>
      </c>
      <c r="Y418" s="80">
        <f t="shared" si="431"/>
        <v>170.84779991581885</v>
      </c>
      <c r="Z418" s="80">
        <f t="shared" si="432"/>
        <v>129.62420851176438</v>
      </c>
      <c r="AA418" s="80">
        <f t="shared" si="433"/>
        <v>95.716636252575071</v>
      </c>
      <c r="AB418" s="80">
        <f t="shared" si="434"/>
        <v>883.68379025818467</v>
      </c>
      <c r="AC418" s="80">
        <f t="shared" si="435"/>
        <v>484.08260101664143</v>
      </c>
      <c r="AD418" s="80"/>
      <c r="AE418" s="80"/>
      <c r="AF418" s="80"/>
      <c r="AG418" s="80"/>
      <c r="AH418" s="80"/>
      <c r="AI418" s="80"/>
      <c r="AJ418" s="45">
        <f t="shared" si="380"/>
        <v>0</v>
      </c>
      <c r="AK418" s="45">
        <f t="shared" si="381"/>
        <v>0</v>
      </c>
      <c r="AL418" s="45">
        <f t="shared" si="382"/>
        <v>0</v>
      </c>
      <c r="AM418" s="45">
        <f t="shared" si="383"/>
        <v>0</v>
      </c>
      <c r="AN418" s="45">
        <f t="shared" si="384"/>
        <v>0</v>
      </c>
      <c r="AO418" s="45">
        <f t="shared" si="385"/>
        <v>0</v>
      </c>
      <c r="AP418" s="80">
        <f t="shared" si="386"/>
        <v>0</v>
      </c>
      <c r="AQ418" s="80">
        <f t="shared" si="387"/>
        <v>0</v>
      </c>
      <c r="AR418" s="80">
        <f t="shared" si="388"/>
        <v>0</v>
      </c>
      <c r="AS418" s="80">
        <f t="shared" si="389"/>
        <v>0</v>
      </c>
      <c r="AT418" s="80">
        <f t="shared" si="390"/>
        <v>0</v>
      </c>
      <c r="AU418" s="80">
        <f t="shared" si="391"/>
        <v>0</v>
      </c>
      <c r="AV418" s="80">
        <f t="shared" si="436"/>
        <v>55.603091856099553</v>
      </c>
      <c r="AW418" s="80">
        <f t="shared" si="437"/>
        <v>26.575018789458952</v>
      </c>
      <c r="AX418" s="80">
        <f t="shared" si="438"/>
        <v>15.378128886442394</v>
      </c>
      <c r="AY418" s="80">
        <f t="shared" si="439"/>
        <v>12.153043817589655</v>
      </c>
      <c r="AZ418" s="80">
        <f t="shared" si="440"/>
        <v>130.14094063665007</v>
      </c>
      <c r="BA418" s="80">
        <f t="shared" si="441"/>
        <v>58.513675821048089</v>
      </c>
      <c r="BB418" s="80">
        <f t="shared" si="417"/>
        <v>534.18627311897501</v>
      </c>
      <c r="BC418" s="80">
        <f t="shared" si="418"/>
        <v>197.42281870527779</v>
      </c>
      <c r="BD418" s="80">
        <f t="shared" si="419"/>
        <v>145.00233739820678</v>
      </c>
      <c r="BE418" s="80">
        <f t="shared" si="420"/>
        <v>107.86968007016472</v>
      </c>
      <c r="BF418" s="80">
        <f t="shared" si="421"/>
        <v>1013.8247308948347</v>
      </c>
      <c r="BG418" s="80">
        <f t="shared" si="422"/>
        <v>542.59627683768952</v>
      </c>
      <c r="BH418" s="49">
        <f t="shared" si="423"/>
        <v>0</v>
      </c>
      <c r="BI418" s="79">
        <f t="shared" si="424"/>
        <v>-93663.830267817335</v>
      </c>
      <c r="BJ418" s="79">
        <f t="shared" si="392"/>
        <v>132800</v>
      </c>
      <c r="BK418" s="44">
        <f t="shared" si="425"/>
        <v>0.4178365290024848</v>
      </c>
      <c r="BL418" s="79">
        <f t="shared" si="442"/>
        <v>13697.31047256646</v>
      </c>
      <c r="BM418" s="49">
        <f t="shared" si="426"/>
        <v>146497.31047256646</v>
      </c>
      <c r="BN418" s="44">
        <f t="shared" si="427"/>
        <v>0.5640755887697515</v>
      </c>
      <c r="BO418" s="49">
        <f t="shared" si="393"/>
        <v>17203.776835063916</v>
      </c>
      <c r="BP418" s="49">
        <f t="shared" si="394"/>
        <v>150003.77683506391</v>
      </c>
      <c r="BQ418" s="44">
        <f t="shared" si="395"/>
        <v>0.60151230636363207</v>
      </c>
      <c r="BS418" s="49">
        <f t="shared" si="396"/>
        <v>93663.830267817335</v>
      </c>
      <c r="BT418" s="49">
        <f t="shared" si="443"/>
        <v>97.120002999999997</v>
      </c>
      <c r="BU418" s="49">
        <f t="shared" si="444"/>
        <v>41.150002000000001</v>
      </c>
      <c r="BV418" s="49">
        <f t="shared" si="397"/>
        <v>4827.1866330117264</v>
      </c>
      <c r="BW418" s="18">
        <f t="shared" si="398"/>
        <v>2632</v>
      </c>
      <c r="BX418" s="19">
        <f t="shared" si="428"/>
        <v>0.39633027522935782</v>
      </c>
      <c r="BY418" s="49">
        <f t="shared" si="429"/>
        <v>1913.1602068450145</v>
      </c>
      <c r="BZ418" s="19">
        <f t="shared" si="399"/>
        <v>20.826957633200358</v>
      </c>
      <c r="CA418" s="19">
        <f t="shared" si="400"/>
        <v>7.7386140962945955</v>
      </c>
      <c r="CB418" s="19">
        <f t="shared" si="401"/>
        <v>5.0100972102718897</v>
      </c>
      <c r="CC418" s="19">
        <f t="shared" si="402"/>
        <v>2.7956565188275193</v>
      </c>
      <c r="CD418" s="19">
        <f t="shared" si="403"/>
        <v>33.632371792429034</v>
      </c>
      <c r="CE418" s="19">
        <f t="shared" si="404"/>
        <v>6.2512757154366572</v>
      </c>
      <c r="CF418" s="49">
        <f t="shared" si="405"/>
        <v>-2022.7141878172915</v>
      </c>
      <c r="CG418" s="49">
        <f t="shared" si="406"/>
        <v>-601.52249692082114</v>
      </c>
      <c r="CH418" s="49">
        <f t="shared" si="407"/>
        <v>-410.62756234378685</v>
      </c>
      <c r="CI418" s="49">
        <f t="shared" si="408"/>
        <v>-271.51416949549821</v>
      </c>
      <c r="CJ418" s="49">
        <f t="shared" si="409"/>
        <v>-1263.5682082415588</v>
      </c>
      <c r="CK418" s="49">
        <f t="shared" si="410"/>
        <v>-257.24000819276989</v>
      </c>
    </row>
    <row r="419" spans="2:89" ht="12.75" customHeight="1" x14ac:dyDescent="0.2">
      <c r="B419" s="77">
        <v>41932</v>
      </c>
      <c r="C419" s="49">
        <v>101.150002</v>
      </c>
      <c r="D419" s="49">
        <v>80.610000999999997</v>
      </c>
      <c r="E419" s="49">
        <v>85.510002</v>
      </c>
      <c r="F419" s="49">
        <v>100.900002</v>
      </c>
      <c r="G419" s="49">
        <v>38.590000000000003</v>
      </c>
      <c r="H419" s="49">
        <v>41.470001000000003</v>
      </c>
      <c r="J419" s="78">
        <f>IF(inter=Weekly_2,J418+$C$5,IF(inter=Bi_weekly_2,0,IF(inter=Monthly_2,0,IF(inter=Quarterly_2,J406+$C$5,IF(inter=Yearly_2,0,IF(inter=None_2,0,0))))))</f>
        <v>0</v>
      </c>
      <c r="K419" s="79">
        <f t="shared" si="411"/>
        <v>0</v>
      </c>
      <c r="L419" s="79">
        <f t="shared" si="412"/>
        <v>0</v>
      </c>
      <c r="M419" s="79">
        <f t="shared" si="413"/>
        <v>0</v>
      </c>
      <c r="N419" s="79">
        <f t="shared" si="414"/>
        <v>0</v>
      </c>
      <c r="O419" s="79">
        <f t="shared" si="415"/>
        <v>0</v>
      </c>
      <c r="P419" s="79">
        <f t="shared" si="416"/>
        <v>0</v>
      </c>
      <c r="Q419" s="79"/>
      <c r="R419" s="80">
        <f t="shared" si="374"/>
        <v>0</v>
      </c>
      <c r="S419" s="80">
        <f t="shared" si="375"/>
        <v>0</v>
      </c>
      <c r="T419" s="80">
        <f t="shared" si="376"/>
        <v>0</v>
      </c>
      <c r="U419" s="80">
        <f t="shared" si="377"/>
        <v>0</v>
      </c>
      <c r="V419" s="80">
        <f t="shared" si="378"/>
        <v>0</v>
      </c>
      <c r="W419" s="80">
        <f t="shared" si="379"/>
        <v>0</v>
      </c>
      <c r="X419" s="80">
        <f t="shared" si="430"/>
        <v>478.58318126287543</v>
      </c>
      <c r="Y419" s="80">
        <f t="shared" si="431"/>
        <v>170.84779991581885</v>
      </c>
      <c r="Z419" s="80">
        <f t="shared" si="432"/>
        <v>129.62420851176438</v>
      </c>
      <c r="AA419" s="80">
        <f t="shared" si="433"/>
        <v>95.716636252575071</v>
      </c>
      <c r="AB419" s="80">
        <f t="shared" si="434"/>
        <v>883.68379025818467</v>
      </c>
      <c r="AC419" s="80">
        <f t="shared" si="435"/>
        <v>484.08260101664143</v>
      </c>
      <c r="AD419" s="80"/>
      <c r="AE419" s="80"/>
      <c r="AF419" s="80"/>
      <c r="AG419" s="80"/>
      <c r="AH419" s="80"/>
      <c r="AI419" s="80"/>
      <c r="AJ419" s="45">
        <f t="shared" si="380"/>
        <v>0</v>
      </c>
      <c r="AK419" s="45">
        <f t="shared" si="381"/>
        <v>0</v>
      </c>
      <c r="AL419" s="45">
        <f t="shared" si="382"/>
        <v>0</v>
      </c>
      <c r="AM419" s="45">
        <f t="shared" si="383"/>
        <v>0</v>
      </c>
      <c r="AN419" s="45">
        <f t="shared" si="384"/>
        <v>0</v>
      </c>
      <c r="AO419" s="45">
        <f t="shared" si="385"/>
        <v>0</v>
      </c>
      <c r="AP419" s="80">
        <f t="shared" si="386"/>
        <v>0</v>
      </c>
      <c r="AQ419" s="80">
        <f t="shared" si="387"/>
        <v>0</v>
      </c>
      <c r="AR419" s="80">
        <f t="shared" si="388"/>
        <v>0</v>
      </c>
      <c r="AS419" s="80">
        <f t="shared" si="389"/>
        <v>0</v>
      </c>
      <c r="AT419" s="80">
        <f t="shared" si="390"/>
        <v>0</v>
      </c>
      <c r="AU419" s="80">
        <f t="shared" si="391"/>
        <v>0</v>
      </c>
      <c r="AV419" s="80">
        <f t="shared" si="436"/>
        <v>55.603091856099553</v>
      </c>
      <c r="AW419" s="80">
        <f t="shared" si="437"/>
        <v>26.575018789458952</v>
      </c>
      <c r="AX419" s="80">
        <f t="shared" si="438"/>
        <v>15.378128886442394</v>
      </c>
      <c r="AY419" s="80">
        <f t="shared" si="439"/>
        <v>12.153043817589655</v>
      </c>
      <c r="AZ419" s="80">
        <f t="shared" si="440"/>
        <v>130.14094063665007</v>
      </c>
      <c r="BA419" s="80">
        <f t="shared" si="441"/>
        <v>58.513675821048089</v>
      </c>
      <c r="BB419" s="80">
        <f t="shared" si="417"/>
        <v>534.18627311897501</v>
      </c>
      <c r="BC419" s="80">
        <f t="shared" si="418"/>
        <v>197.42281870527779</v>
      </c>
      <c r="BD419" s="80">
        <f t="shared" si="419"/>
        <v>145.00233739820678</v>
      </c>
      <c r="BE419" s="80">
        <f t="shared" si="420"/>
        <v>107.86968007016472</v>
      </c>
      <c r="BF419" s="80">
        <f t="shared" si="421"/>
        <v>1013.8247308948347</v>
      </c>
      <c r="BG419" s="80">
        <f t="shared" si="422"/>
        <v>542.59627683768952</v>
      </c>
      <c r="BH419" s="49">
        <f t="shared" si="423"/>
        <v>0</v>
      </c>
      <c r="BI419" s="79">
        <f t="shared" si="424"/>
        <v>-93663.830267817335</v>
      </c>
      <c r="BJ419" s="79">
        <f t="shared" si="392"/>
        <v>137098.96959668174</v>
      </c>
      <c r="BK419" s="44">
        <f t="shared" si="425"/>
        <v>0.46373439143656947</v>
      </c>
      <c r="BL419" s="79">
        <f t="shared" si="442"/>
        <v>13697.31047256646</v>
      </c>
      <c r="BM419" s="49">
        <f t="shared" si="426"/>
        <v>150796.2800692482</v>
      </c>
      <c r="BN419" s="44">
        <f t="shared" si="427"/>
        <v>0.60997345120383617</v>
      </c>
      <c r="BO419" s="49">
        <f t="shared" si="393"/>
        <v>17756.392214961656</v>
      </c>
      <c r="BP419" s="49">
        <f t="shared" si="394"/>
        <v>154855.36181164338</v>
      </c>
      <c r="BQ419" s="44">
        <f t="shared" si="395"/>
        <v>0.65331015578647866</v>
      </c>
      <c r="BS419" s="49">
        <f t="shared" si="396"/>
        <v>93663.830267817335</v>
      </c>
      <c r="BT419" s="49">
        <f t="shared" si="443"/>
        <v>101.150002</v>
      </c>
      <c r="BU419" s="49">
        <f t="shared" si="444"/>
        <v>41.470001000000003</v>
      </c>
      <c r="BV419" s="49">
        <f t="shared" si="397"/>
        <v>0</v>
      </c>
      <c r="BW419" s="18">
        <f t="shared" si="398"/>
        <v>2639</v>
      </c>
      <c r="BX419" s="19">
        <f t="shared" si="428"/>
        <v>0.39472477064220185</v>
      </c>
      <c r="BY419" s="49">
        <f t="shared" si="429"/>
        <v>0</v>
      </c>
      <c r="BZ419" s="19">
        <f t="shared" si="399"/>
        <v>0</v>
      </c>
      <c r="CA419" s="19">
        <f t="shared" si="400"/>
        <v>0</v>
      </c>
      <c r="CB419" s="19">
        <f t="shared" si="401"/>
        <v>0</v>
      </c>
      <c r="CC419" s="19">
        <f t="shared" si="402"/>
        <v>0</v>
      </c>
      <c r="CD419" s="19">
        <f t="shared" si="403"/>
        <v>0</v>
      </c>
      <c r="CE419" s="19">
        <f t="shared" si="404"/>
        <v>0</v>
      </c>
      <c r="CF419" s="49">
        <f t="shared" si="405"/>
        <v>0</v>
      </c>
      <c r="CG419" s="49">
        <f t="shared" si="406"/>
        <v>0</v>
      </c>
      <c r="CH419" s="49">
        <f t="shared" si="407"/>
        <v>0</v>
      </c>
      <c r="CI419" s="49">
        <f t="shared" si="408"/>
        <v>0</v>
      </c>
      <c r="CJ419" s="49">
        <f t="shared" si="409"/>
        <v>0</v>
      </c>
      <c r="CK419" s="49">
        <f t="shared" si="410"/>
        <v>0</v>
      </c>
    </row>
    <row r="420" spans="2:89" ht="12.75" customHeight="1" x14ac:dyDescent="0.2">
      <c r="B420" s="77">
        <v>41939</v>
      </c>
      <c r="C420" s="49">
        <v>104.019997</v>
      </c>
      <c r="D420" s="49">
        <v>82.660004000000001</v>
      </c>
      <c r="E420" s="49">
        <v>87.919998000000007</v>
      </c>
      <c r="F420" s="49">
        <v>104.58000199999999</v>
      </c>
      <c r="G420" s="49">
        <v>39.610000999999997</v>
      </c>
      <c r="H420" s="49">
        <v>42.639999000000003</v>
      </c>
      <c r="J420" s="78">
        <f>IF(inter=Weekly_2,J419+$C$5,IF(inter=Bi_weekly_2,J418+$C$5,IF(inter=Monthly_2,0,IF(inter=Quarterly_2,0,IF(inter=Yearly_2,0,IF(inter=None_2,0,0))))))</f>
        <v>133400</v>
      </c>
      <c r="K420" s="79">
        <f t="shared" si="411"/>
        <v>3092.2210792147598</v>
      </c>
      <c r="L420" s="79">
        <f t="shared" si="412"/>
        <v>782.27982443278597</v>
      </c>
      <c r="M420" s="79">
        <f t="shared" si="413"/>
        <v>724.56015310590737</v>
      </c>
      <c r="N420" s="79">
        <f t="shared" si="414"/>
        <v>672.04601072757214</v>
      </c>
      <c r="O420" s="79">
        <f t="shared" si="415"/>
        <v>1652.7158158104794</v>
      </c>
      <c r="P420" s="79">
        <f t="shared" si="416"/>
        <v>631.28162326699021</v>
      </c>
      <c r="Q420" s="79"/>
      <c r="R420" s="80">
        <f t="shared" si="374"/>
        <v>-29.727179084755786</v>
      </c>
      <c r="S420" s="80">
        <f t="shared" si="375"/>
        <v>-9.4638251461103966</v>
      </c>
      <c r="T420" s="80">
        <f t="shared" si="376"/>
        <v>-8.2411302273449483</v>
      </c>
      <c r="U420" s="80">
        <f t="shared" si="377"/>
        <v>-6.426142645585073</v>
      </c>
      <c r="V420" s="80">
        <f t="shared" si="378"/>
        <v>-41.724710277348379</v>
      </c>
      <c r="W420" s="80">
        <f t="shared" si="379"/>
        <v>-14.804916465101</v>
      </c>
      <c r="X420" s="80">
        <f t="shared" si="430"/>
        <v>448.85600217811964</v>
      </c>
      <c r="Y420" s="80">
        <f t="shared" si="431"/>
        <v>161.38397476970846</v>
      </c>
      <c r="Z420" s="80">
        <f t="shared" si="432"/>
        <v>121.38307828441943</v>
      </c>
      <c r="AA420" s="80">
        <f t="shared" si="433"/>
        <v>89.290493606989997</v>
      </c>
      <c r="AB420" s="80">
        <f t="shared" si="434"/>
        <v>841.95907998083635</v>
      </c>
      <c r="AC420" s="80">
        <f t="shared" si="435"/>
        <v>469.27768455154046</v>
      </c>
      <c r="AD420" s="80"/>
      <c r="AE420" s="80"/>
      <c r="AF420" s="80"/>
      <c r="AG420" s="80"/>
      <c r="AH420" s="80"/>
      <c r="AI420" s="80"/>
      <c r="AJ420" s="45">
        <f t="shared" si="380"/>
        <v>0</v>
      </c>
      <c r="AK420" s="45">
        <f t="shared" si="381"/>
        <v>0</v>
      </c>
      <c r="AL420" s="45">
        <f t="shared" si="382"/>
        <v>0</v>
      </c>
      <c r="AM420" s="45">
        <f t="shared" si="383"/>
        <v>0</v>
      </c>
      <c r="AN420" s="45">
        <f t="shared" si="384"/>
        <v>0</v>
      </c>
      <c r="AO420" s="45">
        <f t="shared" si="385"/>
        <v>0</v>
      </c>
      <c r="AP420" s="80">
        <f t="shared" si="386"/>
        <v>0</v>
      </c>
      <c r="AQ420" s="80">
        <f t="shared" si="387"/>
        <v>0</v>
      </c>
      <c r="AR420" s="80">
        <f t="shared" si="388"/>
        <v>0</v>
      </c>
      <c r="AS420" s="80">
        <f t="shared" si="389"/>
        <v>0</v>
      </c>
      <c r="AT420" s="80">
        <f t="shared" si="390"/>
        <v>0</v>
      </c>
      <c r="AU420" s="80">
        <f t="shared" si="391"/>
        <v>0</v>
      </c>
      <c r="AV420" s="80">
        <f t="shared" si="436"/>
        <v>55.603091856099553</v>
      </c>
      <c r="AW420" s="80">
        <f t="shared" si="437"/>
        <v>26.575018789458952</v>
      </c>
      <c r="AX420" s="80">
        <f t="shared" si="438"/>
        <v>15.378128886442394</v>
      </c>
      <c r="AY420" s="80">
        <f t="shared" si="439"/>
        <v>12.153043817589655</v>
      </c>
      <c r="AZ420" s="80">
        <f t="shared" si="440"/>
        <v>130.14094063665007</v>
      </c>
      <c r="BA420" s="80">
        <f t="shared" si="441"/>
        <v>58.513675821048089</v>
      </c>
      <c r="BB420" s="80">
        <f t="shared" si="417"/>
        <v>504.45909403421922</v>
      </c>
      <c r="BC420" s="80">
        <f t="shared" si="418"/>
        <v>187.95899355916742</v>
      </c>
      <c r="BD420" s="80">
        <f t="shared" si="419"/>
        <v>136.76120717086181</v>
      </c>
      <c r="BE420" s="80">
        <f t="shared" si="420"/>
        <v>101.44353742457966</v>
      </c>
      <c r="BF420" s="80">
        <f t="shared" si="421"/>
        <v>972.10002061748639</v>
      </c>
      <c r="BG420" s="80">
        <f t="shared" si="422"/>
        <v>527.79136037258854</v>
      </c>
      <c r="BH420" s="49">
        <f t="shared" si="423"/>
        <v>0</v>
      </c>
      <c r="BI420" s="79">
        <f t="shared" si="424"/>
        <v>-86108.725761258829</v>
      </c>
      <c r="BJ420" s="79">
        <f t="shared" si="392"/>
        <v>133400</v>
      </c>
      <c r="BK420" s="44">
        <f t="shared" si="425"/>
        <v>0.54920420457572239</v>
      </c>
      <c r="BL420" s="79">
        <f t="shared" si="442"/>
        <v>13697.31047256646</v>
      </c>
      <c r="BM420" s="49">
        <f t="shared" si="426"/>
        <v>147097.31047256646</v>
      </c>
      <c r="BN420" s="44">
        <f t="shared" si="427"/>
        <v>0.70827415191814391</v>
      </c>
      <c r="BO420" s="49">
        <f t="shared" si="393"/>
        <v>18253.440882442788</v>
      </c>
      <c r="BP420" s="49">
        <f t="shared" si="394"/>
        <v>151653.44088244278</v>
      </c>
      <c r="BQ420" s="44">
        <f t="shared" si="395"/>
        <v>0.76118551914135013</v>
      </c>
      <c r="BS420" s="49">
        <f t="shared" si="396"/>
        <v>86108.725761258829</v>
      </c>
      <c r="BT420" s="49">
        <f t="shared" si="443"/>
        <v>104.019997</v>
      </c>
      <c r="BU420" s="49">
        <f t="shared" si="444"/>
        <v>42.639999000000003</v>
      </c>
      <c r="BV420" s="49">
        <f t="shared" si="397"/>
        <v>-7555.1045065584949</v>
      </c>
      <c r="BW420" s="18">
        <f t="shared" si="398"/>
        <v>2646</v>
      </c>
      <c r="BX420" s="19">
        <f t="shared" si="428"/>
        <v>0.39311926605504588</v>
      </c>
      <c r="BY420" s="49">
        <f t="shared" si="429"/>
        <v>-2970.057138587445</v>
      </c>
      <c r="BZ420" s="19">
        <f t="shared" si="399"/>
        <v>0</v>
      </c>
      <c r="CA420" s="19">
        <f t="shared" si="400"/>
        <v>0</v>
      </c>
      <c r="CB420" s="19">
        <f t="shared" si="401"/>
        <v>0</v>
      </c>
      <c r="CC420" s="19">
        <f t="shared" si="402"/>
        <v>0</v>
      </c>
      <c r="CD420" s="19">
        <f t="shared" si="403"/>
        <v>0</v>
      </c>
      <c r="CE420" s="19">
        <f t="shared" si="404"/>
        <v>0</v>
      </c>
      <c r="CF420" s="49">
        <f t="shared" si="405"/>
        <v>0</v>
      </c>
      <c r="CG420" s="49">
        <f t="shared" si="406"/>
        <v>0</v>
      </c>
      <c r="CH420" s="49">
        <f t="shared" si="407"/>
        <v>0</v>
      </c>
      <c r="CI420" s="49">
        <f t="shared" si="408"/>
        <v>0</v>
      </c>
      <c r="CJ420" s="49">
        <f t="shared" si="409"/>
        <v>0</v>
      </c>
      <c r="CK420" s="49">
        <f t="shared" si="410"/>
        <v>0</v>
      </c>
    </row>
    <row r="421" spans="2:89" ht="12.75" customHeight="1" x14ac:dyDescent="0.2">
      <c r="B421" s="77">
        <v>41946</v>
      </c>
      <c r="C421" s="49">
        <v>104.779999</v>
      </c>
      <c r="D421" s="49">
        <v>83.580001999999993</v>
      </c>
      <c r="E421" s="49">
        <v>88.540001000000004</v>
      </c>
      <c r="F421" s="49">
        <v>105.30999799999999</v>
      </c>
      <c r="G421" s="49">
        <v>38.939999</v>
      </c>
      <c r="H421" s="49">
        <v>41.810001</v>
      </c>
      <c r="J421" s="78">
        <f>IF(inter=Weekly_2,J420+$C$5,IF(inter=Bi_weekly_2,0,IF(inter=Monthly_2,0,IF(inter=Quarterly_2,0,IF(inter=Yearly_2,0,IF(inter=None_2,0,0))))))</f>
        <v>0</v>
      </c>
      <c r="K421" s="79">
        <f t="shared" si="411"/>
        <v>0</v>
      </c>
      <c r="L421" s="79">
        <f t="shared" si="412"/>
        <v>0</v>
      </c>
      <c r="M421" s="79">
        <f t="shared" si="413"/>
        <v>0</v>
      </c>
      <c r="N421" s="79">
        <f t="shared" si="414"/>
        <v>0</v>
      </c>
      <c r="O421" s="79">
        <f t="shared" si="415"/>
        <v>0</v>
      </c>
      <c r="P421" s="79">
        <f t="shared" si="416"/>
        <v>0</v>
      </c>
      <c r="Q421" s="79"/>
      <c r="R421" s="80">
        <f t="shared" si="374"/>
        <v>0</v>
      </c>
      <c r="S421" s="80">
        <f t="shared" si="375"/>
        <v>0</v>
      </c>
      <c r="T421" s="80">
        <f t="shared" si="376"/>
        <v>0</v>
      </c>
      <c r="U421" s="80">
        <f t="shared" si="377"/>
        <v>0</v>
      </c>
      <c r="V421" s="80">
        <f t="shared" si="378"/>
        <v>0</v>
      </c>
      <c r="W421" s="80">
        <f t="shared" si="379"/>
        <v>0</v>
      </c>
      <c r="X421" s="80">
        <f t="shared" si="430"/>
        <v>448.85600217811964</v>
      </c>
      <c r="Y421" s="80">
        <f t="shared" si="431"/>
        <v>161.38397476970846</v>
      </c>
      <c r="Z421" s="80">
        <f t="shared" si="432"/>
        <v>121.38307828441943</v>
      </c>
      <c r="AA421" s="80">
        <f t="shared" si="433"/>
        <v>89.290493606989997</v>
      </c>
      <c r="AB421" s="80">
        <f t="shared" si="434"/>
        <v>841.95907998083635</v>
      </c>
      <c r="AC421" s="80">
        <f t="shared" si="435"/>
        <v>469.27768455154046</v>
      </c>
      <c r="AD421" s="80"/>
      <c r="AE421" s="80"/>
      <c r="AF421" s="80"/>
      <c r="AG421" s="80"/>
      <c r="AH421" s="80"/>
      <c r="AI421" s="80"/>
      <c r="AJ421" s="45">
        <f t="shared" si="380"/>
        <v>0</v>
      </c>
      <c r="AK421" s="45">
        <f t="shared" si="381"/>
        <v>0</v>
      </c>
      <c r="AL421" s="45">
        <f t="shared" si="382"/>
        <v>0</v>
      </c>
      <c r="AM421" s="45">
        <f t="shared" si="383"/>
        <v>0</v>
      </c>
      <c r="AN421" s="45">
        <f t="shared" si="384"/>
        <v>0</v>
      </c>
      <c r="AO421" s="45">
        <f t="shared" si="385"/>
        <v>0</v>
      </c>
      <c r="AP421" s="80">
        <f t="shared" si="386"/>
        <v>0</v>
      </c>
      <c r="AQ421" s="80">
        <f t="shared" si="387"/>
        <v>0</v>
      </c>
      <c r="AR421" s="80">
        <f t="shared" si="388"/>
        <v>0</v>
      </c>
      <c r="AS421" s="80">
        <f t="shared" si="389"/>
        <v>0</v>
      </c>
      <c r="AT421" s="80">
        <f t="shared" si="390"/>
        <v>0</v>
      </c>
      <c r="AU421" s="80">
        <f t="shared" si="391"/>
        <v>0</v>
      </c>
      <c r="AV421" s="80">
        <f t="shared" si="436"/>
        <v>55.603091856099553</v>
      </c>
      <c r="AW421" s="80">
        <f t="shared" si="437"/>
        <v>26.575018789458952</v>
      </c>
      <c r="AX421" s="80">
        <f t="shared" si="438"/>
        <v>15.378128886442394</v>
      </c>
      <c r="AY421" s="80">
        <f t="shared" si="439"/>
        <v>12.153043817589655</v>
      </c>
      <c r="AZ421" s="80">
        <f t="shared" si="440"/>
        <v>130.14094063665007</v>
      </c>
      <c r="BA421" s="80">
        <f t="shared" si="441"/>
        <v>58.513675821048089</v>
      </c>
      <c r="BB421" s="80">
        <f t="shared" si="417"/>
        <v>504.45909403421922</v>
      </c>
      <c r="BC421" s="80">
        <f t="shared" si="418"/>
        <v>187.95899355916742</v>
      </c>
      <c r="BD421" s="80">
        <f t="shared" si="419"/>
        <v>136.76120717086181</v>
      </c>
      <c r="BE421" s="80">
        <f t="shared" si="420"/>
        <v>101.44353742457966</v>
      </c>
      <c r="BF421" s="80">
        <f t="shared" si="421"/>
        <v>972.10002061748639</v>
      </c>
      <c r="BG421" s="80">
        <f t="shared" si="422"/>
        <v>527.79136037258854</v>
      </c>
      <c r="BH421" s="49">
        <f t="shared" si="423"/>
        <v>0</v>
      </c>
      <c r="BI421" s="79">
        <f t="shared" si="424"/>
        <v>-86108.725761258829</v>
      </c>
      <c r="BJ421" s="79">
        <f t="shared" si="392"/>
        <v>133076.43016211654</v>
      </c>
      <c r="BK421" s="44">
        <f t="shared" si="425"/>
        <v>0.54544651527045285</v>
      </c>
      <c r="BL421" s="79">
        <f t="shared" si="442"/>
        <v>13697.31047256646</v>
      </c>
      <c r="BM421" s="49">
        <f t="shared" si="426"/>
        <v>146773.740634683</v>
      </c>
      <c r="BN421" s="44">
        <f t="shared" si="427"/>
        <v>0.70451646261287437</v>
      </c>
      <c r="BO421" s="49">
        <f t="shared" si="393"/>
        <v>18202.793542601965</v>
      </c>
      <c r="BP421" s="49">
        <f t="shared" si="394"/>
        <v>151279.22370471852</v>
      </c>
      <c r="BQ421" s="44">
        <f t="shared" si="395"/>
        <v>0.75683965088681582</v>
      </c>
      <c r="BS421" s="49">
        <f t="shared" si="396"/>
        <v>86108.725761258829</v>
      </c>
      <c r="BT421" s="49">
        <f t="shared" si="443"/>
        <v>104.779999</v>
      </c>
      <c r="BU421" s="49">
        <f t="shared" si="444"/>
        <v>41.810001</v>
      </c>
      <c r="BV421" s="49">
        <f t="shared" si="397"/>
        <v>0</v>
      </c>
      <c r="BW421" s="18">
        <f t="shared" si="398"/>
        <v>2653</v>
      </c>
      <c r="BX421" s="19">
        <f t="shared" si="428"/>
        <v>0.39151376146788991</v>
      </c>
      <c r="BY421" s="49">
        <f t="shared" si="429"/>
        <v>0</v>
      </c>
      <c r="BZ421" s="19">
        <f t="shared" si="399"/>
        <v>0</v>
      </c>
      <c r="CA421" s="19">
        <f t="shared" si="400"/>
        <v>0</v>
      </c>
      <c r="CB421" s="19">
        <f t="shared" si="401"/>
        <v>0</v>
      </c>
      <c r="CC421" s="19">
        <f t="shared" si="402"/>
        <v>0</v>
      </c>
      <c r="CD421" s="19">
        <f t="shared" si="403"/>
        <v>0</v>
      </c>
      <c r="CE421" s="19">
        <f t="shared" si="404"/>
        <v>0</v>
      </c>
      <c r="CF421" s="49">
        <f t="shared" si="405"/>
        <v>0</v>
      </c>
      <c r="CG421" s="49">
        <f t="shared" si="406"/>
        <v>0</v>
      </c>
      <c r="CH421" s="49">
        <f t="shared" si="407"/>
        <v>0</v>
      </c>
      <c r="CI421" s="49">
        <f t="shared" si="408"/>
        <v>0</v>
      </c>
      <c r="CJ421" s="49">
        <f t="shared" si="409"/>
        <v>0</v>
      </c>
      <c r="CK421" s="49">
        <f t="shared" si="410"/>
        <v>0</v>
      </c>
    </row>
    <row r="422" spans="2:89" ht="12.75" customHeight="1" x14ac:dyDescent="0.2">
      <c r="B422" s="77">
        <v>41953</v>
      </c>
      <c r="C422" s="49">
        <v>105.16999800000001</v>
      </c>
      <c r="D422" s="49">
        <v>83.790001000000004</v>
      </c>
      <c r="E422" s="49">
        <v>88.410004000000001</v>
      </c>
      <c r="F422" s="49">
        <v>105.239998</v>
      </c>
      <c r="G422" s="49">
        <v>39.240001999999997</v>
      </c>
      <c r="H422" s="49">
        <v>42.130001</v>
      </c>
      <c r="J422" s="78">
        <f>IF(inter=Weekly_2,J421+$C$5,IF(inter=Bi_weekly_2,J420+$C$5,IF(inter=Monthly_2,J418+$C$5,IF(inter=Quarterly_2,0,IF(inter=Yearly_2,0,IF(inter=None_2,0,0))))))</f>
        <v>134000</v>
      </c>
      <c r="K422" s="79">
        <f t="shared" si="411"/>
        <v>306.184851360842</v>
      </c>
      <c r="L422" s="79">
        <f t="shared" si="412"/>
        <v>122.36340733784709</v>
      </c>
      <c r="M422" s="79">
        <f t="shared" si="413"/>
        <v>11.478436657835118</v>
      </c>
      <c r="N422" s="79">
        <f t="shared" si="414"/>
        <v>16.931368618639681</v>
      </c>
      <c r="O422" s="79">
        <f t="shared" si="415"/>
        <v>-461.52401763382659</v>
      </c>
      <c r="P422" s="79">
        <f t="shared" si="416"/>
        <v>-329.33068056591583</v>
      </c>
      <c r="Q422" s="79"/>
      <c r="R422" s="80">
        <f t="shared" si="374"/>
        <v>-2.9113326726586224</v>
      </c>
      <c r="S422" s="80">
        <f t="shared" si="375"/>
        <v>-1.4603581080974934</v>
      </c>
      <c r="T422" s="80">
        <f t="shared" si="376"/>
        <v>-0.12983187578902403</v>
      </c>
      <c r="U422" s="80">
        <f t="shared" si="377"/>
        <v>-0.16088339928170353</v>
      </c>
      <c r="V422" s="80">
        <f t="shared" si="378"/>
        <v>11.761569676623019</v>
      </c>
      <c r="W422" s="80">
        <f t="shared" si="379"/>
        <v>7.8170109838334882</v>
      </c>
      <c r="X422" s="80">
        <f t="shared" si="430"/>
        <v>445.94466950546104</v>
      </c>
      <c r="Y422" s="80">
        <f t="shared" si="431"/>
        <v>159.92361666161096</v>
      </c>
      <c r="Z422" s="80">
        <f t="shared" si="432"/>
        <v>121.2532464086304</v>
      </c>
      <c r="AA422" s="80">
        <f t="shared" si="433"/>
        <v>89.129610207708296</v>
      </c>
      <c r="AB422" s="80">
        <f t="shared" si="434"/>
        <v>853.72064965745938</v>
      </c>
      <c r="AC422" s="80">
        <f t="shared" si="435"/>
        <v>477.09469553537394</v>
      </c>
      <c r="AD422" s="80"/>
      <c r="AE422" s="80"/>
      <c r="AF422" s="80"/>
      <c r="AG422" s="80"/>
      <c r="AH422" s="80"/>
      <c r="AI422" s="80"/>
      <c r="AJ422" s="45">
        <f t="shared" si="380"/>
        <v>0</v>
      </c>
      <c r="AK422" s="45">
        <f t="shared" si="381"/>
        <v>0</v>
      </c>
      <c r="AL422" s="45">
        <f t="shared" si="382"/>
        <v>0</v>
      </c>
      <c r="AM422" s="45">
        <f t="shared" si="383"/>
        <v>0</v>
      </c>
      <c r="AN422" s="45">
        <f t="shared" si="384"/>
        <v>0</v>
      </c>
      <c r="AO422" s="45">
        <f t="shared" si="385"/>
        <v>0</v>
      </c>
      <c r="AP422" s="80">
        <f t="shared" si="386"/>
        <v>0</v>
      </c>
      <c r="AQ422" s="80">
        <f t="shared" si="387"/>
        <v>0</v>
      </c>
      <c r="AR422" s="80">
        <f t="shared" si="388"/>
        <v>0</v>
      </c>
      <c r="AS422" s="80">
        <f t="shared" si="389"/>
        <v>0</v>
      </c>
      <c r="AT422" s="80">
        <f t="shared" si="390"/>
        <v>0</v>
      </c>
      <c r="AU422" s="80">
        <f t="shared" si="391"/>
        <v>0</v>
      </c>
      <c r="AV422" s="80">
        <f t="shared" si="436"/>
        <v>55.603091856099553</v>
      </c>
      <c r="AW422" s="80">
        <f t="shared" si="437"/>
        <v>26.575018789458952</v>
      </c>
      <c r="AX422" s="80">
        <f t="shared" si="438"/>
        <v>15.378128886442394</v>
      </c>
      <c r="AY422" s="80">
        <f t="shared" si="439"/>
        <v>12.153043817589655</v>
      </c>
      <c r="AZ422" s="80">
        <f t="shared" si="440"/>
        <v>130.14094063665007</v>
      </c>
      <c r="BA422" s="80">
        <f t="shared" si="441"/>
        <v>58.513675821048089</v>
      </c>
      <c r="BB422" s="80">
        <f t="shared" si="417"/>
        <v>501.54776136156056</v>
      </c>
      <c r="BC422" s="80">
        <f t="shared" si="418"/>
        <v>186.4986354510699</v>
      </c>
      <c r="BD422" s="80">
        <f t="shared" si="419"/>
        <v>136.63137529507279</v>
      </c>
      <c r="BE422" s="80">
        <f t="shared" si="420"/>
        <v>101.28265402529794</v>
      </c>
      <c r="BF422" s="80">
        <f t="shared" si="421"/>
        <v>983.86159029410942</v>
      </c>
      <c r="BG422" s="80">
        <f t="shared" si="422"/>
        <v>535.60837135642203</v>
      </c>
      <c r="BH422" s="49">
        <f t="shared" si="423"/>
        <v>0</v>
      </c>
      <c r="BI422" s="79">
        <f t="shared" si="424"/>
        <v>-86442.622395483399</v>
      </c>
      <c r="BJ422" s="79">
        <f t="shared" si="392"/>
        <v>134000</v>
      </c>
      <c r="BK422" s="44">
        <f t="shared" si="425"/>
        <v>0.55016120851744854</v>
      </c>
      <c r="BL422" s="79">
        <f t="shared" si="442"/>
        <v>13697.31047256646</v>
      </c>
      <c r="BM422" s="49">
        <f t="shared" si="426"/>
        <v>147697.31047256646</v>
      </c>
      <c r="BN422" s="44">
        <f t="shared" si="427"/>
        <v>0.70861672609649573</v>
      </c>
      <c r="BO422" s="49">
        <f t="shared" si="393"/>
        <v>18284.97664538199</v>
      </c>
      <c r="BP422" s="49">
        <f t="shared" si="394"/>
        <v>152284.97664538198</v>
      </c>
      <c r="BQ422" s="44">
        <f t="shared" si="395"/>
        <v>0.76168853310191587</v>
      </c>
      <c r="BS422" s="49">
        <f t="shared" si="396"/>
        <v>86442.622395483399</v>
      </c>
      <c r="BT422" s="49">
        <f t="shared" si="443"/>
        <v>105.16999800000001</v>
      </c>
      <c r="BU422" s="49">
        <f t="shared" si="444"/>
        <v>42.130001</v>
      </c>
      <c r="BV422" s="49">
        <f t="shared" si="397"/>
        <v>333.89663422457852</v>
      </c>
      <c r="BW422" s="18">
        <f t="shared" si="398"/>
        <v>2660</v>
      </c>
      <c r="BX422" s="19">
        <f t="shared" si="428"/>
        <v>0.38990825688073394</v>
      </c>
      <c r="BY422" s="49">
        <f t="shared" si="429"/>
        <v>130.18905462884942</v>
      </c>
      <c r="BZ422" s="19">
        <f t="shared" si="399"/>
        <v>0</v>
      </c>
      <c r="CA422" s="19">
        <f t="shared" si="400"/>
        <v>0</v>
      </c>
      <c r="CB422" s="19">
        <f t="shared" si="401"/>
        <v>0</v>
      </c>
      <c r="CC422" s="19">
        <f t="shared" si="402"/>
        <v>0</v>
      </c>
      <c r="CD422" s="19">
        <f t="shared" si="403"/>
        <v>11.761569676623019</v>
      </c>
      <c r="CE422" s="19">
        <f t="shared" si="404"/>
        <v>7.8170109838334882</v>
      </c>
      <c r="CF422" s="49">
        <f t="shared" si="405"/>
        <v>0</v>
      </c>
      <c r="CG422" s="49">
        <f t="shared" si="406"/>
        <v>0</v>
      </c>
      <c r="CH422" s="49">
        <f t="shared" si="407"/>
        <v>0</v>
      </c>
      <c r="CI422" s="49">
        <f t="shared" si="408"/>
        <v>0</v>
      </c>
      <c r="CJ422" s="49">
        <f t="shared" si="409"/>
        <v>-461.52401763382659</v>
      </c>
      <c r="CK422" s="49">
        <f t="shared" si="410"/>
        <v>-329.33068056591583</v>
      </c>
    </row>
    <row r="423" spans="2:89" ht="12.75" customHeight="1" x14ac:dyDescent="0.2">
      <c r="B423" s="77">
        <v>41960</v>
      </c>
      <c r="C423" s="49">
        <v>106.370003</v>
      </c>
      <c r="D423" s="49">
        <v>84.800003000000004</v>
      </c>
      <c r="E423" s="49">
        <v>90</v>
      </c>
      <c r="F423" s="49">
        <v>105.800003</v>
      </c>
      <c r="G423" s="49">
        <v>39.490001999999997</v>
      </c>
      <c r="H423" s="49">
        <v>43.110000999999997</v>
      </c>
      <c r="J423" s="78">
        <f>IF(inter=Weekly_2,J422+$C$5,IF(inter=Bi_weekly_2,0,IF(inter=Monthly_2,0,IF(inter=Quarterly_2,0,IF(inter=Yearly_2,0,IF(inter=None_2,0,0))))))</f>
        <v>0</v>
      </c>
      <c r="K423" s="79">
        <f t="shared" si="411"/>
        <v>0</v>
      </c>
      <c r="L423" s="79">
        <f t="shared" si="412"/>
        <v>0</v>
      </c>
      <c r="M423" s="79">
        <f t="shared" si="413"/>
        <v>0</v>
      </c>
      <c r="N423" s="79">
        <f t="shared" si="414"/>
        <v>0</v>
      </c>
      <c r="O423" s="79">
        <f t="shared" si="415"/>
        <v>0</v>
      </c>
      <c r="P423" s="79">
        <f t="shared" si="416"/>
        <v>0</v>
      </c>
      <c r="Q423" s="79"/>
      <c r="R423" s="80">
        <f t="shared" si="374"/>
        <v>0</v>
      </c>
      <c r="S423" s="80">
        <f t="shared" si="375"/>
        <v>0</v>
      </c>
      <c r="T423" s="80">
        <f t="shared" si="376"/>
        <v>0</v>
      </c>
      <c r="U423" s="80">
        <f t="shared" si="377"/>
        <v>0</v>
      </c>
      <c r="V423" s="80">
        <f t="shared" si="378"/>
        <v>0</v>
      </c>
      <c r="W423" s="80">
        <f t="shared" si="379"/>
        <v>0</v>
      </c>
      <c r="X423" s="80">
        <f t="shared" si="430"/>
        <v>445.94466950546104</v>
      </c>
      <c r="Y423" s="80">
        <f t="shared" si="431"/>
        <v>159.92361666161096</v>
      </c>
      <c r="Z423" s="80">
        <f t="shared" si="432"/>
        <v>121.2532464086304</v>
      </c>
      <c r="AA423" s="80">
        <f t="shared" si="433"/>
        <v>89.129610207708296</v>
      </c>
      <c r="AB423" s="80">
        <f t="shared" si="434"/>
        <v>853.72064965745938</v>
      </c>
      <c r="AC423" s="80">
        <f t="shared" si="435"/>
        <v>477.09469553537394</v>
      </c>
      <c r="AD423" s="80"/>
      <c r="AE423" s="80"/>
      <c r="AF423" s="80"/>
      <c r="AG423" s="80"/>
      <c r="AH423" s="80"/>
      <c r="AI423" s="80"/>
      <c r="AJ423" s="45">
        <f t="shared" si="380"/>
        <v>0</v>
      </c>
      <c r="AK423" s="45">
        <f t="shared" si="381"/>
        <v>0</v>
      </c>
      <c r="AL423" s="45">
        <f t="shared" si="382"/>
        <v>0</v>
      </c>
      <c r="AM423" s="45">
        <f t="shared" si="383"/>
        <v>0</v>
      </c>
      <c r="AN423" s="45">
        <f t="shared" si="384"/>
        <v>0</v>
      </c>
      <c r="AO423" s="45">
        <f t="shared" si="385"/>
        <v>0</v>
      </c>
      <c r="AP423" s="80">
        <f t="shared" si="386"/>
        <v>0</v>
      </c>
      <c r="AQ423" s="80">
        <f t="shared" si="387"/>
        <v>0</v>
      </c>
      <c r="AR423" s="80">
        <f t="shared" si="388"/>
        <v>0</v>
      </c>
      <c r="AS423" s="80">
        <f t="shared" si="389"/>
        <v>0</v>
      </c>
      <c r="AT423" s="80">
        <f t="shared" si="390"/>
        <v>0</v>
      </c>
      <c r="AU423" s="80">
        <f t="shared" si="391"/>
        <v>0</v>
      </c>
      <c r="AV423" s="80">
        <f t="shared" si="436"/>
        <v>55.603091856099553</v>
      </c>
      <c r="AW423" s="80">
        <f t="shared" si="437"/>
        <v>26.575018789458952</v>
      </c>
      <c r="AX423" s="80">
        <f t="shared" si="438"/>
        <v>15.378128886442394</v>
      </c>
      <c r="AY423" s="80">
        <f t="shared" si="439"/>
        <v>12.153043817589655</v>
      </c>
      <c r="AZ423" s="80">
        <f t="shared" si="440"/>
        <v>130.14094063665007</v>
      </c>
      <c r="BA423" s="80">
        <f t="shared" si="441"/>
        <v>58.513675821048089</v>
      </c>
      <c r="BB423" s="80">
        <f t="shared" si="417"/>
        <v>501.54776136156056</v>
      </c>
      <c r="BC423" s="80">
        <f t="shared" si="418"/>
        <v>186.4986354510699</v>
      </c>
      <c r="BD423" s="80">
        <f t="shared" si="419"/>
        <v>136.63137529507279</v>
      </c>
      <c r="BE423" s="80">
        <f t="shared" si="420"/>
        <v>101.28265402529794</v>
      </c>
      <c r="BF423" s="80">
        <f t="shared" si="421"/>
        <v>983.86159029410942</v>
      </c>
      <c r="BG423" s="80">
        <f t="shared" si="422"/>
        <v>535.60837135642203</v>
      </c>
      <c r="BH423" s="49">
        <f t="shared" si="423"/>
        <v>0</v>
      </c>
      <c r="BI423" s="79">
        <f t="shared" si="424"/>
        <v>-86442.622395483399</v>
      </c>
      <c r="BJ423" s="79">
        <f t="shared" si="392"/>
        <v>135620.3471739855</v>
      </c>
      <c r="BK423" s="44">
        <f t="shared" si="425"/>
        <v>0.56890597966254686</v>
      </c>
      <c r="BL423" s="79">
        <f t="shared" si="442"/>
        <v>13697.31047256646</v>
      </c>
      <c r="BM423" s="49">
        <f t="shared" si="426"/>
        <v>149317.65764655196</v>
      </c>
      <c r="BN423" s="44">
        <f t="shared" si="427"/>
        <v>0.72736149724159405</v>
      </c>
      <c r="BO423" s="49">
        <f t="shared" si="393"/>
        <v>18499.677021935942</v>
      </c>
      <c r="BP423" s="49">
        <f t="shared" si="394"/>
        <v>154120.02419592143</v>
      </c>
      <c r="BQ423" s="44">
        <f t="shared" si="395"/>
        <v>0.78291703704692517</v>
      </c>
      <c r="BS423" s="49">
        <f t="shared" si="396"/>
        <v>86442.622395483399</v>
      </c>
      <c r="BT423" s="49">
        <f t="shared" si="443"/>
        <v>106.370003</v>
      </c>
      <c r="BU423" s="49">
        <f t="shared" si="444"/>
        <v>43.110000999999997</v>
      </c>
      <c r="BV423" s="49">
        <f t="shared" si="397"/>
        <v>0</v>
      </c>
      <c r="BW423" s="18">
        <f t="shared" si="398"/>
        <v>2667</v>
      </c>
      <c r="BX423" s="19">
        <f t="shared" si="428"/>
        <v>0.38830275229357797</v>
      </c>
      <c r="BY423" s="49">
        <f t="shared" si="429"/>
        <v>0</v>
      </c>
      <c r="BZ423" s="19">
        <f t="shared" si="399"/>
        <v>0</v>
      </c>
      <c r="CA423" s="19">
        <f t="shared" si="400"/>
        <v>0</v>
      </c>
      <c r="CB423" s="19">
        <f t="shared" si="401"/>
        <v>0</v>
      </c>
      <c r="CC423" s="19">
        <f t="shared" si="402"/>
        <v>0</v>
      </c>
      <c r="CD423" s="19">
        <f t="shared" si="403"/>
        <v>0</v>
      </c>
      <c r="CE423" s="19">
        <f t="shared" si="404"/>
        <v>0</v>
      </c>
      <c r="CF423" s="49">
        <f t="shared" si="405"/>
        <v>0</v>
      </c>
      <c r="CG423" s="49">
        <f t="shared" si="406"/>
        <v>0</v>
      </c>
      <c r="CH423" s="49">
        <f t="shared" si="407"/>
        <v>0</v>
      </c>
      <c r="CI423" s="49">
        <f t="shared" si="408"/>
        <v>0</v>
      </c>
      <c r="CJ423" s="49">
        <f t="shared" si="409"/>
        <v>0</v>
      </c>
      <c r="CK423" s="49">
        <f t="shared" si="410"/>
        <v>0</v>
      </c>
    </row>
    <row r="424" spans="2:89" ht="12.75" customHeight="1" x14ac:dyDescent="0.2">
      <c r="B424" s="81">
        <v>41967</v>
      </c>
      <c r="C424" s="49">
        <v>106.599998</v>
      </c>
      <c r="D424" s="49">
        <v>84.699996999999996</v>
      </c>
      <c r="E424" s="49">
        <v>90.309997999999993</v>
      </c>
      <c r="F424" s="49">
        <v>105.730003</v>
      </c>
      <c r="G424" s="49">
        <v>39.610000999999997</v>
      </c>
      <c r="H424" s="49">
        <v>42.169998</v>
      </c>
      <c r="J424" s="78">
        <f>IF(inter=Weekly_2,J423+$C$5,IF(inter=Bi_weekly_2,J422+$C$5,IF(inter=Monthly_2,0,IF(inter=Quarterly_2,0,IF(inter=Yearly_2,0,IF(inter=None_2,0,0))))))</f>
        <v>134600</v>
      </c>
      <c r="K424" s="79">
        <f t="shared" si="411"/>
        <v>427.70087739281007</v>
      </c>
      <c r="L424" s="79">
        <f t="shared" si="412"/>
        <v>85.529851467597837</v>
      </c>
      <c r="M424" s="79">
        <f t="shared" si="413"/>
        <v>182.38044065691793</v>
      </c>
      <c r="N424" s="79">
        <f t="shared" si="414"/>
        <v>1.6739546498283744</v>
      </c>
      <c r="O424" s="79">
        <f t="shared" si="415"/>
        <v>165.8757866526139</v>
      </c>
      <c r="P424" s="79">
        <f t="shared" si="416"/>
        <v>-70.917643462671549</v>
      </c>
      <c r="Q424" s="79"/>
      <c r="R424" s="80">
        <f t="shared" si="374"/>
        <v>-4.0122034279288643</v>
      </c>
      <c r="S424" s="80">
        <f t="shared" si="375"/>
        <v>-1.0097975737543159</v>
      </c>
      <c r="T424" s="80">
        <f t="shared" si="376"/>
        <v>-2.0194933528502341</v>
      </c>
      <c r="U424" s="80">
        <f t="shared" si="377"/>
        <v>-1.5832352239963283E-2</v>
      </c>
      <c r="V424" s="80">
        <f t="shared" si="378"/>
        <v>-4.1877248791943709</v>
      </c>
      <c r="W424" s="80">
        <f t="shared" si="379"/>
        <v>1.6817084853234177</v>
      </c>
      <c r="X424" s="80">
        <f t="shared" si="430"/>
        <v>441.93246607753218</v>
      </c>
      <c r="Y424" s="80">
        <f t="shared" si="431"/>
        <v>158.91381908785664</v>
      </c>
      <c r="Z424" s="80">
        <f t="shared" si="432"/>
        <v>119.23375305578017</v>
      </c>
      <c r="AA424" s="80">
        <f t="shared" si="433"/>
        <v>89.113777855468328</v>
      </c>
      <c r="AB424" s="80">
        <f t="shared" si="434"/>
        <v>849.53292477826506</v>
      </c>
      <c r="AC424" s="80">
        <f t="shared" si="435"/>
        <v>478.77640402069738</v>
      </c>
      <c r="AD424" s="80"/>
      <c r="AE424" s="80"/>
      <c r="AF424" s="80"/>
      <c r="AG424" s="80"/>
      <c r="AH424" s="80"/>
      <c r="AI424" s="80"/>
      <c r="AJ424" s="45">
        <f t="shared" si="380"/>
        <v>0</v>
      </c>
      <c r="AK424" s="45">
        <f t="shared" si="381"/>
        <v>0</v>
      </c>
      <c r="AL424" s="45">
        <f t="shared" si="382"/>
        <v>0</v>
      </c>
      <c r="AM424" s="45">
        <f t="shared" si="383"/>
        <v>0</v>
      </c>
      <c r="AN424" s="45">
        <f t="shared" si="384"/>
        <v>0</v>
      </c>
      <c r="AO424" s="45">
        <f t="shared" si="385"/>
        <v>0</v>
      </c>
      <c r="AP424" s="80">
        <f t="shared" si="386"/>
        <v>0</v>
      </c>
      <c r="AQ424" s="80">
        <f t="shared" si="387"/>
        <v>0</v>
      </c>
      <c r="AR424" s="80">
        <f t="shared" si="388"/>
        <v>0</v>
      </c>
      <c r="AS424" s="80">
        <f t="shared" si="389"/>
        <v>0</v>
      </c>
      <c r="AT424" s="80">
        <f t="shared" si="390"/>
        <v>0</v>
      </c>
      <c r="AU424" s="80">
        <f t="shared" si="391"/>
        <v>0</v>
      </c>
      <c r="AV424" s="80">
        <f t="shared" si="436"/>
        <v>55.603091856099553</v>
      </c>
      <c r="AW424" s="80">
        <f t="shared" si="437"/>
        <v>26.575018789458952</v>
      </c>
      <c r="AX424" s="80">
        <f t="shared" si="438"/>
        <v>15.378128886442394</v>
      </c>
      <c r="AY424" s="80">
        <f t="shared" si="439"/>
        <v>12.153043817589655</v>
      </c>
      <c r="AZ424" s="80">
        <f t="shared" si="440"/>
        <v>130.14094063665007</v>
      </c>
      <c r="BA424" s="80">
        <f t="shared" si="441"/>
        <v>58.513675821048089</v>
      </c>
      <c r="BB424" s="80">
        <f t="shared" si="417"/>
        <v>497.53555793363171</v>
      </c>
      <c r="BC424" s="80">
        <f t="shared" si="418"/>
        <v>185.48883787731558</v>
      </c>
      <c r="BD424" s="80">
        <f t="shared" si="419"/>
        <v>134.61188194222257</v>
      </c>
      <c r="BE424" s="80">
        <f t="shared" si="420"/>
        <v>101.26682167305799</v>
      </c>
      <c r="BF424" s="80">
        <f t="shared" si="421"/>
        <v>979.6738654149151</v>
      </c>
      <c r="BG424" s="80">
        <f t="shared" si="422"/>
        <v>537.29007984174552</v>
      </c>
      <c r="BH424" s="49">
        <f t="shared" si="423"/>
        <v>0</v>
      </c>
      <c r="BI424" s="79">
        <f t="shared" si="424"/>
        <v>-85650.379128126297</v>
      </c>
      <c r="BJ424" s="79">
        <f t="shared" si="392"/>
        <v>134600</v>
      </c>
      <c r="BK424" s="44">
        <f t="shared" si="425"/>
        <v>0.57150501107121632</v>
      </c>
      <c r="BL424" s="79">
        <f t="shared" si="442"/>
        <v>13697.31047256646</v>
      </c>
      <c r="BM424" s="49">
        <f t="shared" si="426"/>
        <v>148297.31047256646</v>
      </c>
      <c r="BN424" s="44">
        <f t="shared" si="427"/>
        <v>0.73142620011903547</v>
      </c>
      <c r="BO424" s="49">
        <f t="shared" si="393"/>
        <v>18474.338021772281</v>
      </c>
      <c r="BP424" s="49">
        <f t="shared" si="394"/>
        <v>153074.33802177227</v>
      </c>
      <c r="BQ424" s="44">
        <f t="shared" si="395"/>
        <v>0.78719977167625821</v>
      </c>
      <c r="BS424" s="49">
        <f t="shared" si="396"/>
        <v>85650.379128126297</v>
      </c>
      <c r="BT424" s="49">
        <f t="shared" si="443"/>
        <v>106.599998</v>
      </c>
      <c r="BU424" s="49">
        <f t="shared" si="444"/>
        <v>42.169998</v>
      </c>
      <c r="BV424" s="49">
        <f t="shared" si="397"/>
        <v>-792.24326735709656</v>
      </c>
      <c r="BW424" s="18">
        <f t="shared" si="398"/>
        <v>2674</v>
      </c>
      <c r="BX424" s="19">
        <f t="shared" si="428"/>
        <v>0.386697247706422</v>
      </c>
      <c r="BY424" s="49">
        <f t="shared" si="429"/>
        <v>-306.3582910009323</v>
      </c>
      <c r="BZ424" s="19">
        <f t="shared" si="399"/>
        <v>0</v>
      </c>
      <c r="CA424" s="19">
        <f t="shared" si="400"/>
        <v>0</v>
      </c>
      <c r="CB424" s="19">
        <f t="shared" si="401"/>
        <v>0</v>
      </c>
      <c r="CC424" s="19">
        <f t="shared" si="402"/>
        <v>0</v>
      </c>
      <c r="CD424" s="19">
        <f t="shared" si="403"/>
        <v>0</v>
      </c>
      <c r="CE424" s="19">
        <f t="shared" si="404"/>
        <v>1.6817084853234177</v>
      </c>
      <c r="CF424" s="49">
        <f t="shared" si="405"/>
        <v>0</v>
      </c>
      <c r="CG424" s="49">
        <f t="shared" si="406"/>
        <v>0</v>
      </c>
      <c r="CH424" s="49">
        <f t="shared" si="407"/>
        <v>0</v>
      </c>
      <c r="CI424" s="49">
        <f t="shared" si="408"/>
        <v>0</v>
      </c>
      <c r="CJ424" s="49">
        <f t="shared" si="409"/>
        <v>0</v>
      </c>
      <c r="CK424" s="49">
        <f t="shared" si="410"/>
        <v>-70.917643462671549</v>
      </c>
    </row>
    <row r="425" spans="2:89" ht="12.75" customHeight="1" x14ac:dyDescent="0.2">
      <c r="B425" s="81">
        <v>41974</v>
      </c>
      <c r="C425" s="49">
        <v>106.949997</v>
      </c>
      <c r="D425" s="49">
        <v>85.43</v>
      </c>
      <c r="E425" s="49">
        <v>90.519997000000004</v>
      </c>
      <c r="F425" s="49">
        <v>106.449997</v>
      </c>
      <c r="G425" s="49">
        <v>39.619999</v>
      </c>
      <c r="H425" s="49">
        <v>41.509998000000003</v>
      </c>
      <c r="J425" s="78">
        <f>IF(inter=Weekly_2,J424+$C$5,IF(inter=Bi_weekly_2,0,IF(inter=Monthly_2,0,IF(inter=Quarterly_2,0,IF(inter=Yearly_2,0,IF(inter=None_2,0,0))))))</f>
        <v>0</v>
      </c>
      <c r="K425" s="79">
        <f t="shared" si="411"/>
        <v>0</v>
      </c>
      <c r="L425" s="79">
        <f t="shared" si="412"/>
        <v>0</v>
      </c>
      <c r="M425" s="79">
        <f t="shared" si="413"/>
        <v>0</v>
      </c>
      <c r="N425" s="79">
        <f t="shared" si="414"/>
        <v>0</v>
      </c>
      <c r="O425" s="79">
        <f t="shared" si="415"/>
        <v>0</v>
      </c>
      <c r="P425" s="79">
        <f t="shared" si="416"/>
        <v>0</v>
      </c>
      <c r="Q425" s="79"/>
      <c r="R425" s="80">
        <f t="shared" si="374"/>
        <v>0</v>
      </c>
      <c r="S425" s="80">
        <f t="shared" si="375"/>
        <v>0</v>
      </c>
      <c r="T425" s="80">
        <f t="shared" si="376"/>
        <v>0</v>
      </c>
      <c r="U425" s="80">
        <f t="shared" si="377"/>
        <v>0</v>
      </c>
      <c r="V425" s="80">
        <f t="shared" si="378"/>
        <v>0</v>
      </c>
      <c r="W425" s="80">
        <f t="shared" si="379"/>
        <v>0</v>
      </c>
      <c r="X425" s="80">
        <f t="shared" si="430"/>
        <v>441.93246607753218</v>
      </c>
      <c r="Y425" s="80">
        <f t="shared" si="431"/>
        <v>158.91381908785664</v>
      </c>
      <c r="Z425" s="80">
        <f t="shared" si="432"/>
        <v>119.23375305578017</v>
      </c>
      <c r="AA425" s="80">
        <f t="shared" si="433"/>
        <v>89.113777855468328</v>
      </c>
      <c r="AB425" s="80">
        <f t="shared" si="434"/>
        <v>849.53292477826506</v>
      </c>
      <c r="AC425" s="80">
        <f t="shared" si="435"/>
        <v>478.77640402069738</v>
      </c>
      <c r="AD425" s="80"/>
      <c r="AE425" s="80"/>
      <c r="AF425" s="80"/>
      <c r="AG425" s="80"/>
      <c r="AH425" s="80"/>
      <c r="AI425" s="80"/>
      <c r="AJ425" s="45">
        <f t="shared" si="380"/>
        <v>0</v>
      </c>
      <c r="AK425" s="45">
        <f t="shared" si="381"/>
        <v>0</v>
      </c>
      <c r="AL425" s="45">
        <f t="shared" si="382"/>
        <v>0</v>
      </c>
      <c r="AM425" s="45">
        <f t="shared" si="383"/>
        <v>0</v>
      </c>
      <c r="AN425" s="45">
        <f t="shared" si="384"/>
        <v>0</v>
      </c>
      <c r="AO425" s="45">
        <f t="shared" si="385"/>
        <v>0</v>
      </c>
      <c r="AP425" s="80">
        <f t="shared" si="386"/>
        <v>0</v>
      </c>
      <c r="AQ425" s="80">
        <f t="shared" si="387"/>
        <v>0</v>
      </c>
      <c r="AR425" s="80">
        <f t="shared" si="388"/>
        <v>0</v>
      </c>
      <c r="AS425" s="80">
        <f t="shared" si="389"/>
        <v>0</v>
      </c>
      <c r="AT425" s="80">
        <f t="shared" si="390"/>
        <v>0</v>
      </c>
      <c r="AU425" s="80">
        <f t="shared" si="391"/>
        <v>0</v>
      </c>
      <c r="AV425" s="80">
        <f t="shared" si="436"/>
        <v>55.603091856099553</v>
      </c>
      <c r="AW425" s="80">
        <f t="shared" si="437"/>
        <v>26.575018789458952</v>
      </c>
      <c r="AX425" s="80">
        <f t="shared" si="438"/>
        <v>15.378128886442394</v>
      </c>
      <c r="AY425" s="80">
        <f t="shared" si="439"/>
        <v>12.153043817589655</v>
      </c>
      <c r="AZ425" s="80">
        <f t="shared" si="440"/>
        <v>130.14094063665007</v>
      </c>
      <c r="BA425" s="80">
        <f t="shared" si="441"/>
        <v>58.513675821048089</v>
      </c>
      <c r="BB425" s="80">
        <f t="shared" si="417"/>
        <v>497.53555793363171</v>
      </c>
      <c r="BC425" s="80">
        <f t="shared" si="418"/>
        <v>185.48883787731558</v>
      </c>
      <c r="BD425" s="80">
        <f t="shared" si="419"/>
        <v>134.61188194222257</v>
      </c>
      <c r="BE425" s="80">
        <f t="shared" si="420"/>
        <v>101.26682167305799</v>
      </c>
      <c r="BF425" s="80">
        <f t="shared" si="421"/>
        <v>979.6738654149151</v>
      </c>
      <c r="BG425" s="80">
        <f t="shared" si="422"/>
        <v>537.29007984174552</v>
      </c>
      <c r="BH425" s="49">
        <f t="shared" si="423"/>
        <v>0</v>
      </c>
      <c r="BI425" s="79">
        <f t="shared" si="424"/>
        <v>-85650.379128126297</v>
      </c>
      <c r="BJ425" s="79">
        <f t="shared" si="392"/>
        <v>134652.38504367977</v>
      </c>
      <c r="BK425" s="44">
        <f t="shared" si="425"/>
        <v>0.57211662592001233</v>
      </c>
      <c r="BL425" s="79">
        <f t="shared" si="442"/>
        <v>13697.31047256646</v>
      </c>
      <c r="BM425" s="49">
        <f t="shared" si="426"/>
        <v>148349.69551624623</v>
      </c>
      <c r="BN425" s="44">
        <f t="shared" si="427"/>
        <v>0.73203781496783149</v>
      </c>
      <c r="BO425" s="49">
        <f t="shared" si="393"/>
        <v>18487.860525161206</v>
      </c>
      <c r="BP425" s="49">
        <f t="shared" si="394"/>
        <v>153140.24556884097</v>
      </c>
      <c r="BQ425" s="44">
        <f t="shared" si="395"/>
        <v>0.78796926677645041</v>
      </c>
      <c r="BS425" s="49">
        <f t="shared" si="396"/>
        <v>85650.379128126297</v>
      </c>
      <c r="BT425" s="49">
        <f t="shared" si="443"/>
        <v>106.949997</v>
      </c>
      <c r="BU425" s="49">
        <f t="shared" si="444"/>
        <v>41.509998000000003</v>
      </c>
      <c r="BV425" s="49">
        <f t="shared" si="397"/>
        <v>0</v>
      </c>
      <c r="BW425" s="18">
        <f t="shared" si="398"/>
        <v>2681</v>
      </c>
      <c r="BX425" s="19">
        <f t="shared" si="428"/>
        <v>0.38509174311926603</v>
      </c>
      <c r="BY425" s="49">
        <f t="shared" si="429"/>
        <v>0</v>
      </c>
      <c r="BZ425" s="19">
        <f t="shared" si="399"/>
        <v>0</v>
      </c>
      <c r="CA425" s="19">
        <f t="shared" si="400"/>
        <v>0</v>
      </c>
      <c r="CB425" s="19">
        <f t="shared" si="401"/>
        <v>0</v>
      </c>
      <c r="CC425" s="19">
        <f t="shared" si="402"/>
        <v>0</v>
      </c>
      <c r="CD425" s="19">
        <f t="shared" si="403"/>
        <v>0</v>
      </c>
      <c r="CE425" s="19">
        <f t="shared" si="404"/>
        <v>0</v>
      </c>
      <c r="CF425" s="49">
        <f t="shared" si="405"/>
        <v>0</v>
      </c>
      <c r="CG425" s="49">
        <f t="shared" si="406"/>
        <v>0</v>
      </c>
      <c r="CH425" s="49">
        <f t="shared" si="407"/>
        <v>0</v>
      </c>
      <c r="CI425" s="49">
        <f t="shared" si="408"/>
        <v>0</v>
      </c>
      <c r="CJ425" s="49">
        <f t="shared" si="409"/>
        <v>0</v>
      </c>
      <c r="CK425" s="49">
        <f t="shared" si="410"/>
        <v>0</v>
      </c>
    </row>
    <row r="426" spans="2:89" ht="12.75" customHeight="1" x14ac:dyDescent="0.2">
      <c r="B426" s="81">
        <v>41981</v>
      </c>
      <c r="C426" s="49">
        <v>103.339996</v>
      </c>
      <c r="D426" s="49">
        <v>82.360000999999997</v>
      </c>
      <c r="E426" s="49">
        <v>87.5</v>
      </c>
      <c r="F426" s="49">
        <v>103.050003</v>
      </c>
      <c r="G426" s="49">
        <v>37.790000999999997</v>
      </c>
      <c r="H426" s="49">
        <v>38.840000000000003</v>
      </c>
      <c r="J426" s="78">
        <f>IF(inter=Weekly_2,J425+$C$5,IF(inter=Bi_weekly_2,J424+$C$5,IF(inter=Monthly_2,J422+$C$5,IF(inter=Quarterly_2,0,IF(inter=Yearly_2,0,IF(inter=None_2,0,0))))))</f>
        <v>135200</v>
      </c>
      <c r="K426" s="79">
        <f t="shared" si="411"/>
        <v>-1650.7007232776887</v>
      </c>
      <c r="L426" s="79">
        <f t="shared" si="412"/>
        <v>-431.85770101030903</v>
      </c>
      <c r="M426" s="79">
        <f t="shared" si="413"/>
        <v>-383.04660761923515</v>
      </c>
      <c r="N426" s="79">
        <f t="shared" si="414"/>
        <v>-280.82492465265568</v>
      </c>
      <c r="O426" s="79">
        <f t="shared" si="415"/>
        <v>-1696.14992309644</v>
      </c>
      <c r="P426" s="79">
        <f t="shared" si="416"/>
        <v>-1684.3244678361116</v>
      </c>
      <c r="Q426" s="79"/>
      <c r="R426" s="80">
        <f t="shared" ref="R426:R489" si="445">-((K426)/C426)</f>
        <v>15.973493198874216</v>
      </c>
      <c r="S426" s="80">
        <f t="shared" ref="S426:S489" si="446">-((L426)/D426)</f>
        <v>5.2435368597228287</v>
      </c>
      <c r="T426" s="80">
        <f t="shared" ref="T426:T489" si="447">-(M426)/E426</f>
        <v>4.3776755156484013</v>
      </c>
      <c r="U426" s="80">
        <f t="shared" ref="U426:U489" si="448">-(N426)/F426</f>
        <v>2.7251326198666455</v>
      </c>
      <c r="V426" s="80">
        <f t="shared" ref="V426:V489" si="449">-(O426)/G426</f>
        <v>44.883563858504267</v>
      </c>
      <c r="W426" s="80">
        <f t="shared" ref="W426:W489" si="450">-(P426)/H426</f>
        <v>43.365717503504413</v>
      </c>
      <c r="X426" s="80">
        <f t="shared" si="430"/>
        <v>457.90595927640641</v>
      </c>
      <c r="Y426" s="80">
        <f t="shared" si="431"/>
        <v>164.15735594757948</v>
      </c>
      <c r="Z426" s="80">
        <f t="shared" si="432"/>
        <v>123.61142857142858</v>
      </c>
      <c r="AA426" s="80">
        <f t="shared" si="433"/>
        <v>91.83891047533497</v>
      </c>
      <c r="AB426" s="80">
        <f t="shared" si="434"/>
        <v>894.41648863676937</v>
      </c>
      <c r="AC426" s="80">
        <f t="shared" si="435"/>
        <v>522.1421215242018</v>
      </c>
      <c r="AD426" s="80"/>
      <c r="AE426" s="80"/>
      <c r="AF426" s="80"/>
      <c r="AG426" s="80"/>
      <c r="AH426" s="80"/>
      <c r="AI426" s="80"/>
      <c r="AJ426" s="45">
        <f t="shared" ref="AJ426:AJ489" si="451">(X426*AD426)</f>
        <v>0</v>
      </c>
      <c r="AK426" s="45">
        <f t="shared" ref="AK426:AK489" si="452">(Y426*AE426)</f>
        <v>0</v>
      </c>
      <c r="AL426" s="45">
        <f t="shared" ref="AL426:AL489" si="453">(Z426*AF426)</f>
        <v>0</v>
      </c>
      <c r="AM426" s="45">
        <f t="shared" ref="AM426:AM489" si="454">(AA426*AG426)</f>
        <v>0</v>
      </c>
      <c r="AN426" s="45">
        <f t="shared" ref="AN426:AN489" si="455">(AB426*AH426)</f>
        <v>0</v>
      </c>
      <c r="AO426" s="45">
        <f t="shared" ref="AO426:AO489" si="456">(AC426*AI426)</f>
        <v>0</v>
      </c>
      <c r="AP426" s="80">
        <f t="shared" ref="AP426:AP489" si="457">IF(AJ426&gt;0,AJ426/C426,0)</f>
        <v>0</v>
      </c>
      <c r="AQ426" s="80">
        <f t="shared" ref="AQ426:AQ489" si="458">IF(AK426&gt;0,AK426/D426,0)</f>
        <v>0</v>
      </c>
      <c r="AR426" s="80">
        <f t="shared" ref="AR426:AR489" si="459">IF(AL426&gt;0,AL426/E426,0)</f>
        <v>0</v>
      </c>
      <c r="AS426" s="80">
        <f t="shared" ref="AS426:AS489" si="460">IF(AM426&gt;0,AM426/F426,0)</f>
        <v>0</v>
      </c>
      <c r="AT426" s="80">
        <f t="shared" ref="AT426:AT489" si="461">IF(AN426&gt;0,AN426/G426,0)</f>
        <v>0</v>
      </c>
      <c r="AU426" s="80">
        <f t="shared" ref="AU426:AU489" si="462">IF(AO426&gt;0,AO426/H426,0)</f>
        <v>0</v>
      </c>
      <c r="AV426" s="80">
        <f t="shared" si="436"/>
        <v>55.603091856099553</v>
      </c>
      <c r="AW426" s="80">
        <f t="shared" si="437"/>
        <v>26.575018789458952</v>
      </c>
      <c r="AX426" s="80">
        <f t="shared" si="438"/>
        <v>15.378128886442394</v>
      </c>
      <c r="AY426" s="80">
        <f t="shared" si="439"/>
        <v>12.153043817589655</v>
      </c>
      <c r="AZ426" s="80">
        <f t="shared" si="440"/>
        <v>130.14094063665007</v>
      </c>
      <c r="BA426" s="80">
        <f t="shared" si="441"/>
        <v>58.513675821048089</v>
      </c>
      <c r="BB426" s="80">
        <f t="shared" si="417"/>
        <v>513.50905113250599</v>
      </c>
      <c r="BC426" s="80">
        <f t="shared" si="418"/>
        <v>190.73237473703841</v>
      </c>
      <c r="BD426" s="80">
        <f t="shared" si="419"/>
        <v>138.98955745787097</v>
      </c>
      <c r="BE426" s="80">
        <f t="shared" si="420"/>
        <v>103.99195429292462</v>
      </c>
      <c r="BF426" s="80">
        <f t="shared" si="421"/>
        <v>1024.5574292734195</v>
      </c>
      <c r="BG426" s="80">
        <f t="shared" si="422"/>
        <v>580.65579734524988</v>
      </c>
      <c r="BH426" s="49">
        <f t="shared" si="423"/>
        <v>0</v>
      </c>
      <c r="BI426" s="79">
        <f t="shared" si="424"/>
        <v>-91777.283475618722</v>
      </c>
      <c r="BJ426" s="79">
        <f t="shared" ref="BJ426:BJ489" si="463">(X426*C426)+(Y426*D426)+(Z426*E426)+(AA426*F426)+(AB426*G426)+(AC426*H426)</f>
        <v>135200</v>
      </c>
      <c r="BK426" s="44">
        <f t="shared" si="425"/>
        <v>0.47313142076074666</v>
      </c>
      <c r="BL426" s="79">
        <f t="shared" si="442"/>
        <v>13697.31047256646</v>
      </c>
      <c r="BM426" s="49">
        <f t="shared" si="426"/>
        <v>148897.31047256646</v>
      </c>
      <c r="BN426" s="44">
        <f t="shared" si="427"/>
        <v>0.62237652754368211</v>
      </c>
      <c r="BO426" s="49">
        <f t="shared" ref="BO426:BO489" si="464">(C426*AV426)+(D426*AW426)+(E426*AX426)+(F426*AY426)+(G426*AZ426)+(H426*BA426)</f>
        <v>17723.396789186729</v>
      </c>
      <c r="BP426" s="49">
        <f t="shared" ref="BP426:BP489" si="465">(C426*BB426)+(D426*BC426)+(E426*BD426)+(F426*BE426)+(G426*BF426)+(H426*BG426)</f>
        <v>152923.39678918675</v>
      </c>
      <c r="BQ426" s="44">
        <f t="shared" ref="BQ426:BQ489" si="466">(BP426/ABS(BI426))-1</f>
        <v>0.66624453239359527</v>
      </c>
      <c r="BS426" s="49">
        <f t="shared" ref="BS426:BS489" si="467">ABS(BI426)</f>
        <v>91777.283475618722</v>
      </c>
      <c r="BT426" s="49">
        <f t="shared" si="443"/>
        <v>103.339996</v>
      </c>
      <c r="BU426" s="49">
        <f t="shared" si="444"/>
        <v>38.840000000000003</v>
      </c>
      <c r="BV426" s="49">
        <f t="shared" ref="BV426:BV489" si="468">-(K426+L426+M426+N426+O426+P426+BH426)</f>
        <v>6126.9043474924401</v>
      </c>
      <c r="BW426" s="18">
        <f t="shared" ref="BW426:BW489" si="469">DATEDIF($B$42,B426,"d")</f>
        <v>2688</v>
      </c>
      <c r="BX426" s="19">
        <f t="shared" si="428"/>
        <v>0.38348623853211011</v>
      </c>
      <c r="BY426" s="49">
        <f t="shared" si="429"/>
        <v>2349.5835020659083</v>
      </c>
      <c r="BZ426" s="19">
        <f t="shared" ref="BZ426:BZ490" si="470">IF(R426&gt;0,R426,0)</f>
        <v>15.973493198874216</v>
      </c>
      <c r="CA426" s="19">
        <f t="shared" ref="CA426:CA490" si="471">IF(S426&gt;0,S426,0)</f>
        <v>5.2435368597228287</v>
      </c>
      <c r="CB426" s="19">
        <f t="shared" ref="CB426:CB490" si="472">IF(T426&gt;0,T426,0)</f>
        <v>4.3776755156484013</v>
      </c>
      <c r="CC426" s="19">
        <f t="shared" ref="CC426:CC490" si="473">IF(U426&gt;0,U426,0)</f>
        <v>2.7251326198666455</v>
      </c>
      <c r="CD426" s="19">
        <f t="shared" ref="CD426:CD490" si="474">IF(V426&gt;0,V426,0)</f>
        <v>44.883563858504267</v>
      </c>
      <c r="CE426" s="19">
        <f t="shared" ref="CE426:CE490" si="475">IF(W426&gt;0,W426,0)</f>
        <v>43.365717503504413</v>
      </c>
      <c r="CF426" s="49">
        <f t="shared" ref="CF426:CF490" si="476">IF(K426&lt;0,K426,0)</f>
        <v>-1650.7007232776887</v>
      </c>
      <c r="CG426" s="49">
        <f t="shared" ref="CG426:CG490" si="477">IF(L426&lt;0,L426,0)</f>
        <v>-431.85770101030903</v>
      </c>
      <c r="CH426" s="49">
        <f t="shared" ref="CH426:CH490" si="478">IF(M426&lt;0,M426,0)</f>
        <v>-383.04660761923515</v>
      </c>
      <c r="CI426" s="49">
        <f t="shared" ref="CI426:CI490" si="479">IF(N426&lt;0,N426,0)</f>
        <v>-280.82492465265568</v>
      </c>
      <c r="CJ426" s="49">
        <f t="shared" ref="CJ426:CJ490" si="480">IF(O426&lt;0,O426,0)</f>
        <v>-1696.14992309644</v>
      </c>
      <c r="CK426" s="49">
        <f t="shared" ref="CK426:CK490" si="481">IF(P426&lt;0,P426,0)</f>
        <v>-1684.3244678361116</v>
      </c>
    </row>
    <row r="427" spans="2:89" ht="12.75" customHeight="1" x14ac:dyDescent="0.2">
      <c r="B427" s="81">
        <v>41988</v>
      </c>
      <c r="C427" s="49">
        <v>106.910004</v>
      </c>
      <c r="D427" s="49">
        <v>85.339995999999999</v>
      </c>
      <c r="E427" s="49">
        <v>90.839995999999999</v>
      </c>
      <c r="F427" s="49">
        <v>106.599998</v>
      </c>
      <c r="G427" s="49">
        <v>38.630001</v>
      </c>
      <c r="H427" s="49">
        <v>39.669998</v>
      </c>
      <c r="J427" s="78">
        <f>IF(inter=Weekly_2,J426+$C$5,IF(inter=Bi_weekly_2,0,IF(inter=Monthly_2,0,IF(inter=Quarterly_2,0,IF(inter=Yearly_2,0,IF(inter=None_2,0,0))))))</f>
        <v>0</v>
      </c>
      <c r="K427" s="79">
        <f t="shared" ref="K427:K490" si="482">IF(J427=0,0,-((J427*$C$36)-(X426*C427)))</f>
        <v>0</v>
      </c>
      <c r="L427" s="79">
        <f t="shared" ref="L427:L490" si="483">IF(J427=0,0,-((J427*$D$36)-(Y426*D427)))</f>
        <v>0</v>
      </c>
      <c r="M427" s="79">
        <f t="shared" ref="M427:M490" si="484">IF(J427=0,0,-((J427*$E$36)-(Z426*E427)))</f>
        <v>0</v>
      </c>
      <c r="N427" s="79">
        <f t="shared" ref="N427:N490" si="485">IF(J427=0,0,-((J427*$F$36)-(AA426*F427)))</f>
        <v>0</v>
      </c>
      <c r="O427" s="79">
        <f t="shared" ref="O427:O490" si="486">IF(J427=0,0,-((J427*$G$36)-(AB426*G427)))</f>
        <v>0</v>
      </c>
      <c r="P427" s="79">
        <f t="shared" ref="P427:P490" si="487">IF(J427=0,0,-((J427*$H$36)-(AC426*H427)))</f>
        <v>0</v>
      </c>
      <c r="Q427" s="79"/>
      <c r="R427" s="80">
        <f t="shared" si="445"/>
        <v>0</v>
      </c>
      <c r="S427" s="80">
        <f t="shared" si="446"/>
        <v>0</v>
      </c>
      <c r="T427" s="80">
        <f t="shared" si="447"/>
        <v>0</v>
      </c>
      <c r="U427" s="80">
        <f t="shared" si="448"/>
        <v>0</v>
      </c>
      <c r="V427" s="80">
        <f t="shared" si="449"/>
        <v>0</v>
      </c>
      <c r="W427" s="80">
        <f t="shared" si="450"/>
        <v>0</v>
      </c>
      <c r="X427" s="80">
        <f t="shared" si="430"/>
        <v>457.90595927640641</v>
      </c>
      <c r="Y427" s="80">
        <f t="shared" si="431"/>
        <v>164.15735594757948</v>
      </c>
      <c r="Z427" s="80">
        <f t="shared" si="432"/>
        <v>123.61142857142858</v>
      </c>
      <c r="AA427" s="80">
        <f t="shared" si="433"/>
        <v>91.83891047533497</v>
      </c>
      <c r="AB427" s="80">
        <f t="shared" si="434"/>
        <v>894.41648863676937</v>
      </c>
      <c r="AC427" s="80">
        <f t="shared" si="435"/>
        <v>522.1421215242018</v>
      </c>
      <c r="AD427" s="80"/>
      <c r="AE427" s="80"/>
      <c r="AF427" s="80"/>
      <c r="AG427" s="80"/>
      <c r="AH427" s="80"/>
      <c r="AI427" s="80"/>
      <c r="AJ427" s="45">
        <f t="shared" si="451"/>
        <v>0</v>
      </c>
      <c r="AK427" s="45">
        <f t="shared" si="452"/>
        <v>0</v>
      </c>
      <c r="AL427" s="45">
        <f t="shared" si="453"/>
        <v>0</v>
      </c>
      <c r="AM427" s="45">
        <f t="shared" si="454"/>
        <v>0</v>
      </c>
      <c r="AN427" s="45">
        <f t="shared" si="455"/>
        <v>0</v>
      </c>
      <c r="AO427" s="45">
        <f t="shared" si="456"/>
        <v>0</v>
      </c>
      <c r="AP427" s="80">
        <f t="shared" si="457"/>
        <v>0</v>
      </c>
      <c r="AQ427" s="80">
        <f t="shared" si="458"/>
        <v>0</v>
      </c>
      <c r="AR427" s="80">
        <f t="shared" si="459"/>
        <v>0</v>
      </c>
      <c r="AS427" s="80">
        <f t="shared" si="460"/>
        <v>0</v>
      </c>
      <c r="AT427" s="80">
        <f t="shared" si="461"/>
        <v>0</v>
      </c>
      <c r="AU427" s="80">
        <f t="shared" si="462"/>
        <v>0</v>
      </c>
      <c r="AV427" s="80">
        <f t="shared" si="436"/>
        <v>55.603091856099553</v>
      </c>
      <c r="AW427" s="80">
        <f t="shared" si="437"/>
        <v>26.575018789458952</v>
      </c>
      <c r="AX427" s="80">
        <f t="shared" si="438"/>
        <v>15.378128886442394</v>
      </c>
      <c r="AY427" s="80">
        <f t="shared" si="439"/>
        <v>12.153043817589655</v>
      </c>
      <c r="AZ427" s="80">
        <f t="shared" si="440"/>
        <v>130.14094063665007</v>
      </c>
      <c r="BA427" s="80">
        <f t="shared" si="441"/>
        <v>58.513675821048089</v>
      </c>
      <c r="BB427" s="80">
        <f t="shared" ref="BB427:BB490" si="488">X427+AV427</f>
        <v>513.50905113250599</v>
      </c>
      <c r="BC427" s="80">
        <f t="shared" ref="BC427:BC490" si="489">Y427+AW427</f>
        <v>190.73237473703841</v>
      </c>
      <c r="BD427" s="80">
        <f t="shared" ref="BD427:BD490" si="490">Z427+AX427</f>
        <v>138.98955745787097</v>
      </c>
      <c r="BE427" s="80">
        <f t="shared" ref="BE427:BE490" si="491">AA427+AY427</f>
        <v>103.99195429292462</v>
      </c>
      <c r="BF427" s="80">
        <f t="shared" ref="BF427:BF490" si="492">AB427+AZ427</f>
        <v>1024.5574292734195</v>
      </c>
      <c r="BG427" s="80">
        <f t="shared" ref="BG427:BG490" si="493">AC427+BA427</f>
        <v>580.65579734524988</v>
      </c>
      <c r="BH427" s="49">
        <f t="shared" ref="BH427:BH490" si="494">(AJ427+AK427+AL427+AM427+AN427+AO427)</f>
        <v>0</v>
      </c>
      <c r="BI427" s="79">
        <f t="shared" ref="BI427:BI490" si="495">BI426+K427+L427+M427+N427+O427+P427</f>
        <v>-91777.283475618722</v>
      </c>
      <c r="BJ427" s="79">
        <f t="shared" si="463"/>
        <v>139247.49215481291</v>
      </c>
      <c r="BK427" s="44">
        <f t="shared" ref="BK427:BK490" si="496">BJ427/ABS(BI427)-1</f>
        <v>0.51723266239194121</v>
      </c>
      <c r="BL427" s="79">
        <f t="shared" si="442"/>
        <v>13697.31047256646</v>
      </c>
      <c r="BM427" s="49">
        <f t="shared" ref="BM427:BM490" si="497">BJ427+BL427</f>
        <v>152944.80262737937</v>
      </c>
      <c r="BN427" s="44">
        <f t="shared" ref="BN427:BN490" si="498">BM427/ABS(BI427)-1</f>
        <v>0.66647776917487667</v>
      </c>
      <c r="BO427" s="49">
        <f t="shared" si="464"/>
        <v>18253.484452849563</v>
      </c>
      <c r="BP427" s="49">
        <f t="shared" si="465"/>
        <v>157500.97660766251</v>
      </c>
      <c r="BQ427" s="44">
        <f t="shared" si="466"/>
        <v>0.71612157870747772</v>
      </c>
      <c r="BS427" s="49">
        <f t="shared" si="467"/>
        <v>91777.283475618722</v>
      </c>
      <c r="BT427" s="49">
        <f t="shared" si="443"/>
        <v>106.910004</v>
      </c>
      <c r="BU427" s="49">
        <f t="shared" si="444"/>
        <v>39.669998</v>
      </c>
      <c r="BV427" s="49">
        <f t="shared" si="468"/>
        <v>0</v>
      </c>
      <c r="BW427" s="18">
        <f t="shared" si="469"/>
        <v>2695</v>
      </c>
      <c r="BX427" s="19">
        <f t="shared" ref="BX427:BX490" si="499">($BW$40-BW427)/$BW$40</f>
        <v>0.38188073394495414</v>
      </c>
      <c r="BY427" s="49">
        <f t="shared" ref="BY427:BY490" si="500">BX427*BV427</f>
        <v>0</v>
      </c>
      <c r="BZ427" s="19">
        <f t="shared" si="470"/>
        <v>0</v>
      </c>
      <c r="CA427" s="19">
        <f t="shared" si="471"/>
        <v>0</v>
      </c>
      <c r="CB427" s="19">
        <f t="shared" si="472"/>
        <v>0</v>
      </c>
      <c r="CC427" s="19">
        <f t="shared" si="473"/>
        <v>0</v>
      </c>
      <c r="CD427" s="19">
        <f t="shared" si="474"/>
        <v>0</v>
      </c>
      <c r="CE427" s="19">
        <f t="shared" si="475"/>
        <v>0</v>
      </c>
      <c r="CF427" s="49">
        <f t="shared" si="476"/>
        <v>0</v>
      </c>
      <c r="CG427" s="49">
        <f t="shared" si="477"/>
        <v>0</v>
      </c>
      <c r="CH427" s="49">
        <f t="shared" si="478"/>
        <v>0</v>
      </c>
      <c r="CI427" s="49">
        <f t="shared" si="479"/>
        <v>0</v>
      </c>
      <c r="CJ427" s="49">
        <f t="shared" si="480"/>
        <v>0</v>
      </c>
      <c r="CK427" s="49">
        <f t="shared" si="481"/>
        <v>0</v>
      </c>
    </row>
    <row r="428" spans="2:89" ht="12.75" customHeight="1" x14ac:dyDescent="0.2">
      <c r="B428" s="81">
        <v>41995</v>
      </c>
      <c r="C428" s="49">
        <v>107.360001</v>
      </c>
      <c r="D428" s="49">
        <v>85.650002000000001</v>
      </c>
      <c r="E428" s="49">
        <v>90.519997000000004</v>
      </c>
      <c r="F428" s="49">
        <v>106.519997</v>
      </c>
      <c r="G428" s="49">
        <v>38.700001</v>
      </c>
      <c r="H428" s="49">
        <v>40.040000999999997</v>
      </c>
      <c r="J428" s="78">
        <f>IF(inter=Weekly_2,J427+$C$5,IF(inter=Bi_weekly_2,J426+$C$5,IF(inter=Monthly_2,0,IF(inter=Quarterly_2,0,IF(inter=Yearly_2,0,IF(inter=None_2,0,0))))))</f>
        <v>135800</v>
      </c>
      <c r="K428" s="79">
        <f t="shared" si="482"/>
        <v>1630.7842458209489</v>
      </c>
      <c r="L428" s="79">
        <f t="shared" si="483"/>
        <v>480.07786522489369</v>
      </c>
      <c r="M428" s="79">
        <f t="shared" si="484"/>
        <v>325.30614345142931</v>
      </c>
      <c r="N428" s="79">
        <f t="shared" si="485"/>
        <v>276.68046831594984</v>
      </c>
      <c r="O428" s="79">
        <f t="shared" si="486"/>
        <v>663.91900465946674</v>
      </c>
      <c r="P428" s="79">
        <f t="shared" si="487"/>
        <v>536.57106797115921</v>
      </c>
      <c r="Q428" s="79"/>
      <c r="R428" s="80">
        <f t="shared" si="445"/>
        <v>-15.189868020036148</v>
      </c>
      <c r="S428" s="80">
        <f t="shared" si="446"/>
        <v>-5.6051121309360123</v>
      </c>
      <c r="T428" s="80">
        <f t="shared" si="447"/>
        <v>-3.5937489420313313</v>
      </c>
      <c r="U428" s="80">
        <f t="shared" si="448"/>
        <v>-2.5974509585833898</v>
      </c>
      <c r="V428" s="80">
        <f t="shared" si="449"/>
        <v>-17.155529392866598</v>
      </c>
      <c r="W428" s="80">
        <f t="shared" si="450"/>
        <v>-13.400875488768326</v>
      </c>
      <c r="X428" s="80">
        <f t="shared" ref="X428:X491" si="501">X427+R428</f>
        <v>442.71609125637025</v>
      </c>
      <c r="Y428" s="80">
        <f t="shared" ref="Y428:Y491" si="502">Y427+S428</f>
        <v>158.55224381664345</v>
      </c>
      <c r="Z428" s="80">
        <f t="shared" ref="Z428:Z491" si="503">Z427+T428</f>
        <v>120.01767962939725</v>
      </c>
      <c r="AA428" s="80">
        <f t="shared" ref="AA428:AA491" si="504">AA427+U428</f>
        <v>89.241459516751576</v>
      </c>
      <c r="AB428" s="80">
        <f t="shared" ref="AB428:AB491" si="505">AB427+V428</f>
        <v>877.26095924390279</v>
      </c>
      <c r="AC428" s="80">
        <f t="shared" ref="AC428:AC491" si="506">AC427+W428</f>
        <v>508.74124603543345</v>
      </c>
      <c r="AD428" s="80">
        <v>0.56100000000000005</v>
      </c>
      <c r="AE428" s="80">
        <v>0.51300000000000001</v>
      </c>
      <c r="AF428" s="80">
        <v>1.472</v>
      </c>
      <c r="AG428" s="80">
        <v>1.845</v>
      </c>
      <c r="AH428" s="80">
        <v>0.24</v>
      </c>
      <c r="AI428" s="80">
        <v>0.17399999999999999</v>
      </c>
      <c r="AJ428" s="45">
        <f t="shared" si="451"/>
        <v>248.36372719482372</v>
      </c>
      <c r="AK428" s="45">
        <f t="shared" si="452"/>
        <v>81.337301077938093</v>
      </c>
      <c r="AL428" s="45">
        <f t="shared" si="453"/>
        <v>176.66602441447276</v>
      </c>
      <c r="AM428" s="45">
        <f t="shared" si="454"/>
        <v>164.65049280840665</v>
      </c>
      <c r="AN428" s="45">
        <f t="shared" si="455"/>
        <v>210.54263021853666</v>
      </c>
      <c r="AO428" s="45">
        <f t="shared" si="456"/>
        <v>88.520976810165408</v>
      </c>
      <c r="AP428" s="80">
        <f t="shared" si="457"/>
        <v>2.3133729962877303</v>
      </c>
      <c r="AQ428" s="80">
        <f t="shared" si="458"/>
        <v>0.94964739262864339</v>
      </c>
      <c r="AR428" s="80">
        <f t="shared" si="459"/>
        <v>1.9516795213158564</v>
      </c>
      <c r="AS428" s="80">
        <f t="shared" si="460"/>
        <v>1.5457237837549569</v>
      </c>
      <c r="AT428" s="80">
        <f t="shared" si="461"/>
        <v>5.4403779012444122</v>
      </c>
      <c r="AU428" s="80">
        <f t="shared" si="462"/>
        <v>2.2108135514323641</v>
      </c>
      <c r="AV428" s="80">
        <f t="shared" ref="AV428:AV491" si="507">AP428+AV427+IF(AP428&lt;0,AP428,0)</f>
        <v>57.916464852387286</v>
      </c>
      <c r="AW428" s="80">
        <f t="shared" ref="AW428:AW491" si="508">AQ428+AW427+IF(AQ428&lt;0,AQ428,0)</f>
        <v>27.524666182087596</v>
      </c>
      <c r="AX428" s="80">
        <f t="shared" ref="AX428:AX491" si="509">AR428+AX427+IF(AR428&lt;0,AR428,0)</f>
        <v>17.32980840775825</v>
      </c>
      <c r="AY428" s="80">
        <f t="shared" ref="AY428:AY491" si="510">AS428+AY427+IF(AS428&lt;0,AS428,0)</f>
        <v>13.698767601344612</v>
      </c>
      <c r="AZ428" s="80">
        <f t="shared" ref="AZ428:AZ491" si="511">AT428+AZ427+IF(AT428&lt;0,AT428,0)</f>
        <v>135.58131853789448</v>
      </c>
      <c r="BA428" s="80">
        <f t="shared" ref="BA428:BA491" si="512">AU428+BA427+IF(AU428&lt;0,AU428,0)</f>
        <v>60.724489372480456</v>
      </c>
      <c r="BB428" s="80">
        <f t="shared" si="488"/>
        <v>500.63255610875751</v>
      </c>
      <c r="BC428" s="80">
        <f t="shared" si="489"/>
        <v>186.07690999873105</v>
      </c>
      <c r="BD428" s="80">
        <f t="shared" si="490"/>
        <v>137.3474880371555</v>
      </c>
      <c r="BE428" s="80">
        <f t="shared" si="491"/>
        <v>102.94022711809619</v>
      </c>
      <c r="BF428" s="80">
        <f t="shared" si="492"/>
        <v>1012.8422777817973</v>
      </c>
      <c r="BG428" s="80">
        <f t="shared" si="493"/>
        <v>569.46573540791394</v>
      </c>
      <c r="BH428" s="49">
        <f t="shared" si="494"/>
        <v>970.08115252434322</v>
      </c>
      <c r="BI428" s="79">
        <f t="shared" si="495"/>
        <v>-87863.944680174885</v>
      </c>
      <c r="BJ428" s="79">
        <f t="shared" si="463"/>
        <v>135800</v>
      </c>
      <c r="BK428" s="44">
        <f t="shared" si="496"/>
        <v>0.54557140012678174</v>
      </c>
      <c r="BL428" s="79">
        <f t="shared" ref="BL428:BL491" si="513">BL427+BH428</f>
        <v>14667.391625090802</v>
      </c>
      <c r="BM428" s="49">
        <f t="shared" si="497"/>
        <v>150467.39162509079</v>
      </c>
      <c r="BN428" s="44">
        <f t="shared" si="498"/>
        <v>0.71250439725637982</v>
      </c>
      <c r="BO428" s="49">
        <f t="shared" si="464"/>
        <v>19281.692105090115</v>
      </c>
      <c r="BP428" s="49">
        <f t="shared" si="465"/>
        <v>155081.6921050901</v>
      </c>
      <c r="BQ428" s="44">
        <f t="shared" si="466"/>
        <v>0.76502082474885569</v>
      </c>
      <c r="BS428" s="49">
        <f t="shared" si="467"/>
        <v>87863.944680174885</v>
      </c>
      <c r="BT428" s="49">
        <f t="shared" si="443"/>
        <v>107.360001</v>
      </c>
      <c r="BU428" s="49">
        <f t="shared" si="444"/>
        <v>40.040000999999997</v>
      </c>
      <c r="BV428" s="49">
        <f t="shared" si="468"/>
        <v>-4883.4199479681911</v>
      </c>
      <c r="BW428" s="18">
        <f t="shared" si="469"/>
        <v>2702</v>
      </c>
      <c r="BX428" s="19">
        <f t="shared" si="499"/>
        <v>0.38027522935779817</v>
      </c>
      <c r="BY428" s="49">
        <f t="shared" si="500"/>
        <v>-1857.0436407640507</v>
      </c>
      <c r="BZ428" s="19">
        <f t="shared" si="470"/>
        <v>0</v>
      </c>
      <c r="CA428" s="19">
        <f t="shared" si="471"/>
        <v>0</v>
      </c>
      <c r="CB428" s="19">
        <f t="shared" si="472"/>
        <v>0</v>
      </c>
      <c r="CC428" s="19">
        <f t="shared" si="473"/>
        <v>0</v>
      </c>
      <c r="CD428" s="19">
        <f t="shared" si="474"/>
        <v>0</v>
      </c>
      <c r="CE428" s="19">
        <f t="shared" si="475"/>
        <v>0</v>
      </c>
      <c r="CF428" s="49">
        <f t="shared" si="476"/>
        <v>0</v>
      </c>
      <c r="CG428" s="49">
        <f t="shared" si="477"/>
        <v>0</v>
      </c>
      <c r="CH428" s="49">
        <f t="shared" si="478"/>
        <v>0</v>
      </c>
      <c r="CI428" s="49">
        <f t="shared" si="479"/>
        <v>0</v>
      </c>
      <c r="CJ428" s="49">
        <f t="shared" si="480"/>
        <v>0</v>
      </c>
      <c r="CK428" s="49">
        <f t="shared" si="481"/>
        <v>0</v>
      </c>
    </row>
    <row r="429" spans="2:89" ht="12.75" customHeight="1" x14ac:dyDescent="0.2">
      <c r="B429" s="77">
        <v>42002</v>
      </c>
      <c r="C429" s="49">
        <v>106</v>
      </c>
      <c r="D429" s="49">
        <v>84.489998</v>
      </c>
      <c r="E429" s="49">
        <v>89.43</v>
      </c>
      <c r="F429" s="49">
        <v>105.769997</v>
      </c>
      <c r="G429" s="49">
        <v>37.880001</v>
      </c>
      <c r="H429" s="49">
        <v>40.020000000000003</v>
      </c>
      <c r="J429" s="78">
        <f>IF(inter=Weekly_2,J428+$C$5,IF(inter=Bi_weekly_2,0,IF(inter=Monthly_2,0,IF(inter=Quarterly_2,0,IF(inter=Yearly_2,0,IF(inter=None_2,0,0))))))</f>
        <v>0</v>
      </c>
      <c r="K429" s="79">
        <f t="shared" si="482"/>
        <v>0</v>
      </c>
      <c r="L429" s="79">
        <f t="shared" si="483"/>
        <v>0</v>
      </c>
      <c r="M429" s="79">
        <f t="shared" si="484"/>
        <v>0</v>
      </c>
      <c r="N429" s="79">
        <f t="shared" si="485"/>
        <v>0</v>
      </c>
      <c r="O429" s="79">
        <f t="shared" si="486"/>
        <v>0</v>
      </c>
      <c r="P429" s="79">
        <f t="shared" si="487"/>
        <v>0</v>
      </c>
      <c r="Q429" s="79"/>
      <c r="R429" s="80">
        <f t="shared" si="445"/>
        <v>0</v>
      </c>
      <c r="S429" s="80">
        <f t="shared" si="446"/>
        <v>0</v>
      </c>
      <c r="T429" s="80">
        <f t="shared" si="447"/>
        <v>0</v>
      </c>
      <c r="U429" s="80">
        <f t="shared" si="448"/>
        <v>0</v>
      </c>
      <c r="V429" s="80">
        <f t="shared" si="449"/>
        <v>0</v>
      </c>
      <c r="W429" s="80">
        <f t="shared" si="450"/>
        <v>0</v>
      </c>
      <c r="X429" s="80">
        <f t="shared" si="501"/>
        <v>442.71609125637025</v>
      </c>
      <c r="Y429" s="80">
        <f t="shared" si="502"/>
        <v>158.55224381664345</v>
      </c>
      <c r="Z429" s="80">
        <f t="shared" si="503"/>
        <v>120.01767962939725</v>
      </c>
      <c r="AA429" s="80">
        <f t="shared" si="504"/>
        <v>89.241459516751576</v>
      </c>
      <c r="AB429" s="80">
        <f t="shared" si="505"/>
        <v>877.26095924390279</v>
      </c>
      <c r="AC429" s="80">
        <f t="shared" si="506"/>
        <v>508.74124603543345</v>
      </c>
      <c r="AD429" s="80"/>
      <c r="AE429" s="80"/>
      <c r="AF429" s="80"/>
      <c r="AG429" s="80"/>
      <c r="AH429" s="80"/>
      <c r="AI429" s="80"/>
      <c r="AJ429" s="45">
        <f t="shared" si="451"/>
        <v>0</v>
      </c>
      <c r="AK429" s="45">
        <f t="shared" si="452"/>
        <v>0</v>
      </c>
      <c r="AL429" s="45">
        <f t="shared" si="453"/>
        <v>0</v>
      </c>
      <c r="AM429" s="45">
        <f t="shared" si="454"/>
        <v>0</v>
      </c>
      <c r="AN429" s="45">
        <f t="shared" si="455"/>
        <v>0</v>
      </c>
      <c r="AO429" s="45">
        <f t="shared" si="456"/>
        <v>0</v>
      </c>
      <c r="AP429" s="80">
        <f t="shared" si="457"/>
        <v>0</v>
      </c>
      <c r="AQ429" s="80">
        <f t="shared" si="458"/>
        <v>0</v>
      </c>
      <c r="AR429" s="80">
        <f t="shared" si="459"/>
        <v>0</v>
      </c>
      <c r="AS429" s="80">
        <f t="shared" si="460"/>
        <v>0</v>
      </c>
      <c r="AT429" s="80">
        <f t="shared" si="461"/>
        <v>0</v>
      </c>
      <c r="AU429" s="80">
        <f t="shared" si="462"/>
        <v>0</v>
      </c>
      <c r="AV429" s="80">
        <f t="shared" si="507"/>
        <v>57.916464852387286</v>
      </c>
      <c r="AW429" s="80">
        <f t="shared" si="508"/>
        <v>27.524666182087596</v>
      </c>
      <c r="AX429" s="80">
        <f t="shared" si="509"/>
        <v>17.32980840775825</v>
      </c>
      <c r="AY429" s="80">
        <f t="shared" si="510"/>
        <v>13.698767601344612</v>
      </c>
      <c r="AZ429" s="80">
        <f t="shared" si="511"/>
        <v>135.58131853789448</v>
      </c>
      <c r="BA429" s="80">
        <f t="shared" si="512"/>
        <v>60.724489372480456</v>
      </c>
      <c r="BB429" s="80">
        <f t="shared" si="488"/>
        <v>500.63255610875751</v>
      </c>
      <c r="BC429" s="80">
        <f t="shared" si="489"/>
        <v>186.07690999873105</v>
      </c>
      <c r="BD429" s="80">
        <f t="shared" si="490"/>
        <v>137.3474880371555</v>
      </c>
      <c r="BE429" s="80">
        <f t="shared" si="491"/>
        <v>102.94022711809619</v>
      </c>
      <c r="BF429" s="80">
        <f t="shared" si="492"/>
        <v>1012.8422777817973</v>
      </c>
      <c r="BG429" s="80">
        <f t="shared" si="493"/>
        <v>569.46573540791394</v>
      </c>
      <c r="BH429" s="49">
        <f t="shared" si="494"/>
        <v>0</v>
      </c>
      <c r="BI429" s="79">
        <f t="shared" si="495"/>
        <v>-87863.944680174885</v>
      </c>
      <c r="BJ429" s="79">
        <f t="shared" si="463"/>
        <v>134086.70511051643</v>
      </c>
      <c r="BK429" s="44">
        <f t="shared" si="496"/>
        <v>0.52607199231257584</v>
      </c>
      <c r="BL429" s="79">
        <f t="shared" si="513"/>
        <v>14667.391625090802</v>
      </c>
      <c r="BM429" s="49">
        <f t="shared" si="497"/>
        <v>148754.09673560722</v>
      </c>
      <c r="BN429" s="44">
        <f t="shared" si="498"/>
        <v>0.6930049894421737</v>
      </c>
      <c r="BO429" s="49">
        <f t="shared" si="464"/>
        <v>19029.442185515469</v>
      </c>
      <c r="BP429" s="49">
        <f t="shared" si="465"/>
        <v>153116.14729603191</v>
      </c>
      <c r="BQ429" s="44">
        <f t="shared" si="466"/>
        <v>0.742650501902405</v>
      </c>
      <c r="BS429" s="49">
        <f t="shared" si="467"/>
        <v>87863.944680174885</v>
      </c>
      <c r="BT429" s="49">
        <f t="shared" si="443"/>
        <v>106</v>
      </c>
      <c r="BU429" s="49">
        <f t="shared" si="444"/>
        <v>40.020000000000003</v>
      </c>
      <c r="BV429" s="49">
        <f t="shared" si="468"/>
        <v>0</v>
      </c>
      <c r="BW429" s="18">
        <f t="shared" si="469"/>
        <v>2709</v>
      </c>
      <c r="BX429" s="19">
        <f t="shared" si="499"/>
        <v>0.3786697247706422</v>
      </c>
      <c r="BY429" s="49">
        <f t="shared" si="500"/>
        <v>0</v>
      </c>
      <c r="BZ429" s="19">
        <f t="shared" si="470"/>
        <v>0</v>
      </c>
      <c r="CA429" s="19">
        <f t="shared" si="471"/>
        <v>0</v>
      </c>
      <c r="CB429" s="19">
        <f t="shared" si="472"/>
        <v>0</v>
      </c>
      <c r="CC429" s="19">
        <f t="shared" si="473"/>
        <v>0</v>
      </c>
      <c r="CD429" s="19">
        <f t="shared" si="474"/>
        <v>0</v>
      </c>
      <c r="CE429" s="19">
        <f t="shared" si="475"/>
        <v>0</v>
      </c>
      <c r="CF429" s="49">
        <f t="shared" si="476"/>
        <v>0</v>
      </c>
      <c r="CG429" s="49">
        <f t="shared" si="477"/>
        <v>0</v>
      </c>
      <c r="CH429" s="49">
        <f t="shared" si="478"/>
        <v>0</v>
      </c>
      <c r="CI429" s="49">
        <f t="shared" si="479"/>
        <v>0</v>
      </c>
      <c r="CJ429" s="49">
        <f t="shared" si="480"/>
        <v>0</v>
      </c>
      <c r="CK429" s="49">
        <f t="shared" si="481"/>
        <v>0</v>
      </c>
    </row>
    <row r="430" spans="2:89" ht="12.75" customHeight="1" x14ac:dyDescent="0.2">
      <c r="B430" s="77">
        <v>42009</v>
      </c>
      <c r="C430" s="79">
        <v>105.269997</v>
      </c>
      <c r="D430" s="79">
        <v>83.900002000000001</v>
      </c>
      <c r="E430" s="79">
        <v>88.739998</v>
      </c>
      <c r="F430" s="79">
        <v>103.760002</v>
      </c>
      <c r="G430" s="79">
        <v>37.209999000000003</v>
      </c>
      <c r="H430" s="79">
        <v>40.099997999999999</v>
      </c>
      <c r="I430" s="79"/>
      <c r="J430" s="78">
        <f>IF(inter=Weekly_2,J429+$C$5,IF(inter=Bi_weekly_2,J428+$C$5,IF(inter=Monthly_2,J426+$C$5,IF(inter=Quarterly_2,0,IF(inter=Yearly_2,0,IF(inter=None_2,0,0))))))</f>
        <v>136400</v>
      </c>
      <c r="K430" s="79">
        <f t="shared" si="482"/>
        <v>-1135.278401590178</v>
      </c>
      <c r="L430" s="79">
        <f t="shared" si="483"/>
        <v>-337.46642667912602</v>
      </c>
      <c r="M430" s="79">
        <f t="shared" si="484"/>
        <v>-261.63134972264743</v>
      </c>
      <c r="N430" s="79">
        <f t="shared" si="485"/>
        <v>-288.30598205893693</v>
      </c>
      <c r="O430" s="79">
        <f t="shared" si="486"/>
        <v>-1457.1205837953348</v>
      </c>
      <c r="P430" s="79">
        <f t="shared" si="487"/>
        <v>-59.477051461610245</v>
      </c>
      <c r="Q430" s="79"/>
      <c r="R430" s="80">
        <f t="shared" si="445"/>
        <v>10.784444133594665</v>
      </c>
      <c r="S430" s="80">
        <f t="shared" si="446"/>
        <v>4.0222457524986233</v>
      </c>
      <c r="T430" s="80">
        <f t="shared" si="447"/>
        <v>2.9482911383731092</v>
      </c>
      <c r="U430" s="80">
        <f t="shared" si="448"/>
        <v>2.7785849701403911</v>
      </c>
      <c r="V430" s="80">
        <f t="shared" si="449"/>
        <v>39.159382503486086</v>
      </c>
      <c r="W430" s="80">
        <f t="shared" si="450"/>
        <v>1.4832183149138871</v>
      </c>
      <c r="X430" s="80">
        <f t="shared" si="501"/>
        <v>453.50053538996491</v>
      </c>
      <c r="Y430" s="80">
        <f t="shared" si="502"/>
        <v>162.57448956914209</v>
      </c>
      <c r="Z430" s="80">
        <f t="shared" si="503"/>
        <v>122.96597076777036</v>
      </c>
      <c r="AA430" s="80">
        <f t="shared" si="504"/>
        <v>92.020044486891962</v>
      </c>
      <c r="AB430" s="80">
        <f t="shared" si="505"/>
        <v>916.42034174738887</v>
      </c>
      <c r="AC430" s="80">
        <f t="shared" si="506"/>
        <v>510.22446435034732</v>
      </c>
      <c r="AD430" s="80"/>
      <c r="AE430" s="80"/>
      <c r="AF430" s="80"/>
      <c r="AG430" s="80"/>
      <c r="AH430" s="80"/>
      <c r="AI430" s="80"/>
      <c r="AJ430" s="45">
        <f t="shared" si="451"/>
        <v>0</v>
      </c>
      <c r="AK430" s="45">
        <f t="shared" si="452"/>
        <v>0</v>
      </c>
      <c r="AL430" s="45">
        <f t="shared" si="453"/>
        <v>0</v>
      </c>
      <c r="AM430" s="45">
        <f t="shared" si="454"/>
        <v>0</v>
      </c>
      <c r="AN430" s="45">
        <f t="shared" si="455"/>
        <v>0</v>
      </c>
      <c r="AO430" s="45">
        <f t="shared" si="456"/>
        <v>0</v>
      </c>
      <c r="AP430" s="80">
        <f t="shared" si="457"/>
        <v>0</v>
      </c>
      <c r="AQ430" s="80">
        <f t="shared" si="458"/>
        <v>0</v>
      </c>
      <c r="AR430" s="80">
        <f t="shared" si="459"/>
        <v>0</v>
      </c>
      <c r="AS430" s="80">
        <f t="shared" si="460"/>
        <v>0</v>
      </c>
      <c r="AT430" s="80">
        <f t="shared" si="461"/>
        <v>0</v>
      </c>
      <c r="AU430" s="80">
        <f t="shared" si="462"/>
        <v>0</v>
      </c>
      <c r="AV430" s="80">
        <f t="shared" si="507"/>
        <v>57.916464852387286</v>
      </c>
      <c r="AW430" s="80">
        <f t="shared" si="508"/>
        <v>27.524666182087596</v>
      </c>
      <c r="AX430" s="80">
        <f t="shared" si="509"/>
        <v>17.32980840775825</v>
      </c>
      <c r="AY430" s="80">
        <f t="shared" si="510"/>
        <v>13.698767601344612</v>
      </c>
      <c r="AZ430" s="80">
        <f t="shared" si="511"/>
        <v>135.58131853789448</v>
      </c>
      <c r="BA430" s="80">
        <f t="shared" si="512"/>
        <v>60.724489372480456</v>
      </c>
      <c r="BB430" s="80">
        <f t="shared" si="488"/>
        <v>511.41700024235217</v>
      </c>
      <c r="BC430" s="80">
        <f t="shared" si="489"/>
        <v>190.09915575122969</v>
      </c>
      <c r="BD430" s="80">
        <f t="shared" si="490"/>
        <v>140.29577917552859</v>
      </c>
      <c r="BE430" s="80">
        <f t="shared" si="491"/>
        <v>105.71881208823658</v>
      </c>
      <c r="BF430" s="80">
        <f t="shared" si="492"/>
        <v>1052.0016602852834</v>
      </c>
      <c r="BG430" s="80">
        <f t="shared" si="493"/>
        <v>570.94895372282781</v>
      </c>
      <c r="BH430" s="49">
        <f t="shared" si="494"/>
        <v>0</v>
      </c>
      <c r="BI430" s="79">
        <f t="shared" si="495"/>
        <v>-91403.224475482712</v>
      </c>
      <c r="BJ430" s="79">
        <f t="shared" si="463"/>
        <v>136400</v>
      </c>
      <c r="BK430" s="44">
        <f t="shared" si="496"/>
        <v>0.4922887106306284</v>
      </c>
      <c r="BL430" s="79">
        <f t="shared" si="513"/>
        <v>14667.391625090802</v>
      </c>
      <c r="BM430" s="49">
        <f t="shared" si="497"/>
        <v>151067.39162509079</v>
      </c>
      <c r="BN430" s="44">
        <f t="shared" si="498"/>
        <v>0.65275779374295406</v>
      </c>
      <c r="BO430" s="49">
        <f t="shared" si="464"/>
        <v>18845.449575747021</v>
      </c>
      <c r="BP430" s="49">
        <f t="shared" si="465"/>
        <v>155245.44957574704</v>
      </c>
      <c r="BQ430" s="44">
        <f t="shared" si="466"/>
        <v>0.69846797491689006</v>
      </c>
      <c r="BS430" s="49">
        <f t="shared" si="467"/>
        <v>91403.224475482712</v>
      </c>
      <c r="BT430" s="49">
        <f t="shared" si="443"/>
        <v>105.269997</v>
      </c>
      <c r="BU430" s="49">
        <f t="shared" si="444"/>
        <v>40.099997999999999</v>
      </c>
      <c r="BV430" s="49">
        <f t="shared" si="468"/>
        <v>3539.2797953078334</v>
      </c>
      <c r="BW430" s="18">
        <f t="shared" si="469"/>
        <v>2716</v>
      </c>
      <c r="BX430" s="19">
        <f t="shared" si="499"/>
        <v>0.37706422018348623</v>
      </c>
      <c r="BY430" s="49">
        <f t="shared" si="500"/>
        <v>1334.5357760289169</v>
      </c>
      <c r="BZ430" s="19">
        <f t="shared" si="470"/>
        <v>10.784444133594665</v>
      </c>
      <c r="CA430" s="19">
        <f t="shared" si="471"/>
        <v>4.0222457524986233</v>
      </c>
      <c r="CB430" s="19">
        <f t="shared" si="472"/>
        <v>2.9482911383731092</v>
      </c>
      <c r="CC430" s="19">
        <f t="shared" si="473"/>
        <v>2.7785849701403911</v>
      </c>
      <c r="CD430" s="19">
        <f t="shared" si="474"/>
        <v>39.159382503486086</v>
      </c>
      <c r="CE430" s="19">
        <f t="shared" si="475"/>
        <v>1.4832183149138871</v>
      </c>
      <c r="CF430" s="49">
        <f t="shared" si="476"/>
        <v>-1135.278401590178</v>
      </c>
      <c r="CG430" s="49">
        <f t="shared" si="477"/>
        <v>-337.46642667912602</v>
      </c>
      <c r="CH430" s="49">
        <f t="shared" si="478"/>
        <v>-261.63134972264743</v>
      </c>
      <c r="CI430" s="49">
        <f t="shared" si="479"/>
        <v>-288.30598205893693</v>
      </c>
      <c r="CJ430" s="49">
        <f t="shared" si="480"/>
        <v>-1457.1205837953348</v>
      </c>
      <c r="CK430" s="49">
        <f t="shared" si="481"/>
        <v>-59.477051461610245</v>
      </c>
    </row>
    <row r="431" spans="2:89" ht="12.75" customHeight="1" x14ac:dyDescent="0.2">
      <c r="B431" s="77">
        <v>42016</v>
      </c>
      <c r="C431" s="79">
        <v>104.019997</v>
      </c>
      <c r="D431" s="79">
        <v>82.919998000000007</v>
      </c>
      <c r="E431" s="79">
        <v>87.720000999999996</v>
      </c>
      <c r="F431" s="79">
        <v>102.779999</v>
      </c>
      <c r="G431" s="79">
        <v>37.869999</v>
      </c>
      <c r="H431" s="79">
        <v>40.389999000000003</v>
      </c>
      <c r="I431" s="79"/>
      <c r="J431" s="78">
        <f>IF(inter=Weekly_2,J430+$C$5,IF(inter=Bi_weekly_2,0,IF(inter=Monthly_2,0,IF(inter=Quarterly_2,0,IF(inter=Yearly_2,0,IF(inter=None_2,0,0))))))</f>
        <v>0</v>
      </c>
      <c r="K431" s="79">
        <f t="shared" si="482"/>
        <v>0</v>
      </c>
      <c r="L431" s="79">
        <f t="shared" si="483"/>
        <v>0</v>
      </c>
      <c r="M431" s="79">
        <f t="shared" si="484"/>
        <v>0</v>
      </c>
      <c r="N431" s="79">
        <f t="shared" si="485"/>
        <v>0</v>
      </c>
      <c r="O431" s="79">
        <f t="shared" si="486"/>
        <v>0</v>
      </c>
      <c r="P431" s="79">
        <f t="shared" si="487"/>
        <v>0</v>
      </c>
      <c r="Q431" s="79"/>
      <c r="R431" s="80">
        <f t="shared" si="445"/>
        <v>0</v>
      </c>
      <c r="S431" s="80">
        <f t="shared" si="446"/>
        <v>0</v>
      </c>
      <c r="T431" s="80">
        <f t="shared" si="447"/>
        <v>0</v>
      </c>
      <c r="U431" s="80">
        <f t="shared" si="448"/>
        <v>0</v>
      </c>
      <c r="V431" s="80">
        <f t="shared" si="449"/>
        <v>0</v>
      </c>
      <c r="W431" s="80">
        <f t="shared" si="450"/>
        <v>0</v>
      </c>
      <c r="X431" s="80">
        <f t="shared" si="501"/>
        <v>453.50053538996491</v>
      </c>
      <c r="Y431" s="80">
        <f t="shared" si="502"/>
        <v>162.57448956914209</v>
      </c>
      <c r="Z431" s="80">
        <f t="shared" si="503"/>
        <v>122.96597076777036</v>
      </c>
      <c r="AA431" s="80">
        <f t="shared" si="504"/>
        <v>92.020044486891962</v>
      </c>
      <c r="AB431" s="80">
        <f t="shared" si="505"/>
        <v>916.42034174738887</v>
      </c>
      <c r="AC431" s="80">
        <f t="shared" si="506"/>
        <v>510.22446435034732</v>
      </c>
      <c r="AD431" s="80"/>
      <c r="AE431" s="80"/>
      <c r="AF431" s="80"/>
      <c r="AG431" s="80"/>
      <c r="AH431" s="80"/>
      <c r="AI431" s="80"/>
      <c r="AJ431" s="45">
        <f t="shared" si="451"/>
        <v>0</v>
      </c>
      <c r="AK431" s="45">
        <f t="shared" si="452"/>
        <v>0</v>
      </c>
      <c r="AL431" s="45">
        <f t="shared" si="453"/>
        <v>0</v>
      </c>
      <c r="AM431" s="45">
        <f t="shared" si="454"/>
        <v>0</v>
      </c>
      <c r="AN431" s="45">
        <f t="shared" si="455"/>
        <v>0</v>
      </c>
      <c r="AO431" s="45">
        <f t="shared" si="456"/>
        <v>0</v>
      </c>
      <c r="AP431" s="80">
        <f t="shared" si="457"/>
        <v>0</v>
      </c>
      <c r="AQ431" s="80">
        <f t="shared" si="458"/>
        <v>0</v>
      </c>
      <c r="AR431" s="80">
        <f t="shared" si="459"/>
        <v>0</v>
      </c>
      <c r="AS431" s="80">
        <f t="shared" si="460"/>
        <v>0</v>
      </c>
      <c r="AT431" s="80">
        <f t="shared" si="461"/>
        <v>0</v>
      </c>
      <c r="AU431" s="80">
        <f t="shared" si="462"/>
        <v>0</v>
      </c>
      <c r="AV431" s="80">
        <f t="shared" si="507"/>
        <v>57.916464852387286</v>
      </c>
      <c r="AW431" s="80">
        <f t="shared" si="508"/>
        <v>27.524666182087596</v>
      </c>
      <c r="AX431" s="80">
        <f t="shared" si="509"/>
        <v>17.32980840775825</v>
      </c>
      <c r="AY431" s="80">
        <f t="shared" si="510"/>
        <v>13.698767601344612</v>
      </c>
      <c r="AZ431" s="80">
        <f t="shared" si="511"/>
        <v>135.58131853789448</v>
      </c>
      <c r="BA431" s="80">
        <f t="shared" si="512"/>
        <v>60.724489372480456</v>
      </c>
      <c r="BB431" s="80">
        <f t="shared" si="488"/>
        <v>511.41700024235217</v>
      </c>
      <c r="BC431" s="80">
        <f t="shared" si="489"/>
        <v>190.09915575122969</v>
      </c>
      <c r="BD431" s="80">
        <f t="shared" si="490"/>
        <v>140.29577917552859</v>
      </c>
      <c r="BE431" s="80">
        <f t="shared" si="491"/>
        <v>105.71881208823658</v>
      </c>
      <c r="BF431" s="80">
        <f t="shared" si="492"/>
        <v>1052.0016602852834</v>
      </c>
      <c r="BG431" s="80">
        <f t="shared" si="493"/>
        <v>570.94895372282781</v>
      </c>
      <c r="BH431" s="49">
        <f t="shared" si="494"/>
        <v>0</v>
      </c>
      <c r="BI431" s="79">
        <f t="shared" si="495"/>
        <v>-91403.224475482712</v>
      </c>
      <c r="BJ431" s="79">
        <f t="shared" si="463"/>
        <v>136210.99887018368</v>
      </c>
      <c r="BK431" s="44">
        <f t="shared" si="496"/>
        <v>0.49022093751976836</v>
      </c>
      <c r="BL431" s="79">
        <f t="shared" si="513"/>
        <v>14667.391625090802</v>
      </c>
      <c r="BM431" s="49">
        <f t="shared" si="497"/>
        <v>150878.39049527448</v>
      </c>
      <c r="BN431" s="44">
        <f t="shared" si="498"/>
        <v>0.65069002063209402</v>
      </c>
      <c r="BO431" s="49">
        <f t="shared" si="464"/>
        <v>18822.072358669837</v>
      </c>
      <c r="BP431" s="49">
        <f t="shared" si="465"/>
        <v>155033.07122885351</v>
      </c>
      <c r="BQ431" s="44">
        <f t="shared" si="466"/>
        <v>0.69614444258953223</v>
      </c>
      <c r="BS431" s="49">
        <f t="shared" si="467"/>
        <v>91403.224475482712</v>
      </c>
      <c r="BT431" s="49">
        <f t="shared" si="443"/>
        <v>104.019997</v>
      </c>
      <c r="BU431" s="49">
        <f t="shared" si="444"/>
        <v>40.389999000000003</v>
      </c>
      <c r="BV431" s="49">
        <f t="shared" si="468"/>
        <v>0</v>
      </c>
      <c r="BW431" s="18">
        <f t="shared" si="469"/>
        <v>2723</v>
      </c>
      <c r="BX431" s="19">
        <f t="shared" si="499"/>
        <v>0.37545871559633026</v>
      </c>
      <c r="BY431" s="49">
        <f t="shared" si="500"/>
        <v>0</v>
      </c>
      <c r="BZ431" s="19">
        <f t="shared" si="470"/>
        <v>0</v>
      </c>
      <c r="CA431" s="19">
        <f t="shared" si="471"/>
        <v>0</v>
      </c>
      <c r="CB431" s="19">
        <f t="shared" si="472"/>
        <v>0</v>
      </c>
      <c r="CC431" s="19">
        <f t="shared" si="473"/>
        <v>0</v>
      </c>
      <c r="CD431" s="19">
        <f t="shared" si="474"/>
        <v>0</v>
      </c>
      <c r="CE431" s="19">
        <f t="shared" si="475"/>
        <v>0</v>
      </c>
      <c r="CF431" s="49">
        <f t="shared" si="476"/>
        <v>0</v>
      </c>
      <c r="CG431" s="49">
        <f t="shared" si="477"/>
        <v>0</v>
      </c>
      <c r="CH431" s="49">
        <f t="shared" si="478"/>
        <v>0</v>
      </c>
      <c r="CI431" s="49">
        <f t="shared" si="479"/>
        <v>0</v>
      </c>
      <c r="CJ431" s="49">
        <f t="shared" si="480"/>
        <v>0</v>
      </c>
      <c r="CK431" s="49">
        <f t="shared" si="481"/>
        <v>0</v>
      </c>
    </row>
    <row r="432" spans="2:89" ht="12.75" customHeight="1" x14ac:dyDescent="0.2">
      <c r="B432" s="77">
        <v>42024</v>
      </c>
      <c r="C432" s="79">
        <v>105.75</v>
      </c>
      <c r="D432" s="79">
        <v>83.910004000000001</v>
      </c>
      <c r="E432" s="79">
        <v>88.849997999999999</v>
      </c>
      <c r="F432" s="79">
        <v>104.120003</v>
      </c>
      <c r="G432" s="79">
        <v>38.229999999999997</v>
      </c>
      <c r="H432" s="79">
        <v>41.66</v>
      </c>
      <c r="I432" s="79"/>
      <c r="J432" s="78">
        <f>IF(inter=Weekly_2,J431+$C$5,IF(inter=Bi_weekly_2,J430+$C$5,IF(inter=Monthly_2,0,IF(inter=Quarterly_2,J419+$C$5,IF(inter=Yearly_2,0,IF(inter=None_2,0,0))))))</f>
        <v>137000</v>
      </c>
      <c r="K432" s="79">
        <f t="shared" si="482"/>
        <v>7.6816174887862871</v>
      </c>
      <c r="L432" s="79">
        <f t="shared" si="483"/>
        <v>-58.373929955329004</v>
      </c>
      <c r="M432" s="79">
        <f t="shared" si="484"/>
        <v>-34.473743215545255</v>
      </c>
      <c r="N432" s="79">
        <f t="shared" si="485"/>
        <v>-8.8726919646778697</v>
      </c>
      <c r="O432" s="79">
        <f t="shared" si="486"/>
        <v>784.74966500267328</v>
      </c>
      <c r="P432" s="79">
        <f t="shared" si="487"/>
        <v>705.95118483546685</v>
      </c>
      <c r="Q432" s="79"/>
      <c r="R432" s="80">
        <f t="shared" si="445"/>
        <v>-7.2639408877411701E-2</v>
      </c>
      <c r="S432" s="80">
        <f t="shared" si="446"/>
        <v>0.69567306843804944</v>
      </c>
      <c r="T432" s="80">
        <f t="shared" si="447"/>
        <v>0.38799936962908266</v>
      </c>
      <c r="U432" s="80">
        <f t="shared" si="448"/>
        <v>8.521601718238396E-2</v>
      </c>
      <c r="V432" s="80">
        <f t="shared" si="449"/>
        <v>-20.527064216653763</v>
      </c>
      <c r="W432" s="80">
        <f t="shared" si="450"/>
        <v>-16.945539722406792</v>
      </c>
      <c r="X432" s="80">
        <f t="shared" si="501"/>
        <v>453.42789598108749</v>
      </c>
      <c r="Y432" s="80">
        <f t="shared" si="502"/>
        <v>163.27016263758014</v>
      </c>
      <c r="Z432" s="80">
        <f t="shared" si="503"/>
        <v>123.35397013739944</v>
      </c>
      <c r="AA432" s="80">
        <f t="shared" si="504"/>
        <v>92.105260504074352</v>
      </c>
      <c r="AB432" s="80">
        <f t="shared" si="505"/>
        <v>895.89327753073508</v>
      </c>
      <c r="AC432" s="80">
        <f t="shared" si="506"/>
        <v>493.27892462794051</v>
      </c>
      <c r="AD432" s="80"/>
      <c r="AE432" s="80"/>
      <c r="AF432" s="80"/>
      <c r="AG432" s="80"/>
      <c r="AH432" s="80"/>
      <c r="AI432" s="80"/>
      <c r="AJ432" s="45">
        <f t="shared" si="451"/>
        <v>0</v>
      </c>
      <c r="AK432" s="45">
        <f t="shared" si="452"/>
        <v>0</v>
      </c>
      <c r="AL432" s="45">
        <f t="shared" si="453"/>
        <v>0</v>
      </c>
      <c r="AM432" s="45">
        <f t="shared" si="454"/>
        <v>0</v>
      </c>
      <c r="AN432" s="45">
        <f t="shared" si="455"/>
        <v>0</v>
      </c>
      <c r="AO432" s="45">
        <f t="shared" si="456"/>
        <v>0</v>
      </c>
      <c r="AP432" s="80">
        <f t="shared" si="457"/>
        <v>0</v>
      </c>
      <c r="AQ432" s="80">
        <f t="shared" si="458"/>
        <v>0</v>
      </c>
      <c r="AR432" s="80">
        <f t="shared" si="459"/>
        <v>0</v>
      </c>
      <c r="AS432" s="80">
        <f t="shared" si="460"/>
        <v>0</v>
      </c>
      <c r="AT432" s="80">
        <f t="shared" si="461"/>
        <v>0</v>
      </c>
      <c r="AU432" s="80">
        <f t="shared" si="462"/>
        <v>0</v>
      </c>
      <c r="AV432" s="80">
        <f t="shared" si="507"/>
        <v>57.916464852387286</v>
      </c>
      <c r="AW432" s="80">
        <f t="shared" si="508"/>
        <v>27.524666182087596</v>
      </c>
      <c r="AX432" s="80">
        <f t="shared" si="509"/>
        <v>17.32980840775825</v>
      </c>
      <c r="AY432" s="80">
        <f t="shared" si="510"/>
        <v>13.698767601344612</v>
      </c>
      <c r="AZ432" s="80">
        <f t="shared" si="511"/>
        <v>135.58131853789448</v>
      </c>
      <c r="BA432" s="80">
        <f t="shared" si="512"/>
        <v>60.724489372480456</v>
      </c>
      <c r="BB432" s="80">
        <f t="shared" si="488"/>
        <v>511.34436083347475</v>
      </c>
      <c r="BC432" s="80">
        <f t="shared" si="489"/>
        <v>190.79482881966774</v>
      </c>
      <c r="BD432" s="80">
        <f t="shared" si="490"/>
        <v>140.68377854515768</v>
      </c>
      <c r="BE432" s="80">
        <f t="shared" si="491"/>
        <v>105.80402810541896</v>
      </c>
      <c r="BF432" s="80">
        <f t="shared" si="492"/>
        <v>1031.4745960686296</v>
      </c>
      <c r="BG432" s="80">
        <f t="shared" si="493"/>
        <v>554.003414000421</v>
      </c>
      <c r="BH432" s="49">
        <f t="shared" si="494"/>
        <v>0</v>
      </c>
      <c r="BI432" s="79">
        <f t="shared" si="495"/>
        <v>-90006.562373291323</v>
      </c>
      <c r="BJ432" s="79">
        <f t="shared" si="463"/>
        <v>137000</v>
      </c>
      <c r="BK432" s="44">
        <f t="shared" si="496"/>
        <v>0.52211123708745899</v>
      </c>
      <c r="BL432" s="79">
        <f t="shared" si="513"/>
        <v>14667.391625090802</v>
      </c>
      <c r="BM432" s="49">
        <f t="shared" si="497"/>
        <v>151667.39162509079</v>
      </c>
      <c r="BN432" s="44">
        <f t="shared" si="498"/>
        <v>0.68507037293646045</v>
      </c>
      <c r="BO432" s="49">
        <f t="shared" si="464"/>
        <v>19113.386208656841</v>
      </c>
      <c r="BP432" s="49">
        <f t="shared" si="465"/>
        <v>156113.38620865686</v>
      </c>
      <c r="BQ432" s="44">
        <f t="shared" si="466"/>
        <v>0.73446671100708727</v>
      </c>
      <c r="BS432" s="49">
        <f t="shared" si="467"/>
        <v>90006.562373291323</v>
      </c>
      <c r="BT432" s="49">
        <f t="shared" si="443"/>
        <v>105.75</v>
      </c>
      <c r="BU432" s="49">
        <f t="shared" si="444"/>
        <v>41.66</v>
      </c>
      <c r="BV432" s="49">
        <f t="shared" si="468"/>
        <v>-1396.6621021913743</v>
      </c>
      <c r="BW432" s="18">
        <f t="shared" si="469"/>
        <v>2731</v>
      </c>
      <c r="BX432" s="19">
        <f t="shared" si="499"/>
        <v>0.37362385321100916</v>
      </c>
      <c r="BY432" s="49">
        <f t="shared" si="500"/>
        <v>-521.82627625452949</v>
      </c>
      <c r="BZ432" s="19">
        <f t="shared" si="470"/>
        <v>0</v>
      </c>
      <c r="CA432" s="19">
        <f t="shared" si="471"/>
        <v>0.69567306843804944</v>
      </c>
      <c r="CB432" s="19">
        <f t="shared" si="472"/>
        <v>0.38799936962908266</v>
      </c>
      <c r="CC432" s="19">
        <f t="shared" si="473"/>
        <v>8.521601718238396E-2</v>
      </c>
      <c r="CD432" s="19">
        <f t="shared" si="474"/>
        <v>0</v>
      </c>
      <c r="CE432" s="19">
        <f t="shared" si="475"/>
        <v>0</v>
      </c>
      <c r="CF432" s="49">
        <f t="shared" si="476"/>
        <v>0</v>
      </c>
      <c r="CG432" s="49">
        <f t="shared" si="477"/>
        <v>-58.373929955329004</v>
      </c>
      <c r="CH432" s="49">
        <f t="shared" si="478"/>
        <v>-34.473743215545255</v>
      </c>
      <c r="CI432" s="49">
        <f t="shared" si="479"/>
        <v>-8.8726919646778697</v>
      </c>
      <c r="CJ432" s="49">
        <f t="shared" si="480"/>
        <v>0</v>
      </c>
      <c r="CK432" s="49">
        <f t="shared" si="481"/>
        <v>0</v>
      </c>
    </row>
    <row r="433" spans="2:89" ht="12.75" customHeight="1" x14ac:dyDescent="0.2">
      <c r="B433" s="77">
        <v>42030</v>
      </c>
      <c r="C433" s="79">
        <v>103.099998</v>
      </c>
      <c r="D433" s="79">
        <v>81.029999000000004</v>
      </c>
      <c r="E433" s="79">
        <v>87.309997999999993</v>
      </c>
      <c r="F433" s="79">
        <v>102.279999</v>
      </c>
      <c r="G433" s="79">
        <v>38.150002000000001</v>
      </c>
      <c r="H433" s="79">
        <v>39.939999</v>
      </c>
      <c r="I433" s="79"/>
      <c r="J433" s="78">
        <f>IF(inter=Weekly_2,J432+$C$5,IF(inter=Bi_weekly_2,0,IF(inter=Monthly_2,0,IF(inter=Quarterly_2,0,IF(inter=Yearly_2,0,IF(inter=None_2,0,0))))))</f>
        <v>0</v>
      </c>
      <c r="K433" s="79">
        <f t="shared" si="482"/>
        <v>0</v>
      </c>
      <c r="L433" s="79">
        <f t="shared" si="483"/>
        <v>0</v>
      </c>
      <c r="M433" s="79">
        <f t="shared" si="484"/>
        <v>0</v>
      </c>
      <c r="N433" s="79">
        <f t="shared" si="485"/>
        <v>0</v>
      </c>
      <c r="O433" s="79">
        <f t="shared" si="486"/>
        <v>0</v>
      </c>
      <c r="P433" s="79">
        <f t="shared" si="487"/>
        <v>0</v>
      </c>
      <c r="Q433" s="79"/>
      <c r="R433" s="80">
        <f t="shared" si="445"/>
        <v>0</v>
      </c>
      <c r="S433" s="80">
        <f t="shared" si="446"/>
        <v>0</v>
      </c>
      <c r="T433" s="80">
        <f t="shared" si="447"/>
        <v>0</v>
      </c>
      <c r="U433" s="80">
        <f t="shared" si="448"/>
        <v>0</v>
      </c>
      <c r="V433" s="80">
        <f t="shared" si="449"/>
        <v>0</v>
      </c>
      <c r="W433" s="80">
        <f t="shared" si="450"/>
        <v>0</v>
      </c>
      <c r="X433" s="80">
        <f t="shared" si="501"/>
        <v>453.42789598108749</v>
      </c>
      <c r="Y433" s="80">
        <f t="shared" si="502"/>
        <v>163.27016263758014</v>
      </c>
      <c r="Z433" s="80">
        <f t="shared" si="503"/>
        <v>123.35397013739944</v>
      </c>
      <c r="AA433" s="80">
        <f t="shared" si="504"/>
        <v>92.105260504074352</v>
      </c>
      <c r="AB433" s="80">
        <f t="shared" si="505"/>
        <v>895.89327753073508</v>
      </c>
      <c r="AC433" s="80">
        <f t="shared" si="506"/>
        <v>493.27892462794051</v>
      </c>
      <c r="AD433" s="80"/>
      <c r="AE433" s="80"/>
      <c r="AF433" s="80"/>
      <c r="AG433" s="80"/>
      <c r="AH433" s="80"/>
      <c r="AI433" s="80"/>
      <c r="AJ433" s="45">
        <f t="shared" si="451"/>
        <v>0</v>
      </c>
      <c r="AK433" s="45">
        <f t="shared" si="452"/>
        <v>0</v>
      </c>
      <c r="AL433" s="45">
        <f t="shared" si="453"/>
        <v>0</v>
      </c>
      <c r="AM433" s="45">
        <f t="shared" si="454"/>
        <v>0</v>
      </c>
      <c r="AN433" s="45">
        <f t="shared" si="455"/>
        <v>0</v>
      </c>
      <c r="AO433" s="45">
        <f t="shared" si="456"/>
        <v>0</v>
      </c>
      <c r="AP433" s="80">
        <f t="shared" si="457"/>
        <v>0</v>
      </c>
      <c r="AQ433" s="80">
        <f t="shared" si="458"/>
        <v>0</v>
      </c>
      <c r="AR433" s="80">
        <f t="shared" si="459"/>
        <v>0</v>
      </c>
      <c r="AS433" s="80">
        <f t="shared" si="460"/>
        <v>0</v>
      </c>
      <c r="AT433" s="80">
        <f t="shared" si="461"/>
        <v>0</v>
      </c>
      <c r="AU433" s="80">
        <f t="shared" si="462"/>
        <v>0</v>
      </c>
      <c r="AV433" s="80">
        <f t="shared" si="507"/>
        <v>57.916464852387286</v>
      </c>
      <c r="AW433" s="80">
        <f t="shared" si="508"/>
        <v>27.524666182087596</v>
      </c>
      <c r="AX433" s="80">
        <f t="shared" si="509"/>
        <v>17.32980840775825</v>
      </c>
      <c r="AY433" s="80">
        <f t="shared" si="510"/>
        <v>13.698767601344612</v>
      </c>
      <c r="AZ433" s="80">
        <f t="shared" si="511"/>
        <v>135.58131853789448</v>
      </c>
      <c r="BA433" s="80">
        <f t="shared" si="512"/>
        <v>60.724489372480456</v>
      </c>
      <c r="BB433" s="80">
        <f t="shared" si="488"/>
        <v>511.34436083347475</v>
      </c>
      <c r="BC433" s="80">
        <f t="shared" si="489"/>
        <v>190.79482881966774</v>
      </c>
      <c r="BD433" s="80">
        <f t="shared" si="490"/>
        <v>140.68377854515768</v>
      </c>
      <c r="BE433" s="80">
        <f t="shared" si="491"/>
        <v>105.80402810541896</v>
      </c>
      <c r="BF433" s="80">
        <f t="shared" si="492"/>
        <v>1031.4745960686296</v>
      </c>
      <c r="BG433" s="80">
        <f t="shared" si="493"/>
        <v>554.003414000421</v>
      </c>
      <c r="BH433" s="49">
        <f t="shared" si="494"/>
        <v>0</v>
      </c>
      <c r="BI433" s="79">
        <f t="shared" si="495"/>
        <v>-90006.562373291323</v>
      </c>
      <c r="BJ433" s="79">
        <f t="shared" si="463"/>
        <v>134048.64720823226</v>
      </c>
      <c r="BK433" s="44">
        <f t="shared" si="496"/>
        <v>0.489320819211845</v>
      </c>
      <c r="BL433" s="79">
        <f t="shared" si="513"/>
        <v>14667.391625090802</v>
      </c>
      <c r="BM433" s="49">
        <f t="shared" si="497"/>
        <v>148716.03883332305</v>
      </c>
      <c r="BN433" s="44">
        <f t="shared" si="498"/>
        <v>0.65227995506084646</v>
      </c>
      <c r="BO433" s="49">
        <f t="shared" si="464"/>
        <v>18713.450175842296</v>
      </c>
      <c r="BP433" s="49">
        <f t="shared" si="465"/>
        <v>152762.09738407459</v>
      </c>
      <c r="BQ433" s="44">
        <f t="shared" si="466"/>
        <v>0.69723288342590273</v>
      </c>
      <c r="BS433" s="49">
        <f t="shared" si="467"/>
        <v>90006.562373291323</v>
      </c>
      <c r="BT433" s="49">
        <f t="shared" si="443"/>
        <v>103.099998</v>
      </c>
      <c r="BU433" s="49">
        <f t="shared" si="444"/>
        <v>39.939999</v>
      </c>
      <c r="BV433" s="49">
        <f t="shared" si="468"/>
        <v>0</v>
      </c>
      <c r="BW433" s="18">
        <f t="shared" si="469"/>
        <v>2737</v>
      </c>
      <c r="BX433" s="19">
        <f t="shared" si="499"/>
        <v>0.37224770642201838</v>
      </c>
      <c r="BY433" s="49">
        <f t="shared" si="500"/>
        <v>0</v>
      </c>
      <c r="BZ433" s="19">
        <f t="shared" si="470"/>
        <v>0</v>
      </c>
      <c r="CA433" s="19">
        <f t="shared" si="471"/>
        <v>0</v>
      </c>
      <c r="CB433" s="19">
        <f t="shared" si="472"/>
        <v>0</v>
      </c>
      <c r="CC433" s="19">
        <f t="shared" si="473"/>
        <v>0</v>
      </c>
      <c r="CD433" s="19">
        <f t="shared" si="474"/>
        <v>0</v>
      </c>
      <c r="CE433" s="19">
        <f t="shared" si="475"/>
        <v>0</v>
      </c>
      <c r="CF433" s="49">
        <f t="shared" si="476"/>
        <v>0</v>
      </c>
      <c r="CG433" s="49">
        <f t="shared" si="477"/>
        <v>0</v>
      </c>
      <c r="CH433" s="49">
        <f t="shared" si="478"/>
        <v>0</v>
      </c>
      <c r="CI433" s="49">
        <f t="shared" si="479"/>
        <v>0</v>
      </c>
      <c r="CJ433" s="49">
        <f t="shared" si="480"/>
        <v>0</v>
      </c>
      <c r="CK433" s="49">
        <f t="shared" si="481"/>
        <v>0</v>
      </c>
    </row>
    <row r="434" spans="2:89" ht="12.75" customHeight="1" x14ac:dyDescent="0.2">
      <c r="B434" s="77">
        <v>42037</v>
      </c>
      <c r="C434" s="79">
        <v>106.33000199999999</v>
      </c>
      <c r="D434" s="79">
        <v>84.099997999999999</v>
      </c>
      <c r="E434" s="79">
        <v>90.419998000000007</v>
      </c>
      <c r="F434" s="79">
        <v>105.91999800000001</v>
      </c>
      <c r="G434" s="79">
        <v>38.860000999999997</v>
      </c>
      <c r="H434" s="79">
        <v>40.720001000000003</v>
      </c>
      <c r="I434" s="79"/>
      <c r="J434" s="78">
        <f>IF(inter=Weekly_2,J433+$C$5,IF(inter=Bi_weekly_2,J432+$C$5,IF(inter=Monthly_2,J430+$C$5,IF(inter=Quarterly_2,0,IF(inter=Yearly_2,0,IF(inter=None_2,0,0))))))</f>
        <v>137600</v>
      </c>
      <c r="K434" s="79">
        <f t="shared" si="482"/>
        <v>52.989086524823506</v>
      </c>
      <c r="L434" s="79">
        <f t="shared" si="483"/>
        <v>-28.979648719834586</v>
      </c>
      <c r="M434" s="79">
        <f t="shared" si="484"/>
        <v>145.66573311571847</v>
      </c>
      <c r="N434" s="79">
        <f t="shared" si="485"/>
        <v>123.78900838103255</v>
      </c>
      <c r="O434" s="79">
        <f t="shared" si="486"/>
        <v>414.4136607376422</v>
      </c>
      <c r="P434" s="79">
        <f t="shared" si="487"/>
        <v>-553.68169587133525</v>
      </c>
      <c r="Q434" s="79"/>
      <c r="R434" s="80">
        <f t="shared" si="445"/>
        <v>-0.49834558006331564</v>
      </c>
      <c r="S434" s="80">
        <f t="shared" si="446"/>
        <v>0.34458560533895122</v>
      </c>
      <c r="T434" s="80">
        <f t="shared" si="447"/>
        <v>-1.6109902271366834</v>
      </c>
      <c r="U434" s="80">
        <f t="shared" si="448"/>
        <v>-1.1687028957556489</v>
      </c>
      <c r="V434" s="80">
        <f t="shared" si="449"/>
        <v>-10.66427303328279</v>
      </c>
      <c r="W434" s="80">
        <f t="shared" si="450"/>
        <v>13.597290822054136</v>
      </c>
      <c r="X434" s="80">
        <f t="shared" si="501"/>
        <v>452.92955040102419</v>
      </c>
      <c r="Y434" s="80">
        <f t="shared" si="502"/>
        <v>163.61474824291909</v>
      </c>
      <c r="Z434" s="80">
        <f t="shared" si="503"/>
        <v>121.74297991026276</v>
      </c>
      <c r="AA434" s="80">
        <f t="shared" si="504"/>
        <v>90.936557608318708</v>
      </c>
      <c r="AB434" s="80">
        <f t="shared" si="505"/>
        <v>885.22900449745225</v>
      </c>
      <c r="AC434" s="80">
        <f t="shared" si="506"/>
        <v>506.87621544999467</v>
      </c>
      <c r="AD434" s="80"/>
      <c r="AE434" s="80"/>
      <c r="AF434" s="80"/>
      <c r="AG434" s="80"/>
      <c r="AH434" s="80"/>
      <c r="AI434" s="80"/>
      <c r="AJ434" s="45">
        <f t="shared" si="451"/>
        <v>0</v>
      </c>
      <c r="AK434" s="45">
        <f t="shared" si="452"/>
        <v>0</v>
      </c>
      <c r="AL434" s="45">
        <f t="shared" si="453"/>
        <v>0</v>
      </c>
      <c r="AM434" s="45">
        <f t="shared" si="454"/>
        <v>0</v>
      </c>
      <c r="AN434" s="45">
        <f t="shared" si="455"/>
        <v>0</v>
      </c>
      <c r="AO434" s="45">
        <f t="shared" si="456"/>
        <v>0</v>
      </c>
      <c r="AP434" s="80">
        <f t="shared" si="457"/>
        <v>0</v>
      </c>
      <c r="AQ434" s="80">
        <f t="shared" si="458"/>
        <v>0</v>
      </c>
      <c r="AR434" s="80">
        <f t="shared" si="459"/>
        <v>0</v>
      </c>
      <c r="AS434" s="80">
        <f t="shared" si="460"/>
        <v>0</v>
      </c>
      <c r="AT434" s="80">
        <f t="shared" si="461"/>
        <v>0</v>
      </c>
      <c r="AU434" s="80">
        <f t="shared" si="462"/>
        <v>0</v>
      </c>
      <c r="AV434" s="80">
        <f t="shared" si="507"/>
        <v>57.916464852387286</v>
      </c>
      <c r="AW434" s="80">
        <f t="shared" si="508"/>
        <v>27.524666182087596</v>
      </c>
      <c r="AX434" s="80">
        <f t="shared" si="509"/>
        <v>17.32980840775825</v>
      </c>
      <c r="AY434" s="80">
        <f t="shared" si="510"/>
        <v>13.698767601344612</v>
      </c>
      <c r="AZ434" s="80">
        <f t="shared" si="511"/>
        <v>135.58131853789448</v>
      </c>
      <c r="BA434" s="80">
        <f t="shared" si="512"/>
        <v>60.724489372480456</v>
      </c>
      <c r="BB434" s="80">
        <f t="shared" si="488"/>
        <v>510.84601525341145</v>
      </c>
      <c r="BC434" s="80">
        <f t="shared" si="489"/>
        <v>191.13941442500669</v>
      </c>
      <c r="BD434" s="80">
        <f t="shared" si="490"/>
        <v>139.07278831802103</v>
      </c>
      <c r="BE434" s="80">
        <f t="shared" si="491"/>
        <v>104.63532520966332</v>
      </c>
      <c r="BF434" s="80">
        <f t="shared" si="492"/>
        <v>1020.8103230353468</v>
      </c>
      <c r="BG434" s="80">
        <f t="shared" si="493"/>
        <v>567.60070482247511</v>
      </c>
      <c r="BH434" s="49">
        <f t="shared" si="494"/>
        <v>0</v>
      </c>
      <c r="BI434" s="79">
        <f t="shared" si="495"/>
        <v>-89852.366229123276</v>
      </c>
      <c r="BJ434" s="79">
        <f t="shared" si="463"/>
        <v>137600</v>
      </c>
      <c r="BK434" s="44">
        <f t="shared" si="496"/>
        <v>0.53140096109567558</v>
      </c>
      <c r="BL434" s="79">
        <f t="shared" si="513"/>
        <v>14667.391625090802</v>
      </c>
      <c r="BM434" s="49">
        <f t="shared" si="497"/>
        <v>152267.39162509079</v>
      </c>
      <c r="BN434" s="44">
        <f t="shared" si="498"/>
        <v>0.69463975202177064</v>
      </c>
      <c r="BO434" s="49">
        <f t="shared" si="464"/>
        <v>19232.408314894066</v>
      </c>
      <c r="BP434" s="49">
        <f t="shared" si="465"/>
        <v>156832.40831489407</v>
      </c>
      <c r="BQ434" s="44">
        <f t="shared" si="466"/>
        <v>0.74544550017716715</v>
      </c>
      <c r="BS434" s="49">
        <f t="shared" si="467"/>
        <v>89852.366229123276</v>
      </c>
      <c r="BT434" s="49">
        <f t="shared" si="443"/>
        <v>106.33000199999999</v>
      </c>
      <c r="BU434" s="49">
        <f t="shared" si="444"/>
        <v>40.720001000000003</v>
      </c>
      <c r="BV434" s="49">
        <f t="shared" si="468"/>
        <v>-154.19614416804689</v>
      </c>
      <c r="BW434" s="18">
        <f t="shared" si="469"/>
        <v>2744</v>
      </c>
      <c r="BX434" s="19">
        <f t="shared" si="499"/>
        <v>0.37064220183486241</v>
      </c>
      <c r="BY434" s="49">
        <f t="shared" si="500"/>
        <v>-57.151598388890775</v>
      </c>
      <c r="BZ434" s="19">
        <f t="shared" si="470"/>
        <v>0</v>
      </c>
      <c r="CA434" s="19">
        <f t="shared" si="471"/>
        <v>0.34458560533895122</v>
      </c>
      <c r="CB434" s="19">
        <f t="shared" si="472"/>
        <v>0</v>
      </c>
      <c r="CC434" s="19">
        <f t="shared" si="473"/>
        <v>0</v>
      </c>
      <c r="CD434" s="19">
        <f t="shared" si="474"/>
        <v>0</v>
      </c>
      <c r="CE434" s="19">
        <f t="shared" si="475"/>
        <v>13.597290822054136</v>
      </c>
      <c r="CF434" s="49">
        <f t="shared" si="476"/>
        <v>0</v>
      </c>
      <c r="CG434" s="49">
        <f t="shared" si="477"/>
        <v>-28.979648719834586</v>
      </c>
      <c r="CH434" s="49">
        <f t="shared" si="478"/>
        <v>0</v>
      </c>
      <c r="CI434" s="49">
        <f t="shared" si="479"/>
        <v>0</v>
      </c>
      <c r="CJ434" s="49">
        <f t="shared" si="480"/>
        <v>0</v>
      </c>
      <c r="CK434" s="49">
        <f t="shared" si="481"/>
        <v>-553.68169587133525</v>
      </c>
    </row>
    <row r="435" spans="2:89" ht="12.75" customHeight="1" x14ac:dyDescent="0.2">
      <c r="B435" s="77">
        <v>42044</v>
      </c>
      <c r="C435" s="79">
        <v>108.470001</v>
      </c>
      <c r="D435" s="79">
        <v>85.389999000000003</v>
      </c>
      <c r="E435" s="79">
        <v>91.870002999999997</v>
      </c>
      <c r="F435" s="79">
        <v>107.43</v>
      </c>
      <c r="G435" s="79">
        <v>39.68</v>
      </c>
      <c r="H435" s="79">
        <v>41.779998999999997</v>
      </c>
      <c r="I435" s="79"/>
      <c r="J435" s="78">
        <f>IF(inter=Weekly_2,J434+$C$5,IF(inter=Bi_weekly_2,0,IF(inter=Monthly_2,0,IF(inter=Quarterly_2,0,IF(inter=Yearly_2,0,IF(inter=None_2,0,0))))))</f>
        <v>0</v>
      </c>
      <c r="K435" s="79">
        <f t="shared" si="482"/>
        <v>0</v>
      </c>
      <c r="L435" s="79">
        <f t="shared" si="483"/>
        <v>0</v>
      </c>
      <c r="M435" s="79">
        <f t="shared" si="484"/>
        <v>0</v>
      </c>
      <c r="N435" s="79">
        <f t="shared" si="485"/>
        <v>0</v>
      </c>
      <c r="O435" s="79">
        <f t="shared" si="486"/>
        <v>0</v>
      </c>
      <c r="P435" s="79">
        <f t="shared" si="487"/>
        <v>0</v>
      </c>
      <c r="Q435" s="79"/>
      <c r="R435" s="80">
        <f t="shared" si="445"/>
        <v>0</v>
      </c>
      <c r="S435" s="80">
        <f t="shared" si="446"/>
        <v>0</v>
      </c>
      <c r="T435" s="80">
        <f t="shared" si="447"/>
        <v>0</v>
      </c>
      <c r="U435" s="80">
        <f t="shared" si="448"/>
        <v>0</v>
      </c>
      <c r="V435" s="80">
        <f t="shared" si="449"/>
        <v>0</v>
      </c>
      <c r="W435" s="80">
        <f t="shared" si="450"/>
        <v>0</v>
      </c>
      <c r="X435" s="80">
        <f t="shared" si="501"/>
        <v>452.92955040102419</v>
      </c>
      <c r="Y435" s="80">
        <f t="shared" si="502"/>
        <v>163.61474824291909</v>
      </c>
      <c r="Z435" s="80">
        <f t="shared" si="503"/>
        <v>121.74297991026276</v>
      </c>
      <c r="AA435" s="80">
        <f t="shared" si="504"/>
        <v>90.936557608318708</v>
      </c>
      <c r="AB435" s="80">
        <f t="shared" si="505"/>
        <v>885.22900449745225</v>
      </c>
      <c r="AC435" s="80">
        <f t="shared" si="506"/>
        <v>506.87621544999467</v>
      </c>
      <c r="AD435" s="80"/>
      <c r="AE435" s="80"/>
      <c r="AF435" s="80"/>
      <c r="AG435" s="80"/>
      <c r="AH435" s="80"/>
      <c r="AI435" s="80"/>
      <c r="AJ435" s="45">
        <f t="shared" si="451"/>
        <v>0</v>
      </c>
      <c r="AK435" s="45">
        <f t="shared" si="452"/>
        <v>0</v>
      </c>
      <c r="AL435" s="45">
        <f t="shared" si="453"/>
        <v>0</v>
      </c>
      <c r="AM435" s="45">
        <f t="shared" si="454"/>
        <v>0</v>
      </c>
      <c r="AN435" s="45">
        <f t="shared" si="455"/>
        <v>0</v>
      </c>
      <c r="AO435" s="45">
        <f t="shared" si="456"/>
        <v>0</v>
      </c>
      <c r="AP435" s="80">
        <f t="shared" si="457"/>
        <v>0</v>
      </c>
      <c r="AQ435" s="80">
        <f t="shared" si="458"/>
        <v>0</v>
      </c>
      <c r="AR435" s="80">
        <f t="shared" si="459"/>
        <v>0</v>
      </c>
      <c r="AS435" s="80">
        <f t="shared" si="460"/>
        <v>0</v>
      </c>
      <c r="AT435" s="80">
        <f t="shared" si="461"/>
        <v>0</v>
      </c>
      <c r="AU435" s="80">
        <f t="shared" si="462"/>
        <v>0</v>
      </c>
      <c r="AV435" s="80">
        <f t="shared" si="507"/>
        <v>57.916464852387286</v>
      </c>
      <c r="AW435" s="80">
        <f t="shared" si="508"/>
        <v>27.524666182087596</v>
      </c>
      <c r="AX435" s="80">
        <f t="shared" si="509"/>
        <v>17.32980840775825</v>
      </c>
      <c r="AY435" s="80">
        <f t="shared" si="510"/>
        <v>13.698767601344612</v>
      </c>
      <c r="AZ435" s="80">
        <f t="shared" si="511"/>
        <v>135.58131853789448</v>
      </c>
      <c r="BA435" s="80">
        <f t="shared" si="512"/>
        <v>60.724489372480456</v>
      </c>
      <c r="BB435" s="80">
        <f t="shared" si="488"/>
        <v>510.84601525341145</v>
      </c>
      <c r="BC435" s="80">
        <f t="shared" si="489"/>
        <v>191.13941442500669</v>
      </c>
      <c r="BD435" s="80">
        <f t="shared" si="490"/>
        <v>139.07278831802103</v>
      </c>
      <c r="BE435" s="80">
        <f t="shared" si="491"/>
        <v>104.63532520966332</v>
      </c>
      <c r="BF435" s="80">
        <f t="shared" si="492"/>
        <v>1020.8103230353468</v>
      </c>
      <c r="BG435" s="80">
        <f t="shared" si="493"/>
        <v>567.60070482247511</v>
      </c>
      <c r="BH435" s="49">
        <f t="shared" si="494"/>
        <v>0</v>
      </c>
      <c r="BI435" s="79">
        <f t="shared" si="495"/>
        <v>-89852.366229123276</v>
      </c>
      <c r="BJ435" s="79">
        <f t="shared" si="463"/>
        <v>140357.34896030667</v>
      </c>
      <c r="BK435" s="44">
        <f t="shared" si="496"/>
        <v>0.56208851086231637</v>
      </c>
      <c r="BL435" s="79">
        <f t="shared" si="513"/>
        <v>14667.391625090802</v>
      </c>
      <c r="BM435" s="49">
        <f t="shared" si="497"/>
        <v>155024.74058539746</v>
      </c>
      <c r="BN435" s="44">
        <f t="shared" si="498"/>
        <v>0.72532730178841165</v>
      </c>
      <c r="BO435" s="49">
        <f t="shared" si="464"/>
        <v>19613.214196882735</v>
      </c>
      <c r="BP435" s="49">
        <f t="shared" si="465"/>
        <v>159970.5631571894</v>
      </c>
      <c r="BQ435" s="44">
        <f t="shared" si="466"/>
        <v>0.78037117853151394</v>
      </c>
      <c r="BS435" s="49">
        <f t="shared" si="467"/>
        <v>89852.366229123276</v>
      </c>
      <c r="BT435" s="49">
        <f t="shared" si="443"/>
        <v>108.470001</v>
      </c>
      <c r="BU435" s="49">
        <f t="shared" si="444"/>
        <v>41.779998999999997</v>
      </c>
      <c r="BV435" s="49">
        <f t="shared" si="468"/>
        <v>0</v>
      </c>
      <c r="BW435" s="18">
        <f t="shared" si="469"/>
        <v>2751</v>
      </c>
      <c r="BX435" s="19">
        <f t="shared" si="499"/>
        <v>0.36903669724770644</v>
      </c>
      <c r="BY435" s="49">
        <f t="shared" si="500"/>
        <v>0</v>
      </c>
      <c r="BZ435" s="19">
        <f t="shared" si="470"/>
        <v>0</v>
      </c>
      <c r="CA435" s="19">
        <f t="shared" si="471"/>
        <v>0</v>
      </c>
      <c r="CB435" s="19">
        <f t="shared" si="472"/>
        <v>0</v>
      </c>
      <c r="CC435" s="19">
        <f t="shared" si="473"/>
        <v>0</v>
      </c>
      <c r="CD435" s="19">
        <f t="shared" si="474"/>
        <v>0</v>
      </c>
      <c r="CE435" s="19">
        <f t="shared" si="475"/>
        <v>0</v>
      </c>
      <c r="CF435" s="49">
        <f t="shared" si="476"/>
        <v>0</v>
      </c>
      <c r="CG435" s="49">
        <f t="shared" si="477"/>
        <v>0</v>
      </c>
      <c r="CH435" s="49">
        <f t="shared" si="478"/>
        <v>0</v>
      </c>
      <c r="CI435" s="49">
        <f t="shared" si="479"/>
        <v>0</v>
      </c>
      <c r="CJ435" s="49">
        <f t="shared" si="480"/>
        <v>0</v>
      </c>
      <c r="CK435" s="49">
        <f t="shared" si="481"/>
        <v>0</v>
      </c>
    </row>
    <row r="436" spans="2:89" ht="12.75" customHeight="1" x14ac:dyDescent="0.2">
      <c r="B436" s="77">
        <v>42052</v>
      </c>
      <c r="C436" s="79">
        <v>109.279999</v>
      </c>
      <c r="D436" s="79">
        <v>85.699996999999996</v>
      </c>
      <c r="E436" s="79">
        <v>92.739998</v>
      </c>
      <c r="F436" s="79">
        <v>108.269997</v>
      </c>
      <c r="G436" s="79">
        <v>40.459999000000003</v>
      </c>
      <c r="H436" s="79">
        <v>41.77</v>
      </c>
      <c r="I436" s="79"/>
      <c r="J436" s="78">
        <f>IF(inter=Weekly_2,J435+$C$5,IF(inter=Bi_weekly_2,J434+$C$5,IF(inter=Monthly_2,0,IF(inter=Quarterly_2,0,IF(inter=Yearly_2,0,IF(inter=None_2,0,0))))))</f>
        <v>138200</v>
      </c>
      <c r="K436" s="79">
        <f t="shared" si="482"/>
        <v>1126.1408148943738</v>
      </c>
      <c r="L436" s="79">
        <f t="shared" si="483"/>
        <v>201.78343357392077</v>
      </c>
      <c r="M436" s="79">
        <f t="shared" si="484"/>
        <v>234.44371339180907</v>
      </c>
      <c r="N436" s="79">
        <f t="shared" si="485"/>
        <v>171.70081944299272</v>
      </c>
      <c r="O436" s="79">
        <f t="shared" si="486"/>
        <v>1266.3646367379188</v>
      </c>
      <c r="P436" s="79">
        <f t="shared" si="487"/>
        <v>442.21951934627941</v>
      </c>
      <c r="Q436" s="79"/>
      <c r="R436" s="80">
        <f t="shared" si="445"/>
        <v>-10.305095398970252</v>
      </c>
      <c r="S436" s="80">
        <f t="shared" si="446"/>
        <v>-2.3545325628648595</v>
      </c>
      <c r="T436" s="80">
        <f t="shared" si="447"/>
        <v>-2.5279676347610991</v>
      </c>
      <c r="U436" s="80">
        <f t="shared" si="448"/>
        <v>-1.5858578017970455</v>
      </c>
      <c r="V436" s="80">
        <f t="shared" si="449"/>
        <v>-31.299176174915839</v>
      </c>
      <c r="W436" s="80">
        <f t="shared" si="450"/>
        <v>-10.587012672881958</v>
      </c>
      <c r="X436" s="80">
        <f t="shared" si="501"/>
        <v>442.62445500205394</v>
      </c>
      <c r="Y436" s="80">
        <f t="shared" si="502"/>
        <v>161.26021568005424</v>
      </c>
      <c r="Z436" s="80">
        <f t="shared" si="503"/>
        <v>119.21501227550166</v>
      </c>
      <c r="AA436" s="80">
        <f t="shared" si="504"/>
        <v>89.350699806521661</v>
      </c>
      <c r="AB436" s="80">
        <f t="shared" si="505"/>
        <v>853.92982832253642</v>
      </c>
      <c r="AC436" s="80">
        <f t="shared" si="506"/>
        <v>496.28920277711273</v>
      </c>
      <c r="AD436" s="80"/>
      <c r="AE436" s="80"/>
      <c r="AF436" s="80"/>
      <c r="AG436" s="80"/>
      <c r="AH436" s="80"/>
      <c r="AI436" s="80"/>
      <c r="AJ436" s="45">
        <f t="shared" si="451"/>
        <v>0</v>
      </c>
      <c r="AK436" s="45">
        <f t="shared" si="452"/>
        <v>0</v>
      </c>
      <c r="AL436" s="45">
        <f t="shared" si="453"/>
        <v>0</v>
      </c>
      <c r="AM436" s="45">
        <f t="shared" si="454"/>
        <v>0</v>
      </c>
      <c r="AN436" s="45">
        <f t="shared" si="455"/>
        <v>0</v>
      </c>
      <c r="AO436" s="45">
        <f t="shared" si="456"/>
        <v>0</v>
      </c>
      <c r="AP436" s="80">
        <f t="shared" si="457"/>
        <v>0</v>
      </c>
      <c r="AQ436" s="80">
        <f t="shared" si="458"/>
        <v>0</v>
      </c>
      <c r="AR436" s="80">
        <f t="shared" si="459"/>
        <v>0</v>
      </c>
      <c r="AS436" s="80">
        <f t="shared" si="460"/>
        <v>0</v>
      </c>
      <c r="AT436" s="80">
        <f t="shared" si="461"/>
        <v>0</v>
      </c>
      <c r="AU436" s="80">
        <f t="shared" si="462"/>
        <v>0</v>
      </c>
      <c r="AV436" s="80">
        <f t="shared" si="507"/>
        <v>57.916464852387286</v>
      </c>
      <c r="AW436" s="80">
        <f t="shared" si="508"/>
        <v>27.524666182087596</v>
      </c>
      <c r="AX436" s="80">
        <f t="shared" si="509"/>
        <v>17.32980840775825</v>
      </c>
      <c r="AY436" s="80">
        <f t="shared" si="510"/>
        <v>13.698767601344612</v>
      </c>
      <c r="AZ436" s="80">
        <f t="shared" si="511"/>
        <v>135.58131853789448</v>
      </c>
      <c r="BA436" s="80">
        <f t="shared" si="512"/>
        <v>60.724489372480456</v>
      </c>
      <c r="BB436" s="80">
        <f t="shared" si="488"/>
        <v>500.5409198544412</v>
      </c>
      <c r="BC436" s="80">
        <f t="shared" si="489"/>
        <v>188.78488186214184</v>
      </c>
      <c r="BD436" s="80">
        <f t="shared" si="490"/>
        <v>136.5448206832599</v>
      </c>
      <c r="BE436" s="80">
        <f t="shared" si="491"/>
        <v>103.04946740786627</v>
      </c>
      <c r="BF436" s="80">
        <f t="shared" si="492"/>
        <v>989.51114686043093</v>
      </c>
      <c r="BG436" s="80">
        <f t="shared" si="493"/>
        <v>557.01369214959323</v>
      </c>
      <c r="BH436" s="49">
        <f t="shared" si="494"/>
        <v>0</v>
      </c>
      <c r="BI436" s="79">
        <f t="shared" si="495"/>
        <v>-86409.71329173597</v>
      </c>
      <c r="BJ436" s="79">
        <f t="shared" si="463"/>
        <v>138200</v>
      </c>
      <c r="BK436" s="44">
        <f t="shared" si="496"/>
        <v>0.59935723352547154</v>
      </c>
      <c r="BL436" s="79">
        <f t="shared" si="513"/>
        <v>14667.391625090802</v>
      </c>
      <c r="BM436" s="49">
        <f t="shared" si="497"/>
        <v>152867.39162509079</v>
      </c>
      <c r="BN436" s="44">
        <f t="shared" si="498"/>
        <v>0.76909962782749663</v>
      </c>
      <c r="BO436" s="49">
        <f t="shared" si="464"/>
        <v>19800.388888110891</v>
      </c>
      <c r="BP436" s="49">
        <f t="shared" si="465"/>
        <v>158000.3888881109</v>
      </c>
      <c r="BQ436" s="44">
        <f t="shared" si="466"/>
        <v>0.82850264014499042</v>
      </c>
      <c r="BS436" s="49">
        <f t="shared" si="467"/>
        <v>86409.71329173597</v>
      </c>
      <c r="BT436" s="49">
        <f t="shared" si="443"/>
        <v>109.279999</v>
      </c>
      <c r="BU436" s="49">
        <f t="shared" si="444"/>
        <v>41.77</v>
      </c>
      <c r="BV436" s="49">
        <f t="shared" si="468"/>
        <v>-3442.6529373872945</v>
      </c>
      <c r="BW436" s="18">
        <f t="shared" si="469"/>
        <v>2759</v>
      </c>
      <c r="BX436" s="19">
        <f t="shared" si="499"/>
        <v>0.36720183486238533</v>
      </c>
      <c r="BY436" s="49">
        <f t="shared" si="500"/>
        <v>-1264.148475402995</v>
      </c>
      <c r="BZ436" s="19">
        <f t="shared" si="470"/>
        <v>0</v>
      </c>
      <c r="CA436" s="19">
        <f t="shared" si="471"/>
        <v>0</v>
      </c>
      <c r="CB436" s="19">
        <f t="shared" si="472"/>
        <v>0</v>
      </c>
      <c r="CC436" s="19">
        <f t="shared" si="473"/>
        <v>0</v>
      </c>
      <c r="CD436" s="19">
        <f t="shared" si="474"/>
        <v>0</v>
      </c>
      <c r="CE436" s="19">
        <f t="shared" si="475"/>
        <v>0</v>
      </c>
      <c r="CF436" s="49">
        <f t="shared" si="476"/>
        <v>0</v>
      </c>
      <c r="CG436" s="49">
        <f t="shared" si="477"/>
        <v>0</v>
      </c>
      <c r="CH436" s="49">
        <f t="shared" si="478"/>
        <v>0</v>
      </c>
      <c r="CI436" s="49">
        <f t="shared" si="479"/>
        <v>0</v>
      </c>
      <c r="CJ436" s="49">
        <f t="shared" si="480"/>
        <v>0</v>
      </c>
      <c r="CK436" s="49">
        <f t="shared" si="481"/>
        <v>0</v>
      </c>
    </row>
    <row r="437" spans="2:89" ht="12.75" customHeight="1" x14ac:dyDescent="0.2">
      <c r="B437" s="77">
        <v>42058</v>
      </c>
      <c r="C437" s="79">
        <v>109.019997</v>
      </c>
      <c r="D437" s="79">
        <v>85.330001999999993</v>
      </c>
      <c r="E437" s="79">
        <v>91.980002999999996</v>
      </c>
      <c r="F437" s="79">
        <v>108.07</v>
      </c>
      <c r="G437" s="79">
        <v>40.5</v>
      </c>
      <c r="H437" s="79">
        <v>41.799999</v>
      </c>
      <c r="I437" s="79"/>
      <c r="J437" s="78">
        <f>IF(inter=Weekly_2,J436+$C$5,IF(inter=Bi_weekly_2,0,IF(inter=Monthly_2,0,IF(inter=Quarterly_2,0,IF(inter=Yearly_2,0,IF(inter=None_2,0,0))))))</f>
        <v>0</v>
      </c>
      <c r="K437" s="79">
        <f t="shared" si="482"/>
        <v>0</v>
      </c>
      <c r="L437" s="79">
        <f t="shared" si="483"/>
        <v>0</v>
      </c>
      <c r="M437" s="79">
        <f t="shared" si="484"/>
        <v>0</v>
      </c>
      <c r="N437" s="79">
        <f t="shared" si="485"/>
        <v>0</v>
      </c>
      <c r="O437" s="79">
        <f t="shared" si="486"/>
        <v>0</v>
      </c>
      <c r="P437" s="79">
        <f t="shared" si="487"/>
        <v>0</v>
      </c>
      <c r="Q437" s="79"/>
      <c r="R437" s="80">
        <f t="shared" si="445"/>
        <v>0</v>
      </c>
      <c r="S437" s="80">
        <f t="shared" si="446"/>
        <v>0</v>
      </c>
      <c r="T437" s="80">
        <f t="shared" si="447"/>
        <v>0</v>
      </c>
      <c r="U437" s="80">
        <f t="shared" si="448"/>
        <v>0</v>
      </c>
      <c r="V437" s="80">
        <f t="shared" si="449"/>
        <v>0</v>
      </c>
      <c r="W437" s="80">
        <f t="shared" si="450"/>
        <v>0</v>
      </c>
      <c r="X437" s="80">
        <f t="shared" si="501"/>
        <v>442.62445500205394</v>
      </c>
      <c r="Y437" s="80">
        <f t="shared" si="502"/>
        <v>161.26021568005424</v>
      </c>
      <c r="Z437" s="80">
        <f t="shared" si="503"/>
        <v>119.21501227550166</v>
      </c>
      <c r="AA437" s="80">
        <f t="shared" si="504"/>
        <v>89.350699806521661</v>
      </c>
      <c r="AB437" s="80">
        <f t="shared" si="505"/>
        <v>853.92982832253642</v>
      </c>
      <c r="AC437" s="80">
        <f t="shared" si="506"/>
        <v>496.28920277711273</v>
      </c>
      <c r="AD437" s="80"/>
      <c r="AE437" s="80"/>
      <c r="AF437" s="80"/>
      <c r="AG437" s="80"/>
      <c r="AH437" s="80"/>
      <c r="AI437" s="80"/>
      <c r="AJ437" s="45">
        <f t="shared" si="451"/>
        <v>0</v>
      </c>
      <c r="AK437" s="45">
        <f t="shared" si="452"/>
        <v>0</v>
      </c>
      <c r="AL437" s="45">
        <f t="shared" si="453"/>
        <v>0</v>
      </c>
      <c r="AM437" s="45">
        <f t="shared" si="454"/>
        <v>0</v>
      </c>
      <c r="AN437" s="45">
        <f t="shared" si="455"/>
        <v>0</v>
      </c>
      <c r="AO437" s="45">
        <f t="shared" si="456"/>
        <v>0</v>
      </c>
      <c r="AP437" s="80">
        <f t="shared" si="457"/>
        <v>0</v>
      </c>
      <c r="AQ437" s="80">
        <f t="shared" si="458"/>
        <v>0</v>
      </c>
      <c r="AR437" s="80">
        <f t="shared" si="459"/>
        <v>0</v>
      </c>
      <c r="AS437" s="80">
        <f t="shared" si="460"/>
        <v>0</v>
      </c>
      <c r="AT437" s="80">
        <f t="shared" si="461"/>
        <v>0</v>
      </c>
      <c r="AU437" s="80">
        <f t="shared" si="462"/>
        <v>0</v>
      </c>
      <c r="AV437" s="80">
        <f t="shared" si="507"/>
        <v>57.916464852387286</v>
      </c>
      <c r="AW437" s="80">
        <f t="shared" si="508"/>
        <v>27.524666182087596</v>
      </c>
      <c r="AX437" s="80">
        <f t="shared" si="509"/>
        <v>17.32980840775825</v>
      </c>
      <c r="AY437" s="80">
        <f t="shared" si="510"/>
        <v>13.698767601344612</v>
      </c>
      <c r="AZ437" s="80">
        <f t="shared" si="511"/>
        <v>135.58131853789448</v>
      </c>
      <c r="BA437" s="80">
        <f t="shared" si="512"/>
        <v>60.724489372480456</v>
      </c>
      <c r="BB437" s="80">
        <f t="shared" si="488"/>
        <v>500.5409198544412</v>
      </c>
      <c r="BC437" s="80">
        <f t="shared" si="489"/>
        <v>188.78488186214184</v>
      </c>
      <c r="BD437" s="80">
        <f t="shared" si="490"/>
        <v>136.5448206832599</v>
      </c>
      <c r="BE437" s="80">
        <f t="shared" si="491"/>
        <v>103.04946740786627</v>
      </c>
      <c r="BF437" s="80">
        <f t="shared" si="492"/>
        <v>989.51114686043093</v>
      </c>
      <c r="BG437" s="80">
        <f t="shared" si="493"/>
        <v>557.01369214959323</v>
      </c>
      <c r="BH437" s="49">
        <f t="shared" si="494"/>
        <v>0</v>
      </c>
      <c r="BI437" s="79">
        <f t="shared" si="495"/>
        <v>-86409.71329173597</v>
      </c>
      <c r="BJ437" s="79">
        <f t="shared" si="463"/>
        <v>137965.82482464332</v>
      </c>
      <c r="BK437" s="44">
        <f t="shared" si="496"/>
        <v>0.59664717737048734</v>
      </c>
      <c r="BL437" s="79">
        <f t="shared" si="513"/>
        <v>14667.391625090802</v>
      </c>
      <c r="BM437" s="49">
        <f t="shared" si="497"/>
        <v>152633.21644973411</v>
      </c>
      <c r="BN437" s="44">
        <f t="shared" si="498"/>
        <v>0.76638957167251265</v>
      </c>
      <c r="BO437" s="49">
        <f t="shared" si="464"/>
        <v>19766.481284666996</v>
      </c>
      <c r="BP437" s="49">
        <f t="shared" si="465"/>
        <v>157732.30610931033</v>
      </c>
      <c r="BQ437" s="44">
        <f t="shared" si="466"/>
        <v>0.8254001789911678</v>
      </c>
      <c r="BS437" s="49">
        <f t="shared" si="467"/>
        <v>86409.71329173597</v>
      </c>
      <c r="BT437" s="49">
        <f t="shared" si="443"/>
        <v>109.019997</v>
      </c>
      <c r="BU437" s="49">
        <f t="shared" si="444"/>
        <v>41.799999</v>
      </c>
      <c r="BV437" s="49">
        <f t="shared" si="468"/>
        <v>0</v>
      </c>
      <c r="BW437" s="18">
        <f t="shared" si="469"/>
        <v>2765</v>
      </c>
      <c r="BX437" s="19">
        <f t="shared" si="499"/>
        <v>0.36582568807339449</v>
      </c>
      <c r="BY437" s="49">
        <f t="shared" si="500"/>
        <v>0</v>
      </c>
      <c r="BZ437" s="19">
        <f t="shared" si="470"/>
        <v>0</v>
      </c>
      <c r="CA437" s="19">
        <f t="shared" si="471"/>
        <v>0</v>
      </c>
      <c r="CB437" s="19">
        <f t="shared" si="472"/>
        <v>0</v>
      </c>
      <c r="CC437" s="19">
        <f t="shared" si="473"/>
        <v>0</v>
      </c>
      <c r="CD437" s="19">
        <f t="shared" si="474"/>
        <v>0</v>
      </c>
      <c r="CE437" s="19">
        <f t="shared" si="475"/>
        <v>0</v>
      </c>
      <c r="CF437" s="49">
        <f t="shared" si="476"/>
        <v>0</v>
      </c>
      <c r="CG437" s="49">
        <f t="shared" si="477"/>
        <v>0</v>
      </c>
      <c r="CH437" s="49">
        <f t="shared" si="478"/>
        <v>0</v>
      </c>
      <c r="CI437" s="49">
        <f t="shared" si="479"/>
        <v>0</v>
      </c>
      <c r="CJ437" s="49">
        <f t="shared" si="480"/>
        <v>0</v>
      </c>
      <c r="CK437" s="49">
        <f t="shared" si="481"/>
        <v>0</v>
      </c>
    </row>
    <row r="438" spans="2:89" ht="12.75" customHeight="1" x14ac:dyDescent="0.2">
      <c r="B438" s="77">
        <v>42065</v>
      </c>
      <c r="C438" s="79">
        <v>107.459999</v>
      </c>
      <c r="D438" s="79">
        <v>83.879997000000003</v>
      </c>
      <c r="E438" s="79">
        <v>90.660004000000001</v>
      </c>
      <c r="F438" s="79">
        <v>106.459999</v>
      </c>
      <c r="G438" s="79">
        <v>39.740001999999997</v>
      </c>
      <c r="H438" s="79">
        <v>40.139999000000003</v>
      </c>
      <c r="I438" s="79"/>
      <c r="J438" s="78">
        <f>IF(inter=Weekly_2,J437+$C$5,IF(inter=Bi_weekly_2,J436+$C$5,IF(inter=Monthly_2,J434+$C$5,IF(inter=Quarterly_2,0,IF(inter=Yearly_2,0,IF(inter=None_2,0,0))))))</f>
        <v>138800</v>
      </c>
      <c r="K438" s="79">
        <f t="shared" si="482"/>
        <v>-1015.5765081037389</v>
      </c>
      <c r="L438" s="79">
        <f t="shared" si="483"/>
        <v>-353.4935925376958</v>
      </c>
      <c r="M438" s="79">
        <f t="shared" si="484"/>
        <v>-295.96651024296989</v>
      </c>
      <c r="N438" s="79">
        <f t="shared" si="485"/>
        <v>-203.72458794840531</v>
      </c>
      <c r="O438" s="79">
        <f t="shared" si="486"/>
        <v>-764.82691460274509</v>
      </c>
      <c r="P438" s="79">
        <f t="shared" si="487"/>
        <v>-898.95189681589545</v>
      </c>
      <c r="Q438" s="79"/>
      <c r="R438" s="80">
        <f t="shared" si="445"/>
        <v>9.450739973520184</v>
      </c>
      <c r="S438" s="80">
        <f t="shared" si="446"/>
        <v>4.2142776011031069</v>
      </c>
      <c r="T438" s="80">
        <f t="shared" si="447"/>
        <v>3.2645764083902962</v>
      </c>
      <c r="U438" s="80">
        <f t="shared" si="448"/>
        <v>1.9136256797109807</v>
      </c>
      <c r="V438" s="80">
        <f t="shared" si="449"/>
        <v>19.245769403905545</v>
      </c>
      <c r="W438" s="80">
        <f t="shared" si="450"/>
        <v>22.395414031173626</v>
      </c>
      <c r="X438" s="80">
        <f t="shared" si="501"/>
        <v>452.07519497557411</v>
      </c>
      <c r="Y438" s="80">
        <f t="shared" si="502"/>
        <v>165.47449328115735</v>
      </c>
      <c r="Z438" s="80">
        <f t="shared" si="503"/>
        <v>122.47958868389196</v>
      </c>
      <c r="AA438" s="80">
        <f t="shared" si="504"/>
        <v>91.264325486232636</v>
      </c>
      <c r="AB438" s="80">
        <f t="shared" si="505"/>
        <v>873.17559772644199</v>
      </c>
      <c r="AC438" s="80">
        <f t="shared" si="506"/>
        <v>518.68461680828636</v>
      </c>
      <c r="AD438" s="80"/>
      <c r="AE438" s="80"/>
      <c r="AF438" s="80"/>
      <c r="AG438" s="80"/>
      <c r="AH438" s="80"/>
      <c r="AI438" s="80"/>
      <c r="AJ438" s="45">
        <f t="shared" si="451"/>
        <v>0</v>
      </c>
      <c r="AK438" s="45">
        <f t="shared" si="452"/>
        <v>0</v>
      </c>
      <c r="AL438" s="45">
        <f t="shared" si="453"/>
        <v>0</v>
      </c>
      <c r="AM438" s="45">
        <f t="shared" si="454"/>
        <v>0</v>
      </c>
      <c r="AN438" s="45">
        <f t="shared" si="455"/>
        <v>0</v>
      </c>
      <c r="AO438" s="45">
        <f t="shared" si="456"/>
        <v>0</v>
      </c>
      <c r="AP438" s="80">
        <f t="shared" si="457"/>
        <v>0</v>
      </c>
      <c r="AQ438" s="80">
        <f t="shared" si="458"/>
        <v>0</v>
      </c>
      <c r="AR438" s="80">
        <f t="shared" si="459"/>
        <v>0</v>
      </c>
      <c r="AS438" s="80">
        <f t="shared" si="460"/>
        <v>0</v>
      </c>
      <c r="AT438" s="80">
        <f t="shared" si="461"/>
        <v>0</v>
      </c>
      <c r="AU438" s="80">
        <f t="shared" si="462"/>
        <v>0</v>
      </c>
      <c r="AV438" s="80">
        <f t="shared" si="507"/>
        <v>57.916464852387286</v>
      </c>
      <c r="AW438" s="80">
        <f t="shared" si="508"/>
        <v>27.524666182087596</v>
      </c>
      <c r="AX438" s="80">
        <f t="shared" si="509"/>
        <v>17.32980840775825</v>
      </c>
      <c r="AY438" s="80">
        <f t="shared" si="510"/>
        <v>13.698767601344612</v>
      </c>
      <c r="AZ438" s="80">
        <f t="shared" si="511"/>
        <v>135.58131853789448</v>
      </c>
      <c r="BA438" s="80">
        <f t="shared" si="512"/>
        <v>60.724489372480456</v>
      </c>
      <c r="BB438" s="80">
        <f t="shared" si="488"/>
        <v>509.99165982796137</v>
      </c>
      <c r="BC438" s="80">
        <f t="shared" si="489"/>
        <v>192.99915946324495</v>
      </c>
      <c r="BD438" s="80">
        <f t="shared" si="490"/>
        <v>139.80939709165023</v>
      </c>
      <c r="BE438" s="80">
        <f t="shared" si="491"/>
        <v>104.96309308757725</v>
      </c>
      <c r="BF438" s="80">
        <f t="shared" si="492"/>
        <v>1008.7569162643365</v>
      </c>
      <c r="BG438" s="80">
        <f t="shared" si="493"/>
        <v>579.4091061807668</v>
      </c>
      <c r="BH438" s="49">
        <f t="shared" si="494"/>
        <v>0</v>
      </c>
      <c r="BI438" s="79">
        <f t="shared" si="495"/>
        <v>-89942.253301987424</v>
      </c>
      <c r="BJ438" s="79">
        <f t="shared" si="463"/>
        <v>138800</v>
      </c>
      <c r="BK438" s="44">
        <f t="shared" si="496"/>
        <v>0.54321239355622164</v>
      </c>
      <c r="BL438" s="79">
        <f t="shared" si="513"/>
        <v>14667.391625090802</v>
      </c>
      <c r="BM438" s="49">
        <f t="shared" si="497"/>
        <v>153467.39162509079</v>
      </c>
      <c r="BN438" s="44">
        <f t="shared" si="498"/>
        <v>0.70628804583995985</v>
      </c>
      <c r="BO438" s="49">
        <f t="shared" si="464"/>
        <v>19387.446269152995</v>
      </c>
      <c r="BP438" s="49">
        <f t="shared" si="465"/>
        <v>158187.44626915298</v>
      </c>
      <c r="BQ438" s="44">
        <f t="shared" si="466"/>
        <v>0.75876676936286591</v>
      </c>
      <c r="BS438" s="49">
        <f t="shared" si="467"/>
        <v>89942.253301987424</v>
      </c>
      <c r="BT438" s="49">
        <f t="shared" si="443"/>
        <v>107.459999</v>
      </c>
      <c r="BU438" s="49">
        <f t="shared" si="444"/>
        <v>40.139999000000003</v>
      </c>
      <c r="BV438" s="49">
        <f t="shared" si="468"/>
        <v>3532.5400102514504</v>
      </c>
      <c r="BW438" s="18">
        <f t="shared" si="469"/>
        <v>2772</v>
      </c>
      <c r="BX438" s="19">
        <f t="shared" si="499"/>
        <v>0.36422018348623852</v>
      </c>
      <c r="BY438" s="49">
        <f t="shared" si="500"/>
        <v>1286.6223707062622</v>
      </c>
      <c r="BZ438" s="19">
        <f t="shared" si="470"/>
        <v>9.450739973520184</v>
      </c>
      <c r="CA438" s="19">
        <f t="shared" si="471"/>
        <v>4.2142776011031069</v>
      </c>
      <c r="CB438" s="19">
        <f t="shared" si="472"/>
        <v>3.2645764083902962</v>
      </c>
      <c r="CC438" s="19">
        <f t="shared" si="473"/>
        <v>1.9136256797109807</v>
      </c>
      <c r="CD438" s="19">
        <f t="shared" si="474"/>
        <v>19.245769403905545</v>
      </c>
      <c r="CE438" s="19">
        <f t="shared" si="475"/>
        <v>22.395414031173626</v>
      </c>
      <c r="CF438" s="49">
        <f t="shared" si="476"/>
        <v>-1015.5765081037389</v>
      </c>
      <c r="CG438" s="49">
        <f t="shared" si="477"/>
        <v>-353.4935925376958</v>
      </c>
      <c r="CH438" s="49">
        <f t="shared" si="478"/>
        <v>-295.96651024296989</v>
      </c>
      <c r="CI438" s="49">
        <f t="shared" si="479"/>
        <v>-203.72458794840531</v>
      </c>
      <c r="CJ438" s="49">
        <f t="shared" si="480"/>
        <v>-764.82691460274509</v>
      </c>
      <c r="CK438" s="49">
        <f t="shared" si="481"/>
        <v>-898.95189681589545</v>
      </c>
    </row>
    <row r="439" spans="2:89" ht="12.75" customHeight="1" x14ac:dyDescent="0.2">
      <c r="B439" s="77">
        <v>42072</v>
      </c>
      <c r="C439" s="79">
        <v>106.870003</v>
      </c>
      <c r="D439" s="79">
        <v>83.330001999999993</v>
      </c>
      <c r="E439" s="79">
        <v>90.010002</v>
      </c>
      <c r="F439" s="79">
        <v>107.019997</v>
      </c>
      <c r="G439" s="79">
        <v>39.270000000000003</v>
      </c>
      <c r="H439" s="79">
        <v>39.200001</v>
      </c>
      <c r="I439" s="79"/>
      <c r="J439" s="78">
        <f>IF(inter=Weekly_2,J438+$C$5,IF(inter=Bi_weekly_2,0,IF(inter=Monthly_2,0,IF(inter=Quarterly_2,0,IF(inter=Yearly_2,0,IF(inter=None_2,0,0))))))</f>
        <v>0</v>
      </c>
      <c r="K439" s="79">
        <f t="shared" si="482"/>
        <v>0</v>
      </c>
      <c r="L439" s="79">
        <f t="shared" si="483"/>
        <v>0</v>
      </c>
      <c r="M439" s="79">
        <f t="shared" si="484"/>
        <v>0</v>
      </c>
      <c r="N439" s="79">
        <f t="shared" si="485"/>
        <v>0</v>
      </c>
      <c r="O439" s="79">
        <f t="shared" si="486"/>
        <v>0</v>
      </c>
      <c r="P439" s="79">
        <f t="shared" si="487"/>
        <v>0</v>
      </c>
      <c r="Q439" s="79"/>
      <c r="R439" s="80">
        <f t="shared" si="445"/>
        <v>0</v>
      </c>
      <c r="S439" s="80">
        <f t="shared" si="446"/>
        <v>0</v>
      </c>
      <c r="T439" s="80">
        <f t="shared" si="447"/>
        <v>0</v>
      </c>
      <c r="U439" s="80">
        <f t="shared" si="448"/>
        <v>0</v>
      </c>
      <c r="V439" s="80">
        <f t="shared" si="449"/>
        <v>0</v>
      </c>
      <c r="W439" s="80">
        <f t="shared" si="450"/>
        <v>0</v>
      </c>
      <c r="X439" s="80">
        <f t="shared" si="501"/>
        <v>452.07519497557411</v>
      </c>
      <c r="Y439" s="80">
        <f t="shared" si="502"/>
        <v>165.47449328115735</v>
      </c>
      <c r="Z439" s="80">
        <f t="shared" si="503"/>
        <v>122.47958868389196</v>
      </c>
      <c r="AA439" s="80">
        <f t="shared" si="504"/>
        <v>91.264325486232636</v>
      </c>
      <c r="AB439" s="80">
        <f t="shared" si="505"/>
        <v>873.17559772644199</v>
      </c>
      <c r="AC439" s="80">
        <f t="shared" si="506"/>
        <v>518.68461680828636</v>
      </c>
      <c r="AD439" s="80"/>
      <c r="AE439" s="80"/>
      <c r="AF439" s="80"/>
      <c r="AG439" s="80"/>
      <c r="AH439" s="80"/>
      <c r="AI439" s="80"/>
      <c r="AJ439" s="45">
        <f t="shared" si="451"/>
        <v>0</v>
      </c>
      <c r="AK439" s="45">
        <f t="shared" si="452"/>
        <v>0</v>
      </c>
      <c r="AL439" s="45">
        <f t="shared" si="453"/>
        <v>0</v>
      </c>
      <c r="AM439" s="45">
        <f t="shared" si="454"/>
        <v>0</v>
      </c>
      <c r="AN439" s="45">
        <f t="shared" si="455"/>
        <v>0</v>
      </c>
      <c r="AO439" s="45">
        <f t="shared" si="456"/>
        <v>0</v>
      </c>
      <c r="AP439" s="80">
        <f t="shared" si="457"/>
        <v>0</v>
      </c>
      <c r="AQ439" s="80">
        <f t="shared" si="458"/>
        <v>0</v>
      </c>
      <c r="AR439" s="80">
        <f t="shared" si="459"/>
        <v>0</v>
      </c>
      <c r="AS439" s="80">
        <f t="shared" si="460"/>
        <v>0</v>
      </c>
      <c r="AT439" s="80">
        <f t="shared" si="461"/>
        <v>0</v>
      </c>
      <c r="AU439" s="80">
        <f t="shared" si="462"/>
        <v>0</v>
      </c>
      <c r="AV439" s="80">
        <f t="shared" si="507"/>
        <v>57.916464852387286</v>
      </c>
      <c r="AW439" s="80">
        <f t="shared" si="508"/>
        <v>27.524666182087596</v>
      </c>
      <c r="AX439" s="80">
        <f t="shared" si="509"/>
        <v>17.32980840775825</v>
      </c>
      <c r="AY439" s="80">
        <f t="shared" si="510"/>
        <v>13.698767601344612</v>
      </c>
      <c r="AZ439" s="80">
        <f t="shared" si="511"/>
        <v>135.58131853789448</v>
      </c>
      <c r="BA439" s="80">
        <f t="shared" si="512"/>
        <v>60.724489372480456</v>
      </c>
      <c r="BB439" s="80">
        <f t="shared" si="488"/>
        <v>509.99165982796137</v>
      </c>
      <c r="BC439" s="80">
        <f t="shared" si="489"/>
        <v>192.99915946324495</v>
      </c>
      <c r="BD439" s="80">
        <f t="shared" si="490"/>
        <v>139.80939709165023</v>
      </c>
      <c r="BE439" s="80">
        <f t="shared" si="491"/>
        <v>104.96309308757725</v>
      </c>
      <c r="BF439" s="80">
        <f t="shared" si="492"/>
        <v>1008.7569162643365</v>
      </c>
      <c r="BG439" s="80">
        <f t="shared" si="493"/>
        <v>579.4091061807668</v>
      </c>
      <c r="BH439" s="49">
        <f t="shared" si="494"/>
        <v>0</v>
      </c>
      <c r="BI439" s="79">
        <f t="shared" si="495"/>
        <v>-89942.253301987424</v>
      </c>
      <c r="BJ439" s="79">
        <f t="shared" si="463"/>
        <v>137515.80638175979</v>
      </c>
      <c r="BK439" s="44">
        <f t="shared" si="496"/>
        <v>0.52893441439632194</v>
      </c>
      <c r="BL439" s="79">
        <f t="shared" si="513"/>
        <v>14667.391625090802</v>
      </c>
      <c r="BM439" s="49">
        <f t="shared" si="497"/>
        <v>152183.19800685058</v>
      </c>
      <c r="BN439" s="44">
        <f t="shared" si="498"/>
        <v>0.69201006668005993</v>
      </c>
      <c r="BO439" s="49">
        <f t="shared" si="464"/>
        <v>19213.739840677088</v>
      </c>
      <c r="BP439" s="49">
        <f t="shared" si="465"/>
        <v>156729.54622243685</v>
      </c>
      <c r="BQ439" s="44">
        <f t="shared" si="466"/>
        <v>0.74255747958866913</v>
      </c>
      <c r="BS439" s="49">
        <f t="shared" si="467"/>
        <v>89942.253301987424</v>
      </c>
      <c r="BT439" s="49">
        <f t="shared" si="443"/>
        <v>106.870003</v>
      </c>
      <c r="BU439" s="49">
        <f t="shared" si="444"/>
        <v>39.200001</v>
      </c>
      <c r="BV439" s="49">
        <f t="shared" si="468"/>
        <v>0</v>
      </c>
      <c r="BW439" s="18">
        <f t="shared" si="469"/>
        <v>2779</v>
      </c>
      <c r="BX439" s="19">
        <f t="shared" si="499"/>
        <v>0.36261467889908255</v>
      </c>
      <c r="BY439" s="49">
        <f t="shared" si="500"/>
        <v>0</v>
      </c>
      <c r="BZ439" s="19">
        <f t="shared" si="470"/>
        <v>0</v>
      </c>
      <c r="CA439" s="19">
        <f t="shared" si="471"/>
        <v>0</v>
      </c>
      <c r="CB439" s="19">
        <f t="shared" si="472"/>
        <v>0</v>
      </c>
      <c r="CC439" s="19">
        <f t="shared" si="473"/>
        <v>0</v>
      </c>
      <c r="CD439" s="19">
        <f t="shared" si="474"/>
        <v>0</v>
      </c>
      <c r="CE439" s="19">
        <f t="shared" si="475"/>
        <v>0</v>
      </c>
      <c r="CF439" s="49">
        <f t="shared" si="476"/>
        <v>0</v>
      </c>
      <c r="CG439" s="49">
        <f t="shared" si="477"/>
        <v>0</v>
      </c>
      <c r="CH439" s="49">
        <f t="shared" si="478"/>
        <v>0</v>
      </c>
      <c r="CI439" s="49">
        <f t="shared" si="479"/>
        <v>0</v>
      </c>
      <c r="CJ439" s="49">
        <f t="shared" si="480"/>
        <v>0</v>
      </c>
      <c r="CK439" s="49">
        <f t="shared" si="481"/>
        <v>0</v>
      </c>
    </row>
    <row r="440" spans="2:89" ht="12.75" customHeight="1" x14ac:dyDescent="0.2">
      <c r="B440" s="77">
        <v>42079</v>
      </c>
      <c r="C440" s="79">
        <v>109.760002</v>
      </c>
      <c r="D440" s="79">
        <v>85.190002000000007</v>
      </c>
      <c r="E440" s="79">
        <v>92.730002999999996</v>
      </c>
      <c r="F440" s="79">
        <v>110.089996</v>
      </c>
      <c r="G440" s="79">
        <v>40.860000999999997</v>
      </c>
      <c r="H440" s="79">
        <v>40.720001000000003</v>
      </c>
      <c r="I440" s="79"/>
      <c r="J440" s="78">
        <f>IF(inter=Weekly_2,J439+$C$5,IF(inter=Bi_weekly_2,J438+$C$5,IF(inter=Monthly_2,0,IF(inter=Quarterly_2,0,IF(inter=Yearly_2,0,IF(inter=None_2,0,0))))))</f>
        <v>139400</v>
      </c>
      <c r="K440" s="79">
        <f t="shared" si="482"/>
        <v>829.77430466940132</v>
      </c>
      <c r="L440" s="79">
        <f t="shared" si="483"/>
        <v>156.7724135707831</v>
      </c>
      <c r="M440" s="79">
        <f t="shared" si="484"/>
        <v>205.53262609606645</v>
      </c>
      <c r="N440" s="79">
        <f t="shared" si="485"/>
        <v>289.28922772204714</v>
      </c>
      <c r="O440" s="79">
        <f t="shared" si="486"/>
        <v>827.95579627801635</v>
      </c>
      <c r="P440" s="79">
        <f t="shared" si="487"/>
        <v>210.83811511804015</v>
      </c>
      <c r="Q440" s="79"/>
      <c r="R440" s="80">
        <f t="shared" si="445"/>
        <v>-7.5598969528936539</v>
      </c>
      <c r="S440" s="80">
        <f t="shared" si="446"/>
        <v>-1.8402677531429461</v>
      </c>
      <c r="T440" s="80">
        <f t="shared" si="447"/>
        <v>-2.2164630588447891</v>
      </c>
      <c r="U440" s="80">
        <f t="shared" si="448"/>
        <v>-2.6277521866932139</v>
      </c>
      <c r="V440" s="80">
        <f t="shared" si="449"/>
        <v>-20.263234851071502</v>
      </c>
      <c r="W440" s="80">
        <f t="shared" si="450"/>
        <v>-5.1777531910679508</v>
      </c>
      <c r="X440" s="80">
        <f t="shared" si="501"/>
        <v>444.51529802268044</v>
      </c>
      <c r="Y440" s="80">
        <f t="shared" si="502"/>
        <v>163.63422552801441</v>
      </c>
      <c r="Z440" s="80">
        <f t="shared" si="503"/>
        <v>120.26312562504717</v>
      </c>
      <c r="AA440" s="80">
        <f t="shared" si="504"/>
        <v>88.636573299539421</v>
      </c>
      <c r="AB440" s="80">
        <f t="shared" si="505"/>
        <v>852.91236287537049</v>
      </c>
      <c r="AC440" s="80">
        <f t="shared" si="506"/>
        <v>513.50686361721841</v>
      </c>
      <c r="AD440" s="80"/>
      <c r="AE440" s="80"/>
      <c r="AF440" s="80"/>
      <c r="AG440" s="80"/>
      <c r="AH440" s="80"/>
      <c r="AI440" s="80"/>
      <c r="AJ440" s="45">
        <f t="shared" si="451"/>
        <v>0</v>
      </c>
      <c r="AK440" s="45">
        <f t="shared" si="452"/>
        <v>0</v>
      </c>
      <c r="AL440" s="45">
        <f t="shared" si="453"/>
        <v>0</v>
      </c>
      <c r="AM440" s="45">
        <f t="shared" si="454"/>
        <v>0</v>
      </c>
      <c r="AN440" s="45">
        <f t="shared" si="455"/>
        <v>0</v>
      </c>
      <c r="AO440" s="45">
        <f t="shared" si="456"/>
        <v>0</v>
      </c>
      <c r="AP440" s="80">
        <f t="shared" si="457"/>
        <v>0</v>
      </c>
      <c r="AQ440" s="80">
        <f t="shared" si="458"/>
        <v>0</v>
      </c>
      <c r="AR440" s="80">
        <f t="shared" si="459"/>
        <v>0</v>
      </c>
      <c r="AS440" s="80">
        <f t="shared" si="460"/>
        <v>0</v>
      </c>
      <c r="AT440" s="80">
        <f t="shared" si="461"/>
        <v>0</v>
      </c>
      <c r="AU440" s="80">
        <f t="shared" si="462"/>
        <v>0</v>
      </c>
      <c r="AV440" s="80">
        <f t="shared" si="507"/>
        <v>57.916464852387286</v>
      </c>
      <c r="AW440" s="80">
        <f t="shared" si="508"/>
        <v>27.524666182087596</v>
      </c>
      <c r="AX440" s="80">
        <f t="shared" si="509"/>
        <v>17.32980840775825</v>
      </c>
      <c r="AY440" s="80">
        <f t="shared" si="510"/>
        <v>13.698767601344612</v>
      </c>
      <c r="AZ440" s="80">
        <f t="shared" si="511"/>
        <v>135.58131853789448</v>
      </c>
      <c r="BA440" s="80">
        <f t="shared" si="512"/>
        <v>60.724489372480456</v>
      </c>
      <c r="BB440" s="80">
        <f t="shared" si="488"/>
        <v>502.4317628750677</v>
      </c>
      <c r="BC440" s="80">
        <f t="shared" si="489"/>
        <v>191.15889171010201</v>
      </c>
      <c r="BD440" s="80">
        <f t="shared" si="490"/>
        <v>137.59293403280543</v>
      </c>
      <c r="BE440" s="80">
        <f t="shared" si="491"/>
        <v>102.33534090088403</v>
      </c>
      <c r="BF440" s="80">
        <f t="shared" si="492"/>
        <v>988.49368141326499</v>
      </c>
      <c r="BG440" s="80">
        <f t="shared" si="493"/>
        <v>574.23135298969885</v>
      </c>
      <c r="BH440" s="49">
        <f t="shared" si="494"/>
        <v>0</v>
      </c>
      <c r="BI440" s="79">
        <f t="shared" si="495"/>
        <v>-87422.090818533063</v>
      </c>
      <c r="BJ440" s="79">
        <f t="shared" si="463"/>
        <v>139400</v>
      </c>
      <c r="BK440" s="44">
        <f t="shared" si="496"/>
        <v>0.59456264080162979</v>
      </c>
      <c r="BL440" s="79">
        <f t="shared" si="513"/>
        <v>14667.391625090802</v>
      </c>
      <c r="BM440" s="49">
        <f t="shared" si="497"/>
        <v>154067.39162509079</v>
      </c>
      <c r="BN440" s="44">
        <f t="shared" si="498"/>
        <v>0.76233936048151851</v>
      </c>
      <c r="BO440" s="49">
        <f t="shared" si="464"/>
        <v>19829.382200221717</v>
      </c>
      <c r="BP440" s="49">
        <f t="shared" si="465"/>
        <v>159229.38220022171</v>
      </c>
      <c r="BQ440" s="44">
        <f t="shared" si="466"/>
        <v>0.82138611315923638</v>
      </c>
      <c r="BS440" s="49">
        <f t="shared" si="467"/>
        <v>87422.090818533063</v>
      </c>
      <c r="BT440" s="49">
        <f t="shared" si="443"/>
        <v>109.760002</v>
      </c>
      <c r="BU440" s="49">
        <f t="shared" si="444"/>
        <v>40.720001000000003</v>
      </c>
      <c r="BV440" s="49">
        <f t="shared" si="468"/>
        <v>-2520.1624834543545</v>
      </c>
      <c r="BW440" s="18">
        <f t="shared" si="469"/>
        <v>2786</v>
      </c>
      <c r="BX440" s="19">
        <f t="shared" si="499"/>
        <v>0.36100917431192658</v>
      </c>
      <c r="BY440" s="49">
        <f t="shared" si="500"/>
        <v>-909.80177728375088</v>
      </c>
      <c r="BZ440" s="19">
        <f t="shared" si="470"/>
        <v>0</v>
      </c>
      <c r="CA440" s="19">
        <f t="shared" si="471"/>
        <v>0</v>
      </c>
      <c r="CB440" s="19">
        <f t="shared" si="472"/>
        <v>0</v>
      </c>
      <c r="CC440" s="19">
        <f t="shared" si="473"/>
        <v>0</v>
      </c>
      <c r="CD440" s="19">
        <f t="shared" si="474"/>
        <v>0</v>
      </c>
      <c r="CE440" s="19">
        <f t="shared" si="475"/>
        <v>0</v>
      </c>
      <c r="CF440" s="49">
        <f t="shared" si="476"/>
        <v>0</v>
      </c>
      <c r="CG440" s="49">
        <f t="shared" si="477"/>
        <v>0</v>
      </c>
      <c r="CH440" s="49">
        <f t="shared" si="478"/>
        <v>0</v>
      </c>
      <c r="CI440" s="49">
        <f t="shared" si="479"/>
        <v>0</v>
      </c>
      <c r="CJ440" s="49">
        <f t="shared" si="480"/>
        <v>0</v>
      </c>
      <c r="CK440" s="49">
        <f t="shared" si="481"/>
        <v>0</v>
      </c>
    </row>
    <row r="441" spans="2:89" ht="12.75" customHeight="1" x14ac:dyDescent="0.2">
      <c r="B441" s="77">
        <v>42086</v>
      </c>
      <c r="C441" s="79">
        <v>106.870003</v>
      </c>
      <c r="D441" s="79">
        <v>83.089995999999999</v>
      </c>
      <c r="E441" s="79">
        <v>91.059997999999993</v>
      </c>
      <c r="F441" s="79">
        <v>108.050003</v>
      </c>
      <c r="G441" s="79">
        <v>40.369999</v>
      </c>
      <c r="H441" s="79">
        <v>40.080002</v>
      </c>
      <c r="I441" s="79"/>
      <c r="J441" s="78">
        <f>IF(inter=Weekly_2,J440+$C$5,IF(inter=Bi_weekly_2,0,IF(inter=Monthly_2,0,IF(inter=Quarterly_2,0,IF(inter=Yearly_2,0,IF(inter=None_2,0,0))))))</f>
        <v>0</v>
      </c>
      <c r="K441" s="79">
        <f t="shared" si="482"/>
        <v>0</v>
      </c>
      <c r="L441" s="79">
        <f t="shared" si="483"/>
        <v>0</v>
      </c>
      <c r="M441" s="79">
        <f t="shared" si="484"/>
        <v>0</v>
      </c>
      <c r="N441" s="79">
        <f t="shared" si="485"/>
        <v>0</v>
      </c>
      <c r="O441" s="79">
        <f t="shared" si="486"/>
        <v>0</v>
      </c>
      <c r="P441" s="79">
        <f t="shared" si="487"/>
        <v>0</v>
      </c>
      <c r="Q441" s="79"/>
      <c r="R441" s="80">
        <f t="shared" si="445"/>
        <v>0</v>
      </c>
      <c r="S441" s="80">
        <f t="shared" si="446"/>
        <v>0</v>
      </c>
      <c r="T441" s="80">
        <f t="shared" si="447"/>
        <v>0</v>
      </c>
      <c r="U441" s="80">
        <f t="shared" si="448"/>
        <v>0</v>
      </c>
      <c r="V441" s="80">
        <f t="shared" si="449"/>
        <v>0</v>
      </c>
      <c r="W441" s="80">
        <f t="shared" si="450"/>
        <v>0</v>
      </c>
      <c r="X441" s="80">
        <f t="shared" si="501"/>
        <v>444.51529802268044</v>
      </c>
      <c r="Y441" s="80">
        <f t="shared" si="502"/>
        <v>163.63422552801441</v>
      </c>
      <c r="Z441" s="80">
        <f t="shared" si="503"/>
        <v>120.26312562504717</v>
      </c>
      <c r="AA441" s="80">
        <f t="shared" si="504"/>
        <v>88.636573299539421</v>
      </c>
      <c r="AB441" s="80">
        <f t="shared" si="505"/>
        <v>852.91236287537049</v>
      </c>
      <c r="AC441" s="80">
        <f t="shared" si="506"/>
        <v>513.50686361721841</v>
      </c>
      <c r="AD441" s="80">
        <v>0.50800000000000001</v>
      </c>
      <c r="AE441" s="80">
        <v>0.5</v>
      </c>
      <c r="AF441" s="80">
        <v>2.7E-2</v>
      </c>
      <c r="AG441" s="80">
        <v>7.5999999999999998E-2</v>
      </c>
      <c r="AH441" s="80">
        <v>0.18099999999999999</v>
      </c>
      <c r="AI441" s="80">
        <v>7.0999999999999994E-2</v>
      </c>
      <c r="AJ441" s="45">
        <f t="shared" si="451"/>
        <v>225.81377139552166</v>
      </c>
      <c r="AK441" s="45">
        <f t="shared" si="452"/>
        <v>81.817112764007206</v>
      </c>
      <c r="AL441" s="45">
        <f t="shared" si="453"/>
        <v>3.2471043918762734</v>
      </c>
      <c r="AM441" s="45">
        <f t="shared" si="454"/>
        <v>6.7363795707649956</v>
      </c>
      <c r="AN441" s="45">
        <f t="shared" si="455"/>
        <v>154.37713768044205</v>
      </c>
      <c r="AO441" s="45">
        <f t="shared" si="456"/>
        <v>36.458987316822501</v>
      </c>
      <c r="AP441" s="80">
        <f t="shared" si="457"/>
        <v>2.1129761865499495</v>
      </c>
      <c r="AQ441" s="80">
        <f t="shared" si="458"/>
        <v>0.9846806679832697</v>
      </c>
      <c r="AR441" s="80">
        <f t="shared" si="459"/>
        <v>3.5658955229455128E-2</v>
      </c>
      <c r="AS441" s="80">
        <f t="shared" si="460"/>
        <v>6.2345019747616255E-2</v>
      </c>
      <c r="AT441" s="80">
        <f t="shared" si="461"/>
        <v>3.8240560194326991</v>
      </c>
      <c r="AU441" s="80">
        <f t="shared" si="462"/>
        <v>0.90965532678422778</v>
      </c>
      <c r="AV441" s="80">
        <f t="shared" si="507"/>
        <v>60.029441038937236</v>
      </c>
      <c r="AW441" s="80">
        <f t="shared" si="508"/>
        <v>28.509346850070866</v>
      </c>
      <c r="AX441" s="80">
        <f t="shared" si="509"/>
        <v>17.365467362987705</v>
      </c>
      <c r="AY441" s="80">
        <f t="shared" si="510"/>
        <v>13.761112621092227</v>
      </c>
      <c r="AZ441" s="80">
        <f t="shared" si="511"/>
        <v>139.40537455732718</v>
      </c>
      <c r="BA441" s="80">
        <f t="shared" si="512"/>
        <v>61.634144699264681</v>
      </c>
      <c r="BB441" s="80">
        <f t="shared" si="488"/>
        <v>504.54473906161769</v>
      </c>
      <c r="BC441" s="80">
        <f t="shared" si="489"/>
        <v>192.14357237808528</v>
      </c>
      <c r="BD441" s="80">
        <f t="shared" si="490"/>
        <v>137.62859298803488</v>
      </c>
      <c r="BE441" s="80">
        <f t="shared" si="491"/>
        <v>102.39768592063164</v>
      </c>
      <c r="BF441" s="80">
        <f t="shared" si="492"/>
        <v>992.31773743269764</v>
      </c>
      <c r="BG441" s="80">
        <f t="shared" si="493"/>
        <v>575.14100831648307</v>
      </c>
      <c r="BH441" s="49">
        <f t="shared" si="494"/>
        <v>508.45049311943473</v>
      </c>
      <c r="BI441" s="79">
        <f t="shared" si="495"/>
        <v>-87422.090818533063</v>
      </c>
      <c r="BJ441" s="79">
        <f t="shared" si="463"/>
        <v>136643.48772478924</v>
      </c>
      <c r="BK441" s="44">
        <f t="shared" si="496"/>
        <v>0.5630315683987448</v>
      </c>
      <c r="BL441" s="79">
        <f t="shared" si="513"/>
        <v>15175.842118210237</v>
      </c>
      <c r="BM441" s="49">
        <f t="shared" si="497"/>
        <v>151819.32984299949</v>
      </c>
      <c r="BN441" s="44">
        <f t="shared" si="498"/>
        <v>0.73662432940593225</v>
      </c>
      <c r="BO441" s="49">
        <f t="shared" si="464"/>
        <v>19950.467217278365</v>
      </c>
      <c r="BP441" s="49">
        <f t="shared" si="465"/>
        <v>156593.95494206762</v>
      </c>
      <c r="BQ441" s="44">
        <f t="shared" si="466"/>
        <v>0.79124010276897261</v>
      </c>
      <c r="BS441" s="49">
        <f t="shared" si="467"/>
        <v>87422.090818533063</v>
      </c>
      <c r="BT441" s="49">
        <f t="shared" si="443"/>
        <v>106.870003</v>
      </c>
      <c r="BU441" s="49">
        <f t="shared" si="444"/>
        <v>40.080002</v>
      </c>
      <c r="BV441" s="49">
        <f t="shared" si="468"/>
        <v>-508.45049311943473</v>
      </c>
      <c r="BW441" s="18">
        <f t="shared" si="469"/>
        <v>2793</v>
      </c>
      <c r="BX441" s="19">
        <f t="shared" si="499"/>
        <v>0.35940366972477067</v>
      </c>
      <c r="BY441" s="49">
        <f t="shared" si="500"/>
        <v>-182.73897310049409</v>
      </c>
      <c r="BZ441" s="19">
        <f t="shared" si="470"/>
        <v>0</v>
      </c>
      <c r="CA441" s="19">
        <f t="shared" si="471"/>
        <v>0</v>
      </c>
      <c r="CB441" s="19">
        <f t="shared" si="472"/>
        <v>0</v>
      </c>
      <c r="CC441" s="19">
        <f t="shared" si="473"/>
        <v>0</v>
      </c>
      <c r="CD441" s="19">
        <f t="shared" si="474"/>
        <v>0</v>
      </c>
      <c r="CE441" s="19">
        <f t="shared" si="475"/>
        <v>0</v>
      </c>
      <c r="CF441" s="49">
        <f t="shared" si="476"/>
        <v>0</v>
      </c>
      <c r="CG441" s="49">
        <f t="shared" si="477"/>
        <v>0</v>
      </c>
      <c r="CH441" s="49">
        <f t="shared" si="478"/>
        <v>0</v>
      </c>
      <c r="CI441" s="49">
        <f t="shared" si="479"/>
        <v>0</v>
      </c>
      <c r="CJ441" s="49">
        <f t="shared" si="480"/>
        <v>0</v>
      </c>
      <c r="CK441" s="49">
        <f t="shared" si="481"/>
        <v>0</v>
      </c>
    </row>
    <row r="442" spans="2:89" ht="12.75" customHeight="1" x14ac:dyDescent="0.2">
      <c r="B442" s="77">
        <v>42093</v>
      </c>
      <c r="C442" s="79">
        <v>107.389999</v>
      </c>
      <c r="D442" s="79">
        <v>83.459998999999996</v>
      </c>
      <c r="E442" s="79">
        <v>91.949996999999996</v>
      </c>
      <c r="F442" s="79">
        <v>109.66999800000001</v>
      </c>
      <c r="G442" s="79">
        <v>40.409999999999997</v>
      </c>
      <c r="H442" s="79">
        <v>42.060001</v>
      </c>
      <c r="I442" s="79"/>
      <c r="J442" s="78">
        <f>IF(inter=Weekly_2,J441+$C$5,IF(inter=Bi_weekly_2,J440+$C$5,IF(inter=Monthly_2,J438+$C$5,IF(inter=Quarterly_2,0,IF(inter=Yearly_2,0,IF(inter=None_2,0,0))))))</f>
        <v>140000</v>
      </c>
      <c r="K442" s="79">
        <f t="shared" si="482"/>
        <v>-1263.5025898596432</v>
      </c>
      <c r="L442" s="79">
        <f t="shared" si="483"/>
        <v>-343.08770106614247</v>
      </c>
      <c r="M442" s="79">
        <f t="shared" si="484"/>
        <v>-141.80595956629077</v>
      </c>
      <c r="N442" s="79">
        <f t="shared" si="485"/>
        <v>-79.227183512659394</v>
      </c>
      <c r="O442" s="79">
        <f t="shared" si="486"/>
        <v>-533.81141620628478</v>
      </c>
      <c r="P442" s="79">
        <f t="shared" si="487"/>
        <v>598.09919724706924</v>
      </c>
      <c r="Q442" s="79"/>
      <c r="R442" s="80">
        <f t="shared" si="445"/>
        <v>11.765551742482494</v>
      </c>
      <c r="S442" s="80">
        <f t="shared" si="446"/>
        <v>4.1108040399825851</v>
      </c>
      <c r="T442" s="80">
        <f t="shared" si="447"/>
        <v>1.5422073321687086</v>
      </c>
      <c r="U442" s="80">
        <f t="shared" si="448"/>
        <v>0.72241437911450845</v>
      </c>
      <c r="V442" s="80">
        <f t="shared" si="449"/>
        <v>13.209884093201802</v>
      </c>
      <c r="W442" s="80">
        <f t="shared" si="450"/>
        <v>-14.22014224980806</v>
      </c>
      <c r="X442" s="80">
        <f t="shared" si="501"/>
        <v>456.28084976516294</v>
      </c>
      <c r="Y442" s="80">
        <f t="shared" si="502"/>
        <v>167.74502956799699</v>
      </c>
      <c r="Z442" s="80">
        <f t="shared" si="503"/>
        <v>121.80533295721588</v>
      </c>
      <c r="AA442" s="80">
        <f t="shared" si="504"/>
        <v>89.358987678653932</v>
      </c>
      <c r="AB442" s="80">
        <f t="shared" si="505"/>
        <v>866.12224696857231</v>
      </c>
      <c r="AC442" s="80">
        <f t="shared" si="506"/>
        <v>499.28672136741034</v>
      </c>
      <c r="AD442" s="80"/>
      <c r="AE442" s="80"/>
      <c r="AF442" s="80"/>
      <c r="AG442" s="80"/>
      <c r="AH442" s="80"/>
      <c r="AI442" s="80"/>
      <c r="AJ442" s="45">
        <f t="shared" si="451"/>
        <v>0</v>
      </c>
      <c r="AK442" s="45">
        <f t="shared" si="452"/>
        <v>0</v>
      </c>
      <c r="AL442" s="45">
        <f t="shared" si="453"/>
        <v>0</v>
      </c>
      <c r="AM442" s="45">
        <f t="shared" si="454"/>
        <v>0</v>
      </c>
      <c r="AN442" s="45">
        <f t="shared" si="455"/>
        <v>0</v>
      </c>
      <c r="AO442" s="45">
        <f t="shared" si="456"/>
        <v>0</v>
      </c>
      <c r="AP442" s="80">
        <f t="shared" si="457"/>
        <v>0</v>
      </c>
      <c r="AQ442" s="80">
        <f t="shared" si="458"/>
        <v>0</v>
      </c>
      <c r="AR442" s="80">
        <f t="shared" si="459"/>
        <v>0</v>
      </c>
      <c r="AS442" s="80">
        <f t="shared" si="460"/>
        <v>0</v>
      </c>
      <c r="AT442" s="80">
        <f t="shared" si="461"/>
        <v>0</v>
      </c>
      <c r="AU442" s="80">
        <f t="shared" si="462"/>
        <v>0</v>
      </c>
      <c r="AV442" s="80">
        <f t="shared" si="507"/>
        <v>60.029441038937236</v>
      </c>
      <c r="AW442" s="80">
        <f t="shared" si="508"/>
        <v>28.509346850070866</v>
      </c>
      <c r="AX442" s="80">
        <f t="shared" si="509"/>
        <v>17.365467362987705</v>
      </c>
      <c r="AY442" s="80">
        <f t="shared" si="510"/>
        <v>13.761112621092227</v>
      </c>
      <c r="AZ442" s="80">
        <f t="shared" si="511"/>
        <v>139.40537455732718</v>
      </c>
      <c r="BA442" s="80">
        <f t="shared" si="512"/>
        <v>61.634144699264681</v>
      </c>
      <c r="BB442" s="80">
        <f t="shared" si="488"/>
        <v>516.31029080410019</v>
      </c>
      <c r="BC442" s="80">
        <f t="shared" si="489"/>
        <v>196.25437641806786</v>
      </c>
      <c r="BD442" s="80">
        <f t="shared" si="490"/>
        <v>139.1708003202036</v>
      </c>
      <c r="BE442" s="80">
        <f t="shared" si="491"/>
        <v>103.12010029974616</v>
      </c>
      <c r="BF442" s="80">
        <f t="shared" si="492"/>
        <v>1005.5276215258995</v>
      </c>
      <c r="BG442" s="80">
        <f t="shared" si="493"/>
        <v>560.92086606667499</v>
      </c>
      <c r="BH442" s="49">
        <f t="shared" si="494"/>
        <v>0</v>
      </c>
      <c r="BI442" s="79">
        <f t="shared" si="495"/>
        <v>-89185.42647149702</v>
      </c>
      <c r="BJ442" s="79">
        <f t="shared" si="463"/>
        <v>140000</v>
      </c>
      <c r="BK442" s="44">
        <f t="shared" si="496"/>
        <v>0.56976319494018379</v>
      </c>
      <c r="BL442" s="79">
        <f t="shared" si="513"/>
        <v>15175.842118210237</v>
      </c>
      <c r="BM442" s="49">
        <f t="shared" si="497"/>
        <v>155175.84211821025</v>
      </c>
      <c r="BN442" s="44">
        <f t="shared" si="498"/>
        <v>0.73992375500725172</v>
      </c>
      <c r="BO442" s="49">
        <f t="shared" si="464"/>
        <v>20157.590911849682</v>
      </c>
      <c r="BP442" s="49">
        <f t="shared" si="465"/>
        <v>160157.59091184969</v>
      </c>
      <c r="BQ442" s="44">
        <f t="shared" si="466"/>
        <v>0.79578208288362928</v>
      </c>
      <c r="BS442" s="49">
        <f t="shared" si="467"/>
        <v>89185.42647149702</v>
      </c>
      <c r="BT442" s="49">
        <f t="shared" si="443"/>
        <v>107.389999</v>
      </c>
      <c r="BU442" s="49">
        <f t="shared" si="444"/>
        <v>42.060001</v>
      </c>
      <c r="BV442" s="49">
        <f t="shared" si="468"/>
        <v>1763.3356529639514</v>
      </c>
      <c r="BW442" s="18">
        <f t="shared" si="469"/>
        <v>2800</v>
      </c>
      <c r="BX442" s="19">
        <f t="shared" si="499"/>
        <v>0.3577981651376147</v>
      </c>
      <c r="BY442" s="49">
        <f t="shared" si="500"/>
        <v>630.91826115223955</v>
      </c>
      <c r="BZ442" s="19">
        <f t="shared" si="470"/>
        <v>11.765551742482494</v>
      </c>
      <c r="CA442" s="19">
        <f t="shared" si="471"/>
        <v>4.1108040399825851</v>
      </c>
      <c r="CB442" s="19">
        <f t="shared" si="472"/>
        <v>1.5422073321687086</v>
      </c>
      <c r="CC442" s="19">
        <f t="shared" si="473"/>
        <v>0.72241437911450845</v>
      </c>
      <c r="CD442" s="19">
        <f t="shared" si="474"/>
        <v>13.209884093201802</v>
      </c>
      <c r="CE442" s="19">
        <f t="shared" si="475"/>
        <v>0</v>
      </c>
      <c r="CF442" s="49">
        <f t="shared" si="476"/>
        <v>-1263.5025898596432</v>
      </c>
      <c r="CG442" s="49">
        <f t="shared" si="477"/>
        <v>-343.08770106614247</v>
      </c>
      <c r="CH442" s="49">
        <f t="shared" si="478"/>
        <v>-141.80595956629077</v>
      </c>
      <c r="CI442" s="49">
        <f t="shared" si="479"/>
        <v>-79.227183512659394</v>
      </c>
      <c r="CJ442" s="49">
        <f t="shared" si="480"/>
        <v>-533.81141620628478</v>
      </c>
      <c r="CK442" s="49">
        <f t="shared" si="481"/>
        <v>0</v>
      </c>
    </row>
    <row r="443" spans="2:89" ht="12.75" customHeight="1" x14ac:dyDescent="0.2">
      <c r="B443" s="77">
        <v>42100</v>
      </c>
      <c r="C443" s="79">
        <v>109.120003</v>
      </c>
      <c r="D443" s="79">
        <v>84.93</v>
      </c>
      <c r="E443" s="79">
        <v>92.970000999999996</v>
      </c>
      <c r="F443" s="79">
        <v>110.199997</v>
      </c>
      <c r="G443" s="79">
        <v>41.130001</v>
      </c>
      <c r="H443" s="79">
        <v>43.799999</v>
      </c>
      <c r="I443" s="79"/>
      <c r="J443" s="78">
        <f>IF(inter=Weekly_2,J442+$C$5,IF(inter=Bi_weekly_2,0,IF(inter=Monthly_2,0,IF(inter=Quarterly_2,0,IF(inter=Yearly_2,0,IF(inter=None_2,0,0))))))</f>
        <v>0</v>
      </c>
      <c r="K443" s="79">
        <f t="shared" si="482"/>
        <v>0</v>
      </c>
      <c r="L443" s="79">
        <f t="shared" si="483"/>
        <v>0</v>
      </c>
      <c r="M443" s="79">
        <f t="shared" si="484"/>
        <v>0</v>
      </c>
      <c r="N443" s="79">
        <f t="shared" si="485"/>
        <v>0</v>
      </c>
      <c r="O443" s="79">
        <f t="shared" si="486"/>
        <v>0</v>
      </c>
      <c r="P443" s="79">
        <f t="shared" si="487"/>
        <v>0</v>
      </c>
      <c r="Q443" s="79"/>
      <c r="R443" s="80">
        <f t="shared" si="445"/>
        <v>0</v>
      </c>
      <c r="S443" s="80">
        <f t="shared" si="446"/>
        <v>0</v>
      </c>
      <c r="T443" s="80">
        <f t="shared" si="447"/>
        <v>0</v>
      </c>
      <c r="U443" s="80">
        <f t="shared" si="448"/>
        <v>0</v>
      </c>
      <c r="V443" s="80">
        <f t="shared" si="449"/>
        <v>0</v>
      </c>
      <c r="W443" s="80">
        <f t="shared" si="450"/>
        <v>0</v>
      </c>
      <c r="X443" s="80">
        <f t="shared" si="501"/>
        <v>456.28084976516294</v>
      </c>
      <c r="Y443" s="80">
        <f t="shared" si="502"/>
        <v>167.74502956799699</v>
      </c>
      <c r="Z443" s="80">
        <f t="shared" si="503"/>
        <v>121.80533295721588</v>
      </c>
      <c r="AA443" s="80">
        <f t="shared" si="504"/>
        <v>89.358987678653932</v>
      </c>
      <c r="AB443" s="80">
        <f t="shared" si="505"/>
        <v>866.12224696857231</v>
      </c>
      <c r="AC443" s="80">
        <f t="shared" si="506"/>
        <v>499.28672136741034</v>
      </c>
      <c r="AD443" s="80"/>
      <c r="AE443" s="80"/>
      <c r="AF443" s="80"/>
      <c r="AG443" s="80"/>
      <c r="AH443" s="80"/>
      <c r="AI443" s="80"/>
      <c r="AJ443" s="45">
        <f t="shared" si="451"/>
        <v>0</v>
      </c>
      <c r="AK443" s="45">
        <f t="shared" si="452"/>
        <v>0</v>
      </c>
      <c r="AL443" s="45">
        <f t="shared" si="453"/>
        <v>0</v>
      </c>
      <c r="AM443" s="45">
        <f t="shared" si="454"/>
        <v>0</v>
      </c>
      <c r="AN443" s="45">
        <f t="shared" si="455"/>
        <v>0</v>
      </c>
      <c r="AO443" s="45">
        <f t="shared" si="456"/>
        <v>0</v>
      </c>
      <c r="AP443" s="80">
        <f t="shared" si="457"/>
        <v>0</v>
      </c>
      <c r="AQ443" s="80">
        <f t="shared" si="458"/>
        <v>0</v>
      </c>
      <c r="AR443" s="80">
        <f t="shared" si="459"/>
        <v>0</v>
      </c>
      <c r="AS443" s="80">
        <f t="shared" si="460"/>
        <v>0</v>
      </c>
      <c r="AT443" s="80">
        <f t="shared" si="461"/>
        <v>0</v>
      </c>
      <c r="AU443" s="80">
        <f t="shared" si="462"/>
        <v>0</v>
      </c>
      <c r="AV443" s="80">
        <f t="shared" si="507"/>
        <v>60.029441038937236</v>
      </c>
      <c r="AW443" s="80">
        <f t="shared" si="508"/>
        <v>28.509346850070866</v>
      </c>
      <c r="AX443" s="80">
        <f t="shared" si="509"/>
        <v>17.365467362987705</v>
      </c>
      <c r="AY443" s="80">
        <f t="shared" si="510"/>
        <v>13.761112621092227</v>
      </c>
      <c r="AZ443" s="80">
        <f t="shared" si="511"/>
        <v>139.40537455732718</v>
      </c>
      <c r="BA443" s="80">
        <f t="shared" si="512"/>
        <v>61.634144699264681</v>
      </c>
      <c r="BB443" s="80">
        <f t="shared" si="488"/>
        <v>516.31029080410019</v>
      </c>
      <c r="BC443" s="80">
        <f t="shared" si="489"/>
        <v>196.25437641806786</v>
      </c>
      <c r="BD443" s="80">
        <f t="shared" si="490"/>
        <v>139.1708003202036</v>
      </c>
      <c r="BE443" s="80">
        <f t="shared" si="491"/>
        <v>103.12010029974616</v>
      </c>
      <c r="BF443" s="80">
        <f t="shared" si="492"/>
        <v>1005.5276215258995</v>
      </c>
      <c r="BG443" s="80">
        <f t="shared" si="493"/>
        <v>560.92086606667499</v>
      </c>
      <c r="BH443" s="49">
        <f t="shared" si="494"/>
        <v>0</v>
      </c>
      <c r="BI443" s="79">
        <f t="shared" si="495"/>
        <v>-89185.42647149702</v>
      </c>
      <c r="BJ443" s="79">
        <f t="shared" si="463"/>
        <v>142699.92193792097</v>
      </c>
      <c r="BK443" s="44">
        <f t="shared" si="496"/>
        <v>0.6000363241356117</v>
      </c>
      <c r="BL443" s="79">
        <f t="shared" si="513"/>
        <v>15175.842118210237</v>
      </c>
      <c r="BM443" s="49">
        <f t="shared" si="497"/>
        <v>157875.76405613121</v>
      </c>
      <c r="BN443" s="44">
        <f t="shared" si="498"/>
        <v>0.77019688420267962</v>
      </c>
      <c r="BO443" s="49">
        <f t="shared" si="464"/>
        <v>20535.972373039021</v>
      </c>
      <c r="BP443" s="49">
        <f t="shared" si="465"/>
        <v>163235.89431096002</v>
      </c>
      <c r="BQ443" s="44">
        <f t="shared" si="466"/>
        <v>0.83029784987493405</v>
      </c>
      <c r="BS443" s="49">
        <f t="shared" si="467"/>
        <v>89185.42647149702</v>
      </c>
      <c r="BT443" s="49">
        <f t="shared" si="443"/>
        <v>109.120003</v>
      </c>
      <c r="BU443" s="49">
        <f t="shared" si="444"/>
        <v>43.799999</v>
      </c>
      <c r="BV443" s="49">
        <f t="shared" si="468"/>
        <v>0</v>
      </c>
      <c r="BW443" s="18">
        <f t="shared" si="469"/>
        <v>2807</v>
      </c>
      <c r="BX443" s="19">
        <f t="shared" si="499"/>
        <v>0.35619266055045873</v>
      </c>
      <c r="BY443" s="49">
        <f t="shared" si="500"/>
        <v>0</v>
      </c>
      <c r="BZ443" s="19">
        <f t="shared" si="470"/>
        <v>0</v>
      </c>
      <c r="CA443" s="19">
        <f t="shared" si="471"/>
        <v>0</v>
      </c>
      <c r="CB443" s="19">
        <f t="shared" si="472"/>
        <v>0</v>
      </c>
      <c r="CC443" s="19">
        <f t="shared" si="473"/>
        <v>0</v>
      </c>
      <c r="CD443" s="19">
        <f t="shared" si="474"/>
        <v>0</v>
      </c>
      <c r="CE443" s="19">
        <f t="shared" si="475"/>
        <v>0</v>
      </c>
      <c r="CF443" s="49">
        <f t="shared" si="476"/>
        <v>0</v>
      </c>
      <c r="CG443" s="49">
        <f t="shared" si="477"/>
        <v>0</v>
      </c>
      <c r="CH443" s="49">
        <f t="shared" si="478"/>
        <v>0</v>
      </c>
      <c r="CI443" s="49">
        <f t="shared" si="479"/>
        <v>0</v>
      </c>
      <c r="CJ443" s="49">
        <f t="shared" si="480"/>
        <v>0</v>
      </c>
      <c r="CK443" s="49">
        <f t="shared" si="481"/>
        <v>0</v>
      </c>
    </row>
    <row r="444" spans="2:89" ht="12.75" customHeight="1" x14ac:dyDescent="0.2">
      <c r="B444" s="77">
        <v>42107</v>
      </c>
      <c r="C444" s="79">
        <v>108.08000199999999</v>
      </c>
      <c r="D444" s="79">
        <v>84.32</v>
      </c>
      <c r="E444" s="79">
        <v>92.330001999999993</v>
      </c>
      <c r="F444" s="79">
        <v>109.150002</v>
      </c>
      <c r="G444" s="79">
        <v>41.009998000000003</v>
      </c>
      <c r="H444" s="79">
        <v>43.52</v>
      </c>
      <c r="I444" s="79"/>
      <c r="J444" s="78">
        <f>IF(inter=Weekly_2,J443+$C$5,IF(inter=Bi_weekly_2,J442+$C$5,IF(inter=Monthly_2,0,IF(inter=Quarterly_2,0,IF(inter=Yearly_2,0,IF(inter=None_2,0,0))))))</f>
        <v>140600</v>
      </c>
      <c r="K444" s="79">
        <f t="shared" si="482"/>
        <v>104.8351551805099</v>
      </c>
      <c r="L444" s="79">
        <f t="shared" si="483"/>
        <v>84.260893173504883</v>
      </c>
      <c r="M444" s="79">
        <f t="shared" si="484"/>
        <v>-1.7133644495934277</v>
      </c>
      <c r="N444" s="79">
        <f t="shared" si="485"/>
        <v>-88.466316156949688</v>
      </c>
      <c r="O444" s="79">
        <f t="shared" si="486"/>
        <v>369.67161593666242</v>
      </c>
      <c r="P444" s="79">
        <f t="shared" si="487"/>
        <v>638.95811390969902</v>
      </c>
      <c r="Q444" s="79"/>
      <c r="R444" s="80">
        <f t="shared" si="445"/>
        <v>-0.9699773615891486</v>
      </c>
      <c r="S444" s="80">
        <f t="shared" si="446"/>
        <v>-0.99929901771234453</v>
      </c>
      <c r="T444" s="80">
        <f t="shared" si="447"/>
        <v>1.855696320242068E-2</v>
      </c>
      <c r="U444" s="80">
        <f t="shared" si="448"/>
        <v>0.81050219455744665</v>
      </c>
      <c r="V444" s="80">
        <f t="shared" si="449"/>
        <v>-9.0141827350652974</v>
      </c>
      <c r="W444" s="80">
        <f t="shared" si="450"/>
        <v>-14.681941955645657</v>
      </c>
      <c r="X444" s="80">
        <f t="shared" si="501"/>
        <v>455.3108724035738</v>
      </c>
      <c r="Y444" s="80">
        <f t="shared" si="502"/>
        <v>166.74573055028466</v>
      </c>
      <c r="Z444" s="80">
        <f t="shared" si="503"/>
        <v>121.8238899204183</v>
      </c>
      <c r="AA444" s="80">
        <f t="shared" si="504"/>
        <v>90.169489873211376</v>
      </c>
      <c r="AB444" s="80">
        <f t="shared" si="505"/>
        <v>857.10806423350698</v>
      </c>
      <c r="AC444" s="80">
        <f t="shared" si="506"/>
        <v>484.6047794117647</v>
      </c>
      <c r="AD444" s="80"/>
      <c r="AE444" s="80"/>
      <c r="AF444" s="80"/>
      <c r="AG444" s="80"/>
      <c r="AH444" s="80"/>
      <c r="AI444" s="80"/>
      <c r="AJ444" s="45">
        <f t="shared" si="451"/>
        <v>0</v>
      </c>
      <c r="AK444" s="45">
        <f t="shared" si="452"/>
        <v>0</v>
      </c>
      <c r="AL444" s="45">
        <f t="shared" si="453"/>
        <v>0</v>
      </c>
      <c r="AM444" s="45">
        <f t="shared" si="454"/>
        <v>0</v>
      </c>
      <c r="AN444" s="45">
        <f t="shared" si="455"/>
        <v>0</v>
      </c>
      <c r="AO444" s="45">
        <f t="shared" si="456"/>
        <v>0</v>
      </c>
      <c r="AP444" s="80">
        <f t="shared" si="457"/>
        <v>0</v>
      </c>
      <c r="AQ444" s="80">
        <f t="shared" si="458"/>
        <v>0</v>
      </c>
      <c r="AR444" s="80">
        <f t="shared" si="459"/>
        <v>0</v>
      </c>
      <c r="AS444" s="80">
        <f t="shared" si="460"/>
        <v>0</v>
      </c>
      <c r="AT444" s="80">
        <f t="shared" si="461"/>
        <v>0</v>
      </c>
      <c r="AU444" s="80">
        <f t="shared" si="462"/>
        <v>0</v>
      </c>
      <c r="AV444" s="80">
        <f t="shared" si="507"/>
        <v>60.029441038937236</v>
      </c>
      <c r="AW444" s="80">
        <f t="shared" si="508"/>
        <v>28.509346850070866</v>
      </c>
      <c r="AX444" s="80">
        <f t="shared" si="509"/>
        <v>17.365467362987705</v>
      </c>
      <c r="AY444" s="80">
        <f t="shared" si="510"/>
        <v>13.761112621092227</v>
      </c>
      <c r="AZ444" s="80">
        <f t="shared" si="511"/>
        <v>139.40537455732718</v>
      </c>
      <c r="BA444" s="80">
        <f t="shared" si="512"/>
        <v>61.634144699264681</v>
      </c>
      <c r="BB444" s="80">
        <f t="shared" si="488"/>
        <v>515.34031344251105</v>
      </c>
      <c r="BC444" s="80">
        <f t="shared" si="489"/>
        <v>195.25507740035553</v>
      </c>
      <c r="BD444" s="80">
        <f t="shared" si="490"/>
        <v>139.189357283406</v>
      </c>
      <c r="BE444" s="80">
        <f t="shared" si="491"/>
        <v>103.9306024943036</v>
      </c>
      <c r="BF444" s="80">
        <f t="shared" si="492"/>
        <v>996.51343879083413</v>
      </c>
      <c r="BG444" s="80">
        <f t="shared" si="493"/>
        <v>546.23892411102941</v>
      </c>
      <c r="BH444" s="49">
        <f t="shared" si="494"/>
        <v>0</v>
      </c>
      <c r="BI444" s="79">
        <f t="shared" si="495"/>
        <v>-88077.880373903186</v>
      </c>
      <c r="BJ444" s="79">
        <f t="shared" si="463"/>
        <v>140600</v>
      </c>
      <c r="BK444" s="44">
        <f t="shared" si="496"/>
        <v>0.59631452758777703</v>
      </c>
      <c r="BL444" s="79">
        <f t="shared" si="513"/>
        <v>15175.842118210237</v>
      </c>
      <c r="BM444" s="49">
        <f t="shared" si="497"/>
        <v>155775.84211821025</v>
      </c>
      <c r="BN444" s="44">
        <f t="shared" si="498"/>
        <v>0.76861479246457276</v>
      </c>
      <c r="BO444" s="49">
        <f t="shared" si="464"/>
        <v>20396.601449512462</v>
      </c>
      <c r="BP444" s="49">
        <f t="shared" si="465"/>
        <v>160996.60144951247</v>
      </c>
      <c r="BQ444" s="44">
        <f t="shared" si="466"/>
        <v>0.82788914499371336</v>
      </c>
      <c r="BS444" s="49">
        <f t="shared" si="467"/>
        <v>88077.880373903186</v>
      </c>
      <c r="BT444" s="49">
        <f t="shared" si="443"/>
        <v>108.08000199999999</v>
      </c>
      <c r="BU444" s="49">
        <f t="shared" si="444"/>
        <v>43.52</v>
      </c>
      <c r="BV444" s="49">
        <f t="shared" si="468"/>
        <v>-1107.5460975938331</v>
      </c>
      <c r="BW444" s="18">
        <f t="shared" si="469"/>
        <v>2814</v>
      </c>
      <c r="BX444" s="19">
        <f t="shared" si="499"/>
        <v>0.35458715596330276</v>
      </c>
      <c r="BY444" s="49">
        <f t="shared" si="500"/>
        <v>-392.72162084405181</v>
      </c>
      <c r="BZ444" s="19">
        <f t="shared" si="470"/>
        <v>0</v>
      </c>
      <c r="CA444" s="19">
        <f t="shared" si="471"/>
        <v>0</v>
      </c>
      <c r="CB444" s="19">
        <f t="shared" si="472"/>
        <v>1.855696320242068E-2</v>
      </c>
      <c r="CC444" s="19">
        <f t="shared" si="473"/>
        <v>0.81050219455744665</v>
      </c>
      <c r="CD444" s="19">
        <f t="shared" si="474"/>
        <v>0</v>
      </c>
      <c r="CE444" s="19">
        <f t="shared" si="475"/>
        <v>0</v>
      </c>
      <c r="CF444" s="49">
        <f t="shared" si="476"/>
        <v>0</v>
      </c>
      <c r="CG444" s="49">
        <f t="shared" si="477"/>
        <v>0</v>
      </c>
      <c r="CH444" s="49">
        <f t="shared" si="478"/>
        <v>-1.7133644495934277</v>
      </c>
      <c r="CI444" s="49">
        <f t="shared" si="479"/>
        <v>-88.466316156949688</v>
      </c>
      <c r="CJ444" s="49">
        <f t="shared" si="480"/>
        <v>0</v>
      </c>
      <c r="CK444" s="49">
        <f t="shared" si="481"/>
        <v>0</v>
      </c>
    </row>
    <row r="445" spans="2:89" ht="12.75" customHeight="1" x14ac:dyDescent="0.2">
      <c r="B445" s="77">
        <v>42114</v>
      </c>
      <c r="C445" s="79">
        <v>109.849998</v>
      </c>
      <c r="D445" s="79">
        <v>85.5</v>
      </c>
      <c r="E445" s="79">
        <v>93.019997000000004</v>
      </c>
      <c r="F445" s="79">
        <v>110.339996</v>
      </c>
      <c r="G445" s="79">
        <v>41.93</v>
      </c>
      <c r="H445" s="79">
        <v>44.669998</v>
      </c>
      <c r="I445" s="79"/>
      <c r="J445" s="78">
        <f>IF(inter=Weekly_2,J444+$C$5,IF(inter=Bi_weekly_2,0,IF(inter=Monthly_2,0,IF(inter=Quarterly_2,J432+$C$5,IF(inter=Yearly_2,0,IF(inter=None_2,0,0))))))</f>
        <v>0</v>
      </c>
      <c r="K445" s="79">
        <f t="shared" si="482"/>
        <v>0</v>
      </c>
      <c r="L445" s="79">
        <f t="shared" si="483"/>
        <v>0</v>
      </c>
      <c r="M445" s="79">
        <f t="shared" si="484"/>
        <v>0</v>
      </c>
      <c r="N445" s="79">
        <f t="shared" si="485"/>
        <v>0</v>
      </c>
      <c r="O445" s="79">
        <f t="shared" si="486"/>
        <v>0</v>
      </c>
      <c r="P445" s="79">
        <f t="shared" si="487"/>
        <v>0</v>
      </c>
      <c r="Q445" s="79"/>
      <c r="R445" s="80">
        <f t="shared" si="445"/>
        <v>0</v>
      </c>
      <c r="S445" s="80">
        <f t="shared" si="446"/>
        <v>0</v>
      </c>
      <c r="T445" s="80">
        <f t="shared" si="447"/>
        <v>0</v>
      </c>
      <c r="U445" s="80">
        <f t="shared" si="448"/>
        <v>0</v>
      </c>
      <c r="V445" s="80">
        <f t="shared" si="449"/>
        <v>0</v>
      </c>
      <c r="W445" s="80">
        <f t="shared" si="450"/>
        <v>0</v>
      </c>
      <c r="X445" s="80">
        <f t="shared" si="501"/>
        <v>455.3108724035738</v>
      </c>
      <c r="Y445" s="80">
        <f t="shared" si="502"/>
        <v>166.74573055028466</v>
      </c>
      <c r="Z445" s="80">
        <f t="shared" si="503"/>
        <v>121.8238899204183</v>
      </c>
      <c r="AA445" s="80">
        <f t="shared" si="504"/>
        <v>90.169489873211376</v>
      </c>
      <c r="AB445" s="80">
        <f t="shared" si="505"/>
        <v>857.10806423350698</v>
      </c>
      <c r="AC445" s="80">
        <f t="shared" si="506"/>
        <v>484.6047794117647</v>
      </c>
      <c r="AD445" s="80"/>
      <c r="AE445" s="80"/>
      <c r="AF445" s="80"/>
      <c r="AG445" s="80"/>
      <c r="AH445" s="80"/>
      <c r="AI445" s="80"/>
      <c r="AJ445" s="45">
        <f t="shared" si="451"/>
        <v>0</v>
      </c>
      <c r="AK445" s="45">
        <f t="shared" si="452"/>
        <v>0</v>
      </c>
      <c r="AL445" s="45">
        <f t="shared" si="453"/>
        <v>0</v>
      </c>
      <c r="AM445" s="45">
        <f t="shared" si="454"/>
        <v>0</v>
      </c>
      <c r="AN445" s="45">
        <f t="shared" si="455"/>
        <v>0</v>
      </c>
      <c r="AO445" s="45">
        <f t="shared" si="456"/>
        <v>0</v>
      </c>
      <c r="AP445" s="80">
        <f t="shared" si="457"/>
        <v>0</v>
      </c>
      <c r="AQ445" s="80">
        <f t="shared" si="458"/>
        <v>0</v>
      </c>
      <c r="AR445" s="80">
        <f t="shared" si="459"/>
        <v>0</v>
      </c>
      <c r="AS445" s="80">
        <f t="shared" si="460"/>
        <v>0</v>
      </c>
      <c r="AT445" s="80">
        <f t="shared" si="461"/>
        <v>0</v>
      </c>
      <c r="AU445" s="80">
        <f t="shared" si="462"/>
        <v>0</v>
      </c>
      <c r="AV445" s="80">
        <f t="shared" si="507"/>
        <v>60.029441038937236</v>
      </c>
      <c r="AW445" s="80">
        <f t="shared" si="508"/>
        <v>28.509346850070866</v>
      </c>
      <c r="AX445" s="80">
        <f t="shared" si="509"/>
        <v>17.365467362987705</v>
      </c>
      <c r="AY445" s="80">
        <f t="shared" si="510"/>
        <v>13.761112621092227</v>
      </c>
      <c r="AZ445" s="80">
        <f t="shared" si="511"/>
        <v>139.40537455732718</v>
      </c>
      <c r="BA445" s="80">
        <f t="shared" si="512"/>
        <v>61.634144699264681</v>
      </c>
      <c r="BB445" s="80">
        <f t="shared" si="488"/>
        <v>515.34031344251105</v>
      </c>
      <c r="BC445" s="80">
        <f t="shared" si="489"/>
        <v>195.25507740035553</v>
      </c>
      <c r="BD445" s="80">
        <f t="shared" si="490"/>
        <v>139.189357283406</v>
      </c>
      <c r="BE445" s="80">
        <f t="shared" si="491"/>
        <v>103.9306024943036</v>
      </c>
      <c r="BF445" s="80">
        <f t="shared" si="492"/>
        <v>996.51343879083413</v>
      </c>
      <c r="BG445" s="80">
        <f t="shared" si="493"/>
        <v>546.23892411102941</v>
      </c>
      <c r="BH445" s="49">
        <f t="shared" si="494"/>
        <v>0</v>
      </c>
      <c r="BI445" s="79">
        <f t="shared" si="495"/>
        <v>-88077.880373903186</v>
      </c>
      <c r="BJ445" s="79">
        <f t="shared" si="463"/>
        <v>143139.8530722429</v>
      </c>
      <c r="BK445" s="44">
        <f t="shared" si="496"/>
        <v>0.62515097394026475</v>
      </c>
      <c r="BL445" s="79">
        <f t="shared" si="513"/>
        <v>15175.842118210237</v>
      </c>
      <c r="BM445" s="49">
        <f t="shared" si="497"/>
        <v>158315.69519045315</v>
      </c>
      <c r="BN445" s="44">
        <f t="shared" si="498"/>
        <v>0.79745123881706048</v>
      </c>
      <c r="BO445" s="49">
        <f t="shared" si="464"/>
        <v>20763.984442961606</v>
      </c>
      <c r="BP445" s="49">
        <f t="shared" si="465"/>
        <v>163903.8375152045</v>
      </c>
      <c r="BQ445" s="44">
        <f t="shared" si="466"/>
        <v>0.86089670663518802</v>
      </c>
      <c r="BS445" s="49">
        <f t="shared" si="467"/>
        <v>88077.880373903186</v>
      </c>
      <c r="BT445" s="49">
        <f t="shared" si="443"/>
        <v>109.849998</v>
      </c>
      <c r="BU445" s="49">
        <f t="shared" si="444"/>
        <v>44.669998</v>
      </c>
      <c r="BV445" s="49">
        <f t="shared" si="468"/>
        <v>0</v>
      </c>
      <c r="BW445" s="18">
        <f t="shared" si="469"/>
        <v>2821</v>
      </c>
      <c r="BX445" s="19">
        <f t="shared" si="499"/>
        <v>0.35298165137614679</v>
      </c>
      <c r="BY445" s="49">
        <f t="shared" si="500"/>
        <v>0</v>
      </c>
      <c r="BZ445" s="19">
        <f t="shared" si="470"/>
        <v>0</v>
      </c>
      <c r="CA445" s="19">
        <f t="shared" si="471"/>
        <v>0</v>
      </c>
      <c r="CB445" s="19">
        <f t="shared" si="472"/>
        <v>0</v>
      </c>
      <c r="CC445" s="19">
        <f t="shared" si="473"/>
        <v>0</v>
      </c>
      <c r="CD445" s="19">
        <f t="shared" si="474"/>
        <v>0</v>
      </c>
      <c r="CE445" s="19">
        <f t="shared" si="475"/>
        <v>0</v>
      </c>
      <c r="CF445" s="49">
        <f t="shared" si="476"/>
        <v>0</v>
      </c>
      <c r="CG445" s="49">
        <f t="shared" si="477"/>
        <v>0</v>
      </c>
      <c r="CH445" s="49">
        <f t="shared" si="478"/>
        <v>0</v>
      </c>
      <c r="CI445" s="49">
        <f t="shared" si="479"/>
        <v>0</v>
      </c>
      <c r="CJ445" s="49">
        <f t="shared" si="480"/>
        <v>0</v>
      </c>
      <c r="CK445" s="49">
        <f t="shared" si="481"/>
        <v>0</v>
      </c>
    </row>
    <row r="446" spans="2:89" ht="12.75" customHeight="1" x14ac:dyDescent="0.2">
      <c r="B446" s="77">
        <v>42121</v>
      </c>
      <c r="C446" s="79">
        <v>108.900002</v>
      </c>
      <c r="D446" s="79">
        <v>85.580001999999993</v>
      </c>
      <c r="E446" s="79">
        <v>92.589995999999999</v>
      </c>
      <c r="F446" s="79">
        <v>108.739998</v>
      </c>
      <c r="G446" s="79">
        <v>41.720001000000003</v>
      </c>
      <c r="H446" s="79">
        <v>44.16</v>
      </c>
      <c r="I446" s="79"/>
      <c r="J446" s="78">
        <f>IF(inter=Weekly_2,J445+$C$5,IF(inter=Bi_weekly_2,J444+$C$5,IF(inter=Monthly_2,J442+$C$5,IF(inter=Quarterly_2,0,IF(inter=Yearly_2,0,IF(inter=None_2,0,0))))))</f>
        <v>141200</v>
      </c>
      <c r="K446" s="79">
        <f t="shared" si="482"/>
        <v>163.35491537093185</v>
      </c>
      <c r="L446" s="79">
        <f t="shared" si="483"/>
        <v>150.0999539848217</v>
      </c>
      <c r="M446" s="79">
        <f t="shared" si="484"/>
        <v>-16.326519564030605</v>
      </c>
      <c r="N446" s="79">
        <f t="shared" si="485"/>
        <v>-78.969851525976992</v>
      </c>
      <c r="O446" s="79">
        <f t="shared" si="486"/>
        <v>458.54929692998121</v>
      </c>
      <c r="P446" s="79">
        <f t="shared" si="487"/>
        <v>220.14705882352791</v>
      </c>
      <c r="Q446" s="79"/>
      <c r="R446" s="80">
        <f t="shared" si="445"/>
        <v>-1.5000451090068101</v>
      </c>
      <c r="S446" s="80">
        <f t="shared" si="446"/>
        <v>-1.7539138873217333</v>
      </c>
      <c r="T446" s="80">
        <f t="shared" si="447"/>
        <v>0.17633135618701837</v>
      </c>
      <c r="U446" s="80">
        <f t="shared" si="448"/>
        <v>0.72622634705195588</v>
      </c>
      <c r="V446" s="80">
        <f t="shared" si="449"/>
        <v>-10.991114236310329</v>
      </c>
      <c r="W446" s="80">
        <f t="shared" si="450"/>
        <v>-4.9852141943733681</v>
      </c>
      <c r="X446" s="80">
        <f t="shared" si="501"/>
        <v>453.81082729456699</v>
      </c>
      <c r="Y446" s="80">
        <f t="shared" si="502"/>
        <v>164.99181666296292</v>
      </c>
      <c r="Z446" s="80">
        <f t="shared" si="503"/>
        <v>122.00022127660532</v>
      </c>
      <c r="AA446" s="80">
        <f t="shared" si="504"/>
        <v>90.895716220263338</v>
      </c>
      <c r="AB446" s="80">
        <f t="shared" si="505"/>
        <v>846.11694999719668</v>
      </c>
      <c r="AC446" s="80">
        <f t="shared" si="506"/>
        <v>479.61956521739131</v>
      </c>
      <c r="AD446" s="80"/>
      <c r="AE446" s="80"/>
      <c r="AF446" s="80"/>
      <c r="AG446" s="80"/>
      <c r="AH446" s="80"/>
      <c r="AI446" s="80"/>
      <c r="AJ446" s="45">
        <f t="shared" si="451"/>
        <v>0</v>
      </c>
      <c r="AK446" s="45">
        <f t="shared" si="452"/>
        <v>0</v>
      </c>
      <c r="AL446" s="45">
        <f t="shared" si="453"/>
        <v>0</v>
      </c>
      <c r="AM446" s="45">
        <f t="shared" si="454"/>
        <v>0</v>
      </c>
      <c r="AN446" s="45">
        <f t="shared" si="455"/>
        <v>0</v>
      </c>
      <c r="AO446" s="45">
        <f t="shared" si="456"/>
        <v>0</v>
      </c>
      <c r="AP446" s="80">
        <f t="shared" si="457"/>
        <v>0</v>
      </c>
      <c r="AQ446" s="80">
        <f t="shared" si="458"/>
        <v>0</v>
      </c>
      <c r="AR446" s="80">
        <f t="shared" si="459"/>
        <v>0</v>
      </c>
      <c r="AS446" s="80">
        <f t="shared" si="460"/>
        <v>0</v>
      </c>
      <c r="AT446" s="80">
        <f t="shared" si="461"/>
        <v>0</v>
      </c>
      <c r="AU446" s="80">
        <f t="shared" si="462"/>
        <v>0</v>
      </c>
      <c r="AV446" s="80">
        <f t="shared" si="507"/>
        <v>60.029441038937236</v>
      </c>
      <c r="AW446" s="80">
        <f t="shared" si="508"/>
        <v>28.509346850070866</v>
      </c>
      <c r="AX446" s="80">
        <f t="shared" si="509"/>
        <v>17.365467362987705</v>
      </c>
      <c r="AY446" s="80">
        <f t="shared" si="510"/>
        <v>13.761112621092227</v>
      </c>
      <c r="AZ446" s="80">
        <f t="shared" si="511"/>
        <v>139.40537455732718</v>
      </c>
      <c r="BA446" s="80">
        <f t="shared" si="512"/>
        <v>61.634144699264681</v>
      </c>
      <c r="BB446" s="80">
        <f t="shared" si="488"/>
        <v>513.84026833350424</v>
      </c>
      <c r="BC446" s="80">
        <f t="shared" si="489"/>
        <v>193.50116351303379</v>
      </c>
      <c r="BD446" s="80">
        <f t="shared" si="490"/>
        <v>139.36568863959303</v>
      </c>
      <c r="BE446" s="80">
        <f t="shared" si="491"/>
        <v>104.65682884135556</v>
      </c>
      <c r="BF446" s="80">
        <f t="shared" si="492"/>
        <v>985.52232455452383</v>
      </c>
      <c r="BG446" s="80">
        <f t="shared" si="493"/>
        <v>541.25370991665602</v>
      </c>
      <c r="BH446" s="49">
        <f t="shared" si="494"/>
        <v>0</v>
      </c>
      <c r="BI446" s="79">
        <f t="shared" si="495"/>
        <v>-87181.02551988393</v>
      </c>
      <c r="BJ446" s="79">
        <f t="shared" si="463"/>
        <v>141200</v>
      </c>
      <c r="BK446" s="44">
        <f t="shared" si="496"/>
        <v>0.61961847957151672</v>
      </c>
      <c r="BL446" s="79">
        <f t="shared" si="513"/>
        <v>15175.842118210237</v>
      </c>
      <c r="BM446" s="49">
        <f t="shared" si="497"/>
        <v>156375.84211821025</v>
      </c>
      <c r="BN446" s="44">
        <f t="shared" si="498"/>
        <v>0.79369124400291224</v>
      </c>
      <c r="BO446" s="49">
        <f t="shared" si="464"/>
        <v>20619.044318076005</v>
      </c>
      <c r="BP446" s="49">
        <f t="shared" si="465"/>
        <v>161819.04431807602</v>
      </c>
      <c r="BQ446" s="44">
        <f t="shared" si="466"/>
        <v>0.85612687340055338</v>
      </c>
      <c r="BS446" s="49">
        <f t="shared" si="467"/>
        <v>87181.02551988393</v>
      </c>
      <c r="BT446" s="49">
        <f t="shared" si="443"/>
        <v>108.900002</v>
      </c>
      <c r="BU446" s="49">
        <f t="shared" si="444"/>
        <v>44.16</v>
      </c>
      <c r="BV446" s="49">
        <f t="shared" si="468"/>
        <v>-896.85485401925507</v>
      </c>
      <c r="BW446" s="18">
        <f t="shared" si="469"/>
        <v>2828</v>
      </c>
      <c r="BX446" s="19">
        <f t="shared" si="499"/>
        <v>0.35137614678899082</v>
      </c>
      <c r="BY446" s="49">
        <f t="shared" si="500"/>
        <v>-315.13340283428869</v>
      </c>
      <c r="BZ446" s="19">
        <f t="shared" si="470"/>
        <v>0</v>
      </c>
      <c r="CA446" s="19">
        <f t="shared" si="471"/>
        <v>0</v>
      </c>
      <c r="CB446" s="19">
        <f t="shared" si="472"/>
        <v>0.17633135618701837</v>
      </c>
      <c r="CC446" s="19">
        <f t="shared" si="473"/>
        <v>0.72622634705195588</v>
      </c>
      <c r="CD446" s="19">
        <f t="shared" si="474"/>
        <v>0</v>
      </c>
      <c r="CE446" s="19">
        <f t="shared" si="475"/>
        <v>0</v>
      </c>
      <c r="CF446" s="49">
        <f t="shared" si="476"/>
        <v>0</v>
      </c>
      <c r="CG446" s="49">
        <f t="shared" si="477"/>
        <v>0</v>
      </c>
      <c r="CH446" s="49">
        <f t="shared" si="478"/>
        <v>-16.326519564030605</v>
      </c>
      <c r="CI446" s="49">
        <f t="shared" si="479"/>
        <v>-78.969851525976992</v>
      </c>
      <c r="CJ446" s="49">
        <f t="shared" si="480"/>
        <v>0</v>
      </c>
      <c r="CK446" s="49">
        <f t="shared" si="481"/>
        <v>0</v>
      </c>
    </row>
    <row r="447" spans="2:89" ht="12.75" customHeight="1" x14ac:dyDescent="0.2">
      <c r="B447" s="77">
        <v>42128</v>
      </c>
      <c r="C447" s="79">
        <v>109.449997</v>
      </c>
      <c r="D447" s="79">
        <v>86.080001999999993</v>
      </c>
      <c r="E447" s="79">
        <v>92.870002999999997</v>
      </c>
      <c r="F447" s="79">
        <v>108.800003</v>
      </c>
      <c r="G447" s="79">
        <v>41.970001000000003</v>
      </c>
      <c r="H447" s="79">
        <v>43.939999</v>
      </c>
      <c r="I447" s="79"/>
      <c r="J447" s="78">
        <f>IF(inter=Weekly_2,J446+$C$5,IF(inter=Bi_weekly_2,0,IF(inter=Monthly_2,0,IF(inter=Quarterly_2,0,IF(inter=Yearly_2,0,IF(inter=None_2,0,0))))))</f>
        <v>0</v>
      </c>
      <c r="K447" s="79">
        <f t="shared" si="482"/>
        <v>0</v>
      </c>
      <c r="L447" s="79">
        <f t="shared" si="483"/>
        <v>0</v>
      </c>
      <c r="M447" s="79">
        <f t="shared" si="484"/>
        <v>0</v>
      </c>
      <c r="N447" s="79">
        <f t="shared" si="485"/>
        <v>0</v>
      </c>
      <c r="O447" s="79">
        <f t="shared" si="486"/>
        <v>0</v>
      </c>
      <c r="P447" s="79">
        <f t="shared" si="487"/>
        <v>0</v>
      </c>
      <c r="Q447" s="79"/>
      <c r="R447" s="80">
        <f t="shared" si="445"/>
        <v>0</v>
      </c>
      <c r="S447" s="80">
        <f t="shared" si="446"/>
        <v>0</v>
      </c>
      <c r="T447" s="80">
        <f t="shared" si="447"/>
        <v>0</v>
      </c>
      <c r="U447" s="80">
        <f t="shared" si="448"/>
        <v>0</v>
      </c>
      <c r="V447" s="80">
        <f t="shared" si="449"/>
        <v>0</v>
      </c>
      <c r="W447" s="80">
        <f t="shared" si="450"/>
        <v>0</v>
      </c>
      <c r="X447" s="80">
        <f t="shared" si="501"/>
        <v>453.81082729456699</v>
      </c>
      <c r="Y447" s="80">
        <f t="shared" si="502"/>
        <v>164.99181666296292</v>
      </c>
      <c r="Z447" s="80">
        <f t="shared" si="503"/>
        <v>122.00022127660532</v>
      </c>
      <c r="AA447" s="80">
        <f t="shared" si="504"/>
        <v>90.895716220263338</v>
      </c>
      <c r="AB447" s="80">
        <f t="shared" si="505"/>
        <v>846.11694999719668</v>
      </c>
      <c r="AC447" s="80">
        <f t="shared" si="506"/>
        <v>479.61956521739131</v>
      </c>
      <c r="AD447" s="80"/>
      <c r="AE447" s="80"/>
      <c r="AF447" s="80"/>
      <c r="AG447" s="80"/>
      <c r="AH447" s="80"/>
      <c r="AI447" s="80"/>
      <c r="AJ447" s="45">
        <f t="shared" si="451"/>
        <v>0</v>
      </c>
      <c r="AK447" s="45">
        <f t="shared" si="452"/>
        <v>0</v>
      </c>
      <c r="AL447" s="45">
        <f t="shared" si="453"/>
        <v>0</v>
      </c>
      <c r="AM447" s="45">
        <f t="shared" si="454"/>
        <v>0</v>
      </c>
      <c r="AN447" s="45">
        <f t="shared" si="455"/>
        <v>0</v>
      </c>
      <c r="AO447" s="45">
        <f t="shared" si="456"/>
        <v>0</v>
      </c>
      <c r="AP447" s="80">
        <f t="shared" si="457"/>
        <v>0</v>
      </c>
      <c r="AQ447" s="80">
        <f t="shared" si="458"/>
        <v>0</v>
      </c>
      <c r="AR447" s="80">
        <f t="shared" si="459"/>
        <v>0</v>
      </c>
      <c r="AS447" s="80">
        <f t="shared" si="460"/>
        <v>0</v>
      </c>
      <c r="AT447" s="80">
        <f t="shared" si="461"/>
        <v>0</v>
      </c>
      <c r="AU447" s="80">
        <f t="shared" si="462"/>
        <v>0</v>
      </c>
      <c r="AV447" s="80">
        <f t="shared" si="507"/>
        <v>60.029441038937236</v>
      </c>
      <c r="AW447" s="80">
        <f t="shared" si="508"/>
        <v>28.509346850070866</v>
      </c>
      <c r="AX447" s="80">
        <f t="shared" si="509"/>
        <v>17.365467362987705</v>
      </c>
      <c r="AY447" s="80">
        <f t="shared" si="510"/>
        <v>13.761112621092227</v>
      </c>
      <c r="AZ447" s="80">
        <f t="shared" si="511"/>
        <v>139.40537455732718</v>
      </c>
      <c r="BA447" s="80">
        <f t="shared" si="512"/>
        <v>61.634144699264681</v>
      </c>
      <c r="BB447" s="80">
        <f t="shared" si="488"/>
        <v>513.84026833350424</v>
      </c>
      <c r="BC447" s="80">
        <f t="shared" si="489"/>
        <v>193.50116351303379</v>
      </c>
      <c r="BD447" s="80">
        <f t="shared" si="490"/>
        <v>139.36568863959303</v>
      </c>
      <c r="BE447" s="80">
        <f t="shared" si="491"/>
        <v>104.65682884135556</v>
      </c>
      <c r="BF447" s="80">
        <f t="shared" si="492"/>
        <v>985.52232455452383</v>
      </c>
      <c r="BG447" s="80">
        <f t="shared" si="493"/>
        <v>541.25370991665602</v>
      </c>
      <c r="BH447" s="49">
        <f t="shared" si="494"/>
        <v>0</v>
      </c>
      <c r="BI447" s="79">
        <f t="shared" si="495"/>
        <v>-87181.02551988393</v>
      </c>
      <c r="BJ447" s="79">
        <f t="shared" si="463"/>
        <v>141677.71716123205</v>
      </c>
      <c r="BK447" s="44">
        <f t="shared" si="496"/>
        <v>0.62509807972973097</v>
      </c>
      <c r="BL447" s="79">
        <f t="shared" si="513"/>
        <v>15175.842118210237</v>
      </c>
      <c r="BM447" s="49">
        <f t="shared" si="497"/>
        <v>156853.5592794423</v>
      </c>
      <c r="BN447" s="44">
        <f t="shared" si="498"/>
        <v>0.79917084416112671</v>
      </c>
      <c r="BO447" s="49">
        <f t="shared" si="464"/>
        <v>20693.294842079336</v>
      </c>
      <c r="BP447" s="49">
        <f t="shared" si="465"/>
        <v>162371.01200331139</v>
      </c>
      <c r="BQ447" s="44">
        <f t="shared" si="466"/>
        <v>0.86245815571736317</v>
      </c>
      <c r="BS447" s="49">
        <f t="shared" si="467"/>
        <v>87181.02551988393</v>
      </c>
      <c r="BT447" s="49">
        <f t="shared" si="443"/>
        <v>109.449997</v>
      </c>
      <c r="BU447" s="49">
        <f t="shared" si="444"/>
        <v>43.939999</v>
      </c>
      <c r="BV447" s="49">
        <f t="shared" si="468"/>
        <v>0</v>
      </c>
      <c r="BW447" s="18">
        <f t="shared" si="469"/>
        <v>2835</v>
      </c>
      <c r="BX447" s="19">
        <f t="shared" si="499"/>
        <v>0.34977064220183485</v>
      </c>
      <c r="BY447" s="49">
        <f t="shared" si="500"/>
        <v>0</v>
      </c>
      <c r="BZ447" s="19">
        <f t="shared" si="470"/>
        <v>0</v>
      </c>
      <c r="CA447" s="19">
        <f t="shared" si="471"/>
        <v>0</v>
      </c>
      <c r="CB447" s="19">
        <f t="shared" si="472"/>
        <v>0</v>
      </c>
      <c r="CC447" s="19">
        <f t="shared" si="473"/>
        <v>0</v>
      </c>
      <c r="CD447" s="19">
        <f t="shared" si="474"/>
        <v>0</v>
      </c>
      <c r="CE447" s="19">
        <f t="shared" si="475"/>
        <v>0</v>
      </c>
      <c r="CF447" s="49">
        <f t="shared" si="476"/>
        <v>0</v>
      </c>
      <c r="CG447" s="49">
        <f t="shared" si="477"/>
        <v>0</v>
      </c>
      <c r="CH447" s="49">
        <f t="shared" si="478"/>
        <v>0</v>
      </c>
      <c r="CI447" s="49">
        <f t="shared" si="479"/>
        <v>0</v>
      </c>
      <c r="CJ447" s="49">
        <f t="shared" si="480"/>
        <v>0</v>
      </c>
      <c r="CK447" s="49">
        <f t="shared" si="481"/>
        <v>0</v>
      </c>
    </row>
    <row r="448" spans="2:89" ht="12.75" customHeight="1" x14ac:dyDescent="0.2">
      <c r="B448" s="77">
        <v>42135</v>
      </c>
      <c r="C448" s="79">
        <v>109.94000200000001</v>
      </c>
      <c r="D448" s="79">
        <v>86.290001000000004</v>
      </c>
      <c r="E448" s="79">
        <v>93.269997000000004</v>
      </c>
      <c r="F448" s="79">
        <v>109.82</v>
      </c>
      <c r="G448" s="79">
        <v>42.450001</v>
      </c>
      <c r="H448" s="79">
        <v>44.369999</v>
      </c>
      <c r="I448" s="79"/>
      <c r="J448" s="78">
        <f>IF(inter=Weekly_2,J447+$C$5,IF(inter=Bi_weekly_2,J446+$C$5,IF(inter=Monthly_2,0,IF(inter=Quarterly_2,0,IF(inter=Yearly_2,0,IF(inter=None_2,0,0))))))</f>
        <v>141800</v>
      </c>
      <c r="K448" s="79">
        <f t="shared" si="482"/>
        <v>261.96326038635016</v>
      </c>
      <c r="L448" s="79">
        <f t="shared" si="483"/>
        <v>57.144024838888072</v>
      </c>
      <c r="M448" s="79">
        <f t="shared" si="484"/>
        <v>34.960272468313633</v>
      </c>
      <c r="N448" s="79">
        <f t="shared" si="485"/>
        <v>56.167555309317322</v>
      </c>
      <c r="O448" s="79">
        <f t="shared" si="486"/>
        <v>467.66537349794817</v>
      </c>
      <c r="P448" s="79">
        <f t="shared" si="487"/>
        <v>10.719629076087585</v>
      </c>
      <c r="Q448" s="79"/>
      <c r="R448" s="80">
        <f t="shared" si="445"/>
        <v>-2.3827838422847232</v>
      </c>
      <c r="S448" s="80">
        <f t="shared" si="446"/>
        <v>-0.66223228852307081</v>
      </c>
      <c r="T448" s="80">
        <f t="shared" si="447"/>
        <v>-0.37482870797469447</v>
      </c>
      <c r="U448" s="80">
        <f t="shared" si="448"/>
        <v>-0.51145105909048738</v>
      </c>
      <c r="V448" s="80">
        <f t="shared" si="449"/>
        <v>-11.016851884124765</v>
      </c>
      <c r="W448" s="80">
        <f t="shared" si="450"/>
        <v>-0.24159633350651158</v>
      </c>
      <c r="X448" s="80">
        <f t="shared" si="501"/>
        <v>451.42804345228228</v>
      </c>
      <c r="Y448" s="80">
        <f t="shared" si="502"/>
        <v>164.32958437443986</v>
      </c>
      <c r="Z448" s="80">
        <f t="shared" si="503"/>
        <v>121.62539256863062</v>
      </c>
      <c r="AA448" s="80">
        <f t="shared" si="504"/>
        <v>90.384265161172848</v>
      </c>
      <c r="AB448" s="80">
        <f t="shared" si="505"/>
        <v>835.10009811307191</v>
      </c>
      <c r="AC448" s="80">
        <f t="shared" si="506"/>
        <v>479.37796888388482</v>
      </c>
      <c r="AD448" s="80"/>
      <c r="AE448" s="80"/>
      <c r="AF448" s="80"/>
      <c r="AG448" s="80"/>
      <c r="AH448" s="80"/>
      <c r="AI448" s="80"/>
      <c r="AJ448" s="45">
        <f t="shared" si="451"/>
        <v>0</v>
      </c>
      <c r="AK448" s="45">
        <f t="shared" si="452"/>
        <v>0</v>
      </c>
      <c r="AL448" s="45">
        <f t="shared" si="453"/>
        <v>0</v>
      </c>
      <c r="AM448" s="45">
        <f t="shared" si="454"/>
        <v>0</v>
      </c>
      <c r="AN448" s="45">
        <f t="shared" si="455"/>
        <v>0</v>
      </c>
      <c r="AO448" s="45">
        <f t="shared" si="456"/>
        <v>0</v>
      </c>
      <c r="AP448" s="80">
        <f t="shared" si="457"/>
        <v>0</v>
      </c>
      <c r="AQ448" s="80">
        <f t="shared" si="458"/>
        <v>0</v>
      </c>
      <c r="AR448" s="80">
        <f t="shared" si="459"/>
        <v>0</v>
      </c>
      <c r="AS448" s="80">
        <f t="shared" si="460"/>
        <v>0</v>
      </c>
      <c r="AT448" s="80">
        <f t="shared" si="461"/>
        <v>0</v>
      </c>
      <c r="AU448" s="80">
        <f t="shared" si="462"/>
        <v>0</v>
      </c>
      <c r="AV448" s="80">
        <f t="shared" si="507"/>
        <v>60.029441038937236</v>
      </c>
      <c r="AW448" s="80">
        <f t="shared" si="508"/>
        <v>28.509346850070866</v>
      </c>
      <c r="AX448" s="80">
        <f t="shared" si="509"/>
        <v>17.365467362987705</v>
      </c>
      <c r="AY448" s="80">
        <f t="shared" si="510"/>
        <v>13.761112621092227</v>
      </c>
      <c r="AZ448" s="80">
        <f t="shared" si="511"/>
        <v>139.40537455732718</v>
      </c>
      <c r="BA448" s="80">
        <f t="shared" si="512"/>
        <v>61.634144699264681</v>
      </c>
      <c r="BB448" s="80">
        <f t="shared" si="488"/>
        <v>511.45748449121953</v>
      </c>
      <c r="BC448" s="80">
        <f t="shared" si="489"/>
        <v>192.83893122451073</v>
      </c>
      <c r="BD448" s="80">
        <f t="shared" si="490"/>
        <v>138.99085993161833</v>
      </c>
      <c r="BE448" s="80">
        <f t="shared" si="491"/>
        <v>104.14537778226507</v>
      </c>
      <c r="BF448" s="80">
        <f t="shared" si="492"/>
        <v>974.50547267039906</v>
      </c>
      <c r="BG448" s="80">
        <f t="shared" si="493"/>
        <v>541.01211358314947</v>
      </c>
      <c r="BH448" s="49">
        <f t="shared" si="494"/>
        <v>0</v>
      </c>
      <c r="BI448" s="79">
        <f t="shared" si="495"/>
        <v>-86292.405404307021</v>
      </c>
      <c r="BJ448" s="79">
        <f t="shared" si="463"/>
        <v>141800</v>
      </c>
      <c r="BK448" s="44">
        <f t="shared" si="496"/>
        <v>0.64325005584932371</v>
      </c>
      <c r="BL448" s="79">
        <f t="shared" si="513"/>
        <v>15175.842118210237</v>
      </c>
      <c r="BM448" s="49">
        <f t="shared" si="497"/>
        <v>156975.84211821025</v>
      </c>
      <c r="BN448" s="44">
        <f t="shared" si="498"/>
        <v>0.8191153831293625</v>
      </c>
      <c r="BO448" s="49">
        <f t="shared" si="464"/>
        <v>20843.096141015558</v>
      </c>
      <c r="BP448" s="49">
        <f t="shared" si="465"/>
        <v>162643.09614101556</v>
      </c>
      <c r="BQ448" s="44">
        <f t="shared" si="466"/>
        <v>0.88479038658131692</v>
      </c>
      <c r="BS448" s="49">
        <f t="shared" si="467"/>
        <v>86292.405404307021</v>
      </c>
      <c r="BT448" s="49">
        <f t="shared" si="443"/>
        <v>109.94000200000001</v>
      </c>
      <c r="BU448" s="49">
        <f t="shared" si="444"/>
        <v>44.369999</v>
      </c>
      <c r="BV448" s="49">
        <f t="shared" si="468"/>
        <v>-888.62011557690494</v>
      </c>
      <c r="BW448" s="18">
        <f t="shared" si="469"/>
        <v>2842</v>
      </c>
      <c r="BX448" s="19">
        <f t="shared" si="499"/>
        <v>0.34816513761467888</v>
      </c>
      <c r="BY448" s="49">
        <f t="shared" si="500"/>
        <v>-309.38654482700497</v>
      </c>
      <c r="BZ448" s="19">
        <f t="shared" si="470"/>
        <v>0</v>
      </c>
      <c r="CA448" s="19">
        <f t="shared" si="471"/>
        <v>0</v>
      </c>
      <c r="CB448" s="19">
        <f t="shared" si="472"/>
        <v>0</v>
      </c>
      <c r="CC448" s="19">
        <f t="shared" si="473"/>
        <v>0</v>
      </c>
      <c r="CD448" s="19">
        <f t="shared" si="474"/>
        <v>0</v>
      </c>
      <c r="CE448" s="19">
        <f t="shared" si="475"/>
        <v>0</v>
      </c>
      <c r="CF448" s="49">
        <f t="shared" si="476"/>
        <v>0</v>
      </c>
      <c r="CG448" s="49">
        <f t="shared" si="477"/>
        <v>0</v>
      </c>
      <c r="CH448" s="49">
        <f t="shared" si="478"/>
        <v>0</v>
      </c>
      <c r="CI448" s="49">
        <f t="shared" si="479"/>
        <v>0</v>
      </c>
      <c r="CJ448" s="49">
        <f t="shared" si="480"/>
        <v>0</v>
      </c>
      <c r="CK448" s="49">
        <f t="shared" si="481"/>
        <v>0</v>
      </c>
    </row>
    <row r="449" spans="2:89" ht="12.75" customHeight="1" x14ac:dyDescent="0.2">
      <c r="B449" s="77">
        <v>42142</v>
      </c>
      <c r="C449" s="79">
        <v>110.300003</v>
      </c>
      <c r="D449" s="79">
        <v>86.349997999999999</v>
      </c>
      <c r="E449" s="79">
        <v>93.650002000000001</v>
      </c>
      <c r="F449" s="79">
        <v>110.349998</v>
      </c>
      <c r="G449" s="79">
        <v>42.200001</v>
      </c>
      <c r="H449" s="79">
        <v>43.959999000000003</v>
      </c>
      <c r="I449" s="79"/>
      <c r="J449" s="78">
        <f>IF(inter=Weekly_2,J448+$C$5,IF(inter=Bi_weekly_2,0,IF(inter=Monthly_2,0,IF(inter=Quarterly_2,0,IF(inter=Yearly_2,0,IF(inter=None_2,0,0))))))</f>
        <v>0</v>
      </c>
      <c r="K449" s="79">
        <f t="shared" si="482"/>
        <v>0</v>
      </c>
      <c r="L449" s="79">
        <f t="shared" si="483"/>
        <v>0</v>
      </c>
      <c r="M449" s="79">
        <f t="shared" si="484"/>
        <v>0</v>
      </c>
      <c r="N449" s="79">
        <f t="shared" si="485"/>
        <v>0</v>
      </c>
      <c r="O449" s="79">
        <f t="shared" si="486"/>
        <v>0</v>
      </c>
      <c r="P449" s="79">
        <f t="shared" si="487"/>
        <v>0</v>
      </c>
      <c r="Q449" s="79"/>
      <c r="R449" s="80">
        <f t="shared" si="445"/>
        <v>0</v>
      </c>
      <c r="S449" s="80">
        <f t="shared" si="446"/>
        <v>0</v>
      </c>
      <c r="T449" s="80">
        <f t="shared" si="447"/>
        <v>0</v>
      </c>
      <c r="U449" s="80">
        <f t="shared" si="448"/>
        <v>0</v>
      </c>
      <c r="V449" s="80">
        <f t="shared" si="449"/>
        <v>0</v>
      </c>
      <c r="W449" s="80">
        <f t="shared" si="450"/>
        <v>0</v>
      </c>
      <c r="X449" s="80">
        <f t="shared" si="501"/>
        <v>451.42804345228228</v>
      </c>
      <c r="Y449" s="80">
        <f t="shared" si="502"/>
        <v>164.32958437443986</v>
      </c>
      <c r="Z449" s="80">
        <f t="shared" si="503"/>
        <v>121.62539256863062</v>
      </c>
      <c r="AA449" s="80">
        <f t="shared" si="504"/>
        <v>90.384265161172848</v>
      </c>
      <c r="AB449" s="80">
        <f t="shared" si="505"/>
        <v>835.10009811307191</v>
      </c>
      <c r="AC449" s="80">
        <f t="shared" si="506"/>
        <v>479.37796888388482</v>
      </c>
      <c r="AD449" s="80"/>
      <c r="AE449" s="80"/>
      <c r="AF449" s="80"/>
      <c r="AG449" s="80"/>
      <c r="AH449" s="80"/>
      <c r="AI449" s="80"/>
      <c r="AJ449" s="45">
        <f t="shared" si="451"/>
        <v>0</v>
      </c>
      <c r="AK449" s="45">
        <f t="shared" si="452"/>
        <v>0</v>
      </c>
      <c r="AL449" s="45">
        <f t="shared" si="453"/>
        <v>0</v>
      </c>
      <c r="AM449" s="45">
        <f t="shared" si="454"/>
        <v>0</v>
      </c>
      <c r="AN449" s="45">
        <f t="shared" si="455"/>
        <v>0</v>
      </c>
      <c r="AO449" s="45">
        <f t="shared" si="456"/>
        <v>0</v>
      </c>
      <c r="AP449" s="80">
        <f t="shared" si="457"/>
        <v>0</v>
      </c>
      <c r="AQ449" s="80">
        <f t="shared" si="458"/>
        <v>0</v>
      </c>
      <c r="AR449" s="80">
        <f t="shared" si="459"/>
        <v>0</v>
      </c>
      <c r="AS449" s="80">
        <f t="shared" si="460"/>
        <v>0</v>
      </c>
      <c r="AT449" s="80">
        <f t="shared" si="461"/>
        <v>0</v>
      </c>
      <c r="AU449" s="80">
        <f t="shared" si="462"/>
        <v>0</v>
      </c>
      <c r="AV449" s="80">
        <f t="shared" si="507"/>
        <v>60.029441038937236</v>
      </c>
      <c r="AW449" s="80">
        <f t="shared" si="508"/>
        <v>28.509346850070866</v>
      </c>
      <c r="AX449" s="80">
        <f t="shared" si="509"/>
        <v>17.365467362987705</v>
      </c>
      <c r="AY449" s="80">
        <f t="shared" si="510"/>
        <v>13.761112621092227</v>
      </c>
      <c r="AZ449" s="80">
        <f t="shared" si="511"/>
        <v>139.40537455732718</v>
      </c>
      <c r="BA449" s="80">
        <f t="shared" si="512"/>
        <v>61.634144699264681</v>
      </c>
      <c r="BB449" s="80">
        <f t="shared" si="488"/>
        <v>511.45748449121953</v>
      </c>
      <c r="BC449" s="80">
        <f t="shared" si="489"/>
        <v>192.83893122451073</v>
      </c>
      <c r="BD449" s="80">
        <f t="shared" si="490"/>
        <v>138.99085993161833</v>
      </c>
      <c r="BE449" s="80">
        <f t="shared" si="491"/>
        <v>104.14537778226507</v>
      </c>
      <c r="BF449" s="80">
        <f t="shared" si="492"/>
        <v>974.50547267039906</v>
      </c>
      <c r="BG449" s="80">
        <f t="shared" si="493"/>
        <v>541.01211358314947</v>
      </c>
      <c r="BH449" s="49">
        <f t="shared" si="494"/>
        <v>0</v>
      </c>
      <c r="BI449" s="79">
        <f t="shared" si="495"/>
        <v>-86292.405404307021</v>
      </c>
      <c r="BJ449" s="79">
        <f t="shared" si="463"/>
        <v>141661.17557444386</v>
      </c>
      <c r="BK449" s="44">
        <f t="shared" si="496"/>
        <v>0.64164128825377809</v>
      </c>
      <c r="BL449" s="79">
        <f t="shared" si="513"/>
        <v>15175.842118210237</v>
      </c>
      <c r="BM449" s="49">
        <f t="shared" si="497"/>
        <v>156837.0176926541</v>
      </c>
      <c r="BN449" s="44">
        <f t="shared" si="498"/>
        <v>0.81750661553381687</v>
      </c>
      <c r="BO449" s="49">
        <f t="shared" si="464"/>
        <v>20820.188258728173</v>
      </c>
      <c r="BP449" s="49">
        <f t="shared" si="465"/>
        <v>162481.36383317201</v>
      </c>
      <c r="BQ449" s="44">
        <f t="shared" si="466"/>
        <v>0.88291615086977582</v>
      </c>
      <c r="BS449" s="49">
        <f t="shared" si="467"/>
        <v>86292.405404307021</v>
      </c>
      <c r="BT449" s="49">
        <f t="shared" si="443"/>
        <v>110.300003</v>
      </c>
      <c r="BU449" s="49">
        <f t="shared" si="444"/>
        <v>43.959999000000003</v>
      </c>
      <c r="BV449" s="49">
        <f t="shared" si="468"/>
        <v>0</v>
      </c>
      <c r="BW449" s="18">
        <f t="shared" si="469"/>
        <v>2849</v>
      </c>
      <c r="BX449" s="19">
        <f t="shared" si="499"/>
        <v>0.34655963302752296</v>
      </c>
      <c r="BY449" s="49">
        <f t="shared" si="500"/>
        <v>0</v>
      </c>
      <c r="BZ449" s="19">
        <f t="shared" si="470"/>
        <v>0</v>
      </c>
      <c r="CA449" s="19">
        <f t="shared" si="471"/>
        <v>0</v>
      </c>
      <c r="CB449" s="19">
        <f t="shared" si="472"/>
        <v>0</v>
      </c>
      <c r="CC449" s="19">
        <f t="shared" si="473"/>
        <v>0</v>
      </c>
      <c r="CD449" s="19">
        <f t="shared" si="474"/>
        <v>0</v>
      </c>
      <c r="CE449" s="19">
        <f t="shared" si="475"/>
        <v>0</v>
      </c>
      <c r="CF449" s="49">
        <f t="shared" si="476"/>
        <v>0</v>
      </c>
      <c r="CG449" s="49">
        <f t="shared" si="477"/>
        <v>0</v>
      </c>
      <c r="CH449" s="49">
        <f t="shared" si="478"/>
        <v>0</v>
      </c>
      <c r="CI449" s="49">
        <f t="shared" si="479"/>
        <v>0</v>
      </c>
      <c r="CJ449" s="49">
        <f t="shared" si="480"/>
        <v>0</v>
      </c>
      <c r="CK449" s="49">
        <f t="shared" si="481"/>
        <v>0</v>
      </c>
    </row>
    <row r="450" spans="2:89" ht="12.75" customHeight="1" x14ac:dyDescent="0.2">
      <c r="B450" s="77">
        <v>42150</v>
      </c>
      <c r="C450" s="79">
        <v>109.30999799999999</v>
      </c>
      <c r="D450" s="79">
        <v>85.769997000000004</v>
      </c>
      <c r="E450" s="79">
        <v>92.739998</v>
      </c>
      <c r="F450" s="79">
        <v>109.459999</v>
      </c>
      <c r="G450" s="79">
        <v>41.349997999999999</v>
      </c>
      <c r="H450" s="79">
        <v>42.34</v>
      </c>
      <c r="I450" s="79"/>
      <c r="J450" s="78">
        <f>IF(inter=Weekly_2,J449+$C$5,IF(inter=Bi_weekly_2,J448+$C$5,IF(inter=Monthly_2,J446+$C$5,IF(inter=Quarterly_2,0,IF(inter=Yearly_2,0,IF(inter=None_2,0,0))))))</f>
        <v>142400</v>
      </c>
      <c r="K450" s="79">
        <f t="shared" si="482"/>
        <v>-494.40147308711312</v>
      </c>
      <c r="L450" s="79">
        <f t="shared" si="483"/>
        <v>-145.45204119304617</v>
      </c>
      <c r="M450" s="79">
        <f t="shared" si="484"/>
        <v>-112.46133643598114</v>
      </c>
      <c r="N450" s="79">
        <f t="shared" si="485"/>
        <v>-74.538425842287324</v>
      </c>
      <c r="O450" s="79">
        <f t="shared" si="486"/>
        <v>-1068.6126132246718</v>
      </c>
      <c r="P450" s="79">
        <f t="shared" si="487"/>
        <v>-1063.1367974563145</v>
      </c>
      <c r="Q450" s="79"/>
      <c r="R450" s="80">
        <f t="shared" si="445"/>
        <v>4.5229300350651656</v>
      </c>
      <c r="S450" s="80">
        <f t="shared" si="446"/>
        <v>1.6958382450805747</v>
      </c>
      <c r="T450" s="80">
        <f t="shared" si="447"/>
        <v>1.2126519178486626</v>
      </c>
      <c r="U450" s="80">
        <f t="shared" si="448"/>
        <v>0.68096497828660973</v>
      </c>
      <c r="V450" s="80">
        <f t="shared" si="449"/>
        <v>25.843111606067595</v>
      </c>
      <c r="W450" s="80">
        <f t="shared" si="450"/>
        <v>25.109513402369259</v>
      </c>
      <c r="X450" s="80">
        <f t="shared" si="501"/>
        <v>455.95097348734743</v>
      </c>
      <c r="Y450" s="80">
        <f t="shared" si="502"/>
        <v>166.02542261952044</v>
      </c>
      <c r="Z450" s="80">
        <f t="shared" si="503"/>
        <v>122.83804448647928</v>
      </c>
      <c r="AA450" s="80">
        <f t="shared" si="504"/>
        <v>91.065230139459459</v>
      </c>
      <c r="AB450" s="80">
        <f t="shared" si="505"/>
        <v>860.94320971913953</v>
      </c>
      <c r="AC450" s="80">
        <f t="shared" si="506"/>
        <v>504.48748228625408</v>
      </c>
      <c r="AD450" s="80"/>
      <c r="AE450" s="80"/>
      <c r="AF450" s="80"/>
      <c r="AG450" s="80"/>
      <c r="AH450" s="80"/>
      <c r="AI450" s="80"/>
      <c r="AJ450" s="45">
        <f t="shared" si="451"/>
        <v>0</v>
      </c>
      <c r="AK450" s="45">
        <f t="shared" si="452"/>
        <v>0</v>
      </c>
      <c r="AL450" s="45">
        <f t="shared" si="453"/>
        <v>0</v>
      </c>
      <c r="AM450" s="45">
        <f t="shared" si="454"/>
        <v>0</v>
      </c>
      <c r="AN450" s="45">
        <f t="shared" si="455"/>
        <v>0</v>
      </c>
      <c r="AO450" s="45">
        <f t="shared" si="456"/>
        <v>0</v>
      </c>
      <c r="AP450" s="80">
        <f t="shared" si="457"/>
        <v>0</v>
      </c>
      <c r="AQ450" s="80">
        <f t="shared" si="458"/>
        <v>0</v>
      </c>
      <c r="AR450" s="80">
        <f t="shared" si="459"/>
        <v>0</v>
      </c>
      <c r="AS450" s="80">
        <f t="shared" si="460"/>
        <v>0</v>
      </c>
      <c r="AT450" s="80">
        <f t="shared" si="461"/>
        <v>0</v>
      </c>
      <c r="AU450" s="80">
        <f t="shared" si="462"/>
        <v>0</v>
      </c>
      <c r="AV450" s="80">
        <f t="shared" si="507"/>
        <v>60.029441038937236</v>
      </c>
      <c r="AW450" s="80">
        <f t="shared" si="508"/>
        <v>28.509346850070866</v>
      </c>
      <c r="AX450" s="80">
        <f t="shared" si="509"/>
        <v>17.365467362987705</v>
      </c>
      <c r="AY450" s="80">
        <f t="shared" si="510"/>
        <v>13.761112621092227</v>
      </c>
      <c r="AZ450" s="80">
        <f t="shared" si="511"/>
        <v>139.40537455732718</v>
      </c>
      <c r="BA450" s="80">
        <f t="shared" si="512"/>
        <v>61.634144699264681</v>
      </c>
      <c r="BB450" s="80">
        <f t="shared" si="488"/>
        <v>515.98041452628468</v>
      </c>
      <c r="BC450" s="80">
        <f t="shared" si="489"/>
        <v>194.53476946959131</v>
      </c>
      <c r="BD450" s="80">
        <f t="shared" si="490"/>
        <v>140.20351184946699</v>
      </c>
      <c r="BE450" s="80">
        <f t="shared" si="491"/>
        <v>104.82634276055168</v>
      </c>
      <c r="BF450" s="80">
        <f t="shared" si="492"/>
        <v>1000.3485842764667</v>
      </c>
      <c r="BG450" s="80">
        <f t="shared" si="493"/>
        <v>566.12162698551879</v>
      </c>
      <c r="BH450" s="49">
        <f t="shared" si="494"/>
        <v>0</v>
      </c>
      <c r="BI450" s="79">
        <f t="shared" si="495"/>
        <v>-89251.008091546435</v>
      </c>
      <c r="BJ450" s="79">
        <f t="shared" si="463"/>
        <v>142400</v>
      </c>
      <c r="BK450" s="44">
        <f t="shared" si="496"/>
        <v>0.595500185879555</v>
      </c>
      <c r="BL450" s="79">
        <f t="shared" si="513"/>
        <v>15175.842118210237</v>
      </c>
      <c r="BM450" s="49">
        <f t="shared" si="497"/>
        <v>157575.84211821025</v>
      </c>
      <c r="BN450" s="44">
        <f t="shared" si="498"/>
        <v>0.7655357120065438</v>
      </c>
      <c r="BO450" s="49">
        <f t="shared" si="464"/>
        <v>20497.831101667671</v>
      </c>
      <c r="BP450" s="49">
        <f t="shared" si="465"/>
        <v>162897.83110166769</v>
      </c>
      <c r="BQ450" s="44">
        <f t="shared" si="466"/>
        <v>0.8251651671494884</v>
      </c>
      <c r="BS450" s="49">
        <f t="shared" si="467"/>
        <v>89251.008091546435</v>
      </c>
      <c r="BT450" s="49">
        <f t="shared" si="443"/>
        <v>109.30999799999999</v>
      </c>
      <c r="BU450" s="49">
        <f t="shared" si="444"/>
        <v>42.34</v>
      </c>
      <c r="BV450" s="49">
        <f t="shared" si="468"/>
        <v>2958.6026872394141</v>
      </c>
      <c r="BW450" s="18">
        <f t="shared" si="469"/>
        <v>2857</v>
      </c>
      <c r="BX450" s="19">
        <f t="shared" si="499"/>
        <v>0.34472477064220186</v>
      </c>
      <c r="BY450" s="49">
        <f t="shared" si="500"/>
        <v>1019.9036327800092</v>
      </c>
      <c r="BZ450" s="19">
        <f t="shared" si="470"/>
        <v>4.5229300350651656</v>
      </c>
      <c r="CA450" s="19">
        <f t="shared" si="471"/>
        <v>1.6958382450805747</v>
      </c>
      <c r="CB450" s="19">
        <f t="shared" si="472"/>
        <v>1.2126519178486626</v>
      </c>
      <c r="CC450" s="19">
        <f t="shared" si="473"/>
        <v>0.68096497828660973</v>
      </c>
      <c r="CD450" s="19">
        <f t="shared" si="474"/>
        <v>25.843111606067595</v>
      </c>
      <c r="CE450" s="19">
        <f t="shared" si="475"/>
        <v>25.109513402369259</v>
      </c>
      <c r="CF450" s="49">
        <f t="shared" si="476"/>
        <v>-494.40147308711312</v>
      </c>
      <c r="CG450" s="49">
        <f t="shared" si="477"/>
        <v>-145.45204119304617</v>
      </c>
      <c r="CH450" s="49">
        <f t="shared" si="478"/>
        <v>-112.46133643598114</v>
      </c>
      <c r="CI450" s="49">
        <f t="shared" si="479"/>
        <v>-74.538425842287324</v>
      </c>
      <c r="CJ450" s="49">
        <f t="shared" si="480"/>
        <v>-1068.6126132246718</v>
      </c>
      <c r="CK450" s="49">
        <f t="shared" si="481"/>
        <v>-1063.1367974563145</v>
      </c>
    </row>
    <row r="451" spans="2:89" ht="12.75" customHeight="1" x14ac:dyDescent="0.2">
      <c r="B451" s="77">
        <v>42156</v>
      </c>
      <c r="C451" s="79">
        <v>108.910004</v>
      </c>
      <c r="D451" s="79">
        <v>84.949996999999996</v>
      </c>
      <c r="E451" s="79">
        <v>92.089995999999999</v>
      </c>
      <c r="F451" s="79">
        <v>109.58000199999999</v>
      </c>
      <c r="G451" s="79">
        <v>40.700001</v>
      </c>
      <c r="H451" s="79">
        <v>41.43</v>
      </c>
      <c r="I451" s="79"/>
      <c r="J451" s="78">
        <f>IF(inter=Weekly_2,J450+$C$5,IF(inter=Bi_weekly_2,0,IF(inter=Monthly_2,0,IF(inter=Quarterly_2,0,IF(inter=Yearly_2,0,IF(inter=None_2,0,0))))))</f>
        <v>0</v>
      </c>
      <c r="K451" s="79">
        <f t="shared" si="482"/>
        <v>0</v>
      </c>
      <c r="L451" s="79">
        <f t="shared" si="483"/>
        <v>0</v>
      </c>
      <c r="M451" s="79">
        <f t="shared" si="484"/>
        <v>0</v>
      </c>
      <c r="N451" s="79">
        <f t="shared" si="485"/>
        <v>0</v>
      </c>
      <c r="O451" s="79">
        <f t="shared" si="486"/>
        <v>0</v>
      </c>
      <c r="P451" s="79">
        <f t="shared" si="487"/>
        <v>0</v>
      </c>
      <c r="Q451" s="79"/>
      <c r="R451" s="80">
        <f t="shared" si="445"/>
        <v>0</v>
      </c>
      <c r="S451" s="80">
        <f t="shared" si="446"/>
        <v>0</v>
      </c>
      <c r="T451" s="80">
        <f t="shared" si="447"/>
        <v>0</v>
      </c>
      <c r="U451" s="80">
        <f t="shared" si="448"/>
        <v>0</v>
      </c>
      <c r="V451" s="80">
        <f t="shared" si="449"/>
        <v>0</v>
      </c>
      <c r="W451" s="80">
        <f t="shared" si="450"/>
        <v>0</v>
      </c>
      <c r="X451" s="80">
        <f t="shared" si="501"/>
        <v>455.95097348734743</v>
      </c>
      <c r="Y451" s="80">
        <f t="shared" si="502"/>
        <v>166.02542261952044</v>
      </c>
      <c r="Z451" s="80">
        <f t="shared" si="503"/>
        <v>122.83804448647928</v>
      </c>
      <c r="AA451" s="80">
        <f t="shared" si="504"/>
        <v>91.065230139459459</v>
      </c>
      <c r="AB451" s="80">
        <f t="shared" si="505"/>
        <v>860.94320971913953</v>
      </c>
      <c r="AC451" s="80">
        <f t="shared" si="506"/>
        <v>504.48748228625408</v>
      </c>
      <c r="AD451" s="80"/>
      <c r="AE451" s="80"/>
      <c r="AF451" s="80"/>
      <c r="AG451" s="80"/>
      <c r="AH451" s="80"/>
      <c r="AI451" s="80"/>
      <c r="AJ451" s="45">
        <f t="shared" si="451"/>
        <v>0</v>
      </c>
      <c r="AK451" s="45">
        <f t="shared" si="452"/>
        <v>0</v>
      </c>
      <c r="AL451" s="45">
        <f t="shared" si="453"/>
        <v>0</v>
      </c>
      <c r="AM451" s="45">
        <f t="shared" si="454"/>
        <v>0</v>
      </c>
      <c r="AN451" s="45">
        <f t="shared" si="455"/>
        <v>0</v>
      </c>
      <c r="AO451" s="45">
        <f t="shared" si="456"/>
        <v>0</v>
      </c>
      <c r="AP451" s="80">
        <f t="shared" si="457"/>
        <v>0</v>
      </c>
      <c r="AQ451" s="80">
        <f t="shared" si="458"/>
        <v>0</v>
      </c>
      <c r="AR451" s="80">
        <f t="shared" si="459"/>
        <v>0</v>
      </c>
      <c r="AS451" s="80">
        <f t="shared" si="460"/>
        <v>0</v>
      </c>
      <c r="AT451" s="80">
        <f t="shared" si="461"/>
        <v>0</v>
      </c>
      <c r="AU451" s="80">
        <f t="shared" si="462"/>
        <v>0</v>
      </c>
      <c r="AV451" s="80">
        <f t="shared" si="507"/>
        <v>60.029441038937236</v>
      </c>
      <c r="AW451" s="80">
        <f t="shared" si="508"/>
        <v>28.509346850070866</v>
      </c>
      <c r="AX451" s="80">
        <f t="shared" si="509"/>
        <v>17.365467362987705</v>
      </c>
      <c r="AY451" s="80">
        <f t="shared" si="510"/>
        <v>13.761112621092227</v>
      </c>
      <c r="AZ451" s="80">
        <f t="shared" si="511"/>
        <v>139.40537455732718</v>
      </c>
      <c r="BA451" s="80">
        <f t="shared" si="512"/>
        <v>61.634144699264681</v>
      </c>
      <c r="BB451" s="80">
        <f t="shared" si="488"/>
        <v>515.98041452628468</v>
      </c>
      <c r="BC451" s="80">
        <f t="shared" si="489"/>
        <v>194.53476946959131</v>
      </c>
      <c r="BD451" s="80">
        <f t="shared" si="490"/>
        <v>140.20351184946699</v>
      </c>
      <c r="BE451" s="80">
        <f t="shared" si="491"/>
        <v>104.82634276055168</v>
      </c>
      <c r="BF451" s="80">
        <f t="shared" si="492"/>
        <v>1000.3485842764667</v>
      </c>
      <c r="BG451" s="80">
        <f t="shared" si="493"/>
        <v>566.12162698551879</v>
      </c>
      <c r="BH451" s="49">
        <f t="shared" si="494"/>
        <v>0</v>
      </c>
      <c r="BI451" s="79">
        <f t="shared" si="495"/>
        <v>-89251.008091546435</v>
      </c>
      <c r="BJ451" s="79">
        <f t="shared" si="463"/>
        <v>140993.87051361473</v>
      </c>
      <c r="BK451" s="44">
        <f t="shared" si="496"/>
        <v>0.57974541160358295</v>
      </c>
      <c r="BL451" s="79">
        <f t="shared" si="513"/>
        <v>15175.842118210237</v>
      </c>
      <c r="BM451" s="49">
        <f t="shared" si="497"/>
        <v>156169.71263182498</v>
      </c>
      <c r="BN451" s="44">
        <f t="shared" si="498"/>
        <v>0.74978093773057197</v>
      </c>
      <c r="BO451" s="49">
        <f t="shared" si="464"/>
        <v>20294.105660370202</v>
      </c>
      <c r="BP451" s="49">
        <f t="shared" si="465"/>
        <v>161287.97617398493</v>
      </c>
      <c r="BQ451" s="44">
        <f t="shared" si="466"/>
        <v>0.80712778065821755</v>
      </c>
      <c r="BS451" s="49">
        <f t="shared" si="467"/>
        <v>89251.008091546435</v>
      </c>
      <c r="BT451" s="49">
        <f t="shared" si="443"/>
        <v>108.910004</v>
      </c>
      <c r="BU451" s="49">
        <f t="shared" si="444"/>
        <v>41.43</v>
      </c>
      <c r="BV451" s="49">
        <f t="shared" si="468"/>
        <v>0</v>
      </c>
      <c r="BW451" s="18">
        <f t="shared" si="469"/>
        <v>2863</v>
      </c>
      <c r="BX451" s="19">
        <f t="shared" si="499"/>
        <v>0.34334862385321102</v>
      </c>
      <c r="BY451" s="49">
        <f t="shared" si="500"/>
        <v>0</v>
      </c>
      <c r="BZ451" s="19">
        <f t="shared" si="470"/>
        <v>0</v>
      </c>
      <c r="CA451" s="19">
        <f t="shared" si="471"/>
        <v>0</v>
      </c>
      <c r="CB451" s="19">
        <f t="shared" si="472"/>
        <v>0</v>
      </c>
      <c r="CC451" s="19">
        <f t="shared" si="473"/>
        <v>0</v>
      </c>
      <c r="CD451" s="19">
        <f t="shared" si="474"/>
        <v>0</v>
      </c>
      <c r="CE451" s="19">
        <f t="shared" si="475"/>
        <v>0</v>
      </c>
      <c r="CF451" s="49">
        <f t="shared" si="476"/>
        <v>0</v>
      </c>
      <c r="CG451" s="49">
        <f t="shared" si="477"/>
        <v>0</v>
      </c>
      <c r="CH451" s="49">
        <f t="shared" si="478"/>
        <v>0</v>
      </c>
      <c r="CI451" s="49">
        <f t="shared" si="479"/>
        <v>0</v>
      </c>
      <c r="CJ451" s="49">
        <f t="shared" si="480"/>
        <v>0</v>
      </c>
      <c r="CK451" s="49">
        <f t="shared" si="481"/>
        <v>0</v>
      </c>
    </row>
    <row r="452" spans="2:89" ht="12.75" customHeight="1" x14ac:dyDescent="0.2">
      <c r="B452" s="77">
        <v>42163</v>
      </c>
      <c r="C452" s="79">
        <v>109.05999799999999</v>
      </c>
      <c r="D452" s="79">
        <v>85.309997999999993</v>
      </c>
      <c r="E452" s="79">
        <v>92.220000999999996</v>
      </c>
      <c r="F452" s="79">
        <v>109.94000200000001</v>
      </c>
      <c r="G452" s="79">
        <v>41.049999</v>
      </c>
      <c r="H452" s="79">
        <v>41.549999</v>
      </c>
      <c r="I452" s="79"/>
      <c r="J452" s="78">
        <f>IF(inter=Weekly_2,J451+$C$5,IF(inter=Bi_weekly_2,J450+$C$5,IF(inter=Monthly_2,0,IF(inter=Quarterly_2,0,IF(inter=Yearly_2,0,IF(inter=None_2,0,0))))))</f>
        <v>143000</v>
      </c>
      <c r="K452" s="79">
        <f t="shared" si="482"/>
        <v>-323.98774337184295</v>
      </c>
      <c r="L452" s="79">
        <f t="shared" si="483"/>
        <v>-136.37152837955728</v>
      </c>
      <c r="M452" s="79">
        <f t="shared" si="484"/>
        <v>-111.87541461883666</v>
      </c>
      <c r="N452" s="79">
        <f t="shared" si="485"/>
        <v>1.71158366263262</v>
      </c>
      <c r="O452" s="79">
        <f t="shared" si="486"/>
        <v>-408.28210197253065</v>
      </c>
      <c r="P452" s="79">
        <f t="shared" si="487"/>
        <v>-488.54561549362552</v>
      </c>
      <c r="Q452" s="79"/>
      <c r="R452" s="80">
        <f t="shared" si="445"/>
        <v>2.9707294087043992</v>
      </c>
      <c r="S452" s="80">
        <f t="shared" si="446"/>
        <v>1.5985409867147962</v>
      </c>
      <c r="T452" s="80">
        <f t="shared" si="447"/>
        <v>1.2131361245467418</v>
      </c>
      <c r="U452" s="80">
        <f t="shared" si="448"/>
        <v>-1.5568343018882425E-2</v>
      </c>
      <c r="V452" s="80">
        <f t="shared" si="449"/>
        <v>9.945971057697971</v>
      </c>
      <c r="W452" s="80">
        <f t="shared" si="450"/>
        <v>11.758017503047967</v>
      </c>
      <c r="X452" s="80">
        <f t="shared" si="501"/>
        <v>458.92170289605184</v>
      </c>
      <c r="Y452" s="80">
        <f t="shared" si="502"/>
        <v>167.62396360623524</v>
      </c>
      <c r="Z452" s="80">
        <f t="shared" si="503"/>
        <v>124.05118061102601</v>
      </c>
      <c r="AA452" s="80">
        <f t="shared" si="504"/>
        <v>91.049661796440574</v>
      </c>
      <c r="AB452" s="80">
        <f t="shared" si="505"/>
        <v>870.88918077683752</v>
      </c>
      <c r="AC452" s="80">
        <f t="shared" si="506"/>
        <v>516.24549978930202</v>
      </c>
      <c r="AD452" s="80"/>
      <c r="AE452" s="80"/>
      <c r="AF452" s="80"/>
      <c r="AG452" s="80"/>
      <c r="AH452" s="80"/>
      <c r="AI452" s="80"/>
      <c r="AJ452" s="45">
        <f t="shared" si="451"/>
        <v>0</v>
      </c>
      <c r="AK452" s="45">
        <f t="shared" si="452"/>
        <v>0</v>
      </c>
      <c r="AL452" s="45">
        <f t="shared" si="453"/>
        <v>0</v>
      </c>
      <c r="AM452" s="45">
        <f t="shared" si="454"/>
        <v>0</v>
      </c>
      <c r="AN452" s="45">
        <f t="shared" si="455"/>
        <v>0</v>
      </c>
      <c r="AO452" s="45">
        <f t="shared" si="456"/>
        <v>0</v>
      </c>
      <c r="AP452" s="80">
        <f t="shared" si="457"/>
        <v>0</v>
      </c>
      <c r="AQ452" s="80">
        <f t="shared" si="458"/>
        <v>0</v>
      </c>
      <c r="AR452" s="80">
        <f t="shared" si="459"/>
        <v>0</v>
      </c>
      <c r="AS452" s="80">
        <f t="shared" si="460"/>
        <v>0</v>
      </c>
      <c r="AT452" s="80">
        <f t="shared" si="461"/>
        <v>0</v>
      </c>
      <c r="AU452" s="80">
        <f t="shared" si="462"/>
        <v>0</v>
      </c>
      <c r="AV452" s="80">
        <f t="shared" si="507"/>
        <v>60.029441038937236</v>
      </c>
      <c r="AW452" s="80">
        <f t="shared" si="508"/>
        <v>28.509346850070866</v>
      </c>
      <c r="AX452" s="80">
        <f t="shared" si="509"/>
        <v>17.365467362987705</v>
      </c>
      <c r="AY452" s="80">
        <f t="shared" si="510"/>
        <v>13.761112621092227</v>
      </c>
      <c r="AZ452" s="80">
        <f t="shared" si="511"/>
        <v>139.40537455732718</v>
      </c>
      <c r="BA452" s="80">
        <f t="shared" si="512"/>
        <v>61.634144699264681</v>
      </c>
      <c r="BB452" s="80">
        <f t="shared" si="488"/>
        <v>518.95114393498909</v>
      </c>
      <c r="BC452" s="80">
        <f t="shared" si="489"/>
        <v>196.13331045630611</v>
      </c>
      <c r="BD452" s="80">
        <f t="shared" si="490"/>
        <v>141.41664797401373</v>
      </c>
      <c r="BE452" s="80">
        <f t="shared" si="491"/>
        <v>104.8107744175328</v>
      </c>
      <c r="BF452" s="80">
        <f t="shared" si="492"/>
        <v>1010.2945553341647</v>
      </c>
      <c r="BG452" s="80">
        <f t="shared" si="493"/>
        <v>577.87964448856667</v>
      </c>
      <c r="BH452" s="49">
        <f t="shared" si="494"/>
        <v>0</v>
      </c>
      <c r="BI452" s="79">
        <f t="shared" si="495"/>
        <v>-90718.358911720206</v>
      </c>
      <c r="BJ452" s="79">
        <f t="shared" si="463"/>
        <v>143000</v>
      </c>
      <c r="BK452" s="44">
        <f t="shared" si="496"/>
        <v>0.57630717437421985</v>
      </c>
      <c r="BL452" s="79">
        <f t="shared" si="513"/>
        <v>15175.842118210237</v>
      </c>
      <c r="BM452" s="49">
        <f t="shared" si="497"/>
        <v>158175.84211821025</v>
      </c>
      <c r="BN452" s="44">
        <f t="shared" si="498"/>
        <v>0.74359241079453642</v>
      </c>
      <c r="BO452" s="49">
        <f t="shared" si="464"/>
        <v>20376.772345866972</v>
      </c>
      <c r="BP452" s="49">
        <f t="shared" si="465"/>
        <v>163376.77234586698</v>
      </c>
      <c r="BQ452" s="44">
        <f t="shared" si="466"/>
        <v>0.80092292569855772</v>
      </c>
      <c r="BS452" s="49">
        <f t="shared" si="467"/>
        <v>90718.358911720206</v>
      </c>
      <c r="BT452" s="49">
        <f t="shared" si="443"/>
        <v>109.05999799999999</v>
      </c>
      <c r="BU452" s="49">
        <f t="shared" si="444"/>
        <v>41.549999</v>
      </c>
      <c r="BV452" s="49">
        <f t="shared" si="468"/>
        <v>1467.3508201737604</v>
      </c>
      <c r="BW452" s="18">
        <f t="shared" si="469"/>
        <v>2870</v>
      </c>
      <c r="BX452" s="19">
        <f t="shared" si="499"/>
        <v>0.34174311926605505</v>
      </c>
      <c r="BY452" s="49">
        <f t="shared" si="500"/>
        <v>501.45704634378512</v>
      </c>
      <c r="BZ452" s="19">
        <f t="shared" si="470"/>
        <v>2.9707294087043992</v>
      </c>
      <c r="CA452" s="19">
        <f t="shared" si="471"/>
        <v>1.5985409867147962</v>
      </c>
      <c r="CB452" s="19">
        <f t="shared" si="472"/>
        <v>1.2131361245467418</v>
      </c>
      <c r="CC452" s="19">
        <f t="shared" si="473"/>
        <v>0</v>
      </c>
      <c r="CD452" s="19">
        <f t="shared" si="474"/>
        <v>9.945971057697971</v>
      </c>
      <c r="CE452" s="19">
        <f t="shared" si="475"/>
        <v>11.758017503047967</v>
      </c>
      <c r="CF452" s="49">
        <f t="shared" si="476"/>
        <v>-323.98774337184295</v>
      </c>
      <c r="CG452" s="49">
        <f t="shared" si="477"/>
        <v>-136.37152837955728</v>
      </c>
      <c r="CH452" s="49">
        <f t="shared" si="478"/>
        <v>-111.87541461883666</v>
      </c>
      <c r="CI452" s="49">
        <f t="shared" si="479"/>
        <v>0</v>
      </c>
      <c r="CJ452" s="49">
        <f t="shared" si="480"/>
        <v>-408.28210197253065</v>
      </c>
      <c r="CK452" s="49">
        <f t="shared" si="481"/>
        <v>-488.54561549362552</v>
      </c>
    </row>
    <row r="453" spans="2:89" ht="12.75" customHeight="1" x14ac:dyDescent="0.2">
      <c r="B453" s="77">
        <v>42170</v>
      </c>
      <c r="C453" s="79">
        <v>109.94000200000001</v>
      </c>
      <c r="D453" s="79">
        <v>85.830001999999993</v>
      </c>
      <c r="E453" s="79">
        <v>92.989998</v>
      </c>
      <c r="F453" s="79">
        <v>110.760002</v>
      </c>
      <c r="G453" s="79">
        <v>40.98</v>
      </c>
      <c r="H453" s="79">
        <v>41.470001000000003</v>
      </c>
      <c r="I453" s="79"/>
      <c r="J453" s="78">
        <f>IF(inter=Weekly_2,J452+$C$5,IF(inter=Bi_weekly_2,0,IF(inter=Monthly_2,0,IF(inter=Quarterly_2,0,IF(inter=Yearly_2,0,IF(inter=None_2,0,0))))))</f>
        <v>0</v>
      </c>
      <c r="K453" s="79">
        <f t="shared" si="482"/>
        <v>0</v>
      </c>
      <c r="L453" s="79">
        <f t="shared" si="483"/>
        <v>0</v>
      </c>
      <c r="M453" s="79">
        <f t="shared" si="484"/>
        <v>0</v>
      </c>
      <c r="N453" s="79">
        <f t="shared" si="485"/>
        <v>0</v>
      </c>
      <c r="O453" s="79">
        <f t="shared" si="486"/>
        <v>0</v>
      </c>
      <c r="P453" s="79">
        <f t="shared" si="487"/>
        <v>0</v>
      </c>
      <c r="Q453" s="79"/>
      <c r="R453" s="80">
        <f t="shared" si="445"/>
        <v>0</v>
      </c>
      <c r="S453" s="80">
        <f t="shared" si="446"/>
        <v>0</v>
      </c>
      <c r="T453" s="80">
        <f t="shared" si="447"/>
        <v>0</v>
      </c>
      <c r="U453" s="80">
        <f t="shared" si="448"/>
        <v>0</v>
      </c>
      <c r="V453" s="80">
        <f t="shared" si="449"/>
        <v>0</v>
      </c>
      <c r="W453" s="80">
        <f t="shared" si="450"/>
        <v>0</v>
      </c>
      <c r="X453" s="80">
        <f t="shared" si="501"/>
        <v>458.92170289605184</v>
      </c>
      <c r="Y453" s="80">
        <f t="shared" si="502"/>
        <v>167.62396360623524</v>
      </c>
      <c r="Z453" s="80">
        <f t="shared" si="503"/>
        <v>124.05118061102601</v>
      </c>
      <c r="AA453" s="80">
        <f t="shared" si="504"/>
        <v>91.049661796440574</v>
      </c>
      <c r="AB453" s="80">
        <f t="shared" si="505"/>
        <v>870.88918077683752</v>
      </c>
      <c r="AC453" s="80">
        <f t="shared" si="506"/>
        <v>516.24549978930202</v>
      </c>
      <c r="AD453" s="80"/>
      <c r="AE453" s="80"/>
      <c r="AF453" s="80"/>
      <c r="AG453" s="80"/>
      <c r="AH453" s="80"/>
      <c r="AI453" s="80"/>
      <c r="AJ453" s="45">
        <f t="shared" si="451"/>
        <v>0</v>
      </c>
      <c r="AK453" s="45">
        <f t="shared" si="452"/>
        <v>0</v>
      </c>
      <c r="AL453" s="45">
        <f t="shared" si="453"/>
        <v>0</v>
      </c>
      <c r="AM453" s="45">
        <f t="shared" si="454"/>
        <v>0</v>
      </c>
      <c r="AN453" s="45">
        <f t="shared" si="455"/>
        <v>0</v>
      </c>
      <c r="AO453" s="45">
        <f t="shared" si="456"/>
        <v>0</v>
      </c>
      <c r="AP453" s="80">
        <f t="shared" si="457"/>
        <v>0</v>
      </c>
      <c r="AQ453" s="80">
        <f t="shared" si="458"/>
        <v>0</v>
      </c>
      <c r="AR453" s="80">
        <f t="shared" si="459"/>
        <v>0</v>
      </c>
      <c r="AS453" s="80">
        <f t="shared" si="460"/>
        <v>0</v>
      </c>
      <c r="AT453" s="80">
        <f t="shared" si="461"/>
        <v>0</v>
      </c>
      <c r="AU453" s="80">
        <f t="shared" si="462"/>
        <v>0</v>
      </c>
      <c r="AV453" s="80">
        <f t="shared" si="507"/>
        <v>60.029441038937236</v>
      </c>
      <c r="AW453" s="80">
        <f t="shared" si="508"/>
        <v>28.509346850070866</v>
      </c>
      <c r="AX453" s="80">
        <f t="shared" si="509"/>
        <v>17.365467362987705</v>
      </c>
      <c r="AY453" s="80">
        <f t="shared" si="510"/>
        <v>13.761112621092227</v>
      </c>
      <c r="AZ453" s="80">
        <f t="shared" si="511"/>
        <v>139.40537455732718</v>
      </c>
      <c r="BA453" s="80">
        <f t="shared" si="512"/>
        <v>61.634144699264681</v>
      </c>
      <c r="BB453" s="80">
        <f t="shared" si="488"/>
        <v>518.95114393498909</v>
      </c>
      <c r="BC453" s="80">
        <f t="shared" si="489"/>
        <v>196.13331045630611</v>
      </c>
      <c r="BD453" s="80">
        <f t="shared" si="490"/>
        <v>141.41664797401373</v>
      </c>
      <c r="BE453" s="80">
        <f t="shared" si="491"/>
        <v>104.8107744175328</v>
      </c>
      <c r="BF453" s="80">
        <f t="shared" si="492"/>
        <v>1010.2945553341647</v>
      </c>
      <c r="BG453" s="80">
        <f t="shared" si="493"/>
        <v>577.87964448856667</v>
      </c>
      <c r="BH453" s="49">
        <f t="shared" si="494"/>
        <v>0</v>
      </c>
      <c r="BI453" s="79">
        <f t="shared" si="495"/>
        <v>-90718.358911720206</v>
      </c>
      <c r="BJ453" s="79">
        <f t="shared" si="463"/>
        <v>143558.93784613913</v>
      </c>
      <c r="BK453" s="44">
        <f t="shared" si="496"/>
        <v>0.58246841728959309</v>
      </c>
      <c r="BL453" s="79">
        <f t="shared" si="513"/>
        <v>15175.842118210237</v>
      </c>
      <c r="BM453" s="49">
        <f t="shared" si="497"/>
        <v>158734.77996434938</v>
      </c>
      <c r="BN453" s="44">
        <f t="shared" si="498"/>
        <v>0.74975365370990965</v>
      </c>
      <c r="BO453" s="49">
        <f t="shared" si="464"/>
        <v>20454.390093499529</v>
      </c>
      <c r="BP453" s="49">
        <f t="shared" si="465"/>
        <v>164013.32793963866</v>
      </c>
      <c r="BQ453" s="44">
        <f t="shared" si="466"/>
        <v>0.80793975891079794</v>
      </c>
      <c r="BS453" s="49">
        <f t="shared" si="467"/>
        <v>90718.358911720206</v>
      </c>
      <c r="BT453" s="49">
        <f t="shared" si="443"/>
        <v>109.94000200000001</v>
      </c>
      <c r="BU453" s="49">
        <f t="shared" si="444"/>
        <v>41.470001000000003</v>
      </c>
      <c r="BV453" s="49">
        <f t="shared" si="468"/>
        <v>0</v>
      </c>
      <c r="BW453" s="18">
        <f t="shared" si="469"/>
        <v>2877</v>
      </c>
      <c r="BX453" s="19">
        <f t="shared" si="499"/>
        <v>0.34013761467889908</v>
      </c>
      <c r="BY453" s="49">
        <f t="shared" si="500"/>
        <v>0</v>
      </c>
      <c r="BZ453" s="19">
        <f t="shared" si="470"/>
        <v>0</v>
      </c>
      <c r="CA453" s="19">
        <f t="shared" si="471"/>
        <v>0</v>
      </c>
      <c r="CB453" s="19">
        <f t="shared" si="472"/>
        <v>0</v>
      </c>
      <c r="CC453" s="19">
        <f t="shared" si="473"/>
        <v>0</v>
      </c>
      <c r="CD453" s="19">
        <f t="shared" si="474"/>
        <v>0</v>
      </c>
      <c r="CE453" s="19">
        <f t="shared" si="475"/>
        <v>0</v>
      </c>
      <c r="CF453" s="49">
        <f t="shared" si="476"/>
        <v>0</v>
      </c>
      <c r="CG453" s="49">
        <f t="shared" si="477"/>
        <v>0</v>
      </c>
      <c r="CH453" s="49">
        <f t="shared" si="478"/>
        <v>0</v>
      </c>
      <c r="CI453" s="49">
        <f t="shared" si="479"/>
        <v>0</v>
      </c>
      <c r="CJ453" s="49">
        <f t="shared" si="480"/>
        <v>0</v>
      </c>
      <c r="CK453" s="49">
        <f t="shared" si="481"/>
        <v>0</v>
      </c>
    </row>
    <row r="454" spans="2:89" ht="12.75" customHeight="1" x14ac:dyDescent="0.2">
      <c r="B454" s="77">
        <v>42177</v>
      </c>
      <c r="C454" s="79">
        <v>109.010002</v>
      </c>
      <c r="D454" s="79">
        <v>84.970000999999996</v>
      </c>
      <c r="E454" s="79">
        <v>92.370002999999997</v>
      </c>
      <c r="F454" s="79">
        <v>110.349998</v>
      </c>
      <c r="G454" s="79">
        <v>40.939999</v>
      </c>
      <c r="H454" s="79">
        <v>41.25</v>
      </c>
      <c r="I454" s="79"/>
      <c r="J454" s="78">
        <f>IF(inter=Weekly_2,J453+$C$5,IF(inter=Bi_weekly_2,J452+$C$5,IF(inter=Monthly_2,J450+$C$5,IF(inter=Quarterly_2,0,IF(inter=Yearly_2,0,IF(inter=None_2,0,0))))))</f>
        <v>143600</v>
      </c>
      <c r="K454" s="79">
        <f t="shared" si="482"/>
        <v>-232.94424945798528</v>
      </c>
      <c r="L454" s="79">
        <f t="shared" si="483"/>
        <v>-116.99164475422913</v>
      </c>
      <c r="M454" s="79">
        <f t="shared" si="484"/>
        <v>-29.39207480598634</v>
      </c>
      <c r="N454" s="79">
        <f t="shared" si="485"/>
        <v>-4.6700028621089587</v>
      </c>
      <c r="O454" s="79">
        <f t="shared" si="486"/>
        <v>-245.79780988545099</v>
      </c>
      <c r="P454" s="79">
        <f t="shared" si="487"/>
        <v>-244.87313369129333</v>
      </c>
      <c r="Q454" s="79"/>
      <c r="R454" s="80">
        <f t="shared" si="445"/>
        <v>2.136907120302459</v>
      </c>
      <c r="S454" s="80">
        <f t="shared" si="446"/>
        <v>1.3768582249896542</v>
      </c>
      <c r="T454" s="80">
        <f t="shared" si="447"/>
        <v>0.3181993488295799</v>
      </c>
      <c r="U454" s="80">
        <f t="shared" si="448"/>
        <v>4.2319917958756635E-2</v>
      </c>
      <c r="V454" s="80">
        <f t="shared" si="449"/>
        <v>6.0038548092160671</v>
      </c>
      <c r="W454" s="80">
        <f t="shared" si="450"/>
        <v>5.9363183925162017</v>
      </c>
      <c r="X454" s="80">
        <f t="shared" si="501"/>
        <v>461.05861001635429</v>
      </c>
      <c r="Y454" s="80">
        <f t="shared" si="502"/>
        <v>169.0008218312249</v>
      </c>
      <c r="Z454" s="80">
        <f t="shared" si="503"/>
        <v>124.36937995985559</v>
      </c>
      <c r="AA454" s="80">
        <f t="shared" si="504"/>
        <v>91.091981714399324</v>
      </c>
      <c r="AB454" s="80">
        <f t="shared" si="505"/>
        <v>876.89303558605354</v>
      </c>
      <c r="AC454" s="80">
        <f t="shared" si="506"/>
        <v>522.18181818181824</v>
      </c>
      <c r="AD454" s="80">
        <v>0.46800000000000003</v>
      </c>
      <c r="AE454" s="80">
        <v>0.51</v>
      </c>
      <c r="AF454" s="80"/>
      <c r="AG454" s="80"/>
      <c r="AH454" s="80">
        <v>0.51300000000000001</v>
      </c>
      <c r="AI454" s="80">
        <v>0.38600000000000001</v>
      </c>
      <c r="AJ454" s="45">
        <f t="shared" si="451"/>
        <v>215.77542948765381</v>
      </c>
      <c r="AK454" s="45">
        <f t="shared" si="452"/>
        <v>86.190419133924692</v>
      </c>
      <c r="AL454" s="45">
        <f t="shared" si="453"/>
        <v>0</v>
      </c>
      <c r="AM454" s="45">
        <f t="shared" si="454"/>
        <v>0</v>
      </c>
      <c r="AN454" s="45">
        <f t="shared" si="455"/>
        <v>449.84612725564546</v>
      </c>
      <c r="AO454" s="45">
        <f t="shared" si="456"/>
        <v>201.56218181818184</v>
      </c>
      <c r="AP454" s="80">
        <f t="shared" si="457"/>
        <v>1.979409462699155</v>
      </c>
      <c r="AQ454" s="80">
        <f t="shared" si="458"/>
        <v>1.0143629294993735</v>
      </c>
      <c r="AR454" s="80">
        <f t="shared" si="459"/>
        <v>0</v>
      </c>
      <c r="AS454" s="80">
        <f t="shared" si="460"/>
        <v>0</v>
      </c>
      <c r="AT454" s="80">
        <f t="shared" si="461"/>
        <v>10.987936938045491</v>
      </c>
      <c r="AU454" s="80">
        <f t="shared" si="462"/>
        <v>4.8863559228650146</v>
      </c>
      <c r="AV454" s="80">
        <f t="shared" si="507"/>
        <v>62.008850501636388</v>
      </c>
      <c r="AW454" s="80">
        <f t="shared" si="508"/>
        <v>29.52370977957024</v>
      </c>
      <c r="AX454" s="80">
        <f t="shared" si="509"/>
        <v>17.365467362987705</v>
      </c>
      <c r="AY454" s="80">
        <f t="shared" si="510"/>
        <v>13.761112621092227</v>
      </c>
      <c r="AZ454" s="80">
        <f t="shared" si="511"/>
        <v>150.39331149537267</v>
      </c>
      <c r="BA454" s="80">
        <f t="shared" si="512"/>
        <v>66.520500622129703</v>
      </c>
      <c r="BB454" s="80">
        <f t="shared" si="488"/>
        <v>523.06746051799064</v>
      </c>
      <c r="BC454" s="80">
        <f t="shared" si="489"/>
        <v>198.52453161079512</v>
      </c>
      <c r="BD454" s="80">
        <f t="shared" si="490"/>
        <v>141.73484732284331</v>
      </c>
      <c r="BE454" s="80">
        <f t="shared" si="491"/>
        <v>104.85309433549155</v>
      </c>
      <c r="BF454" s="80">
        <f t="shared" si="492"/>
        <v>1027.2863470814261</v>
      </c>
      <c r="BG454" s="80">
        <f t="shared" si="493"/>
        <v>588.70231880394795</v>
      </c>
      <c r="BH454" s="49">
        <f t="shared" si="494"/>
        <v>953.37415769540576</v>
      </c>
      <c r="BI454" s="79">
        <f t="shared" si="495"/>
        <v>-91593.02782717727</v>
      </c>
      <c r="BJ454" s="79">
        <f t="shared" si="463"/>
        <v>143600</v>
      </c>
      <c r="BK454" s="44">
        <f t="shared" si="496"/>
        <v>0.56780492365589574</v>
      </c>
      <c r="BL454" s="79">
        <f t="shared" si="513"/>
        <v>16129.216275905643</v>
      </c>
      <c r="BM454" s="49">
        <f t="shared" si="497"/>
        <v>159729.21627590564</v>
      </c>
      <c r="BN454" s="44">
        <f t="shared" si="498"/>
        <v>0.74390147443636701</v>
      </c>
      <c r="BO454" s="49">
        <f t="shared" si="464"/>
        <v>21291.87426221585</v>
      </c>
      <c r="BP454" s="49">
        <f t="shared" si="465"/>
        <v>164891.87426221583</v>
      </c>
      <c r="BQ454" s="44">
        <f t="shared" si="466"/>
        <v>0.80026665974339051</v>
      </c>
      <c r="BS454" s="49">
        <f t="shared" si="467"/>
        <v>91593.02782717727</v>
      </c>
      <c r="BT454" s="49">
        <f t="shared" si="443"/>
        <v>109.010002</v>
      </c>
      <c r="BU454" s="49">
        <f t="shared" si="444"/>
        <v>41.25</v>
      </c>
      <c r="BV454" s="49">
        <f t="shared" si="468"/>
        <v>-78.70524223835173</v>
      </c>
      <c r="BW454" s="18">
        <f t="shared" si="469"/>
        <v>2884</v>
      </c>
      <c r="BX454" s="19">
        <f t="shared" si="499"/>
        <v>0.33853211009174311</v>
      </c>
      <c r="BY454" s="49">
        <f t="shared" si="500"/>
        <v>-26.644251730230998</v>
      </c>
      <c r="BZ454" s="19">
        <f t="shared" si="470"/>
        <v>2.136907120302459</v>
      </c>
      <c r="CA454" s="19">
        <f t="shared" si="471"/>
        <v>1.3768582249896542</v>
      </c>
      <c r="CB454" s="19">
        <f t="shared" si="472"/>
        <v>0.3181993488295799</v>
      </c>
      <c r="CC454" s="19">
        <f t="shared" si="473"/>
        <v>4.2319917958756635E-2</v>
      </c>
      <c r="CD454" s="19">
        <f t="shared" si="474"/>
        <v>6.0038548092160671</v>
      </c>
      <c r="CE454" s="19">
        <f t="shared" si="475"/>
        <v>5.9363183925162017</v>
      </c>
      <c r="CF454" s="49">
        <f t="shared" si="476"/>
        <v>-232.94424945798528</v>
      </c>
      <c r="CG454" s="49">
        <f t="shared" si="477"/>
        <v>-116.99164475422913</v>
      </c>
      <c r="CH454" s="49">
        <f t="shared" si="478"/>
        <v>-29.39207480598634</v>
      </c>
      <c r="CI454" s="49">
        <f t="shared" si="479"/>
        <v>-4.6700028621089587</v>
      </c>
      <c r="CJ454" s="49">
        <f t="shared" si="480"/>
        <v>-245.79780988545099</v>
      </c>
      <c r="CK454" s="49">
        <f t="shared" si="481"/>
        <v>-244.87313369129333</v>
      </c>
    </row>
    <row r="455" spans="2:89" ht="12.75" customHeight="1" x14ac:dyDescent="0.2">
      <c r="B455" s="77">
        <v>42184</v>
      </c>
      <c r="C455" s="79">
        <v>107.58000199999999</v>
      </c>
      <c r="D455" s="79">
        <v>83.900002000000001</v>
      </c>
      <c r="E455" s="79">
        <v>91.220000999999996</v>
      </c>
      <c r="F455" s="79">
        <v>108</v>
      </c>
      <c r="G455" s="79">
        <v>40.009998000000003</v>
      </c>
      <c r="H455" s="79">
        <v>41.07</v>
      </c>
      <c r="I455" s="79"/>
      <c r="J455" s="78">
        <f>IF(inter=Weekly_2,J454+$C$5,IF(inter=Bi_weekly_2,0,IF(inter=Monthly_2,0,IF(inter=Quarterly_2,0,IF(inter=Yearly_2,0,IF(inter=None_2,0,0))))))</f>
        <v>0</v>
      </c>
      <c r="K455" s="79">
        <f t="shared" si="482"/>
        <v>0</v>
      </c>
      <c r="L455" s="79">
        <f t="shared" si="483"/>
        <v>0</v>
      </c>
      <c r="M455" s="79">
        <f t="shared" si="484"/>
        <v>0</v>
      </c>
      <c r="N455" s="79">
        <f t="shared" si="485"/>
        <v>0</v>
      </c>
      <c r="O455" s="79">
        <f t="shared" si="486"/>
        <v>0</v>
      </c>
      <c r="P455" s="79">
        <f t="shared" si="487"/>
        <v>0</v>
      </c>
      <c r="Q455" s="79"/>
      <c r="R455" s="80">
        <f t="shared" si="445"/>
        <v>0</v>
      </c>
      <c r="S455" s="80">
        <f t="shared" si="446"/>
        <v>0</v>
      </c>
      <c r="T455" s="80">
        <f t="shared" si="447"/>
        <v>0</v>
      </c>
      <c r="U455" s="80">
        <f t="shared" si="448"/>
        <v>0</v>
      </c>
      <c r="V455" s="80">
        <f t="shared" si="449"/>
        <v>0</v>
      </c>
      <c r="W455" s="80">
        <f t="shared" si="450"/>
        <v>0</v>
      </c>
      <c r="X455" s="80">
        <f t="shared" si="501"/>
        <v>461.05861001635429</v>
      </c>
      <c r="Y455" s="80">
        <f t="shared" si="502"/>
        <v>169.0008218312249</v>
      </c>
      <c r="Z455" s="80">
        <f t="shared" si="503"/>
        <v>124.36937995985559</v>
      </c>
      <c r="AA455" s="80">
        <f t="shared" si="504"/>
        <v>91.091981714399324</v>
      </c>
      <c r="AB455" s="80">
        <f t="shared" si="505"/>
        <v>876.89303558605354</v>
      </c>
      <c r="AC455" s="80">
        <f t="shared" si="506"/>
        <v>522.18181818181824</v>
      </c>
      <c r="AD455" s="80"/>
      <c r="AE455" s="80"/>
      <c r="AF455" s="80"/>
      <c r="AG455" s="80"/>
      <c r="AH455" s="80"/>
      <c r="AI455" s="80"/>
      <c r="AJ455" s="45">
        <f t="shared" si="451"/>
        <v>0</v>
      </c>
      <c r="AK455" s="45">
        <f t="shared" si="452"/>
        <v>0</v>
      </c>
      <c r="AL455" s="45">
        <f t="shared" si="453"/>
        <v>0</v>
      </c>
      <c r="AM455" s="45">
        <f t="shared" si="454"/>
        <v>0</v>
      </c>
      <c r="AN455" s="45">
        <f t="shared" si="455"/>
        <v>0</v>
      </c>
      <c r="AO455" s="45">
        <f t="shared" si="456"/>
        <v>0</v>
      </c>
      <c r="AP455" s="80">
        <f t="shared" si="457"/>
        <v>0</v>
      </c>
      <c r="AQ455" s="80">
        <f t="shared" si="458"/>
        <v>0</v>
      </c>
      <c r="AR455" s="80">
        <f t="shared" si="459"/>
        <v>0</v>
      </c>
      <c r="AS455" s="80">
        <f t="shared" si="460"/>
        <v>0</v>
      </c>
      <c r="AT455" s="80">
        <f t="shared" si="461"/>
        <v>0</v>
      </c>
      <c r="AU455" s="80">
        <f t="shared" si="462"/>
        <v>0</v>
      </c>
      <c r="AV455" s="80">
        <f t="shared" si="507"/>
        <v>62.008850501636388</v>
      </c>
      <c r="AW455" s="80">
        <f t="shared" si="508"/>
        <v>29.52370977957024</v>
      </c>
      <c r="AX455" s="80">
        <f t="shared" si="509"/>
        <v>17.365467362987705</v>
      </c>
      <c r="AY455" s="80">
        <f t="shared" si="510"/>
        <v>13.761112621092227</v>
      </c>
      <c r="AZ455" s="80">
        <f t="shared" si="511"/>
        <v>150.39331149537267</v>
      </c>
      <c r="BA455" s="80">
        <f t="shared" si="512"/>
        <v>66.520500622129703</v>
      </c>
      <c r="BB455" s="80">
        <f t="shared" si="488"/>
        <v>523.06746051799064</v>
      </c>
      <c r="BC455" s="80">
        <f t="shared" si="489"/>
        <v>198.52453161079512</v>
      </c>
      <c r="BD455" s="80">
        <f t="shared" si="490"/>
        <v>141.73484732284331</v>
      </c>
      <c r="BE455" s="80">
        <f t="shared" si="491"/>
        <v>104.85309433549155</v>
      </c>
      <c r="BF455" s="80">
        <f t="shared" si="492"/>
        <v>1027.2863470814261</v>
      </c>
      <c r="BG455" s="80">
        <f t="shared" si="493"/>
        <v>588.70231880394795</v>
      </c>
      <c r="BH455" s="49">
        <f t="shared" si="494"/>
        <v>0</v>
      </c>
      <c r="BI455" s="79">
        <f t="shared" si="495"/>
        <v>-91593.02782717727</v>
      </c>
      <c r="BJ455" s="79">
        <f t="shared" si="463"/>
        <v>141493.26033951977</v>
      </c>
      <c r="BK455" s="44">
        <f t="shared" si="496"/>
        <v>0.54480383164641077</v>
      </c>
      <c r="BL455" s="79">
        <f t="shared" si="513"/>
        <v>16129.216275905643</v>
      </c>
      <c r="BM455" s="49">
        <f t="shared" si="497"/>
        <v>157622.4766154254</v>
      </c>
      <c r="BN455" s="44">
        <f t="shared" si="498"/>
        <v>0.72090038242688204</v>
      </c>
      <c r="BO455" s="49">
        <f t="shared" si="464"/>
        <v>20967.462736526377</v>
      </c>
      <c r="BP455" s="49">
        <f t="shared" si="465"/>
        <v>162460.72307604612</v>
      </c>
      <c r="BQ455" s="44">
        <f t="shared" si="466"/>
        <v>0.7737236875997362</v>
      </c>
      <c r="BS455" s="49">
        <f t="shared" si="467"/>
        <v>91593.02782717727</v>
      </c>
      <c r="BT455" s="49">
        <f t="shared" si="443"/>
        <v>107.58000199999999</v>
      </c>
      <c r="BU455" s="49">
        <f t="shared" si="444"/>
        <v>41.07</v>
      </c>
      <c r="BV455" s="49">
        <f t="shared" si="468"/>
        <v>0</v>
      </c>
      <c r="BW455" s="18">
        <f t="shared" si="469"/>
        <v>2891</v>
      </c>
      <c r="BX455" s="19">
        <f t="shared" si="499"/>
        <v>0.33692660550458714</v>
      </c>
      <c r="BY455" s="49">
        <f t="shared" si="500"/>
        <v>0</v>
      </c>
      <c r="BZ455" s="19">
        <f t="shared" si="470"/>
        <v>0</v>
      </c>
      <c r="CA455" s="19">
        <f t="shared" si="471"/>
        <v>0</v>
      </c>
      <c r="CB455" s="19">
        <f t="shared" si="472"/>
        <v>0</v>
      </c>
      <c r="CC455" s="19">
        <f t="shared" si="473"/>
        <v>0</v>
      </c>
      <c r="CD455" s="19">
        <f t="shared" si="474"/>
        <v>0</v>
      </c>
      <c r="CE455" s="19">
        <f t="shared" si="475"/>
        <v>0</v>
      </c>
      <c r="CF455" s="49">
        <f t="shared" si="476"/>
        <v>0</v>
      </c>
      <c r="CG455" s="49">
        <f t="shared" si="477"/>
        <v>0</v>
      </c>
      <c r="CH455" s="49">
        <f t="shared" si="478"/>
        <v>0</v>
      </c>
      <c r="CI455" s="49">
        <f t="shared" si="479"/>
        <v>0</v>
      </c>
      <c r="CJ455" s="49">
        <f t="shared" si="480"/>
        <v>0</v>
      </c>
      <c r="CK455" s="49">
        <f t="shared" si="481"/>
        <v>0</v>
      </c>
    </row>
    <row r="456" spans="2:89" ht="12.75" customHeight="1" x14ac:dyDescent="0.2">
      <c r="B456" s="77">
        <v>42191</v>
      </c>
      <c r="C456" s="79">
        <v>107.599998</v>
      </c>
      <c r="D456" s="79">
        <v>83.900002000000001</v>
      </c>
      <c r="E456" s="79">
        <v>90.779999000000004</v>
      </c>
      <c r="F456" s="79">
        <v>107.720001</v>
      </c>
      <c r="G456" s="79">
        <v>40.029998999999997</v>
      </c>
      <c r="H456" s="79">
        <v>39.729999999999997</v>
      </c>
      <c r="I456" s="79"/>
      <c r="J456" s="78">
        <f>IF(inter=Weekly_2,J455+$C$5,IF(inter=Bi_weekly_2,J454+$C$5,IF(inter=Monthly_2,0,IF(inter=Quarterly_2,0,IF(inter=Yearly_2,0,IF(inter=None_2,0,0))))))</f>
        <v>144200</v>
      </c>
      <c r="K456" s="79">
        <f t="shared" si="482"/>
        <v>-860.094484357498</v>
      </c>
      <c r="L456" s="79">
        <f t="shared" si="483"/>
        <v>-240.83071035858666</v>
      </c>
      <c r="M456" s="79">
        <f t="shared" si="484"/>
        <v>-245.7478116136881</v>
      </c>
      <c r="N456" s="79">
        <f t="shared" si="485"/>
        <v>-281.5716386329259</v>
      </c>
      <c r="O456" s="79">
        <f t="shared" si="486"/>
        <v>-947.97266238331213</v>
      </c>
      <c r="P456" s="79">
        <f t="shared" si="487"/>
        <v>-883.71636363636208</v>
      </c>
      <c r="Q456" s="79"/>
      <c r="R456" s="80">
        <f t="shared" si="445"/>
        <v>7.9934433117507862</v>
      </c>
      <c r="S456" s="80">
        <f t="shared" si="446"/>
        <v>2.8704493994956835</v>
      </c>
      <c r="T456" s="80">
        <f t="shared" si="447"/>
        <v>2.7070699969239711</v>
      </c>
      <c r="U456" s="80">
        <f t="shared" si="448"/>
        <v>2.6139216117620152</v>
      </c>
      <c r="V456" s="80">
        <f t="shared" si="449"/>
        <v>23.681555984633231</v>
      </c>
      <c r="W456" s="80">
        <f t="shared" si="450"/>
        <v>22.243049676223563</v>
      </c>
      <c r="X456" s="80">
        <f t="shared" si="501"/>
        <v>469.0520533281051</v>
      </c>
      <c r="Y456" s="80">
        <f t="shared" si="502"/>
        <v>171.87127123072059</v>
      </c>
      <c r="Z456" s="80">
        <f t="shared" si="503"/>
        <v>127.07644995677957</v>
      </c>
      <c r="AA456" s="80">
        <f t="shared" si="504"/>
        <v>93.705903326161334</v>
      </c>
      <c r="AB456" s="80">
        <f t="shared" si="505"/>
        <v>900.57459157068672</v>
      </c>
      <c r="AC456" s="80">
        <f t="shared" si="506"/>
        <v>544.42486785804181</v>
      </c>
      <c r="AD456" s="80"/>
      <c r="AE456" s="80"/>
      <c r="AF456" s="80"/>
      <c r="AG456" s="80"/>
      <c r="AH456" s="80"/>
      <c r="AI456" s="80"/>
      <c r="AJ456" s="45">
        <f t="shared" si="451"/>
        <v>0</v>
      </c>
      <c r="AK456" s="45">
        <f t="shared" si="452"/>
        <v>0</v>
      </c>
      <c r="AL456" s="45">
        <f t="shared" si="453"/>
        <v>0</v>
      </c>
      <c r="AM456" s="45">
        <f t="shared" si="454"/>
        <v>0</v>
      </c>
      <c r="AN456" s="45">
        <f t="shared" si="455"/>
        <v>0</v>
      </c>
      <c r="AO456" s="45">
        <f t="shared" si="456"/>
        <v>0</v>
      </c>
      <c r="AP456" s="80">
        <f t="shared" si="457"/>
        <v>0</v>
      </c>
      <c r="AQ456" s="80">
        <f t="shared" si="458"/>
        <v>0</v>
      </c>
      <c r="AR456" s="80">
        <f t="shared" si="459"/>
        <v>0</v>
      </c>
      <c r="AS456" s="80">
        <f t="shared" si="460"/>
        <v>0</v>
      </c>
      <c r="AT456" s="80">
        <f t="shared" si="461"/>
        <v>0</v>
      </c>
      <c r="AU456" s="80">
        <f t="shared" si="462"/>
        <v>0</v>
      </c>
      <c r="AV456" s="80">
        <f t="shared" si="507"/>
        <v>62.008850501636388</v>
      </c>
      <c r="AW456" s="80">
        <f t="shared" si="508"/>
        <v>29.52370977957024</v>
      </c>
      <c r="AX456" s="80">
        <f t="shared" si="509"/>
        <v>17.365467362987705</v>
      </c>
      <c r="AY456" s="80">
        <f t="shared" si="510"/>
        <v>13.761112621092227</v>
      </c>
      <c r="AZ456" s="80">
        <f t="shared" si="511"/>
        <v>150.39331149537267</v>
      </c>
      <c r="BA456" s="80">
        <f t="shared" si="512"/>
        <v>66.520500622129703</v>
      </c>
      <c r="BB456" s="80">
        <f t="shared" si="488"/>
        <v>531.06090382974151</v>
      </c>
      <c r="BC456" s="80">
        <f t="shared" si="489"/>
        <v>201.39498101029085</v>
      </c>
      <c r="BD456" s="80">
        <f t="shared" si="490"/>
        <v>144.44191731976727</v>
      </c>
      <c r="BE456" s="80">
        <f t="shared" si="491"/>
        <v>107.46701594725356</v>
      </c>
      <c r="BF456" s="80">
        <f t="shared" si="492"/>
        <v>1050.9679030660593</v>
      </c>
      <c r="BG456" s="80">
        <f t="shared" si="493"/>
        <v>610.94536848017151</v>
      </c>
      <c r="BH456" s="49">
        <f t="shared" si="494"/>
        <v>0</v>
      </c>
      <c r="BI456" s="79">
        <f t="shared" si="495"/>
        <v>-95052.961498159653</v>
      </c>
      <c r="BJ456" s="79">
        <f t="shared" si="463"/>
        <v>144200</v>
      </c>
      <c r="BK456" s="44">
        <f t="shared" si="496"/>
        <v>0.51704899802403204</v>
      </c>
      <c r="BL456" s="79">
        <f t="shared" si="513"/>
        <v>16129.216275905643</v>
      </c>
      <c r="BM456" s="49">
        <f t="shared" si="497"/>
        <v>160329.21627590564</v>
      </c>
      <c r="BN456" s="44">
        <f t="shared" si="498"/>
        <v>0.68673562347670591</v>
      </c>
      <c r="BO456" s="49">
        <f t="shared" si="464"/>
        <v>20871.079273147127</v>
      </c>
      <c r="BP456" s="49">
        <f t="shared" si="465"/>
        <v>165071.07927314713</v>
      </c>
      <c r="BQ456" s="44">
        <f t="shared" si="466"/>
        <v>0.73662215959829003</v>
      </c>
      <c r="BS456" s="49">
        <f t="shared" si="467"/>
        <v>95052.961498159653</v>
      </c>
      <c r="BT456" s="49">
        <f t="shared" si="443"/>
        <v>107.599998</v>
      </c>
      <c r="BU456" s="49">
        <f t="shared" si="444"/>
        <v>39.729999999999997</v>
      </c>
      <c r="BV456" s="49">
        <f t="shared" si="468"/>
        <v>3459.9336709823729</v>
      </c>
      <c r="BW456" s="18">
        <f t="shared" si="469"/>
        <v>2898</v>
      </c>
      <c r="BX456" s="19">
        <f t="shared" si="499"/>
        <v>0.33532110091743117</v>
      </c>
      <c r="BY456" s="49">
        <f t="shared" si="500"/>
        <v>1160.1887676550984</v>
      </c>
      <c r="BZ456" s="19">
        <f t="shared" si="470"/>
        <v>7.9934433117507862</v>
      </c>
      <c r="CA456" s="19">
        <f t="shared" si="471"/>
        <v>2.8704493994956835</v>
      </c>
      <c r="CB456" s="19">
        <f t="shared" si="472"/>
        <v>2.7070699969239711</v>
      </c>
      <c r="CC456" s="19">
        <f t="shared" si="473"/>
        <v>2.6139216117620152</v>
      </c>
      <c r="CD456" s="19">
        <f t="shared" si="474"/>
        <v>23.681555984633231</v>
      </c>
      <c r="CE456" s="19">
        <f t="shared" si="475"/>
        <v>22.243049676223563</v>
      </c>
      <c r="CF456" s="49">
        <f t="shared" si="476"/>
        <v>-860.094484357498</v>
      </c>
      <c r="CG456" s="49">
        <f t="shared" si="477"/>
        <v>-240.83071035858666</v>
      </c>
      <c r="CH456" s="49">
        <f t="shared" si="478"/>
        <v>-245.7478116136881</v>
      </c>
      <c r="CI456" s="49">
        <f t="shared" si="479"/>
        <v>-281.5716386329259</v>
      </c>
      <c r="CJ456" s="49">
        <f t="shared" si="480"/>
        <v>-947.97266238331213</v>
      </c>
      <c r="CK456" s="49">
        <f t="shared" si="481"/>
        <v>-883.71636363636208</v>
      </c>
    </row>
    <row r="457" spans="2:89" ht="12.75" customHeight="1" x14ac:dyDescent="0.2">
      <c r="B457" s="77">
        <v>42198</v>
      </c>
      <c r="C457" s="79">
        <v>109.959999</v>
      </c>
      <c r="D457" s="79">
        <v>85.269997000000004</v>
      </c>
      <c r="E457" s="79">
        <v>91.279999000000004</v>
      </c>
      <c r="F457" s="79">
        <v>108.339996</v>
      </c>
      <c r="G457" s="79">
        <v>40.599997999999999</v>
      </c>
      <c r="H457" s="79">
        <v>40.049999</v>
      </c>
      <c r="I457" s="79"/>
      <c r="J457" s="78">
        <f>IF(inter=Weekly_2,J456+$C$5,IF(inter=Bi_weekly_2,0,IF(inter=Monthly_2,0,IF(inter=Quarterly_2,0,IF(inter=Yearly_2,0,IF(inter=None_2,0,0))))))</f>
        <v>0</v>
      </c>
      <c r="K457" s="79">
        <f t="shared" si="482"/>
        <v>0</v>
      </c>
      <c r="L457" s="79">
        <f t="shared" si="483"/>
        <v>0</v>
      </c>
      <c r="M457" s="79">
        <f t="shared" si="484"/>
        <v>0</v>
      </c>
      <c r="N457" s="79">
        <f t="shared" si="485"/>
        <v>0</v>
      </c>
      <c r="O457" s="79">
        <f t="shared" si="486"/>
        <v>0</v>
      </c>
      <c r="P457" s="79">
        <f t="shared" si="487"/>
        <v>0</v>
      </c>
      <c r="Q457" s="79"/>
      <c r="R457" s="80">
        <f t="shared" si="445"/>
        <v>0</v>
      </c>
      <c r="S457" s="80">
        <f t="shared" si="446"/>
        <v>0</v>
      </c>
      <c r="T457" s="80">
        <f t="shared" si="447"/>
        <v>0</v>
      </c>
      <c r="U457" s="80">
        <f t="shared" si="448"/>
        <v>0</v>
      </c>
      <c r="V457" s="80">
        <f t="shared" si="449"/>
        <v>0</v>
      </c>
      <c r="W457" s="80">
        <f t="shared" si="450"/>
        <v>0</v>
      </c>
      <c r="X457" s="80">
        <f t="shared" si="501"/>
        <v>469.0520533281051</v>
      </c>
      <c r="Y457" s="80">
        <f t="shared" si="502"/>
        <v>171.87127123072059</v>
      </c>
      <c r="Z457" s="80">
        <f t="shared" si="503"/>
        <v>127.07644995677957</v>
      </c>
      <c r="AA457" s="80">
        <f t="shared" si="504"/>
        <v>93.705903326161334</v>
      </c>
      <c r="AB457" s="80">
        <f t="shared" si="505"/>
        <v>900.57459157068672</v>
      </c>
      <c r="AC457" s="80">
        <f t="shared" si="506"/>
        <v>544.42486785804181</v>
      </c>
      <c r="AD457" s="80"/>
      <c r="AE457" s="80"/>
      <c r="AF457" s="80"/>
      <c r="AG457" s="80"/>
      <c r="AH457" s="80"/>
      <c r="AI457" s="80"/>
      <c r="AJ457" s="45">
        <f t="shared" si="451"/>
        <v>0</v>
      </c>
      <c r="AK457" s="45">
        <f t="shared" si="452"/>
        <v>0</v>
      </c>
      <c r="AL457" s="45">
        <f t="shared" si="453"/>
        <v>0</v>
      </c>
      <c r="AM457" s="45">
        <f t="shared" si="454"/>
        <v>0</v>
      </c>
      <c r="AN457" s="45">
        <f t="shared" si="455"/>
        <v>0</v>
      </c>
      <c r="AO457" s="45">
        <f t="shared" si="456"/>
        <v>0</v>
      </c>
      <c r="AP457" s="80">
        <f t="shared" si="457"/>
        <v>0</v>
      </c>
      <c r="AQ457" s="80">
        <f t="shared" si="458"/>
        <v>0</v>
      </c>
      <c r="AR457" s="80">
        <f t="shared" si="459"/>
        <v>0</v>
      </c>
      <c r="AS457" s="80">
        <f t="shared" si="460"/>
        <v>0</v>
      </c>
      <c r="AT457" s="80">
        <f t="shared" si="461"/>
        <v>0</v>
      </c>
      <c r="AU457" s="80">
        <f t="shared" si="462"/>
        <v>0</v>
      </c>
      <c r="AV457" s="80">
        <f t="shared" si="507"/>
        <v>62.008850501636388</v>
      </c>
      <c r="AW457" s="80">
        <f t="shared" si="508"/>
        <v>29.52370977957024</v>
      </c>
      <c r="AX457" s="80">
        <f t="shared" si="509"/>
        <v>17.365467362987705</v>
      </c>
      <c r="AY457" s="80">
        <f t="shared" si="510"/>
        <v>13.761112621092227</v>
      </c>
      <c r="AZ457" s="80">
        <f t="shared" si="511"/>
        <v>150.39331149537267</v>
      </c>
      <c r="BA457" s="80">
        <f t="shared" si="512"/>
        <v>66.520500622129703</v>
      </c>
      <c r="BB457" s="80">
        <f t="shared" si="488"/>
        <v>531.06090382974151</v>
      </c>
      <c r="BC457" s="80">
        <f t="shared" si="489"/>
        <v>201.39498101029085</v>
      </c>
      <c r="BD457" s="80">
        <f t="shared" si="490"/>
        <v>144.44191731976727</v>
      </c>
      <c r="BE457" s="80">
        <f t="shared" si="491"/>
        <v>107.46701594725356</v>
      </c>
      <c r="BF457" s="80">
        <f t="shared" si="492"/>
        <v>1050.9679030660593</v>
      </c>
      <c r="BG457" s="80">
        <f t="shared" si="493"/>
        <v>610.94536848017151</v>
      </c>
      <c r="BH457" s="49">
        <f t="shared" si="494"/>
        <v>0</v>
      </c>
      <c r="BI457" s="79">
        <f t="shared" si="495"/>
        <v>-95052.961498159653</v>
      </c>
      <c r="BJ457" s="79">
        <f t="shared" si="463"/>
        <v>146351.60354355761</v>
      </c>
      <c r="BK457" s="44">
        <f t="shared" si="496"/>
        <v>0.53968483713567572</v>
      </c>
      <c r="BL457" s="79">
        <f t="shared" si="513"/>
        <v>16129.216275905643</v>
      </c>
      <c r="BM457" s="49">
        <f t="shared" si="497"/>
        <v>162480.81981946324</v>
      </c>
      <c r="BN457" s="44">
        <f t="shared" si="498"/>
        <v>0.7093714625883496</v>
      </c>
      <c r="BO457" s="49">
        <f t="shared" si="464"/>
        <v>21182.092642657943</v>
      </c>
      <c r="BP457" s="49">
        <f t="shared" si="465"/>
        <v>167533.69618621556</v>
      </c>
      <c r="BQ457" s="44">
        <f t="shared" si="466"/>
        <v>0.76252999954619227</v>
      </c>
      <c r="BS457" s="49">
        <f t="shared" si="467"/>
        <v>95052.961498159653</v>
      </c>
      <c r="BT457" s="49">
        <f t="shared" si="443"/>
        <v>109.959999</v>
      </c>
      <c r="BU457" s="49">
        <f t="shared" si="444"/>
        <v>40.049999</v>
      </c>
      <c r="BV457" s="49">
        <f t="shared" si="468"/>
        <v>0</v>
      </c>
      <c r="BW457" s="18">
        <f t="shared" si="469"/>
        <v>2905</v>
      </c>
      <c r="BX457" s="19">
        <f t="shared" si="499"/>
        <v>0.33371559633027525</v>
      </c>
      <c r="BY457" s="49">
        <f t="shared" si="500"/>
        <v>0</v>
      </c>
      <c r="BZ457" s="19">
        <f t="shared" si="470"/>
        <v>0</v>
      </c>
      <c r="CA457" s="19">
        <f t="shared" si="471"/>
        <v>0</v>
      </c>
      <c r="CB457" s="19">
        <f t="shared" si="472"/>
        <v>0</v>
      </c>
      <c r="CC457" s="19">
        <f t="shared" si="473"/>
        <v>0</v>
      </c>
      <c r="CD457" s="19">
        <f t="shared" si="474"/>
        <v>0</v>
      </c>
      <c r="CE457" s="19">
        <f t="shared" si="475"/>
        <v>0</v>
      </c>
      <c r="CF457" s="49">
        <f t="shared" si="476"/>
        <v>0</v>
      </c>
      <c r="CG457" s="49">
        <f t="shared" si="477"/>
        <v>0</v>
      </c>
      <c r="CH457" s="49">
        <f t="shared" si="478"/>
        <v>0</v>
      </c>
      <c r="CI457" s="49">
        <f t="shared" si="479"/>
        <v>0</v>
      </c>
      <c r="CJ457" s="49">
        <f t="shared" si="480"/>
        <v>0</v>
      </c>
      <c r="CK457" s="49">
        <f t="shared" si="481"/>
        <v>0</v>
      </c>
    </row>
    <row r="458" spans="2:89" ht="12.75" customHeight="1" x14ac:dyDescent="0.2">
      <c r="B458" s="77">
        <v>42205</v>
      </c>
      <c r="C458" s="79">
        <v>107.55999799999999</v>
      </c>
      <c r="D458" s="79">
        <v>83.239998</v>
      </c>
      <c r="E458" s="79">
        <v>89.589995999999999</v>
      </c>
      <c r="F458" s="79">
        <v>105.139999</v>
      </c>
      <c r="G458" s="79">
        <v>39.68</v>
      </c>
      <c r="H458" s="79">
        <v>38.389999000000003</v>
      </c>
      <c r="I458" s="79"/>
      <c r="J458" s="78">
        <f>IF(inter=Weekly_2,J457+$C$5,IF(inter=Bi_weekly_2,J456+$C$5,IF(inter=Monthly_2,J454+$C$5,IF(inter=Quarterly_2,J445+$C$5,IF(inter=Yearly_2,J406+$C$5,IF(inter=None_2,0,0))))))</f>
        <v>144800</v>
      </c>
      <c r="K458" s="79">
        <f t="shared" si="482"/>
        <v>-228.76208213312202</v>
      </c>
      <c r="L458" s="79">
        <f t="shared" si="483"/>
        <v>-173.43572649736052</v>
      </c>
      <c r="M458" s="79">
        <f t="shared" si="484"/>
        <v>-199.22135667791918</v>
      </c>
      <c r="N458" s="79">
        <f t="shared" si="485"/>
        <v>-283.76141799330253</v>
      </c>
      <c r="O458" s="79">
        <f t="shared" si="486"/>
        <v>-465.20020647515048</v>
      </c>
      <c r="P458" s="79">
        <f t="shared" si="487"/>
        <v>-819.52986735464219</v>
      </c>
      <c r="Q458" s="79"/>
      <c r="R458" s="80">
        <f t="shared" si="445"/>
        <v>2.1268323390366932</v>
      </c>
      <c r="S458" s="80">
        <f t="shared" si="446"/>
        <v>2.083562357814575</v>
      </c>
      <c r="T458" s="80">
        <f t="shared" si="447"/>
        <v>2.2237009216734331</v>
      </c>
      <c r="U458" s="80">
        <f t="shared" si="448"/>
        <v>2.6988911992789966</v>
      </c>
      <c r="V458" s="80">
        <f t="shared" si="449"/>
        <v>11.723795526087462</v>
      </c>
      <c r="W458" s="80">
        <f t="shared" si="450"/>
        <v>21.347483425426557</v>
      </c>
      <c r="X458" s="80">
        <f t="shared" si="501"/>
        <v>471.1788856671418</v>
      </c>
      <c r="Y458" s="80">
        <f t="shared" si="502"/>
        <v>173.95483358853517</v>
      </c>
      <c r="Z458" s="80">
        <f t="shared" si="503"/>
        <v>129.300150878453</v>
      </c>
      <c r="AA458" s="80">
        <f t="shared" si="504"/>
        <v>96.404794525440337</v>
      </c>
      <c r="AB458" s="80">
        <f t="shared" si="505"/>
        <v>912.29838709677415</v>
      </c>
      <c r="AC458" s="80">
        <f t="shared" si="506"/>
        <v>565.77235128346831</v>
      </c>
      <c r="AD458" s="80"/>
      <c r="AE458" s="80"/>
      <c r="AF458" s="80"/>
      <c r="AG458" s="80"/>
      <c r="AH458" s="80"/>
      <c r="AI458" s="80"/>
      <c r="AJ458" s="45">
        <f t="shared" si="451"/>
        <v>0</v>
      </c>
      <c r="AK458" s="45">
        <f t="shared" si="452"/>
        <v>0</v>
      </c>
      <c r="AL458" s="45">
        <f t="shared" si="453"/>
        <v>0</v>
      </c>
      <c r="AM458" s="45">
        <f t="shared" si="454"/>
        <v>0</v>
      </c>
      <c r="AN458" s="45">
        <f t="shared" si="455"/>
        <v>0</v>
      </c>
      <c r="AO458" s="45">
        <f t="shared" si="456"/>
        <v>0</v>
      </c>
      <c r="AP458" s="80">
        <f t="shared" si="457"/>
        <v>0</v>
      </c>
      <c r="AQ458" s="80">
        <f t="shared" si="458"/>
        <v>0</v>
      </c>
      <c r="AR458" s="80">
        <f t="shared" si="459"/>
        <v>0</v>
      </c>
      <c r="AS458" s="80">
        <f t="shared" si="460"/>
        <v>0</v>
      </c>
      <c r="AT458" s="80">
        <f t="shared" si="461"/>
        <v>0</v>
      </c>
      <c r="AU458" s="80">
        <f t="shared" si="462"/>
        <v>0</v>
      </c>
      <c r="AV458" s="80">
        <f t="shared" si="507"/>
        <v>62.008850501636388</v>
      </c>
      <c r="AW458" s="80">
        <f t="shared" si="508"/>
        <v>29.52370977957024</v>
      </c>
      <c r="AX458" s="80">
        <f t="shared" si="509"/>
        <v>17.365467362987705</v>
      </c>
      <c r="AY458" s="80">
        <f t="shared" si="510"/>
        <v>13.761112621092227</v>
      </c>
      <c r="AZ458" s="80">
        <f t="shared" si="511"/>
        <v>150.39331149537267</v>
      </c>
      <c r="BA458" s="80">
        <f t="shared" si="512"/>
        <v>66.520500622129703</v>
      </c>
      <c r="BB458" s="80">
        <f t="shared" si="488"/>
        <v>533.1877361687782</v>
      </c>
      <c r="BC458" s="80">
        <f t="shared" si="489"/>
        <v>203.47854336810542</v>
      </c>
      <c r="BD458" s="80">
        <f t="shared" si="490"/>
        <v>146.66561824144071</v>
      </c>
      <c r="BE458" s="80">
        <f t="shared" si="491"/>
        <v>110.16590714653256</v>
      </c>
      <c r="BF458" s="80">
        <f t="shared" si="492"/>
        <v>1062.6916985921468</v>
      </c>
      <c r="BG458" s="80">
        <f t="shared" si="493"/>
        <v>632.29285190559801</v>
      </c>
      <c r="BH458" s="49">
        <f t="shared" si="494"/>
        <v>0</v>
      </c>
      <c r="BI458" s="79">
        <f t="shared" si="495"/>
        <v>-97222.872155291145</v>
      </c>
      <c r="BJ458" s="79">
        <f t="shared" si="463"/>
        <v>144800</v>
      </c>
      <c r="BK458" s="44">
        <f t="shared" si="496"/>
        <v>0.48936147215148451</v>
      </c>
      <c r="BL458" s="79">
        <f t="shared" si="513"/>
        <v>16129.216275905643</v>
      </c>
      <c r="BM458" s="49">
        <f t="shared" si="497"/>
        <v>160929.21627590564</v>
      </c>
      <c r="BN458" s="44">
        <f t="shared" si="498"/>
        <v>0.65526087337615668</v>
      </c>
      <c r="BO458" s="49">
        <f t="shared" si="464"/>
        <v>20651.169450250487</v>
      </c>
      <c r="BP458" s="49">
        <f t="shared" si="465"/>
        <v>165451.16945025048</v>
      </c>
      <c r="BQ458" s="44">
        <f t="shared" si="466"/>
        <v>0.70177208081222231</v>
      </c>
      <c r="BS458" s="49">
        <f t="shared" si="467"/>
        <v>97222.872155291145</v>
      </c>
      <c r="BT458" s="49">
        <f t="shared" si="443"/>
        <v>107.55999799999999</v>
      </c>
      <c r="BU458" s="49">
        <f t="shared" si="444"/>
        <v>38.389999000000003</v>
      </c>
      <c r="BV458" s="49">
        <f t="shared" si="468"/>
        <v>2169.9106571314969</v>
      </c>
      <c r="BW458" s="18">
        <f t="shared" si="469"/>
        <v>2912</v>
      </c>
      <c r="BX458" s="19">
        <f t="shared" si="499"/>
        <v>0.33211009174311928</v>
      </c>
      <c r="BY458" s="49">
        <f t="shared" si="500"/>
        <v>720.64922741431371</v>
      </c>
      <c r="BZ458" s="19">
        <f t="shared" si="470"/>
        <v>2.1268323390366932</v>
      </c>
      <c r="CA458" s="19">
        <f t="shared" si="471"/>
        <v>2.083562357814575</v>
      </c>
      <c r="CB458" s="19">
        <f t="shared" si="472"/>
        <v>2.2237009216734331</v>
      </c>
      <c r="CC458" s="19">
        <f t="shared" si="473"/>
        <v>2.6988911992789966</v>
      </c>
      <c r="CD458" s="19">
        <f t="shared" si="474"/>
        <v>11.723795526087462</v>
      </c>
      <c r="CE458" s="19">
        <f t="shared" si="475"/>
        <v>21.347483425426557</v>
      </c>
      <c r="CF458" s="49">
        <f t="shared" si="476"/>
        <v>-228.76208213312202</v>
      </c>
      <c r="CG458" s="49">
        <f t="shared" si="477"/>
        <v>-173.43572649736052</v>
      </c>
      <c r="CH458" s="49">
        <f t="shared" si="478"/>
        <v>-199.22135667791918</v>
      </c>
      <c r="CI458" s="49">
        <f t="shared" si="479"/>
        <v>-283.76141799330253</v>
      </c>
      <c r="CJ458" s="49">
        <f t="shared" si="480"/>
        <v>-465.20020647515048</v>
      </c>
      <c r="CK458" s="49">
        <f t="shared" si="481"/>
        <v>-819.52986735464219</v>
      </c>
    </row>
    <row r="459" spans="2:89" ht="12.75" customHeight="1" x14ac:dyDescent="0.2">
      <c r="B459" s="77">
        <v>42212</v>
      </c>
      <c r="C459" s="79">
        <v>108.839996</v>
      </c>
      <c r="D459" s="79">
        <v>84.199996999999996</v>
      </c>
      <c r="E459" s="79">
        <v>91.419998000000007</v>
      </c>
      <c r="F459" s="79">
        <v>106.790001</v>
      </c>
      <c r="G459" s="79">
        <v>40.229999999999997</v>
      </c>
      <c r="H459" s="79">
        <v>38.32</v>
      </c>
      <c r="I459" s="79"/>
      <c r="J459" s="78">
        <f>IF(inter=Weekly_2,J458+$C$5,IF(inter=Bi_weekly_2,0,IF(inter=Monthly_2,0,IF(inter=Quarterly_2,0,IF(inter=Yearly_2,0,IF(inter=None_2,0,0))))))</f>
        <v>0</v>
      </c>
      <c r="K459" s="79">
        <f t="shared" si="482"/>
        <v>0</v>
      </c>
      <c r="L459" s="79">
        <f t="shared" si="483"/>
        <v>0</v>
      </c>
      <c r="M459" s="79">
        <f t="shared" si="484"/>
        <v>0</v>
      </c>
      <c r="N459" s="79">
        <f t="shared" si="485"/>
        <v>0</v>
      </c>
      <c r="O459" s="79">
        <f t="shared" si="486"/>
        <v>0</v>
      </c>
      <c r="P459" s="79">
        <f t="shared" si="487"/>
        <v>0</v>
      </c>
      <c r="Q459" s="79"/>
      <c r="R459" s="80">
        <f t="shared" si="445"/>
        <v>0</v>
      </c>
      <c r="S459" s="80">
        <f t="shared" si="446"/>
        <v>0</v>
      </c>
      <c r="T459" s="80">
        <f t="shared" si="447"/>
        <v>0</v>
      </c>
      <c r="U459" s="80">
        <f t="shared" si="448"/>
        <v>0</v>
      </c>
      <c r="V459" s="80">
        <f t="shared" si="449"/>
        <v>0</v>
      </c>
      <c r="W459" s="80">
        <f t="shared" si="450"/>
        <v>0</v>
      </c>
      <c r="X459" s="80">
        <f t="shared" si="501"/>
        <v>471.1788856671418</v>
      </c>
      <c r="Y459" s="80">
        <f t="shared" si="502"/>
        <v>173.95483358853517</v>
      </c>
      <c r="Z459" s="80">
        <f t="shared" si="503"/>
        <v>129.300150878453</v>
      </c>
      <c r="AA459" s="80">
        <f t="shared" si="504"/>
        <v>96.404794525440337</v>
      </c>
      <c r="AB459" s="80">
        <f t="shared" si="505"/>
        <v>912.29838709677415</v>
      </c>
      <c r="AC459" s="80">
        <f t="shared" si="506"/>
        <v>565.77235128346831</v>
      </c>
      <c r="AD459" s="80"/>
      <c r="AE459" s="80"/>
      <c r="AF459" s="80"/>
      <c r="AG459" s="80"/>
      <c r="AH459" s="80"/>
      <c r="AI459" s="80"/>
      <c r="AJ459" s="45">
        <f t="shared" si="451"/>
        <v>0</v>
      </c>
      <c r="AK459" s="45">
        <f t="shared" si="452"/>
        <v>0</v>
      </c>
      <c r="AL459" s="45">
        <f t="shared" si="453"/>
        <v>0</v>
      </c>
      <c r="AM459" s="45">
        <f t="shared" si="454"/>
        <v>0</v>
      </c>
      <c r="AN459" s="45">
        <f t="shared" si="455"/>
        <v>0</v>
      </c>
      <c r="AO459" s="45">
        <f t="shared" si="456"/>
        <v>0</v>
      </c>
      <c r="AP459" s="80">
        <f t="shared" si="457"/>
        <v>0</v>
      </c>
      <c r="AQ459" s="80">
        <f t="shared" si="458"/>
        <v>0</v>
      </c>
      <c r="AR459" s="80">
        <f t="shared" si="459"/>
        <v>0</v>
      </c>
      <c r="AS459" s="80">
        <f t="shared" si="460"/>
        <v>0</v>
      </c>
      <c r="AT459" s="80">
        <f t="shared" si="461"/>
        <v>0</v>
      </c>
      <c r="AU459" s="80">
        <f t="shared" si="462"/>
        <v>0</v>
      </c>
      <c r="AV459" s="80">
        <f t="shared" si="507"/>
        <v>62.008850501636388</v>
      </c>
      <c r="AW459" s="80">
        <f t="shared" si="508"/>
        <v>29.52370977957024</v>
      </c>
      <c r="AX459" s="80">
        <f t="shared" si="509"/>
        <v>17.365467362987705</v>
      </c>
      <c r="AY459" s="80">
        <f t="shared" si="510"/>
        <v>13.761112621092227</v>
      </c>
      <c r="AZ459" s="80">
        <f t="shared" si="511"/>
        <v>150.39331149537267</v>
      </c>
      <c r="BA459" s="80">
        <f t="shared" si="512"/>
        <v>66.520500622129703</v>
      </c>
      <c r="BB459" s="80">
        <f t="shared" si="488"/>
        <v>533.1877361687782</v>
      </c>
      <c r="BC459" s="80">
        <f t="shared" si="489"/>
        <v>203.47854336810542</v>
      </c>
      <c r="BD459" s="80">
        <f t="shared" si="490"/>
        <v>146.66561824144071</v>
      </c>
      <c r="BE459" s="80">
        <f t="shared" si="491"/>
        <v>110.16590714653256</v>
      </c>
      <c r="BF459" s="80">
        <f t="shared" si="492"/>
        <v>1062.6916985921468</v>
      </c>
      <c r="BG459" s="80">
        <f t="shared" si="493"/>
        <v>632.29285190559801</v>
      </c>
      <c r="BH459" s="49">
        <f t="shared" si="494"/>
        <v>0</v>
      </c>
      <c r="BI459" s="79">
        <f t="shared" si="495"/>
        <v>-97222.872155291145</v>
      </c>
      <c r="BJ459" s="79">
        <f t="shared" si="463"/>
        <v>146427.95275015652</v>
      </c>
      <c r="BK459" s="44">
        <f t="shared" si="496"/>
        <v>0.50610601707252179</v>
      </c>
      <c r="BL459" s="79">
        <f t="shared" si="513"/>
        <v>16129.216275905643</v>
      </c>
      <c r="BM459" s="49">
        <f t="shared" si="497"/>
        <v>162557.16902606215</v>
      </c>
      <c r="BN459" s="44">
        <f t="shared" si="498"/>
        <v>0.67200541829719374</v>
      </c>
      <c r="BO459" s="49">
        <f t="shared" si="464"/>
        <v>20891.428042891192</v>
      </c>
      <c r="BP459" s="49">
        <f t="shared" si="465"/>
        <v>167319.38079304769</v>
      </c>
      <c r="BQ459" s="44">
        <f t="shared" si="466"/>
        <v>0.72098784045171516</v>
      </c>
      <c r="BS459" s="49">
        <f t="shared" si="467"/>
        <v>97222.872155291145</v>
      </c>
      <c r="BT459" s="49">
        <f t="shared" si="443"/>
        <v>108.839996</v>
      </c>
      <c r="BU459" s="49">
        <f t="shared" si="444"/>
        <v>38.32</v>
      </c>
      <c r="BV459" s="49">
        <f t="shared" si="468"/>
        <v>0</v>
      </c>
      <c r="BW459" s="18">
        <f t="shared" si="469"/>
        <v>2919</v>
      </c>
      <c r="BX459" s="19">
        <f t="shared" si="499"/>
        <v>0.33050458715596331</v>
      </c>
      <c r="BY459" s="49">
        <f t="shared" si="500"/>
        <v>0</v>
      </c>
      <c r="BZ459" s="19">
        <f t="shared" si="470"/>
        <v>0</v>
      </c>
      <c r="CA459" s="19">
        <f t="shared" si="471"/>
        <v>0</v>
      </c>
      <c r="CB459" s="19">
        <f t="shared" si="472"/>
        <v>0</v>
      </c>
      <c r="CC459" s="19">
        <f t="shared" si="473"/>
        <v>0</v>
      </c>
      <c r="CD459" s="19">
        <f t="shared" si="474"/>
        <v>0</v>
      </c>
      <c r="CE459" s="19">
        <f t="shared" si="475"/>
        <v>0</v>
      </c>
      <c r="CF459" s="49">
        <f t="shared" si="476"/>
        <v>0</v>
      </c>
      <c r="CG459" s="49">
        <f t="shared" si="477"/>
        <v>0</v>
      </c>
      <c r="CH459" s="49">
        <f t="shared" si="478"/>
        <v>0</v>
      </c>
      <c r="CI459" s="49">
        <f t="shared" si="479"/>
        <v>0</v>
      </c>
      <c r="CJ459" s="49">
        <f t="shared" si="480"/>
        <v>0</v>
      </c>
      <c r="CK459" s="49">
        <f t="shared" si="481"/>
        <v>0</v>
      </c>
    </row>
    <row r="460" spans="2:89" ht="12.75" customHeight="1" x14ac:dyDescent="0.2">
      <c r="B460" s="77">
        <v>42219</v>
      </c>
      <c r="C460" s="79">
        <v>107.43</v>
      </c>
      <c r="D460" s="79">
        <v>83.410004000000001</v>
      </c>
      <c r="E460" s="79">
        <v>90.709998999999996</v>
      </c>
      <c r="F460" s="79">
        <v>105.339996</v>
      </c>
      <c r="G460" s="79">
        <v>40.139999000000003</v>
      </c>
      <c r="H460" s="79">
        <v>37.540000999999997</v>
      </c>
      <c r="I460" s="79"/>
      <c r="J460" s="78">
        <f>IF(inter=Weekly_2,J459+$C$5,IF(inter=Bi_weekly_2,J458+$C$5,IF(inter=Monthly_2,0,IF(inter=Quarterly_2,0,IF(inter=Yearly_2,0,IF(inter=None_2,0,0))))))</f>
        <v>145400</v>
      </c>
      <c r="K460" s="79">
        <f t="shared" si="482"/>
        <v>-271.25231277895364</v>
      </c>
      <c r="L460" s="79">
        <f t="shared" si="483"/>
        <v>-30.426634560946695</v>
      </c>
      <c r="M460" s="79">
        <f t="shared" si="484"/>
        <v>96.816556884319652</v>
      </c>
      <c r="N460" s="79">
        <f t="shared" si="485"/>
        <v>-22.719330309295401</v>
      </c>
      <c r="O460" s="79">
        <f t="shared" si="486"/>
        <v>269.65634576613229</v>
      </c>
      <c r="P460" s="79">
        <f t="shared" si="487"/>
        <v>-570.90536704624901</v>
      </c>
      <c r="Q460" s="79"/>
      <c r="R460" s="80">
        <f t="shared" si="445"/>
        <v>2.5249214630825061</v>
      </c>
      <c r="S460" s="80">
        <f t="shared" si="446"/>
        <v>0.36478399594545874</v>
      </c>
      <c r="T460" s="80">
        <f t="shared" si="447"/>
        <v>-1.0673195673204632</v>
      </c>
      <c r="U460" s="80">
        <f t="shared" si="448"/>
        <v>0.2156762025061725</v>
      </c>
      <c r="V460" s="80">
        <f t="shared" si="449"/>
        <v>-6.7178961754865085</v>
      </c>
      <c r="W460" s="80">
        <f t="shared" si="450"/>
        <v>15.207920933359834</v>
      </c>
      <c r="X460" s="80">
        <f t="shared" si="501"/>
        <v>473.70380713022428</v>
      </c>
      <c r="Y460" s="80">
        <f t="shared" si="502"/>
        <v>174.31961758448062</v>
      </c>
      <c r="Z460" s="80">
        <f t="shared" si="503"/>
        <v>128.23283131113254</v>
      </c>
      <c r="AA460" s="80">
        <f t="shared" si="504"/>
        <v>96.620470727946511</v>
      </c>
      <c r="AB460" s="80">
        <f t="shared" si="505"/>
        <v>905.58049092128761</v>
      </c>
      <c r="AC460" s="80">
        <f t="shared" si="506"/>
        <v>580.9802722168281</v>
      </c>
      <c r="AD460" s="80"/>
      <c r="AE460" s="80"/>
      <c r="AF460" s="80"/>
      <c r="AG460" s="80"/>
      <c r="AH460" s="80"/>
      <c r="AI460" s="80"/>
      <c r="AJ460" s="45">
        <f t="shared" si="451"/>
        <v>0</v>
      </c>
      <c r="AK460" s="45">
        <f t="shared" si="452"/>
        <v>0</v>
      </c>
      <c r="AL460" s="45">
        <f t="shared" si="453"/>
        <v>0</v>
      </c>
      <c r="AM460" s="45">
        <f t="shared" si="454"/>
        <v>0</v>
      </c>
      <c r="AN460" s="45">
        <f t="shared" si="455"/>
        <v>0</v>
      </c>
      <c r="AO460" s="45">
        <f t="shared" si="456"/>
        <v>0</v>
      </c>
      <c r="AP460" s="80">
        <f t="shared" si="457"/>
        <v>0</v>
      </c>
      <c r="AQ460" s="80">
        <f t="shared" si="458"/>
        <v>0</v>
      </c>
      <c r="AR460" s="80">
        <f t="shared" si="459"/>
        <v>0</v>
      </c>
      <c r="AS460" s="80">
        <f t="shared" si="460"/>
        <v>0</v>
      </c>
      <c r="AT460" s="80">
        <f t="shared" si="461"/>
        <v>0</v>
      </c>
      <c r="AU460" s="80">
        <f t="shared" si="462"/>
        <v>0</v>
      </c>
      <c r="AV460" s="80">
        <f t="shared" si="507"/>
        <v>62.008850501636388</v>
      </c>
      <c r="AW460" s="80">
        <f t="shared" si="508"/>
        <v>29.52370977957024</v>
      </c>
      <c r="AX460" s="80">
        <f t="shared" si="509"/>
        <v>17.365467362987705</v>
      </c>
      <c r="AY460" s="80">
        <f t="shared" si="510"/>
        <v>13.761112621092227</v>
      </c>
      <c r="AZ460" s="80">
        <f t="shared" si="511"/>
        <v>150.39331149537267</v>
      </c>
      <c r="BA460" s="80">
        <f t="shared" si="512"/>
        <v>66.520500622129703</v>
      </c>
      <c r="BB460" s="80">
        <f t="shared" si="488"/>
        <v>535.71265763186068</v>
      </c>
      <c r="BC460" s="80">
        <f t="shared" si="489"/>
        <v>203.84332736405088</v>
      </c>
      <c r="BD460" s="80">
        <f t="shared" si="490"/>
        <v>145.59829867412026</v>
      </c>
      <c r="BE460" s="80">
        <f t="shared" si="491"/>
        <v>110.38158334903873</v>
      </c>
      <c r="BF460" s="80">
        <f t="shared" si="492"/>
        <v>1055.9738024166602</v>
      </c>
      <c r="BG460" s="80">
        <f t="shared" si="493"/>
        <v>647.5007728389578</v>
      </c>
      <c r="BH460" s="49">
        <f t="shared" si="494"/>
        <v>0</v>
      </c>
      <c r="BI460" s="79">
        <f t="shared" si="495"/>
        <v>-97751.70289733613</v>
      </c>
      <c r="BJ460" s="79">
        <f t="shared" si="463"/>
        <v>145400</v>
      </c>
      <c r="BK460" s="44">
        <f t="shared" si="496"/>
        <v>0.48744211804378046</v>
      </c>
      <c r="BL460" s="79">
        <f t="shared" si="513"/>
        <v>16129.216275905643</v>
      </c>
      <c r="BM460" s="49">
        <f t="shared" si="497"/>
        <v>161529.21627590564</v>
      </c>
      <c r="BN460" s="44">
        <f t="shared" si="498"/>
        <v>0.65244401364088689</v>
      </c>
      <c r="BO460" s="49">
        <f t="shared" si="464"/>
        <v>20682.96766869834</v>
      </c>
      <c r="BP460" s="49">
        <f t="shared" si="465"/>
        <v>166082.96766869834</v>
      </c>
      <c r="BQ460" s="44">
        <f t="shared" si="466"/>
        <v>0.69902889408614421</v>
      </c>
      <c r="BS460" s="49">
        <f t="shared" si="467"/>
        <v>97751.70289733613</v>
      </c>
      <c r="BT460" s="49">
        <f t="shared" si="443"/>
        <v>107.43</v>
      </c>
      <c r="BU460" s="49">
        <f t="shared" si="444"/>
        <v>37.540000999999997</v>
      </c>
      <c r="BV460" s="49">
        <f t="shared" si="468"/>
        <v>528.8307420449928</v>
      </c>
      <c r="BW460" s="18">
        <f t="shared" si="469"/>
        <v>2926</v>
      </c>
      <c r="BX460" s="19">
        <f t="shared" si="499"/>
        <v>0.32889908256880734</v>
      </c>
      <c r="BY460" s="49">
        <f t="shared" si="500"/>
        <v>173.93194589277974</v>
      </c>
      <c r="BZ460" s="19">
        <f t="shared" si="470"/>
        <v>2.5249214630825061</v>
      </c>
      <c r="CA460" s="19">
        <f t="shared" si="471"/>
        <v>0.36478399594545874</v>
      </c>
      <c r="CB460" s="19">
        <f t="shared" si="472"/>
        <v>0</v>
      </c>
      <c r="CC460" s="19">
        <f t="shared" si="473"/>
        <v>0.2156762025061725</v>
      </c>
      <c r="CD460" s="19">
        <f t="shared" si="474"/>
        <v>0</v>
      </c>
      <c r="CE460" s="19">
        <f t="shared" si="475"/>
        <v>15.207920933359834</v>
      </c>
      <c r="CF460" s="49">
        <f t="shared" si="476"/>
        <v>-271.25231277895364</v>
      </c>
      <c r="CG460" s="49">
        <f t="shared" si="477"/>
        <v>-30.426634560946695</v>
      </c>
      <c r="CH460" s="49">
        <f t="shared" si="478"/>
        <v>0</v>
      </c>
      <c r="CI460" s="49">
        <f t="shared" si="479"/>
        <v>-22.719330309295401</v>
      </c>
      <c r="CJ460" s="49">
        <f t="shared" si="480"/>
        <v>0</v>
      </c>
      <c r="CK460" s="49">
        <f t="shared" si="481"/>
        <v>-570.90536704624901</v>
      </c>
    </row>
    <row r="461" spans="2:89" ht="12.75" customHeight="1" x14ac:dyDescent="0.2">
      <c r="B461" s="77">
        <v>42226</v>
      </c>
      <c r="C461" s="79">
        <v>108.160004</v>
      </c>
      <c r="D461" s="79">
        <v>84.089995999999999</v>
      </c>
      <c r="E461" s="79">
        <v>91.970000999999996</v>
      </c>
      <c r="F461" s="79">
        <v>106.349998</v>
      </c>
      <c r="G461" s="79">
        <v>39.790000999999997</v>
      </c>
      <c r="H461" s="79">
        <v>36.82</v>
      </c>
      <c r="I461" s="79"/>
      <c r="J461" s="78">
        <f>IF(inter=Weekly_2,J460+$C$5,IF(inter=Bi_weekly_2,0,IF(inter=Monthly_2,0,IF(inter=Quarterly_2,0,IF(inter=Yearly_2,0,IF(inter=None_2,0,0))))))</f>
        <v>0</v>
      </c>
      <c r="K461" s="79">
        <f t="shared" si="482"/>
        <v>0</v>
      </c>
      <c r="L461" s="79">
        <f t="shared" si="483"/>
        <v>0</v>
      </c>
      <c r="M461" s="79">
        <f t="shared" si="484"/>
        <v>0</v>
      </c>
      <c r="N461" s="79">
        <f t="shared" si="485"/>
        <v>0</v>
      </c>
      <c r="O461" s="79">
        <f t="shared" si="486"/>
        <v>0</v>
      </c>
      <c r="P461" s="79">
        <f t="shared" si="487"/>
        <v>0</v>
      </c>
      <c r="Q461" s="79"/>
      <c r="R461" s="80">
        <f t="shared" si="445"/>
        <v>0</v>
      </c>
      <c r="S461" s="80">
        <f t="shared" si="446"/>
        <v>0</v>
      </c>
      <c r="T461" s="80">
        <f t="shared" si="447"/>
        <v>0</v>
      </c>
      <c r="U461" s="80">
        <f t="shared" si="448"/>
        <v>0</v>
      </c>
      <c r="V461" s="80">
        <f t="shared" si="449"/>
        <v>0</v>
      </c>
      <c r="W461" s="80">
        <f t="shared" si="450"/>
        <v>0</v>
      </c>
      <c r="X461" s="80">
        <f t="shared" si="501"/>
        <v>473.70380713022428</v>
      </c>
      <c r="Y461" s="80">
        <f t="shared" si="502"/>
        <v>174.31961758448062</v>
      </c>
      <c r="Z461" s="80">
        <f t="shared" si="503"/>
        <v>128.23283131113254</v>
      </c>
      <c r="AA461" s="80">
        <f t="shared" si="504"/>
        <v>96.620470727946511</v>
      </c>
      <c r="AB461" s="80">
        <f t="shared" si="505"/>
        <v>905.58049092128761</v>
      </c>
      <c r="AC461" s="80">
        <f t="shared" si="506"/>
        <v>580.9802722168281</v>
      </c>
      <c r="AD461" s="80"/>
      <c r="AE461" s="80"/>
      <c r="AF461" s="80"/>
      <c r="AG461" s="80"/>
      <c r="AH461" s="80"/>
      <c r="AI461" s="80"/>
      <c r="AJ461" s="45">
        <f t="shared" si="451"/>
        <v>0</v>
      </c>
      <c r="AK461" s="45">
        <f t="shared" si="452"/>
        <v>0</v>
      </c>
      <c r="AL461" s="45">
        <f t="shared" si="453"/>
        <v>0</v>
      </c>
      <c r="AM461" s="45">
        <f t="shared" si="454"/>
        <v>0</v>
      </c>
      <c r="AN461" s="45">
        <f t="shared" si="455"/>
        <v>0</v>
      </c>
      <c r="AO461" s="45">
        <f t="shared" si="456"/>
        <v>0</v>
      </c>
      <c r="AP461" s="80">
        <f t="shared" si="457"/>
        <v>0</v>
      </c>
      <c r="AQ461" s="80">
        <f t="shared" si="458"/>
        <v>0</v>
      </c>
      <c r="AR461" s="80">
        <f t="shared" si="459"/>
        <v>0</v>
      </c>
      <c r="AS461" s="80">
        <f t="shared" si="460"/>
        <v>0</v>
      </c>
      <c r="AT461" s="80">
        <f t="shared" si="461"/>
        <v>0</v>
      </c>
      <c r="AU461" s="80">
        <f t="shared" si="462"/>
        <v>0</v>
      </c>
      <c r="AV461" s="80">
        <f t="shared" si="507"/>
        <v>62.008850501636388</v>
      </c>
      <c r="AW461" s="80">
        <f t="shared" si="508"/>
        <v>29.52370977957024</v>
      </c>
      <c r="AX461" s="80">
        <f t="shared" si="509"/>
        <v>17.365467362987705</v>
      </c>
      <c r="AY461" s="80">
        <f t="shared" si="510"/>
        <v>13.761112621092227</v>
      </c>
      <c r="AZ461" s="80">
        <f t="shared" si="511"/>
        <v>150.39331149537267</v>
      </c>
      <c r="BA461" s="80">
        <f t="shared" si="512"/>
        <v>66.520500622129703</v>
      </c>
      <c r="BB461" s="80">
        <f t="shared" si="488"/>
        <v>535.71265763186068</v>
      </c>
      <c r="BC461" s="80">
        <f t="shared" si="489"/>
        <v>203.84332736405088</v>
      </c>
      <c r="BD461" s="80">
        <f t="shared" si="490"/>
        <v>145.59829867412026</v>
      </c>
      <c r="BE461" s="80">
        <f t="shared" si="491"/>
        <v>110.38158334903873</v>
      </c>
      <c r="BF461" s="80">
        <f t="shared" si="492"/>
        <v>1055.9738024166602</v>
      </c>
      <c r="BG461" s="80">
        <f t="shared" si="493"/>
        <v>647.5007728389578</v>
      </c>
      <c r="BH461" s="49">
        <f t="shared" si="494"/>
        <v>0</v>
      </c>
      <c r="BI461" s="79">
        <f t="shared" si="495"/>
        <v>-97751.70289733613</v>
      </c>
      <c r="BJ461" s="79">
        <f t="shared" si="463"/>
        <v>145388.24437437678</v>
      </c>
      <c r="BK461" s="44">
        <f t="shared" si="496"/>
        <v>0.48732185798411098</v>
      </c>
      <c r="BL461" s="79">
        <f t="shared" si="513"/>
        <v>16129.216275905643</v>
      </c>
      <c r="BM461" s="49">
        <f t="shared" si="497"/>
        <v>161517.46065028242</v>
      </c>
      <c r="BN461" s="44">
        <f t="shared" si="498"/>
        <v>0.65232375358121764</v>
      </c>
      <c r="BO461" s="49">
        <f t="shared" si="464"/>
        <v>20683.557353732998</v>
      </c>
      <c r="BP461" s="49">
        <f t="shared" si="465"/>
        <v>166071.80172810977</v>
      </c>
      <c r="BQ461" s="44">
        <f t="shared" si="466"/>
        <v>0.69891466650485801</v>
      </c>
      <c r="BS461" s="49">
        <f t="shared" si="467"/>
        <v>97751.70289733613</v>
      </c>
      <c r="BT461" s="49">
        <f t="shared" si="443"/>
        <v>108.160004</v>
      </c>
      <c r="BU461" s="49">
        <f t="shared" si="444"/>
        <v>36.82</v>
      </c>
      <c r="BV461" s="49">
        <f t="shared" si="468"/>
        <v>0</v>
      </c>
      <c r="BW461" s="18">
        <f t="shared" si="469"/>
        <v>2933</v>
      </c>
      <c r="BX461" s="19">
        <f t="shared" si="499"/>
        <v>0.32729357798165137</v>
      </c>
      <c r="BY461" s="49">
        <f t="shared" si="500"/>
        <v>0</v>
      </c>
      <c r="BZ461" s="19">
        <f t="shared" si="470"/>
        <v>0</v>
      </c>
      <c r="CA461" s="19">
        <f t="shared" si="471"/>
        <v>0</v>
      </c>
      <c r="CB461" s="19">
        <f t="shared" si="472"/>
        <v>0</v>
      </c>
      <c r="CC461" s="19">
        <f t="shared" si="473"/>
        <v>0</v>
      </c>
      <c r="CD461" s="19">
        <f t="shared" si="474"/>
        <v>0</v>
      </c>
      <c r="CE461" s="19">
        <f t="shared" si="475"/>
        <v>0</v>
      </c>
      <c r="CF461" s="49">
        <f t="shared" si="476"/>
        <v>0</v>
      </c>
      <c r="CG461" s="49">
        <f t="shared" si="477"/>
        <v>0</v>
      </c>
      <c r="CH461" s="49">
        <f t="shared" si="478"/>
        <v>0</v>
      </c>
      <c r="CI461" s="49">
        <f t="shared" si="479"/>
        <v>0</v>
      </c>
      <c r="CJ461" s="49">
        <f t="shared" si="480"/>
        <v>0</v>
      </c>
      <c r="CK461" s="49">
        <f t="shared" si="481"/>
        <v>0</v>
      </c>
    </row>
    <row r="462" spans="2:89" ht="12.75" customHeight="1" x14ac:dyDescent="0.2">
      <c r="B462" s="77">
        <v>42233</v>
      </c>
      <c r="C462" s="79">
        <v>102.230003</v>
      </c>
      <c r="D462" s="79">
        <v>79.540001000000004</v>
      </c>
      <c r="E462" s="79">
        <v>87.599997999999999</v>
      </c>
      <c r="F462" s="79">
        <v>101.30999799999999</v>
      </c>
      <c r="G462" s="79">
        <v>37.159999999999997</v>
      </c>
      <c r="H462" s="79">
        <v>33.860000999999997</v>
      </c>
      <c r="I462" s="79"/>
      <c r="J462" s="78">
        <f>IF(inter=Weekly_2,J461+$C$5,IF(inter=Bi_weekly_2,J460+$C$5,IF(inter=Monthly_2,J458+$C$5,IF(inter=Quarterly_2,0,IF(inter=Yearly_2,0,IF(inter=None_2,0,0))))))</f>
        <v>146000</v>
      </c>
      <c r="K462" s="79">
        <f t="shared" si="482"/>
        <v>-2673.25837596575</v>
      </c>
      <c r="L462" s="79">
        <f t="shared" si="483"/>
        <v>-734.61744301079307</v>
      </c>
      <c r="M462" s="79">
        <f t="shared" si="484"/>
        <v>-446.80423361045177</v>
      </c>
      <c r="N462" s="79">
        <f t="shared" si="485"/>
        <v>-431.38030379268275</v>
      </c>
      <c r="O462" s="79">
        <f t="shared" si="486"/>
        <v>-2848.6289573649556</v>
      </c>
      <c r="P462" s="79">
        <f t="shared" si="487"/>
        <v>-2228.0074017579318</v>
      </c>
      <c r="Q462" s="79"/>
      <c r="R462" s="80">
        <f t="shared" si="445"/>
        <v>26.149450234934946</v>
      </c>
      <c r="S462" s="80">
        <f t="shared" si="446"/>
        <v>9.2358239096677028</v>
      </c>
      <c r="T462" s="80">
        <f t="shared" si="447"/>
        <v>5.1005050663408893</v>
      </c>
      <c r="U462" s="80">
        <f t="shared" si="448"/>
        <v>4.258023021505565</v>
      </c>
      <c r="V462" s="80">
        <f t="shared" si="449"/>
        <v>76.658475709498276</v>
      </c>
      <c r="W462" s="80">
        <f t="shared" si="450"/>
        <v>65.800571056035466</v>
      </c>
      <c r="X462" s="80">
        <f t="shared" si="501"/>
        <v>499.85325736515921</v>
      </c>
      <c r="Y462" s="80">
        <f t="shared" si="502"/>
        <v>183.55544149414834</v>
      </c>
      <c r="Z462" s="80">
        <f t="shared" si="503"/>
        <v>133.33333637747344</v>
      </c>
      <c r="AA462" s="80">
        <f t="shared" si="504"/>
        <v>100.87849374945208</v>
      </c>
      <c r="AB462" s="80">
        <f t="shared" si="505"/>
        <v>982.23896663078585</v>
      </c>
      <c r="AC462" s="80">
        <f t="shared" si="506"/>
        <v>646.78084327286354</v>
      </c>
      <c r="AD462" s="80"/>
      <c r="AE462" s="80"/>
      <c r="AF462" s="80"/>
      <c r="AG462" s="80"/>
      <c r="AH462" s="80"/>
      <c r="AI462" s="80"/>
      <c r="AJ462" s="45">
        <f t="shared" si="451"/>
        <v>0</v>
      </c>
      <c r="AK462" s="45">
        <f t="shared" si="452"/>
        <v>0</v>
      </c>
      <c r="AL462" s="45">
        <f t="shared" si="453"/>
        <v>0</v>
      </c>
      <c r="AM462" s="45">
        <f t="shared" si="454"/>
        <v>0</v>
      </c>
      <c r="AN462" s="45">
        <f t="shared" si="455"/>
        <v>0</v>
      </c>
      <c r="AO462" s="45">
        <f t="shared" si="456"/>
        <v>0</v>
      </c>
      <c r="AP462" s="80">
        <f t="shared" si="457"/>
        <v>0</v>
      </c>
      <c r="AQ462" s="80">
        <f t="shared" si="458"/>
        <v>0</v>
      </c>
      <c r="AR462" s="80">
        <f t="shared" si="459"/>
        <v>0</v>
      </c>
      <c r="AS462" s="80">
        <f t="shared" si="460"/>
        <v>0</v>
      </c>
      <c r="AT462" s="80">
        <f t="shared" si="461"/>
        <v>0</v>
      </c>
      <c r="AU462" s="80">
        <f t="shared" si="462"/>
        <v>0</v>
      </c>
      <c r="AV462" s="80">
        <f t="shared" si="507"/>
        <v>62.008850501636388</v>
      </c>
      <c r="AW462" s="80">
        <f t="shared" si="508"/>
        <v>29.52370977957024</v>
      </c>
      <c r="AX462" s="80">
        <f t="shared" si="509"/>
        <v>17.365467362987705</v>
      </c>
      <c r="AY462" s="80">
        <f t="shared" si="510"/>
        <v>13.761112621092227</v>
      </c>
      <c r="AZ462" s="80">
        <f t="shared" si="511"/>
        <v>150.39331149537267</v>
      </c>
      <c r="BA462" s="80">
        <f t="shared" si="512"/>
        <v>66.520500622129703</v>
      </c>
      <c r="BB462" s="80">
        <f t="shared" si="488"/>
        <v>561.86210786679555</v>
      </c>
      <c r="BC462" s="80">
        <f t="shared" si="489"/>
        <v>213.07915127371859</v>
      </c>
      <c r="BD462" s="80">
        <f t="shared" si="490"/>
        <v>150.69880374046116</v>
      </c>
      <c r="BE462" s="80">
        <f t="shared" si="491"/>
        <v>114.6396063705443</v>
      </c>
      <c r="BF462" s="80">
        <f t="shared" si="492"/>
        <v>1132.6322781261586</v>
      </c>
      <c r="BG462" s="80">
        <f t="shared" si="493"/>
        <v>713.30134389499324</v>
      </c>
      <c r="BH462" s="49">
        <f t="shared" si="494"/>
        <v>0</v>
      </c>
      <c r="BI462" s="79">
        <f t="shared" si="495"/>
        <v>-107114.39961283871</v>
      </c>
      <c r="BJ462" s="79">
        <f t="shared" si="463"/>
        <v>146000</v>
      </c>
      <c r="BK462" s="44">
        <f t="shared" si="496"/>
        <v>0.3630286920125767</v>
      </c>
      <c r="BL462" s="79">
        <f t="shared" si="513"/>
        <v>16129.216275905643</v>
      </c>
      <c r="BM462" s="49">
        <f t="shared" si="497"/>
        <v>162129.21627590564</v>
      </c>
      <c r="BN462" s="44">
        <f t="shared" si="498"/>
        <v>0.51360803833953317</v>
      </c>
      <c r="BO462" s="49">
        <f t="shared" si="464"/>
        <v>19443.833749340843</v>
      </c>
      <c r="BP462" s="49">
        <f t="shared" si="465"/>
        <v>165443.83374934085</v>
      </c>
      <c r="BQ462" s="44">
        <f t="shared" si="466"/>
        <v>0.54455268710212512</v>
      </c>
      <c r="BS462" s="49">
        <f t="shared" si="467"/>
        <v>107114.39961283871</v>
      </c>
      <c r="BT462" s="49">
        <f t="shared" si="443"/>
        <v>102.230003</v>
      </c>
      <c r="BU462" s="49">
        <f t="shared" si="444"/>
        <v>33.860000999999997</v>
      </c>
      <c r="BV462" s="49">
        <f t="shared" si="468"/>
        <v>9362.696715502565</v>
      </c>
      <c r="BW462" s="18">
        <f t="shared" si="469"/>
        <v>2940</v>
      </c>
      <c r="BX462" s="19">
        <f t="shared" si="499"/>
        <v>0.3256880733944954</v>
      </c>
      <c r="BY462" s="49">
        <f t="shared" si="500"/>
        <v>3049.3186550490004</v>
      </c>
      <c r="BZ462" s="19">
        <f t="shared" si="470"/>
        <v>26.149450234934946</v>
      </c>
      <c r="CA462" s="19">
        <f t="shared" si="471"/>
        <v>9.2358239096677028</v>
      </c>
      <c r="CB462" s="19">
        <f t="shared" si="472"/>
        <v>5.1005050663408893</v>
      </c>
      <c r="CC462" s="19">
        <f t="shared" si="473"/>
        <v>4.258023021505565</v>
      </c>
      <c r="CD462" s="19">
        <f t="shared" si="474"/>
        <v>76.658475709498276</v>
      </c>
      <c r="CE462" s="19">
        <f t="shared" si="475"/>
        <v>65.800571056035466</v>
      </c>
      <c r="CF462" s="49">
        <f t="shared" si="476"/>
        <v>-2673.25837596575</v>
      </c>
      <c r="CG462" s="49">
        <f t="shared" si="477"/>
        <v>-734.61744301079307</v>
      </c>
      <c r="CH462" s="49">
        <f t="shared" si="478"/>
        <v>-446.80423361045177</v>
      </c>
      <c r="CI462" s="49">
        <f t="shared" si="479"/>
        <v>-431.38030379268275</v>
      </c>
      <c r="CJ462" s="49">
        <f t="shared" si="480"/>
        <v>-2848.6289573649556</v>
      </c>
      <c r="CK462" s="49">
        <f t="shared" si="481"/>
        <v>-2228.0074017579318</v>
      </c>
    </row>
    <row r="463" spans="2:89" ht="12.75" customHeight="1" x14ac:dyDescent="0.2">
      <c r="B463" s="77">
        <v>42240</v>
      </c>
      <c r="C463" s="79">
        <v>102.980003</v>
      </c>
      <c r="D463" s="79">
        <v>79.699996999999996</v>
      </c>
      <c r="E463" s="79">
        <v>87.779999000000004</v>
      </c>
      <c r="F463" s="79">
        <v>101.80999799999999</v>
      </c>
      <c r="G463" s="79">
        <v>37.599997999999999</v>
      </c>
      <c r="H463" s="79">
        <v>34.610000999999997</v>
      </c>
      <c r="I463" s="79"/>
      <c r="J463" s="78">
        <f>IF(inter=Weekly_2,J462+$C$5,IF(inter=Bi_weekly_2,0,IF(inter=Monthly_2,0,IF(inter=Quarterly_2,0,IF(inter=Yearly_2,0,IF(inter=None_2,0,0))))))</f>
        <v>0</v>
      </c>
      <c r="K463" s="79">
        <f t="shared" si="482"/>
        <v>0</v>
      </c>
      <c r="L463" s="79">
        <f t="shared" si="483"/>
        <v>0</v>
      </c>
      <c r="M463" s="79">
        <f t="shared" si="484"/>
        <v>0</v>
      </c>
      <c r="N463" s="79">
        <f t="shared" si="485"/>
        <v>0</v>
      </c>
      <c r="O463" s="79">
        <f t="shared" si="486"/>
        <v>0</v>
      </c>
      <c r="P463" s="79">
        <f t="shared" si="487"/>
        <v>0</v>
      </c>
      <c r="Q463" s="79"/>
      <c r="R463" s="80">
        <f t="shared" si="445"/>
        <v>0</v>
      </c>
      <c r="S463" s="80">
        <f t="shared" si="446"/>
        <v>0</v>
      </c>
      <c r="T463" s="80">
        <f t="shared" si="447"/>
        <v>0</v>
      </c>
      <c r="U463" s="80">
        <f t="shared" si="448"/>
        <v>0</v>
      </c>
      <c r="V463" s="80">
        <f t="shared" si="449"/>
        <v>0</v>
      </c>
      <c r="W463" s="80">
        <f t="shared" si="450"/>
        <v>0</v>
      </c>
      <c r="X463" s="80">
        <f t="shared" si="501"/>
        <v>499.85325736515921</v>
      </c>
      <c r="Y463" s="80">
        <f t="shared" si="502"/>
        <v>183.55544149414834</v>
      </c>
      <c r="Z463" s="80">
        <f t="shared" si="503"/>
        <v>133.33333637747344</v>
      </c>
      <c r="AA463" s="80">
        <f t="shared" si="504"/>
        <v>100.87849374945208</v>
      </c>
      <c r="AB463" s="80">
        <f t="shared" si="505"/>
        <v>982.23896663078585</v>
      </c>
      <c r="AC463" s="80">
        <f t="shared" si="506"/>
        <v>646.78084327286354</v>
      </c>
      <c r="AD463" s="80"/>
      <c r="AE463" s="80"/>
      <c r="AF463" s="80"/>
      <c r="AG463" s="80"/>
      <c r="AH463" s="80"/>
      <c r="AI463" s="80"/>
      <c r="AJ463" s="45">
        <f t="shared" si="451"/>
        <v>0</v>
      </c>
      <c r="AK463" s="45">
        <f t="shared" si="452"/>
        <v>0</v>
      </c>
      <c r="AL463" s="45">
        <f t="shared" si="453"/>
        <v>0</v>
      </c>
      <c r="AM463" s="45">
        <f t="shared" si="454"/>
        <v>0</v>
      </c>
      <c r="AN463" s="45">
        <f t="shared" si="455"/>
        <v>0</v>
      </c>
      <c r="AO463" s="45">
        <f t="shared" si="456"/>
        <v>0</v>
      </c>
      <c r="AP463" s="80">
        <f t="shared" si="457"/>
        <v>0</v>
      </c>
      <c r="AQ463" s="80">
        <f t="shared" si="458"/>
        <v>0</v>
      </c>
      <c r="AR463" s="80">
        <f t="shared" si="459"/>
        <v>0</v>
      </c>
      <c r="AS463" s="80">
        <f t="shared" si="460"/>
        <v>0</v>
      </c>
      <c r="AT463" s="80">
        <f t="shared" si="461"/>
        <v>0</v>
      </c>
      <c r="AU463" s="80">
        <f t="shared" si="462"/>
        <v>0</v>
      </c>
      <c r="AV463" s="80">
        <f t="shared" si="507"/>
        <v>62.008850501636388</v>
      </c>
      <c r="AW463" s="80">
        <f t="shared" si="508"/>
        <v>29.52370977957024</v>
      </c>
      <c r="AX463" s="80">
        <f t="shared" si="509"/>
        <v>17.365467362987705</v>
      </c>
      <c r="AY463" s="80">
        <f t="shared" si="510"/>
        <v>13.761112621092227</v>
      </c>
      <c r="AZ463" s="80">
        <f t="shared" si="511"/>
        <v>150.39331149537267</v>
      </c>
      <c r="BA463" s="80">
        <f t="shared" si="512"/>
        <v>66.520500622129703</v>
      </c>
      <c r="BB463" s="80">
        <f t="shared" si="488"/>
        <v>561.86210786679555</v>
      </c>
      <c r="BC463" s="80">
        <f t="shared" si="489"/>
        <v>213.07915127371859</v>
      </c>
      <c r="BD463" s="80">
        <f t="shared" si="490"/>
        <v>150.69880374046116</v>
      </c>
      <c r="BE463" s="80">
        <f t="shared" si="491"/>
        <v>114.6396063705443</v>
      </c>
      <c r="BF463" s="80">
        <f t="shared" si="492"/>
        <v>1132.6322781261586</v>
      </c>
      <c r="BG463" s="80">
        <f t="shared" si="493"/>
        <v>713.30134389499324</v>
      </c>
      <c r="BH463" s="49">
        <f t="shared" si="494"/>
        <v>0</v>
      </c>
      <c r="BI463" s="79">
        <f t="shared" si="495"/>
        <v>-107114.39961283871</v>
      </c>
      <c r="BJ463" s="79">
        <f t="shared" si="463"/>
        <v>147395.96627349145</v>
      </c>
      <c r="BK463" s="44">
        <f t="shared" si="496"/>
        <v>0.37606117203895151</v>
      </c>
      <c r="BL463" s="79">
        <f t="shared" si="513"/>
        <v>16129.216275905643</v>
      </c>
      <c r="BM463" s="49">
        <f t="shared" si="497"/>
        <v>163525.18254939708</v>
      </c>
      <c r="BN463" s="44">
        <f t="shared" si="498"/>
        <v>0.52664051836590775</v>
      </c>
      <c r="BO463" s="49">
        <f t="shared" si="464"/>
        <v>19621.133552226253</v>
      </c>
      <c r="BP463" s="49">
        <f t="shared" si="465"/>
        <v>167017.09982571768</v>
      </c>
      <c r="BQ463" s="44">
        <f t="shared" si="466"/>
        <v>0.55924040492590366</v>
      </c>
      <c r="BS463" s="49">
        <f t="shared" si="467"/>
        <v>107114.39961283871</v>
      </c>
      <c r="BT463" s="49">
        <f t="shared" si="443"/>
        <v>102.980003</v>
      </c>
      <c r="BU463" s="49">
        <f t="shared" si="444"/>
        <v>34.610000999999997</v>
      </c>
      <c r="BV463" s="49">
        <f t="shared" si="468"/>
        <v>0</v>
      </c>
      <c r="BW463" s="18">
        <f t="shared" si="469"/>
        <v>2947</v>
      </c>
      <c r="BX463" s="19">
        <f t="shared" si="499"/>
        <v>0.32408256880733943</v>
      </c>
      <c r="BY463" s="49">
        <f t="shared" si="500"/>
        <v>0</v>
      </c>
      <c r="BZ463" s="19">
        <f t="shared" si="470"/>
        <v>0</v>
      </c>
      <c r="CA463" s="19">
        <f t="shared" si="471"/>
        <v>0</v>
      </c>
      <c r="CB463" s="19">
        <f t="shared" si="472"/>
        <v>0</v>
      </c>
      <c r="CC463" s="19">
        <f t="shared" si="473"/>
        <v>0</v>
      </c>
      <c r="CD463" s="19">
        <f t="shared" si="474"/>
        <v>0</v>
      </c>
      <c r="CE463" s="19">
        <f t="shared" si="475"/>
        <v>0</v>
      </c>
      <c r="CF463" s="49">
        <f t="shared" si="476"/>
        <v>0</v>
      </c>
      <c r="CG463" s="49">
        <f t="shared" si="477"/>
        <v>0</v>
      </c>
      <c r="CH463" s="49">
        <f t="shared" si="478"/>
        <v>0</v>
      </c>
      <c r="CI463" s="49">
        <f t="shared" si="479"/>
        <v>0</v>
      </c>
      <c r="CJ463" s="49">
        <f t="shared" si="480"/>
        <v>0</v>
      </c>
      <c r="CK463" s="49">
        <f t="shared" si="481"/>
        <v>0</v>
      </c>
    </row>
    <row r="464" spans="2:89" ht="12.75" customHeight="1" x14ac:dyDescent="0.2">
      <c r="B464" s="77">
        <v>42247</v>
      </c>
      <c r="C464" s="79">
        <v>99.760002</v>
      </c>
      <c r="D464" s="79">
        <v>77.069999999999993</v>
      </c>
      <c r="E464" s="79">
        <v>85.209998999999996</v>
      </c>
      <c r="F464" s="79">
        <v>99.239998</v>
      </c>
      <c r="G464" s="79">
        <v>35.889999000000003</v>
      </c>
      <c r="H464" s="79">
        <v>32.779998999999997</v>
      </c>
      <c r="I464" s="79"/>
      <c r="J464" s="78">
        <f>IF(inter=Weekly_2,J463+$C$5,IF(inter=Bi_weekly_2,J462+$C$5,IF(inter=Monthly_2,0,IF(inter=Quarterly_2,0,IF(inter=Yearly_2,0,IF(inter=None_2,0,0))))))</f>
        <v>146600</v>
      </c>
      <c r="K464" s="79">
        <f t="shared" si="482"/>
        <v>-1444.6380455452017</v>
      </c>
      <c r="L464" s="79">
        <f t="shared" si="483"/>
        <v>-513.38212404598926</v>
      </c>
      <c r="M464" s="79">
        <f t="shared" si="484"/>
        <v>-366.66654060882502</v>
      </c>
      <c r="N464" s="79">
        <f t="shared" si="485"/>
        <v>-250.81848206136601</v>
      </c>
      <c r="O464" s="79">
        <f t="shared" si="486"/>
        <v>-1397.4444698600564</v>
      </c>
      <c r="P464" s="79">
        <f t="shared" si="487"/>
        <v>-788.52460429637722</v>
      </c>
      <c r="Q464" s="79"/>
      <c r="R464" s="80">
        <f t="shared" si="445"/>
        <v>14.481134889564274</v>
      </c>
      <c r="S464" s="80">
        <f t="shared" si="446"/>
        <v>6.6612446353443531</v>
      </c>
      <c r="T464" s="80">
        <f t="shared" si="447"/>
        <v>4.3030928871249605</v>
      </c>
      <c r="U464" s="80">
        <f t="shared" si="448"/>
        <v>2.5273930584054023</v>
      </c>
      <c r="V464" s="80">
        <f t="shared" si="449"/>
        <v>38.936876812397131</v>
      </c>
      <c r="W464" s="80">
        <f t="shared" si="450"/>
        <v>24.055052725791032</v>
      </c>
      <c r="X464" s="80">
        <f t="shared" si="501"/>
        <v>514.33439225472353</v>
      </c>
      <c r="Y464" s="80">
        <f t="shared" si="502"/>
        <v>190.2166861294927</v>
      </c>
      <c r="Z464" s="80">
        <f t="shared" si="503"/>
        <v>137.63642926459841</v>
      </c>
      <c r="AA464" s="80">
        <f t="shared" si="504"/>
        <v>103.40588680785748</v>
      </c>
      <c r="AB464" s="80">
        <f t="shared" si="505"/>
        <v>1021.175843443183</v>
      </c>
      <c r="AC464" s="80">
        <f t="shared" si="506"/>
        <v>670.83589599865456</v>
      </c>
      <c r="AD464" s="80"/>
      <c r="AE464" s="80"/>
      <c r="AF464" s="80"/>
      <c r="AG464" s="80"/>
      <c r="AH464" s="80"/>
      <c r="AI464" s="80"/>
      <c r="AJ464" s="45">
        <f t="shared" si="451"/>
        <v>0</v>
      </c>
      <c r="AK464" s="45">
        <f t="shared" si="452"/>
        <v>0</v>
      </c>
      <c r="AL464" s="45">
        <f t="shared" si="453"/>
        <v>0</v>
      </c>
      <c r="AM464" s="45">
        <f t="shared" si="454"/>
        <v>0</v>
      </c>
      <c r="AN464" s="45">
        <f t="shared" si="455"/>
        <v>0</v>
      </c>
      <c r="AO464" s="45">
        <f t="shared" si="456"/>
        <v>0</v>
      </c>
      <c r="AP464" s="80">
        <f t="shared" si="457"/>
        <v>0</v>
      </c>
      <c r="AQ464" s="80">
        <f t="shared" si="458"/>
        <v>0</v>
      </c>
      <c r="AR464" s="80">
        <f t="shared" si="459"/>
        <v>0</v>
      </c>
      <c r="AS464" s="80">
        <f t="shared" si="460"/>
        <v>0</v>
      </c>
      <c r="AT464" s="80">
        <f t="shared" si="461"/>
        <v>0</v>
      </c>
      <c r="AU464" s="80">
        <f t="shared" si="462"/>
        <v>0</v>
      </c>
      <c r="AV464" s="80">
        <f t="shared" si="507"/>
        <v>62.008850501636388</v>
      </c>
      <c r="AW464" s="80">
        <f t="shared" si="508"/>
        <v>29.52370977957024</v>
      </c>
      <c r="AX464" s="80">
        <f t="shared" si="509"/>
        <v>17.365467362987705</v>
      </c>
      <c r="AY464" s="80">
        <f t="shared" si="510"/>
        <v>13.761112621092227</v>
      </c>
      <c r="AZ464" s="80">
        <f t="shared" si="511"/>
        <v>150.39331149537267</v>
      </c>
      <c r="BA464" s="80">
        <f t="shared" si="512"/>
        <v>66.520500622129703</v>
      </c>
      <c r="BB464" s="80">
        <f t="shared" si="488"/>
        <v>576.34324275635993</v>
      </c>
      <c r="BC464" s="80">
        <f t="shared" si="489"/>
        <v>219.74039590906295</v>
      </c>
      <c r="BD464" s="80">
        <f t="shared" si="490"/>
        <v>155.00189662758612</v>
      </c>
      <c r="BE464" s="80">
        <f t="shared" si="491"/>
        <v>117.16699942894971</v>
      </c>
      <c r="BF464" s="80">
        <f t="shared" si="492"/>
        <v>1171.5691549385556</v>
      </c>
      <c r="BG464" s="80">
        <f t="shared" si="493"/>
        <v>737.35639662078427</v>
      </c>
      <c r="BH464" s="49">
        <f t="shared" si="494"/>
        <v>0</v>
      </c>
      <c r="BI464" s="79">
        <f t="shared" si="495"/>
        <v>-111875.87387925654</v>
      </c>
      <c r="BJ464" s="79">
        <f t="shared" si="463"/>
        <v>146600</v>
      </c>
      <c r="BK464" s="44">
        <f t="shared" si="496"/>
        <v>0.31038082579108983</v>
      </c>
      <c r="BL464" s="79">
        <f t="shared" si="513"/>
        <v>16129.216275905643</v>
      </c>
      <c r="BM464" s="49">
        <f t="shared" si="497"/>
        <v>162729.21627590564</v>
      </c>
      <c r="BN464" s="44">
        <f t="shared" si="498"/>
        <v>0.45455146523845902</v>
      </c>
      <c r="BO464" s="49">
        <f t="shared" si="464"/>
        <v>18884.917351450633</v>
      </c>
      <c r="BP464" s="49">
        <f t="shared" si="465"/>
        <v>165484.91735145063</v>
      </c>
      <c r="BQ464" s="44">
        <f t="shared" si="466"/>
        <v>0.47918323775555338</v>
      </c>
      <c r="BS464" s="49">
        <f t="shared" si="467"/>
        <v>111875.87387925654</v>
      </c>
      <c r="BT464" s="49">
        <f t="shared" si="443"/>
        <v>99.760002</v>
      </c>
      <c r="BU464" s="49">
        <f t="shared" si="444"/>
        <v>32.779998999999997</v>
      </c>
      <c r="BV464" s="49">
        <f t="shared" si="468"/>
        <v>4761.4742664178157</v>
      </c>
      <c r="BW464" s="18">
        <f t="shared" si="469"/>
        <v>2954</v>
      </c>
      <c r="BX464" s="19">
        <f t="shared" si="499"/>
        <v>0.32247706422018346</v>
      </c>
      <c r="BY464" s="49">
        <f t="shared" si="500"/>
        <v>1535.4662427943688</v>
      </c>
      <c r="BZ464" s="19">
        <f t="shared" si="470"/>
        <v>14.481134889564274</v>
      </c>
      <c r="CA464" s="19">
        <f t="shared" si="471"/>
        <v>6.6612446353443531</v>
      </c>
      <c r="CB464" s="19">
        <f t="shared" si="472"/>
        <v>4.3030928871249605</v>
      </c>
      <c r="CC464" s="19">
        <f t="shared" si="473"/>
        <v>2.5273930584054023</v>
      </c>
      <c r="CD464" s="19">
        <f t="shared" si="474"/>
        <v>38.936876812397131</v>
      </c>
      <c r="CE464" s="19">
        <f t="shared" si="475"/>
        <v>24.055052725791032</v>
      </c>
      <c r="CF464" s="49">
        <f t="shared" si="476"/>
        <v>-1444.6380455452017</v>
      </c>
      <c r="CG464" s="49">
        <f t="shared" si="477"/>
        <v>-513.38212404598926</v>
      </c>
      <c r="CH464" s="49">
        <f t="shared" si="478"/>
        <v>-366.66654060882502</v>
      </c>
      <c r="CI464" s="49">
        <f t="shared" si="479"/>
        <v>-250.81848206136601</v>
      </c>
      <c r="CJ464" s="49">
        <f t="shared" si="480"/>
        <v>-1397.4444698600564</v>
      </c>
      <c r="CK464" s="49">
        <f t="shared" si="481"/>
        <v>-788.52460429637722</v>
      </c>
    </row>
    <row r="465" spans="2:89" ht="12.75" customHeight="1" x14ac:dyDescent="0.2">
      <c r="B465" s="77">
        <v>42255</v>
      </c>
      <c r="C465" s="79">
        <v>101.860001</v>
      </c>
      <c r="D465" s="79">
        <v>78.470000999999996</v>
      </c>
      <c r="E465" s="79">
        <v>86.660004000000001</v>
      </c>
      <c r="F465" s="79">
        <v>101.129997</v>
      </c>
      <c r="G465" s="79">
        <v>37.020000000000003</v>
      </c>
      <c r="H465" s="79">
        <v>34.07</v>
      </c>
      <c r="I465" s="79"/>
      <c r="J465" s="78">
        <f>IF(inter=Weekly_2,J464+$C$5,IF(inter=Bi_weekly_2,0,IF(inter=Monthly_2,0,IF(inter=Quarterly_2,0,IF(inter=Yearly_2,0,IF(inter=None_2,0,0))))))</f>
        <v>0</v>
      </c>
      <c r="K465" s="79">
        <f t="shared" si="482"/>
        <v>0</v>
      </c>
      <c r="L465" s="79">
        <f t="shared" si="483"/>
        <v>0</v>
      </c>
      <c r="M465" s="79">
        <f t="shared" si="484"/>
        <v>0</v>
      </c>
      <c r="N465" s="79">
        <f t="shared" si="485"/>
        <v>0</v>
      </c>
      <c r="O465" s="79">
        <f t="shared" si="486"/>
        <v>0</v>
      </c>
      <c r="P465" s="79">
        <f t="shared" si="487"/>
        <v>0</v>
      </c>
      <c r="Q465" s="79"/>
      <c r="R465" s="80">
        <f t="shared" si="445"/>
        <v>0</v>
      </c>
      <c r="S465" s="80">
        <f t="shared" si="446"/>
        <v>0</v>
      </c>
      <c r="T465" s="80">
        <f t="shared" si="447"/>
        <v>0</v>
      </c>
      <c r="U465" s="80">
        <f t="shared" si="448"/>
        <v>0</v>
      </c>
      <c r="V465" s="80">
        <f t="shared" si="449"/>
        <v>0</v>
      </c>
      <c r="W465" s="80">
        <f t="shared" si="450"/>
        <v>0</v>
      </c>
      <c r="X465" s="80">
        <f t="shared" si="501"/>
        <v>514.33439225472353</v>
      </c>
      <c r="Y465" s="80">
        <f t="shared" si="502"/>
        <v>190.2166861294927</v>
      </c>
      <c r="Z465" s="80">
        <f t="shared" si="503"/>
        <v>137.63642926459841</v>
      </c>
      <c r="AA465" s="80">
        <f t="shared" si="504"/>
        <v>103.40588680785748</v>
      </c>
      <c r="AB465" s="80">
        <f t="shared" si="505"/>
        <v>1021.175843443183</v>
      </c>
      <c r="AC465" s="80">
        <f t="shared" si="506"/>
        <v>670.83589599865456</v>
      </c>
      <c r="AD465" s="80"/>
      <c r="AE465" s="80"/>
      <c r="AF465" s="80"/>
      <c r="AG465" s="80"/>
      <c r="AH465" s="80"/>
      <c r="AI465" s="80"/>
      <c r="AJ465" s="45">
        <f t="shared" si="451"/>
        <v>0</v>
      </c>
      <c r="AK465" s="45">
        <f t="shared" si="452"/>
        <v>0</v>
      </c>
      <c r="AL465" s="45">
        <f t="shared" si="453"/>
        <v>0</v>
      </c>
      <c r="AM465" s="45">
        <f t="shared" si="454"/>
        <v>0</v>
      </c>
      <c r="AN465" s="45">
        <f t="shared" si="455"/>
        <v>0</v>
      </c>
      <c r="AO465" s="45">
        <f t="shared" si="456"/>
        <v>0</v>
      </c>
      <c r="AP465" s="80">
        <f t="shared" si="457"/>
        <v>0</v>
      </c>
      <c r="AQ465" s="80">
        <f t="shared" si="458"/>
        <v>0</v>
      </c>
      <c r="AR465" s="80">
        <f t="shared" si="459"/>
        <v>0</v>
      </c>
      <c r="AS465" s="80">
        <f t="shared" si="460"/>
        <v>0</v>
      </c>
      <c r="AT465" s="80">
        <f t="shared" si="461"/>
        <v>0</v>
      </c>
      <c r="AU465" s="80">
        <f t="shared" si="462"/>
        <v>0</v>
      </c>
      <c r="AV465" s="80">
        <f t="shared" si="507"/>
        <v>62.008850501636388</v>
      </c>
      <c r="AW465" s="80">
        <f t="shared" si="508"/>
        <v>29.52370977957024</v>
      </c>
      <c r="AX465" s="80">
        <f t="shared" si="509"/>
        <v>17.365467362987705</v>
      </c>
      <c r="AY465" s="80">
        <f t="shared" si="510"/>
        <v>13.761112621092227</v>
      </c>
      <c r="AZ465" s="80">
        <f t="shared" si="511"/>
        <v>150.39331149537267</v>
      </c>
      <c r="BA465" s="80">
        <f t="shared" si="512"/>
        <v>66.520500622129703</v>
      </c>
      <c r="BB465" s="80">
        <f t="shared" si="488"/>
        <v>576.34324275635993</v>
      </c>
      <c r="BC465" s="80">
        <f t="shared" si="489"/>
        <v>219.74039590906295</v>
      </c>
      <c r="BD465" s="80">
        <f t="shared" si="490"/>
        <v>155.00189662758612</v>
      </c>
      <c r="BE465" s="80">
        <f t="shared" si="491"/>
        <v>117.16699942894971</v>
      </c>
      <c r="BF465" s="80">
        <f t="shared" si="492"/>
        <v>1171.5691549385556</v>
      </c>
      <c r="BG465" s="80">
        <f t="shared" si="493"/>
        <v>737.35639662078427</v>
      </c>
      <c r="BH465" s="49">
        <f t="shared" si="494"/>
        <v>0</v>
      </c>
      <c r="BI465" s="79">
        <f t="shared" si="495"/>
        <v>-111875.87387925654</v>
      </c>
      <c r="BJ465" s="79">
        <f t="shared" si="463"/>
        <v>150360.72449441609</v>
      </c>
      <c r="BK465" s="44">
        <f t="shared" si="496"/>
        <v>0.34399597769126533</v>
      </c>
      <c r="BL465" s="79">
        <f t="shared" si="513"/>
        <v>16129.216275905643</v>
      </c>
      <c r="BM465" s="49">
        <f t="shared" si="497"/>
        <v>166489.94077032173</v>
      </c>
      <c r="BN465" s="44">
        <f t="shared" si="498"/>
        <v>0.48816661713863452</v>
      </c>
      <c r="BO465" s="49">
        <f t="shared" si="464"/>
        <v>19363.413707012878</v>
      </c>
      <c r="BP465" s="49">
        <f t="shared" si="465"/>
        <v>169724.13820142898</v>
      </c>
      <c r="BQ465" s="44">
        <f t="shared" si="466"/>
        <v>0.5170754186430393</v>
      </c>
      <c r="BS465" s="49">
        <f t="shared" si="467"/>
        <v>111875.87387925654</v>
      </c>
      <c r="BT465" s="49">
        <f t="shared" si="443"/>
        <v>101.860001</v>
      </c>
      <c r="BU465" s="49">
        <f t="shared" si="444"/>
        <v>34.07</v>
      </c>
      <c r="BV465" s="49">
        <f t="shared" si="468"/>
        <v>0</v>
      </c>
      <c r="BW465" s="18">
        <f t="shared" si="469"/>
        <v>2962</v>
      </c>
      <c r="BX465" s="19">
        <f t="shared" si="499"/>
        <v>0.32064220183486236</v>
      </c>
      <c r="BY465" s="49">
        <f t="shared" si="500"/>
        <v>0</v>
      </c>
      <c r="BZ465" s="19">
        <f t="shared" si="470"/>
        <v>0</v>
      </c>
      <c r="CA465" s="19">
        <f t="shared" si="471"/>
        <v>0</v>
      </c>
      <c r="CB465" s="19">
        <f t="shared" si="472"/>
        <v>0</v>
      </c>
      <c r="CC465" s="19">
        <f t="shared" si="473"/>
        <v>0</v>
      </c>
      <c r="CD465" s="19">
        <f t="shared" si="474"/>
        <v>0</v>
      </c>
      <c r="CE465" s="19">
        <f t="shared" si="475"/>
        <v>0</v>
      </c>
      <c r="CF465" s="49">
        <f t="shared" si="476"/>
        <v>0</v>
      </c>
      <c r="CG465" s="49">
        <f t="shared" si="477"/>
        <v>0</v>
      </c>
      <c r="CH465" s="49">
        <f t="shared" si="478"/>
        <v>0</v>
      </c>
      <c r="CI465" s="49">
        <f t="shared" si="479"/>
        <v>0</v>
      </c>
      <c r="CJ465" s="49">
        <f t="shared" si="480"/>
        <v>0</v>
      </c>
      <c r="CK465" s="49">
        <f t="shared" si="481"/>
        <v>0</v>
      </c>
    </row>
    <row r="466" spans="2:89" ht="12.75" customHeight="1" x14ac:dyDescent="0.2">
      <c r="B466" s="77">
        <v>42261</v>
      </c>
      <c r="C466" s="79">
        <v>101.839996</v>
      </c>
      <c r="D466" s="79">
        <v>78.25</v>
      </c>
      <c r="E466" s="79">
        <v>86.699996999999996</v>
      </c>
      <c r="F466" s="79">
        <v>101.209999</v>
      </c>
      <c r="G466" s="79">
        <v>36.669998</v>
      </c>
      <c r="H466" s="79">
        <v>34.360000999999997</v>
      </c>
      <c r="I466" s="79"/>
      <c r="J466" s="78">
        <f>IF(inter=Weekly_2,J465+$C$5,IF(inter=Bi_weekly_2,J464+$C$5,IF(inter=Monthly_2,J462+$C$5,IF(inter=Quarterly_2,0,IF(inter=Yearly_2,0,IF(inter=None_2,0,0))))))</f>
        <v>147200</v>
      </c>
      <c r="K466" s="79">
        <f t="shared" si="482"/>
        <v>859.81244988347316</v>
      </c>
      <c r="L466" s="79">
        <f t="shared" si="483"/>
        <v>164.45568963280311</v>
      </c>
      <c r="M466" s="79">
        <f t="shared" si="484"/>
        <v>157.07800433139346</v>
      </c>
      <c r="N466" s="79">
        <f t="shared" si="485"/>
        <v>161.70970041736655</v>
      </c>
      <c r="O466" s="79">
        <f t="shared" si="486"/>
        <v>646.51613670983352</v>
      </c>
      <c r="P466" s="79">
        <f t="shared" si="487"/>
        <v>969.9220573496641</v>
      </c>
      <c r="Q466" s="79"/>
      <c r="R466" s="80">
        <f t="shared" si="445"/>
        <v>-8.4427777263804398</v>
      </c>
      <c r="S466" s="80">
        <f t="shared" si="446"/>
        <v>-2.1016701550517971</v>
      </c>
      <c r="T466" s="80">
        <f t="shared" si="447"/>
        <v>-1.8117417504800313</v>
      </c>
      <c r="U466" s="80">
        <f t="shared" si="448"/>
        <v>-1.5977640748456736</v>
      </c>
      <c r="V466" s="80">
        <f t="shared" si="449"/>
        <v>-17.630656448626844</v>
      </c>
      <c r="W466" s="80">
        <f t="shared" si="450"/>
        <v>-28.228231348120861</v>
      </c>
      <c r="X466" s="80">
        <f t="shared" si="501"/>
        <v>505.8916145283431</v>
      </c>
      <c r="Y466" s="80">
        <f t="shared" si="502"/>
        <v>188.11501597444089</v>
      </c>
      <c r="Z466" s="80">
        <f t="shared" si="503"/>
        <v>135.82468751411838</v>
      </c>
      <c r="AA466" s="80">
        <f t="shared" si="504"/>
        <v>101.80812273301181</v>
      </c>
      <c r="AB466" s="80">
        <f t="shared" si="505"/>
        <v>1003.5451869945562</v>
      </c>
      <c r="AC466" s="80">
        <f t="shared" si="506"/>
        <v>642.60766465053371</v>
      </c>
      <c r="AD466" s="80"/>
      <c r="AE466" s="80"/>
      <c r="AF466" s="80"/>
      <c r="AG466" s="80"/>
      <c r="AH466" s="80"/>
      <c r="AI466" s="80"/>
      <c r="AJ466" s="45">
        <f t="shared" si="451"/>
        <v>0</v>
      </c>
      <c r="AK466" s="45">
        <f t="shared" si="452"/>
        <v>0</v>
      </c>
      <c r="AL466" s="45">
        <f t="shared" si="453"/>
        <v>0</v>
      </c>
      <c r="AM466" s="45">
        <f t="shared" si="454"/>
        <v>0</v>
      </c>
      <c r="AN466" s="45">
        <f t="shared" si="455"/>
        <v>0</v>
      </c>
      <c r="AO466" s="45">
        <f t="shared" si="456"/>
        <v>0</v>
      </c>
      <c r="AP466" s="80">
        <f t="shared" si="457"/>
        <v>0</v>
      </c>
      <c r="AQ466" s="80">
        <f t="shared" si="458"/>
        <v>0</v>
      </c>
      <c r="AR466" s="80">
        <f t="shared" si="459"/>
        <v>0</v>
      </c>
      <c r="AS466" s="80">
        <f t="shared" si="460"/>
        <v>0</v>
      </c>
      <c r="AT466" s="80">
        <f t="shared" si="461"/>
        <v>0</v>
      </c>
      <c r="AU466" s="80">
        <f t="shared" si="462"/>
        <v>0</v>
      </c>
      <c r="AV466" s="80">
        <f t="shared" si="507"/>
        <v>62.008850501636388</v>
      </c>
      <c r="AW466" s="80">
        <f t="shared" si="508"/>
        <v>29.52370977957024</v>
      </c>
      <c r="AX466" s="80">
        <f t="shared" si="509"/>
        <v>17.365467362987705</v>
      </c>
      <c r="AY466" s="80">
        <f t="shared" si="510"/>
        <v>13.761112621092227</v>
      </c>
      <c r="AZ466" s="80">
        <f t="shared" si="511"/>
        <v>150.39331149537267</v>
      </c>
      <c r="BA466" s="80">
        <f t="shared" si="512"/>
        <v>66.520500622129703</v>
      </c>
      <c r="BB466" s="80">
        <f t="shared" si="488"/>
        <v>567.9004650299795</v>
      </c>
      <c r="BC466" s="80">
        <f t="shared" si="489"/>
        <v>217.63872575401115</v>
      </c>
      <c r="BD466" s="80">
        <f t="shared" si="490"/>
        <v>153.1901548771061</v>
      </c>
      <c r="BE466" s="80">
        <f t="shared" si="491"/>
        <v>115.56923535410404</v>
      </c>
      <c r="BF466" s="80">
        <f t="shared" si="492"/>
        <v>1153.9384984899289</v>
      </c>
      <c r="BG466" s="80">
        <f t="shared" si="493"/>
        <v>709.12816527266341</v>
      </c>
      <c r="BH466" s="49">
        <f t="shared" si="494"/>
        <v>0</v>
      </c>
      <c r="BI466" s="79">
        <f t="shared" si="495"/>
        <v>-108916.37984093203</v>
      </c>
      <c r="BJ466" s="79">
        <f t="shared" si="463"/>
        <v>147200</v>
      </c>
      <c r="BK466" s="44">
        <f t="shared" si="496"/>
        <v>0.35149552542032381</v>
      </c>
      <c r="BL466" s="79">
        <f t="shared" si="513"/>
        <v>16129.216275905643</v>
      </c>
      <c r="BM466" s="49">
        <f t="shared" si="497"/>
        <v>163329.21627590564</v>
      </c>
      <c r="BN466" s="44">
        <f t="shared" si="498"/>
        <v>0.49958359352781789</v>
      </c>
      <c r="BO466" s="49">
        <f t="shared" si="464"/>
        <v>19324.126439842454</v>
      </c>
      <c r="BP466" s="49">
        <f t="shared" si="465"/>
        <v>166524.12643984245</v>
      </c>
      <c r="BQ466" s="44">
        <f t="shared" si="466"/>
        <v>0.52891719944276705</v>
      </c>
      <c r="BS466" s="49">
        <f t="shared" si="467"/>
        <v>108916.37984093203</v>
      </c>
      <c r="BT466" s="49">
        <f t="shared" si="443"/>
        <v>101.839996</v>
      </c>
      <c r="BU466" s="49">
        <f t="shared" si="444"/>
        <v>34.360000999999997</v>
      </c>
      <c r="BV466" s="49">
        <f t="shared" si="468"/>
        <v>-2959.4940383245339</v>
      </c>
      <c r="BW466" s="18">
        <f t="shared" si="469"/>
        <v>2968</v>
      </c>
      <c r="BX466" s="19">
        <f t="shared" si="499"/>
        <v>0.31926605504587158</v>
      </c>
      <c r="BY466" s="49">
        <f t="shared" si="500"/>
        <v>-944.86598654764941</v>
      </c>
      <c r="BZ466" s="19">
        <f t="shared" si="470"/>
        <v>0</v>
      </c>
      <c r="CA466" s="19">
        <f t="shared" si="471"/>
        <v>0</v>
      </c>
      <c r="CB466" s="19">
        <f t="shared" si="472"/>
        <v>0</v>
      </c>
      <c r="CC466" s="19">
        <f t="shared" si="473"/>
        <v>0</v>
      </c>
      <c r="CD466" s="19">
        <f t="shared" si="474"/>
        <v>0</v>
      </c>
      <c r="CE466" s="19">
        <f t="shared" si="475"/>
        <v>0</v>
      </c>
      <c r="CF466" s="49">
        <f t="shared" si="476"/>
        <v>0</v>
      </c>
      <c r="CG466" s="49">
        <f t="shared" si="477"/>
        <v>0</v>
      </c>
      <c r="CH466" s="49">
        <f t="shared" si="478"/>
        <v>0</v>
      </c>
      <c r="CI466" s="49">
        <f t="shared" si="479"/>
        <v>0</v>
      </c>
      <c r="CJ466" s="49">
        <f t="shared" si="480"/>
        <v>0</v>
      </c>
      <c r="CK466" s="49">
        <f t="shared" si="481"/>
        <v>0</v>
      </c>
    </row>
    <row r="467" spans="2:89" ht="12.75" customHeight="1" x14ac:dyDescent="0.2">
      <c r="B467" s="77">
        <v>42268</v>
      </c>
      <c r="C467" s="79">
        <v>99.610000999999997</v>
      </c>
      <c r="D467" s="79">
        <v>76.980002999999996</v>
      </c>
      <c r="E467" s="79">
        <v>83.93</v>
      </c>
      <c r="F467" s="79">
        <v>98.129997000000003</v>
      </c>
      <c r="G467" s="79">
        <v>35.689999</v>
      </c>
      <c r="H467" s="79">
        <v>32.689999</v>
      </c>
      <c r="I467" s="79"/>
      <c r="J467" s="78">
        <f>IF(inter=Weekly_2,J466+$C$5,IF(inter=Bi_weekly_2,0,IF(inter=Monthly_2,0,IF(inter=Quarterly_2,0,IF(inter=Yearly_2,0,IF(inter=None_2,0,0))))))</f>
        <v>0</v>
      </c>
      <c r="K467" s="79">
        <f t="shared" si="482"/>
        <v>0</v>
      </c>
      <c r="L467" s="79">
        <f t="shared" si="483"/>
        <v>0</v>
      </c>
      <c r="M467" s="79">
        <f t="shared" si="484"/>
        <v>0</v>
      </c>
      <c r="N467" s="79">
        <f t="shared" si="485"/>
        <v>0</v>
      </c>
      <c r="O467" s="79">
        <f t="shared" si="486"/>
        <v>0</v>
      </c>
      <c r="P467" s="79">
        <f t="shared" si="487"/>
        <v>0</v>
      </c>
      <c r="Q467" s="79"/>
      <c r="R467" s="80">
        <f t="shared" si="445"/>
        <v>0</v>
      </c>
      <c r="S467" s="80">
        <f t="shared" si="446"/>
        <v>0</v>
      </c>
      <c r="T467" s="80">
        <f t="shared" si="447"/>
        <v>0</v>
      </c>
      <c r="U467" s="80">
        <f t="shared" si="448"/>
        <v>0</v>
      </c>
      <c r="V467" s="80">
        <f t="shared" si="449"/>
        <v>0</v>
      </c>
      <c r="W467" s="80">
        <f t="shared" si="450"/>
        <v>0</v>
      </c>
      <c r="X467" s="80">
        <f t="shared" si="501"/>
        <v>505.8916145283431</v>
      </c>
      <c r="Y467" s="80">
        <f t="shared" si="502"/>
        <v>188.11501597444089</v>
      </c>
      <c r="Z467" s="80">
        <f t="shared" si="503"/>
        <v>135.82468751411838</v>
      </c>
      <c r="AA467" s="80">
        <f t="shared" si="504"/>
        <v>101.80812273301181</v>
      </c>
      <c r="AB467" s="80">
        <f t="shared" si="505"/>
        <v>1003.5451869945562</v>
      </c>
      <c r="AC467" s="80">
        <f t="shared" si="506"/>
        <v>642.60766465053371</v>
      </c>
      <c r="AD467" s="80">
        <v>0.50800000000000001</v>
      </c>
      <c r="AE467" s="80">
        <v>0.52500000000000002</v>
      </c>
      <c r="AF467" s="80">
        <v>1.1930000000000001</v>
      </c>
      <c r="AG467" s="80">
        <v>1.143</v>
      </c>
      <c r="AH467" s="80">
        <v>0.156</v>
      </c>
      <c r="AI467" s="80">
        <v>0.45</v>
      </c>
      <c r="AJ467" s="45">
        <f t="shared" si="451"/>
        <v>256.99294018039831</v>
      </c>
      <c r="AK467" s="45">
        <f t="shared" si="452"/>
        <v>98.760383386581466</v>
      </c>
      <c r="AL467" s="45">
        <f t="shared" si="453"/>
        <v>162.03885220434324</v>
      </c>
      <c r="AM467" s="45">
        <f t="shared" si="454"/>
        <v>116.3666842838325</v>
      </c>
      <c r="AN467" s="45">
        <f t="shared" si="455"/>
        <v>156.55304917115078</v>
      </c>
      <c r="AO467" s="45">
        <f t="shared" si="456"/>
        <v>289.17344909274016</v>
      </c>
      <c r="AP467" s="80">
        <f t="shared" si="457"/>
        <v>2.579991342238801</v>
      </c>
      <c r="AQ467" s="80">
        <f t="shared" si="458"/>
        <v>1.2829355616754323</v>
      </c>
      <c r="AR467" s="80">
        <f t="shared" si="459"/>
        <v>1.9306428238334712</v>
      </c>
      <c r="AS467" s="80">
        <f t="shared" si="460"/>
        <v>1.1858421261730243</v>
      </c>
      <c r="AT467" s="80">
        <f t="shared" si="461"/>
        <v>4.3864682980560117</v>
      </c>
      <c r="AU467" s="80">
        <f t="shared" si="462"/>
        <v>8.8459301908433883</v>
      </c>
      <c r="AV467" s="80">
        <f t="shared" si="507"/>
        <v>64.588841843875187</v>
      </c>
      <c r="AW467" s="80">
        <f t="shared" si="508"/>
        <v>30.806645341245673</v>
      </c>
      <c r="AX467" s="80">
        <f t="shared" si="509"/>
        <v>19.296110186821174</v>
      </c>
      <c r="AY467" s="80">
        <f t="shared" si="510"/>
        <v>14.946954747265252</v>
      </c>
      <c r="AZ467" s="80">
        <f t="shared" si="511"/>
        <v>154.77977979342867</v>
      </c>
      <c r="BA467" s="80">
        <f t="shared" si="512"/>
        <v>75.366430812973093</v>
      </c>
      <c r="BB467" s="80">
        <f t="shared" si="488"/>
        <v>570.48045637221833</v>
      </c>
      <c r="BC467" s="80">
        <f t="shared" si="489"/>
        <v>218.92166131568658</v>
      </c>
      <c r="BD467" s="80">
        <f t="shared" si="490"/>
        <v>155.12079770093956</v>
      </c>
      <c r="BE467" s="80">
        <f t="shared" si="491"/>
        <v>116.75507748027707</v>
      </c>
      <c r="BF467" s="80">
        <f t="shared" si="492"/>
        <v>1158.3249667879847</v>
      </c>
      <c r="BG467" s="80">
        <f t="shared" si="493"/>
        <v>717.97409546350684</v>
      </c>
      <c r="BH467" s="49">
        <f t="shared" si="494"/>
        <v>1079.8853583190462</v>
      </c>
      <c r="BI467" s="79">
        <f t="shared" si="495"/>
        <v>-108916.37984093203</v>
      </c>
      <c r="BJ467" s="79">
        <f t="shared" si="463"/>
        <v>143086.52615965222</v>
      </c>
      <c r="BK467" s="44">
        <f t="shared" si="496"/>
        <v>0.31372825986894082</v>
      </c>
      <c r="BL467" s="79">
        <f t="shared" si="513"/>
        <v>17209.101634224688</v>
      </c>
      <c r="BM467" s="49">
        <f t="shared" si="497"/>
        <v>160295.62779387692</v>
      </c>
      <c r="BN467" s="44">
        <f t="shared" si="498"/>
        <v>0.47173113931974431</v>
      </c>
      <c r="BO467" s="49">
        <f t="shared" si="464"/>
        <v>19879.276137891804</v>
      </c>
      <c r="BP467" s="49">
        <f t="shared" si="465"/>
        <v>162965.80229754405</v>
      </c>
      <c r="BQ467" s="44">
        <f t="shared" si="466"/>
        <v>0.49624696060912998</v>
      </c>
      <c r="BS467" s="49">
        <f t="shared" si="467"/>
        <v>108916.37984093203</v>
      </c>
      <c r="BT467" s="49">
        <f t="shared" si="443"/>
        <v>99.610000999999997</v>
      </c>
      <c r="BU467" s="49">
        <f t="shared" si="444"/>
        <v>32.689999</v>
      </c>
      <c r="BV467" s="49">
        <f t="shared" si="468"/>
        <v>-1079.8853583190462</v>
      </c>
      <c r="BW467" s="18">
        <f t="shared" si="469"/>
        <v>2975</v>
      </c>
      <c r="BX467" s="19">
        <f t="shared" si="499"/>
        <v>0.31766055045871561</v>
      </c>
      <c r="BY467" s="49">
        <f t="shared" si="500"/>
        <v>-343.03697735593556</v>
      </c>
      <c r="BZ467" s="19">
        <f t="shared" si="470"/>
        <v>0</v>
      </c>
      <c r="CA467" s="19">
        <f t="shared" si="471"/>
        <v>0</v>
      </c>
      <c r="CB467" s="19">
        <f t="shared" si="472"/>
        <v>0</v>
      </c>
      <c r="CC467" s="19">
        <f t="shared" si="473"/>
        <v>0</v>
      </c>
      <c r="CD467" s="19">
        <f t="shared" si="474"/>
        <v>0</v>
      </c>
      <c r="CE467" s="19">
        <f t="shared" si="475"/>
        <v>0</v>
      </c>
      <c r="CF467" s="49">
        <f t="shared" si="476"/>
        <v>0</v>
      </c>
      <c r="CG467" s="49">
        <f t="shared" si="477"/>
        <v>0</v>
      </c>
      <c r="CH467" s="49">
        <f t="shared" si="478"/>
        <v>0</v>
      </c>
      <c r="CI467" s="49">
        <f t="shared" si="479"/>
        <v>0</v>
      </c>
      <c r="CJ467" s="49">
        <f t="shared" si="480"/>
        <v>0</v>
      </c>
      <c r="CK467" s="49">
        <f t="shared" si="481"/>
        <v>0</v>
      </c>
    </row>
    <row r="468" spans="2:89" ht="12.75" customHeight="1" x14ac:dyDescent="0.2">
      <c r="B468" s="77">
        <v>42275</v>
      </c>
      <c r="C468" s="79">
        <v>100.360001</v>
      </c>
      <c r="D468" s="79">
        <v>77.839995999999999</v>
      </c>
      <c r="E468" s="79">
        <v>84.470000999999996</v>
      </c>
      <c r="F468" s="79">
        <v>97.980002999999996</v>
      </c>
      <c r="G468" s="79">
        <v>36.330002</v>
      </c>
      <c r="H468" s="79">
        <v>34.07</v>
      </c>
      <c r="I468" s="79"/>
      <c r="J468" s="78">
        <f>IF(inter=Weekly_2,J467+$C$5,IF(inter=Bi_weekly_2,J466+$C$5,IF(inter=Monthly_2,0,IF(inter=Quarterly_2,0,IF(inter=Yearly_2,0,IF(inter=None_2,0,0))))))</f>
        <v>147800</v>
      </c>
      <c r="K468" s="79">
        <f t="shared" si="482"/>
        <v>-958.7170600438767</v>
      </c>
      <c r="L468" s="79">
        <f t="shared" si="483"/>
        <v>-137.12790900958498</v>
      </c>
      <c r="M468" s="79">
        <f t="shared" si="484"/>
        <v>-350.88850985773388</v>
      </c>
      <c r="N468" s="79">
        <f t="shared" si="485"/>
        <v>-370.83982919513619</v>
      </c>
      <c r="O468" s="79">
        <f t="shared" si="486"/>
        <v>-491.20134939740092</v>
      </c>
      <c r="P468" s="79">
        <f t="shared" si="487"/>
        <v>-276.35686535631612</v>
      </c>
      <c r="Q468" s="79"/>
      <c r="R468" s="80">
        <f t="shared" si="445"/>
        <v>9.5527804951285002</v>
      </c>
      <c r="S468" s="80">
        <f t="shared" si="446"/>
        <v>1.7616638753371079</v>
      </c>
      <c r="T468" s="80">
        <f t="shared" si="447"/>
        <v>4.1540014881464709</v>
      </c>
      <c r="U468" s="80">
        <f t="shared" si="448"/>
        <v>3.7848521926983021</v>
      </c>
      <c r="V468" s="80">
        <f t="shared" si="449"/>
        <v>13.520542866950597</v>
      </c>
      <c r="W468" s="80">
        <f t="shared" si="450"/>
        <v>8.1114430688675121</v>
      </c>
      <c r="X468" s="80">
        <f t="shared" si="501"/>
        <v>515.44439502347154</v>
      </c>
      <c r="Y468" s="80">
        <f t="shared" si="502"/>
        <v>189.87667984977801</v>
      </c>
      <c r="Z468" s="80">
        <f t="shared" si="503"/>
        <v>139.97868900226484</v>
      </c>
      <c r="AA468" s="80">
        <f t="shared" si="504"/>
        <v>105.59297492571011</v>
      </c>
      <c r="AB468" s="80">
        <f t="shared" si="505"/>
        <v>1017.0657298615067</v>
      </c>
      <c r="AC468" s="80">
        <f t="shared" si="506"/>
        <v>650.71910771940122</v>
      </c>
      <c r="AD468" s="80"/>
      <c r="AE468" s="80"/>
      <c r="AF468" s="80"/>
      <c r="AG468" s="80"/>
      <c r="AH468" s="80"/>
      <c r="AI468" s="80"/>
      <c r="AJ468" s="45">
        <f t="shared" si="451"/>
        <v>0</v>
      </c>
      <c r="AK468" s="45">
        <f t="shared" si="452"/>
        <v>0</v>
      </c>
      <c r="AL468" s="45">
        <f t="shared" si="453"/>
        <v>0</v>
      </c>
      <c r="AM468" s="45">
        <f t="shared" si="454"/>
        <v>0</v>
      </c>
      <c r="AN468" s="45">
        <f t="shared" si="455"/>
        <v>0</v>
      </c>
      <c r="AO468" s="45">
        <f t="shared" si="456"/>
        <v>0</v>
      </c>
      <c r="AP468" s="80">
        <f t="shared" si="457"/>
        <v>0</v>
      </c>
      <c r="AQ468" s="80">
        <f t="shared" si="458"/>
        <v>0</v>
      </c>
      <c r="AR468" s="80">
        <f t="shared" si="459"/>
        <v>0</v>
      </c>
      <c r="AS468" s="80">
        <f t="shared" si="460"/>
        <v>0</v>
      </c>
      <c r="AT468" s="80">
        <f t="shared" si="461"/>
        <v>0</v>
      </c>
      <c r="AU468" s="80">
        <f t="shared" si="462"/>
        <v>0</v>
      </c>
      <c r="AV468" s="80">
        <f t="shared" si="507"/>
        <v>64.588841843875187</v>
      </c>
      <c r="AW468" s="80">
        <f t="shared" si="508"/>
        <v>30.806645341245673</v>
      </c>
      <c r="AX468" s="80">
        <f t="shared" si="509"/>
        <v>19.296110186821174</v>
      </c>
      <c r="AY468" s="80">
        <f t="shared" si="510"/>
        <v>14.946954747265252</v>
      </c>
      <c r="AZ468" s="80">
        <f t="shared" si="511"/>
        <v>154.77977979342867</v>
      </c>
      <c r="BA468" s="80">
        <f t="shared" si="512"/>
        <v>75.366430812973093</v>
      </c>
      <c r="BB468" s="80">
        <f t="shared" si="488"/>
        <v>580.03323686734677</v>
      </c>
      <c r="BC468" s="80">
        <f t="shared" si="489"/>
        <v>220.6833251910237</v>
      </c>
      <c r="BD468" s="80">
        <f t="shared" si="490"/>
        <v>159.27479918908602</v>
      </c>
      <c r="BE468" s="80">
        <f t="shared" si="491"/>
        <v>120.53992967297536</v>
      </c>
      <c r="BF468" s="80">
        <f t="shared" si="492"/>
        <v>1171.8455096549353</v>
      </c>
      <c r="BG468" s="80">
        <f t="shared" si="493"/>
        <v>726.08553853237436</v>
      </c>
      <c r="BH468" s="49">
        <f t="shared" si="494"/>
        <v>0</v>
      </c>
      <c r="BI468" s="79">
        <f t="shared" si="495"/>
        <v>-111501.51136379207</v>
      </c>
      <c r="BJ468" s="79">
        <f t="shared" si="463"/>
        <v>147800</v>
      </c>
      <c r="BK468" s="44">
        <f t="shared" si="496"/>
        <v>0.32554257060945235</v>
      </c>
      <c r="BL468" s="79">
        <f t="shared" si="513"/>
        <v>17209.101634224688</v>
      </c>
      <c r="BM468" s="49">
        <f t="shared" si="497"/>
        <v>165009.1016342247</v>
      </c>
      <c r="BN468" s="44">
        <f t="shared" si="498"/>
        <v>0.47988219725430703</v>
      </c>
      <c r="BO468" s="49">
        <f t="shared" si="464"/>
        <v>20165.454507183764</v>
      </c>
      <c r="BP468" s="49">
        <f t="shared" si="465"/>
        <v>167965.45450718378</v>
      </c>
      <c r="BQ468" s="44">
        <f t="shared" si="466"/>
        <v>0.50639621340350072</v>
      </c>
      <c r="BS468" s="49">
        <f t="shared" si="467"/>
        <v>111501.51136379207</v>
      </c>
      <c r="BT468" s="49">
        <f t="shared" si="443"/>
        <v>100.360001</v>
      </c>
      <c r="BU468" s="49">
        <f t="shared" si="444"/>
        <v>34.07</v>
      </c>
      <c r="BV468" s="49">
        <f t="shared" si="468"/>
        <v>2585.1315228600488</v>
      </c>
      <c r="BW468" s="18">
        <f t="shared" si="469"/>
        <v>2982</v>
      </c>
      <c r="BX468" s="19">
        <f t="shared" si="499"/>
        <v>0.31605504587155964</v>
      </c>
      <c r="BY468" s="49">
        <f t="shared" si="500"/>
        <v>817.04386204154753</v>
      </c>
      <c r="BZ468" s="19">
        <f t="shared" si="470"/>
        <v>9.5527804951285002</v>
      </c>
      <c r="CA468" s="19">
        <f t="shared" si="471"/>
        <v>1.7616638753371079</v>
      </c>
      <c r="CB468" s="19">
        <f t="shared" si="472"/>
        <v>4.1540014881464709</v>
      </c>
      <c r="CC468" s="19">
        <f t="shared" si="473"/>
        <v>3.7848521926983021</v>
      </c>
      <c r="CD468" s="19">
        <f t="shared" si="474"/>
        <v>13.520542866950597</v>
      </c>
      <c r="CE468" s="19">
        <f t="shared" si="475"/>
        <v>8.1114430688675121</v>
      </c>
      <c r="CF468" s="49">
        <f t="shared" si="476"/>
        <v>-958.7170600438767</v>
      </c>
      <c r="CG468" s="49">
        <f t="shared" si="477"/>
        <v>-137.12790900958498</v>
      </c>
      <c r="CH468" s="49">
        <f t="shared" si="478"/>
        <v>-350.88850985773388</v>
      </c>
      <c r="CI468" s="49">
        <f t="shared" si="479"/>
        <v>-370.83982919513619</v>
      </c>
      <c r="CJ468" s="49">
        <f t="shared" si="480"/>
        <v>-491.20134939740092</v>
      </c>
      <c r="CK468" s="49">
        <f t="shared" si="481"/>
        <v>-276.35686535631612</v>
      </c>
    </row>
    <row r="469" spans="2:89" ht="12.75" customHeight="1" x14ac:dyDescent="0.2">
      <c r="B469" s="77">
        <v>42282</v>
      </c>
      <c r="C469" s="79">
        <v>103.83000199999999</v>
      </c>
      <c r="D469" s="79">
        <v>80.699996999999996</v>
      </c>
      <c r="E469" s="79">
        <v>87.879997000000003</v>
      </c>
      <c r="F469" s="79">
        <v>102.989998</v>
      </c>
      <c r="G469" s="79">
        <v>37.93</v>
      </c>
      <c r="H469" s="79">
        <v>36.020000000000003</v>
      </c>
      <c r="I469" s="79"/>
      <c r="J469" s="78">
        <f>IF(inter=Weekly_2,J468+$C$5,IF(inter=Bi_weekly_2,0,IF(inter=Monthly_2,0,IF(inter=Quarterly_2,0,IF(inter=Yearly_2,0,IF(inter=None_2,0,0))))))</f>
        <v>0</v>
      </c>
      <c r="K469" s="79">
        <f t="shared" si="482"/>
        <v>0</v>
      </c>
      <c r="L469" s="79">
        <f t="shared" si="483"/>
        <v>0</v>
      </c>
      <c r="M469" s="79">
        <f t="shared" si="484"/>
        <v>0</v>
      </c>
      <c r="N469" s="79">
        <f t="shared" si="485"/>
        <v>0</v>
      </c>
      <c r="O469" s="79">
        <f t="shared" si="486"/>
        <v>0</v>
      </c>
      <c r="P469" s="79">
        <f t="shared" si="487"/>
        <v>0</v>
      </c>
      <c r="Q469" s="79"/>
      <c r="R469" s="80">
        <f t="shared" si="445"/>
        <v>0</v>
      </c>
      <c r="S469" s="80">
        <f t="shared" si="446"/>
        <v>0</v>
      </c>
      <c r="T469" s="80">
        <f t="shared" si="447"/>
        <v>0</v>
      </c>
      <c r="U469" s="80">
        <f t="shared" si="448"/>
        <v>0</v>
      </c>
      <c r="V469" s="80">
        <f t="shared" si="449"/>
        <v>0</v>
      </c>
      <c r="W469" s="80">
        <f t="shared" si="450"/>
        <v>0</v>
      </c>
      <c r="X469" s="80">
        <f t="shared" si="501"/>
        <v>515.44439502347154</v>
      </c>
      <c r="Y469" s="80">
        <f t="shared" si="502"/>
        <v>189.87667984977801</v>
      </c>
      <c r="Z469" s="80">
        <f t="shared" si="503"/>
        <v>139.97868900226484</v>
      </c>
      <c r="AA469" s="80">
        <f t="shared" si="504"/>
        <v>105.59297492571011</v>
      </c>
      <c r="AB469" s="80">
        <f t="shared" si="505"/>
        <v>1017.0657298615067</v>
      </c>
      <c r="AC469" s="80">
        <f t="shared" si="506"/>
        <v>650.71910771940122</v>
      </c>
      <c r="AD469" s="80"/>
      <c r="AE469" s="80"/>
      <c r="AF469" s="80"/>
      <c r="AG469" s="80"/>
      <c r="AH469" s="80"/>
      <c r="AI469" s="80"/>
      <c r="AJ469" s="45">
        <f t="shared" si="451"/>
        <v>0</v>
      </c>
      <c r="AK469" s="45">
        <f t="shared" si="452"/>
        <v>0</v>
      </c>
      <c r="AL469" s="45">
        <f t="shared" si="453"/>
        <v>0</v>
      </c>
      <c r="AM469" s="45">
        <f t="shared" si="454"/>
        <v>0</v>
      </c>
      <c r="AN469" s="45">
        <f t="shared" si="455"/>
        <v>0</v>
      </c>
      <c r="AO469" s="45">
        <f t="shared" si="456"/>
        <v>0</v>
      </c>
      <c r="AP469" s="80">
        <f t="shared" si="457"/>
        <v>0</v>
      </c>
      <c r="AQ469" s="80">
        <f t="shared" si="458"/>
        <v>0</v>
      </c>
      <c r="AR469" s="80">
        <f t="shared" si="459"/>
        <v>0</v>
      </c>
      <c r="AS469" s="80">
        <f t="shared" si="460"/>
        <v>0</v>
      </c>
      <c r="AT469" s="80">
        <f t="shared" si="461"/>
        <v>0</v>
      </c>
      <c r="AU469" s="80">
        <f t="shared" si="462"/>
        <v>0</v>
      </c>
      <c r="AV469" s="80">
        <f t="shared" si="507"/>
        <v>64.588841843875187</v>
      </c>
      <c r="AW469" s="80">
        <f t="shared" si="508"/>
        <v>30.806645341245673</v>
      </c>
      <c r="AX469" s="80">
        <f t="shared" si="509"/>
        <v>19.296110186821174</v>
      </c>
      <c r="AY469" s="80">
        <f t="shared" si="510"/>
        <v>14.946954747265252</v>
      </c>
      <c r="AZ469" s="80">
        <f t="shared" si="511"/>
        <v>154.77977979342867</v>
      </c>
      <c r="BA469" s="80">
        <f t="shared" si="512"/>
        <v>75.366430812973093</v>
      </c>
      <c r="BB469" s="80">
        <f t="shared" si="488"/>
        <v>580.03323686734677</v>
      </c>
      <c r="BC469" s="80">
        <f t="shared" si="489"/>
        <v>220.6833251910237</v>
      </c>
      <c r="BD469" s="80">
        <f t="shared" si="490"/>
        <v>159.27479918908602</v>
      </c>
      <c r="BE469" s="80">
        <f t="shared" si="491"/>
        <v>120.53992967297536</v>
      </c>
      <c r="BF469" s="80">
        <f t="shared" si="492"/>
        <v>1171.8455096549353</v>
      </c>
      <c r="BG469" s="80">
        <f t="shared" si="493"/>
        <v>726.08553853237436</v>
      </c>
      <c r="BH469" s="49">
        <f t="shared" si="494"/>
        <v>0</v>
      </c>
      <c r="BI469" s="79">
        <f t="shared" si="495"/>
        <v>-111501.51136379207</v>
      </c>
      <c r="BJ469" s="79">
        <f t="shared" si="463"/>
        <v>154034.19250011857</v>
      </c>
      <c r="BK469" s="44">
        <f t="shared" si="496"/>
        <v>0.38145385310120705</v>
      </c>
      <c r="BL469" s="79">
        <f t="shared" si="513"/>
        <v>17209.101634224688</v>
      </c>
      <c r="BM469" s="49">
        <f t="shared" si="497"/>
        <v>171243.29413434328</v>
      </c>
      <c r="BN469" s="44">
        <f t="shared" si="498"/>
        <v>0.53579347974606173</v>
      </c>
      <c r="BO469" s="49">
        <f t="shared" si="464"/>
        <v>21012.980594750326</v>
      </c>
      <c r="BP469" s="49">
        <f t="shared" si="465"/>
        <v>175047.17309486889</v>
      </c>
      <c r="BQ469" s="44">
        <f t="shared" si="466"/>
        <v>0.56990852369479206</v>
      </c>
      <c r="BS469" s="49">
        <f t="shared" si="467"/>
        <v>111501.51136379207</v>
      </c>
      <c r="BT469" s="49">
        <f t="shared" si="443"/>
        <v>103.83000199999999</v>
      </c>
      <c r="BU469" s="49">
        <f t="shared" si="444"/>
        <v>36.020000000000003</v>
      </c>
      <c r="BV469" s="49">
        <f t="shared" si="468"/>
        <v>0</v>
      </c>
      <c r="BW469" s="18">
        <f t="shared" si="469"/>
        <v>2989</v>
      </c>
      <c r="BX469" s="19">
        <f t="shared" si="499"/>
        <v>0.31444954128440367</v>
      </c>
      <c r="BY469" s="49">
        <f t="shared" si="500"/>
        <v>0</v>
      </c>
      <c r="BZ469" s="19">
        <f t="shared" si="470"/>
        <v>0</v>
      </c>
      <c r="CA469" s="19">
        <f t="shared" si="471"/>
        <v>0</v>
      </c>
      <c r="CB469" s="19">
        <f t="shared" si="472"/>
        <v>0</v>
      </c>
      <c r="CC469" s="19">
        <f t="shared" si="473"/>
        <v>0</v>
      </c>
      <c r="CD469" s="19">
        <f t="shared" si="474"/>
        <v>0</v>
      </c>
      <c r="CE469" s="19">
        <f t="shared" si="475"/>
        <v>0</v>
      </c>
      <c r="CF469" s="49">
        <f t="shared" si="476"/>
        <v>0</v>
      </c>
      <c r="CG469" s="49">
        <f t="shared" si="477"/>
        <v>0</v>
      </c>
      <c r="CH469" s="49">
        <f t="shared" si="478"/>
        <v>0</v>
      </c>
      <c r="CI469" s="49">
        <f t="shared" si="479"/>
        <v>0</v>
      </c>
      <c r="CJ469" s="49">
        <f t="shared" si="480"/>
        <v>0</v>
      </c>
      <c r="CK469" s="49">
        <f t="shared" si="481"/>
        <v>0</v>
      </c>
    </row>
    <row r="470" spans="2:89" ht="12.75" customHeight="1" x14ac:dyDescent="0.2">
      <c r="B470" s="77">
        <v>42289</v>
      </c>
      <c r="C470" s="79">
        <v>104.510002</v>
      </c>
      <c r="D470" s="79">
        <v>81.349997999999999</v>
      </c>
      <c r="E470" s="79">
        <v>87.800003000000004</v>
      </c>
      <c r="F470" s="79">
        <v>102.470001</v>
      </c>
      <c r="G470" s="79">
        <v>38.139999000000003</v>
      </c>
      <c r="H470" s="79">
        <v>36.369999</v>
      </c>
      <c r="I470" s="79"/>
      <c r="J470" s="78">
        <f>IF(inter=Weekly_2,J469+$C$5,IF(inter=Bi_weekly_2,J468+$C$5,IF(inter=Monthly_2,J466+$C$5,IF(inter=Quarterly_2,0,IF(inter=Yearly_2,0,IF(inter=None_2,0,0))))))</f>
        <v>148400</v>
      </c>
      <c r="K470" s="79">
        <f t="shared" si="482"/>
        <v>1929.094754791804</v>
      </c>
      <c r="L470" s="79">
        <f t="shared" si="483"/>
        <v>606.46752602608103</v>
      </c>
      <c r="M470" s="79">
        <f t="shared" si="484"/>
        <v>418.12931433492122</v>
      </c>
      <c r="N470" s="79">
        <f t="shared" si="485"/>
        <v>432.11224623048838</v>
      </c>
      <c r="O470" s="79">
        <f t="shared" si="486"/>
        <v>1690.8859198521386</v>
      </c>
      <c r="P470" s="79">
        <f t="shared" si="487"/>
        <v>1406.6532970355147</v>
      </c>
      <c r="Q470" s="79"/>
      <c r="R470" s="80">
        <f t="shared" si="445"/>
        <v>-18.4584701739055</v>
      </c>
      <c r="S470" s="80">
        <f t="shared" si="446"/>
        <v>-7.4550404540400974</v>
      </c>
      <c r="T470" s="80">
        <f t="shared" si="447"/>
        <v>-4.7622927112533375</v>
      </c>
      <c r="U470" s="80">
        <f t="shared" si="448"/>
        <v>-4.2169634235729969</v>
      </c>
      <c r="V470" s="80">
        <f t="shared" si="449"/>
        <v>-44.333664504085029</v>
      </c>
      <c r="W470" s="80">
        <f t="shared" si="450"/>
        <v>-38.676198397352572</v>
      </c>
      <c r="X470" s="80">
        <f t="shared" si="501"/>
        <v>496.98592484956606</v>
      </c>
      <c r="Y470" s="80">
        <f t="shared" si="502"/>
        <v>182.42163939573791</v>
      </c>
      <c r="Z470" s="80">
        <f t="shared" si="503"/>
        <v>135.21639629101151</v>
      </c>
      <c r="AA470" s="80">
        <f t="shared" si="504"/>
        <v>101.37601150213712</v>
      </c>
      <c r="AB470" s="80">
        <f t="shared" si="505"/>
        <v>972.73206535742167</v>
      </c>
      <c r="AC470" s="80">
        <f t="shared" si="506"/>
        <v>612.04290932204867</v>
      </c>
      <c r="AD470" s="80"/>
      <c r="AE470" s="80"/>
      <c r="AF470" s="80"/>
      <c r="AG470" s="80"/>
      <c r="AH470" s="80"/>
      <c r="AI470" s="80"/>
      <c r="AJ470" s="45">
        <f t="shared" si="451"/>
        <v>0</v>
      </c>
      <c r="AK470" s="45">
        <f t="shared" si="452"/>
        <v>0</v>
      </c>
      <c r="AL470" s="45">
        <f t="shared" si="453"/>
        <v>0</v>
      </c>
      <c r="AM470" s="45">
        <f t="shared" si="454"/>
        <v>0</v>
      </c>
      <c r="AN470" s="45">
        <f t="shared" si="455"/>
        <v>0</v>
      </c>
      <c r="AO470" s="45">
        <f t="shared" si="456"/>
        <v>0</v>
      </c>
      <c r="AP470" s="80">
        <f t="shared" si="457"/>
        <v>0</v>
      </c>
      <c r="AQ470" s="80">
        <f t="shared" si="458"/>
        <v>0</v>
      </c>
      <c r="AR470" s="80">
        <f t="shared" si="459"/>
        <v>0</v>
      </c>
      <c r="AS470" s="80">
        <f t="shared" si="460"/>
        <v>0</v>
      </c>
      <c r="AT470" s="80">
        <f t="shared" si="461"/>
        <v>0</v>
      </c>
      <c r="AU470" s="80">
        <f t="shared" si="462"/>
        <v>0</v>
      </c>
      <c r="AV470" s="80">
        <f t="shared" si="507"/>
        <v>64.588841843875187</v>
      </c>
      <c r="AW470" s="80">
        <f t="shared" si="508"/>
        <v>30.806645341245673</v>
      </c>
      <c r="AX470" s="80">
        <f t="shared" si="509"/>
        <v>19.296110186821174</v>
      </c>
      <c r="AY470" s="80">
        <f t="shared" si="510"/>
        <v>14.946954747265252</v>
      </c>
      <c r="AZ470" s="80">
        <f t="shared" si="511"/>
        <v>154.77977979342867</v>
      </c>
      <c r="BA470" s="80">
        <f t="shared" si="512"/>
        <v>75.366430812973093</v>
      </c>
      <c r="BB470" s="80">
        <f t="shared" si="488"/>
        <v>561.57476669344123</v>
      </c>
      <c r="BC470" s="80">
        <f t="shared" si="489"/>
        <v>213.2282847369836</v>
      </c>
      <c r="BD470" s="80">
        <f t="shared" si="490"/>
        <v>154.51250647783269</v>
      </c>
      <c r="BE470" s="80">
        <f t="shared" si="491"/>
        <v>116.32296624940237</v>
      </c>
      <c r="BF470" s="80">
        <f t="shared" si="492"/>
        <v>1127.5118451508504</v>
      </c>
      <c r="BG470" s="80">
        <f t="shared" si="493"/>
        <v>687.40934013502181</v>
      </c>
      <c r="BH470" s="49">
        <f t="shared" si="494"/>
        <v>0</v>
      </c>
      <c r="BI470" s="79">
        <f t="shared" si="495"/>
        <v>-105018.16830552112</v>
      </c>
      <c r="BJ470" s="79">
        <f t="shared" si="463"/>
        <v>148400</v>
      </c>
      <c r="BK470" s="44">
        <f t="shared" si="496"/>
        <v>0.41308882448103201</v>
      </c>
      <c r="BL470" s="79">
        <f t="shared" si="513"/>
        <v>17209.101634224688</v>
      </c>
      <c r="BM470" s="49">
        <f t="shared" si="497"/>
        <v>165609.1016342247</v>
      </c>
      <c r="BN470" s="44">
        <f t="shared" si="498"/>
        <v>0.57695667622416669</v>
      </c>
      <c r="BO470" s="49">
        <f t="shared" si="464"/>
        <v>21126.49118721157</v>
      </c>
      <c r="BP470" s="49">
        <f t="shared" si="465"/>
        <v>169526.49118721156</v>
      </c>
      <c r="BQ470" s="44">
        <f t="shared" si="466"/>
        <v>0.61425869373403508</v>
      </c>
      <c r="BS470" s="49">
        <f t="shared" si="467"/>
        <v>105018.16830552112</v>
      </c>
      <c r="BT470" s="49">
        <f t="shared" si="443"/>
        <v>104.510002</v>
      </c>
      <c r="BU470" s="49">
        <f t="shared" si="444"/>
        <v>36.369999</v>
      </c>
      <c r="BV470" s="49">
        <f t="shared" si="468"/>
        <v>-6483.3430582709479</v>
      </c>
      <c r="BW470" s="18">
        <f t="shared" si="469"/>
        <v>2996</v>
      </c>
      <c r="BX470" s="19">
        <f t="shared" si="499"/>
        <v>0.3128440366972477</v>
      </c>
      <c r="BY470" s="49">
        <f t="shared" si="500"/>
        <v>-2028.2752136425624</v>
      </c>
      <c r="BZ470" s="19">
        <f t="shared" si="470"/>
        <v>0</v>
      </c>
      <c r="CA470" s="19">
        <f t="shared" si="471"/>
        <v>0</v>
      </c>
      <c r="CB470" s="19">
        <f t="shared" si="472"/>
        <v>0</v>
      </c>
      <c r="CC470" s="19">
        <f t="shared" si="473"/>
        <v>0</v>
      </c>
      <c r="CD470" s="19">
        <f t="shared" si="474"/>
        <v>0</v>
      </c>
      <c r="CE470" s="19">
        <f t="shared" si="475"/>
        <v>0</v>
      </c>
      <c r="CF470" s="49">
        <f t="shared" si="476"/>
        <v>0</v>
      </c>
      <c r="CG470" s="49">
        <f t="shared" si="477"/>
        <v>0</v>
      </c>
      <c r="CH470" s="49">
        <f t="shared" si="478"/>
        <v>0</v>
      </c>
      <c r="CI470" s="49">
        <f t="shared" si="479"/>
        <v>0</v>
      </c>
      <c r="CJ470" s="49">
        <f t="shared" si="480"/>
        <v>0</v>
      </c>
      <c r="CK470" s="49">
        <f t="shared" si="481"/>
        <v>0</v>
      </c>
    </row>
    <row r="471" spans="2:89" ht="12.75" customHeight="1" x14ac:dyDescent="0.2">
      <c r="B471" s="77">
        <v>42296</v>
      </c>
      <c r="C471" s="79">
        <v>106.30999799999999</v>
      </c>
      <c r="D471" s="79">
        <v>82.910004000000001</v>
      </c>
      <c r="E471" s="79">
        <v>88.639999000000003</v>
      </c>
      <c r="F471" s="79">
        <v>103.30999799999999</v>
      </c>
      <c r="G471" s="79">
        <v>38.619999</v>
      </c>
      <c r="H471" s="79">
        <v>36.409999999999997</v>
      </c>
      <c r="I471" s="79"/>
      <c r="J471" s="78">
        <f>IF(inter=Weekly_2,J470+$C$5,IF(inter=Bi_weekly_2,0,IF(inter=Monthly_2,0,IF(inter=Quarterly_2,J458+$C$5,IF(inter=Yearly_2,0,IF(inter=None_2,0,0))))))</f>
        <v>0</v>
      </c>
      <c r="K471" s="79">
        <f t="shared" si="482"/>
        <v>0</v>
      </c>
      <c r="L471" s="79">
        <f t="shared" si="483"/>
        <v>0</v>
      </c>
      <c r="M471" s="79">
        <f t="shared" si="484"/>
        <v>0</v>
      </c>
      <c r="N471" s="79">
        <f t="shared" si="485"/>
        <v>0</v>
      </c>
      <c r="O471" s="79">
        <f t="shared" si="486"/>
        <v>0</v>
      </c>
      <c r="P471" s="79">
        <f t="shared" si="487"/>
        <v>0</v>
      </c>
      <c r="Q471" s="79"/>
      <c r="R471" s="80">
        <f t="shared" si="445"/>
        <v>0</v>
      </c>
      <c r="S471" s="80">
        <f t="shared" si="446"/>
        <v>0</v>
      </c>
      <c r="T471" s="80">
        <f t="shared" si="447"/>
        <v>0</v>
      </c>
      <c r="U471" s="80">
        <f t="shared" si="448"/>
        <v>0</v>
      </c>
      <c r="V471" s="80">
        <f t="shared" si="449"/>
        <v>0</v>
      </c>
      <c r="W471" s="80">
        <f t="shared" si="450"/>
        <v>0</v>
      </c>
      <c r="X471" s="80">
        <f t="shared" si="501"/>
        <v>496.98592484956606</v>
      </c>
      <c r="Y471" s="80">
        <f t="shared" si="502"/>
        <v>182.42163939573791</v>
      </c>
      <c r="Z471" s="80">
        <f t="shared" si="503"/>
        <v>135.21639629101151</v>
      </c>
      <c r="AA471" s="80">
        <f t="shared" si="504"/>
        <v>101.37601150213712</v>
      </c>
      <c r="AB471" s="80">
        <f t="shared" si="505"/>
        <v>972.73206535742167</v>
      </c>
      <c r="AC471" s="80">
        <f t="shared" si="506"/>
        <v>612.04290932204867</v>
      </c>
      <c r="AD471" s="80"/>
      <c r="AE471" s="80"/>
      <c r="AF471" s="80"/>
      <c r="AG471" s="80"/>
      <c r="AH471" s="80"/>
      <c r="AI471" s="80"/>
      <c r="AJ471" s="45">
        <f t="shared" si="451"/>
        <v>0</v>
      </c>
      <c r="AK471" s="45">
        <f t="shared" si="452"/>
        <v>0</v>
      </c>
      <c r="AL471" s="45">
        <f t="shared" si="453"/>
        <v>0</v>
      </c>
      <c r="AM471" s="45">
        <f t="shared" si="454"/>
        <v>0</v>
      </c>
      <c r="AN471" s="45">
        <f t="shared" si="455"/>
        <v>0</v>
      </c>
      <c r="AO471" s="45">
        <f t="shared" si="456"/>
        <v>0</v>
      </c>
      <c r="AP471" s="80">
        <f t="shared" si="457"/>
        <v>0</v>
      </c>
      <c r="AQ471" s="80">
        <f t="shared" si="458"/>
        <v>0</v>
      </c>
      <c r="AR471" s="80">
        <f t="shared" si="459"/>
        <v>0</v>
      </c>
      <c r="AS471" s="80">
        <f t="shared" si="460"/>
        <v>0</v>
      </c>
      <c r="AT471" s="80">
        <f t="shared" si="461"/>
        <v>0</v>
      </c>
      <c r="AU471" s="80">
        <f t="shared" si="462"/>
        <v>0</v>
      </c>
      <c r="AV471" s="80">
        <f t="shared" si="507"/>
        <v>64.588841843875187</v>
      </c>
      <c r="AW471" s="80">
        <f t="shared" si="508"/>
        <v>30.806645341245673</v>
      </c>
      <c r="AX471" s="80">
        <f t="shared" si="509"/>
        <v>19.296110186821174</v>
      </c>
      <c r="AY471" s="80">
        <f t="shared" si="510"/>
        <v>14.946954747265252</v>
      </c>
      <c r="AZ471" s="80">
        <f t="shared" si="511"/>
        <v>154.77977979342867</v>
      </c>
      <c r="BA471" s="80">
        <f t="shared" si="512"/>
        <v>75.366430812973093</v>
      </c>
      <c r="BB471" s="80">
        <f t="shared" si="488"/>
        <v>561.57476669344123</v>
      </c>
      <c r="BC471" s="80">
        <f t="shared" si="489"/>
        <v>213.2282847369836</v>
      </c>
      <c r="BD471" s="80">
        <f t="shared" si="490"/>
        <v>154.51250647783269</v>
      </c>
      <c r="BE471" s="80">
        <f t="shared" si="491"/>
        <v>116.32296624940237</v>
      </c>
      <c r="BF471" s="80">
        <f t="shared" si="492"/>
        <v>1127.5118451508504</v>
      </c>
      <c r="BG471" s="80">
        <f t="shared" si="493"/>
        <v>687.40934013502181</v>
      </c>
      <c r="BH471" s="49">
        <f t="shared" si="494"/>
        <v>0</v>
      </c>
      <c r="BI471" s="79">
        <f t="shared" si="495"/>
        <v>-105018.16830552112</v>
      </c>
      <c r="BJ471" s="79">
        <f t="shared" si="463"/>
        <v>150269.28202611269</v>
      </c>
      <c r="BK471" s="44">
        <f t="shared" si="496"/>
        <v>0.43088843055180748</v>
      </c>
      <c r="BL471" s="79">
        <f t="shared" si="513"/>
        <v>17209.101634224688</v>
      </c>
      <c r="BM471" s="49">
        <f t="shared" si="497"/>
        <v>167478.38366033736</v>
      </c>
      <c r="BN471" s="44">
        <f t="shared" si="498"/>
        <v>0.59475628229494193</v>
      </c>
      <c r="BO471" s="49">
        <f t="shared" si="464"/>
        <v>21396.882475166516</v>
      </c>
      <c r="BP471" s="49">
        <f t="shared" si="465"/>
        <v>171666.16450127919</v>
      </c>
      <c r="BQ471" s="44">
        <f t="shared" si="466"/>
        <v>0.63463300942237244</v>
      </c>
      <c r="BS471" s="49">
        <f t="shared" si="467"/>
        <v>105018.16830552112</v>
      </c>
      <c r="BT471" s="49">
        <f t="shared" si="443"/>
        <v>106.30999799999999</v>
      </c>
      <c r="BU471" s="49">
        <f t="shared" si="444"/>
        <v>36.409999999999997</v>
      </c>
      <c r="BV471" s="49">
        <f t="shared" si="468"/>
        <v>0</v>
      </c>
      <c r="BW471" s="18">
        <f t="shared" si="469"/>
        <v>3003</v>
      </c>
      <c r="BX471" s="19">
        <f t="shared" si="499"/>
        <v>0.31123853211009173</v>
      </c>
      <c r="BY471" s="49">
        <f t="shared" si="500"/>
        <v>0</v>
      </c>
      <c r="BZ471" s="19">
        <f t="shared" si="470"/>
        <v>0</v>
      </c>
      <c r="CA471" s="19">
        <f t="shared" si="471"/>
        <v>0</v>
      </c>
      <c r="CB471" s="19">
        <f t="shared" si="472"/>
        <v>0</v>
      </c>
      <c r="CC471" s="19">
        <f t="shared" si="473"/>
        <v>0</v>
      </c>
      <c r="CD471" s="19">
        <f t="shared" si="474"/>
        <v>0</v>
      </c>
      <c r="CE471" s="19">
        <f t="shared" si="475"/>
        <v>0</v>
      </c>
      <c r="CF471" s="49">
        <f t="shared" si="476"/>
        <v>0</v>
      </c>
      <c r="CG471" s="49">
        <f t="shared" si="477"/>
        <v>0</v>
      </c>
      <c r="CH471" s="49">
        <f t="shared" si="478"/>
        <v>0</v>
      </c>
      <c r="CI471" s="49">
        <f t="shared" si="479"/>
        <v>0</v>
      </c>
      <c r="CJ471" s="49">
        <f t="shared" si="480"/>
        <v>0</v>
      </c>
      <c r="CK471" s="49">
        <f t="shared" si="481"/>
        <v>0</v>
      </c>
    </row>
    <row r="472" spans="2:89" ht="12.75" customHeight="1" x14ac:dyDescent="0.2">
      <c r="B472" s="77">
        <v>42303</v>
      </c>
      <c r="C472" s="79">
        <v>106.529999</v>
      </c>
      <c r="D472" s="79">
        <v>82.620002999999997</v>
      </c>
      <c r="E472" s="79">
        <v>88.489998</v>
      </c>
      <c r="F472" s="79">
        <v>103.269997</v>
      </c>
      <c r="G472" s="79">
        <v>38.040000999999997</v>
      </c>
      <c r="H472" s="79">
        <v>34.840000000000003</v>
      </c>
      <c r="I472" s="79"/>
      <c r="J472" s="78">
        <f>IF(inter=Weekly_2,J471+$C$5,IF(inter=Bi_weekly_2,J470+$C$5,IF(inter=Monthly_2,0,IF(inter=Quarterly_2,0,IF(inter=Yearly_2,0,IF(inter=None_2,0,0))))))</f>
        <v>149000</v>
      </c>
      <c r="K472" s="79">
        <f t="shared" si="482"/>
        <v>793.91007723834628</v>
      </c>
      <c r="L472" s="79">
        <f t="shared" si="483"/>
        <v>171.6763941407844</v>
      </c>
      <c r="M472" s="79">
        <f t="shared" si="484"/>
        <v>45.29863735881554</v>
      </c>
      <c r="N472" s="79">
        <f t="shared" si="485"/>
        <v>39.10040369766466</v>
      </c>
      <c r="O472" s="79">
        <f t="shared" si="486"/>
        <v>-247.27126107161894</v>
      </c>
      <c r="P472" s="79">
        <f t="shared" si="487"/>
        <v>-1026.4250392198228</v>
      </c>
      <c r="Q472" s="79"/>
      <c r="R472" s="80">
        <f t="shared" si="445"/>
        <v>-7.4524555025889585</v>
      </c>
      <c r="S472" s="80">
        <f t="shared" si="446"/>
        <v>-2.0779035089212523</v>
      </c>
      <c r="T472" s="80">
        <f t="shared" si="447"/>
        <v>-0.51190686385613371</v>
      </c>
      <c r="U472" s="80">
        <f t="shared" si="448"/>
        <v>-0.37862307382137966</v>
      </c>
      <c r="V472" s="80">
        <f t="shared" si="449"/>
        <v>6.5002958614964008</v>
      </c>
      <c r="W472" s="80">
        <f t="shared" si="450"/>
        <v>29.461109047641294</v>
      </c>
      <c r="X472" s="80">
        <f t="shared" si="501"/>
        <v>489.53346934697709</v>
      </c>
      <c r="Y472" s="80">
        <f t="shared" si="502"/>
        <v>180.34373588681666</v>
      </c>
      <c r="Z472" s="80">
        <f t="shared" si="503"/>
        <v>134.70448942715538</v>
      </c>
      <c r="AA472" s="80">
        <f t="shared" si="504"/>
        <v>100.99738842831574</v>
      </c>
      <c r="AB472" s="80">
        <f t="shared" si="505"/>
        <v>979.23236121891807</v>
      </c>
      <c r="AC472" s="80">
        <f t="shared" si="506"/>
        <v>641.50401836969002</v>
      </c>
      <c r="AD472" s="80"/>
      <c r="AE472" s="80"/>
      <c r="AF472" s="80"/>
      <c r="AG472" s="80"/>
      <c r="AH472" s="80"/>
      <c r="AI472" s="80"/>
      <c r="AJ472" s="45">
        <f t="shared" si="451"/>
        <v>0</v>
      </c>
      <c r="AK472" s="45">
        <f t="shared" si="452"/>
        <v>0</v>
      </c>
      <c r="AL472" s="45">
        <f t="shared" si="453"/>
        <v>0</v>
      </c>
      <c r="AM472" s="45">
        <f t="shared" si="454"/>
        <v>0</v>
      </c>
      <c r="AN472" s="45">
        <f t="shared" si="455"/>
        <v>0</v>
      </c>
      <c r="AO472" s="45">
        <f t="shared" si="456"/>
        <v>0</v>
      </c>
      <c r="AP472" s="80">
        <f t="shared" si="457"/>
        <v>0</v>
      </c>
      <c r="AQ472" s="80">
        <f t="shared" si="458"/>
        <v>0</v>
      </c>
      <c r="AR472" s="80">
        <f t="shared" si="459"/>
        <v>0</v>
      </c>
      <c r="AS472" s="80">
        <f t="shared" si="460"/>
        <v>0</v>
      </c>
      <c r="AT472" s="80">
        <f t="shared" si="461"/>
        <v>0</v>
      </c>
      <c r="AU472" s="80">
        <f t="shared" si="462"/>
        <v>0</v>
      </c>
      <c r="AV472" s="80">
        <f t="shared" si="507"/>
        <v>64.588841843875187</v>
      </c>
      <c r="AW472" s="80">
        <f t="shared" si="508"/>
        <v>30.806645341245673</v>
      </c>
      <c r="AX472" s="80">
        <f t="shared" si="509"/>
        <v>19.296110186821174</v>
      </c>
      <c r="AY472" s="80">
        <f t="shared" si="510"/>
        <v>14.946954747265252</v>
      </c>
      <c r="AZ472" s="80">
        <f t="shared" si="511"/>
        <v>154.77977979342867</v>
      </c>
      <c r="BA472" s="80">
        <f t="shared" si="512"/>
        <v>75.366430812973093</v>
      </c>
      <c r="BB472" s="80">
        <f t="shared" si="488"/>
        <v>554.12231119085232</v>
      </c>
      <c r="BC472" s="80">
        <f t="shared" si="489"/>
        <v>211.15038122806234</v>
      </c>
      <c r="BD472" s="80">
        <f t="shared" si="490"/>
        <v>154.00059961397656</v>
      </c>
      <c r="BE472" s="80">
        <f t="shared" si="491"/>
        <v>115.944343175581</v>
      </c>
      <c r="BF472" s="80">
        <f t="shared" si="492"/>
        <v>1134.0121410123468</v>
      </c>
      <c r="BG472" s="80">
        <f t="shared" si="493"/>
        <v>716.87044918266315</v>
      </c>
      <c r="BH472" s="49">
        <f t="shared" si="494"/>
        <v>0</v>
      </c>
      <c r="BI472" s="79">
        <f t="shared" si="495"/>
        <v>-105241.87909337692</v>
      </c>
      <c r="BJ472" s="79">
        <f t="shared" si="463"/>
        <v>149000</v>
      </c>
      <c r="BK472" s="44">
        <f t="shared" si="496"/>
        <v>0.41578619921636184</v>
      </c>
      <c r="BL472" s="79">
        <f t="shared" si="513"/>
        <v>17209.101634224688</v>
      </c>
      <c r="BM472" s="49">
        <f t="shared" si="497"/>
        <v>166209.1016342247</v>
      </c>
      <c r="BN472" s="44">
        <f t="shared" si="498"/>
        <v>0.57930571998580516</v>
      </c>
      <c r="BO472" s="49">
        <f t="shared" si="464"/>
        <v>21190.568538947431</v>
      </c>
      <c r="BP472" s="49">
        <f t="shared" si="465"/>
        <v>170190.56853894744</v>
      </c>
      <c r="BQ472" s="44">
        <f t="shared" si="466"/>
        <v>0.61713730318273896</v>
      </c>
      <c r="BS472" s="49">
        <f t="shared" si="467"/>
        <v>105241.87909337692</v>
      </c>
      <c r="BT472" s="49">
        <f t="shared" ref="BT472:BT535" si="514">C472</f>
        <v>106.529999</v>
      </c>
      <c r="BU472" s="49">
        <f t="shared" ref="BU472:BU535" si="515">H472</f>
        <v>34.840000000000003</v>
      </c>
      <c r="BV472" s="49">
        <f t="shared" si="468"/>
        <v>223.71078785583086</v>
      </c>
      <c r="BW472" s="18">
        <f t="shared" si="469"/>
        <v>3010</v>
      </c>
      <c r="BX472" s="19">
        <f t="shared" si="499"/>
        <v>0.30963302752293576</v>
      </c>
      <c r="BY472" s="49">
        <f t="shared" si="500"/>
        <v>69.268248533342117</v>
      </c>
      <c r="BZ472" s="19">
        <f t="shared" si="470"/>
        <v>0</v>
      </c>
      <c r="CA472" s="19">
        <f t="shared" si="471"/>
        <v>0</v>
      </c>
      <c r="CB472" s="19">
        <f t="shared" si="472"/>
        <v>0</v>
      </c>
      <c r="CC472" s="19">
        <f t="shared" si="473"/>
        <v>0</v>
      </c>
      <c r="CD472" s="19">
        <f t="shared" si="474"/>
        <v>6.5002958614964008</v>
      </c>
      <c r="CE472" s="19">
        <f t="shared" si="475"/>
        <v>29.461109047641294</v>
      </c>
      <c r="CF472" s="49">
        <f t="shared" si="476"/>
        <v>0</v>
      </c>
      <c r="CG472" s="49">
        <f t="shared" si="477"/>
        <v>0</v>
      </c>
      <c r="CH472" s="49">
        <f t="shared" si="478"/>
        <v>0</v>
      </c>
      <c r="CI472" s="49">
        <f t="shared" si="479"/>
        <v>0</v>
      </c>
      <c r="CJ472" s="49">
        <f t="shared" si="480"/>
        <v>-247.27126107161894</v>
      </c>
      <c r="CK472" s="49">
        <f t="shared" si="481"/>
        <v>-1026.4250392198228</v>
      </c>
    </row>
    <row r="473" spans="2:89" ht="12.75" customHeight="1" x14ac:dyDescent="0.2">
      <c r="B473" s="77">
        <v>42310</v>
      </c>
      <c r="C473" s="79">
        <v>107.839996</v>
      </c>
      <c r="D473" s="79">
        <v>83.550003000000004</v>
      </c>
      <c r="E473" s="79">
        <v>88.949996999999996</v>
      </c>
      <c r="F473" s="79">
        <v>105.260002</v>
      </c>
      <c r="G473" s="79">
        <v>37.93</v>
      </c>
      <c r="H473" s="79">
        <v>35.389999000000003</v>
      </c>
      <c r="I473" s="79"/>
      <c r="J473" s="78">
        <f>IF(inter=Weekly_2,J472+$C$5,IF(inter=Bi_weekly_2,0,IF(inter=Monthly_2,0,IF(inter=Quarterly_2,0,IF(inter=Yearly_2,0,IF(inter=None_2,0,0))))))</f>
        <v>0</v>
      </c>
      <c r="K473" s="79">
        <f t="shared" si="482"/>
        <v>0</v>
      </c>
      <c r="L473" s="79">
        <f t="shared" si="483"/>
        <v>0</v>
      </c>
      <c r="M473" s="79">
        <f t="shared" si="484"/>
        <v>0</v>
      </c>
      <c r="N473" s="79">
        <f t="shared" si="485"/>
        <v>0</v>
      </c>
      <c r="O473" s="79">
        <f t="shared" si="486"/>
        <v>0</v>
      </c>
      <c r="P473" s="79">
        <f t="shared" si="487"/>
        <v>0</v>
      </c>
      <c r="Q473" s="79"/>
      <c r="R473" s="80">
        <f t="shared" si="445"/>
        <v>0</v>
      </c>
      <c r="S473" s="80">
        <f t="shared" si="446"/>
        <v>0</v>
      </c>
      <c r="T473" s="80">
        <f t="shared" si="447"/>
        <v>0</v>
      </c>
      <c r="U473" s="80">
        <f t="shared" si="448"/>
        <v>0</v>
      </c>
      <c r="V473" s="80">
        <f t="shared" si="449"/>
        <v>0</v>
      </c>
      <c r="W473" s="80">
        <f t="shared" si="450"/>
        <v>0</v>
      </c>
      <c r="X473" s="80">
        <f t="shared" si="501"/>
        <v>489.53346934697709</v>
      </c>
      <c r="Y473" s="80">
        <f t="shared" si="502"/>
        <v>180.34373588681666</v>
      </c>
      <c r="Z473" s="80">
        <f t="shared" si="503"/>
        <v>134.70448942715538</v>
      </c>
      <c r="AA473" s="80">
        <f t="shared" si="504"/>
        <v>100.99738842831574</v>
      </c>
      <c r="AB473" s="80">
        <f t="shared" si="505"/>
        <v>979.23236121891807</v>
      </c>
      <c r="AC473" s="80">
        <f t="shared" si="506"/>
        <v>641.50401836969002</v>
      </c>
      <c r="AD473" s="80"/>
      <c r="AE473" s="80"/>
      <c r="AF473" s="80"/>
      <c r="AG473" s="80"/>
      <c r="AH473" s="80"/>
      <c r="AI473" s="80"/>
      <c r="AJ473" s="45">
        <f t="shared" si="451"/>
        <v>0</v>
      </c>
      <c r="AK473" s="45">
        <f t="shared" si="452"/>
        <v>0</v>
      </c>
      <c r="AL473" s="45">
        <f t="shared" si="453"/>
        <v>0</v>
      </c>
      <c r="AM473" s="45">
        <f t="shared" si="454"/>
        <v>0</v>
      </c>
      <c r="AN473" s="45">
        <f t="shared" si="455"/>
        <v>0</v>
      </c>
      <c r="AO473" s="45">
        <f t="shared" si="456"/>
        <v>0</v>
      </c>
      <c r="AP473" s="80">
        <f t="shared" si="457"/>
        <v>0</v>
      </c>
      <c r="AQ473" s="80">
        <f t="shared" si="458"/>
        <v>0</v>
      </c>
      <c r="AR473" s="80">
        <f t="shared" si="459"/>
        <v>0</v>
      </c>
      <c r="AS473" s="80">
        <f t="shared" si="460"/>
        <v>0</v>
      </c>
      <c r="AT473" s="80">
        <f t="shared" si="461"/>
        <v>0</v>
      </c>
      <c r="AU473" s="80">
        <f t="shared" si="462"/>
        <v>0</v>
      </c>
      <c r="AV473" s="80">
        <f t="shared" si="507"/>
        <v>64.588841843875187</v>
      </c>
      <c r="AW473" s="80">
        <f t="shared" si="508"/>
        <v>30.806645341245673</v>
      </c>
      <c r="AX473" s="80">
        <f t="shared" si="509"/>
        <v>19.296110186821174</v>
      </c>
      <c r="AY473" s="80">
        <f t="shared" si="510"/>
        <v>14.946954747265252</v>
      </c>
      <c r="AZ473" s="80">
        <f t="shared" si="511"/>
        <v>154.77977979342867</v>
      </c>
      <c r="BA473" s="80">
        <f t="shared" si="512"/>
        <v>75.366430812973093</v>
      </c>
      <c r="BB473" s="80">
        <f t="shared" si="488"/>
        <v>554.12231119085232</v>
      </c>
      <c r="BC473" s="80">
        <f t="shared" si="489"/>
        <v>211.15038122806234</v>
      </c>
      <c r="BD473" s="80">
        <f t="shared" si="490"/>
        <v>154.00059961397656</v>
      </c>
      <c r="BE473" s="80">
        <f t="shared" si="491"/>
        <v>115.944343175581</v>
      </c>
      <c r="BF473" s="80">
        <f t="shared" si="492"/>
        <v>1134.0121410123468</v>
      </c>
      <c r="BG473" s="80">
        <f t="shared" si="493"/>
        <v>716.87044918266315</v>
      </c>
      <c r="BH473" s="49">
        <f t="shared" si="494"/>
        <v>0</v>
      </c>
      <c r="BI473" s="79">
        <f t="shared" si="495"/>
        <v>-105241.87909337692</v>
      </c>
      <c r="BJ473" s="79">
        <f t="shared" si="463"/>
        <v>150317.06631864305</v>
      </c>
      <c r="BK473" s="44">
        <f t="shared" si="496"/>
        <v>0.42830085906460025</v>
      </c>
      <c r="BL473" s="79">
        <f t="shared" si="513"/>
        <v>17209.101634224688</v>
      </c>
      <c r="BM473" s="49">
        <f t="shared" si="497"/>
        <v>167526.16795286775</v>
      </c>
      <c r="BN473" s="44">
        <f t="shared" si="498"/>
        <v>0.59182037983404379</v>
      </c>
      <c r="BO473" s="49">
        <f t="shared" si="464"/>
        <v>21366.876145259044</v>
      </c>
      <c r="BP473" s="49">
        <f t="shared" si="465"/>
        <v>171683.94246390209</v>
      </c>
      <c r="BQ473" s="44">
        <f t="shared" si="466"/>
        <v>0.63132722394260732</v>
      </c>
      <c r="BS473" s="49">
        <f t="shared" si="467"/>
        <v>105241.87909337692</v>
      </c>
      <c r="BT473" s="49">
        <f t="shared" si="514"/>
        <v>107.839996</v>
      </c>
      <c r="BU473" s="49">
        <f t="shared" si="515"/>
        <v>35.389999000000003</v>
      </c>
      <c r="BV473" s="49">
        <f t="shared" si="468"/>
        <v>0</v>
      </c>
      <c r="BW473" s="18">
        <f t="shared" si="469"/>
        <v>3017</v>
      </c>
      <c r="BX473" s="19">
        <f t="shared" si="499"/>
        <v>0.30802752293577984</v>
      </c>
      <c r="BY473" s="49">
        <f t="shared" si="500"/>
        <v>0</v>
      </c>
      <c r="BZ473" s="19">
        <f t="shared" si="470"/>
        <v>0</v>
      </c>
      <c r="CA473" s="19">
        <f t="shared" si="471"/>
        <v>0</v>
      </c>
      <c r="CB473" s="19">
        <f t="shared" si="472"/>
        <v>0</v>
      </c>
      <c r="CC473" s="19">
        <f t="shared" si="473"/>
        <v>0</v>
      </c>
      <c r="CD473" s="19">
        <f t="shared" si="474"/>
        <v>0</v>
      </c>
      <c r="CE473" s="19">
        <f t="shared" si="475"/>
        <v>0</v>
      </c>
      <c r="CF473" s="49">
        <f t="shared" si="476"/>
        <v>0</v>
      </c>
      <c r="CG473" s="49">
        <f t="shared" si="477"/>
        <v>0</v>
      </c>
      <c r="CH473" s="49">
        <f t="shared" si="478"/>
        <v>0</v>
      </c>
      <c r="CI473" s="49">
        <f t="shared" si="479"/>
        <v>0</v>
      </c>
      <c r="CJ473" s="49">
        <f t="shared" si="480"/>
        <v>0</v>
      </c>
      <c r="CK473" s="49">
        <f t="shared" si="481"/>
        <v>0</v>
      </c>
    </row>
    <row r="474" spans="2:89" ht="12.75" customHeight="1" x14ac:dyDescent="0.2">
      <c r="B474" s="77">
        <v>42317</v>
      </c>
      <c r="C474" s="79">
        <v>103.839996</v>
      </c>
      <c r="D474" s="79">
        <v>80.849997999999999</v>
      </c>
      <c r="E474" s="79">
        <v>85.980002999999996</v>
      </c>
      <c r="F474" s="79">
        <v>100.75</v>
      </c>
      <c r="G474" s="79">
        <v>36.959999000000003</v>
      </c>
      <c r="H474" s="79">
        <v>33.700001</v>
      </c>
      <c r="I474" s="79"/>
      <c r="J474" s="78">
        <f>IF(inter=Weekly_2,J473+$C$5,IF(inter=Bi_weekly_2,J472+$C$5,IF(inter=Monthly_2,J470+$C$5,IF(inter=Quarterly_2,0,IF(inter=Yearly_2,0,IF(inter=None_2,0,0))))))</f>
        <v>149600</v>
      </c>
      <c r="K474" s="79">
        <f t="shared" si="482"/>
        <v>-1526.8465011437802</v>
      </c>
      <c r="L474" s="79">
        <f t="shared" si="483"/>
        <v>-379.20931423834554</v>
      </c>
      <c r="M474" s="79">
        <f t="shared" si="484"/>
        <v>-386.10759493971273</v>
      </c>
      <c r="N474" s="79">
        <f t="shared" si="485"/>
        <v>-296.51311584719042</v>
      </c>
      <c r="O474" s="79">
        <f t="shared" si="486"/>
        <v>-1207.5729085811472</v>
      </c>
      <c r="P474" s="79">
        <f t="shared" si="487"/>
        <v>-821.3139394374266</v>
      </c>
      <c r="Q474" s="79"/>
      <c r="R474" s="80">
        <f t="shared" si="445"/>
        <v>14.703838212241266</v>
      </c>
      <c r="S474" s="80">
        <f t="shared" si="446"/>
        <v>4.6902822958430441</v>
      </c>
      <c r="T474" s="80">
        <f t="shared" si="447"/>
        <v>4.4906673815737452</v>
      </c>
      <c r="U474" s="80">
        <f t="shared" si="448"/>
        <v>2.9430582218083416</v>
      </c>
      <c r="V474" s="80">
        <f t="shared" si="449"/>
        <v>32.672428064220107</v>
      </c>
      <c r="W474" s="80">
        <f t="shared" si="450"/>
        <v>24.371332791278746</v>
      </c>
      <c r="X474" s="80">
        <f t="shared" si="501"/>
        <v>504.23730755921838</v>
      </c>
      <c r="Y474" s="80">
        <f t="shared" si="502"/>
        <v>185.03401818265971</v>
      </c>
      <c r="Z474" s="80">
        <f t="shared" si="503"/>
        <v>139.19515680872914</v>
      </c>
      <c r="AA474" s="80">
        <f t="shared" si="504"/>
        <v>103.94044665012409</v>
      </c>
      <c r="AB474" s="80">
        <f t="shared" si="505"/>
        <v>1011.9047892831381</v>
      </c>
      <c r="AC474" s="80">
        <f t="shared" si="506"/>
        <v>665.87535116096876</v>
      </c>
      <c r="AD474" s="80"/>
      <c r="AE474" s="80"/>
      <c r="AF474" s="80"/>
      <c r="AG474" s="80"/>
      <c r="AH474" s="80"/>
      <c r="AI474" s="80"/>
      <c r="AJ474" s="45">
        <f t="shared" si="451"/>
        <v>0</v>
      </c>
      <c r="AK474" s="45">
        <f t="shared" si="452"/>
        <v>0</v>
      </c>
      <c r="AL474" s="45">
        <f t="shared" si="453"/>
        <v>0</v>
      </c>
      <c r="AM474" s="45">
        <f t="shared" si="454"/>
        <v>0</v>
      </c>
      <c r="AN474" s="45">
        <f t="shared" si="455"/>
        <v>0</v>
      </c>
      <c r="AO474" s="45">
        <f t="shared" si="456"/>
        <v>0</v>
      </c>
      <c r="AP474" s="80">
        <f t="shared" si="457"/>
        <v>0</v>
      </c>
      <c r="AQ474" s="80">
        <f t="shared" si="458"/>
        <v>0</v>
      </c>
      <c r="AR474" s="80">
        <f t="shared" si="459"/>
        <v>0</v>
      </c>
      <c r="AS474" s="80">
        <f t="shared" si="460"/>
        <v>0</v>
      </c>
      <c r="AT474" s="80">
        <f t="shared" si="461"/>
        <v>0</v>
      </c>
      <c r="AU474" s="80">
        <f t="shared" si="462"/>
        <v>0</v>
      </c>
      <c r="AV474" s="80">
        <f t="shared" si="507"/>
        <v>64.588841843875187</v>
      </c>
      <c r="AW474" s="80">
        <f t="shared" si="508"/>
        <v>30.806645341245673</v>
      </c>
      <c r="AX474" s="80">
        <f t="shared" si="509"/>
        <v>19.296110186821174</v>
      </c>
      <c r="AY474" s="80">
        <f t="shared" si="510"/>
        <v>14.946954747265252</v>
      </c>
      <c r="AZ474" s="80">
        <f t="shared" si="511"/>
        <v>154.77977979342867</v>
      </c>
      <c r="BA474" s="80">
        <f t="shared" si="512"/>
        <v>75.366430812973093</v>
      </c>
      <c r="BB474" s="80">
        <f t="shared" si="488"/>
        <v>568.82614940309361</v>
      </c>
      <c r="BC474" s="80">
        <f t="shared" si="489"/>
        <v>215.84066352390539</v>
      </c>
      <c r="BD474" s="80">
        <f t="shared" si="490"/>
        <v>158.49126699555032</v>
      </c>
      <c r="BE474" s="80">
        <f t="shared" si="491"/>
        <v>118.88740139738934</v>
      </c>
      <c r="BF474" s="80">
        <f t="shared" si="492"/>
        <v>1166.6845690765667</v>
      </c>
      <c r="BG474" s="80">
        <f t="shared" si="493"/>
        <v>741.2417819739419</v>
      </c>
      <c r="BH474" s="49">
        <f t="shared" si="494"/>
        <v>0</v>
      </c>
      <c r="BI474" s="79">
        <f t="shared" si="495"/>
        <v>-109859.44246756453</v>
      </c>
      <c r="BJ474" s="79">
        <f t="shared" si="463"/>
        <v>149600</v>
      </c>
      <c r="BK474" s="44">
        <f t="shared" si="496"/>
        <v>0.36174002561653884</v>
      </c>
      <c r="BL474" s="79">
        <f t="shared" si="513"/>
        <v>17209.101634224688</v>
      </c>
      <c r="BM474" s="49">
        <f t="shared" si="497"/>
        <v>166809.1016342247</v>
      </c>
      <c r="BN474" s="44">
        <f t="shared" si="498"/>
        <v>0.51838656639345571</v>
      </c>
      <c r="BO474" s="49">
        <f t="shared" si="464"/>
        <v>20623.116895626212</v>
      </c>
      <c r="BP474" s="49">
        <f t="shared" si="465"/>
        <v>170223.11689562624</v>
      </c>
      <c r="BQ474" s="44">
        <f t="shared" si="466"/>
        <v>0.54946277782070307</v>
      </c>
      <c r="BS474" s="49">
        <f t="shared" si="467"/>
        <v>109859.44246756453</v>
      </c>
      <c r="BT474" s="49">
        <f t="shared" si="514"/>
        <v>103.839996</v>
      </c>
      <c r="BU474" s="49">
        <f t="shared" si="515"/>
        <v>33.700001</v>
      </c>
      <c r="BV474" s="49">
        <f t="shared" si="468"/>
        <v>4617.5633741876027</v>
      </c>
      <c r="BW474" s="18">
        <f t="shared" si="469"/>
        <v>3024</v>
      </c>
      <c r="BX474" s="19">
        <f t="shared" si="499"/>
        <v>0.30642201834862387</v>
      </c>
      <c r="BY474" s="49">
        <f t="shared" si="500"/>
        <v>1414.9230889712471</v>
      </c>
      <c r="BZ474" s="19">
        <f t="shared" si="470"/>
        <v>14.703838212241266</v>
      </c>
      <c r="CA474" s="19">
        <f t="shared" si="471"/>
        <v>4.6902822958430441</v>
      </c>
      <c r="CB474" s="19">
        <f t="shared" si="472"/>
        <v>4.4906673815737452</v>
      </c>
      <c r="CC474" s="19">
        <f t="shared" si="473"/>
        <v>2.9430582218083416</v>
      </c>
      <c r="CD474" s="19">
        <f t="shared" si="474"/>
        <v>32.672428064220107</v>
      </c>
      <c r="CE474" s="19">
        <f t="shared" si="475"/>
        <v>24.371332791278746</v>
      </c>
      <c r="CF474" s="49">
        <f t="shared" si="476"/>
        <v>-1526.8465011437802</v>
      </c>
      <c r="CG474" s="49">
        <f t="shared" si="477"/>
        <v>-379.20931423834554</v>
      </c>
      <c r="CH474" s="49">
        <f t="shared" si="478"/>
        <v>-386.10759493971273</v>
      </c>
      <c r="CI474" s="49">
        <f t="shared" si="479"/>
        <v>-296.51311584719042</v>
      </c>
      <c r="CJ474" s="49">
        <f t="shared" si="480"/>
        <v>-1207.5729085811472</v>
      </c>
      <c r="CK474" s="49">
        <f t="shared" si="481"/>
        <v>-821.3139394374266</v>
      </c>
    </row>
    <row r="475" spans="2:89" ht="12.75" customHeight="1" x14ac:dyDescent="0.2">
      <c r="B475" s="77">
        <v>42324</v>
      </c>
      <c r="C475" s="79">
        <v>107.220001</v>
      </c>
      <c r="D475" s="79">
        <v>83.169998000000007</v>
      </c>
      <c r="E475" s="79">
        <v>88.410004000000001</v>
      </c>
      <c r="F475" s="79">
        <v>103.389999</v>
      </c>
      <c r="G475" s="79">
        <v>37.93</v>
      </c>
      <c r="H475" s="79">
        <v>35.220001000000003</v>
      </c>
      <c r="I475" s="79"/>
      <c r="J475" s="78">
        <f>IF(inter=Weekly_2,J474+$C$5,IF(inter=Bi_weekly_2,0,IF(inter=Monthly_2,0,IF(inter=Quarterly_2,0,IF(inter=Yearly_2,0,IF(inter=None_2,0,0))))))</f>
        <v>0</v>
      </c>
      <c r="K475" s="79">
        <f t="shared" si="482"/>
        <v>0</v>
      </c>
      <c r="L475" s="79">
        <f t="shared" si="483"/>
        <v>0</v>
      </c>
      <c r="M475" s="79">
        <f t="shared" si="484"/>
        <v>0</v>
      </c>
      <c r="N475" s="79">
        <f t="shared" si="485"/>
        <v>0</v>
      </c>
      <c r="O475" s="79">
        <f t="shared" si="486"/>
        <v>0</v>
      </c>
      <c r="P475" s="79">
        <f t="shared" si="487"/>
        <v>0</v>
      </c>
      <c r="Q475" s="79"/>
      <c r="R475" s="80">
        <f t="shared" si="445"/>
        <v>0</v>
      </c>
      <c r="S475" s="80">
        <f t="shared" si="446"/>
        <v>0</v>
      </c>
      <c r="T475" s="80">
        <f t="shared" si="447"/>
        <v>0</v>
      </c>
      <c r="U475" s="80">
        <f t="shared" si="448"/>
        <v>0</v>
      </c>
      <c r="V475" s="80">
        <f t="shared" si="449"/>
        <v>0</v>
      </c>
      <c r="W475" s="80">
        <f t="shared" si="450"/>
        <v>0</v>
      </c>
      <c r="X475" s="80">
        <f t="shared" si="501"/>
        <v>504.23730755921838</v>
      </c>
      <c r="Y475" s="80">
        <f t="shared" si="502"/>
        <v>185.03401818265971</v>
      </c>
      <c r="Z475" s="80">
        <f t="shared" si="503"/>
        <v>139.19515680872914</v>
      </c>
      <c r="AA475" s="80">
        <f t="shared" si="504"/>
        <v>103.94044665012409</v>
      </c>
      <c r="AB475" s="80">
        <f t="shared" si="505"/>
        <v>1011.9047892831381</v>
      </c>
      <c r="AC475" s="80">
        <f t="shared" si="506"/>
        <v>665.87535116096876</v>
      </c>
      <c r="AD475" s="80"/>
      <c r="AE475" s="80"/>
      <c r="AF475" s="80"/>
      <c r="AG475" s="80"/>
      <c r="AH475" s="80"/>
      <c r="AI475" s="80"/>
      <c r="AJ475" s="45">
        <f t="shared" si="451"/>
        <v>0</v>
      </c>
      <c r="AK475" s="45">
        <f t="shared" si="452"/>
        <v>0</v>
      </c>
      <c r="AL475" s="45">
        <f t="shared" si="453"/>
        <v>0</v>
      </c>
      <c r="AM475" s="45">
        <f t="shared" si="454"/>
        <v>0</v>
      </c>
      <c r="AN475" s="45">
        <f t="shared" si="455"/>
        <v>0</v>
      </c>
      <c r="AO475" s="45">
        <f t="shared" si="456"/>
        <v>0</v>
      </c>
      <c r="AP475" s="80">
        <f t="shared" si="457"/>
        <v>0</v>
      </c>
      <c r="AQ475" s="80">
        <f t="shared" si="458"/>
        <v>0</v>
      </c>
      <c r="AR475" s="80">
        <f t="shared" si="459"/>
        <v>0</v>
      </c>
      <c r="AS475" s="80">
        <f t="shared" si="460"/>
        <v>0</v>
      </c>
      <c r="AT475" s="80">
        <f t="shared" si="461"/>
        <v>0</v>
      </c>
      <c r="AU475" s="80">
        <f t="shared" si="462"/>
        <v>0</v>
      </c>
      <c r="AV475" s="80">
        <f t="shared" si="507"/>
        <v>64.588841843875187</v>
      </c>
      <c r="AW475" s="80">
        <f t="shared" si="508"/>
        <v>30.806645341245673</v>
      </c>
      <c r="AX475" s="80">
        <f t="shared" si="509"/>
        <v>19.296110186821174</v>
      </c>
      <c r="AY475" s="80">
        <f t="shared" si="510"/>
        <v>14.946954747265252</v>
      </c>
      <c r="AZ475" s="80">
        <f t="shared" si="511"/>
        <v>154.77977979342867</v>
      </c>
      <c r="BA475" s="80">
        <f t="shared" si="512"/>
        <v>75.366430812973093</v>
      </c>
      <c r="BB475" s="80">
        <f t="shared" si="488"/>
        <v>568.82614940309361</v>
      </c>
      <c r="BC475" s="80">
        <f t="shared" si="489"/>
        <v>215.84066352390539</v>
      </c>
      <c r="BD475" s="80">
        <f t="shared" si="490"/>
        <v>158.49126699555032</v>
      </c>
      <c r="BE475" s="80">
        <f t="shared" si="491"/>
        <v>118.88740139738934</v>
      </c>
      <c r="BF475" s="80">
        <f t="shared" si="492"/>
        <v>1166.6845690765667</v>
      </c>
      <c r="BG475" s="80">
        <f t="shared" si="493"/>
        <v>741.2417819739419</v>
      </c>
      <c r="BH475" s="49">
        <f t="shared" si="494"/>
        <v>0</v>
      </c>
      <c r="BI475" s="79">
        <f t="shared" si="495"/>
        <v>-109859.44246756453</v>
      </c>
      <c r="BJ475" s="79">
        <f t="shared" si="463"/>
        <v>154339.92977965082</v>
      </c>
      <c r="BK475" s="44">
        <f t="shared" si="496"/>
        <v>0.40488542735158095</v>
      </c>
      <c r="BL475" s="79">
        <f t="shared" si="513"/>
        <v>17209.101634224688</v>
      </c>
      <c r="BM475" s="49">
        <f t="shared" si="497"/>
        <v>171549.03141387552</v>
      </c>
      <c r="BN475" s="44">
        <f t="shared" si="498"/>
        <v>0.56153196812849782</v>
      </c>
      <c r="BO475" s="49">
        <f t="shared" si="464"/>
        <v>21263.941949845444</v>
      </c>
      <c r="BP475" s="49">
        <f t="shared" si="465"/>
        <v>175603.87172949628</v>
      </c>
      <c r="BQ475" s="44">
        <f t="shared" si="466"/>
        <v>0.59844131542304591</v>
      </c>
      <c r="BS475" s="49">
        <f t="shared" si="467"/>
        <v>109859.44246756453</v>
      </c>
      <c r="BT475" s="49">
        <f t="shared" si="514"/>
        <v>107.220001</v>
      </c>
      <c r="BU475" s="49">
        <f t="shared" si="515"/>
        <v>35.220001000000003</v>
      </c>
      <c r="BV475" s="49">
        <f t="shared" si="468"/>
        <v>0</v>
      </c>
      <c r="BW475" s="18">
        <f t="shared" si="469"/>
        <v>3031</v>
      </c>
      <c r="BX475" s="19">
        <f t="shared" si="499"/>
        <v>0.3048165137614679</v>
      </c>
      <c r="BY475" s="49">
        <f t="shared" si="500"/>
        <v>0</v>
      </c>
      <c r="BZ475" s="19">
        <f t="shared" si="470"/>
        <v>0</v>
      </c>
      <c r="CA475" s="19">
        <f t="shared" si="471"/>
        <v>0</v>
      </c>
      <c r="CB475" s="19">
        <f t="shared" si="472"/>
        <v>0</v>
      </c>
      <c r="CC475" s="19">
        <f t="shared" si="473"/>
        <v>0</v>
      </c>
      <c r="CD475" s="19">
        <f t="shared" si="474"/>
        <v>0</v>
      </c>
      <c r="CE475" s="19">
        <f t="shared" si="475"/>
        <v>0</v>
      </c>
      <c r="CF475" s="49">
        <f t="shared" si="476"/>
        <v>0</v>
      </c>
      <c r="CG475" s="49">
        <f t="shared" si="477"/>
        <v>0</v>
      </c>
      <c r="CH475" s="49">
        <f t="shared" si="478"/>
        <v>0</v>
      </c>
      <c r="CI475" s="49">
        <f t="shared" si="479"/>
        <v>0</v>
      </c>
      <c r="CJ475" s="49">
        <f t="shared" si="480"/>
        <v>0</v>
      </c>
      <c r="CK475" s="49">
        <f t="shared" si="481"/>
        <v>0</v>
      </c>
    </row>
    <row r="476" spans="2:89" ht="12.75" customHeight="1" x14ac:dyDescent="0.2">
      <c r="B476" s="77">
        <v>42331</v>
      </c>
      <c r="C476" s="79">
        <v>107.629997</v>
      </c>
      <c r="D476" s="79">
        <v>83.260002</v>
      </c>
      <c r="E476" s="79">
        <v>89.059997999999993</v>
      </c>
      <c r="F476" s="79">
        <v>104.989998</v>
      </c>
      <c r="G476" s="79">
        <v>37.799999</v>
      </c>
      <c r="H476" s="79">
        <v>33.990001999999997</v>
      </c>
      <c r="I476" s="79"/>
      <c r="J476" s="78">
        <f>IF(inter=Weekly_2,J475+$C$5,IF(inter=Bi_weekly_2,J474+$C$5,IF(inter=Monthly_2,0,IF(inter=Quarterly_2,0,IF(inter=Yearly_2,0,IF(inter=None_2,0,0))))))</f>
        <v>150200</v>
      </c>
      <c r="K476" s="79">
        <f t="shared" si="482"/>
        <v>1701.0598998867499</v>
      </c>
      <c r="L476" s="79">
        <f t="shared" si="483"/>
        <v>385.93272395628446</v>
      </c>
      <c r="M476" s="79">
        <f t="shared" si="484"/>
        <v>380.72038699510267</v>
      </c>
      <c r="N476" s="79">
        <f t="shared" si="485"/>
        <v>398.70728591563238</v>
      </c>
      <c r="O476" s="79">
        <f t="shared" si="486"/>
        <v>700.00002299783227</v>
      </c>
      <c r="P476" s="79">
        <f t="shared" si="487"/>
        <v>103.10451771202861</v>
      </c>
      <c r="Q476" s="79"/>
      <c r="R476" s="80">
        <f t="shared" si="445"/>
        <v>-15.804700801828972</v>
      </c>
      <c r="S476" s="80">
        <f t="shared" si="446"/>
        <v>-4.6352716152503151</v>
      </c>
      <c r="T476" s="80">
        <f t="shared" si="447"/>
        <v>-4.2748753148984209</v>
      </c>
      <c r="U476" s="80">
        <f t="shared" si="448"/>
        <v>-3.7975739928638954</v>
      </c>
      <c r="V476" s="80">
        <f t="shared" si="449"/>
        <v>-18.518519616834705</v>
      </c>
      <c r="W476" s="80">
        <f t="shared" si="450"/>
        <v>-3.0333778065687853</v>
      </c>
      <c r="X476" s="80">
        <f t="shared" si="501"/>
        <v>488.43260675738941</v>
      </c>
      <c r="Y476" s="80">
        <f t="shared" si="502"/>
        <v>180.3987465674094</v>
      </c>
      <c r="Z476" s="80">
        <f t="shared" si="503"/>
        <v>134.92028149383071</v>
      </c>
      <c r="AA476" s="80">
        <f t="shared" si="504"/>
        <v>100.1428726572602</v>
      </c>
      <c r="AB476" s="80">
        <f t="shared" si="505"/>
        <v>993.38626966630341</v>
      </c>
      <c r="AC476" s="80">
        <f t="shared" si="506"/>
        <v>662.84197335440001</v>
      </c>
      <c r="AD476" s="80"/>
      <c r="AE476" s="80"/>
      <c r="AF476" s="80"/>
      <c r="AG476" s="80"/>
      <c r="AH476" s="80"/>
      <c r="AI476" s="80"/>
      <c r="AJ476" s="45">
        <f t="shared" si="451"/>
        <v>0</v>
      </c>
      <c r="AK476" s="45">
        <f t="shared" si="452"/>
        <v>0</v>
      </c>
      <c r="AL476" s="45">
        <f t="shared" si="453"/>
        <v>0</v>
      </c>
      <c r="AM476" s="45">
        <f t="shared" si="454"/>
        <v>0</v>
      </c>
      <c r="AN476" s="45">
        <f t="shared" si="455"/>
        <v>0</v>
      </c>
      <c r="AO476" s="45">
        <f t="shared" si="456"/>
        <v>0</v>
      </c>
      <c r="AP476" s="80">
        <f t="shared" si="457"/>
        <v>0</v>
      </c>
      <c r="AQ476" s="80">
        <f t="shared" si="458"/>
        <v>0</v>
      </c>
      <c r="AR476" s="80">
        <f t="shared" si="459"/>
        <v>0</v>
      </c>
      <c r="AS476" s="80">
        <f t="shared" si="460"/>
        <v>0</v>
      </c>
      <c r="AT476" s="80">
        <f t="shared" si="461"/>
        <v>0</v>
      </c>
      <c r="AU476" s="80">
        <f t="shared" si="462"/>
        <v>0</v>
      </c>
      <c r="AV476" s="80">
        <f t="shared" si="507"/>
        <v>64.588841843875187</v>
      </c>
      <c r="AW476" s="80">
        <f t="shared" si="508"/>
        <v>30.806645341245673</v>
      </c>
      <c r="AX476" s="80">
        <f t="shared" si="509"/>
        <v>19.296110186821174</v>
      </c>
      <c r="AY476" s="80">
        <f t="shared" si="510"/>
        <v>14.946954747265252</v>
      </c>
      <c r="AZ476" s="80">
        <f t="shared" si="511"/>
        <v>154.77977979342867</v>
      </c>
      <c r="BA476" s="80">
        <f t="shared" si="512"/>
        <v>75.366430812973093</v>
      </c>
      <c r="BB476" s="80">
        <f t="shared" si="488"/>
        <v>553.02144860126464</v>
      </c>
      <c r="BC476" s="80">
        <f t="shared" si="489"/>
        <v>211.20539190865509</v>
      </c>
      <c r="BD476" s="80">
        <f t="shared" si="490"/>
        <v>154.2163916806519</v>
      </c>
      <c r="BE476" s="80">
        <f t="shared" si="491"/>
        <v>115.08982740452545</v>
      </c>
      <c r="BF476" s="80">
        <f t="shared" si="492"/>
        <v>1148.166049459732</v>
      </c>
      <c r="BG476" s="80">
        <f t="shared" si="493"/>
        <v>738.20840416737315</v>
      </c>
      <c r="BH476" s="49">
        <f t="shared" si="494"/>
        <v>0</v>
      </c>
      <c r="BI476" s="79">
        <f t="shared" si="495"/>
        <v>-106189.9176301009</v>
      </c>
      <c r="BJ476" s="79">
        <f t="shared" si="463"/>
        <v>150200</v>
      </c>
      <c r="BK476" s="44">
        <f t="shared" si="496"/>
        <v>0.41444690185373934</v>
      </c>
      <c r="BL476" s="79">
        <f t="shared" si="513"/>
        <v>17209.101634224688</v>
      </c>
      <c r="BM476" s="49">
        <f t="shared" si="497"/>
        <v>167409.1016342247</v>
      </c>
      <c r="BN476" s="44">
        <f t="shared" si="498"/>
        <v>0.57650655891242963</v>
      </c>
      <c r="BO476" s="49">
        <f t="shared" si="464"/>
        <v>21216.831145760352</v>
      </c>
      <c r="BP476" s="49">
        <f t="shared" si="465"/>
        <v>171416.83114576037</v>
      </c>
      <c r="BQ476" s="44">
        <f t="shared" si="466"/>
        <v>0.61424770798739248</v>
      </c>
      <c r="BS476" s="49">
        <f t="shared" si="467"/>
        <v>106189.9176301009</v>
      </c>
      <c r="BT476" s="49">
        <f t="shared" si="514"/>
        <v>107.629997</v>
      </c>
      <c r="BU476" s="49">
        <f t="shared" si="515"/>
        <v>33.990001999999997</v>
      </c>
      <c r="BV476" s="49">
        <f t="shared" si="468"/>
        <v>-3669.5248374636303</v>
      </c>
      <c r="BW476" s="18">
        <f t="shared" si="469"/>
        <v>3038</v>
      </c>
      <c r="BX476" s="19">
        <f t="shared" si="499"/>
        <v>0.30321100917431193</v>
      </c>
      <c r="BY476" s="49">
        <f t="shared" si="500"/>
        <v>-1112.6403291575502</v>
      </c>
      <c r="BZ476" s="19">
        <f t="shared" si="470"/>
        <v>0</v>
      </c>
      <c r="CA476" s="19">
        <f t="shared" si="471"/>
        <v>0</v>
      </c>
      <c r="CB476" s="19">
        <f t="shared" si="472"/>
        <v>0</v>
      </c>
      <c r="CC476" s="19">
        <f t="shared" si="473"/>
        <v>0</v>
      </c>
      <c r="CD476" s="19">
        <f t="shared" si="474"/>
        <v>0</v>
      </c>
      <c r="CE476" s="19">
        <f t="shared" si="475"/>
        <v>0</v>
      </c>
      <c r="CF476" s="49">
        <f t="shared" si="476"/>
        <v>0</v>
      </c>
      <c r="CG476" s="49">
        <f t="shared" si="477"/>
        <v>0</v>
      </c>
      <c r="CH476" s="49">
        <f t="shared" si="478"/>
        <v>0</v>
      </c>
      <c r="CI476" s="49">
        <f t="shared" si="479"/>
        <v>0</v>
      </c>
      <c r="CJ476" s="49">
        <f t="shared" si="480"/>
        <v>0</v>
      </c>
      <c r="CK476" s="49">
        <f t="shared" si="481"/>
        <v>0</v>
      </c>
    </row>
    <row r="477" spans="2:89" ht="12.75" customHeight="1" x14ac:dyDescent="0.2">
      <c r="B477" s="77">
        <v>42338</v>
      </c>
      <c r="C477" s="79">
        <v>107.389999</v>
      </c>
      <c r="D477" s="79">
        <v>83.449996999999996</v>
      </c>
      <c r="E477" s="79">
        <v>88.849997999999999</v>
      </c>
      <c r="F477" s="79">
        <v>103.540001</v>
      </c>
      <c r="G477" s="79">
        <v>37.849997999999999</v>
      </c>
      <c r="H477" s="79">
        <v>33.93</v>
      </c>
      <c r="I477" s="79"/>
      <c r="J477" s="78">
        <f>IF(inter=Weekly_2,J476+$C$5,IF(inter=Bi_weekly_2,0,IF(inter=Monthly_2,0,IF(inter=Quarterly_2,0,IF(inter=Yearly_2,0,IF(inter=None_2,0,0))))))</f>
        <v>0</v>
      </c>
      <c r="K477" s="79">
        <f t="shared" si="482"/>
        <v>0</v>
      </c>
      <c r="L477" s="79">
        <f t="shared" si="483"/>
        <v>0</v>
      </c>
      <c r="M477" s="79">
        <f t="shared" si="484"/>
        <v>0</v>
      </c>
      <c r="N477" s="79">
        <f t="shared" si="485"/>
        <v>0</v>
      </c>
      <c r="O477" s="79">
        <f t="shared" si="486"/>
        <v>0</v>
      </c>
      <c r="P477" s="79">
        <f t="shared" si="487"/>
        <v>0</v>
      </c>
      <c r="Q477" s="79"/>
      <c r="R477" s="80">
        <f t="shared" si="445"/>
        <v>0</v>
      </c>
      <c r="S477" s="80">
        <f t="shared" si="446"/>
        <v>0</v>
      </c>
      <c r="T477" s="80">
        <f t="shared" si="447"/>
        <v>0</v>
      </c>
      <c r="U477" s="80">
        <f t="shared" si="448"/>
        <v>0</v>
      </c>
      <c r="V477" s="80">
        <f t="shared" si="449"/>
        <v>0</v>
      </c>
      <c r="W477" s="80">
        <f t="shared" si="450"/>
        <v>0</v>
      </c>
      <c r="X477" s="80">
        <f t="shared" si="501"/>
        <v>488.43260675738941</v>
      </c>
      <c r="Y477" s="80">
        <f t="shared" si="502"/>
        <v>180.3987465674094</v>
      </c>
      <c r="Z477" s="80">
        <f t="shared" si="503"/>
        <v>134.92028149383071</v>
      </c>
      <c r="AA477" s="80">
        <f t="shared" si="504"/>
        <v>100.1428726572602</v>
      </c>
      <c r="AB477" s="80">
        <f t="shared" si="505"/>
        <v>993.38626966630341</v>
      </c>
      <c r="AC477" s="80">
        <f t="shared" si="506"/>
        <v>662.84197335440001</v>
      </c>
      <c r="AD477" s="80"/>
      <c r="AE477" s="80"/>
      <c r="AF477" s="80"/>
      <c r="AG477" s="80"/>
      <c r="AH477" s="80"/>
      <c r="AI477" s="80"/>
      <c r="AJ477" s="45">
        <f t="shared" si="451"/>
        <v>0</v>
      </c>
      <c r="AK477" s="45">
        <f t="shared" si="452"/>
        <v>0</v>
      </c>
      <c r="AL477" s="45">
        <f t="shared" si="453"/>
        <v>0</v>
      </c>
      <c r="AM477" s="45">
        <f t="shared" si="454"/>
        <v>0</v>
      </c>
      <c r="AN477" s="45">
        <f t="shared" si="455"/>
        <v>0</v>
      </c>
      <c r="AO477" s="45">
        <f t="shared" si="456"/>
        <v>0</v>
      </c>
      <c r="AP477" s="80">
        <f t="shared" si="457"/>
        <v>0</v>
      </c>
      <c r="AQ477" s="80">
        <f t="shared" si="458"/>
        <v>0</v>
      </c>
      <c r="AR477" s="80">
        <f t="shared" si="459"/>
        <v>0</v>
      </c>
      <c r="AS477" s="80">
        <f t="shared" si="460"/>
        <v>0</v>
      </c>
      <c r="AT477" s="80">
        <f t="shared" si="461"/>
        <v>0</v>
      </c>
      <c r="AU477" s="80">
        <f t="shared" si="462"/>
        <v>0</v>
      </c>
      <c r="AV477" s="80">
        <f t="shared" si="507"/>
        <v>64.588841843875187</v>
      </c>
      <c r="AW477" s="80">
        <f t="shared" si="508"/>
        <v>30.806645341245673</v>
      </c>
      <c r="AX477" s="80">
        <f t="shared" si="509"/>
        <v>19.296110186821174</v>
      </c>
      <c r="AY477" s="80">
        <f t="shared" si="510"/>
        <v>14.946954747265252</v>
      </c>
      <c r="AZ477" s="80">
        <f t="shared" si="511"/>
        <v>154.77977979342867</v>
      </c>
      <c r="BA477" s="80">
        <f t="shared" si="512"/>
        <v>75.366430812973093</v>
      </c>
      <c r="BB477" s="80">
        <f t="shared" si="488"/>
        <v>553.02144860126464</v>
      </c>
      <c r="BC477" s="80">
        <f t="shared" si="489"/>
        <v>211.20539190865509</v>
      </c>
      <c r="BD477" s="80">
        <f t="shared" si="490"/>
        <v>154.2163916806519</v>
      </c>
      <c r="BE477" s="80">
        <f t="shared" si="491"/>
        <v>115.08982740452545</v>
      </c>
      <c r="BF477" s="80">
        <f t="shared" si="492"/>
        <v>1148.166049459732</v>
      </c>
      <c r="BG477" s="80">
        <f t="shared" si="493"/>
        <v>738.20840416737315</v>
      </c>
      <c r="BH477" s="49">
        <f t="shared" si="494"/>
        <v>0</v>
      </c>
      <c r="BI477" s="79">
        <f t="shared" si="495"/>
        <v>-106189.9176301009</v>
      </c>
      <c r="BJ477" s="79">
        <f t="shared" si="463"/>
        <v>149953.40836307124</v>
      </c>
      <c r="BK477" s="44">
        <f t="shared" si="496"/>
        <v>0.41212472624204222</v>
      </c>
      <c r="BL477" s="79">
        <f t="shared" si="513"/>
        <v>17209.101634224688</v>
      </c>
      <c r="BM477" s="49">
        <f t="shared" si="497"/>
        <v>167162.50999729591</v>
      </c>
      <c r="BN477" s="44">
        <f t="shared" si="498"/>
        <v>0.57418438330073207</v>
      </c>
      <c r="BO477" s="49">
        <f t="shared" si="464"/>
        <v>21184.674536423463</v>
      </c>
      <c r="BP477" s="49">
        <f t="shared" si="465"/>
        <v>171138.08289949471</v>
      </c>
      <c r="BQ477" s="44">
        <f t="shared" si="466"/>
        <v>0.61162271069493146</v>
      </c>
      <c r="BS477" s="49">
        <f t="shared" si="467"/>
        <v>106189.9176301009</v>
      </c>
      <c r="BT477" s="49">
        <f t="shared" si="514"/>
        <v>107.389999</v>
      </c>
      <c r="BU477" s="49">
        <f t="shared" si="515"/>
        <v>33.93</v>
      </c>
      <c r="BV477" s="49">
        <f t="shared" si="468"/>
        <v>0</v>
      </c>
      <c r="BW477" s="18">
        <f t="shared" si="469"/>
        <v>3045</v>
      </c>
      <c r="BX477" s="19">
        <f t="shared" si="499"/>
        <v>0.30160550458715596</v>
      </c>
      <c r="BY477" s="49">
        <f t="shared" si="500"/>
        <v>0</v>
      </c>
      <c r="BZ477" s="19">
        <f t="shared" si="470"/>
        <v>0</v>
      </c>
      <c r="CA477" s="19">
        <f t="shared" si="471"/>
        <v>0</v>
      </c>
      <c r="CB477" s="19">
        <f t="shared" si="472"/>
        <v>0</v>
      </c>
      <c r="CC477" s="19">
        <f t="shared" si="473"/>
        <v>0</v>
      </c>
      <c r="CD477" s="19">
        <f t="shared" si="474"/>
        <v>0</v>
      </c>
      <c r="CE477" s="19">
        <f t="shared" si="475"/>
        <v>0</v>
      </c>
      <c r="CF477" s="49">
        <f t="shared" si="476"/>
        <v>0</v>
      </c>
      <c r="CG477" s="49">
        <f t="shared" si="477"/>
        <v>0</v>
      </c>
      <c r="CH477" s="49">
        <f t="shared" si="478"/>
        <v>0</v>
      </c>
      <c r="CI477" s="49">
        <f t="shared" si="479"/>
        <v>0</v>
      </c>
      <c r="CJ477" s="49">
        <f t="shared" si="480"/>
        <v>0</v>
      </c>
      <c r="CK477" s="49">
        <f t="shared" si="481"/>
        <v>0</v>
      </c>
    </row>
    <row r="478" spans="2:89" ht="12.75" customHeight="1" x14ac:dyDescent="0.2">
      <c r="B478" s="77">
        <v>42345</v>
      </c>
      <c r="C478" s="79">
        <v>103.239998</v>
      </c>
      <c r="D478" s="79">
        <v>80.400002000000001</v>
      </c>
      <c r="E478" s="79">
        <v>84.980002999999996</v>
      </c>
      <c r="F478" s="79">
        <v>98.639999000000003</v>
      </c>
      <c r="G478" s="79">
        <v>36.220001000000003</v>
      </c>
      <c r="H478" s="79">
        <v>31.559999000000001</v>
      </c>
      <c r="I478" s="79"/>
      <c r="J478" s="78">
        <f>IF(inter=Weekly_2,J477+$C$5,IF(inter=Bi_weekly_2,J476+$C$5,IF(inter=Monthly_2,J474+$C$5,IF(inter=Quarterly_2,0,IF(inter=Yearly_2,0,IF(inter=None_2,0,0))))))</f>
        <v>150800</v>
      </c>
      <c r="K478" s="79">
        <f t="shared" si="482"/>
        <v>-2354.2186552323328</v>
      </c>
      <c r="L478" s="79">
        <f t="shared" si="483"/>
        <v>-575.94041518279118</v>
      </c>
      <c r="M478" s="79">
        <f t="shared" si="484"/>
        <v>-598.47407389342152</v>
      </c>
      <c r="N478" s="79">
        <f t="shared" si="485"/>
        <v>-677.90714123072758</v>
      </c>
      <c r="O478" s="79">
        <f t="shared" si="486"/>
        <v>-1719.5483193002146</v>
      </c>
      <c r="P478" s="79">
        <f t="shared" si="487"/>
        <v>-1700.7079837771089</v>
      </c>
      <c r="Q478" s="79"/>
      <c r="R478" s="80">
        <f t="shared" si="445"/>
        <v>22.803358202625429</v>
      </c>
      <c r="S478" s="80">
        <f t="shared" si="446"/>
        <v>7.1634378215909891</v>
      </c>
      <c r="T478" s="80">
        <f t="shared" si="447"/>
        <v>7.0425282744861937</v>
      </c>
      <c r="U478" s="80">
        <f t="shared" si="448"/>
        <v>6.8725379978027732</v>
      </c>
      <c r="V478" s="80">
        <f t="shared" si="449"/>
        <v>47.475104136529829</v>
      </c>
      <c r="W478" s="80">
        <f t="shared" si="450"/>
        <v>53.88808737849164</v>
      </c>
      <c r="X478" s="80">
        <f t="shared" si="501"/>
        <v>511.23596496001483</v>
      </c>
      <c r="Y478" s="80">
        <f t="shared" si="502"/>
        <v>187.56218438900038</v>
      </c>
      <c r="Z478" s="80">
        <f t="shared" si="503"/>
        <v>141.9628097683169</v>
      </c>
      <c r="AA478" s="80">
        <f t="shared" si="504"/>
        <v>107.01541065506296</v>
      </c>
      <c r="AB478" s="80">
        <f t="shared" si="505"/>
        <v>1040.8613738028332</v>
      </c>
      <c r="AC478" s="80">
        <f t="shared" si="506"/>
        <v>716.73006073289162</v>
      </c>
      <c r="AD478" s="80"/>
      <c r="AE478" s="80"/>
      <c r="AF478" s="80"/>
      <c r="AG478" s="80"/>
      <c r="AH478" s="80"/>
      <c r="AI478" s="80"/>
      <c r="AJ478" s="45">
        <f t="shared" si="451"/>
        <v>0</v>
      </c>
      <c r="AK478" s="45">
        <f t="shared" si="452"/>
        <v>0</v>
      </c>
      <c r="AL478" s="45">
        <f t="shared" si="453"/>
        <v>0</v>
      </c>
      <c r="AM478" s="45">
        <f t="shared" si="454"/>
        <v>0</v>
      </c>
      <c r="AN478" s="45">
        <f t="shared" si="455"/>
        <v>0</v>
      </c>
      <c r="AO478" s="45">
        <f t="shared" si="456"/>
        <v>0</v>
      </c>
      <c r="AP478" s="80">
        <f t="shared" si="457"/>
        <v>0</v>
      </c>
      <c r="AQ478" s="80">
        <f t="shared" si="458"/>
        <v>0</v>
      </c>
      <c r="AR478" s="80">
        <f t="shared" si="459"/>
        <v>0</v>
      </c>
      <c r="AS478" s="80">
        <f t="shared" si="460"/>
        <v>0</v>
      </c>
      <c r="AT478" s="80">
        <f t="shared" si="461"/>
        <v>0</v>
      </c>
      <c r="AU478" s="80">
        <f t="shared" si="462"/>
        <v>0</v>
      </c>
      <c r="AV478" s="80">
        <f t="shared" si="507"/>
        <v>64.588841843875187</v>
      </c>
      <c r="AW478" s="80">
        <f t="shared" si="508"/>
        <v>30.806645341245673</v>
      </c>
      <c r="AX478" s="80">
        <f t="shared" si="509"/>
        <v>19.296110186821174</v>
      </c>
      <c r="AY478" s="80">
        <f t="shared" si="510"/>
        <v>14.946954747265252</v>
      </c>
      <c r="AZ478" s="80">
        <f t="shared" si="511"/>
        <v>154.77977979342867</v>
      </c>
      <c r="BA478" s="80">
        <f t="shared" si="512"/>
        <v>75.366430812973093</v>
      </c>
      <c r="BB478" s="80">
        <f t="shared" si="488"/>
        <v>575.82480680389006</v>
      </c>
      <c r="BC478" s="80">
        <f t="shared" si="489"/>
        <v>218.36882973024606</v>
      </c>
      <c r="BD478" s="80">
        <f t="shared" si="490"/>
        <v>161.25891995513808</v>
      </c>
      <c r="BE478" s="80">
        <f t="shared" si="491"/>
        <v>121.96236540232822</v>
      </c>
      <c r="BF478" s="80">
        <f t="shared" si="492"/>
        <v>1195.6411535962618</v>
      </c>
      <c r="BG478" s="80">
        <f t="shared" si="493"/>
        <v>792.09649154586475</v>
      </c>
      <c r="BH478" s="49">
        <f t="shared" si="494"/>
        <v>0</v>
      </c>
      <c r="BI478" s="79">
        <f t="shared" si="495"/>
        <v>-113816.71421871748</v>
      </c>
      <c r="BJ478" s="79">
        <f t="shared" si="463"/>
        <v>150800</v>
      </c>
      <c r="BK478" s="44">
        <f t="shared" si="496"/>
        <v>0.32493721185987745</v>
      </c>
      <c r="BL478" s="79">
        <f t="shared" si="513"/>
        <v>17209.101634224688</v>
      </c>
      <c r="BM478" s="49">
        <f t="shared" si="497"/>
        <v>168009.1016342247</v>
      </c>
      <c r="BN478" s="44">
        <f t="shared" si="498"/>
        <v>0.47613733876878284</v>
      </c>
      <c r="BO478" s="49">
        <f t="shared" si="464"/>
        <v>20243.845612709887</v>
      </c>
      <c r="BP478" s="49">
        <f t="shared" si="465"/>
        <v>171043.84561270988</v>
      </c>
      <c r="BQ478" s="44">
        <f t="shared" si="466"/>
        <v>0.50280076864651968</v>
      </c>
      <c r="BS478" s="49">
        <f t="shared" si="467"/>
        <v>113816.71421871748</v>
      </c>
      <c r="BT478" s="49">
        <f t="shared" si="514"/>
        <v>103.239998</v>
      </c>
      <c r="BU478" s="49">
        <f t="shared" si="515"/>
        <v>31.559999000000001</v>
      </c>
      <c r="BV478" s="49">
        <f t="shared" si="468"/>
        <v>7626.7965886165966</v>
      </c>
      <c r="BW478" s="18">
        <f t="shared" si="469"/>
        <v>3052</v>
      </c>
      <c r="BX478" s="19">
        <f t="shared" si="499"/>
        <v>0.3</v>
      </c>
      <c r="BY478" s="49">
        <f t="shared" si="500"/>
        <v>2288.0389765849791</v>
      </c>
      <c r="BZ478" s="19">
        <f t="shared" si="470"/>
        <v>22.803358202625429</v>
      </c>
      <c r="CA478" s="19">
        <f t="shared" si="471"/>
        <v>7.1634378215909891</v>
      </c>
      <c r="CB478" s="19">
        <f t="shared" si="472"/>
        <v>7.0425282744861937</v>
      </c>
      <c r="CC478" s="19">
        <f t="shared" si="473"/>
        <v>6.8725379978027732</v>
      </c>
      <c r="CD478" s="19">
        <f t="shared" si="474"/>
        <v>47.475104136529829</v>
      </c>
      <c r="CE478" s="19">
        <f t="shared" si="475"/>
        <v>53.88808737849164</v>
      </c>
      <c r="CF478" s="49">
        <f t="shared" si="476"/>
        <v>-2354.2186552323328</v>
      </c>
      <c r="CG478" s="49">
        <f t="shared" si="477"/>
        <v>-575.94041518279118</v>
      </c>
      <c r="CH478" s="49">
        <f t="shared" si="478"/>
        <v>-598.47407389342152</v>
      </c>
      <c r="CI478" s="49">
        <f t="shared" si="479"/>
        <v>-677.90714123072758</v>
      </c>
      <c r="CJ478" s="49">
        <f t="shared" si="480"/>
        <v>-1719.5483193002146</v>
      </c>
      <c r="CK478" s="49">
        <f t="shared" si="481"/>
        <v>-1700.7079837771089</v>
      </c>
    </row>
    <row r="479" spans="2:89" ht="12.75" customHeight="1" x14ac:dyDescent="0.2">
      <c r="B479" s="77">
        <v>42352</v>
      </c>
      <c r="C479" s="79">
        <v>102.900002</v>
      </c>
      <c r="D479" s="79">
        <v>80.470000999999996</v>
      </c>
      <c r="E479" s="79">
        <v>84.459998999999996</v>
      </c>
      <c r="F479" s="79">
        <v>97.650002000000001</v>
      </c>
      <c r="G479" s="79">
        <v>36.360000999999997</v>
      </c>
      <c r="H479" s="79">
        <v>32.639999000000003</v>
      </c>
      <c r="I479" s="79"/>
      <c r="J479" s="78">
        <f>IF(inter=Weekly_2,J478+$C$5,IF(inter=Bi_weekly_2,0,IF(inter=Monthly_2,0,IF(inter=Quarterly_2,0,IF(inter=Yearly_2,0,IF(inter=None_2,0,0))))))</f>
        <v>0</v>
      </c>
      <c r="K479" s="79">
        <f t="shared" si="482"/>
        <v>0</v>
      </c>
      <c r="L479" s="79">
        <f t="shared" si="483"/>
        <v>0</v>
      </c>
      <c r="M479" s="79">
        <f t="shared" si="484"/>
        <v>0</v>
      </c>
      <c r="N479" s="79">
        <f t="shared" si="485"/>
        <v>0</v>
      </c>
      <c r="O479" s="79">
        <f t="shared" si="486"/>
        <v>0</v>
      </c>
      <c r="P479" s="79">
        <f t="shared" si="487"/>
        <v>0</v>
      </c>
      <c r="Q479" s="79"/>
      <c r="R479" s="80">
        <f t="shared" si="445"/>
        <v>0</v>
      </c>
      <c r="S479" s="80">
        <f t="shared" si="446"/>
        <v>0</v>
      </c>
      <c r="T479" s="80">
        <f t="shared" si="447"/>
        <v>0</v>
      </c>
      <c r="U479" s="80">
        <f t="shared" si="448"/>
        <v>0</v>
      </c>
      <c r="V479" s="80">
        <f t="shared" si="449"/>
        <v>0</v>
      </c>
      <c r="W479" s="80">
        <f t="shared" si="450"/>
        <v>0</v>
      </c>
      <c r="X479" s="80">
        <f t="shared" si="501"/>
        <v>511.23596496001483</v>
      </c>
      <c r="Y479" s="80">
        <f t="shared" si="502"/>
        <v>187.56218438900038</v>
      </c>
      <c r="Z479" s="80">
        <f t="shared" si="503"/>
        <v>141.9628097683169</v>
      </c>
      <c r="AA479" s="80">
        <f t="shared" si="504"/>
        <v>107.01541065506296</v>
      </c>
      <c r="AB479" s="80">
        <f t="shared" si="505"/>
        <v>1040.8613738028332</v>
      </c>
      <c r="AC479" s="80">
        <f t="shared" si="506"/>
        <v>716.73006073289162</v>
      </c>
      <c r="AD479" s="80"/>
      <c r="AE479" s="80"/>
      <c r="AF479" s="80"/>
      <c r="AG479" s="80"/>
      <c r="AH479" s="80"/>
      <c r="AI479" s="80">
        <v>0.159</v>
      </c>
      <c r="AJ479" s="45">
        <f t="shared" si="451"/>
        <v>0</v>
      </c>
      <c r="AK479" s="45">
        <f t="shared" si="452"/>
        <v>0</v>
      </c>
      <c r="AL479" s="45">
        <f t="shared" si="453"/>
        <v>0</v>
      </c>
      <c r="AM479" s="45">
        <f t="shared" si="454"/>
        <v>0</v>
      </c>
      <c r="AN479" s="45">
        <f t="shared" si="455"/>
        <v>0</v>
      </c>
      <c r="AO479" s="45">
        <f t="shared" si="456"/>
        <v>113.96007965652977</v>
      </c>
      <c r="AP479" s="80">
        <f t="shared" si="457"/>
        <v>0</v>
      </c>
      <c r="AQ479" s="80">
        <f t="shared" si="458"/>
        <v>0</v>
      </c>
      <c r="AR479" s="80">
        <f t="shared" si="459"/>
        <v>0</v>
      </c>
      <c r="AS479" s="80">
        <f t="shared" si="460"/>
        <v>0</v>
      </c>
      <c r="AT479" s="80">
        <f t="shared" si="461"/>
        <v>0</v>
      </c>
      <c r="AU479" s="80">
        <f t="shared" si="462"/>
        <v>3.4914241160525084</v>
      </c>
      <c r="AV479" s="80">
        <f t="shared" si="507"/>
        <v>64.588841843875187</v>
      </c>
      <c r="AW479" s="80">
        <f t="shared" si="508"/>
        <v>30.806645341245673</v>
      </c>
      <c r="AX479" s="80">
        <f t="shared" si="509"/>
        <v>19.296110186821174</v>
      </c>
      <c r="AY479" s="80">
        <f t="shared" si="510"/>
        <v>14.946954747265252</v>
      </c>
      <c r="AZ479" s="80">
        <f t="shared" si="511"/>
        <v>154.77977979342867</v>
      </c>
      <c r="BA479" s="80">
        <f t="shared" si="512"/>
        <v>78.857854929025606</v>
      </c>
      <c r="BB479" s="80">
        <f t="shared" si="488"/>
        <v>575.82480680389006</v>
      </c>
      <c r="BC479" s="80">
        <f t="shared" si="489"/>
        <v>218.36882973024606</v>
      </c>
      <c r="BD479" s="80">
        <f t="shared" si="490"/>
        <v>161.25891995513808</v>
      </c>
      <c r="BE479" s="80">
        <f t="shared" si="491"/>
        <v>121.96236540232822</v>
      </c>
      <c r="BF479" s="80">
        <f t="shared" si="492"/>
        <v>1195.6411535962618</v>
      </c>
      <c r="BG479" s="80">
        <f t="shared" si="493"/>
        <v>795.58791566191724</v>
      </c>
      <c r="BH479" s="49">
        <f t="shared" si="494"/>
        <v>113.96007965652977</v>
      </c>
      <c r="BI479" s="79">
        <f t="shared" si="495"/>
        <v>-113816.71421871748</v>
      </c>
      <c r="BJ479" s="79">
        <f t="shared" si="463"/>
        <v>151379.33387569335</v>
      </c>
      <c r="BK479" s="44">
        <f t="shared" si="496"/>
        <v>0.33002727160786893</v>
      </c>
      <c r="BL479" s="79">
        <f t="shared" si="513"/>
        <v>17323.061713881216</v>
      </c>
      <c r="BM479" s="49">
        <f t="shared" si="497"/>
        <v>168702.39558957456</v>
      </c>
      <c r="BN479" s="44">
        <f t="shared" si="498"/>
        <v>0.48222865813350801</v>
      </c>
      <c r="BO479" s="49">
        <f t="shared" si="464"/>
        <v>20416.235598470681</v>
      </c>
      <c r="BP479" s="49">
        <f t="shared" si="465"/>
        <v>171795.56947416405</v>
      </c>
      <c r="BQ479" s="44">
        <f t="shared" si="466"/>
        <v>0.50940545642558877</v>
      </c>
      <c r="BS479" s="49">
        <f t="shared" si="467"/>
        <v>113816.71421871748</v>
      </c>
      <c r="BT479" s="49">
        <f t="shared" si="514"/>
        <v>102.900002</v>
      </c>
      <c r="BU479" s="49">
        <f t="shared" si="515"/>
        <v>32.639999000000003</v>
      </c>
      <c r="BV479" s="49">
        <f t="shared" si="468"/>
        <v>-113.96007965652977</v>
      </c>
      <c r="BW479" s="18">
        <f t="shared" si="469"/>
        <v>3059</v>
      </c>
      <c r="BX479" s="19">
        <f t="shared" si="499"/>
        <v>0.29839449541284402</v>
      </c>
      <c r="BY479" s="49">
        <f t="shared" si="500"/>
        <v>-34.005060466317708</v>
      </c>
      <c r="BZ479" s="19">
        <f t="shared" si="470"/>
        <v>0</v>
      </c>
      <c r="CA479" s="19">
        <f t="shared" si="471"/>
        <v>0</v>
      </c>
      <c r="CB479" s="19">
        <f t="shared" si="472"/>
        <v>0</v>
      </c>
      <c r="CC479" s="19">
        <f t="shared" si="473"/>
        <v>0</v>
      </c>
      <c r="CD479" s="19">
        <f t="shared" si="474"/>
        <v>0</v>
      </c>
      <c r="CE479" s="19">
        <f t="shared" si="475"/>
        <v>0</v>
      </c>
      <c r="CF479" s="49">
        <f t="shared" si="476"/>
        <v>0</v>
      </c>
      <c r="CG479" s="49">
        <f t="shared" si="477"/>
        <v>0</v>
      </c>
      <c r="CH479" s="49">
        <f t="shared" si="478"/>
        <v>0</v>
      </c>
      <c r="CI479" s="49">
        <f t="shared" si="479"/>
        <v>0</v>
      </c>
      <c r="CJ479" s="49">
        <f t="shared" si="480"/>
        <v>0</v>
      </c>
      <c r="CK479" s="49">
        <f t="shared" si="481"/>
        <v>0</v>
      </c>
    </row>
    <row r="480" spans="2:89" ht="12.75" customHeight="1" x14ac:dyDescent="0.2">
      <c r="B480" s="77">
        <v>42359</v>
      </c>
      <c r="C480" s="79">
        <v>105.230003</v>
      </c>
      <c r="D480" s="79">
        <v>82.400002000000001</v>
      </c>
      <c r="E480" s="79">
        <v>86.889999000000003</v>
      </c>
      <c r="F480" s="79">
        <v>100.260002</v>
      </c>
      <c r="G480" s="79">
        <v>37.139999000000003</v>
      </c>
      <c r="H480" s="79">
        <v>33.349997999999999</v>
      </c>
      <c r="I480" s="79"/>
      <c r="J480" s="78">
        <f>IF(inter=Weekly_2,J479+$C$5,IF(inter=Bi_weekly_2,J478+$C$5,IF(inter=Monthly_2,0,IF(inter=Quarterly_2,0,IF(inter=Yearly_2,0,IF(inter=None_2,0,0))))))</f>
        <v>151400</v>
      </c>
      <c r="K480" s="79">
        <f t="shared" si="482"/>
        <v>807.3621264502508</v>
      </c>
      <c r="L480" s="79">
        <f t="shared" si="483"/>
        <v>315.12436877800064</v>
      </c>
      <c r="M480" s="79">
        <f t="shared" si="484"/>
        <v>223.14839880624641</v>
      </c>
      <c r="N480" s="79">
        <f t="shared" si="485"/>
        <v>131.36528630743305</v>
      </c>
      <c r="O480" s="79">
        <f t="shared" si="486"/>
        <v>807.59038217585476</v>
      </c>
      <c r="P480" s="79">
        <f t="shared" si="487"/>
        <v>1192.9460919818121</v>
      </c>
      <c r="Q480" s="79"/>
      <c r="R480" s="80">
        <f t="shared" si="445"/>
        <v>-7.67235677499934</v>
      </c>
      <c r="S480" s="80">
        <f t="shared" si="446"/>
        <v>-3.8243247709872707</v>
      </c>
      <c r="T480" s="80">
        <f t="shared" si="447"/>
        <v>-2.5681712668249244</v>
      </c>
      <c r="U480" s="80">
        <f t="shared" si="448"/>
        <v>-1.3102461967578363</v>
      </c>
      <c r="V480" s="80">
        <f t="shared" si="449"/>
        <v>-21.744491220257025</v>
      </c>
      <c r="W480" s="80">
        <f t="shared" si="450"/>
        <v>-35.770499655856412</v>
      </c>
      <c r="X480" s="80">
        <f t="shared" si="501"/>
        <v>503.56360818501548</v>
      </c>
      <c r="Y480" s="80">
        <f t="shared" si="502"/>
        <v>183.73785961801312</v>
      </c>
      <c r="Z480" s="80">
        <f t="shared" si="503"/>
        <v>139.39463850149198</v>
      </c>
      <c r="AA480" s="80">
        <f t="shared" si="504"/>
        <v>105.70516445830513</v>
      </c>
      <c r="AB480" s="80">
        <f t="shared" si="505"/>
        <v>1019.1168825825762</v>
      </c>
      <c r="AC480" s="80">
        <f t="shared" si="506"/>
        <v>680.95956107703523</v>
      </c>
      <c r="AD480" s="80">
        <v>0.58300099999999999</v>
      </c>
      <c r="AE480" s="80">
        <v>0.58799999999999997</v>
      </c>
      <c r="AF480" s="80">
        <v>0.53800000000000003</v>
      </c>
      <c r="AG480" s="80">
        <v>0.74399999999999999</v>
      </c>
      <c r="AH480" s="80">
        <v>0.221</v>
      </c>
      <c r="AI480" s="80"/>
      <c r="AJ480" s="45">
        <f t="shared" si="451"/>
        <v>293.57808713547223</v>
      </c>
      <c r="AK480" s="45">
        <f t="shared" si="452"/>
        <v>108.03786145539171</v>
      </c>
      <c r="AL480" s="45">
        <f t="shared" si="453"/>
        <v>74.99431551380269</v>
      </c>
      <c r="AM480" s="45">
        <f t="shared" si="454"/>
        <v>78.64464235697902</v>
      </c>
      <c r="AN480" s="45">
        <f t="shared" si="455"/>
        <v>225.22483105074934</v>
      </c>
      <c r="AO480" s="45">
        <f t="shared" si="456"/>
        <v>0</v>
      </c>
      <c r="AP480" s="80">
        <f t="shared" si="457"/>
        <v>2.7898705575012883</v>
      </c>
      <c r="AQ480" s="80">
        <f t="shared" si="458"/>
        <v>1.3111390635086599</v>
      </c>
      <c r="AR480" s="80">
        <f t="shared" si="459"/>
        <v>0.86309490593736438</v>
      </c>
      <c r="AS480" s="80">
        <f t="shared" si="460"/>
        <v>0.78440694981213965</v>
      </c>
      <c r="AT480" s="80">
        <f t="shared" si="461"/>
        <v>6.0642120924868452</v>
      </c>
      <c r="AU480" s="80">
        <f t="shared" si="462"/>
        <v>0</v>
      </c>
      <c r="AV480" s="80">
        <f t="shared" si="507"/>
        <v>67.378712401376475</v>
      </c>
      <c r="AW480" s="80">
        <f t="shared" si="508"/>
        <v>32.117784404754332</v>
      </c>
      <c r="AX480" s="80">
        <f t="shared" si="509"/>
        <v>20.159205092758537</v>
      </c>
      <c r="AY480" s="80">
        <f t="shared" si="510"/>
        <v>15.731361697077391</v>
      </c>
      <c r="AZ480" s="80">
        <f t="shared" si="511"/>
        <v>160.84399188591553</v>
      </c>
      <c r="BA480" s="80">
        <f t="shared" si="512"/>
        <v>78.857854929025606</v>
      </c>
      <c r="BB480" s="80">
        <f t="shared" si="488"/>
        <v>570.94232058639193</v>
      </c>
      <c r="BC480" s="80">
        <f t="shared" si="489"/>
        <v>215.85564402276745</v>
      </c>
      <c r="BD480" s="80">
        <f t="shared" si="490"/>
        <v>159.55384359425051</v>
      </c>
      <c r="BE480" s="80">
        <f t="shared" si="491"/>
        <v>121.43652615538252</v>
      </c>
      <c r="BF480" s="80">
        <f t="shared" si="492"/>
        <v>1179.9608744684917</v>
      </c>
      <c r="BG480" s="80">
        <f t="shared" si="493"/>
        <v>759.81741600606085</v>
      </c>
      <c r="BH480" s="49">
        <f t="shared" si="494"/>
        <v>780.47973751239499</v>
      </c>
      <c r="BI480" s="79">
        <f t="shared" si="495"/>
        <v>-110339.17756421787</v>
      </c>
      <c r="BJ480" s="79">
        <f t="shared" si="463"/>
        <v>151400</v>
      </c>
      <c r="BK480" s="44">
        <f t="shared" si="496"/>
        <v>0.37213275775854471</v>
      </c>
      <c r="BL480" s="79">
        <f t="shared" si="513"/>
        <v>18103.541451393612</v>
      </c>
      <c r="BM480" s="49">
        <f t="shared" si="497"/>
        <v>169503.54145139363</v>
      </c>
      <c r="BN480" s="44">
        <f t="shared" si="498"/>
        <v>0.53620450318058466</v>
      </c>
      <c r="BO480" s="49">
        <f t="shared" si="464"/>
        <v>21669.2822748488</v>
      </c>
      <c r="BP480" s="49">
        <f t="shared" si="465"/>
        <v>173069.28227484881</v>
      </c>
      <c r="BQ480" s="44">
        <f t="shared" si="466"/>
        <v>0.56852068408903778</v>
      </c>
      <c r="BS480" s="49">
        <f t="shared" si="467"/>
        <v>110339.17756421787</v>
      </c>
      <c r="BT480" s="49">
        <f t="shared" si="514"/>
        <v>105.230003</v>
      </c>
      <c r="BU480" s="49">
        <f t="shared" si="515"/>
        <v>33.349997999999999</v>
      </c>
      <c r="BV480" s="49">
        <f t="shared" si="468"/>
        <v>-4258.016392011993</v>
      </c>
      <c r="BW480" s="18">
        <f t="shared" si="469"/>
        <v>3066</v>
      </c>
      <c r="BX480" s="19">
        <f t="shared" si="499"/>
        <v>0.29678899082568805</v>
      </c>
      <c r="BY480" s="49">
        <f t="shared" si="500"/>
        <v>-1263.7323879044768</v>
      </c>
      <c r="BZ480" s="19">
        <f t="shared" si="470"/>
        <v>0</v>
      </c>
      <c r="CA480" s="19">
        <f t="shared" si="471"/>
        <v>0</v>
      </c>
      <c r="CB480" s="19">
        <f t="shared" si="472"/>
        <v>0</v>
      </c>
      <c r="CC480" s="19">
        <f t="shared" si="473"/>
        <v>0</v>
      </c>
      <c r="CD480" s="19">
        <f t="shared" si="474"/>
        <v>0</v>
      </c>
      <c r="CE480" s="19">
        <f t="shared" si="475"/>
        <v>0</v>
      </c>
      <c r="CF480" s="49">
        <f t="shared" si="476"/>
        <v>0</v>
      </c>
      <c r="CG480" s="49">
        <f t="shared" si="477"/>
        <v>0</v>
      </c>
      <c r="CH480" s="49">
        <f t="shared" si="478"/>
        <v>0</v>
      </c>
      <c r="CI480" s="49">
        <f t="shared" si="479"/>
        <v>0</v>
      </c>
      <c r="CJ480" s="49">
        <f t="shared" si="480"/>
        <v>0</v>
      </c>
      <c r="CK480" s="49">
        <f t="shared" si="481"/>
        <v>0</v>
      </c>
    </row>
    <row r="481" spans="2:89" ht="12.75" customHeight="1" x14ac:dyDescent="0.2">
      <c r="B481" s="77">
        <v>42366</v>
      </c>
      <c r="C481" s="79">
        <v>104.300003</v>
      </c>
      <c r="D481" s="79">
        <v>81.519997000000004</v>
      </c>
      <c r="E481" s="79">
        <v>85.949996999999996</v>
      </c>
      <c r="F481" s="79">
        <v>98.769997000000004</v>
      </c>
      <c r="G481" s="79">
        <v>36.720001000000003</v>
      </c>
      <c r="H481" s="79">
        <v>32.709999000000003</v>
      </c>
      <c r="I481" s="79"/>
      <c r="J481" s="78">
        <f>IF(inter=Weekly_2,J480+$C$5,IF(inter=Bi_weekly_2,0,IF(inter=Monthly_2,0,IF(inter=Quarterly_2,0,IF(inter=Yearly_2,0,IF(inter=None_2,0,0))))))</f>
        <v>0</v>
      </c>
      <c r="K481" s="79">
        <f t="shared" si="482"/>
        <v>0</v>
      </c>
      <c r="L481" s="79">
        <f t="shared" si="483"/>
        <v>0</v>
      </c>
      <c r="M481" s="79">
        <f t="shared" si="484"/>
        <v>0</v>
      </c>
      <c r="N481" s="79">
        <f t="shared" si="485"/>
        <v>0</v>
      </c>
      <c r="O481" s="79">
        <f t="shared" si="486"/>
        <v>0</v>
      </c>
      <c r="P481" s="79">
        <f t="shared" si="487"/>
        <v>0</v>
      </c>
      <c r="Q481" s="79"/>
      <c r="R481" s="80">
        <f t="shared" si="445"/>
        <v>0</v>
      </c>
      <c r="S481" s="80">
        <f t="shared" si="446"/>
        <v>0</v>
      </c>
      <c r="T481" s="80">
        <f t="shared" si="447"/>
        <v>0</v>
      </c>
      <c r="U481" s="80">
        <f t="shared" si="448"/>
        <v>0</v>
      </c>
      <c r="V481" s="80">
        <f t="shared" si="449"/>
        <v>0</v>
      </c>
      <c r="W481" s="80">
        <f t="shared" si="450"/>
        <v>0</v>
      </c>
      <c r="X481" s="80">
        <f t="shared" si="501"/>
        <v>503.56360818501548</v>
      </c>
      <c r="Y481" s="80">
        <f t="shared" si="502"/>
        <v>183.73785961801312</v>
      </c>
      <c r="Z481" s="80">
        <f t="shared" si="503"/>
        <v>139.39463850149198</v>
      </c>
      <c r="AA481" s="80">
        <f t="shared" si="504"/>
        <v>105.70516445830513</v>
      </c>
      <c r="AB481" s="80">
        <f t="shared" si="505"/>
        <v>1019.1168825825762</v>
      </c>
      <c r="AC481" s="80">
        <f t="shared" si="506"/>
        <v>680.95956107703523</v>
      </c>
      <c r="AD481" s="80"/>
      <c r="AE481" s="80"/>
      <c r="AF481" s="80"/>
      <c r="AG481" s="80"/>
      <c r="AH481" s="80"/>
      <c r="AI481" s="80"/>
      <c r="AJ481" s="45">
        <f t="shared" si="451"/>
        <v>0</v>
      </c>
      <c r="AK481" s="45">
        <f t="shared" si="452"/>
        <v>0</v>
      </c>
      <c r="AL481" s="45">
        <f t="shared" si="453"/>
        <v>0</v>
      </c>
      <c r="AM481" s="45">
        <f t="shared" si="454"/>
        <v>0</v>
      </c>
      <c r="AN481" s="45">
        <f t="shared" si="455"/>
        <v>0</v>
      </c>
      <c r="AO481" s="45">
        <f t="shared" si="456"/>
        <v>0</v>
      </c>
      <c r="AP481" s="80">
        <f t="shared" si="457"/>
        <v>0</v>
      </c>
      <c r="AQ481" s="80">
        <f t="shared" si="458"/>
        <v>0</v>
      </c>
      <c r="AR481" s="80">
        <f t="shared" si="459"/>
        <v>0</v>
      </c>
      <c r="AS481" s="80">
        <f t="shared" si="460"/>
        <v>0</v>
      </c>
      <c r="AT481" s="80">
        <f t="shared" si="461"/>
        <v>0</v>
      </c>
      <c r="AU481" s="80">
        <f t="shared" si="462"/>
        <v>0</v>
      </c>
      <c r="AV481" s="80">
        <f t="shared" si="507"/>
        <v>67.378712401376475</v>
      </c>
      <c r="AW481" s="80">
        <f t="shared" si="508"/>
        <v>32.117784404754332</v>
      </c>
      <c r="AX481" s="80">
        <f t="shared" si="509"/>
        <v>20.159205092758537</v>
      </c>
      <c r="AY481" s="80">
        <f t="shared" si="510"/>
        <v>15.731361697077391</v>
      </c>
      <c r="AZ481" s="80">
        <f t="shared" si="511"/>
        <v>160.84399188591553</v>
      </c>
      <c r="BA481" s="80">
        <f t="shared" si="512"/>
        <v>78.857854929025606</v>
      </c>
      <c r="BB481" s="80">
        <f t="shared" si="488"/>
        <v>570.94232058639193</v>
      </c>
      <c r="BC481" s="80">
        <f t="shared" si="489"/>
        <v>215.85564402276745</v>
      </c>
      <c r="BD481" s="80">
        <f t="shared" si="490"/>
        <v>159.55384359425051</v>
      </c>
      <c r="BE481" s="80">
        <f t="shared" si="491"/>
        <v>121.43652615538252</v>
      </c>
      <c r="BF481" s="80">
        <f t="shared" si="492"/>
        <v>1179.9608744684917</v>
      </c>
      <c r="BG481" s="80">
        <f t="shared" si="493"/>
        <v>759.81741600606085</v>
      </c>
      <c r="BH481" s="49">
        <f t="shared" si="494"/>
        <v>0</v>
      </c>
      <c r="BI481" s="79">
        <f t="shared" si="495"/>
        <v>-110339.17756421787</v>
      </c>
      <c r="BJ481" s="79">
        <f t="shared" si="463"/>
        <v>149617.62265610477</v>
      </c>
      <c r="BK481" s="44">
        <f t="shared" si="496"/>
        <v>0.35597913596035902</v>
      </c>
      <c r="BL481" s="79">
        <f t="shared" si="513"/>
        <v>18103.541451393612</v>
      </c>
      <c r="BM481" s="49">
        <f t="shared" si="497"/>
        <v>167721.16410749836</v>
      </c>
      <c r="BN481" s="44">
        <f t="shared" si="498"/>
        <v>0.52005088138239874</v>
      </c>
      <c r="BO481" s="49">
        <f t="shared" si="464"/>
        <v>21417.943657558535</v>
      </c>
      <c r="BP481" s="49">
        <f t="shared" si="465"/>
        <v>171035.56631366329</v>
      </c>
      <c r="BQ481" s="44">
        <f t="shared" si="466"/>
        <v>0.55008918943699636</v>
      </c>
      <c r="BS481" s="49">
        <f t="shared" si="467"/>
        <v>110339.17756421787</v>
      </c>
      <c r="BT481" s="49">
        <f t="shared" si="514"/>
        <v>104.300003</v>
      </c>
      <c r="BU481" s="49">
        <f t="shared" si="515"/>
        <v>32.709999000000003</v>
      </c>
      <c r="BV481" s="49">
        <f t="shared" si="468"/>
        <v>0</v>
      </c>
      <c r="BW481" s="18">
        <f t="shared" si="469"/>
        <v>3073</v>
      </c>
      <c r="BX481" s="19">
        <f t="shared" si="499"/>
        <v>0.29518348623853213</v>
      </c>
      <c r="BY481" s="49">
        <f t="shared" si="500"/>
        <v>0</v>
      </c>
      <c r="BZ481" s="19">
        <f t="shared" si="470"/>
        <v>0</v>
      </c>
      <c r="CA481" s="19">
        <f t="shared" si="471"/>
        <v>0</v>
      </c>
      <c r="CB481" s="19">
        <f t="shared" si="472"/>
        <v>0</v>
      </c>
      <c r="CC481" s="19">
        <f t="shared" si="473"/>
        <v>0</v>
      </c>
      <c r="CD481" s="19">
        <f t="shared" si="474"/>
        <v>0</v>
      </c>
      <c r="CE481" s="19">
        <f t="shared" si="475"/>
        <v>0</v>
      </c>
      <c r="CF481" s="49">
        <f t="shared" si="476"/>
        <v>0</v>
      </c>
      <c r="CG481" s="49">
        <f t="shared" si="477"/>
        <v>0</v>
      </c>
      <c r="CH481" s="49">
        <f t="shared" si="478"/>
        <v>0</v>
      </c>
      <c r="CI481" s="49">
        <f t="shared" si="479"/>
        <v>0</v>
      </c>
      <c r="CJ481" s="49">
        <f t="shared" si="480"/>
        <v>0</v>
      </c>
      <c r="CK481" s="49">
        <f t="shared" si="481"/>
        <v>0</v>
      </c>
    </row>
    <row r="482" spans="2:89" ht="12.75" customHeight="1" x14ac:dyDescent="0.2">
      <c r="B482" s="77">
        <v>42373</v>
      </c>
      <c r="C482" s="79">
        <v>97.970000999999996</v>
      </c>
      <c r="D482" s="79">
        <v>76.860000999999997</v>
      </c>
      <c r="E482" s="79">
        <v>80.430000000000007</v>
      </c>
      <c r="F482" s="79">
        <v>92.269997000000004</v>
      </c>
      <c r="G482" s="79">
        <v>34.369999</v>
      </c>
      <c r="H482" s="79">
        <v>30</v>
      </c>
      <c r="I482" s="79"/>
      <c r="J482" s="78">
        <f>IF(inter=Weekly_2,J481+$C$5,IF(inter=Bi_weekly_2,J480+$C$5,IF(inter=Monthly_2,J478+$C$5,IF(inter=Quarterly_2,0,IF(inter=Yearly_2,0,IF(inter=None_2,0,0))))))</f>
        <v>152000</v>
      </c>
      <c r="K482" s="79">
        <f t="shared" si="482"/>
        <v>-3865.8728025504242</v>
      </c>
      <c r="L482" s="79">
        <f t="shared" si="483"/>
        <v>-1077.9079260216531</v>
      </c>
      <c r="M482" s="79">
        <f t="shared" si="484"/>
        <v>-948.48922532499819</v>
      </c>
      <c r="N482" s="79">
        <f t="shared" si="485"/>
        <v>-886.58479254768099</v>
      </c>
      <c r="O482" s="79">
        <f t="shared" si="486"/>
        <v>-2972.9537647537363</v>
      </c>
      <c r="P482" s="79">
        <f t="shared" si="487"/>
        <v>-2371.2131676889439</v>
      </c>
      <c r="Q482" s="79"/>
      <c r="R482" s="80">
        <f t="shared" si="445"/>
        <v>39.459760774631661</v>
      </c>
      <c r="S482" s="80">
        <f t="shared" si="446"/>
        <v>14.024302784248638</v>
      </c>
      <c r="T482" s="80">
        <f t="shared" si="447"/>
        <v>11.792729396058661</v>
      </c>
      <c r="U482" s="80">
        <f t="shared" si="448"/>
        <v>9.6085924067785644</v>
      </c>
      <c r="V482" s="80">
        <f t="shared" si="449"/>
        <v>86.498511819966481</v>
      </c>
      <c r="W482" s="80">
        <f t="shared" si="450"/>
        <v>79.040438922964796</v>
      </c>
      <c r="X482" s="80">
        <f t="shared" si="501"/>
        <v>543.02336895964709</v>
      </c>
      <c r="Y482" s="80">
        <f t="shared" si="502"/>
        <v>197.76216240226177</v>
      </c>
      <c r="Z482" s="80">
        <f t="shared" si="503"/>
        <v>151.18736789755064</v>
      </c>
      <c r="AA482" s="80">
        <f t="shared" si="504"/>
        <v>115.3137568650837</v>
      </c>
      <c r="AB482" s="80">
        <f t="shared" si="505"/>
        <v>1105.6153944025427</v>
      </c>
      <c r="AC482" s="80">
        <f t="shared" si="506"/>
        <v>760</v>
      </c>
      <c r="AD482" s="80"/>
      <c r="AE482" s="80"/>
      <c r="AF482" s="80"/>
      <c r="AG482" s="80"/>
      <c r="AH482" s="80"/>
      <c r="AI482" s="80"/>
      <c r="AJ482" s="45">
        <f t="shared" si="451"/>
        <v>0</v>
      </c>
      <c r="AK482" s="45">
        <f t="shared" si="452"/>
        <v>0</v>
      </c>
      <c r="AL482" s="45">
        <f t="shared" si="453"/>
        <v>0</v>
      </c>
      <c r="AM482" s="45">
        <f t="shared" si="454"/>
        <v>0</v>
      </c>
      <c r="AN482" s="45">
        <f t="shared" si="455"/>
        <v>0</v>
      </c>
      <c r="AO482" s="45">
        <f t="shared" si="456"/>
        <v>0</v>
      </c>
      <c r="AP482" s="80">
        <f t="shared" si="457"/>
        <v>0</v>
      </c>
      <c r="AQ482" s="80">
        <f t="shared" si="458"/>
        <v>0</v>
      </c>
      <c r="AR482" s="80">
        <f t="shared" si="459"/>
        <v>0</v>
      </c>
      <c r="AS482" s="80">
        <f t="shared" si="460"/>
        <v>0</v>
      </c>
      <c r="AT482" s="80">
        <f t="shared" si="461"/>
        <v>0</v>
      </c>
      <c r="AU482" s="80">
        <f t="shared" si="462"/>
        <v>0</v>
      </c>
      <c r="AV482" s="80">
        <f t="shared" si="507"/>
        <v>67.378712401376475</v>
      </c>
      <c r="AW482" s="80">
        <f t="shared" si="508"/>
        <v>32.117784404754332</v>
      </c>
      <c r="AX482" s="80">
        <f t="shared" si="509"/>
        <v>20.159205092758537</v>
      </c>
      <c r="AY482" s="80">
        <f t="shared" si="510"/>
        <v>15.731361697077391</v>
      </c>
      <c r="AZ482" s="80">
        <f t="shared" si="511"/>
        <v>160.84399188591553</v>
      </c>
      <c r="BA482" s="80">
        <f t="shared" si="512"/>
        <v>78.857854929025606</v>
      </c>
      <c r="BB482" s="80">
        <f t="shared" si="488"/>
        <v>610.40208136102353</v>
      </c>
      <c r="BC482" s="80">
        <f t="shared" si="489"/>
        <v>229.8799468070161</v>
      </c>
      <c r="BD482" s="80">
        <f t="shared" si="490"/>
        <v>171.34657299030917</v>
      </c>
      <c r="BE482" s="80">
        <f t="shared" si="491"/>
        <v>131.04511856216109</v>
      </c>
      <c r="BF482" s="80">
        <f t="shared" si="492"/>
        <v>1266.4593862884583</v>
      </c>
      <c r="BG482" s="80">
        <f t="shared" si="493"/>
        <v>838.85785492902562</v>
      </c>
      <c r="BH482" s="49">
        <f t="shared" si="494"/>
        <v>0</v>
      </c>
      <c r="BI482" s="79">
        <f t="shared" si="495"/>
        <v>-122462.19924310531</v>
      </c>
      <c r="BJ482" s="79">
        <f t="shared" si="463"/>
        <v>152000</v>
      </c>
      <c r="BK482" s="44">
        <f t="shared" si="496"/>
        <v>0.24119933285093031</v>
      </c>
      <c r="BL482" s="79">
        <f t="shared" si="513"/>
        <v>18103.541451393612</v>
      </c>
      <c r="BM482" s="49">
        <f t="shared" si="497"/>
        <v>170103.54145139363</v>
      </c>
      <c r="BN482" s="44">
        <f t="shared" si="498"/>
        <v>0.38902896161217315</v>
      </c>
      <c r="BO482" s="49">
        <f t="shared" si="464"/>
        <v>20036.54651316028</v>
      </c>
      <c r="BP482" s="49">
        <f t="shared" si="465"/>
        <v>172036.54651316028</v>
      </c>
      <c r="BQ482" s="44">
        <f t="shared" si="466"/>
        <v>0.40481346551389841</v>
      </c>
      <c r="BS482" s="49">
        <f t="shared" si="467"/>
        <v>122462.19924310531</v>
      </c>
      <c r="BT482" s="49">
        <f t="shared" si="514"/>
        <v>97.970000999999996</v>
      </c>
      <c r="BU482" s="49">
        <f t="shared" si="515"/>
        <v>30</v>
      </c>
      <c r="BV482" s="49">
        <f t="shared" si="468"/>
        <v>12123.021678887437</v>
      </c>
      <c r="BW482" s="18">
        <f t="shared" si="469"/>
        <v>3080</v>
      </c>
      <c r="BX482" s="19">
        <f t="shared" si="499"/>
        <v>0.29357798165137616</v>
      </c>
      <c r="BY482" s="49">
        <f t="shared" si="500"/>
        <v>3559.0522360036512</v>
      </c>
      <c r="BZ482" s="19">
        <f t="shared" si="470"/>
        <v>39.459760774631661</v>
      </c>
      <c r="CA482" s="19">
        <f t="shared" si="471"/>
        <v>14.024302784248638</v>
      </c>
      <c r="CB482" s="19">
        <f t="shared" si="472"/>
        <v>11.792729396058661</v>
      </c>
      <c r="CC482" s="19">
        <f t="shared" si="473"/>
        <v>9.6085924067785644</v>
      </c>
      <c r="CD482" s="19">
        <f t="shared" si="474"/>
        <v>86.498511819966481</v>
      </c>
      <c r="CE482" s="19">
        <f t="shared" si="475"/>
        <v>79.040438922964796</v>
      </c>
      <c r="CF482" s="49">
        <f t="shared" si="476"/>
        <v>-3865.8728025504242</v>
      </c>
      <c r="CG482" s="49">
        <f t="shared" si="477"/>
        <v>-1077.9079260216531</v>
      </c>
      <c r="CH482" s="49">
        <f t="shared" si="478"/>
        <v>-948.48922532499819</v>
      </c>
      <c r="CI482" s="49">
        <f t="shared" si="479"/>
        <v>-886.58479254768099</v>
      </c>
      <c r="CJ482" s="49">
        <f t="shared" si="480"/>
        <v>-2972.9537647537363</v>
      </c>
      <c r="CK482" s="49">
        <f t="shared" si="481"/>
        <v>-2371.2131676889439</v>
      </c>
    </row>
    <row r="483" spans="2:89" ht="12.75" customHeight="1" x14ac:dyDescent="0.2">
      <c r="B483" s="77">
        <v>42380</v>
      </c>
      <c r="C483" s="79">
        <v>95.459998999999996</v>
      </c>
      <c r="D483" s="79">
        <v>75.239998</v>
      </c>
      <c r="E483" s="79">
        <v>77.730002999999996</v>
      </c>
      <c r="F483" s="79">
        <v>89.190002000000007</v>
      </c>
      <c r="G483" s="79">
        <v>33.340000000000003</v>
      </c>
      <c r="H483" s="79">
        <v>28.76</v>
      </c>
      <c r="I483" s="79"/>
      <c r="J483" s="78">
        <f>IF(inter=Weekly_2,J482+$C$5,IF(inter=Bi_weekly_2,0,IF(inter=Monthly_2,0,IF(inter=Quarterly_2,0,IF(inter=Yearly_2,0,IF(inter=None_2,0,0))))))</f>
        <v>0</v>
      </c>
      <c r="K483" s="79">
        <f t="shared" si="482"/>
        <v>0</v>
      </c>
      <c r="L483" s="79">
        <f t="shared" si="483"/>
        <v>0</v>
      </c>
      <c r="M483" s="79">
        <f t="shared" si="484"/>
        <v>0</v>
      </c>
      <c r="N483" s="79">
        <f t="shared" si="485"/>
        <v>0</v>
      </c>
      <c r="O483" s="79">
        <f t="shared" si="486"/>
        <v>0</v>
      </c>
      <c r="P483" s="79">
        <f t="shared" si="487"/>
        <v>0</v>
      </c>
      <c r="Q483" s="79"/>
      <c r="R483" s="80">
        <f t="shared" si="445"/>
        <v>0</v>
      </c>
      <c r="S483" s="80">
        <f t="shared" si="446"/>
        <v>0</v>
      </c>
      <c r="T483" s="80">
        <f t="shared" si="447"/>
        <v>0</v>
      </c>
      <c r="U483" s="80">
        <f t="shared" si="448"/>
        <v>0</v>
      </c>
      <c r="V483" s="80">
        <f t="shared" si="449"/>
        <v>0</v>
      </c>
      <c r="W483" s="80">
        <f t="shared" si="450"/>
        <v>0</v>
      </c>
      <c r="X483" s="80">
        <f t="shared" si="501"/>
        <v>543.02336895964709</v>
      </c>
      <c r="Y483" s="80">
        <f t="shared" si="502"/>
        <v>197.76216240226177</v>
      </c>
      <c r="Z483" s="80">
        <f t="shared" si="503"/>
        <v>151.18736789755064</v>
      </c>
      <c r="AA483" s="80">
        <f t="shared" si="504"/>
        <v>115.3137568650837</v>
      </c>
      <c r="AB483" s="80">
        <f t="shared" si="505"/>
        <v>1105.6153944025427</v>
      </c>
      <c r="AC483" s="80">
        <f t="shared" si="506"/>
        <v>760</v>
      </c>
      <c r="AD483" s="80"/>
      <c r="AE483" s="80"/>
      <c r="AF483" s="80"/>
      <c r="AG483" s="80"/>
      <c r="AH483" s="80"/>
      <c r="AI483" s="80"/>
      <c r="AJ483" s="45">
        <f t="shared" si="451"/>
        <v>0</v>
      </c>
      <c r="AK483" s="45">
        <f t="shared" si="452"/>
        <v>0</v>
      </c>
      <c r="AL483" s="45">
        <f t="shared" si="453"/>
        <v>0</v>
      </c>
      <c r="AM483" s="45">
        <f t="shared" si="454"/>
        <v>0</v>
      </c>
      <c r="AN483" s="45">
        <f t="shared" si="455"/>
        <v>0</v>
      </c>
      <c r="AO483" s="45">
        <f t="shared" si="456"/>
        <v>0</v>
      </c>
      <c r="AP483" s="80">
        <f t="shared" si="457"/>
        <v>0</v>
      </c>
      <c r="AQ483" s="80">
        <f t="shared" si="458"/>
        <v>0</v>
      </c>
      <c r="AR483" s="80">
        <f t="shared" si="459"/>
        <v>0</v>
      </c>
      <c r="AS483" s="80">
        <f t="shared" si="460"/>
        <v>0</v>
      </c>
      <c r="AT483" s="80">
        <f t="shared" si="461"/>
        <v>0</v>
      </c>
      <c r="AU483" s="80">
        <f t="shared" si="462"/>
        <v>0</v>
      </c>
      <c r="AV483" s="80">
        <f t="shared" si="507"/>
        <v>67.378712401376475</v>
      </c>
      <c r="AW483" s="80">
        <f t="shared" si="508"/>
        <v>32.117784404754332</v>
      </c>
      <c r="AX483" s="80">
        <f t="shared" si="509"/>
        <v>20.159205092758537</v>
      </c>
      <c r="AY483" s="80">
        <f t="shared" si="510"/>
        <v>15.731361697077391</v>
      </c>
      <c r="AZ483" s="80">
        <f t="shared" si="511"/>
        <v>160.84399188591553</v>
      </c>
      <c r="BA483" s="80">
        <f t="shared" si="512"/>
        <v>78.857854929025606</v>
      </c>
      <c r="BB483" s="80">
        <f t="shared" si="488"/>
        <v>610.40208136102353</v>
      </c>
      <c r="BC483" s="80">
        <f t="shared" si="489"/>
        <v>229.8799468070161</v>
      </c>
      <c r="BD483" s="80">
        <f t="shared" si="490"/>
        <v>171.34657299030917</v>
      </c>
      <c r="BE483" s="80">
        <f t="shared" si="491"/>
        <v>131.04511856216109</v>
      </c>
      <c r="BF483" s="80">
        <f t="shared" si="492"/>
        <v>1266.4593862884583</v>
      </c>
      <c r="BG483" s="80">
        <f t="shared" si="493"/>
        <v>838.85785492902562</v>
      </c>
      <c r="BH483" s="49">
        <f t="shared" si="494"/>
        <v>0</v>
      </c>
      <c r="BI483" s="79">
        <f t="shared" si="495"/>
        <v>-122462.19924310531</v>
      </c>
      <c r="BJ483" s="79">
        <f t="shared" si="463"/>
        <v>147472.08097653021</v>
      </c>
      <c r="BK483" s="44">
        <f t="shared" si="496"/>
        <v>0.20422531922505027</v>
      </c>
      <c r="BL483" s="79">
        <f t="shared" si="513"/>
        <v>18103.541451393612</v>
      </c>
      <c r="BM483" s="49">
        <f t="shared" si="497"/>
        <v>165575.62242792384</v>
      </c>
      <c r="BN483" s="44">
        <f t="shared" si="498"/>
        <v>0.35205494798629333</v>
      </c>
      <c r="BO483" s="49">
        <f t="shared" si="464"/>
        <v>19449.059703632825</v>
      </c>
      <c r="BP483" s="49">
        <f t="shared" si="465"/>
        <v>166921.14068016305</v>
      </c>
      <c r="BQ483" s="44">
        <f t="shared" si="466"/>
        <v>0.36304216086141206</v>
      </c>
      <c r="BS483" s="49">
        <f t="shared" si="467"/>
        <v>122462.19924310531</v>
      </c>
      <c r="BT483" s="49">
        <f t="shared" si="514"/>
        <v>95.459998999999996</v>
      </c>
      <c r="BU483" s="49">
        <f t="shared" si="515"/>
        <v>28.76</v>
      </c>
      <c r="BV483" s="49">
        <f t="shared" si="468"/>
        <v>0</v>
      </c>
      <c r="BW483" s="18">
        <f t="shared" si="469"/>
        <v>3087</v>
      </c>
      <c r="BX483" s="19">
        <f t="shared" si="499"/>
        <v>0.29197247706422019</v>
      </c>
      <c r="BY483" s="49">
        <f t="shared" si="500"/>
        <v>0</v>
      </c>
      <c r="BZ483" s="19">
        <f t="shared" si="470"/>
        <v>0</v>
      </c>
      <c r="CA483" s="19">
        <f t="shared" si="471"/>
        <v>0</v>
      </c>
      <c r="CB483" s="19">
        <f t="shared" si="472"/>
        <v>0</v>
      </c>
      <c r="CC483" s="19">
        <f t="shared" si="473"/>
        <v>0</v>
      </c>
      <c r="CD483" s="19">
        <f t="shared" si="474"/>
        <v>0</v>
      </c>
      <c r="CE483" s="19">
        <f t="shared" si="475"/>
        <v>0</v>
      </c>
      <c r="CF483" s="49">
        <f t="shared" si="476"/>
        <v>0</v>
      </c>
      <c r="CG483" s="49">
        <f t="shared" si="477"/>
        <v>0</v>
      </c>
      <c r="CH483" s="49">
        <f t="shared" si="478"/>
        <v>0</v>
      </c>
      <c r="CI483" s="49">
        <f t="shared" si="479"/>
        <v>0</v>
      </c>
      <c r="CJ483" s="49">
        <f t="shared" si="480"/>
        <v>0</v>
      </c>
      <c r="CK483" s="49">
        <f t="shared" si="481"/>
        <v>0</v>
      </c>
    </row>
    <row r="484" spans="2:89" ht="12.75" customHeight="1" x14ac:dyDescent="0.2">
      <c r="B484" s="77">
        <v>42388</v>
      </c>
      <c r="C484" s="79">
        <v>96.809997999999993</v>
      </c>
      <c r="D484" s="79">
        <v>75.760002</v>
      </c>
      <c r="E484" s="79">
        <v>78.230002999999996</v>
      </c>
      <c r="F484" s="79">
        <v>90.010002</v>
      </c>
      <c r="G484" s="79">
        <v>34.07</v>
      </c>
      <c r="H484" s="79">
        <v>29.57</v>
      </c>
      <c r="I484" s="79"/>
      <c r="J484" s="78">
        <f>IF(inter=Weekly_2,J483+$C$5,IF(inter=Bi_weekly_2,J482+$C$5,IF(inter=Monthly_2,0,IF(inter=Quarterly_2,J471+$C$5,IF(inter=Yearly_2,0,IF(inter=None_2,0,0))))))</f>
        <v>152600</v>
      </c>
      <c r="K484" s="79">
        <f t="shared" si="482"/>
        <v>-839.90873706330603</v>
      </c>
      <c r="L484" s="79">
        <f t="shared" si="483"/>
        <v>-277.53818088032313</v>
      </c>
      <c r="M484" s="79">
        <f t="shared" si="484"/>
        <v>-380.61175581250973</v>
      </c>
      <c r="N484" s="79">
        <f t="shared" si="485"/>
        <v>-302.60851394630299</v>
      </c>
      <c r="O484" s="79">
        <f t="shared" si="486"/>
        <v>-481.68351270537096</v>
      </c>
      <c r="P484" s="79">
        <f t="shared" si="487"/>
        <v>-416.79999999999927</v>
      </c>
      <c r="Q484" s="79"/>
      <c r="R484" s="80">
        <f t="shared" si="445"/>
        <v>8.6758470655407525</v>
      </c>
      <c r="S484" s="80">
        <f t="shared" si="446"/>
        <v>3.6633866625336564</v>
      </c>
      <c r="T484" s="80">
        <f t="shared" si="447"/>
        <v>4.8652913360173304</v>
      </c>
      <c r="U484" s="80">
        <f t="shared" si="448"/>
        <v>3.3619431976715544</v>
      </c>
      <c r="V484" s="80">
        <f t="shared" si="449"/>
        <v>14.1380543793769</v>
      </c>
      <c r="W484" s="80">
        <f t="shared" si="450"/>
        <v>14.095366925938427</v>
      </c>
      <c r="X484" s="80">
        <f t="shared" si="501"/>
        <v>551.69921602518787</v>
      </c>
      <c r="Y484" s="80">
        <f t="shared" si="502"/>
        <v>201.42554906479543</v>
      </c>
      <c r="Z484" s="80">
        <f t="shared" si="503"/>
        <v>156.05265923356797</v>
      </c>
      <c r="AA484" s="80">
        <f t="shared" si="504"/>
        <v>118.67570006275525</v>
      </c>
      <c r="AB484" s="80">
        <f t="shared" si="505"/>
        <v>1119.7534487819196</v>
      </c>
      <c r="AC484" s="80">
        <f t="shared" si="506"/>
        <v>774.09536692593838</v>
      </c>
      <c r="AD484" s="80"/>
      <c r="AE484" s="80"/>
      <c r="AF484" s="80"/>
      <c r="AG484" s="80"/>
      <c r="AH484" s="80"/>
      <c r="AI484" s="80"/>
      <c r="AJ484" s="45">
        <f t="shared" si="451"/>
        <v>0</v>
      </c>
      <c r="AK484" s="45">
        <f t="shared" si="452"/>
        <v>0</v>
      </c>
      <c r="AL484" s="45">
        <f t="shared" si="453"/>
        <v>0</v>
      </c>
      <c r="AM484" s="45">
        <f t="shared" si="454"/>
        <v>0</v>
      </c>
      <c r="AN484" s="45">
        <f t="shared" si="455"/>
        <v>0</v>
      </c>
      <c r="AO484" s="45">
        <f t="shared" si="456"/>
        <v>0</v>
      </c>
      <c r="AP484" s="80">
        <f t="shared" si="457"/>
        <v>0</v>
      </c>
      <c r="AQ484" s="80">
        <f t="shared" si="458"/>
        <v>0</v>
      </c>
      <c r="AR484" s="80">
        <f t="shared" si="459"/>
        <v>0</v>
      </c>
      <c r="AS484" s="80">
        <f t="shared" si="460"/>
        <v>0</v>
      </c>
      <c r="AT484" s="80">
        <f t="shared" si="461"/>
        <v>0</v>
      </c>
      <c r="AU484" s="80">
        <f t="shared" si="462"/>
        <v>0</v>
      </c>
      <c r="AV484" s="80">
        <f t="shared" si="507"/>
        <v>67.378712401376475</v>
      </c>
      <c r="AW484" s="80">
        <f t="shared" si="508"/>
        <v>32.117784404754332</v>
      </c>
      <c r="AX484" s="80">
        <f t="shared" si="509"/>
        <v>20.159205092758537</v>
      </c>
      <c r="AY484" s="80">
        <f t="shared" si="510"/>
        <v>15.731361697077391</v>
      </c>
      <c r="AZ484" s="80">
        <f t="shared" si="511"/>
        <v>160.84399188591553</v>
      </c>
      <c r="BA484" s="80">
        <f t="shared" si="512"/>
        <v>78.857854929025606</v>
      </c>
      <c r="BB484" s="80">
        <f t="shared" si="488"/>
        <v>619.07792842656431</v>
      </c>
      <c r="BC484" s="80">
        <f t="shared" si="489"/>
        <v>233.54333346954976</v>
      </c>
      <c r="BD484" s="80">
        <f t="shared" si="490"/>
        <v>176.21186432632649</v>
      </c>
      <c r="BE484" s="80">
        <f t="shared" si="491"/>
        <v>134.40706175983266</v>
      </c>
      <c r="BF484" s="80">
        <f t="shared" si="492"/>
        <v>1280.5974406678351</v>
      </c>
      <c r="BG484" s="80">
        <f t="shared" si="493"/>
        <v>852.953221854964</v>
      </c>
      <c r="BH484" s="49">
        <f t="shared" si="494"/>
        <v>0</v>
      </c>
      <c r="BI484" s="79">
        <f t="shared" si="495"/>
        <v>-125161.34994351312</v>
      </c>
      <c r="BJ484" s="79">
        <f t="shared" si="463"/>
        <v>152600</v>
      </c>
      <c r="BK484" s="44">
        <f t="shared" si="496"/>
        <v>0.21922622334187247</v>
      </c>
      <c r="BL484" s="79">
        <f t="shared" si="513"/>
        <v>18103.541451393612</v>
      </c>
      <c r="BM484" s="49">
        <f t="shared" si="497"/>
        <v>170703.54145139363</v>
      </c>
      <c r="BN484" s="44">
        <f t="shared" si="498"/>
        <v>0.36386785160462276</v>
      </c>
      <c r="BO484" s="49">
        <f t="shared" si="464"/>
        <v>19760.992570064791</v>
      </c>
      <c r="BP484" s="49">
        <f t="shared" si="465"/>
        <v>172360.99257006479</v>
      </c>
      <c r="BQ484" s="44">
        <f t="shared" si="466"/>
        <v>0.37711036712094792</v>
      </c>
      <c r="BS484" s="49">
        <f t="shared" si="467"/>
        <v>125161.34994351312</v>
      </c>
      <c r="BT484" s="49">
        <f t="shared" si="514"/>
        <v>96.809997999999993</v>
      </c>
      <c r="BU484" s="49">
        <f t="shared" si="515"/>
        <v>29.57</v>
      </c>
      <c r="BV484" s="49">
        <f t="shared" si="468"/>
        <v>2699.1507004078121</v>
      </c>
      <c r="BW484" s="18">
        <f t="shared" si="469"/>
        <v>3095</v>
      </c>
      <c r="BX484" s="19">
        <f t="shared" si="499"/>
        <v>0.29013761467889909</v>
      </c>
      <c r="BY484" s="49">
        <f t="shared" si="500"/>
        <v>783.12514587520241</v>
      </c>
      <c r="BZ484" s="19">
        <f t="shared" si="470"/>
        <v>8.6758470655407525</v>
      </c>
      <c r="CA484" s="19">
        <f t="shared" si="471"/>
        <v>3.6633866625336564</v>
      </c>
      <c r="CB484" s="19">
        <f t="shared" si="472"/>
        <v>4.8652913360173304</v>
      </c>
      <c r="CC484" s="19">
        <f t="shared" si="473"/>
        <v>3.3619431976715544</v>
      </c>
      <c r="CD484" s="19">
        <f t="shared" si="474"/>
        <v>14.1380543793769</v>
      </c>
      <c r="CE484" s="19">
        <f t="shared" si="475"/>
        <v>14.095366925938427</v>
      </c>
      <c r="CF484" s="49">
        <f t="shared" si="476"/>
        <v>-839.90873706330603</v>
      </c>
      <c r="CG484" s="49">
        <f t="shared" si="477"/>
        <v>-277.53818088032313</v>
      </c>
      <c r="CH484" s="49">
        <f t="shared" si="478"/>
        <v>-380.61175581250973</v>
      </c>
      <c r="CI484" s="49">
        <f t="shared" si="479"/>
        <v>-302.60851394630299</v>
      </c>
      <c r="CJ484" s="49">
        <f t="shared" si="480"/>
        <v>-481.68351270537096</v>
      </c>
      <c r="CK484" s="49">
        <f t="shared" si="481"/>
        <v>-416.79999999999927</v>
      </c>
    </row>
    <row r="485" spans="2:89" ht="12.75" customHeight="1" x14ac:dyDescent="0.2">
      <c r="B485" s="77">
        <v>42394</v>
      </c>
      <c r="C485" s="79">
        <v>98.330001999999993</v>
      </c>
      <c r="D485" s="79">
        <v>77.639999000000003</v>
      </c>
      <c r="E485" s="79">
        <v>80.050003000000004</v>
      </c>
      <c r="F485" s="79">
        <v>92.480002999999996</v>
      </c>
      <c r="G485" s="79">
        <v>34.689999</v>
      </c>
      <c r="H485" s="79">
        <v>30.83</v>
      </c>
      <c r="I485" s="79"/>
      <c r="J485" s="78">
        <f>IF(inter=Weekly_2,J484+$C$5,IF(inter=Bi_weekly_2,0,IF(inter=Monthly_2,0,IF(inter=Quarterly_2,0,IF(inter=Yearly_2,0,IF(inter=None_2,0,0))))))</f>
        <v>0</v>
      </c>
      <c r="K485" s="79">
        <f t="shared" si="482"/>
        <v>0</v>
      </c>
      <c r="L485" s="79">
        <f t="shared" si="483"/>
        <v>0</v>
      </c>
      <c r="M485" s="79">
        <f t="shared" si="484"/>
        <v>0</v>
      </c>
      <c r="N485" s="79">
        <f t="shared" si="485"/>
        <v>0</v>
      </c>
      <c r="O485" s="79">
        <f t="shared" si="486"/>
        <v>0</v>
      </c>
      <c r="P485" s="79">
        <f t="shared" si="487"/>
        <v>0</v>
      </c>
      <c r="Q485" s="79"/>
      <c r="R485" s="80">
        <f t="shared" si="445"/>
        <v>0</v>
      </c>
      <c r="S485" s="80">
        <f t="shared" si="446"/>
        <v>0</v>
      </c>
      <c r="T485" s="80">
        <f t="shared" si="447"/>
        <v>0</v>
      </c>
      <c r="U485" s="80">
        <f t="shared" si="448"/>
        <v>0</v>
      </c>
      <c r="V485" s="80">
        <f t="shared" si="449"/>
        <v>0</v>
      </c>
      <c r="W485" s="80">
        <f t="shared" si="450"/>
        <v>0</v>
      </c>
      <c r="X485" s="80">
        <f t="shared" si="501"/>
        <v>551.69921602518787</v>
      </c>
      <c r="Y485" s="80">
        <f t="shared" si="502"/>
        <v>201.42554906479543</v>
      </c>
      <c r="Z485" s="80">
        <f t="shared" si="503"/>
        <v>156.05265923356797</v>
      </c>
      <c r="AA485" s="80">
        <f t="shared" si="504"/>
        <v>118.67570006275525</v>
      </c>
      <c r="AB485" s="80">
        <f t="shared" si="505"/>
        <v>1119.7534487819196</v>
      </c>
      <c r="AC485" s="80">
        <f t="shared" si="506"/>
        <v>774.09536692593838</v>
      </c>
      <c r="AD485" s="80"/>
      <c r="AE485" s="80"/>
      <c r="AF485" s="80"/>
      <c r="AG485" s="80"/>
      <c r="AH485" s="80"/>
      <c r="AI485" s="80"/>
      <c r="AJ485" s="45">
        <f t="shared" si="451"/>
        <v>0</v>
      </c>
      <c r="AK485" s="45">
        <f t="shared" si="452"/>
        <v>0</v>
      </c>
      <c r="AL485" s="45">
        <f t="shared" si="453"/>
        <v>0</v>
      </c>
      <c r="AM485" s="45">
        <f t="shared" si="454"/>
        <v>0</v>
      </c>
      <c r="AN485" s="45">
        <f t="shared" si="455"/>
        <v>0</v>
      </c>
      <c r="AO485" s="45">
        <f t="shared" si="456"/>
        <v>0</v>
      </c>
      <c r="AP485" s="80">
        <f t="shared" si="457"/>
        <v>0</v>
      </c>
      <c r="AQ485" s="80">
        <f t="shared" si="458"/>
        <v>0</v>
      </c>
      <c r="AR485" s="80">
        <f t="shared" si="459"/>
        <v>0</v>
      </c>
      <c r="AS485" s="80">
        <f t="shared" si="460"/>
        <v>0</v>
      </c>
      <c r="AT485" s="80">
        <f t="shared" si="461"/>
        <v>0</v>
      </c>
      <c r="AU485" s="80">
        <f t="shared" si="462"/>
        <v>0</v>
      </c>
      <c r="AV485" s="80">
        <f t="shared" si="507"/>
        <v>67.378712401376475</v>
      </c>
      <c r="AW485" s="80">
        <f t="shared" si="508"/>
        <v>32.117784404754332</v>
      </c>
      <c r="AX485" s="80">
        <f t="shared" si="509"/>
        <v>20.159205092758537</v>
      </c>
      <c r="AY485" s="80">
        <f t="shared" si="510"/>
        <v>15.731361697077391</v>
      </c>
      <c r="AZ485" s="80">
        <f t="shared" si="511"/>
        <v>160.84399188591553</v>
      </c>
      <c r="BA485" s="80">
        <f t="shared" si="512"/>
        <v>78.857854929025606</v>
      </c>
      <c r="BB485" s="80">
        <f t="shared" si="488"/>
        <v>619.07792842656431</v>
      </c>
      <c r="BC485" s="80">
        <f t="shared" si="489"/>
        <v>233.54333346954976</v>
      </c>
      <c r="BD485" s="80">
        <f t="shared" si="490"/>
        <v>176.21186432632649</v>
      </c>
      <c r="BE485" s="80">
        <f t="shared" si="491"/>
        <v>134.40706175983266</v>
      </c>
      <c r="BF485" s="80">
        <f t="shared" si="492"/>
        <v>1280.5974406678351</v>
      </c>
      <c r="BG485" s="80">
        <f t="shared" si="493"/>
        <v>852.953221854964</v>
      </c>
      <c r="BH485" s="49">
        <f t="shared" si="494"/>
        <v>0</v>
      </c>
      <c r="BI485" s="79">
        <f t="shared" si="495"/>
        <v>-125161.34994351312</v>
      </c>
      <c r="BJ485" s="79">
        <f t="shared" si="463"/>
        <v>156064.01556157417</v>
      </c>
      <c r="BK485" s="44">
        <f t="shared" si="496"/>
        <v>0.24690262315010036</v>
      </c>
      <c r="BL485" s="79">
        <f t="shared" si="513"/>
        <v>18103.541451393612</v>
      </c>
      <c r="BM485" s="49">
        <f t="shared" si="497"/>
        <v>174167.55701296777</v>
      </c>
      <c r="BN485" s="44">
        <f t="shared" si="498"/>
        <v>0.39154425141285043</v>
      </c>
      <c r="BO485" s="49">
        <f t="shared" si="464"/>
        <v>20198.42006448513</v>
      </c>
      <c r="BP485" s="49">
        <f t="shared" si="465"/>
        <v>176262.43562605925</v>
      </c>
      <c r="BQ485" s="44">
        <f t="shared" si="466"/>
        <v>0.40828167565793017</v>
      </c>
      <c r="BS485" s="49">
        <f t="shared" si="467"/>
        <v>125161.34994351312</v>
      </c>
      <c r="BT485" s="49">
        <f t="shared" si="514"/>
        <v>98.330001999999993</v>
      </c>
      <c r="BU485" s="49">
        <f t="shared" si="515"/>
        <v>30.83</v>
      </c>
      <c r="BV485" s="49">
        <f t="shared" si="468"/>
        <v>0</v>
      </c>
      <c r="BW485" s="18">
        <f t="shared" si="469"/>
        <v>3101</v>
      </c>
      <c r="BX485" s="19">
        <f t="shared" si="499"/>
        <v>0.28876146788990825</v>
      </c>
      <c r="BY485" s="49">
        <f t="shared" si="500"/>
        <v>0</v>
      </c>
      <c r="BZ485" s="19">
        <f t="shared" si="470"/>
        <v>0</v>
      </c>
      <c r="CA485" s="19">
        <f t="shared" si="471"/>
        <v>0</v>
      </c>
      <c r="CB485" s="19">
        <f t="shared" si="472"/>
        <v>0</v>
      </c>
      <c r="CC485" s="19">
        <f t="shared" si="473"/>
        <v>0</v>
      </c>
      <c r="CD485" s="19">
        <f t="shared" si="474"/>
        <v>0</v>
      </c>
      <c r="CE485" s="19">
        <f t="shared" si="475"/>
        <v>0</v>
      </c>
      <c r="CF485" s="49">
        <f t="shared" si="476"/>
        <v>0</v>
      </c>
      <c r="CG485" s="49">
        <f t="shared" si="477"/>
        <v>0</v>
      </c>
      <c r="CH485" s="49">
        <f t="shared" si="478"/>
        <v>0</v>
      </c>
      <c r="CI485" s="49">
        <f t="shared" si="479"/>
        <v>0</v>
      </c>
      <c r="CJ485" s="49">
        <f t="shared" si="480"/>
        <v>0</v>
      </c>
      <c r="CK485" s="49">
        <f t="shared" si="481"/>
        <v>0</v>
      </c>
    </row>
    <row r="486" spans="2:89" ht="12.75" customHeight="1" x14ac:dyDescent="0.2">
      <c r="B486" s="77">
        <v>42401</v>
      </c>
      <c r="C486" s="79">
        <v>95.260002</v>
      </c>
      <c r="D486" s="79">
        <v>76</v>
      </c>
      <c r="E486" s="79">
        <v>78.440002000000007</v>
      </c>
      <c r="F486" s="79">
        <v>90.089995999999999</v>
      </c>
      <c r="G486" s="79">
        <v>33.700001</v>
      </c>
      <c r="H486" s="79">
        <v>30.290001</v>
      </c>
      <c r="I486" s="79"/>
      <c r="J486" s="78">
        <f>IF(inter=Weekly_2,J485+$C$5,IF(inter=Bi_weekly_2,J484+$C$5,IF(inter=Monthly_2,J482+$C$5,IF(inter=Quarterly_2,0,IF(inter=Yearly_2,0,IF(inter=None_2,0,0))))))</f>
        <v>153200</v>
      </c>
      <c r="K486" s="79">
        <f t="shared" si="482"/>
        <v>-1065.1315780421719</v>
      </c>
      <c r="L486" s="79">
        <f t="shared" si="483"/>
        <v>-11.658271075546509</v>
      </c>
      <c r="M486" s="79">
        <f t="shared" si="484"/>
        <v>-15.229097613610065</v>
      </c>
      <c r="N486" s="79">
        <f t="shared" si="485"/>
        <v>-32.506656049181402</v>
      </c>
      <c r="O486" s="79">
        <f t="shared" si="486"/>
        <v>-564.30765629585949</v>
      </c>
      <c r="P486" s="79">
        <f t="shared" si="487"/>
        <v>467.34943828203905</v>
      </c>
      <c r="Q486" s="79"/>
      <c r="R486" s="80">
        <f t="shared" si="445"/>
        <v>11.181309633419616</v>
      </c>
      <c r="S486" s="80">
        <f t="shared" si="446"/>
        <v>0.15339830362561196</v>
      </c>
      <c r="T486" s="80">
        <f t="shared" si="447"/>
        <v>0.19414963316306474</v>
      </c>
      <c r="U486" s="80">
        <f t="shared" si="448"/>
        <v>0.36082425899076964</v>
      </c>
      <c r="V486" s="80">
        <f t="shared" si="449"/>
        <v>16.745033814564561</v>
      </c>
      <c r="W486" s="80">
        <f t="shared" si="450"/>
        <v>-15.42916549530781</v>
      </c>
      <c r="X486" s="80">
        <f t="shared" si="501"/>
        <v>562.88052565860744</v>
      </c>
      <c r="Y486" s="80">
        <f t="shared" si="502"/>
        <v>201.57894736842104</v>
      </c>
      <c r="Z486" s="80">
        <f t="shared" si="503"/>
        <v>156.24680886673104</v>
      </c>
      <c r="AA486" s="80">
        <f t="shared" si="504"/>
        <v>119.03652432174603</v>
      </c>
      <c r="AB486" s="80">
        <f t="shared" si="505"/>
        <v>1136.4984825964841</v>
      </c>
      <c r="AC486" s="80">
        <f t="shared" si="506"/>
        <v>758.66620143063062</v>
      </c>
      <c r="AD486" s="80"/>
      <c r="AE486" s="80"/>
      <c r="AF486" s="80"/>
      <c r="AG486" s="80"/>
      <c r="AH486" s="80"/>
      <c r="AI486" s="80"/>
      <c r="AJ486" s="45">
        <f t="shared" si="451"/>
        <v>0</v>
      </c>
      <c r="AK486" s="45">
        <f t="shared" si="452"/>
        <v>0</v>
      </c>
      <c r="AL486" s="45">
        <f t="shared" si="453"/>
        <v>0</v>
      </c>
      <c r="AM486" s="45">
        <f t="shared" si="454"/>
        <v>0</v>
      </c>
      <c r="AN486" s="45">
        <f t="shared" si="455"/>
        <v>0</v>
      </c>
      <c r="AO486" s="45">
        <f t="shared" si="456"/>
        <v>0</v>
      </c>
      <c r="AP486" s="80">
        <f t="shared" si="457"/>
        <v>0</v>
      </c>
      <c r="AQ486" s="80">
        <f t="shared" si="458"/>
        <v>0</v>
      </c>
      <c r="AR486" s="80">
        <f t="shared" si="459"/>
        <v>0</v>
      </c>
      <c r="AS486" s="80">
        <f t="shared" si="460"/>
        <v>0</v>
      </c>
      <c r="AT486" s="80">
        <f t="shared" si="461"/>
        <v>0</v>
      </c>
      <c r="AU486" s="80">
        <f t="shared" si="462"/>
        <v>0</v>
      </c>
      <c r="AV486" s="80">
        <f t="shared" si="507"/>
        <v>67.378712401376475</v>
      </c>
      <c r="AW486" s="80">
        <f t="shared" si="508"/>
        <v>32.117784404754332</v>
      </c>
      <c r="AX486" s="80">
        <f t="shared" si="509"/>
        <v>20.159205092758537</v>
      </c>
      <c r="AY486" s="80">
        <f t="shared" si="510"/>
        <v>15.731361697077391</v>
      </c>
      <c r="AZ486" s="80">
        <f t="shared" si="511"/>
        <v>160.84399188591553</v>
      </c>
      <c r="BA486" s="80">
        <f t="shared" si="512"/>
        <v>78.857854929025606</v>
      </c>
      <c r="BB486" s="80">
        <f t="shared" si="488"/>
        <v>630.25923805998389</v>
      </c>
      <c r="BC486" s="80">
        <f t="shared" si="489"/>
        <v>233.69673177317537</v>
      </c>
      <c r="BD486" s="80">
        <f t="shared" si="490"/>
        <v>176.40601395948957</v>
      </c>
      <c r="BE486" s="80">
        <f t="shared" si="491"/>
        <v>134.76788601882342</v>
      </c>
      <c r="BF486" s="80">
        <f t="shared" si="492"/>
        <v>1297.3424744823997</v>
      </c>
      <c r="BG486" s="80">
        <f t="shared" si="493"/>
        <v>837.52405635965624</v>
      </c>
      <c r="BH486" s="49">
        <f t="shared" si="494"/>
        <v>0</v>
      </c>
      <c r="BI486" s="79">
        <f t="shared" si="495"/>
        <v>-126382.83376430746</v>
      </c>
      <c r="BJ486" s="79">
        <f t="shared" si="463"/>
        <v>153200</v>
      </c>
      <c r="BK486" s="44">
        <f t="shared" si="496"/>
        <v>0.21218994254950885</v>
      </c>
      <c r="BL486" s="79">
        <f t="shared" si="513"/>
        <v>18103.541451393612</v>
      </c>
      <c r="BM486" s="49">
        <f t="shared" si="497"/>
        <v>171303.54145139363</v>
      </c>
      <c r="BN486" s="44">
        <f t="shared" si="498"/>
        <v>0.35543361664812179</v>
      </c>
      <c r="BO486" s="49">
        <f t="shared" si="464"/>
        <v>19667.021485089906</v>
      </c>
      <c r="BP486" s="49">
        <f t="shared" si="465"/>
        <v>172867.02148508991</v>
      </c>
      <c r="BQ486" s="44">
        <f t="shared" si="466"/>
        <v>0.3678046008010174</v>
      </c>
      <c r="BS486" s="49">
        <f t="shared" si="467"/>
        <v>126382.83376430746</v>
      </c>
      <c r="BT486" s="49">
        <f t="shared" si="514"/>
        <v>95.260002</v>
      </c>
      <c r="BU486" s="49">
        <f t="shared" si="515"/>
        <v>30.290001</v>
      </c>
      <c r="BV486" s="49">
        <f t="shared" si="468"/>
        <v>1221.4838207943303</v>
      </c>
      <c r="BW486" s="18">
        <f t="shared" si="469"/>
        <v>3108</v>
      </c>
      <c r="BX486" s="19">
        <f t="shared" si="499"/>
        <v>0.28715596330275228</v>
      </c>
      <c r="BY486" s="49">
        <f t="shared" si="500"/>
        <v>350.75636321892239</v>
      </c>
      <c r="BZ486" s="19">
        <f t="shared" si="470"/>
        <v>11.181309633419616</v>
      </c>
      <c r="CA486" s="19">
        <f t="shared" si="471"/>
        <v>0.15339830362561196</v>
      </c>
      <c r="CB486" s="19">
        <f t="shared" si="472"/>
        <v>0.19414963316306474</v>
      </c>
      <c r="CC486" s="19">
        <f t="shared" si="473"/>
        <v>0.36082425899076964</v>
      </c>
      <c r="CD486" s="19">
        <f t="shared" si="474"/>
        <v>16.745033814564561</v>
      </c>
      <c r="CE486" s="19">
        <f t="shared" si="475"/>
        <v>0</v>
      </c>
      <c r="CF486" s="49">
        <f t="shared" si="476"/>
        <v>-1065.1315780421719</v>
      </c>
      <c r="CG486" s="49">
        <f t="shared" si="477"/>
        <v>-11.658271075546509</v>
      </c>
      <c r="CH486" s="49">
        <f t="shared" si="478"/>
        <v>-15.229097613610065</v>
      </c>
      <c r="CI486" s="49">
        <f t="shared" si="479"/>
        <v>-32.506656049181402</v>
      </c>
      <c r="CJ486" s="49">
        <f t="shared" si="480"/>
        <v>-564.30765629585949</v>
      </c>
      <c r="CK486" s="49">
        <f t="shared" si="481"/>
        <v>0</v>
      </c>
    </row>
    <row r="487" spans="2:89" ht="12.75" customHeight="1" x14ac:dyDescent="0.2">
      <c r="B487" s="77">
        <v>42408</v>
      </c>
      <c r="C487" s="79">
        <v>94.360000999999997</v>
      </c>
      <c r="D487" s="79">
        <v>75.319999999999993</v>
      </c>
      <c r="E487" s="79">
        <v>77.069999999999993</v>
      </c>
      <c r="F487" s="79">
        <v>88.669998000000007</v>
      </c>
      <c r="G487" s="79">
        <v>32.740001999999997</v>
      </c>
      <c r="H487" s="79">
        <v>29.629999000000002</v>
      </c>
      <c r="I487" s="79"/>
      <c r="J487" s="78">
        <f>IF(inter=Weekly_2,J486+$C$5,IF(inter=Bi_weekly_2,0,IF(inter=Monthly_2,0,IF(inter=Quarterly_2,0,IF(inter=Yearly_2,0,IF(inter=None_2,0,0))))))</f>
        <v>0</v>
      </c>
      <c r="K487" s="79">
        <f t="shared" si="482"/>
        <v>0</v>
      </c>
      <c r="L487" s="79">
        <f t="shared" si="483"/>
        <v>0</v>
      </c>
      <c r="M487" s="79">
        <f t="shared" si="484"/>
        <v>0</v>
      </c>
      <c r="N487" s="79">
        <f t="shared" si="485"/>
        <v>0</v>
      </c>
      <c r="O487" s="79">
        <f t="shared" si="486"/>
        <v>0</v>
      </c>
      <c r="P487" s="79">
        <f t="shared" si="487"/>
        <v>0</v>
      </c>
      <c r="Q487" s="79"/>
      <c r="R487" s="80">
        <f t="shared" si="445"/>
        <v>0</v>
      </c>
      <c r="S487" s="80">
        <f t="shared" si="446"/>
        <v>0</v>
      </c>
      <c r="T487" s="80">
        <f t="shared" si="447"/>
        <v>0</v>
      </c>
      <c r="U487" s="80">
        <f t="shared" si="448"/>
        <v>0</v>
      </c>
      <c r="V487" s="80">
        <f t="shared" si="449"/>
        <v>0</v>
      </c>
      <c r="W487" s="80">
        <f t="shared" si="450"/>
        <v>0</v>
      </c>
      <c r="X487" s="80">
        <f t="shared" si="501"/>
        <v>562.88052565860744</v>
      </c>
      <c r="Y487" s="80">
        <f t="shared" si="502"/>
        <v>201.57894736842104</v>
      </c>
      <c r="Z487" s="80">
        <f t="shared" si="503"/>
        <v>156.24680886673104</v>
      </c>
      <c r="AA487" s="80">
        <f t="shared" si="504"/>
        <v>119.03652432174603</v>
      </c>
      <c r="AB487" s="80">
        <f t="shared" si="505"/>
        <v>1136.4984825964841</v>
      </c>
      <c r="AC487" s="80">
        <f t="shared" si="506"/>
        <v>758.66620143063062</v>
      </c>
      <c r="AD487" s="80"/>
      <c r="AE487" s="80"/>
      <c r="AF487" s="80"/>
      <c r="AG487" s="80"/>
      <c r="AH487" s="80"/>
      <c r="AI487" s="80"/>
      <c r="AJ487" s="45">
        <f t="shared" si="451"/>
        <v>0</v>
      </c>
      <c r="AK487" s="45">
        <f t="shared" si="452"/>
        <v>0</v>
      </c>
      <c r="AL487" s="45">
        <f t="shared" si="453"/>
        <v>0</v>
      </c>
      <c r="AM487" s="45">
        <f t="shared" si="454"/>
        <v>0</v>
      </c>
      <c r="AN487" s="45">
        <f t="shared" si="455"/>
        <v>0</v>
      </c>
      <c r="AO487" s="45">
        <f t="shared" si="456"/>
        <v>0</v>
      </c>
      <c r="AP487" s="80">
        <f t="shared" si="457"/>
        <v>0</v>
      </c>
      <c r="AQ487" s="80">
        <f t="shared" si="458"/>
        <v>0</v>
      </c>
      <c r="AR487" s="80">
        <f t="shared" si="459"/>
        <v>0</v>
      </c>
      <c r="AS487" s="80">
        <f t="shared" si="460"/>
        <v>0</v>
      </c>
      <c r="AT487" s="80">
        <f t="shared" si="461"/>
        <v>0</v>
      </c>
      <c r="AU487" s="80">
        <f t="shared" si="462"/>
        <v>0</v>
      </c>
      <c r="AV487" s="80">
        <f t="shared" si="507"/>
        <v>67.378712401376475</v>
      </c>
      <c r="AW487" s="80">
        <f t="shared" si="508"/>
        <v>32.117784404754332</v>
      </c>
      <c r="AX487" s="80">
        <f t="shared" si="509"/>
        <v>20.159205092758537</v>
      </c>
      <c r="AY487" s="80">
        <f t="shared" si="510"/>
        <v>15.731361697077391</v>
      </c>
      <c r="AZ487" s="80">
        <f t="shared" si="511"/>
        <v>160.84399188591553</v>
      </c>
      <c r="BA487" s="80">
        <f t="shared" si="512"/>
        <v>78.857854929025606</v>
      </c>
      <c r="BB487" s="80">
        <f t="shared" si="488"/>
        <v>630.25923805998389</v>
      </c>
      <c r="BC487" s="80">
        <f t="shared" si="489"/>
        <v>233.69673177317537</v>
      </c>
      <c r="BD487" s="80">
        <f t="shared" si="490"/>
        <v>176.40601395948957</v>
      </c>
      <c r="BE487" s="80">
        <f t="shared" si="491"/>
        <v>134.76788601882342</v>
      </c>
      <c r="BF487" s="80">
        <f t="shared" si="492"/>
        <v>1297.3424744823997</v>
      </c>
      <c r="BG487" s="80">
        <f t="shared" si="493"/>
        <v>837.52405635965624</v>
      </c>
      <c r="BH487" s="49">
        <f t="shared" si="494"/>
        <v>0</v>
      </c>
      <c r="BI487" s="79">
        <f t="shared" si="495"/>
        <v>-126382.83376430746</v>
      </c>
      <c r="BJ487" s="79">
        <f t="shared" si="463"/>
        <v>150581.48459564056</v>
      </c>
      <c r="BK487" s="44">
        <f t="shared" si="496"/>
        <v>0.19147102585515197</v>
      </c>
      <c r="BL487" s="79">
        <f t="shared" si="513"/>
        <v>18103.541451393612</v>
      </c>
      <c r="BM487" s="49">
        <f t="shared" si="497"/>
        <v>168685.02604703419</v>
      </c>
      <c r="BN487" s="44">
        <f t="shared" si="498"/>
        <v>0.3347146999537649</v>
      </c>
      <c r="BO487" s="49">
        <f t="shared" si="464"/>
        <v>19328.127416376752</v>
      </c>
      <c r="BP487" s="49">
        <f t="shared" si="465"/>
        <v>169909.61201201731</v>
      </c>
      <c r="BQ487" s="44">
        <f t="shared" si="466"/>
        <v>0.34440419597556549</v>
      </c>
      <c r="BS487" s="49">
        <f t="shared" si="467"/>
        <v>126382.83376430746</v>
      </c>
      <c r="BT487" s="49">
        <f t="shared" si="514"/>
        <v>94.360000999999997</v>
      </c>
      <c r="BU487" s="49">
        <f t="shared" si="515"/>
        <v>29.629999000000002</v>
      </c>
      <c r="BV487" s="49">
        <f t="shared" si="468"/>
        <v>0</v>
      </c>
      <c r="BW487" s="18">
        <f t="shared" si="469"/>
        <v>3115</v>
      </c>
      <c r="BX487" s="19">
        <f t="shared" si="499"/>
        <v>0.28555045871559631</v>
      </c>
      <c r="BY487" s="49">
        <f t="shared" si="500"/>
        <v>0</v>
      </c>
      <c r="BZ487" s="19">
        <f t="shared" si="470"/>
        <v>0</v>
      </c>
      <c r="CA487" s="19">
        <f t="shared" si="471"/>
        <v>0</v>
      </c>
      <c r="CB487" s="19">
        <f t="shared" si="472"/>
        <v>0</v>
      </c>
      <c r="CC487" s="19">
        <f t="shared" si="473"/>
        <v>0</v>
      </c>
      <c r="CD487" s="19">
        <f t="shared" si="474"/>
        <v>0</v>
      </c>
      <c r="CE487" s="19">
        <f t="shared" si="475"/>
        <v>0</v>
      </c>
      <c r="CF487" s="49">
        <f t="shared" si="476"/>
        <v>0</v>
      </c>
      <c r="CG487" s="49">
        <f t="shared" si="477"/>
        <v>0</v>
      </c>
      <c r="CH487" s="49">
        <f t="shared" si="478"/>
        <v>0</v>
      </c>
      <c r="CI487" s="49">
        <f t="shared" si="479"/>
        <v>0</v>
      </c>
      <c r="CJ487" s="49">
        <f t="shared" si="480"/>
        <v>0</v>
      </c>
      <c r="CK487" s="49">
        <f t="shared" si="481"/>
        <v>0</v>
      </c>
    </row>
    <row r="488" spans="2:89" ht="12.75" customHeight="1" x14ac:dyDescent="0.2">
      <c r="B488" s="77">
        <v>42416</v>
      </c>
      <c r="C488" s="79">
        <v>97.300003000000004</v>
      </c>
      <c r="D488" s="79">
        <v>77.349997999999999</v>
      </c>
      <c r="E488" s="79">
        <v>79.720000999999996</v>
      </c>
      <c r="F488" s="79">
        <v>91.5</v>
      </c>
      <c r="G488" s="79">
        <v>33.75</v>
      </c>
      <c r="H488" s="79">
        <v>30.68</v>
      </c>
      <c r="I488" s="79"/>
      <c r="J488" s="78">
        <f>IF(inter=Weekly_2,J487+$C$5,IF(inter=Bi_weekly_2,J486+$C$5,IF(inter=Monthly_2,0,IF(inter=Quarterly_2,0,IF(inter=Yearly_2,0,IF(inter=None_2,0,0))))))</f>
        <v>153800</v>
      </c>
      <c r="K488" s="79">
        <f t="shared" si="482"/>
        <v>938.27683522408188</v>
      </c>
      <c r="L488" s="79">
        <f t="shared" si="483"/>
        <v>212.13117578947276</v>
      </c>
      <c r="M488" s="79">
        <f t="shared" si="484"/>
        <v>151.99575910260683</v>
      </c>
      <c r="N488" s="79">
        <f t="shared" si="485"/>
        <v>125.84197543976006</v>
      </c>
      <c r="O488" s="79">
        <f t="shared" si="486"/>
        <v>-93.176212368663982</v>
      </c>
      <c r="P488" s="79">
        <f t="shared" si="487"/>
        <v>205.8790598917476</v>
      </c>
      <c r="Q488" s="79"/>
      <c r="R488" s="80">
        <f t="shared" si="445"/>
        <v>-9.6431326443441314</v>
      </c>
      <c r="S488" s="80">
        <f t="shared" si="446"/>
        <v>-2.7424845672196754</v>
      </c>
      <c r="T488" s="80">
        <f t="shared" si="447"/>
        <v>-1.906620135423817</v>
      </c>
      <c r="U488" s="80">
        <f t="shared" si="448"/>
        <v>-1.3753221359536618</v>
      </c>
      <c r="V488" s="80">
        <f t="shared" si="449"/>
        <v>2.7607766627752293</v>
      </c>
      <c r="W488" s="80">
        <f t="shared" si="450"/>
        <v>-6.7105299834337551</v>
      </c>
      <c r="X488" s="80">
        <f t="shared" si="501"/>
        <v>553.23739301426326</v>
      </c>
      <c r="Y488" s="80">
        <f t="shared" si="502"/>
        <v>198.83646280120138</v>
      </c>
      <c r="Z488" s="80">
        <f t="shared" si="503"/>
        <v>154.34018873130722</v>
      </c>
      <c r="AA488" s="80">
        <f t="shared" si="504"/>
        <v>117.66120218579236</v>
      </c>
      <c r="AB488" s="80">
        <f t="shared" si="505"/>
        <v>1139.2592592592594</v>
      </c>
      <c r="AC488" s="80">
        <f t="shared" si="506"/>
        <v>751.95567144719689</v>
      </c>
      <c r="AD488" s="80"/>
      <c r="AE488" s="80"/>
      <c r="AF488" s="80"/>
      <c r="AG488" s="80"/>
      <c r="AH488" s="80"/>
      <c r="AI488" s="80"/>
      <c r="AJ488" s="45">
        <f t="shared" si="451"/>
        <v>0</v>
      </c>
      <c r="AK488" s="45">
        <f t="shared" si="452"/>
        <v>0</v>
      </c>
      <c r="AL488" s="45">
        <f t="shared" si="453"/>
        <v>0</v>
      </c>
      <c r="AM488" s="45">
        <f t="shared" si="454"/>
        <v>0</v>
      </c>
      <c r="AN488" s="45">
        <f t="shared" si="455"/>
        <v>0</v>
      </c>
      <c r="AO488" s="45">
        <f t="shared" si="456"/>
        <v>0</v>
      </c>
      <c r="AP488" s="80">
        <f t="shared" si="457"/>
        <v>0</v>
      </c>
      <c r="AQ488" s="80">
        <f t="shared" si="458"/>
        <v>0</v>
      </c>
      <c r="AR488" s="80">
        <f t="shared" si="459"/>
        <v>0</v>
      </c>
      <c r="AS488" s="80">
        <f t="shared" si="460"/>
        <v>0</v>
      </c>
      <c r="AT488" s="80">
        <f t="shared" si="461"/>
        <v>0</v>
      </c>
      <c r="AU488" s="80">
        <f t="shared" si="462"/>
        <v>0</v>
      </c>
      <c r="AV488" s="80">
        <f t="shared" si="507"/>
        <v>67.378712401376475</v>
      </c>
      <c r="AW488" s="80">
        <f t="shared" si="508"/>
        <v>32.117784404754332</v>
      </c>
      <c r="AX488" s="80">
        <f t="shared" si="509"/>
        <v>20.159205092758537</v>
      </c>
      <c r="AY488" s="80">
        <f t="shared" si="510"/>
        <v>15.731361697077391</v>
      </c>
      <c r="AZ488" s="80">
        <f t="shared" si="511"/>
        <v>160.84399188591553</v>
      </c>
      <c r="BA488" s="80">
        <f t="shared" si="512"/>
        <v>78.857854929025606</v>
      </c>
      <c r="BB488" s="80">
        <f t="shared" si="488"/>
        <v>620.61610541563971</v>
      </c>
      <c r="BC488" s="80">
        <f t="shared" si="489"/>
        <v>230.95424720595571</v>
      </c>
      <c r="BD488" s="80">
        <f t="shared" si="490"/>
        <v>174.49939382406575</v>
      </c>
      <c r="BE488" s="80">
        <f t="shared" si="491"/>
        <v>133.39256388286975</v>
      </c>
      <c r="BF488" s="80">
        <f t="shared" si="492"/>
        <v>1300.1032511451749</v>
      </c>
      <c r="BG488" s="80">
        <f t="shared" si="493"/>
        <v>830.81352637622251</v>
      </c>
      <c r="BH488" s="49">
        <f t="shared" si="494"/>
        <v>0</v>
      </c>
      <c r="BI488" s="79">
        <f t="shared" si="495"/>
        <v>-124841.88517122847</v>
      </c>
      <c r="BJ488" s="79">
        <f t="shared" si="463"/>
        <v>153800</v>
      </c>
      <c r="BK488" s="44">
        <f t="shared" si="496"/>
        <v>0.23195832703946806</v>
      </c>
      <c r="BL488" s="79">
        <f t="shared" si="513"/>
        <v>18103.541451393612</v>
      </c>
      <c r="BM488" s="49">
        <f t="shared" si="497"/>
        <v>171903.54145139363</v>
      </c>
      <c r="BN488" s="44">
        <f t="shared" si="498"/>
        <v>0.37697008672704002</v>
      </c>
      <c r="BO488" s="49">
        <f t="shared" si="464"/>
        <v>19934.6146390709</v>
      </c>
      <c r="BP488" s="49">
        <f t="shared" si="465"/>
        <v>173734.6146390709</v>
      </c>
      <c r="BQ488" s="44">
        <f t="shared" si="466"/>
        <v>0.39163722496486653</v>
      </c>
      <c r="BS488" s="49">
        <f t="shared" si="467"/>
        <v>124841.88517122847</v>
      </c>
      <c r="BT488" s="49">
        <f t="shared" si="514"/>
        <v>97.300003000000004</v>
      </c>
      <c r="BU488" s="49">
        <f t="shared" si="515"/>
        <v>30.68</v>
      </c>
      <c r="BV488" s="49">
        <f t="shared" si="468"/>
        <v>-1540.9485930790051</v>
      </c>
      <c r="BW488" s="18">
        <f t="shared" si="469"/>
        <v>3123</v>
      </c>
      <c r="BX488" s="19">
        <f t="shared" si="499"/>
        <v>0.28371559633027521</v>
      </c>
      <c r="BY488" s="49">
        <f t="shared" si="500"/>
        <v>-437.19114899970856</v>
      </c>
      <c r="BZ488" s="19">
        <f t="shared" si="470"/>
        <v>0</v>
      </c>
      <c r="CA488" s="19">
        <f t="shared" si="471"/>
        <v>0</v>
      </c>
      <c r="CB488" s="19">
        <f t="shared" si="472"/>
        <v>0</v>
      </c>
      <c r="CC488" s="19">
        <f t="shared" si="473"/>
        <v>0</v>
      </c>
      <c r="CD488" s="19">
        <f t="shared" si="474"/>
        <v>2.7607766627752293</v>
      </c>
      <c r="CE488" s="19">
        <f t="shared" si="475"/>
        <v>0</v>
      </c>
      <c r="CF488" s="49">
        <f t="shared" si="476"/>
        <v>0</v>
      </c>
      <c r="CG488" s="49">
        <f t="shared" si="477"/>
        <v>0</v>
      </c>
      <c r="CH488" s="49">
        <f t="shared" si="478"/>
        <v>0</v>
      </c>
      <c r="CI488" s="49">
        <f t="shared" si="479"/>
        <v>0</v>
      </c>
      <c r="CJ488" s="49">
        <f t="shared" si="480"/>
        <v>-93.176212368663982</v>
      </c>
      <c r="CK488" s="49">
        <f t="shared" si="481"/>
        <v>0</v>
      </c>
    </row>
    <row r="489" spans="2:89" ht="12.75" customHeight="1" x14ac:dyDescent="0.2">
      <c r="B489" s="77">
        <v>42422</v>
      </c>
      <c r="C489" s="79">
        <v>99.110000999999997</v>
      </c>
      <c r="D489" s="79">
        <v>78.400002000000001</v>
      </c>
      <c r="E489" s="79">
        <v>81.709998999999996</v>
      </c>
      <c r="F489" s="79">
        <v>93.989998</v>
      </c>
      <c r="G489" s="79">
        <v>33.770000000000003</v>
      </c>
      <c r="H489" s="79">
        <v>30.540001</v>
      </c>
      <c r="I489" s="79"/>
      <c r="J489" s="78">
        <f>IF(inter=Weekly_2,J488+$C$5,IF(inter=Bi_weekly_2,0,IF(inter=Monthly_2,0,IF(inter=Quarterly_2,0,IF(inter=Yearly_2,0,IF(inter=None_2,0,0))))))</f>
        <v>0</v>
      </c>
      <c r="K489" s="79">
        <f t="shared" si="482"/>
        <v>0</v>
      </c>
      <c r="L489" s="79">
        <f t="shared" si="483"/>
        <v>0</v>
      </c>
      <c r="M489" s="79">
        <f t="shared" si="484"/>
        <v>0</v>
      </c>
      <c r="N489" s="79">
        <f t="shared" si="485"/>
        <v>0</v>
      </c>
      <c r="O489" s="79">
        <f t="shared" si="486"/>
        <v>0</v>
      </c>
      <c r="P489" s="79">
        <f t="shared" si="487"/>
        <v>0</v>
      </c>
      <c r="Q489" s="79"/>
      <c r="R489" s="80">
        <f t="shared" si="445"/>
        <v>0</v>
      </c>
      <c r="S489" s="80">
        <f t="shared" si="446"/>
        <v>0</v>
      </c>
      <c r="T489" s="80">
        <f t="shared" si="447"/>
        <v>0</v>
      </c>
      <c r="U489" s="80">
        <f t="shared" si="448"/>
        <v>0</v>
      </c>
      <c r="V489" s="80">
        <f t="shared" si="449"/>
        <v>0</v>
      </c>
      <c r="W489" s="80">
        <f t="shared" si="450"/>
        <v>0</v>
      </c>
      <c r="X489" s="80">
        <f t="shared" si="501"/>
        <v>553.23739301426326</v>
      </c>
      <c r="Y489" s="80">
        <f t="shared" si="502"/>
        <v>198.83646280120138</v>
      </c>
      <c r="Z489" s="80">
        <f t="shared" si="503"/>
        <v>154.34018873130722</v>
      </c>
      <c r="AA489" s="80">
        <f t="shared" si="504"/>
        <v>117.66120218579236</v>
      </c>
      <c r="AB489" s="80">
        <f t="shared" si="505"/>
        <v>1139.2592592592594</v>
      </c>
      <c r="AC489" s="80">
        <f t="shared" si="506"/>
        <v>751.95567144719689</v>
      </c>
      <c r="AD489" s="80"/>
      <c r="AE489" s="80"/>
      <c r="AF489" s="80"/>
      <c r="AG489" s="80"/>
      <c r="AH489" s="80"/>
      <c r="AI489" s="80"/>
      <c r="AJ489" s="45">
        <f t="shared" si="451"/>
        <v>0</v>
      </c>
      <c r="AK489" s="45">
        <f t="shared" si="452"/>
        <v>0</v>
      </c>
      <c r="AL489" s="45">
        <f t="shared" si="453"/>
        <v>0</v>
      </c>
      <c r="AM489" s="45">
        <f t="shared" si="454"/>
        <v>0</v>
      </c>
      <c r="AN489" s="45">
        <f t="shared" si="455"/>
        <v>0</v>
      </c>
      <c r="AO489" s="45">
        <f t="shared" si="456"/>
        <v>0</v>
      </c>
      <c r="AP489" s="80">
        <f t="shared" si="457"/>
        <v>0</v>
      </c>
      <c r="AQ489" s="80">
        <f t="shared" si="458"/>
        <v>0</v>
      </c>
      <c r="AR489" s="80">
        <f t="shared" si="459"/>
        <v>0</v>
      </c>
      <c r="AS489" s="80">
        <f t="shared" si="460"/>
        <v>0</v>
      </c>
      <c r="AT489" s="80">
        <f t="shared" si="461"/>
        <v>0</v>
      </c>
      <c r="AU489" s="80">
        <f t="shared" si="462"/>
        <v>0</v>
      </c>
      <c r="AV489" s="80">
        <f t="shared" si="507"/>
        <v>67.378712401376475</v>
      </c>
      <c r="AW489" s="80">
        <f t="shared" si="508"/>
        <v>32.117784404754332</v>
      </c>
      <c r="AX489" s="80">
        <f t="shared" si="509"/>
        <v>20.159205092758537</v>
      </c>
      <c r="AY489" s="80">
        <f t="shared" si="510"/>
        <v>15.731361697077391</v>
      </c>
      <c r="AZ489" s="80">
        <f t="shared" si="511"/>
        <v>160.84399188591553</v>
      </c>
      <c r="BA489" s="80">
        <f t="shared" si="512"/>
        <v>78.857854929025606</v>
      </c>
      <c r="BB489" s="80">
        <f t="shared" si="488"/>
        <v>620.61610541563971</v>
      </c>
      <c r="BC489" s="80">
        <f t="shared" si="489"/>
        <v>230.95424720595571</v>
      </c>
      <c r="BD489" s="80">
        <f t="shared" si="490"/>
        <v>174.49939382406575</v>
      </c>
      <c r="BE489" s="80">
        <f t="shared" si="491"/>
        <v>133.39256388286975</v>
      </c>
      <c r="BF489" s="80">
        <f t="shared" si="492"/>
        <v>1300.1032511451749</v>
      </c>
      <c r="BG489" s="80">
        <f t="shared" si="493"/>
        <v>830.81352637622251</v>
      </c>
      <c r="BH489" s="49">
        <f t="shared" si="494"/>
        <v>0</v>
      </c>
      <c r="BI489" s="79">
        <f t="shared" si="495"/>
        <v>-124841.88517122847</v>
      </c>
      <c r="BJ489" s="79">
        <f t="shared" si="463"/>
        <v>155527.76262432153</v>
      </c>
      <c r="BK489" s="44">
        <f t="shared" si="496"/>
        <v>0.24579793401073258</v>
      </c>
      <c r="BL489" s="79">
        <f t="shared" si="513"/>
        <v>18103.541451393612</v>
      </c>
      <c r="BM489" s="49">
        <f t="shared" si="497"/>
        <v>173631.30407571513</v>
      </c>
      <c r="BN489" s="44">
        <f t="shared" si="498"/>
        <v>0.39080969369830432</v>
      </c>
      <c r="BO489" s="49">
        <f t="shared" si="464"/>
        <v>20161.758471840782</v>
      </c>
      <c r="BP489" s="49">
        <f t="shared" si="465"/>
        <v>175689.52109616232</v>
      </c>
      <c r="BQ489" s="44">
        <f t="shared" si="466"/>
        <v>0.40729628405717477</v>
      </c>
      <c r="BS489" s="49">
        <f t="shared" si="467"/>
        <v>124841.88517122847</v>
      </c>
      <c r="BT489" s="49">
        <f t="shared" si="514"/>
        <v>99.110000999999997</v>
      </c>
      <c r="BU489" s="49">
        <f t="shared" si="515"/>
        <v>30.540001</v>
      </c>
      <c r="BV489" s="49">
        <f t="shared" si="468"/>
        <v>0</v>
      </c>
      <c r="BW489" s="18">
        <f t="shared" si="469"/>
        <v>3129</v>
      </c>
      <c r="BX489" s="19">
        <f t="shared" si="499"/>
        <v>0.28233944954128443</v>
      </c>
      <c r="BY489" s="49">
        <f t="shared" si="500"/>
        <v>0</v>
      </c>
      <c r="BZ489" s="19">
        <f t="shared" si="470"/>
        <v>0</v>
      </c>
      <c r="CA489" s="19">
        <f t="shared" si="471"/>
        <v>0</v>
      </c>
      <c r="CB489" s="19">
        <f t="shared" si="472"/>
        <v>0</v>
      </c>
      <c r="CC489" s="19">
        <f t="shared" si="473"/>
        <v>0</v>
      </c>
      <c r="CD489" s="19">
        <f t="shared" si="474"/>
        <v>0</v>
      </c>
      <c r="CE489" s="19">
        <f t="shared" si="475"/>
        <v>0</v>
      </c>
      <c r="CF489" s="49">
        <f t="shared" si="476"/>
        <v>0</v>
      </c>
      <c r="CG489" s="49">
        <f t="shared" si="477"/>
        <v>0</v>
      </c>
      <c r="CH489" s="49">
        <f t="shared" si="478"/>
        <v>0</v>
      </c>
      <c r="CI489" s="49">
        <f t="shared" si="479"/>
        <v>0</v>
      </c>
      <c r="CJ489" s="49">
        <f t="shared" si="480"/>
        <v>0</v>
      </c>
      <c r="CK489" s="49">
        <f t="shared" si="481"/>
        <v>0</v>
      </c>
    </row>
    <row r="490" spans="2:89" ht="12.75" customHeight="1" x14ac:dyDescent="0.2">
      <c r="B490" s="77">
        <v>42429</v>
      </c>
      <c r="C490" s="79">
        <v>102.07</v>
      </c>
      <c r="D490" s="79">
        <v>80.809997999999993</v>
      </c>
      <c r="E490" s="79">
        <v>84.730002999999996</v>
      </c>
      <c r="F490" s="79">
        <v>98.779999000000004</v>
      </c>
      <c r="G490" s="79">
        <v>35.369999</v>
      </c>
      <c r="H490" s="79">
        <v>33.409999999999997</v>
      </c>
      <c r="I490" s="79"/>
      <c r="J490" s="78">
        <f>IF(inter=Weekly_2,J489+$C$5,IF(inter=Bi_weekly_2,J488+$C$5,IF(inter=Monthly_2,J486+$C$5,IF(inter=Quarterly_2,0,IF(inter=Yearly_2,0,IF(inter=None_2,0,0))))))</f>
        <v>154400</v>
      </c>
      <c r="K490" s="79">
        <f t="shared" si="482"/>
        <v>2428.9407049658475</v>
      </c>
      <c r="L490" s="79">
        <f t="shared" si="483"/>
        <v>627.97416129215708</v>
      </c>
      <c r="M490" s="79">
        <f t="shared" si="484"/>
        <v>725.24465422422691</v>
      </c>
      <c r="N490" s="79">
        <f t="shared" si="485"/>
        <v>814.57343425136605</v>
      </c>
      <c r="O490" s="79">
        <f t="shared" si="486"/>
        <v>1695.5988607407417</v>
      </c>
      <c r="P490" s="79">
        <f t="shared" si="487"/>
        <v>1962.8389830508459</v>
      </c>
      <c r="Q490" s="79"/>
      <c r="R490" s="80">
        <f t="shared" ref="R490:R553" si="516">-((K490)/C490)</f>
        <v>-23.796813020141546</v>
      </c>
      <c r="S490" s="80">
        <f t="shared" ref="S490:S553" si="517">-((L490)/D490)</f>
        <v>-7.7709958771705097</v>
      </c>
      <c r="T490" s="80">
        <f t="shared" ref="T490:T553" si="518">-(M490)/E490</f>
        <v>-8.5594786798747897</v>
      </c>
      <c r="U490" s="80">
        <f t="shared" ref="U490:U553" si="519">-(N490)/F490</f>
        <v>-8.2463397701731704</v>
      </c>
      <c r="V490" s="80">
        <f t="shared" ref="V490:V553" si="520">-(O490)/G490</f>
        <v>-47.938900443303424</v>
      </c>
      <c r="W490" s="80">
        <f t="shared" ref="W490:W553" si="521">-(P490)/H490</f>
        <v>-58.750044389429696</v>
      </c>
      <c r="X490" s="80">
        <f t="shared" si="501"/>
        <v>529.44057999412166</v>
      </c>
      <c r="Y490" s="80">
        <f t="shared" si="502"/>
        <v>191.06546692403086</v>
      </c>
      <c r="Z490" s="80">
        <f t="shared" si="503"/>
        <v>145.78071005143244</v>
      </c>
      <c r="AA490" s="80">
        <f t="shared" si="504"/>
        <v>109.4148624156192</v>
      </c>
      <c r="AB490" s="80">
        <f t="shared" si="505"/>
        <v>1091.3203588159558</v>
      </c>
      <c r="AC490" s="80">
        <f t="shared" si="506"/>
        <v>693.20562705776717</v>
      </c>
      <c r="AD490" s="80"/>
      <c r="AE490" s="80"/>
      <c r="AF490" s="80"/>
      <c r="AG490" s="80"/>
      <c r="AH490" s="80"/>
      <c r="AI490" s="80"/>
      <c r="AJ490" s="45">
        <f t="shared" ref="AJ490:AJ532" si="522">(X490*AD490)</f>
        <v>0</v>
      </c>
      <c r="AK490" s="45">
        <f t="shared" ref="AK490:AK532" si="523">(Y490*AE490)</f>
        <v>0</v>
      </c>
      <c r="AL490" s="45">
        <f t="shared" ref="AL490:AL532" si="524">(Z490*AF490)</f>
        <v>0</v>
      </c>
      <c r="AM490" s="45">
        <f t="shared" ref="AM490:AM532" si="525">(AA490*AG490)</f>
        <v>0</v>
      </c>
      <c r="AN490" s="45">
        <f t="shared" ref="AN490:AN532" si="526">(AB490*AH490)</f>
        <v>0</v>
      </c>
      <c r="AO490" s="45">
        <f t="shared" ref="AO490:AO532" si="527">(AC490*AI490)</f>
        <v>0</v>
      </c>
      <c r="AP490" s="80">
        <f t="shared" ref="AP490:AP553" si="528">IF(AJ490&gt;0,AJ490/C490,0)</f>
        <v>0</v>
      </c>
      <c r="AQ490" s="80">
        <f t="shared" ref="AQ490:AQ553" si="529">IF(AK490&gt;0,AK490/D490,0)</f>
        <v>0</v>
      </c>
      <c r="AR490" s="80">
        <f t="shared" ref="AR490:AR553" si="530">IF(AL490&gt;0,AL490/E490,0)</f>
        <v>0</v>
      </c>
      <c r="AS490" s="80">
        <f t="shared" ref="AS490:AS553" si="531">IF(AM490&gt;0,AM490/F490,0)</f>
        <v>0</v>
      </c>
      <c r="AT490" s="80">
        <f t="shared" ref="AT490:AT553" si="532">IF(AN490&gt;0,AN490/G490,0)</f>
        <v>0</v>
      </c>
      <c r="AU490" s="80">
        <f t="shared" ref="AU490:AU553" si="533">IF(AO490&gt;0,AO490/H490,0)</f>
        <v>0</v>
      </c>
      <c r="AV490" s="80">
        <f t="shared" si="507"/>
        <v>67.378712401376475</v>
      </c>
      <c r="AW490" s="80">
        <f t="shared" si="508"/>
        <v>32.117784404754332</v>
      </c>
      <c r="AX490" s="80">
        <f t="shared" si="509"/>
        <v>20.159205092758537</v>
      </c>
      <c r="AY490" s="80">
        <f t="shared" si="510"/>
        <v>15.731361697077391</v>
      </c>
      <c r="AZ490" s="80">
        <f t="shared" si="511"/>
        <v>160.84399188591553</v>
      </c>
      <c r="BA490" s="80">
        <f t="shared" si="512"/>
        <v>78.857854929025606</v>
      </c>
      <c r="BB490" s="80">
        <f t="shared" si="488"/>
        <v>596.81929239549811</v>
      </c>
      <c r="BC490" s="80">
        <f t="shared" si="489"/>
        <v>223.18325132878519</v>
      </c>
      <c r="BD490" s="80">
        <f t="shared" si="490"/>
        <v>165.93991514419096</v>
      </c>
      <c r="BE490" s="80">
        <f t="shared" si="491"/>
        <v>125.14622411269659</v>
      </c>
      <c r="BF490" s="80">
        <f t="shared" si="492"/>
        <v>1252.1643507018714</v>
      </c>
      <c r="BG490" s="80">
        <f t="shared" si="493"/>
        <v>772.06348198679279</v>
      </c>
      <c r="BH490" s="49">
        <f t="shared" si="494"/>
        <v>0</v>
      </c>
      <c r="BI490" s="79">
        <f t="shared" si="495"/>
        <v>-116586.71437270328</v>
      </c>
      <c r="BJ490" s="79">
        <f t="shared" ref="BJ490:BJ553" si="534">(X490*C490)+(Y490*D490)+(Z490*E490)+(AA490*F490)+(AB490*G490)+(AC490*H490)</f>
        <v>154400</v>
      </c>
      <c r="BK490" s="44">
        <f t="shared" si="496"/>
        <v>0.32433614611022987</v>
      </c>
      <c r="BL490" s="79">
        <f t="shared" si="513"/>
        <v>18103.541451393612</v>
      </c>
      <c r="BM490" s="49">
        <f t="shared" si="497"/>
        <v>172503.54145139363</v>
      </c>
      <c r="BN490" s="44">
        <f t="shared" si="498"/>
        <v>0.47961577251363274</v>
      </c>
      <c r="BO490" s="49">
        <f t="shared" ref="BO490:BO553" si="535">(C490*AV490)+(D490*AW490)+(E490*AX490)+(F490*AY490)+(G490*AZ490)+(H490*BA490)</f>
        <v>21058.509434353698</v>
      </c>
      <c r="BP490" s="49">
        <f t="shared" ref="BP490:BP553" si="536">(C490*BB490)+(D490*BC490)+(E490*BD490)+(F490*BE490)+(G490*BF490)+(H490*BG490)</f>
        <v>175458.50943435371</v>
      </c>
      <c r="BQ490" s="44">
        <f t="shared" ref="BQ490:BQ533" si="537">(BP490/ABS(BI490))-1</f>
        <v>0.50496143903197788</v>
      </c>
      <c r="BS490" s="49">
        <f t="shared" ref="BS490:BS533" si="538">ABS(BI490)</f>
        <v>116586.71437270328</v>
      </c>
      <c r="BT490" s="49">
        <f t="shared" si="514"/>
        <v>102.07</v>
      </c>
      <c r="BU490" s="49">
        <f t="shared" si="515"/>
        <v>33.409999999999997</v>
      </c>
      <c r="BV490" s="49">
        <f t="shared" ref="BV490:BV533" si="539">-(K490+L490+M490+N490+O490+P490+BH490)</f>
        <v>-8255.1707985251851</v>
      </c>
      <c r="BW490" s="18">
        <f t="shared" ref="BW490:BW553" si="540">DATEDIF($B$42,B490,"d")</f>
        <v>3136</v>
      </c>
      <c r="BX490" s="19">
        <f t="shared" si="499"/>
        <v>0.28073394495412846</v>
      </c>
      <c r="BY490" s="49">
        <f t="shared" si="500"/>
        <v>-2317.506664540098</v>
      </c>
      <c r="BZ490" s="19">
        <f t="shared" si="470"/>
        <v>0</v>
      </c>
      <c r="CA490" s="19">
        <f t="shared" si="471"/>
        <v>0</v>
      </c>
      <c r="CB490" s="19">
        <f t="shared" si="472"/>
        <v>0</v>
      </c>
      <c r="CC490" s="19">
        <f t="shared" si="473"/>
        <v>0</v>
      </c>
      <c r="CD490" s="19">
        <f t="shared" si="474"/>
        <v>0</v>
      </c>
      <c r="CE490" s="19">
        <f t="shared" si="475"/>
        <v>0</v>
      </c>
      <c r="CF490" s="49">
        <f t="shared" si="476"/>
        <v>0</v>
      </c>
      <c r="CG490" s="49">
        <f t="shared" si="477"/>
        <v>0</v>
      </c>
      <c r="CH490" s="49">
        <f t="shared" si="478"/>
        <v>0</v>
      </c>
      <c r="CI490" s="49">
        <f t="shared" si="479"/>
        <v>0</v>
      </c>
      <c r="CJ490" s="49">
        <f t="shared" si="480"/>
        <v>0</v>
      </c>
      <c r="CK490" s="49">
        <f t="shared" si="481"/>
        <v>0</v>
      </c>
    </row>
    <row r="491" spans="2:89" ht="12.75" customHeight="1" x14ac:dyDescent="0.2">
      <c r="B491" s="77">
        <v>42436</v>
      </c>
      <c r="C491" s="79">
        <v>103.19000200000001</v>
      </c>
      <c r="D491" s="79">
        <v>81.889999000000003</v>
      </c>
      <c r="E491" s="79">
        <v>86.010002</v>
      </c>
      <c r="F491" s="79">
        <v>99.629997000000003</v>
      </c>
      <c r="G491" s="79">
        <v>35.979999999999997</v>
      </c>
      <c r="H491" s="79">
        <v>33.610000999999997</v>
      </c>
      <c r="I491" s="79"/>
      <c r="J491" s="78">
        <f>IF(inter=Weekly_2,J490+$C$5,IF(inter=Bi_weekly_2,0,IF(inter=Monthly_2,0,IF(inter=Quarterly_2,0,IF(inter=Yearly_2,0,IF(inter=None_2,0,0))))))</f>
        <v>0</v>
      </c>
      <c r="K491" s="79">
        <f t="shared" ref="K491:K554" si="541">IF(J491=0,0,-((J491*$C$36)-(X490*C491)))</f>
        <v>0</v>
      </c>
      <c r="L491" s="79">
        <f t="shared" ref="L491:L554" si="542">IF(J491=0,0,-((J491*$D$36)-(Y490*D491)))</f>
        <v>0</v>
      </c>
      <c r="M491" s="79">
        <f t="shared" ref="M491:M554" si="543">IF(J491=0,0,-((J491*$E$36)-(Z490*E491)))</f>
        <v>0</v>
      </c>
      <c r="N491" s="79">
        <f t="shared" ref="N491:N554" si="544">IF(J491=0,0,-((J491*$F$36)-(AA490*F491)))</f>
        <v>0</v>
      </c>
      <c r="O491" s="79">
        <f t="shared" ref="O491:O554" si="545">IF(J491=0,0,-((J491*$G$36)-(AB490*G491)))</f>
        <v>0</v>
      </c>
      <c r="P491" s="79">
        <f t="shared" ref="P491:P554" si="546">IF(J491=0,0,-((J491*$H$36)-(AC490*H491)))</f>
        <v>0</v>
      </c>
      <c r="Q491" s="79"/>
      <c r="R491" s="80">
        <f t="shared" si="516"/>
        <v>0</v>
      </c>
      <c r="S491" s="80">
        <f t="shared" si="517"/>
        <v>0</v>
      </c>
      <c r="T491" s="80">
        <f t="shared" si="518"/>
        <v>0</v>
      </c>
      <c r="U491" s="80">
        <f t="shared" si="519"/>
        <v>0</v>
      </c>
      <c r="V491" s="80">
        <f t="shared" si="520"/>
        <v>0</v>
      </c>
      <c r="W491" s="80">
        <f t="shared" si="521"/>
        <v>0</v>
      </c>
      <c r="X491" s="80">
        <f t="shared" si="501"/>
        <v>529.44057999412166</v>
      </c>
      <c r="Y491" s="80">
        <f t="shared" si="502"/>
        <v>191.06546692403086</v>
      </c>
      <c r="Z491" s="80">
        <f t="shared" si="503"/>
        <v>145.78071005143244</v>
      </c>
      <c r="AA491" s="80">
        <f t="shared" si="504"/>
        <v>109.4148624156192</v>
      </c>
      <c r="AB491" s="80">
        <f t="shared" si="505"/>
        <v>1091.3203588159558</v>
      </c>
      <c r="AC491" s="80">
        <f t="shared" si="506"/>
        <v>693.20562705776717</v>
      </c>
      <c r="AD491" s="80"/>
      <c r="AE491" s="80"/>
      <c r="AF491" s="80"/>
      <c r="AG491" s="80"/>
      <c r="AH491" s="80"/>
      <c r="AI491" s="80"/>
      <c r="AJ491" s="45">
        <f t="shared" si="522"/>
        <v>0</v>
      </c>
      <c r="AK491" s="45">
        <f t="shared" si="523"/>
        <v>0</v>
      </c>
      <c r="AL491" s="45">
        <f t="shared" si="524"/>
        <v>0</v>
      </c>
      <c r="AM491" s="45">
        <f t="shared" si="525"/>
        <v>0</v>
      </c>
      <c r="AN491" s="45">
        <f t="shared" si="526"/>
        <v>0</v>
      </c>
      <c r="AO491" s="45">
        <f t="shared" si="527"/>
        <v>0</v>
      </c>
      <c r="AP491" s="80">
        <f t="shared" si="528"/>
        <v>0</v>
      </c>
      <c r="AQ491" s="80">
        <f t="shared" si="529"/>
        <v>0</v>
      </c>
      <c r="AR491" s="80">
        <f t="shared" si="530"/>
        <v>0</v>
      </c>
      <c r="AS491" s="80">
        <f t="shared" si="531"/>
        <v>0</v>
      </c>
      <c r="AT491" s="80">
        <f t="shared" si="532"/>
        <v>0</v>
      </c>
      <c r="AU491" s="80">
        <f t="shared" si="533"/>
        <v>0</v>
      </c>
      <c r="AV491" s="80">
        <f t="shared" si="507"/>
        <v>67.378712401376475</v>
      </c>
      <c r="AW491" s="80">
        <f t="shared" si="508"/>
        <v>32.117784404754332</v>
      </c>
      <c r="AX491" s="80">
        <f t="shared" si="509"/>
        <v>20.159205092758537</v>
      </c>
      <c r="AY491" s="80">
        <f t="shared" si="510"/>
        <v>15.731361697077391</v>
      </c>
      <c r="AZ491" s="80">
        <f t="shared" si="511"/>
        <v>160.84399188591553</v>
      </c>
      <c r="BA491" s="80">
        <f t="shared" si="512"/>
        <v>78.857854929025606</v>
      </c>
      <c r="BB491" s="80">
        <f t="shared" ref="BB491:BB532" si="547">X491+AV491</f>
        <v>596.81929239549811</v>
      </c>
      <c r="BC491" s="80">
        <f t="shared" ref="BC491:BC532" si="548">Y491+AW491</f>
        <v>223.18325132878519</v>
      </c>
      <c r="BD491" s="80">
        <f t="shared" ref="BD491:BD532" si="549">Z491+AX491</f>
        <v>165.93991514419096</v>
      </c>
      <c r="BE491" s="80">
        <f t="shared" ref="BE491:BE532" si="550">AA491+AY491</f>
        <v>125.14622411269659</v>
      </c>
      <c r="BF491" s="80">
        <f t="shared" ref="BF491:BF532" si="551">AB491+AZ491</f>
        <v>1252.1643507018714</v>
      </c>
      <c r="BG491" s="80">
        <f t="shared" ref="BG491:BG532" si="552">AC491+BA491</f>
        <v>772.06348198679279</v>
      </c>
      <c r="BH491" s="49">
        <f t="shared" ref="BH491:BH532" si="553">(AJ491+AK491+AL491+AM491+AN491+AO491)</f>
        <v>0</v>
      </c>
      <c r="BI491" s="79">
        <f t="shared" ref="BI491:BI532" si="554">BI490+K491+L491+M491+N491+O491+P491</f>
        <v>-116586.71437270328</v>
      </c>
      <c r="BJ491" s="79">
        <f t="shared" si="534"/>
        <v>156283.27530994194</v>
      </c>
      <c r="BK491" s="44">
        <f t="shared" ref="BK491:BK532" si="555">BJ491/ABS(BI491)-1</f>
        <v>0.34048957594205009</v>
      </c>
      <c r="BL491" s="79">
        <f t="shared" si="513"/>
        <v>18103.541451393612</v>
      </c>
      <c r="BM491" s="49">
        <f t="shared" ref="BM491:BM532" si="556">BJ491+BL491</f>
        <v>174386.81676133553</v>
      </c>
      <c r="BN491" s="44">
        <f t="shared" ref="BN491:BN532" si="557">BM491/ABS(BI491)-1</f>
        <v>0.49576920234545296</v>
      </c>
      <c r="BO491" s="49">
        <f t="shared" si="535"/>
        <v>21321.723000352966</v>
      </c>
      <c r="BP491" s="49">
        <f t="shared" si="536"/>
        <v>177604.9983102949</v>
      </c>
      <c r="BQ491" s="44">
        <f t="shared" si="537"/>
        <v>0.52337253233270609</v>
      </c>
      <c r="BS491" s="49">
        <f t="shared" si="538"/>
        <v>116586.71437270328</v>
      </c>
      <c r="BT491" s="49">
        <f t="shared" si="514"/>
        <v>103.19000200000001</v>
      </c>
      <c r="BU491" s="49">
        <f t="shared" si="515"/>
        <v>33.610000999999997</v>
      </c>
      <c r="BV491" s="49">
        <f t="shared" si="539"/>
        <v>0</v>
      </c>
      <c r="BW491" s="18">
        <f t="shared" si="540"/>
        <v>3143</v>
      </c>
      <c r="BX491" s="19">
        <f t="shared" ref="BX491:BX533" si="558">($BW$40-BW491)/$BW$40</f>
        <v>0.27912844036697249</v>
      </c>
      <c r="BY491" s="49">
        <f t="shared" ref="BY491:BY533" si="559">BX491*BV491</f>
        <v>0</v>
      </c>
      <c r="BZ491" s="19">
        <f t="shared" ref="BZ491:BZ533" si="560">IF(R491&gt;0,R491,0)</f>
        <v>0</v>
      </c>
      <c r="CA491" s="19">
        <f t="shared" ref="CA491:CA533" si="561">IF(S491&gt;0,S491,0)</f>
        <v>0</v>
      </c>
      <c r="CB491" s="19">
        <f t="shared" ref="CB491:CB533" si="562">IF(T491&gt;0,T491,0)</f>
        <v>0</v>
      </c>
      <c r="CC491" s="19">
        <f t="shared" ref="CC491:CC533" si="563">IF(U491&gt;0,U491,0)</f>
        <v>0</v>
      </c>
      <c r="CD491" s="19">
        <f t="shared" ref="CD491:CD533" si="564">IF(V491&gt;0,V491,0)</f>
        <v>0</v>
      </c>
      <c r="CE491" s="19">
        <f t="shared" ref="CE491:CE533" si="565">IF(W491&gt;0,W491,0)</f>
        <v>0</v>
      </c>
      <c r="CF491" s="49">
        <f t="shared" ref="CF491:CF533" si="566">IF(K491&lt;0,K491,0)</f>
        <v>0</v>
      </c>
      <c r="CG491" s="49">
        <f t="shared" ref="CG491:CG505" si="567">IF(L491&lt;0,L491,0)</f>
        <v>0</v>
      </c>
      <c r="CH491" s="49">
        <f t="shared" ref="CH491:CH505" si="568">IF(M491&lt;0,M491,0)</f>
        <v>0</v>
      </c>
      <c r="CI491" s="49">
        <f t="shared" ref="CI491:CI505" si="569">IF(N491&lt;0,N491,0)</f>
        <v>0</v>
      </c>
      <c r="CJ491" s="49">
        <f t="shared" ref="CJ491:CJ505" si="570">IF(O491&lt;0,O491,0)</f>
        <v>0</v>
      </c>
      <c r="CK491" s="49">
        <f t="shared" ref="CK491:CK505" si="571">IF(P491&lt;0,P491,0)</f>
        <v>0</v>
      </c>
    </row>
    <row r="492" spans="2:89" ht="12.75" customHeight="1" x14ac:dyDescent="0.2">
      <c r="B492" s="77">
        <v>42443</v>
      </c>
      <c r="C492" s="79">
        <v>104.129997</v>
      </c>
      <c r="D492" s="79">
        <v>82.889999000000003</v>
      </c>
      <c r="E492" s="79">
        <v>86.82</v>
      </c>
      <c r="F492" s="79">
        <v>101.120003</v>
      </c>
      <c r="G492" s="79">
        <v>36.020000000000003</v>
      </c>
      <c r="H492" s="79">
        <v>34.400002000000001</v>
      </c>
      <c r="I492" s="79"/>
      <c r="J492" s="78">
        <f>IF(inter=Weekly_2,J491+$C$5,IF(inter=Bi_weekly_2,J490+$C$5,IF(inter=Monthly_2,0,IF(inter=Quarterly_2,0,IF(inter=Yearly_2,0,IF(inter=None_2,0,0))))))</f>
        <v>155000</v>
      </c>
      <c r="K492" s="79">
        <f t="shared" si="541"/>
        <v>880.64600646615145</v>
      </c>
      <c r="L492" s="79">
        <f t="shared" si="542"/>
        <v>337.4163622674514</v>
      </c>
      <c r="M492" s="79">
        <f t="shared" si="543"/>
        <v>256.68124666536278</v>
      </c>
      <c r="N492" s="79">
        <f t="shared" si="544"/>
        <v>214.03121571199881</v>
      </c>
      <c r="O492" s="79">
        <f t="shared" si="545"/>
        <v>559.35932455073635</v>
      </c>
      <c r="P492" s="79">
        <f t="shared" si="546"/>
        <v>596.27495719844592</v>
      </c>
      <c r="Q492" s="79"/>
      <c r="R492" s="80">
        <f t="shared" si="516"/>
        <v>-8.4571788325908752</v>
      </c>
      <c r="S492" s="80">
        <f t="shared" si="517"/>
        <v>-4.0706522661129645</v>
      </c>
      <c r="T492" s="80">
        <f t="shared" si="518"/>
        <v>-2.9564760039779174</v>
      </c>
      <c r="U492" s="80">
        <f t="shared" si="519"/>
        <v>-2.1166061052430827</v>
      </c>
      <c r="V492" s="80">
        <f t="shared" si="520"/>
        <v>-15.529131719898286</v>
      </c>
      <c r="W492" s="80">
        <f t="shared" si="521"/>
        <v>-17.333573329398234</v>
      </c>
      <c r="X492" s="80">
        <f t="shared" ref="X492:X533" si="572">X491+R492</f>
        <v>520.98340116153076</v>
      </c>
      <c r="Y492" s="80">
        <f t="shared" ref="Y492:Y533" si="573">Y491+S492</f>
        <v>186.99481465791789</v>
      </c>
      <c r="Z492" s="80">
        <f t="shared" ref="Z492:Z533" si="574">Z491+T492</f>
        <v>142.82423404745452</v>
      </c>
      <c r="AA492" s="80">
        <f t="shared" ref="AA492:AA533" si="575">AA491+U492</f>
        <v>107.29825631037612</v>
      </c>
      <c r="AB492" s="80">
        <f t="shared" ref="AB492:AB533" si="576">AB491+V492</f>
        <v>1075.7912270960576</v>
      </c>
      <c r="AC492" s="80">
        <f t="shared" ref="AC492:AC533" si="577">AC491+W492</f>
        <v>675.87205372836888</v>
      </c>
      <c r="AD492" s="80">
        <v>0.48</v>
      </c>
      <c r="AE492" s="80">
        <v>0.53600000000000003</v>
      </c>
      <c r="AF492" s="80">
        <v>0.308</v>
      </c>
      <c r="AG492" s="80">
        <v>0.36699999999999999</v>
      </c>
      <c r="AH492" s="80">
        <v>0.157</v>
      </c>
      <c r="AI492" s="80">
        <v>5.7000000000000002E-2</v>
      </c>
      <c r="AJ492" s="45">
        <f t="shared" si="522"/>
        <v>250.07203255753475</v>
      </c>
      <c r="AK492" s="45">
        <f t="shared" si="523"/>
        <v>100.22922065664399</v>
      </c>
      <c r="AL492" s="45">
        <f t="shared" si="524"/>
        <v>43.989864086615995</v>
      </c>
      <c r="AM492" s="45">
        <f t="shared" si="525"/>
        <v>39.378460065908037</v>
      </c>
      <c r="AN492" s="45">
        <f t="shared" si="526"/>
        <v>168.89922265408103</v>
      </c>
      <c r="AO492" s="45">
        <f t="shared" si="527"/>
        <v>38.524707062517031</v>
      </c>
      <c r="AP492" s="80">
        <f t="shared" si="528"/>
        <v>2.401536922713392</v>
      </c>
      <c r="AQ492" s="80">
        <f t="shared" si="529"/>
        <v>1.2091835187094644</v>
      </c>
      <c r="AR492" s="80">
        <f t="shared" si="530"/>
        <v>0.5066789229050449</v>
      </c>
      <c r="AS492" s="80">
        <f t="shared" si="531"/>
        <v>0.38942305080734657</v>
      </c>
      <c r="AT492" s="80">
        <f t="shared" si="532"/>
        <v>4.6890400514736541</v>
      </c>
      <c r="AU492" s="80">
        <f t="shared" si="533"/>
        <v>1.1199042099624597</v>
      </c>
      <c r="AV492" s="80">
        <f t="shared" ref="AV492:AV532" si="578">AP492+AV491+IF(AP492&lt;0,AP492,0)</f>
        <v>69.780249324089866</v>
      </c>
      <c r="AW492" s="80">
        <f t="shared" ref="AW492:AW532" si="579">AQ492+AW491+IF(AQ492&lt;0,AQ492,0)</f>
        <v>33.326967923463798</v>
      </c>
      <c r="AX492" s="80">
        <f t="shared" ref="AX492:AX532" si="580">AR492+AX491+IF(AR492&lt;0,AR492,0)</f>
        <v>20.665884015663583</v>
      </c>
      <c r="AY492" s="80">
        <f t="shared" ref="AY492:AY532" si="581">AS492+AY491+IF(AS492&lt;0,AS492,0)</f>
        <v>16.120784747884738</v>
      </c>
      <c r="AZ492" s="80">
        <f t="shared" ref="AZ492:AZ532" si="582">AT492+AZ491+IF(AT492&lt;0,AT492,0)</f>
        <v>165.53303193738918</v>
      </c>
      <c r="BA492" s="80">
        <f t="shared" ref="BA492:BA532" si="583">AU492+BA491+IF(AU492&lt;0,AU492,0)</f>
        <v>79.977759138988063</v>
      </c>
      <c r="BB492" s="80">
        <f t="shared" si="547"/>
        <v>590.76365048562059</v>
      </c>
      <c r="BC492" s="80">
        <f t="shared" si="548"/>
        <v>220.32178258138168</v>
      </c>
      <c r="BD492" s="80">
        <f t="shared" si="549"/>
        <v>163.4901180631181</v>
      </c>
      <c r="BE492" s="80">
        <f t="shared" si="550"/>
        <v>123.41904105826086</v>
      </c>
      <c r="BF492" s="80">
        <f t="shared" si="551"/>
        <v>1241.3242590334467</v>
      </c>
      <c r="BG492" s="80">
        <f t="shared" si="552"/>
        <v>755.84981286735695</v>
      </c>
      <c r="BH492" s="49">
        <f t="shared" si="553"/>
        <v>641.09350708330078</v>
      </c>
      <c r="BI492" s="79">
        <f t="shared" si="554"/>
        <v>-113742.30525984314</v>
      </c>
      <c r="BJ492" s="79">
        <f t="shared" si="534"/>
        <v>155000</v>
      </c>
      <c r="BK492" s="44">
        <f t="shared" si="555"/>
        <v>0.36272954593195617</v>
      </c>
      <c r="BL492" s="79">
        <f t="shared" ref="BL492:BL532" si="584">BL491+BH492</f>
        <v>18744.634958476912</v>
      </c>
      <c r="BM492" s="49">
        <f t="shared" si="556"/>
        <v>173744.63495847691</v>
      </c>
      <c r="BN492" s="44">
        <f t="shared" si="557"/>
        <v>0.52752869358115317</v>
      </c>
      <c r="BO492" s="49">
        <f t="shared" si="535"/>
        <v>22166.770227655514</v>
      </c>
      <c r="BP492" s="49">
        <f t="shared" si="536"/>
        <v>177166.77022765548</v>
      </c>
      <c r="BQ492" s="44">
        <f t="shared" si="537"/>
        <v>0.55761543449396234</v>
      </c>
      <c r="BS492" s="49">
        <f t="shared" si="538"/>
        <v>113742.30525984314</v>
      </c>
      <c r="BT492" s="49">
        <f t="shared" si="514"/>
        <v>104.129997</v>
      </c>
      <c r="BU492" s="49">
        <f t="shared" si="515"/>
        <v>34.400002000000001</v>
      </c>
      <c r="BV492" s="49">
        <f t="shared" si="539"/>
        <v>-3485.5026199434474</v>
      </c>
      <c r="BW492" s="18">
        <f t="shared" si="540"/>
        <v>3150</v>
      </c>
      <c r="BX492" s="19">
        <f t="shared" si="558"/>
        <v>0.27752293577981652</v>
      </c>
      <c r="BY492" s="49">
        <f t="shared" si="559"/>
        <v>-967.30691975494756</v>
      </c>
      <c r="BZ492" s="19">
        <f t="shared" si="560"/>
        <v>0</v>
      </c>
      <c r="CA492" s="19">
        <f t="shared" si="561"/>
        <v>0</v>
      </c>
      <c r="CB492" s="19">
        <f t="shared" si="562"/>
        <v>0</v>
      </c>
      <c r="CC492" s="19">
        <f t="shared" si="563"/>
        <v>0</v>
      </c>
      <c r="CD492" s="19">
        <f t="shared" si="564"/>
        <v>0</v>
      </c>
      <c r="CE492" s="19">
        <f t="shared" si="565"/>
        <v>0</v>
      </c>
      <c r="CF492" s="49">
        <f t="shared" si="566"/>
        <v>0</v>
      </c>
      <c r="CG492" s="49">
        <f t="shared" si="567"/>
        <v>0</v>
      </c>
      <c r="CH492" s="49">
        <f t="shared" si="568"/>
        <v>0</v>
      </c>
      <c r="CI492" s="49">
        <f t="shared" si="569"/>
        <v>0</v>
      </c>
      <c r="CJ492" s="49">
        <f t="shared" si="570"/>
        <v>0</v>
      </c>
      <c r="CK492" s="49">
        <f t="shared" si="571"/>
        <v>0</v>
      </c>
    </row>
    <row r="493" spans="2:89" ht="12.75" customHeight="1" x14ac:dyDescent="0.2">
      <c r="B493" s="77">
        <v>42450</v>
      </c>
      <c r="C493" s="79">
        <v>103.32</v>
      </c>
      <c r="D493" s="79">
        <v>81.660004000000001</v>
      </c>
      <c r="E493" s="79">
        <v>85.739998</v>
      </c>
      <c r="F493" s="79">
        <v>99.660004000000001</v>
      </c>
      <c r="G493" s="79">
        <v>35.290000999999997</v>
      </c>
      <c r="H493" s="79">
        <v>33.810001</v>
      </c>
      <c r="I493" s="79"/>
      <c r="J493" s="78">
        <f>IF(inter=Weekly_2,J492+$C$5,IF(inter=Bi_weekly_2,0,IF(inter=Monthly_2,0,IF(inter=Quarterly_2,0,IF(inter=Yearly_2,0,IF(inter=None_2,0,0))))))</f>
        <v>0</v>
      </c>
      <c r="K493" s="79">
        <f t="shared" si="541"/>
        <v>0</v>
      </c>
      <c r="L493" s="79">
        <f t="shared" si="542"/>
        <v>0</v>
      </c>
      <c r="M493" s="79">
        <f t="shared" si="543"/>
        <v>0</v>
      </c>
      <c r="N493" s="79">
        <f t="shared" si="544"/>
        <v>0</v>
      </c>
      <c r="O493" s="79">
        <f t="shared" si="545"/>
        <v>0</v>
      </c>
      <c r="P493" s="79">
        <f t="shared" si="546"/>
        <v>0</v>
      </c>
      <c r="Q493" s="79"/>
      <c r="R493" s="80">
        <f t="shared" si="516"/>
        <v>0</v>
      </c>
      <c r="S493" s="80">
        <f t="shared" si="517"/>
        <v>0</v>
      </c>
      <c r="T493" s="80">
        <f t="shared" si="518"/>
        <v>0</v>
      </c>
      <c r="U493" s="80">
        <f t="shared" si="519"/>
        <v>0</v>
      </c>
      <c r="V493" s="80">
        <f t="shared" si="520"/>
        <v>0</v>
      </c>
      <c r="W493" s="80">
        <f t="shared" si="521"/>
        <v>0</v>
      </c>
      <c r="X493" s="80">
        <f t="shared" si="572"/>
        <v>520.98340116153076</v>
      </c>
      <c r="Y493" s="80">
        <f t="shared" si="573"/>
        <v>186.99481465791789</v>
      </c>
      <c r="Z493" s="80">
        <f t="shared" si="574"/>
        <v>142.82423404745452</v>
      </c>
      <c r="AA493" s="80">
        <f t="shared" si="575"/>
        <v>107.29825631037612</v>
      </c>
      <c r="AB493" s="80">
        <f t="shared" si="576"/>
        <v>1075.7912270960576</v>
      </c>
      <c r="AC493" s="80">
        <f t="shared" si="577"/>
        <v>675.87205372836888</v>
      </c>
      <c r="AD493" s="80"/>
      <c r="AE493" s="80"/>
      <c r="AF493" s="80"/>
      <c r="AG493" s="80"/>
      <c r="AH493" s="80"/>
      <c r="AI493" s="80"/>
      <c r="AJ493" s="45">
        <f t="shared" si="522"/>
        <v>0</v>
      </c>
      <c r="AK493" s="45">
        <f t="shared" si="523"/>
        <v>0</v>
      </c>
      <c r="AL493" s="45">
        <f t="shared" si="524"/>
        <v>0</v>
      </c>
      <c r="AM493" s="45">
        <f t="shared" si="525"/>
        <v>0</v>
      </c>
      <c r="AN493" s="45">
        <f t="shared" si="526"/>
        <v>0</v>
      </c>
      <c r="AO493" s="45">
        <f t="shared" si="527"/>
        <v>0</v>
      </c>
      <c r="AP493" s="80">
        <f t="shared" si="528"/>
        <v>0</v>
      </c>
      <c r="AQ493" s="80">
        <f t="shared" si="529"/>
        <v>0</v>
      </c>
      <c r="AR493" s="80">
        <f t="shared" si="530"/>
        <v>0</v>
      </c>
      <c r="AS493" s="80">
        <f t="shared" si="531"/>
        <v>0</v>
      </c>
      <c r="AT493" s="80">
        <f t="shared" si="532"/>
        <v>0</v>
      </c>
      <c r="AU493" s="80">
        <f t="shared" si="533"/>
        <v>0</v>
      </c>
      <c r="AV493" s="80">
        <f t="shared" si="578"/>
        <v>69.780249324089866</v>
      </c>
      <c r="AW493" s="80">
        <f t="shared" si="579"/>
        <v>33.326967923463798</v>
      </c>
      <c r="AX493" s="80">
        <f t="shared" si="580"/>
        <v>20.665884015663583</v>
      </c>
      <c r="AY493" s="80">
        <f t="shared" si="581"/>
        <v>16.120784747884738</v>
      </c>
      <c r="AZ493" s="80">
        <f t="shared" si="582"/>
        <v>165.53303193738918</v>
      </c>
      <c r="BA493" s="80">
        <f t="shared" si="583"/>
        <v>79.977759138988063</v>
      </c>
      <c r="BB493" s="80">
        <f t="shared" si="547"/>
        <v>590.76365048562059</v>
      </c>
      <c r="BC493" s="80">
        <f t="shared" si="548"/>
        <v>220.32178258138168</v>
      </c>
      <c r="BD493" s="80">
        <f t="shared" si="549"/>
        <v>163.4901180631181</v>
      </c>
      <c r="BE493" s="80">
        <f t="shared" si="550"/>
        <v>123.41904105826086</v>
      </c>
      <c r="BF493" s="80">
        <f t="shared" si="551"/>
        <v>1241.3242590334467</v>
      </c>
      <c r="BG493" s="80">
        <f t="shared" si="552"/>
        <v>755.84981286735695</v>
      </c>
      <c r="BH493" s="49">
        <f t="shared" si="553"/>
        <v>0</v>
      </c>
      <c r="BI493" s="79">
        <f t="shared" si="554"/>
        <v>-113742.30525984314</v>
      </c>
      <c r="BJ493" s="79">
        <f t="shared" si="534"/>
        <v>152853.0048080589</v>
      </c>
      <c r="BK493" s="44">
        <f t="shared" si="555"/>
        <v>0.34385358604142735</v>
      </c>
      <c r="BL493" s="79">
        <f t="shared" si="584"/>
        <v>18744.634958476912</v>
      </c>
      <c r="BM493" s="49">
        <f t="shared" si="556"/>
        <v>171597.63976653581</v>
      </c>
      <c r="BN493" s="44">
        <f t="shared" si="557"/>
        <v>0.50865273369062414</v>
      </c>
      <c r="BO493" s="49">
        <f t="shared" si="535"/>
        <v>21855.37499980189</v>
      </c>
      <c r="BP493" s="49">
        <f t="shared" si="536"/>
        <v>174708.37980786077</v>
      </c>
      <c r="BQ493" s="44">
        <f t="shared" si="537"/>
        <v>0.53600174894241204</v>
      </c>
      <c r="BS493" s="49">
        <f t="shared" si="538"/>
        <v>113742.30525984314</v>
      </c>
      <c r="BT493" s="49">
        <f t="shared" si="514"/>
        <v>103.32</v>
      </c>
      <c r="BU493" s="49">
        <f t="shared" si="515"/>
        <v>33.810001</v>
      </c>
      <c r="BV493" s="49">
        <f t="shared" si="539"/>
        <v>0</v>
      </c>
      <c r="BW493" s="18">
        <f t="shared" si="540"/>
        <v>3157</v>
      </c>
      <c r="BX493" s="19">
        <f t="shared" si="558"/>
        <v>0.27591743119266054</v>
      </c>
      <c r="BY493" s="49">
        <f t="shared" si="559"/>
        <v>0</v>
      </c>
      <c r="BZ493" s="19">
        <f t="shared" si="560"/>
        <v>0</v>
      </c>
      <c r="CA493" s="19">
        <f t="shared" si="561"/>
        <v>0</v>
      </c>
      <c r="CB493" s="19">
        <f t="shared" si="562"/>
        <v>0</v>
      </c>
      <c r="CC493" s="19">
        <f t="shared" si="563"/>
        <v>0</v>
      </c>
      <c r="CD493" s="19">
        <f t="shared" si="564"/>
        <v>0</v>
      </c>
      <c r="CE493" s="19">
        <f t="shared" si="565"/>
        <v>0</v>
      </c>
      <c r="CF493" s="49">
        <f t="shared" si="566"/>
        <v>0</v>
      </c>
      <c r="CG493" s="49">
        <f t="shared" si="567"/>
        <v>0</v>
      </c>
      <c r="CH493" s="49">
        <f t="shared" si="568"/>
        <v>0</v>
      </c>
      <c r="CI493" s="49">
        <f t="shared" si="569"/>
        <v>0</v>
      </c>
      <c r="CJ493" s="49">
        <f t="shared" si="570"/>
        <v>0</v>
      </c>
      <c r="CK493" s="49">
        <f t="shared" si="571"/>
        <v>0</v>
      </c>
    </row>
    <row r="494" spans="2:89" ht="12.75" customHeight="1" x14ac:dyDescent="0.2">
      <c r="B494" s="77">
        <v>42457</v>
      </c>
      <c r="C494" s="79">
        <v>105.480003</v>
      </c>
      <c r="D494" s="79">
        <v>82.760002</v>
      </c>
      <c r="E494" s="79">
        <v>87.379997000000003</v>
      </c>
      <c r="F494" s="79">
        <v>102.010002</v>
      </c>
      <c r="G494" s="79">
        <v>35.479999999999997</v>
      </c>
      <c r="H494" s="79">
        <v>34.68</v>
      </c>
      <c r="I494" s="79"/>
      <c r="J494" s="78">
        <f>IF(inter=Weekly_2,J493+$C$5,IF(inter=Bi_weekly_2,J492+$C$5,IF(inter=Monthly_2,J490+$C$5,IF(inter=Quarterly_2,0,IF(inter=Yearly_2,0,IF(inter=None_2,0,0))))))</f>
        <v>155600</v>
      </c>
      <c r="K494" s="79">
        <f t="shared" si="541"/>
        <v>493.3307174684669</v>
      </c>
      <c r="L494" s="79">
        <f t="shared" si="542"/>
        <v>-84.308764921086549</v>
      </c>
      <c r="M494" s="79">
        <f t="shared" si="543"/>
        <v>31.98114259387512</v>
      </c>
      <c r="N494" s="79">
        <f t="shared" si="544"/>
        <v>53.495340817979013</v>
      </c>
      <c r="O494" s="79">
        <f t="shared" si="545"/>
        <v>-730.92726263187797</v>
      </c>
      <c r="P494" s="79">
        <f t="shared" si="546"/>
        <v>99.242823299831798</v>
      </c>
      <c r="Q494" s="79"/>
      <c r="R494" s="80">
        <f t="shared" si="516"/>
        <v>-4.6770070481365735</v>
      </c>
      <c r="S494" s="80">
        <f t="shared" si="517"/>
        <v>1.0187139062791051</v>
      </c>
      <c r="T494" s="80">
        <f t="shared" si="518"/>
        <v>-0.36600072890681284</v>
      </c>
      <c r="U494" s="80">
        <f t="shared" si="519"/>
        <v>-0.5244127023738222</v>
      </c>
      <c r="V494" s="80">
        <f t="shared" si="520"/>
        <v>20.601106613074354</v>
      </c>
      <c r="W494" s="80">
        <f t="shared" si="521"/>
        <v>-2.8616731055314819</v>
      </c>
      <c r="X494" s="80">
        <f t="shared" si="572"/>
        <v>516.30639411339416</v>
      </c>
      <c r="Y494" s="80">
        <f t="shared" si="573"/>
        <v>188.013528564197</v>
      </c>
      <c r="Z494" s="80">
        <f t="shared" si="574"/>
        <v>142.45823331854771</v>
      </c>
      <c r="AA494" s="80">
        <f t="shared" si="575"/>
        <v>106.7738436080023</v>
      </c>
      <c r="AB494" s="80">
        <f t="shared" si="576"/>
        <v>1096.3923337091319</v>
      </c>
      <c r="AC494" s="80">
        <f t="shared" si="577"/>
        <v>673.01038062283737</v>
      </c>
      <c r="AD494" s="80"/>
      <c r="AE494" s="80"/>
      <c r="AF494" s="80"/>
      <c r="AG494" s="80"/>
      <c r="AH494" s="80"/>
      <c r="AI494" s="80"/>
      <c r="AJ494" s="45">
        <f t="shared" si="522"/>
        <v>0</v>
      </c>
      <c r="AK494" s="45">
        <f t="shared" si="523"/>
        <v>0</v>
      </c>
      <c r="AL494" s="45">
        <f t="shared" si="524"/>
        <v>0</v>
      </c>
      <c r="AM494" s="45">
        <f t="shared" si="525"/>
        <v>0</v>
      </c>
      <c r="AN494" s="45">
        <f t="shared" si="526"/>
        <v>0</v>
      </c>
      <c r="AO494" s="45">
        <f t="shared" si="527"/>
        <v>0</v>
      </c>
      <c r="AP494" s="80">
        <f t="shared" si="528"/>
        <v>0</v>
      </c>
      <c r="AQ494" s="80">
        <f t="shared" si="529"/>
        <v>0</v>
      </c>
      <c r="AR494" s="80">
        <f t="shared" si="530"/>
        <v>0</v>
      </c>
      <c r="AS494" s="80">
        <f t="shared" si="531"/>
        <v>0</v>
      </c>
      <c r="AT494" s="80">
        <f t="shared" si="532"/>
        <v>0</v>
      </c>
      <c r="AU494" s="80">
        <f t="shared" si="533"/>
        <v>0</v>
      </c>
      <c r="AV494" s="80">
        <f t="shared" si="578"/>
        <v>69.780249324089866</v>
      </c>
      <c r="AW494" s="80">
        <f t="shared" si="579"/>
        <v>33.326967923463798</v>
      </c>
      <c r="AX494" s="80">
        <f t="shared" si="580"/>
        <v>20.665884015663583</v>
      </c>
      <c r="AY494" s="80">
        <f t="shared" si="581"/>
        <v>16.120784747884738</v>
      </c>
      <c r="AZ494" s="80">
        <f t="shared" si="582"/>
        <v>165.53303193738918</v>
      </c>
      <c r="BA494" s="80">
        <f t="shared" si="583"/>
        <v>79.977759138988063</v>
      </c>
      <c r="BB494" s="80">
        <f t="shared" si="547"/>
        <v>586.08664343748399</v>
      </c>
      <c r="BC494" s="80">
        <f t="shared" si="548"/>
        <v>221.3404964876608</v>
      </c>
      <c r="BD494" s="80">
        <f t="shared" si="549"/>
        <v>163.12411733421129</v>
      </c>
      <c r="BE494" s="80">
        <f t="shared" si="550"/>
        <v>122.89462835588704</v>
      </c>
      <c r="BF494" s="80">
        <f t="shared" si="551"/>
        <v>1261.9253656465212</v>
      </c>
      <c r="BG494" s="80">
        <f t="shared" si="552"/>
        <v>752.98813976182544</v>
      </c>
      <c r="BH494" s="49">
        <f t="shared" si="553"/>
        <v>0</v>
      </c>
      <c r="BI494" s="79">
        <f t="shared" si="554"/>
        <v>-113879.49126321595</v>
      </c>
      <c r="BJ494" s="79">
        <f t="shared" si="534"/>
        <v>155600</v>
      </c>
      <c r="BK494" s="44">
        <f t="shared" si="555"/>
        <v>0.3663566483657108</v>
      </c>
      <c r="BL494" s="79">
        <f t="shared" si="584"/>
        <v>18744.634958476912</v>
      </c>
      <c r="BM494" s="49">
        <f t="shared" si="556"/>
        <v>174344.63495847691</v>
      </c>
      <c r="BN494" s="44">
        <f t="shared" si="557"/>
        <v>0.53095726916714558</v>
      </c>
      <c r="BO494" s="49">
        <f t="shared" si="535"/>
        <v>22215.567667788539</v>
      </c>
      <c r="BP494" s="49">
        <f t="shared" si="536"/>
        <v>177815.56766778851</v>
      </c>
      <c r="BQ494" s="44">
        <f t="shared" si="537"/>
        <v>0.56143626648975431</v>
      </c>
      <c r="BS494" s="49">
        <f t="shared" si="538"/>
        <v>113879.49126321595</v>
      </c>
      <c r="BT494" s="49">
        <f t="shared" si="514"/>
        <v>105.480003</v>
      </c>
      <c r="BU494" s="49">
        <f t="shared" si="515"/>
        <v>34.68</v>
      </c>
      <c r="BV494" s="49">
        <f t="shared" si="539"/>
        <v>137.18600337281168</v>
      </c>
      <c r="BW494" s="18">
        <f t="shared" si="540"/>
        <v>3164</v>
      </c>
      <c r="BX494" s="19">
        <f t="shared" si="558"/>
        <v>0.27431192660550457</v>
      </c>
      <c r="BY494" s="49">
        <f t="shared" si="559"/>
        <v>37.631756888505222</v>
      </c>
      <c r="BZ494" s="19">
        <f t="shared" si="560"/>
        <v>0</v>
      </c>
      <c r="CA494" s="19">
        <f t="shared" si="561"/>
        <v>1.0187139062791051</v>
      </c>
      <c r="CB494" s="19">
        <f t="shared" si="562"/>
        <v>0</v>
      </c>
      <c r="CC494" s="19">
        <f t="shared" si="563"/>
        <v>0</v>
      </c>
      <c r="CD494" s="19">
        <f t="shared" si="564"/>
        <v>20.601106613074354</v>
      </c>
      <c r="CE494" s="19">
        <f t="shared" si="565"/>
        <v>0</v>
      </c>
      <c r="CF494" s="49">
        <f t="shared" si="566"/>
        <v>0</v>
      </c>
      <c r="CG494" s="49">
        <f t="shared" si="567"/>
        <v>-84.308764921086549</v>
      </c>
      <c r="CH494" s="49">
        <f t="shared" si="568"/>
        <v>0</v>
      </c>
      <c r="CI494" s="49">
        <f t="shared" si="569"/>
        <v>0</v>
      </c>
      <c r="CJ494" s="49">
        <f t="shared" si="570"/>
        <v>-730.92726263187797</v>
      </c>
      <c r="CK494" s="49">
        <f t="shared" si="571"/>
        <v>0</v>
      </c>
    </row>
    <row r="495" spans="2:89" ht="12.75" customHeight="1" x14ac:dyDescent="0.2">
      <c r="B495" s="77">
        <v>42464</v>
      </c>
      <c r="C495" s="79">
        <v>104.199997</v>
      </c>
      <c r="D495" s="79">
        <v>81.669998000000007</v>
      </c>
      <c r="E495" s="79">
        <v>85.690002000000007</v>
      </c>
      <c r="F495" s="79">
        <v>100.099998</v>
      </c>
      <c r="G495" s="79">
        <v>35.459999000000003</v>
      </c>
      <c r="H495" s="79">
        <v>33.869999</v>
      </c>
      <c r="I495" s="79"/>
      <c r="J495" s="78">
        <f>IF(inter=Weekly_2,J494+$C$5,IF(inter=Bi_weekly_2,0,IF(inter=Monthly_2,0,IF(inter=Quarterly_2,0,IF(inter=Yearly_2,0,IF(inter=None_2,0,0))))))</f>
        <v>0</v>
      </c>
      <c r="K495" s="79">
        <f t="shared" si="541"/>
        <v>0</v>
      </c>
      <c r="L495" s="79">
        <f t="shared" si="542"/>
        <v>0</v>
      </c>
      <c r="M495" s="79">
        <f t="shared" si="543"/>
        <v>0</v>
      </c>
      <c r="N495" s="79">
        <f t="shared" si="544"/>
        <v>0</v>
      </c>
      <c r="O495" s="79">
        <f t="shared" si="545"/>
        <v>0</v>
      </c>
      <c r="P495" s="79">
        <f t="shared" si="546"/>
        <v>0</v>
      </c>
      <c r="Q495" s="79"/>
      <c r="R495" s="80">
        <f t="shared" si="516"/>
        <v>0</v>
      </c>
      <c r="S495" s="80">
        <f t="shared" si="517"/>
        <v>0</v>
      </c>
      <c r="T495" s="80">
        <f t="shared" si="518"/>
        <v>0</v>
      </c>
      <c r="U495" s="80">
        <f t="shared" si="519"/>
        <v>0</v>
      </c>
      <c r="V495" s="80">
        <f t="shared" si="520"/>
        <v>0</v>
      </c>
      <c r="W495" s="80">
        <f t="shared" si="521"/>
        <v>0</v>
      </c>
      <c r="X495" s="80">
        <f t="shared" si="572"/>
        <v>516.30639411339416</v>
      </c>
      <c r="Y495" s="80">
        <f t="shared" si="573"/>
        <v>188.013528564197</v>
      </c>
      <c r="Z495" s="80">
        <f t="shared" si="574"/>
        <v>142.45823331854771</v>
      </c>
      <c r="AA495" s="80">
        <f t="shared" si="575"/>
        <v>106.7738436080023</v>
      </c>
      <c r="AB495" s="80">
        <f t="shared" si="576"/>
        <v>1096.3923337091319</v>
      </c>
      <c r="AC495" s="80">
        <f t="shared" si="577"/>
        <v>673.01038062283737</v>
      </c>
      <c r="AD495" s="80"/>
      <c r="AE495" s="80"/>
      <c r="AF495" s="80"/>
      <c r="AG495" s="80"/>
      <c r="AH495" s="80"/>
      <c r="AI495" s="80"/>
      <c r="AJ495" s="45">
        <f t="shared" si="522"/>
        <v>0</v>
      </c>
      <c r="AK495" s="45">
        <f t="shared" si="523"/>
        <v>0</v>
      </c>
      <c r="AL495" s="45">
        <f t="shared" si="524"/>
        <v>0</v>
      </c>
      <c r="AM495" s="45">
        <f t="shared" si="525"/>
        <v>0</v>
      </c>
      <c r="AN495" s="45">
        <f t="shared" si="526"/>
        <v>0</v>
      </c>
      <c r="AO495" s="45">
        <f t="shared" si="527"/>
        <v>0</v>
      </c>
      <c r="AP495" s="80">
        <f t="shared" si="528"/>
        <v>0</v>
      </c>
      <c r="AQ495" s="80">
        <f t="shared" si="529"/>
        <v>0</v>
      </c>
      <c r="AR495" s="80">
        <f t="shared" si="530"/>
        <v>0</v>
      </c>
      <c r="AS495" s="80">
        <f t="shared" si="531"/>
        <v>0</v>
      </c>
      <c r="AT495" s="80">
        <f t="shared" si="532"/>
        <v>0</v>
      </c>
      <c r="AU495" s="80">
        <f t="shared" si="533"/>
        <v>0</v>
      </c>
      <c r="AV495" s="80">
        <f t="shared" si="578"/>
        <v>69.780249324089866</v>
      </c>
      <c r="AW495" s="80">
        <f t="shared" si="579"/>
        <v>33.326967923463798</v>
      </c>
      <c r="AX495" s="80">
        <f t="shared" si="580"/>
        <v>20.665884015663583</v>
      </c>
      <c r="AY495" s="80">
        <f t="shared" si="581"/>
        <v>16.120784747884738</v>
      </c>
      <c r="AZ495" s="80">
        <f t="shared" si="582"/>
        <v>165.53303193738918</v>
      </c>
      <c r="BA495" s="80">
        <f t="shared" si="583"/>
        <v>79.977759138988063</v>
      </c>
      <c r="BB495" s="80">
        <f t="shared" si="547"/>
        <v>586.08664343748399</v>
      </c>
      <c r="BC495" s="80">
        <f t="shared" si="548"/>
        <v>221.3404964876608</v>
      </c>
      <c r="BD495" s="80">
        <f t="shared" si="549"/>
        <v>163.12411733421129</v>
      </c>
      <c r="BE495" s="80">
        <f t="shared" si="550"/>
        <v>122.89462835588704</v>
      </c>
      <c r="BF495" s="80">
        <f t="shared" si="551"/>
        <v>1261.9253656465212</v>
      </c>
      <c r="BG495" s="80">
        <f t="shared" si="552"/>
        <v>752.98813976182544</v>
      </c>
      <c r="BH495" s="49">
        <f t="shared" si="553"/>
        <v>0</v>
      </c>
      <c r="BI495" s="79">
        <f t="shared" si="554"/>
        <v>-113879.49126321595</v>
      </c>
      <c r="BJ495" s="79">
        <f t="shared" si="534"/>
        <v>153722.42902472219</v>
      </c>
      <c r="BK495" s="44">
        <f t="shared" si="555"/>
        <v>0.34986929884868445</v>
      </c>
      <c r="BL495" s="79">
        <f t="shared" si="584"/>
        <v>18744.634958476912</v>
      </c>
      <c r="BM495" s="49">
        <f t="shared" si="556"/>
        <v>172467.0639831991</v>
      </c>
      <c r="BN495" s="44">
        <f t="shared" si="557"/>
        <v>0.51446991965011901</v>
      </c>
      <c r="BO495" s="49">
        <f t="shared" si="535"/>
        <v>21956.113106566994</v>
      </c>
      <c r="BP495" s="49">
        <f t="shared" si="536"/>
        <v>175678.54213128917</v>
      </c>
      <c r="BQ495" s="44">
        <f t="shared" si="537"/>
        <v>0.54267059136428397</v>
      </c>
      <c r="BS495" s="49">
        <f t="shared" si="538"/>
        <v>113879.49126321595</v>
      </c>
      <c r="BT495" s="49">
        <f t="shared" si="514"/>
        <v>104.199997</v>
      </c>
      <c r="BU495" s="49">
        <f t="shared" si="515"/>
        <v>33.869999</v>
      </c>
      <c r="BV495" s="49">
        <f t="shared" si="539"/>
        <v>0</v>
      </c>
      <c r="BW495" s="18">
        <f t="shared" si="540"/>
        <v>3171</v>
      </c>
      <c r="BX495" s="19">
        <f t="shared" si="558"/>
        <v>0.2727064220183486</v>
      </c>
      <c r="BY495" s="49">
        <f t="shared" si="559"/>
        <v>0</v>
      </c>
      <c r="BZ495" s="19">
        <f t="shared" si="560"/>
        <v>0</v>
      </c>
      <c r="CA495" s="19">
        <f t="shared" si="561"/>
        <v>0</v>
      </c>
      <c r="CB495" s="19">
        <f t="shared" si="562"/>
        <v>0</v>
      </c>
      <c r="CC495" s="19">
        <f t="shared" si="563"/>
        <v>0</v>
      </c>
      <c r="CD495" s="19">
        <f t="shared" si="564"/>
        <v>0</v>
      </c>
      <c r="CE495" s="19">
        <f t="shared" si="565"/>
        <v>0</v>
      </c>
      <c r="CF495" s="49">
        <f t="shared" si="566"/>
        <v>0</v>
      </c>
      <c r="CG495" s="49">
        <f t="shared" si="567"/>
        <v>0</v>
      </c>
      <c r="CH495" s="49">
        <f t="shared" si="568"/>
        <v>0</v>
      </c>
      <c r="CI495" s="49">
        <f t="shared" si="569"/>
        <v>0</v>
      </c>
      <c r="CJ495" s="49">
        <f t="shared" si="570"/>
        <v>0</v>
      </c>
      <c r="CK495" s="49">
        <f t="shared" si="571"/>
        <v>0</v>
      </c>
    </row>
    <row r="496" spans="2:89" ht="12.75" customHeight="1" x14ac:dyDescent="0.2">
      <c r="B496" s="77">
        <v>42471</v>
      </c>
      <c r="C496" s="79">
        <v>106.05999799999999</v>
      </c>
      <c r="D496" s="79">
        <v>83.279999000000004</v>
      </c>
      <c r="E496" s="79">
        <v>87.43</v>
      </c>
      <c r="F496" s="79">
        <v>103.25</v>
      </c>
      <c r="G496" s="79">
        <v>36.540000999999997</v>
      </c>
      <c r="H496" s="79">
        <v>35.110000999999997</v>
      </c>
      <c r="I496" s="79"/>
      <c r="J496" s="78">
        <f>IF(inter=Weekly_2,J495+$C$5,IF(inter=Bi_weekly_2,J494+$C$5,IF(inter=Monthly_2,0,IF(inter=Quarterly_2,0,IF(inter=Yearly_2,0,IF(inter=None_2,0,0))))))</f>
        <v>156200</v>
      </c>
      <c r="K496" s="79">
        <f t="shared" si="541"/>
        <v>89.455127053792239</v>
      </c>
      <c r="L496" s="79">
        <f t="shared" si="542"/>
        <v>37.766470812797706</v>
      </c>
      <c r="M496" s="79">
        <f t="shared" si="543"/>
        <v>-40.876660959373112</v>
      </c>
      <c r="N496" s="79">
        <f t="shared" si="544"/>
        <v>90.399352526235816</v>
      </c>
      <c r="O496" s="79">
        <f t="shared" si="545"/>
        <v>1012.1769701240119</v>
      </c>
      <c r="P496" s="79">
        <f t="shared" si="546"/>
        <v>199.39513667819847</v>
      </c>
      <c r="Q496" s="79"/>
      <c r="R496" s="80">
        <f t="shared" si="516"/>
        <v>-0.84343889063426392</v>
      </c>
      <c r="S496" s="80">
        <f t="shared" si="517"/>
        <v>-0.45348788744339086</v>
      </c>
      <c r="T496" s="80">
        <f t="shared" si="518"/>
        <v>0.46753586823027687</v>
      </c>
      <c r="U496" s="80">
        <f t="shared" si="519"/>
        <v>-0.87553852325652126</v>
      </c>
      <c r="V496" s="80">
        <f t="shared" si="520"/>
        <v>-27.700518402394458</v>
      </c>
      <c r="W496" s="80">
        <f t="shared" si="521"/>
        <v>-5.6791549700667474</v>
      </c>
      <c r="X496" s="80">
        <f t="shared" si="572"/>
        <v>515.46295522275989</v>
      </c>
      <c r="Y496" s="80">
        <f t="shared" si="573"/>
        <v>187.5600406767536</v>
      </c>
      <c r="Z496" s="80">
        <f t="shared" si="574"/>
        <v>142.92576918677798</v>
      </c>
      <c r="AA496" s="80">
        <f t="shared" si="575"/>
        <v>105.89830508474577</v>
      </c>
      <c r="AB496" s="80">
        <f t="shared" si="576"/>
        <v>1068.6918153067375</v>
      </c>
      <c r="AC496" s="80">
        <f t="shared" si="577"/>
        <v>667.33122565277063</v>
      </c>
      <c r="AD496" s="80"/>
      <c r="AE496" s="80"/>
      <c r="AF496" s="80"/>
      <c r="AG496" s="80"/>
      <c r="AH496" s="80"/>
      <c r="AI496" s="80"/>
      <c r="AJ496" s="45">
        <f t="shared" si="522"/>
        <v>0</v>
      </c>
      <c r="AK496" s="45">
        <f t="shared" si="523"/>
        <v>0</v>
      </c>
      <c r="AL496" s="45">
        <f t="shared" si="524"/>
        <v>0</v>
      </c>
      <c r="AM496" s="45">
        <f t="shared" si="525"/>
        <v>0</v>
      </c>
      <c r="AN496" s="45">
        <f t="shared" si="526"/>
        <v>0</v>
      </c>
      <c r="AO496" s="45">
        <f t="shared" si="527"/>
        <v>0</v>
      </c>
      <c r="AP496" s="80">
        <f t="shared" si="528"/>
        <v>0</v>
      </c>
      <c r="AQ496" s="80">
        <f t="shared" si="529"/>
        <v>0</v>
      </c>
      <c r="AR496" s="80">
        <f t="shared" si="530"/>
        <v>0</v>
      </c>
      <c r="AS496" s="80">
        <f t="shared" si="531"/>
        <v>0</v>
      </c>
      <c r="AT496" s="80">
        <f t="shared" si="532"/>
        <v>0</v>
      </c>
      <c r="AU496" s="80">
        <f t="shared" si="533"/>
        <v>0</v>
      </c>
      <c r="AV496" s="80">
        <f t="shared" si="578"/>
        <v>69.780249324089866</v>
      </c>
      <c r="AW496" s="80">
        <f t="shared" si="579"/>
        <v>33.326967923463798</v>
      </c>
      <c r="AX496" s="80">
        <f t="shared" si="580"/>
        <v>20.665884015663583</v>
      </c>
      <c r="AY496" s="80">
        <f t="shared" si="581"/>
        <v>16.120784747884738</v>
      </c>
      <c r="AZ496" s="80">
        <f t="shared" si="582"/>
        <v>165.53303193738918</v>
      </c>
      <c r="BA496" s="80">
        <f t="shared" si="583"/>
        <v>79.977759138988063</v>
      </c>
      <c r="BB496" s="80">
        <f t="shared" si="547"/>
        <v>585.24320454684971</v>
      </c>
      <c r="BC496" s="80">
        <f t="shared" si="548"/>
        <v>220.8870086002174</v>
      </c>
      <c r="BD496" s="80">
        <f t="shared" si="549"/>
        <v>163.59165320244156</v>
      </c>
      <c r="BE496" s="80">
        <f t="shared" si="550"/>
        <v>122.01908983263051</v>
      </c>
      <c r="BF496" s="80">
        <f t="shared" si="551"/>
        <v>1234.2248472441265</v>
      </c>
      <c r="BG496" s="80">
        <f t="shared" si="552"/>
        <v>747.30898479175869</v>
      </c>
      <c r="BH496" s="49">
        <f t="shared" si="553"/>
        <v>0</v>
      </c>
      <c r="BI496" s="79">
        <f t="shared" si="554"/>
        <v>-112491.17486698029</v>
      </c>
      <c r="BJ496" s="79">
        <f t="shared" si="534"/>
        <v>156200</v>
      </c>
      <c r="BK496" s="44">
        <f t="shared" si="555"/>
        <v>0.38855337038398763</v>
      </c>
      <c r="BL496" s="79">
        <f t="shared" si="584"/>
        <v>18744.634958476912</v>
      </c>
      <c r="BM496" s="49">
        <f t="shared" si="556"/>
        <v>174944.63495847691</v>
      </c>
      <c r="BN496" s="44">
        <f t="shared" si="557"/>
        <v>0.5551854193482042</v>
      </c>
      <c r="BO496" s="49">
        <f t="shared" si="535"/>
        <v>22504.248579673</v>
      </c>
      <c r="BP496" s="49">
        <f t="shared" si="536"/>
        <v>178704.24857967297</v>
      </c>
      <c r="BQ496" s="44">
        <f t="shared" si="537"/>
        <v>0.5886068288555879</v>
      </c>
      <c r="BS496" s="49">
        <f t="shared" si="538"/>
        <v>112491.17486698029</v>
      </c>
      <c r="BT496" s="49">
        <f t="shared" si="514"/>
        <v>106.05999799999999</v>
      </c>
      <c r="BU496" s="49">
        <f t="shared" si="515"/>
        <v>35.110000999999997</v>
      </c>
      <c r="BV496" s="49">
        <f t="shared" si="539"/>
        <v>-1388.316396235663</v>
      </c>
      <c r="BW496" s="18">
        <f t="shared" si="540"/>
        <v>3178</v>
      </c>
      <c r="BX496" s="19">
        <f t="shared" si="558"/>
        <v>0.27110091743119263</v>
      </c>
      <c r="BY496" s="49">
        <f t="shared" si="559"/>
        <v>-376.37384870425541</v>
      </c>
      <c r="BZ496" s="19">
        <f t="shared" si="560"/>
        <v>0</v>
      </c>
      <c r="CA496" s="19">
        <f t="shared" si="561"/>
        <v>0</v>
      </c>
      <c r="CB496" s="19">
        <f t="shared" si="562"/>
        <v>0.46753586823027687</v>
      </c>
      <c r="CC496" s="19">
        <f t="shared" si="563"/>
        <v>0</v>
      </c>
      <c r="CD496" s="19">
        <f t="shared" si="564"/>
        <v>0</v>
      </c>
      <c r="CE496" s="19">
        <f t="shared" si="565"/>
        <v>0</v>
      </c>
      <c r="CF496" s="49">
        <f t="shared" si="566"/>
        <v>0</v>
      </c>
      <c r="CG496" s="49">
        <f t="shared" si="567"/>
        <v>0</v>
      </c>
      <c r="CH496" s="49">
        <f t="shared" si="568"/>
        <v>-40.876660959373112</v>
      </c>
      <c r="CI496" s="49">
        <f t="shared" si="569"/>
        <v>0</v>
      </c>
      <c r="CJ496" s="49">
        <f t="shared" si="570"/>
        <v>0</v>
      </c>
      <c r="CK496" s="49">
        <f t="shared" si="571"/>
        <v>0</v>
      </c>
    </row>
    <row r="497" spans="2:89" ht="12.75" customHeight="1" x14ac:dyDescent="0.2">
      <c r="B497" s="77">
        <v>42478</v>
      </c>
      <c r="C497" s="79">
        <v>106.800003</v>
      </c>
      <c r="D497" s="79">
        <v>84.339995999999999</v>
      </c>
      <c r="E497" s="79">
        <v>88.470000999999996</v>
      </c>
      <c r="F497" s="79">
        <v>104.470001</v>
      </c>
      <c r="G497" s="79">
        <v>37.270000000000003</v>
      </c>
      <c r="H497" s="79">
        <v>35.020000000000003</v>
      </c>
      <c r="I497" s="79"/>
      <c r="J497" s="78">
        <f>IF(inter=Weekly_2,J496+$C$5,IF(inter=Bi_weekly_2,0,IF(inter=Monthly_2,0,IF(inter=Quarterly_2,J484+$C$5,IF(inter=Yearly_2,0,IF(inter=None_2,0,0))))))</f>
        <v>0</v>
      </c>
      <c r="K497" s="79">
        <f t="shared" si="541"/>
        <v>0</v>
      </c>
      <c r="L497" s="79">
        <f t="shared" si="542"/>
        <v>0</v>
      </c>
      <c r="M497" s="79">
        <f t="shared" si="543"/>
        <v>0</v>
      </c>
      <c r="N497" s="79">
        <f t="shared" si="544"/>
        <v>0</v>
      </c>
      <c r="O497" s="79">
        <f t="shared" si="545"/>
        <v>0</v>
      </c>
      <c r="P497" s="79">
        <f t="shared" si="546"/>
        <v>0</v>
      </c>
      <c r="Q497" s="79"/>
      <c r="R497" s="80">
        <f t="shared" si="516"/>
        <v>0</v>
      </c>
      <c r="S497" s="80">
        <f t="shared" si="517"/>
        <v>0</v>
      </c>
      <c r="T497" s="80">
        <f t="shared" si="518"/>
        <v>0</v>
      </c>
      <c r="U497" s="80">
        <f t="shared" si="519"/>
        <v>0</v>
      </c>
      <c r="V497" s="80">
        <f t="shared" si="520"/>
        <v>0</v>
      </c>
      <c r="W497" s="80">
        <f t="shared" si="521"/>
        <v>0</v>
      </c>
      <c r="X497" s="80">
        <f t="shared" si="572"/>
        <v>515.46295522275989</v>
      </c>
      <c r="Y497" s="80">
        <f t="shared" si="573"/>
        <v>187.5600406767536</v>
      </c>
      <c r="Z497" s="80">
        <f t="shared" si="574"/>
        <v>142.92576918677798</v>
      </c>
      <c r="AA497" s="80">
        <f t="shared" si="575"/>
        <v>105.89830508474577</v>
      </c>
      <c r="AB497" s="80">
        <f t="shared" si="576"/>
        <v>1068.6918153067375</v>
      </c>
      <c r="AC497" s="80">
        <f t="shared" si="577"/>
        <v>667.33122565277063</v>
      </c>
      <c r="AD497" s="80"/>
      <c r="AE497" s="80"/>
      <c r="AF497" s="80"/>
      <c r="AG497" s="80"/>
      <c r="AH497" s="80"/>
      <c r="AI497" s="80"/>
      <c r="AJ497" s="45">
        <f t="shared" si="522"/>
        <v>0</v>
      </c>
      <c r="AK497" s="45">
        <f t="shared" si="523"/>
        <v>0</v>
      </c>
      <c r="AL497" s="45">
        <f t="shared" si="524"/>
        <v>0</v>
      </c>
      <c r="AM497" s="45">
        <f t="shared" si="525"/>
        <v>0</v>
      </c>
      <c r="AN497" s="45">
        <f t="shared" si="526"/>
        <v>0</v>
      </c>
      <c r="AO497" s="45">
        <f t="shared" si="527"/>
        <v>0</v>
      </c>
      <c r="AP497" s="80">
        <f t="shared" si="528"/>
        <v>0</v>
      </c>
      <c r="AQ497" s="80">
        <f t="shared" si="529"/>
        <v>0</v>
      </c>
      <c r="AR497" s="80">
        <f t="shared" si="530"/>
        <v>0</v>
      </c>
      <c r="AS497" s="80">
        <f t="shared" si="531"/>
        <v>0</v>
      </c>
      <c r="AT497" s="80">
        <f t="shared" si="532"/>
        <v>0</v>
      </c>
      <c r="AU497" s="80">
        <f t="shared" si="533"/>
        <v>0</v>
      </c>
      <c r="AV497" s="80">
        <f t="shared" si="578"/>
        <v>69.780249324089866</v>
      </c>
      <c r="AW497" s="80">
        <f t="shared" si="579"/>
        <v>33.326967923463798</v>
      </c>
      <c r="AX497" s="80">
        <f t="shared" si="580"/>
        <v>20.665884015663583</v>
      </c>
      <c r="AY497" s="80">
        <f t="shared" si="581"/>
        <v>16.120784747884738</v>
      </c>
      <c r="AZ497" s="80">
        <f t="shared" si="582"/>
        <v>165.53303193738918</v>
      </c>
      <c r="BA497" s="80">
        <f t="shared" si="583"/>
        <v>79.977759138988063</v>
      </c>
      <c r="BB497" s="80">
        <f t="shared" si="547"/>
        <v>585.24320454684971</v>
      </c>
      <c r="BC497" s="80">
        <f t="shared" si="548"/>
        <v>220.8870086002174</v>
      </c>
      <c r="BD497" s="80">
        <f t="shared" si="549"/>
        <v>163.59165320244156</v>
      </c>
      <c r="BE497" s="80">
        <f t="shared" si="550"/>
        <v>122.01908983263051</v>
      </c>
      <c r="BF497" s="80">
        <f t="shared" si="551"/>
        <v>1234.2248472441265</v>
      </c>
      <c r="BG497" s="80">
        <f t="shared" si="552"/>
        <v>747.30898479175869</v>
      </c>
      <c r="BH497" s="49">
        <f t="shared" si="553"/>
        <v>0</v>
      </c>
      <c r="BI497" s="79">
        <f t="shared" si="554"/>
        <v>-112491.17486698029</v>
      </c>
      <c r="BJ497" s="79">
        <f t="shared" si="534"/>
        <v>157778.18070444075</v>
      </c>
      <c r="BK497" s="44">
        <f t="shared" si="555"/>
        <v>0.40258274385534598</v>
      </c>
      <c r="BL497" s="79">
        <f t="shared" si="584"/>
        <v>18744.634958476912</v>
      </c>
      <c r="BM497" s="49">
        <f t="shared" si="556"/>
        <v>176522.81566291765</v>
      </c>
      <c r="BN497" s="44">
        <f t="shared" si="557"/>
        <v>0.56921479281956255</v>
      </c>
      <c r="BO497" s="49">
        <f t="shared" si="535"/>
        <v>22746.013582128413</v>
      </c>
      <c r="BP497" s="49">
        <f t="shared" si="536"/>
        <v>180524.19428656908</v>
      </c>
      <c r="BQ497" s="44">
        <f t="shared" si="537"/>
        <v>0.60478539316561641</v>
      </c>
      <c r="BS497" s="49">
        <f t="shared" si="538"/>
        <v>112491.17486698029</v>
      </c>
      <c r="BT497" s="49">
        <f t="shared" si="514"/>
        <v>106.800003</v>
      </c>
      <c r="BU497" s="49">
        <f t="shared" si="515"/>
        <v>35.020000000000003</v>
      </c>
      <c r="BV497" s="49">
        <f t="shared" si="539"/>
        <v>0</v>
      </c>
      <c r="BW497" s="18">
        <f t="shared" si="540"/>
        <v>3185</v>
      </c>
      <c r="BX497" s="19">
        <f t="shared" si="558"/>
        <v>0.26949541284403672</v>
      </c>
      <c r="BY497" s="49">
        <f t="shared" si="559"/>
        <v>0</v>
      </c>
      <c r="BZ497" s="19">
        <f t="shared" si="560"/>
        <v>0</v>
      </c>
      <c r="CA497" s="19">
        <f t="shared" si="561"/>
        <v>0</v>
      </c>
      <c r="CB497" s="19">
        <f t="shared" si="562"/>
        <v>0</v>
      </c>
      <c r="CC497" s="19">
        <f t="shared" si="563"/>
        <v>0</v>
      </c>
      <c r="CD497" s="19">
        <f t="shared" si="564"/>
        <v>0</v>
      </c>
      <c r="CE497" s="19">
        <f t="shared" si="565"/>
        <v>0</v>
      </c>
      <c r="CF497" s="49">
        <f t="shared" si="566"/>
        <v>0</v>
      </c>
      <c r="CG497" s="49">
        <f t="shared" si="567"/>
        <v>0</v>
      </c>
      <c r="CH497" s="49">
        <f t="shared" si="568"/>
        <v>0</v>
      </c>
      <c r="CI497" s="49">
        <f t="shared" si="569"/>
        <v>0</v>
      </c>
      <c r="CJ497" s="49">
        <f t="shared" si="570"/>
        <v>0</v>
      </c>
      <c r="CK497" s="49">
        <f t="shared" si="571"/>
        <v>0</v>
      </c>
    </row>
    <row r="498" spans="2:89" ht="12.75" customHeight="1" x14ac:dyDescent="0.2">
      <c r="B498" s="77">
        <v>42485</v>
      </c>
      <c r="C498" s="79">
        <v>105.510002</v>
      </c>
      <c r="D498" s="79">
        <v>83.639999000000003</v>
      </c>
      <c r="E498" s="79">
        <v>87.980002999999996</v>
      </c>
      <c r="F498" s="79">
        <v>104.019997</v>
      </c>
      <c r="G498" s="79">
        <v>36.709999000000003</v>
      </c>
      <c r="H498" s="79">
        <v>34.93</v>
      </c>
      <c r="I498" s="79"/>
      <c r="J498" s="78">
        <f>IF(inter=Weekly_2,J497+$C$5,IF(inter=Bi_weekly_2,J496+$C$5,IF(inter=Monthly_2,J494+$C$5,IF(inter=Quarterly_2,0,IF(inter=Yearly_2,0,IF(inter=None_2,0,0))))))</f>
        <v>156800</v>
      </c>
      <c r="K498" s="79">
        <f t="shared" si="541"/>
        <v>-493.50256352069118</v>
      </c>
      <c r="L498" s="79">
        <f t="shared" si="542"/>
        <v>7.521614643630528</v>
      </c>
      <c r="M498" s="79">
        <f t="shared" si="543"/>
        <v>30.60960183003408</v>
      </c>
      <c r="N498" s="79">
        <f t="shared" si="544"/>
        <v>39.5413772203392</v>
      </c>
      <c r="O498" s="79">
        <f t="shared" si="545"/>
        <v>31.675471218521125</v>
      </c>
      <c r="P498" s="79">
        <f t="shared" si="546"/>
        <v>-210.12028794872094</v>
      </c>
      <c r="Q498" s="79"/>
      <c r="R498" s="80">
        <f t="shared" si="516"/>
        <v>4.6773059820498455</v>
      </c>
      <c r="S498" s="80">
        <f t="shared" si="517"/>
        <v>-8.9928440142981445E-2</v>
      </c>
      <c r="T498" s="80">
        <f t="shared" si="518"/>
        <v>-0.34791544426332971</v>
      </c>
      <c r="U498" s="80">
        <f t="shared" si="519"/>
        <v>-0.38013245876501228</v>
      </c>
      <c r="V498" s="80">
        <f t="shared" si="520"/>
        <v>-0.86285677148945505</v>
      </c>
      <c r="W498" s="80">
        <f t="shared" si="521"/>
        <v>6.0154677340028897</v>
      </c>
      <c r="X498" s="80">
        <f t="shared" si="572"/>
        <v>520.14026120480969</v>
      </c>
      <c r="Y498" s="80">
        <f t="shared" si="573"/>
        <v>187.47011223661062</v>
      </c>
      <c r="Z498" s="80">
        <f t="shared" si="574"/>
        <v>142.57785374251466</v>
      </c>
      <c r="AA498" s="80">
        <f t="shared" si="575"/>
        <v>105.51817262598075</v>
      </c>
      <c r="AB498" s="80">
        <f t="shared" si="576"/>
        <v>1067.8289585352479</v>
      </c>
      <c r="AC498" s="80">
        <f t="shared" si="577"/>
        <v>673.3466933867735</v>
      </c>
      <c r="AD498" s="80"/>
      <c r="AE498" s="80"/>
      <c r="AF498" s="80"/>
      <c r="AG498" s="80"/>
      <c r="AH498" s="80"/>
      <c r="AI498" s="80"/>
      <c r="AJ498" s="45">
        <f t="shared" si="522"/>
        <v>0</v>
      </c>
      <c r="AK498" s="45">
        <f t="shared" si="523"/>
        <v>0</v>
      </c>
      <c r="AL498" s="45">
        <f t="shared" si="524"/>
        <v>0</v>
      </c>
      <c r="AM498" s="45">
        <f t="shared" si="525"/>
        <v>0</v>
      </c>
      <c r="AN498" s="45">
        <f t="shared" si="526"/>
        <v>0</v>
      </c>
      <c r="AO498" s="45">
        <f t="shared" si="527"/>
        <v>0</v>
      </c>
      <c r="AP498" s="80">
        <f t="shared" si="528"/>
        <v>0</v>
      </c>
      <c r="AQ498" s="80">
        <f t="shared" si="529"/>
        <v>0</v>
      </c>
      <c r="AR498" s="80">
        <f t="shared" si="530"/>
        <v>0</v>
      </c>
      <c r="AS498" s="80">
        <f t="shared" si="531"/>
        <v>0</v>
      </c>
      <c r="AT498" s="80">
        <f t="shared" si="532"/>
        <v>0</v>
      </c>
      <c r="AU498" s="80">
        <f t="shared" si="533"/>
        <v>0</v>
      </c>
      <c r="AV498" s="80">
        <f t="shared" si="578"/>
        <v>69.780249324089866</v>
      </c>
      <c r="AW498" s="80">
        <f t="shared" si="579"/>
        <v>33.326967923463798</v>
      </c>
      <c r="AX498" s="80">
        <f t="shared" si="580"/>
        <v>20.665884015663583</v>
      </c>
      <c r="AY498" s="80">
        <f t="shared" si="581"/>
        <v>16.120784747884738</v>
      </c>
      <c r="AZ498" s="80">
        <f t="shared" si="582"/>
        <v>165.53303193738918</v>
      </c>
      <c r="BA498" s="80">
        <f t="shared" si="583"/>
        <v>79.977759138988063</v>
      </c>
      <c r="BB498" s="80">
        <f t="shared" si="547"/>
        <v>589.92051052889951</v>
      </c>
      <c r="BC498" s="80">
        <f t="shared" si="548"/>
        <v>220.79708016007442</v>
      </c>
      <c r="BD498" s="80">
        <f t="shared" si="549"/>
        <v>163.24373775817824</v>
      </c>
      <c r="BE498" s="80">
        <f t="shared" si="550"/>
        <v>121.63895737386549</v>
      </c>
      <c r="BF498" s="80">
        <f t="shared" si="551"/>
        <v>1233.361990472637</v>
      </c>
      <c r="BG498" s="80">
        <f t="shared" si="552"/>
        <v>753.32445252576156</v>
      </c>
      <c r="BH498" s="49">
        <f t="shared" si="553"/>
        <v>0</v>
      </c>
      <c r="BI498" s="79">
        <f t="shared" si="554"/>
        <v>-113085.44965353717</v>
      </c>
      <c r="BJ498" s="79">
        <f t="shared" si="534"/>
        <v>156800</v>
      </c>
      <c r="BK498" s="44">
        <f t="shared" si="555"/>
        <v>0.38656211281285291</v>
      </c>
      <c r="BL498" s="79">
        <f t="shared" si="584"/>
        <v>18744.634958476912</v>
      </c>
      <c r="BM498" s="49">
        <f t="shared" si="556"/>
        <v>175544.63495847691</v>
      </c>
      <c r="BN498" s="44">
        <f t="shared" si="557"/>
        <v>0.55231849452159909</v>
      </c>
      <c r="BO498" s="49">
        <f t="shared" si="535"/>
        <v>22515.390891958494</v>
      </c>
      <c r="BP498" s="49">
        <f t="shared" si="536"/>
        <v>179315.39089195846</v>
      </c>
      <c r="BQ498" s="44">
        <f t="shared" si="537"/>
        <v>0.5856628013712788</v>
      </c>
      <c r="BS498" s="49">
        <f t="shared" si="538"/>
        <v>113085.44965353717</v>
      </c>
      <c r="BT498" s="49">
        <f t="shared" si="514"/>
        <v>105.510002</v>
      </c>
      <c r="BU498" s="49">
        <f t="shared" si="515"/>
        <v>34.93</v>
      </c>
      <c r="BV498" s="49">
        <f t="shared" si="539"/>
        <v>594.27478655688719</v>
      </c>
      <c r="BW498" s="18">
        <f t="shared" si="540"/>
        <v>3192</v>
      </c>
      <c r="BX498" s="19">
        <f t="shared" si="558"/>
        <v>0.26788990825688075</v>
      </c>
      <c r="BY498" s="49">
        <f t="shared" si="559"/>
        <v>159.20021805010191</v>
      </c>
      <c r="BZ498" s="19">
        <f t="shared" si="560"/>
        <v>4.6773059820498455</v>
      </c>
      <c r="CA498" s="19">
        <f t="shared" si="561"/>
        <v>0</v>
      </c>
      <c r="CB498" s="19">
        <f t="shared" si="562"/>
        <v>0</v>
      </c>
      <c r="CC498" s="19">
        <f t="shared" si="563"/>
        <v>0</v>
      </c>
      <c r="CD498" s="19">
        <f t="shared" si="564"/>
        <v>0</v>
      </c>
      <c r="CE498" s="19">
        <f t="shared" si="565"/>
        <v>6.0154677340028897</v>
      </c>
      <c r="CF498" s="49">
        <f t="shared" si="566"/>
        <v>-493.50256352069118</v>
      </c>
      <c r="CG498" s="49">
        <f t="shared" si="567"/>
        <v>0</v>
      </c>
      <c r="CH498" s="49">
        <f t="shared" si="568"/>
        <v>0</v>
      </c>
      <c r="CI498" s="49">
        <f t="shared" si="569"/>
        <v>0</v>
      </c>
      <c r="CJ498" s="49">
        <f t="shared" si="570"/>
        <v>0</v>
      </c>
      <c r="CK498" s="49">
        <f t="shared" si="571"/>
        <v>-210.12028794872094</v>
      </c>
    </row>
    <row r="499" spans="2:89" ht="12.75" customHeight="1" x14ac:dyDescent="0.2">
      <c r="B499" s="77">
        <v>42492</v>
      </c>
      <c r="C499" s="79">
        <v>104.980003</v>
      </c>
      <c r="D499" s="79">
        <v>82.959998999999996</v>
      </c>
      <c r="E499" s="79">
        <v>86.910004000000001</v>
      </c>
      <c r="F499" s="79">
        <v>103.16999800000001</v>
      </c>
      <c r="G499" s="79">
        <v>36.009998000000003</v>
      </c>
      <c r="H499" s="79">
        <v>33.470001000000003</v>
      </c>
      <c r="I499" s="79"/>
      <c r="J499" s="78">
        <f>IF(inter=Weekly_2,J498+$C$5,IF(inter=Bi_weekly_2,0,IF(inter=Monthly_2,0,IF(inter=Quarterly_2,0,IF(inter=Yearly_2,0,IF(inter=None_2,0,0))))))</f>
        <v>0</v>
      </c>
      <c r="K499" s="79">
        <f t="shared" si="541"/>
        <v>0</v>
      </c>
      <c r="L499" s="79">
        <f t="shared" si="542"/>
        <v>0</v>
      </c>
      <c r="M499" s="79">
        <f t="shared" si="543"/>
        <v>0</v>
      </c>
      <c r="N499" s="79">
        <f t="shared" si="544"/>
        <v>0</v>
      </c>
      <c r="O499" s="79">
        <f t="shared" si="545"/>
        <v>0</v>
      </c>
      <c r="P499" s="79">
        <f t="shared" si="546"/>
        <v>0</v>
      </c>
      <c r="Q499" s="79"/>
      <c r="R499" s="80">
        <f t="shared" si="516"/>
        <v>0</v>
      </c>
      <c r="S499" s="80">
        <f t="shared" si="517"/>
        <v>0</v>
      </c>
      <c r="T499" s="80">
        <f t="shared" si="518"/>
        <v>0</v>
      </c>
      <c r="U499" s="80">
        <f t="shared" si="519"/>
        <v>0</v>
      </c>
      <c r="V499" s="80">
        <f t="shared" si="520"/>
        <v>0</v>
      </c>
      <c r="W499" s="80">
        <f t="shared" si="521"/>
        <v>0</v>
      </c>
      <c r="X499" s="80">
        <f t="shared" si="572"/>
        <v>520.14026120480969</v>
      </c>
      <c r="Y499" s="80">
        <f t="shared" si="573"/>
        <v>187.47011223661062</v>
      </c>
      <c r="Z499" s="80">
        <f t="shared" si="574"/>
        <v>142.57785374251466</v>
      </c>
      <c r="AA499" s="80">
        <f t="shared" si="575"/>
        <v>105.51817262598075</v>
      </c>
      <c r="AB499" s="80">
        <f t="shared" si="576"/>
        <v>1067.8289585352479</v>
      </c>
      <c r="AC499" s="80">
        <f t="shared" si="577"/>
        <v>673.3466933867735</v>
      </c>
      <c r="AD499" s="80"/>
      <c r="AE499" s="80"/>
      <c r="AF499" s="80"/>
      <c r="AG499" s="80"/>
      <c r="AH499" s="80"/>
      <c r="AI499" s="80"/>
      <c r="AJ499" s="45">
        <f t="shared" si="522"/>
        <v>0</v>
      </c>
      <c r="AK499" s="45">
        <f t="shared" si="523"/>
        <v>0</v>
      </c>
      <c r="AL499" s="45">
        <f t="shared" si="524"/>
        <v>0</v>
      </c>
      <c r="AM499" s="45">
        <f t="shared" si="525"/>
        <v>0</v>
      </c>
      <c r="AN499" s="45">
        <f t="shared" si="526"/>
        <v>0</v>
      </c>
      <c r="AO499" s="45">
        <f t="shared" si="527"/>
        <v>0</v>
      </c>
      <c r="AP499" s="80">
        <f t="shared" si="528"/>
        <v>0</v>
      </c>
      <c r="AQ499" s="80">
        <f t="shared" si="529"/>
        <v>0</v>
      </c>
      <c r="AR499" s="80">
        <f t="shared" si="530"/>
        <v>0</v>
      </c>
      <c r="AS499" s="80">
        <f t="shared" si="531"/>
        <v>0</v>
      </c>
      <c r="AT499" s="80">
        <f t="shared" si="532"/>
        <v>0</v>
      </c>
      <c r="AU499" s="80">
        <f t="shared" si="533"/>
        <v>0</v>
      </c>
      <c r="AV499" s="80">
        <f t="shared" si="578"/>
        <v>69.780249324089866</v>
      </c>
      <c r="AW499" s="80">
        <f t="shared" si="579"/>
        <v>33.326967923463798</v>
      </c>
      <c r="AX499" s="80">
        <f t="shared" si="580"/>
        <v>20.665884015663583</v>
      </c>
      <c r="AY499" s="80">
        <f t="shared" si="581"/>
        <v>16.120784747884738</v>
      </c>
      <c r="AZ499" s="80">
        <f t="shared" si="582"/>
        <v>165.53303193738918</v>
      </c>
      <c r="BA499" s="80">
        <f t="shared" si="583"/>
        <v>79.977759138988063</v>
      </c>
      <c r="BB499" s="80">
        <f t="shared" si="547"/>
        <v>589.92051052889951</v>
      </c>
      <c r="BC499" s="80">
        <f t="shared" si="548"/>
        <v>220.79708016007442</v>
      </c>
      <c r="BD499" s="80">
        <f t="shared" si="549"/>
        <v>163.24373775817824</v>
      </c>
      <c r="BE499" s="80">
        <f t="shared" si="550"/>
        <v>121.63895737386549</v>
      </c>
      <c r="BF499" s="80">
        <f t="shared" si="551"/>
        <v>1233.361990472637</v>
      </c>
      <c r="BG499" s="80">
        <f t="shared" si="552"/>
        <v>753.32445252576156</v>
      </c>
      <c r="BH499" s="49">
        <f t="shared" si="553"/>
        <v>0</v>
      </c>
      <c r="BI499" s="79">
        <f t="shared" si="554"/>
        <v>-113085.44965353717</v>
      </c>
      <c r="BJ499" s="79">
        <f t="shared" si="534"/>
        <v>154424.03116543862</v>
      </c>
      <c r="BK499" s="44">
        <f t="shared" si="555"/>
        <v>0.36555172781778311</v>
      </c>
      <c r="BL499" s="79">
        <f t="shared" si="584"/>
        <v>18744.634958476912</v>
      </c>
      <c r="BM499" s="49">
        <f t="shared" si="556"/>
        <v>173168.66612391552</v>
      </c>
      <c r="BN499" s="44">
        <f t="shared" si="557"/>
        <v>0.53130810952652929</v>
      </c>
      <c r="BO499" s="49">
        <f t="shared" si="535"/>
        <v>22187.289229008857</v>
      </c>
      <c r="BP499" s="49">
        <f t="shared" si="536"/>
        <v>176611.32039444745</v>
      </c>
      <c r="BQ499" s="44">
        <f t="shared" si="537"/>
        <v>0.56175105582138229</v>
      </c>
      <c r="BS499" s="49">
        <f t="shared" si="538"/>
        <v>113085.44965353717</v>
      </c>
      <c r="BT499" s="49">
        <f t="shared" si="514"/>
        <v>104.980003</v>
      </c>
      <c r="BU499" s="49">
        <f t="shared" si="515"/>
        <v>33.470001000000003</v>
      </c>
      <c r="BV499" s="49">
        <f t="shared" si="539"/>
        <v>0</v>
      </c>
      <c r="BW499" s="18">
        <f t="shared" si="540"/>
        <v>3199</v>
      </c>
      <c r="BX499" s="19">
        <f t="shared" si="558"/>
        <v>0.26628440366972478</v>
      </c>
      <c r="BY499" s="49">
        <f t="shared" si="559"/>
        <v>0</v>
      </c>
      <c r="BZ499" s="19">
        <f t="shared" si="560"/>
        <v>0</v>
      </c>
      <c r="CA499" s="19">
        <f t="shared" si="561"/>
        <v>0</v>
      </c>
      <c r="CB499" s="19">
        <f t="shared" si="562"/>
        <v>0</v>
      </c>
      <c r="CC499" s="19">
        <f t="shared" si="563"/>
        <v>0</v>
      </c>
      <c r="CD499" s="19">
        <f t="shared" si="564"/>
        <v>0</v>
      </c>
      <c r="CE499" s="19">
        <f t="shared" si="565"/>
        <v>0</v>
      </c>
      <c r="CF499" s="49">
        <f t="shared" si="566"/>
        <v>0</v>
      </c>
      <c r="CG499" s="49">
        <f t="shared" si="567"/>
        <v>0</v>
      </c>
      <c r="CH499" s="49">
        <f t="shared" si="568"/>
        <v>0</v>
      </c>
      <c r="CI499" s="49">
        <f t="shared" si="569"/>
        <v>0</v>
      </c>
      <c r="CJ499" s="49">
        <f t="shared" si="570"/>
        <v>0</v>
      </c>
      <c r="CK499" s="49">
        <f t="shared" si="571"/>
        <v>0</v>
      </c>
    </row>
    <row r="500" spans="2:89" ht="12.75" customHeight="1" x14ac:dyDescent="0.2">
      <c r="B500" s="77">
        <v>42499</v>
      </c>
      <c r="C500" s="79">
        <v>104.41999800000001</v>
      </c>
      <c r="D500" s="79">
        <v>82.529999000000004</v>
      </c>
      <c r="E500" s="79">
        <v>86.510002</v>
      </c>
      <c r="F500" s="79">
        <v>101.82</v>
      </c>
      <c r="G500" s="79">
        <v>35.729999999999997</v>
      </c>
      <c r="H500" s="79">
        <v>32.860000999999997</v>
      </c>
      <c r="I500" s="79"/>
      <c r="J500" s="78">
        <f>IF(inter=Weekly_2,J499+$C$5,IF(inter=Bi_weekly_2,J498+$C$5,IF(inter=Monthly_2,0,IF(inter=Quarterly_2,0,IF(inter=Yearly_2,0,IF(inter=None_2,0,0))))))</f>
        <v>157400</v>
      </c>
      <c r="K500" s="79">
        <f t="shared" si="541"/>
        <v>-776.9549652742935</v>
      </c>
      <c r="L500" s="79">
        <f t="shared" si="542"/>
        <v>-268.09182458263786</v>
      </c>
      <c r="M500" s="79">
        <f t="shared" si="543"/>
        <v>-257.58958757934852</v>
      </c>
      <c r="N500" s="79">
        <f t="shared" si="544"/>
        <v>-274.13966322264241</v>
      </c>
      <c r="O500" s="79">
        <f t="shared" si="545"/>
        <v>-1196.4713115355917</v>
      </c>
      <c r="P500" s="79">
        <f t="shared" si="546"/>
        <v>-1483.8269819639318</v>
      </c>
      <c r="Q500" s="79"/>
      <c r="R500" s="80">
        <f t="shared" si="516"/>
        <v>7.4406720949591802</v>
      </c>
      <c r="S500" s="80">
        <f t="shared" si="517"/>
        <v>3.2484166706779898</v>
      </c>
      <c r="T500" s="80">
        <f t="shared" si="518"/>
        <v>2.9775700106832561</v>
      </c>
      <c r="U500" s="80">
        <f t="shared" si="519"/>
        <v>2.6923950424537657</v>
      </c>
      <c r="V500" s="80">
        <f t="shared" si="520"/>
        <v>33.486462679417627</v>
      </c>
      <c r="W500" s="80">
        <f t="shared" si="521"/>
        <v>45.156023639924172</v>
      </c>
      <c r="X500" s="80">
        <f t="shared" si="572"/>
        <v>527.58093329976884</v>
      </c>
      <c r="Y500" s="80">
        <f t="shared" si="573"/>
        <v>190.7185289072886</v>
      </c>
      <c r="Z500" s="80">
        <f t="shared" si="574"/>
        <v>145.55542375319791</v>
      </c>
      <c r="AA500" s="80">
        <f t="shared" si="575"/>
        <v>108.21056766843452</v>
      </c>
      <c r="AB500" s="80">
        <f t="shared" si="576"/>
        <v>1101.3154212146655</v>
      </c>
      <c r="AC500" s="80">
        <f t="shared" si="577"/>
        <v>718.50271702669761</v>
      </c>
      <c r="AD500" s="80"/>
      <c r="AE500" s="80"/>
      <c r="AF500" s="80"/>
      <c r="AG500" s="80"/>
      <c r="AH500" s="80"/>
      <c r="AI500" s="80"/>
      <c r="AJ500" s="45">
        <f t="shared" si="522"/>
        <v>0</v>
      </c>
      <c r="AK500" s="45">
        <f t="shared" si="523"/>
        <v>0</v>
      </c>
      <c r="AL500" s="45">
        <f t="shared" si="524"/>
        <v>0</v>
      </c>
      <c r="AM500" s="45">
        <f t="shared" si="525"/>
        <v>0</v>
      </c>
      <c r="AN500" s="45">
        <f t="shared" si="526"/>
        <v>0</v>
      </c>
      <c r="AO500" s="45">
        <f t="shared" si="527"/>
        <v>0</v>
      </c>
      <c r="AP500" s="80">
        <f t="shared" si="528"/>
        <v>0</v>
      </c>
      <c r="AQ500" s="80">
        <f t="shared" si="529"/>
        <v>0</v>
      </c>
      <c r="AR500" s="80">
        <f t="shared" si="530"/>
        <v>0</v>
      </c>
      <c r="AS500" s="80">
        <f t="shared" si="531"/>
        <v>0</v>
      </c>
      <c r="AT500" s="80">
        <f t="shared" si="532"/>
        <v>0</v>
      </c>
      <c r="AU500" s="80">
        <f t="shared" si="533"/>
        <v>0</v>
      </c>
      <c r="AV500" s="80">
        <f t="shared" si="578"/>
        <v>69.780249324089866</v>
      </c>
      <c r="AW500" s="80">
        <f t="shared" si="579"/>
        <v>33.326967923463798</v>
      </c>
      <c r="AX500" s="80">
        <f t="shared" si="580"/>
        <v>20.665884015663583</v>
      </c>
      <c r="AY500" s="80">
        <f t="shared" si="581"/>
        <v>16.120784747884738</v>
      </c>
      <c r="AZ500" s="80">
        <f t="shared" si="582"/>
        <v>165.53303193738918</v>
      </c>
      <c r="BA500" s="80">
        <f t="shared" si="583"/>
        <v>79.977759138988063</v>
      </c>
      <c r="BB500" s="80">
        <f t="shared" si="547"/>
        <v>597.36118262385867</v>
      </c>
      <c r="BC500" s="80">
        <f t="shared" si="548"/>
        <v>224.0454968307524</v>
      </c>
      <c r="BD500" s="80">
        <f t="shared" si="549"/>
        <v>166.22130776886149</v>
      </c>
      <c r="BE500" s="80">
        <f t="shared" si="550"/>
        <v>124.33135241631926</v>
      </c>
      <c r="BF500" s="80">
        <f t="shared" si="551"/>
        <v>1266.8484531520548</v>
      </c>
      <c r="BG500" s="80">
        <f t="shared" si="552"/>
        <v>798.48047616568567</v>
      </c>
      <c r="BH500" s="49">
        <f t="shared" si="553"/>
        <v>0</v>
      </c>
      <c r="BI500" s="79">
        <f t="shared" si="554"/>
        <v>-117342.52398769563</v>
      </c>
      <c r="BJ500" s="79">
        <f t="shared" si="534"/>
        <v>157400</v>
      </c>
      <c r="BK500" s="44">
        <f t="shared" si="555"/>
        <v>0.34137220379292965</v>
      </c>
      <c r="BL500" s="79">
        <f t="shared" si="584"/>
        <v>18744.634958476912</v>
      </c>
      <c r="BM500" s="49">
        <f t="shared" si="556"/>
        <v>176144.63495847691</v>
      </c>
      <c r="BN500" s="44">
        <f t="shared" si="557"/>
        <v>0.50111510279894089</v>
      </c>
      <c r="BO500" s="49">
        <f t="shared" si="535"/>
        <v>22008.716571221736</v>
      </c>
      <c r="BP500" s="49">
        <f t="shared" si="536"/>
        <v>179408.71657122171</v>
      </c>
      <c r="BQ500" s="44">
        <f t="shared" si="537"/>
        <v>0.52893180131385487</v>
      </c>
      <c r="BS500" s="49">
        <f t="shared" si="538"/>
        <v>117342.52398769563</v>
      </c>
      <c r="BT500" s="49">
        <f t="shared" si="514"/>
        <v>104.41999800000001</v>
      </c>
      <c r="BU500" s="49">
        <f t="shared" si="515"/>
        <v>32.860000999999997</v>
      </c>
      <c r="BV500" s="49">
        <f t="shared" si="539"/>
        <v>4257.0743341584457</v>
      </c>
      <c r="BW500" s="18">
        <f t="shared" si="540"/>
        <v>3206</v>
      </c>
      <c r="BX500" s="19">
        <f t="shared" si="558"/>
        <v>0.26467889908256881</v>
      </c>
      <c r="BY500" s="49">
        <f t="shared" si="559"/>
        <v>1126.757748077717</v>
      </c>
      <c r="BZ500" s="19">
        <f t="shared" si="560"/>
        <v>7.4406720949591802</v>
      </c>
      <c r="CA500" s="19">
        <f t="shared" si="561"/>
        <v>3.2484166706779898</v>
      </c>
      <c r="CB500" s="19">
        <f t="shared" si="562"/>
        <v>2.9775700106832561</v>
      </c>
      <c r="CC500" s="19">
        <f t="shared" si="563"/>
        <v>2.6923950424537657</v>
      </c>
      <c r="CD500" s="19">
        <f t="shared" si="564"/>
        <v>33.486462679417627</v>
      </c>
      <c r="CE500" s="19">
        <f t="shared" si="565"/>
        <v>45.156023639924172</v>
      </c>
      <c r="CF500" s="49">
        <f t="shared" si="566"/>
        <v>-776.9549652742935</v>
      </c>
      <c r="CG500" s="49">
        <f t="shared" si="567"/>
        <v>-268.09182458263786</v>
      </c>
      <c r="CH500" s="49">
        <f t="shared" si="568"/>
        <v>-257.58958757934852</v>
      </c>
      <c r="CI500" s="49">
        <f t="shared" si="569"/>
        <v>-274.13966322264241</v>
      </c>
      <c r="CJ500" s="49">
        <f t="shared" si="570"/>
        <v>-1196.4713115355917</v>
      </c>
      <c r="CK500" s="49">
        <f t="shared" si="571"/>
        <v>-1483.8269819639318</v>
      </c>
    </row>
    <row r="501" spans="2:89" ht="12.75" customHeight="1" x14ac:dyDescent="0.2">
      <c r="B501" s="77">
        <v>42506</v>
      </c>
      <c r="C501" s="79">
        <v>104.889999</v>
      </c>
      <c r="D501" s="79">
        <v>82.93</v>
      </c>
      <c r="E501" s="79">
        <v>87.080001999999993</v>
      </c>
      <c r="F501" s="79">
        <v>102.410004</v>
      </c>
      <c r="G501" s="79">
        <v>36.020000000000003</v>
      </c>
      <c r="H501" s="79">
        <v>32.799999</v>
      </c>
      <c r="I501" s="79"/>
      <c r="J501" s="78">
        <f>IF(inter=Weekly_2,J500+$C$5,IF(inter=Bi_weekly_2,0,IF(inter=Monthly_2,0,IF(inter=Quarterly_2,0,IF(inter=Yearly_2,0,IF(inter=None_2,0,0))))))</f>
        <v>0</v>
      </c>
      <c r="K501" s="79">
        <f t="shared" si="541"/>
        <v>0</v>
      </c>
      <c r="L501" s="79">
        <f t="shared" si="542"/>
        <v>0</v>
      </c>
      <c r="M501" s="79">
        <f t="shared" si="543"/>
        <v>0</v>
      </c>
      <c r="N501" s="79">
        <f t="shared" si="544"/>
        <v>0</v>
      </c>
      <c r="O501" s="79">
        <f t="shared" si="545"/>
        <v>0</v>
      </c>
      <c r="P501" s="79">
        <f t="shared" si="546"/>
        <v>0</v>
      </c>
      <c r="Q501" s="79"/>
      <c r="R501" s="80">
        <f t="shared" si="516"/>
        <v>0</v>
      </c>
      <c r="S501" s="80">
        <f t="shared" si="517"/>
        <v>0</v>
      </c>
      <c r="T501" s="80">
        <f t="shared" si="518"/>
        <v>0</v>
      </c>
      <c r="U501" s="80">
        <f t="shared" si="519"/>
        <v>0</v>
      </c>
      <c r="V501" s="80">
        <f t="shared" si="520"/>
        <v>0</v>
      </c>
      <c r="W501" s="80">
        <f t="shared" si="521"/>
        <v>0</v>
      </c>
      <c r="X501" s="80">
        <f t="shared" si="572"/>
        <v>527.58093329976884</v>
      </c>
      <c r="Y501" s="80">
        <f t="shared" si="573"/>
        <v>190.7185289072886</v>
      </c>
      <c r="Z501" s="80">
        <f t="shared" si="574"/>
        <v>145.55542375319791</v>
      </c>
      <c r="AA501" s="80">
        <f t="shared" si="575"/>
        <v>108.21056766843452</v>
      </c>
      <c r="AB501" s="80">
        <f t="shared" si="576"/>
        <v>1101.3154212146655</v>
      </c>
      <c r="AC501" s="80">
        <f t="shared" si="577"/>
        <v>718.50271702669761</v>
      </c>
      <c r="AD501" s="80"/>
      <c r="AE501" s="80"/>
      <c r="AF501" s="80"/>
      <c r="AG501" s="80"/>
      <c r="AH501" s="80"/>
      <c r="AI501" s="80"/>
      <c r="AJ501" s="45">
        <f t="shared" si="522"/>
        <v>0</v>
      </c>
      <c r="AK501" s="45">
        <f t="shared" si="523"/>
        <v>0</v>
      </c>
      <c r="AL501" s="45">
        <f t="shared" si="524"/>
        <v>0</v>
      </c>
      <c r="AM501" s="45">
        <f t="shared" si="525"/>
        <v>0</v>
      </c>
      <c r="AN501" s="45">
        <f t="shared" si="526"/>
        <v>0</v>
      </c>
      <c r="AO501" s="45">
        <f t="shared" si="527"/>
        <v>0</v>
      </c>
      <c r="AP501" s="80">
        <f t="shared" si="528"/>
        <v>0</v>
      </c>
      <c r="AQ501" s="80">
        <f t="shared" si="529"/>
        <v>0</v>
      </c>
      <c r="AR501" s="80">
        <f t="shared" si="530"/>
        <v>0</v>
      </c>
      <c r="AS501" s="80">
        <f t="shared" si="531"/>
        <v>0</v>
      </c>
      <c r="AT501" s="80">
        <f t="shared" si="532"/>
        <v>0</v>
      </c>
      <c r="AU501" s="80">
        <f t="shared" si="533"/>
        <v>0</v>
      </c>
      <c r="AV501" s="80">
        <f t="shared" si="578"/>
        <v>69.780249324089866</v>
      </c>
      <c r="AW501" s="80">
        <f t="shared" si="579"/>
        <v>33.326967923463798</v>
      </c>
      <c r="AX501" s="80">
        <f t="shared" si="580"/>
        <v>20.665884015663583</v>
      </c>
      <c r="AY501" s="80">
        <f t="shared" si="581"/>
        <v>16.120784747884738</v>
      </c>
      <c r="AZ501" s="80">
        <f t="shared" si="582"/>
        <v>165.53303193738918</v>
      </c>
      <c r="BA501" s="80">
        <f t="shared" si="583"/>
        <v>79.977759138988063</v>
      </c>
      <c r="BB501" s="80">
        <f t="shared" si="547"/>
        <v>597.36118262385867</v>
      </c>
      <c r="BC501" s="80">
        <f t="shared" si="548"/>
        <v>224.0454968307524</v>
      </c>
      <c r="BD501" s="80">
        <f t="shared" si="549"/>
        <v>166.22130776886149</v>
      </c>
      <c r="BE501" s="80">
        <f t="shared" si="550"/>
        <v>124.33135241631926</v>
      </c>
      <c r="BF501" s="80">
        <f t="shared" si="551"/>
        <v>1266.8484531520548</v>
      </c>
      <c r="BG501" s="80">
        <f t="shared" si="552"/>
        <v>798.48047616568567</v>
      </c>
      <c r="BH501" s="49">
        <f t="shared" si="553"/>
        <v>0</v>
      </c>
      <c r="BI501" s="79">
        <f t="shared" si="554"/>
        <v>-117342.52398769563</v>
      </c>
      <c r="BJ501" s="79">
        <f t="shared" si="534"/>
        <v>158147.33229994445</v>
      </c>
      <c r="BK501" s="44">
        <f t="shared" si="555"/>
        <v>0.34774101430209181</v>
      </c>
      <c r="BL501" s="79">
        <f t="shared" si="584"/>
        <v>18744.634958476912</v>
      </c>
      <c r="BM501" s="49">
        <f t="shared" si="556"/>
        <v>176891.96725842135</v>
      </c>
      <c r="BN501" s="44">
        <f t="shared" si="557"/>
        <v>0.50748391330810305</v>
      </c>
      <c r="BO501" s="49">
        <f t="shared" si="535"/>
        <v>22119.340813811967</v>
      </c>
      <c r="BP501" s="49">
        <f t="shared" si="536"/>
        <v>180266.67311375643</v>
      </c>
      <c r="BQ501" s="44">
        <f t="shared" si="537"/>
        <v>0.53624335822756741</v>
      </c>
      <c r="BS501" s="49">
        <f t="shared" si="538"/>
        <v>117342.52398769563</v>
      </c>
      <c r="BT501" s="49">
        <f t="shared" si="514"/>
        <v>104.889999</v>
      </c>
      <c r="BU501" s="49">
        <f t="shared" si="515"/>
        <v>32.799999</v>
      </c>
      <c r="BV501" s="49">
        <f t="shared" si="539"/>
        <v>0</v>
      </c>
      <c r="BW501" s="18">
        <f t="shared" si="540"/>
        <v>3213</v>
      </c>
      <c r="BX501" s="19">
        <f t="shared" si="558"/>
        <v>0.26307339449541284</v>
      </c>
      <c r="BY501" s="49">
        <f t="shared" si="559"/>
        <v>0</v>
      </c>
      <c r="BZ501" s="19">
        <f t="shared" si="560"/>
        <v>0</v>
      </c>
      <c r="CA501" s="19">
        <f t="shared" si="561"/>
        <v>0</v>
      </c>
      <c r="CB501" s="19">
        <f t="shared" si="562"/>
        <v>0</v>
      </c>
      <c r="CC501" s="19">
        <f t="shared" si="563"/>
        <v>0</v>
      </c>
      <c r="CD501" s="19">
        <f t="shared" si="564"/>
        <v>0</v>
      </c>
      <c r="CE501" s="19">
        <f t="shared" si="565"/>
        <v>0</v>
      </c>
      <c r="CF501" s="49">
        <f t="shared" si="566"/>
        <v>0</v>
      </c>
      <c r="CG501" s="49">
        <f t="shared" si="567"/>
        <v>0</v>
      </c>
      <c r="CH501" s="49">
        <f t="shared" si="568"/>
        <v>0</v>
      </c>
      <c r="CI501" s="49">
        <f t="shared" si="569"/>
        <v>0</v>
      </c>
      <c r="CJ501" s="49">
        <f t="shared" si="570"/>
        <v>0</v>
      </c>
      <c r="CK501" s="49">
        <f t="shared" si="571"/>
        <v>0</v>
      </c>
    </row>
    <row r="502" spans="2:89" ht="12.75" customHeight="1" x14ac:dyDescent="0.2">
      <c r="B502" s="77">
        <v>42513</v>
      </c>
      <c r="C502" s="79">
        <v>107.389999</v>
      </c>
      <c r="D502" s="79">
        <v>84.660004000000001</v>
      </c>
      <c r="E502" s="79">
        <v>89.059997999999993</v>
      </c>
      <c r="F502" s="79">
        <v>105.220001</v>
      </c>
      <c r="G502" s="79">
        <v>36.729999999999997</v>
      </c>
      <c r="H502" s="79">
        <v>33.709999000000003</v>
      </c>
      <c r="I502" s="79"/>
      <c r="J502" s="78">
        <f>IF(inter=Weekly_2,J501+$C$5,IF(inter=Bi_weekly_2,J500+$C$5,IF(inter=Monthly_2,J498+$C$5,IF(inter=Quarterly_2,0,IF(inter=Yearly_2,0,IF(inter=None_2,0,0))))))</f>
        <v>158000</v>
      </c>
      <c r="K502" s="79">
        <f t="shared" si="541"/>
        <v>1356.915899481246</v>
      </c>
      <c r="L502" s="79">
        <f t="shared" si="542"/>
        <v>346.23142016516795</v>
      </c>
      <c r="M502" s="79">
        <f t="shared" si="543"/>
        <v>323.165748348958</v>
      </c>
      <c r="N502" s="79">
        <f t="shared" si="544"/>
        <v>325.91603828324514</v>
      </c>
      <c r="O502" s="79">
        <f t="shared" si="545"/>
        <v>951.31542121466191</v>
      </c>
      <c r="P502" s="79">
        <f t="shared" si="546"/>
        <v>520.72587246726107</v>
      </c>
      <c r="Q502" s="79"/>
      <c r="R502" s="80">
        <f t="shared" si="516"/>
        <v>-12.635402850513538</v>
      </c>
      <c r="S502" s="80">
        <f t="shared" si="517"/>
        <v>-4.0896693102585724</v>
      </c>
      <c r="T502" s="80">
        <f t="shared" si="518"/>
        <v>-3.6286296385158017</v>
      </c>
      <c r="U502" s="80">
        <f t="shared" si="519"/>
        <v>-3.0974722979069842</v>
      </c>
      <c r="V502" s="80">
        <f t="shared" si="520"/>
        <v>-25.900229273472963</v>
      </c>
      <c r="W502" s="80">
        <f t="shared" si="521"/>
        <v>-15.447223017338596</v>
      </c>
      <c r="X502" s="80">
        <f t="shared" si="572"/>
        <v>514.94553044925533</v>
      </c>
      <c r="Y502" s="80">
        <f t="shared" si="573"/>
        <v>186.62885959703002</v>
      </c>
      <c r="Z502" s="80">
        <f t="shared" si="574"/>
        <v>141.92679411468211</v>
      </c>
      <c r="AA502" s="80">
        <f t="shared" si="575"/>
        <v>105.11309537052753</v>
      </c>
      <c r="AB502" s="80">
        <f t="shared" si="576"/>
        <v>1075.4151919411927</v>
      </c>
      <c r="AC502" s="80">
        <f t="shared" si="577"/>
        <v>703.05549400935899</v>
      </c>
      <c r="AD502" s="80"/>
      <c r="AE502" s="80"/>
      <c r="AF502" s="80"/>
      <c r="AG502" s="80"/>
      <c r="AH502" s="80"/>
      <c r="AI502" s="80"/>
      <c r="AJ502" s="45">
        <f t="shared" si="522"/>
        <v>0</v>
      </c>
      <c r="AK502" s="45">
        <f t="shared" si="523"/>
        <v>0</v>
      </c>
      <c r="AL502" s="45">
        <f t="shared" si="524"/>
        <v>0</v>
      </c>
      <c r="AM502" s="45">
        <f t="shared" si="525"/>
        <v>0</v>
      </c>
      <c r="AN502" s="45">
        <f t="shared" si="526"/>
        <v>0</v>
      </c>
      <c r="AO502" s="45">
        <f t="shared" si="527"/>
        <v>0</v>
      </c>
      <c r="AP502" s="80">
        <f t="shared" si="528"/>
        <v>0</v>
      </c>
      <c r="AQ502" s="80">
        <f t="shared" si="529"/>
        <v>0</v>
      </c>
      <c r="AR502" s="80">
        <f t="shared" si="530"/>
        <v>0</v>
      </c>
      <c r="AS502" s="80">
        <f t="shared" si="531"/>
        <v>0</v>
      </c>
      <c r="AT502" s="80">
        <f t="shared" si="532"/>
        <v>0</v>
      </c>
      <c r="AU502" s="80">
        <f t="shared" si="533"/>
        <v>0</v>
      </c>
      <c r="AV502" s="80">
        <f t="shared" si="578"/>
        <v>69.780249324089866</v>
      </c>
      <c r="AW502" s="80">
        <f t="shared" si="579"/>
        <v>33.326967923463798</v>
      </c>
      <c r="AX502" s="80">
        <f t="shared" si="580"/>
        <v>20.665884015663583</v>
      </c>
      <c r="AY502" s="80">
        <f t="shared" si="581"/>
        <v>16.120784747884738</v>
      </c>
      <c r="AZ502" s="80">
        <f t="shared" si="582"/>
        <v>165.53303193738918</v>
      </c>
      <c r="BA502" s="80">
        <f t="shared" si="583"/>
        <v>79.977759138988063</v>
      </c>
      <c r="BB502" s="80">
        <f t="shared" si="547"/>
        <v>584.72577977334515</v>
      </c>
      <c r="BC502" s="80">
        <f t="shared" si="548"/>
        <v>219.95582752049381</v>
      </c>
      <c r="BD502" s="80">
        <f t="shared" si="549"/>
        <v>162.59267813034569</v>
      </c>
      <c r="BE502" s="80">
        <f t="shared" si="550"/>
        <v>121.23388011841227</v>
      </c>
      <c r="BF502" s="80">
        <f t="shared" si="551"/>
        <v>1240.9482238785818</v>
      </c>
      <c r="BG502" s="80">
        <f t="shared" si="552"/>
        <v>783.03325314834706</v>
      </c>
      <c r="BH502" s="49">
        <f t="shared" si="553"/>
        <v>0</v>
      </c>
      <c r="BI502" s="79">
        <f t="shared" si="554"/>
        <v>-113518.2535877351</v>
      </c>
      <c r="BJ502" s="79">
        <f t="shared" si="534"/>
        <v>158000</v>
      </c>
      <c r="BK502" s="44">
        <f t="shared" si="555"/>
        <v>0.39184664145565096</v>
      </c>
      <c r="BL502" s="79">
        <f t="shared" si="584"/>
        <v>18744.634958476912</v>
      </c>
      <c r="BM502" s="49">
        <f t="shared" si="556"/>
        <v>176744.63495847691</v>
      </c>
      <c r="BN502" s="44">
        <f t="shared" si="557"/>
        <v>0.55697105419152604</v>
      </c>
      <c r="BO502" s="49">
        <f t="shared" si="535"/>
        <v>22627.97316289636</v>
      </c>
      <c r="BP502" s="49">
        <f t="shared" si="536"/>
        <v>180627.97316289635</v>
      </c>
      <c r="BQ502" s="44">
        <f t="shared" si="537"/>
        <v>0.59117998607416911</v>
      </c>
      <c r="BS502" s="49">
        <f t="shared" si="538"/>
        <v>113518.2535877351</v>
      </c>
      <c r="BT502" s="49">
        <f t="shared" si="514"/>
        <v>107.389999</v>
      </c>
      <c r="BU502" s="49">
        <f t="shared" si="515"/>
        <v>33.709999000000003</v>
      </c>
      <c r="BV502" s="49">
        <f t="shared" si="539"/>
        <v>-3824.2703999605401</v>
      </c>
      <c r="BW502" s="18">
        <f t="shared" si="540"/>
        <v>3220</v>
      </c>
      <c r="BX502" s="19">
        <f t="shared" si="558"/>
        <v>0.26146788990825687</v>
      </c>
      <c r="BY502" s="49">
        <f t="shared" si="559"/>
        <v>-999.92391191628792</v>
      </c>
      <c r="BZ502" s="19">
        <f t="shared" si="560"/>
        <v>0</v>
      </c>
      <c r="CA502" s="19">
        <f t="shared" si="561"/>
        <v>0</v>
      </c>
      <c r="CB502" s="19">
        <f t="shared" si="562"/>
        <v>0</v>
      </c>
      <c r="CC502" s="19">
        <f t="shared" si="563"/>
        <v>0</v>
      </c>
      <c r="CD502" s="19">
        <f t="shared" si="564"/>
        <v>0</v>
      </c>
      <c r="CE502" s="19">
        <f t="shared" si="565"/>
        <v>0</v>
      </c>
      <c r="CF502" s="49">
        <f t="shared" si="566"/>
        <v>0</v>
      </c>
      <c r="CG502" s="49">
        <f t="shared" si="567"/>
        <v>0</v>
      </c>
      <c r="CH502" s="49">
        <f t="shared" si="568"/>
        <v>0</v>
      </c>
      <c r="CI502" s="49">
        <f t="shared" si="569"/>
        <v>0</v>
      </c>
      <c r="CJ502" s="49">
        <f t="shared" si="570"/>
        <v>0</v>
      </c>
      <c r="CK502" s="49">
        <f t="shared" si="571"/>
        <v>0</v>
      </c>
    </row>
    <row r="503" spans="2:89" ht="12.75" customHeight="1" x14ac:dyDescent="0.2">
      <c r="B503" s="77">
        <v>42521</v>
      </c>
      <c r="C503" s="79">
        <v>107.69000200000001</v>
      </c>
      <c r="D503" s="79">
        <v>84.690002000000007</v>
      </c>
      <c r="E503" s="79">
        <v>89.790001000000004</v>
      </c>
      <c r="F503" s="79">
        <v>106.139999</v>
      </c>
      <c r="G503" s="79">
        <v>36.880001</v>
      </c>
      <c r="H503" s="79">
        <v>34.57</v>
      </c>
      <c r="I503" s="79"/>
      <c r="J503" s="78">
        <f>IF(inter=Weekly_2,J502+$C$5,IF(inter=Bi_weekly_2,0,IF(inter=Monthly_2,0,IF(inter=Quarterly_2,0,IF(inter=Yearly_2,0,IF(inter=None_2,0,0))))))</f>
        <v>0</v>
      </c>
      <c r="K503" s="79">
        <f t="shared" si="541"/>
        <v>0</v>
      </c>
      <c r="L503" s="79">
        <f t="shared" si="542"/>
        <v>0</v>
      </c>
      <c r="M503" s="79">
        <f t="shared" si="543"/>
        <v>0</v>
      </c>
      <c r="N503" s="79">
        <f t="shared" si="544"/>
        <v>0</v>
      </c>
      <c r="O503" s="79">
        <f t="shared" si="545"/>
        <v>0</v>
      </c>
      <c r="P503" s="79">
        <f t="shared" si="546"/>
        <v>0</v>
      </c>
      <c r="Q503" s="79"/>
      <c r="R503" s="80">
        <f t="shared" si="516"/>
        <v>0</v>
      </c>
      <c r="S503" s="80">
        <f t="shared" si="517"/>
        <v>0</v>
      </c>
      <c r="T503" s="80">
        <f t="shared" si="518"/>
        <v>0</v>
      </c>
      <c r="U503" s="80">
        <f t="shared" si="519"/>
        <v>0</v>
      </c>
      <c r="V503" s="80">
        <f t="shared" si="520"/>
        <v>0</v>
      </c>
      <c r="W503" s="80">
        <f t="shared" si="521"/>
        <v>0</v>
      </c>
      <c r="X503" s="80">
        <f t="shared" si="572"/>
        <v>514.94553044925533</v>
      </c>
      <c r="Y503" s="80">
        <f t="shared" si="573"/>
        <v>186.62885959703002</v>
      </c>
      <c r="Z503" s="80">
        <f t="shared" si="574"/>
        <v>141.92679411468211</v>
      </c>
      <c r="AA503" s="80">
        <f t="shared" si="575"/>
        <v>105.11309537052753</v>
      </c>
      <c r="AB503" s="80">
        <f t="shared" si="576"/>
        <v>1075.4151919411927</v>
      </c>
      <c r="AC503" s="80">
        <f t="shared" si="577"/>
        <v>703.05549400935899</v>
      </c>
      <c r="AD503" s="80"/>
      <c r="AE503" s="80"/>
      <c r="AF503" s="80"/>
      <c r="AG503" s="80"/>
      <c r="AH503" s="80"/>
      <c r="AI503" s="80"/>
      <c r="AJ503" s="45">
        <f t="shared" si="522"/>
        <v>0</v>
      </c>
      <c r="AK503" s="45">
        <f t="shared" si="523"/>
        <v>0</v>
      </c>
      <c r="AL503" s="45">
        <f t="shared" si="524"/>
        <v>0</v>
      </c>
      <c r="AM503" s="45">
        <f t="shared" si="525"/>
        <v>0</v>
      </c>
      <c r="AN503" s="45">
        <f t="shared" si="526"/>
        <v>0</v>
      </c>
      <c r="AO503" s="45">
        <f t="shared" si="527"/>
        <v>0</v>
      </c>
      <c r="AP503" s="80">
        <f t="shared" si="528"/>
        <v>0</v>
      </c>
      <c r="AQ503" s="80">
        <f t="shared" si="529"/>
        <v>0</v>
      </c>
      <c r="AR503" s="80">
        <f t="shared" si="530"/>
        <v>0</v>
      </c>
      <c r="AS503" s="80">
        <f t="shared" si="531"/>
        <v>0</v>
      </c>
      <c r="AT503" s="80">
        <f t="shared" si="532"/>
        <v>0</v>
      </c>
      <c r="AU503" s="80">
        <f t="shared" si="533"/>
        <v>0</v>
      </c>
      <c r="AV503" s="80">
        <f t="shared" si="578"/>
        <v>69.780249324089866</v>
      </c>
      <c r="AW503" s="80">
        <f t="shared" si="579"/>
        <v>33.326967923463798</v>
      </c>
      <c r="AX503" s="80">
        <f t="shared" si="580"/>
        <v>20.665884015663583</v>
      </c>
      <c r="AY503" s="80">
        <f t="shared" si="581"/>
        <v>16.120784747884738</v>
      </c>
      <c r="AZ503" s="80">
        <f t="shared" si="582"/>
        <v>165.53303193738918</v>
      </c>
      <c r="BA503" s="80">
        <f t="shared" si="583"/>
        <v>79.977759138988063</v>
      </c>
      <c r="BB503" s="80">
        <f t="shared" si="547"/>
        <v>584.72577977334515</v>
      </c>
      <c r="BC503" s="80">
        <f t="shared" si="548"/>
        <v>219.95582752049381</v>
      </c>
      <c r="BD503" s="80">
        <f t="shared" si="549"/>
        <v>162.59267813034569</v>
      </c>
      <c r="BE503" s="80">
        <f t="shared" si="550"/>
        <v>121.23388011841227</v>
      </c>
      <c r="BF503" s="80">
        <f t="shared" si="551"/>
        <v>1240.9482238785818</v>
      </c>
      <c r="BG503" s="80">
        <f t="shared" si="552"/>
        <v>783.03325314834706</v>
      </c>
      <c r="BH503" s="49">
        <f t="shared" si="553"/>
        <v>0</v>
      </c>
      <c r="BI503" s="79">
        <f t="shared" si="554"/>
        <v>-113518.2535877351</v>
      </c>
      <c r="BJ503" s="79">
        <f t="shared" si="534"/>
        <v>159126.33630161028</v>
      </c>
      <c r="BK503" s="44">
        <f t="shared" si="555"/>
        <v>0.40176871359834609</v>
      </c>
      <c r="BL503" s="79">
        <f t="shared" si="584"/>
        <v>18744.634958476912</v>
      </c>
      <c r="BM503" s="49">
        <f t="shared" si="556"/>
        <v>177870.97126008719</v>
      </c>
      <c r="BN503" s="44">
        <f t="shared" si="557"/>
        <v>0.56689312633422118</v>
      </c>
      <c r="BO503" s="49">
        <f t="shared" si="535"/>
        <v>22773.435509634604</v>
      </c>
      <c r="BP503" s="49">
        <f t="shared" si="536"/>
        <v>181899.77181124489</v>
      </c>
      <c r="BQ503" s="44">
        <f t="shared" si="537"/>
        <v>0.6023834587153829</v>
      </c>
      <c r="BS503" s="49">
        <f t="shared" si="538"/>
        <v>113518.2535877351</v>
      </c>
      <c r="BT503" s="49">
        <f t="shared" si="514"/>
        <v>107.69000200000001</v>
      </c>
      <c r="BU503" s="49">
        <f t="shared" si="515"/>
        <v>34.57</v>
      </c>
      <c r="BV503" s="49">
        <f t="shared" si="539"/>
        <v>0</v>
      </c>
      <c r="BW503" s="18">
        <f t="shared" si="540"/>
        <v>3228</v>
      </c>
      <c r="BX503" s="19">
        <f t="shared" si="558"/>
        <v>0.25963302752293577</v>
      </c>
      <c r="BY503" s="49">
        <f t="shared" si="559"/>
        <v>0</v>
      </c>
      <c r="BZ503" s="19">
        <f t="shared" si="560"/>
        <v>0</v>
      </c>
      <c r="CA503" s="19">
        <f t="shared" si="561"/>
        <v>0</v>
      </c>
      <c r="CB503" s="19">
        <f t="shared" si="562"/>
        <v>0</v>
      </c>
      <c r="CC503" s="19">
        <f t="shared" si="563"/>
        <v>0</v>
      </c>
      <c r="CD503" s="19">
        <f t="shared" si="564"/>
        <v>0</v>
      </c>
      <c r="CE503" s="19">
        <f t="shared" si="565"/>
        <v>0</v>
      </c>
      <c r="CF503" s="49">
        <f t="shared" si="566"/>
        <v>0</v>
      </c>
      <c r="CG503" s="49">
        <f t="shared" si="567"/>
        <v>0</v>
      </c>
      <c r="CH503" s="49">
        <f t="shared" si="568"/>
        <v>0</v>
      </c>
      <c r="CI503" s="49">
        <f t="shared" si="569"/>
        <v>0</v>
      </c>
      <c r="CJ503" s="49">
        <f t="shared" si="570"/>
        <v>0</v>
      </c>
      <c r="CK503" s="49">
        <f t="shared" si="571"/>
        <v>0</v>
      </c>
    </row>
    <row r="504" spans="2:89" ht="12.75" customHeight="1" x14ac:dyDescent="0.2">
      <c r="B504" s="77">
        <v>42527</v>
      </c>
      <c r="C504" s="79">
        <v>107.5</v>
      </c>
      <c r="D504" s="79">
        <v>84.879997000000003</v>
      </c>
      <c r="E504" s="79">
        <v>89.68</v>
      </c>
      <c r="F504" s="79">
        <v>106.230003</v>
      </c>
      <c r="G504" s="79">
        <v>36.060001</v>
      </c>
      <c r="H504" s="79">
        <v>34.200001</v>
      </c>
      <c r="I504" s="79"/>
      <c r="J504" s="78">
        <f>IF(inter=Weekly_2,J503+$C$5,IF(inter=Bi_weekly_2,J502+$C$5,IF(inter=Monthly_2,0,IF(inter=Quarterly_2,0,IF(inter=Yearly_2,0,IF(inter=None_2,0,0))))))</f>
        <v>158600</v>
      </c>
      <c r="K504" s="79">
        <f t="shared" si="541"/>
        <v>-153.35547670505184</v>
      </c>
      <c r="L504" s="79">
        <f t="shared" si="542"/>
        <v>-18.942957290670165</v>
      </c>
      <c r="M504" s="79">
        <f t="shared" si="543"/>
        <v>39.99489620469285</v>
      </c>
      <c r="N504" s="79">
        <f t="shared" si="544"/>
        <v>64.164436550423488</v>
      </c>
      <c r="O504" s="79">
        <f t="shared" si="545"/>
        <v>-870.52710318539903</v>
      </c>
      <c r="P504" s="79">
        <f t="shared" si="546"/>
        <v>254.49859817557081</v>
      </c>
      <c r="Q504" s="79"/>
      <c r="R504" s="80">
        <f t="shared" si="516"/>
        <v>1.4265625740004821</v>
      </c>
      <c r="S504" s="80">
        <f t="shared" si="517"/>
        <v>0.22317339726897215</v>
      </c>
      <c r="T504" s="80">
        <f t="shared" si="518"/>
        <v>-0.44597341887480874</v>
      </c>
      <c r="U504" s="80">
        <f t="shared" si="519"/>
        <v>-0.60401425904528583</v>
      </c>
      <c r="V504" s="80">
        <f t="shared" si="520"/>
        <v>24.141072630180986</v>
      </c>
      <c r="W504" s="80">
        <f t="shared" si="521"/>
        <v>-7.4414792612307465</v>
      </c>
      <c r="X504" s="80">
        <f t="shared" si="572"/>
        <v>516.37209302325584</v>
      </c>
      <c r="Y504" s="80">
        <f t="shared" si="573"/>
        <v>186.85203299429898</v>
      </c>
      <c r="Z504" s="80">
        <f t="shared" si="574"/>
        <v>141.4808206958073</v>
      </c>
      <c r="AA504" s="80">
        <f t="shared" si="575"/>
        <v>104.50908111148225</v>
      </c>
      <c r="AB504" s="80">
        <f t="shared" si="576"/>
        <v>1099.5562645713737</v>
      </c>
      <c r="AC504" s="80">
        <f t="shared" si="577"/>
        <v>695.61401474812828</v>
      </c>
      <c r="AD504" s="80"/>
      <c r="AE504" s="80"/>
      <c r="AF504" s="80"/>
      <c r="AG504" s="80"/>
      <c r="AH504" s="80"/>
      <c r="AI504" s="80"/>
      <c r="AJ504" s="45">
        <f t="shared" si="522"/>
        <v>0</v>
      </c>
      <c r="AK504" s="45">
        <f t="shared" si="523"/>
        <v>0</v>
      </c>
      <c r="AL504" s="45">
        <f t="shared" si="524"/>
        <v>0</v>
      </c>
      <c r="AM504" s="45">
        <f t="shared" si="525"/>
        <v>0</v>
      </c>
      <c r="AN504" s="45">
        <f t="shared" si="526"/>
        <v>0</v>
      </c>
      <c r="AO504" s="45">
        <f t="shared" si="527"/>
        <v>0</v>
      </c>
      <c r="AP504" s="80">
        <f t="shared" si="528"/>
        <v>0</v>
      </c>
      <c r="AQ504" s="80">
        <f t="shared" si="529"/>
        <v>0</v>
      </c>
      <c r="AR504" s="80">
        <f t="shared" si="530"/>
        <v>0</v>
      </c>
      <c r="AS504" s="80">
        <f t="shared" si="531"/>
        <v>0</v>
      </c>
      <c r="AT504" s="80">
        <f t="shared" si="532"/>
        <v>0</v>
      </c>
      <c r="AU504" s="80">
        <f t="shared" si="533"/>
        <v>0</v>
      </c>
      <c r="AV504" s="80">
        <f t="shared" si="578"/>
        <v>69.780249324089866</v>
      </c>
      <c r="AW504" s="80">
        <f t="shared" si="579"/>
        <v>33.326967923463798</v>
      </c>
      <c r="AX504" s="80">
        <f t="shared" si="580"/>
        <v>20.665884015663583</v>
      </c>
      <c r="AY504" s="80">
        <f t="shared" si="581"/>
        <v>16.120784747884738</v>
      </c>
      <c r="AZ504" s="80">
        <f t="shared" si="582"/>
        <v>165.53303193738918</v>
      </c>
      <c r="BA504" s="80">
        <f t="shared" si="583"/>
        <v>79.977759138988063</v>
      </c>
      <c r="BB504" s="80">
        <f t="shared" si="547"/>
        <v>586.15234234734567</v>
      </c>
      <c r="BC504" s="80">
        <f t="shared" si="548"/>
        <v>220.17900091776278</v>
      </c>
      <c r="BD504" s="80">
        <f t="shared" si="549"/>
        <v>162.14670471147087</v>
      </c>
      <c r="BE504" s="80">
        <f t="shared" si="550"/>
        <v>120.62986585936699</v>
      </c>
      <c r="BF504" s="80">
        <f t="shared" si="551"/>
        <v>1265.0892965087628</v>
      </c>
      <c r="BG504" s="80">
        <f t="shared" si="552"/>
        <v>775.59177388711635</v>
      </c>
      <c r="BH504" s="49">
        <f t="shared" si="553"/>
        <v>0</v>
      </c>
      <c r="BI504" s="79">
        <f t="shared" si="554"/>
        <v>-114202.42119398554</v>
      </c>
      <c r="BJ504" s="79">
        <f t="shared" si="534"/>
        <v>158600</v>
      </c>
      <c r="BK504" s="44">
        <f t="shared" si="555"/>
        <v>0.38876215006510439</v>
      </c>
      <c r="BL504" s="79">
        <f t="shared" si="584"/>
        <v>18744.634958476912</v>
      </c>
      <c r="BM504" s="49">
        <f t="shared" si="556"/>
        <v>177344.63495847691</v>
      </c>
      <c r="BN504" s="44">
        <f t="shared" si="557"/>
        <v>0.55289733005955521</v>
      </c>
      <c r="BO504" s="49">
        <f t="shared" si="535"/>
        <v>22600.35797008366</v>
      </c>
      <c r="BP504" s="49">
        <f t="shared" si="536"/>
        <v>181200.35797008369</v>
      </c>
      <c r="BQ504" s="44">
        <f t="shared" si="537"/>
        <v>0.58665951278121042</v>
      </c>
      <c r="BS504" s="49">
        <f t="shared" si="538"/>
        <v>114202.42119398554</v>
      </c>
      <c r="BT504" s="49">
        <f t="shared" si="514"/>
        <v>107.5</v>
      </c>
      <c r="BU504" s="49">
        <f t="shared" si="515"/>
        <v>34.200001</v>
      </c>
      <c r="BV504" s="49">
        <f t="shared" si="539"/>
        <v>684.16760625043389</v>
      </c>
      <c r="BW504" s="18">
        <f t="shared" si="540"/>
        <v>3234</v>
      </c>
      <c r="BX504" s="19">
        <f t="shared" si="558"/>
        <v>0.25825688073394493</v>
      </c>
      <c r="BY504" s="49">
        <f t="shared" si="559"/>
        <v>176.69099188944691</v>
      </c>
      <c r="BZ504" s="19">
        <f t="shared" si="560"/>
        <v>1.4265625740004821</v>
      </c>
      <c r="CA504" s="19">
        <f t="shared" si="561"/>
        <v>0.22317339726897215</v>
      </c>
      <c r="CB504" s="19">
        <f t="shared" si="562"/>
        <v>0</v>
      </c>
      <c r="CC504" s="19">
        <f t="shared" si="563"/>
        <v>0</v>
      </c>
      <c r="CD504" s="19">
        <f t="shared" si="564"/>
        <v>24.141072630180986</v>
      </c>
      <c r="CE504" s="19">
        <f t="shared" si="565"/>
        <v>0</v>
      </c>
      <c r="CF504" s="49">
        <f t="shared" si="566"/>
        <v>-153.35547670505184</v>
      </c>
      <c r="CG504" s="49">
        <f t="shared" si="567"/>
        <v>-18.942957290670165</v>
      </c>
      <c r="CH504" s="49">
        <f t="shared" si="568"/>
        <v>0</v>
      </c>
      <c r="CI504" s="49">
        <f t="shared" si="569"/>
        <v>0</v>
      </c>
      <c r="CJ504" s="49">
        <f t="shared" si="570"/>
        <v>-870.52710318539903</v>
      </c>
      <c r="CK504" s="49">
        <f t="shared" si="571"/>
        <v>0</v>
      </c>
    </row>
    <row r="505" spans="2:89" ht="12.75" customHeight="1" x14ac:dyDescent="0.2">
      <c r="B505" s="77">
        <v>42534</v>
      </c>
      <c r="C505" s="79">
        <v>105.800003</v>
      </c>
      <c r="D505" s="79">
        <v>83.650002000000001</v>
      </c>
      <c r="E505" s="79">
        <v>88.389999000000003</v>
      </c>
      <c r="F505" s="79">
        <v>104.480003</v>
      </c>
      <c r="G505" s="79">
        <v>35.130001</v>
      </c>
      <c r="H505" s="79">
        <v>33.830002</v>
      </c>
      <c r="I505" s="79"/>
      <c r="J505" s="78">
        <f>IF(inter=Weekly_2,J504+$C$5,IF(inter=Bi_weekly_2,0,IF(inter=Monthly_2,0,IF(inter=Quarterly_2,0,IF(inter=Yearly_2,0,IF(inter=None_2,0,0))))))</f>
        <v>0</v>
      </c>
      <c r="K505" s="79">
        <f t="shared" si="541"/>
        <v>0</v>
      </c>
      <c r="L505" s="79">
        <f t="shared" si="542"/>
        <v>0</v>
      </c>
      <c r="M505" s="79">
        <f t="shared" si="543"/>
        <v>0</v>
      </c>
      <c r="N505" s="79">
        <f t="shared" si="544"/>
        <v>0</v>
      </c>
      <c r="O505" s="79">
        <f t="shared" si="545"/>
        <v>0</v>
      </c>
      <c r="P505" s="79">
        <f t="shared" si="546"/>
        <v>0</v>
      </c>
      <c r="Q505" s="79"/>
      <c r="R505" s="80">
        <f t="shared" si="516"/>
        <v>0</v>
      </c>
      <c r="S505" s="80">
        <f t="shared" si="517"/>
        <v>0</v>
      </c>
      <c r="T505" s="80">
        <f t="shared" si="518"/>
        <v>0</v>
      </c>
      <c r="U505" s="80">
        <f t="shared" si="519"/>
        <v>0</v>
      </c>
      <c r="V505" s="80">
        <f t="shared" si="520"/>
        <v>0</v>
      </c>
      <c r="W505" s="80">
        <f t="shared" si="521"/>
        <v>0</v>
      </c>
      <c r="X505" s="80">
        <f t="shared" si="572"/>
        <v>516.37209302325584</v>
      </c>
      <c r="Y505" s="80">
        <f t="shared" si="573"/>
        <v>186.85203299429898</v>
      </c>
      <c r="Z505" s="80">
        <f t="shared" si="574"/>
        <v>141.4808206958073</v>
      </c>
      <c r="AA505" s="80">
        <f t="shared" si="575"/>
        <v>104.50908111148225</v>
      </c>
      <c r="AB505" s="80">
        <f t="shared" si="576"/>
        <v>1099.5562645713737</v>
      </c>
      <c r="AC505" s="80">
        <f t="shared" si="577"/>
        <v>695.61401474812828</v>
      </c>
      <c r="AD505" s="80">
        <v>0.46899999999999997</v>
      </c>
      <c r="AE505" s="80">
        <v>0.48399999999999999</v>
      </c>
      <c r="AF505" s="80">
        <v>0.44700000000000001</v>
      </c>
      <c r="AG505" s="80">
        <v>0.32</v>
      </c>
      <c r="AH505" s="80">
        <v>0.48199999999999998</v>
      </c>
      <c r="AI505" s="80">
        <v>0.223001</v>
      </c>
      <c r="AJ505" s="45">
        <f t="shared" si="522"/>
        <v>242.17851162790697</v>
      </c>
      <c r="AK505" s="45">
        <f t="shared" si="523"/>
        <v>90.436383969240708</v>
      </c>
      <c r="AL505" s="45">
        <f t="shared" si="524"/>
        <v>63.241926851025859</v>
      </c>
      <c r="AM505" s="45">
        <f t="shared" si="525"/>
        <v>33.44290595567432</v>
      </c>
      <c r="AN505" s="45">
        <f t="shared" si="526"/>
        <v>529.98611952340207</v>
      </c>
      <c r="AO505" s="45">
        <f t="shared" si="527"/>
        <v>155.12262090284736</v>
      </c>
      <c r="AP505" s="80">
        <f t="shared" si="528"/>
        <v>2.2890217841289378</v>
      </c>
      <c r="AQ505" s="80">
        <f t="shared" si="529"/>
        <v>1.0811282941659788</v>
      </c>
      <c r="AR505" s="80">
        <f t="shared" si="530"/>
        <v>0.71548735791959739</v>
      </c>
      <c r="AS505" s="80">
        <f t="shared" si="531"/>
        <v>0.32008906006323834</v>
      </c>
      <c r="AT505" s="80">
        <f t="shared" si="532"/>
        <v>15.086424834528245</v>
      </c>
      <c r="AU505" s="80">
        <f t="shared" si="533"/>
        <v>4.5853565395251046</v>
      </c>
      <c r="AV505" s="80">
        <f t="shared" si="578"/>
        <v>72.0692711082188</v>
      </c>
      <c r="AW505" s="80">
        <f t="shared" si="579"/>
        <v>34.408096217629776</v>
      </c>
      <c r="AX505" s="80">
        <f t="shared" si="580"/>
        <v>21.381371373583178</v>
      </c>
      <c r="AY505" s="80">
        <f t="shared" si="581"/>
        <v>16.440873807947977</v>
      </c>
      <c r="AZ505" s="80">
        <f t="shared" si="582"/>
        <v>180.61945677191744</v>
      </c>
      <c r="BA505" s="80">
        <f t="shared" si="583"/>
        <v>84.563115678513171</v>
      </c>
      <c r="BB505" s="80">
        <f t="shared" si="547"/>
        <v>588.44136413147464</v>
      </c>
      <c r="BC505" s="80">
        <f t="shared" si="548"/>
        <v>221.26012921192876</v>
      </c>
      <c r="BD505" s="80">
        <f t="shared" si="549"/>
        <v>162.86219206939046</v>
      </c>
      <c r="BE505" s="80">
        <f t="shared" si="550"/>
        <v>120.94995491943023</v>
      </c>
      <c r="BF505" s="80">
        <f t="shared" si="551"/>
        <v>1280.1757213432911</v>
      </c>
      <c r="BG505" s="80">
        <f t="shared" si="552"/>
        <v>780.1771304266415</v>
      </c>
      <c r="BH505" s="49">
        <f t="shared" si="553"/>
        <v>1114.4084688300973</v>
      </c>
      <c r="BI505" s="79">
        <f t="shared" si="554"/>
        <v>-114202.42119398554</v>
      </c>
      <c r="BJ505" s="79">
        <f t="shared" si="534"/>
        <v>155846.97681663628</v>
      </c>
      <c r="BK505" s="44">
        <f t="shared" si="555"/>
        <v>0.3646556280265969</v>
      </c>
      <c r="BL505" s="79">
        <f t="shared" si="584"/>
        <v>19859.04342730701</v>
      </c>
      <c r="BM505" s="49">
        <f t="shared" si="556"/>
        <v>175706.02024394329</v>
      </c>
      <c r="BN505" s="44">
        <f t="shared" si="557"/>
        <v>0.53854899403128265</v>
      </c>
      <c r="BO505" s="49">
        <f t="shared" si="535"/>
        <v>23316.740425532207</v>
      </c>
      <c r="BP505" s="49">
        <f t="shared" si="536"/>
        <v>179163.71724216847</v>
      </c>
      <c r="BQ505" s="44">
        <f t="shared" si="537"/>
        <v>0.56882590902200669</v>
      </c>
      <c r="BS505" s="49">
        <f t="shared" si="538"/>
        <v>114202.42119398554</v>
      </c>
      <c r="BT505" s="49">
        <f t="shared" si="514"/>
        <v>105.800003</v>
      </c>
      <c r="BU505" s="49">
        <f t="shared" si="515"/>
        <v>33.830002</v>
      </c>
      <c r="BV505" s="49">
        <f t="shared" si="539"/>
        <v>-1114.4084688300973</v>
      </c>
      <c r="BW505" s="18">
        <f t="shared" si="540"/>
        <v>3241</v>
      </c>
      <c r="BX505" s="19">
        <f t="shared" si="558"/>
        <v>0.25665137614678901</v>
      </c>
      <c r="BY505" s="49">
        <f t="shared" si="559"/>
        <v>-286.01446711488052</v>
      </c>
      <c r="BZ505" s="19">
        <f t="shared" si="560"/>
        <v>0</v>
      </c>
      <c r="CA505" s="19">
        <f t="shared" si="561"/>
        <v>0</v>
      </c>
      <c r="CB505" s="19">
        <f t="shared" si="562"/>
        <v>0</v>
      </c>
      <c r="CC505" s="19">
        <f t="shared" si="563"/>
        <v>0</v>
      </c>
      <c r="CD505" s="19">
        <f t="shared" si="564"/>
        <v>0</v>
      </c>
      <c r="CE505" s="19">
        <f t="shared" si="565"/>
        <v>0</v>
      </c>
      <c r="CF505" s="49">
        <f t="shared" si="566"/>
        <v>0</v>
      </c>
      <c r="CG505" s="49">
        <f t="shared" si="567"/>
        <v>0</v>
      </c>
      <c r="CH505" s="49">
        <f t="shared" si="568"/>
        <v>0</v>
      </c>
      <c r="CI505" s="49">
        <f t="shared" si="569"/>
        <v>0</v>
      </c>
      <c r="CJ505" s="49">
        <f t="shared" si="570"/>
        <v>0</v>
      </c>
      <c r="CK505" s="49">
        <f t="shared" si="571"/>
        <v>0</v>
      </c>
    </row>
    <row r="506" spans="2:89" ht="12.75" customHeight="1" x14ac:dyDescent="0.2">
      <c r="B506" s="77">
        <v>42541</v>
      </c>
      <c r="C506" s="79">
        <v>104.050003</v>
      </c>
      <c r="D506" s="79">
        <v>82.330001999999993</v>
      </c>
      <c r="E506" s="79">
        <v>86.889999000000003</v>
      </c>
      <c r="F506" s="79">
        <v>102.800003</v>
      </c>
      <c r="G506" s="79">
        <v>34.080002</v>
      </c>
      <c r="H506" s="79">
        <v>33.479999999999997</v>
      </c>
      <c r="I506" s="79"/>
      <c r="J506" s="78">
        <f>IF(inter=Weekly_2,J505+$C$5,IF(inter=Bi_weekly_2,J504+$C$5,IF(inter=Monthly_2,J502+$C$5,IF(inter=Quarterly_2,0,IF(inter=Yearly_2,0,IF(inter=None_2,0,0))))))</f>
        <v>159200</v>
      </c>
      <c r="K506" s="79">
        <f t="shared" si="541"/>
        <v>-1991.4821718139501</v>
      </c>
      <c r="L506" s="79">
        <f t="shared" si="542"/>
        <v>-536.47174987529979</v>
      </c>
      <c r="M506" s="79">
        <f t="shared" si="543"/>
        <v>-442.73163122212463</v>
      </c>
      <c r="N506" s="79">
        <f t="shared" si="544"/>
        <v>-400.4661482123829</v>
      </c>
      <c r="O506" s="79">
        <f t="shared" si="545"/>
        <v>-2327.120304295051</v>
      </c>
      <c r="P506" s="79">
        <f t="shared" si="546"/>
        <v>-590.842786232668</v>
      </c>
      <c r="Q506" s="79"/>
      <c r="R506" s="80">
        <f t="shared" si="516"/>
        <v>19.13966472268098</v>
      </c>
      <c r="S506" s="80">
        <f t="shared" si="517"/>
        <v>6.5161148650925558</v>
      </c>
      <c r="T506" s="80">
        <f t="shared" si="518"/>
        <v>5.0953117311248288</v>
      </c>
      <c r="U506" s="80">
        <f t="shared" si="519"/>
        <v>3.8955849856578593</v>
      </c>
      <c r="V506" s="80">
        <f t="shared" si="520"/>
        <v>68.284042480251358</v>
      </c>
      <c r="W506" s="80">
        <f t="shared" si="521"/>
        <v>17.64763399739152</v>
      </c>
      <c r="X506" s="80">
        <f t="shared" si="572"/>
        <v>535.51175774593685</v>
      </c>
      <c r="Y506" s="80">
        <f t="shared" si="573"/>
        <v>193.36814785939154</v>
      </c>
      <c r="Z506" s="80">
        <f t="shared" si="574"/>
        <v>146.57613242693213</v>
      </c>
      <c r="AA506" s="80">
        <f t="shared" si="575"/>
        <v>108.40466609714011</v>
      </c>
      <c r="AB506" s="80">
        <f t="shared" si="576"/>
        <v>1167.8403070516251</v>
      </c>
      <c r="AC506" s="80">
        <f t="shared" si="577"/>
        <v>713.26164874551978</v>
      </c>
      <c r="AD506" s="80"/>
      <c r="AE506" s="80"/>
      <c r="AF506" s="80"/>
      <c r="AG506" s="80"/>
      <c r="AH506" s="80"/>
      <c r="AJ506" s="45">
        <f t="shared" si="522"/>
        <v>0</v>
      </c>
      <c r="AK506" s="45">
        <f t="shared" si="523"/>
        <v>0</v>
      </c>
      <c r="AL506" s="45">
        <f t="shared" si="524"/>
        <v>0</v>
      </c>
      <c r="AM506" s="45">
        <f t="shared" si="525"/>
        <v>0</v>
      </c>
      <c r="AN506" s="45">
        <f t="shared" si="526"/>
        <v>0</v>
      </c>
      <c r="AO506" s="45">
        <f t="shared" si="527"/>
        <v>0</v>
      </c>
      <c r="AP506" s="80">
        <f t="shared" si="528"/>
        <v>0</v>
      </c>
      <c r="AQ506" s="80">
        <f t="shared" si="529"/>
        <v>0</v>
      </c>
      <c r="AR506" s="80">
        <f t="shared" si="530"/>
        <v>0</v>
      </c>
      <c r="AS506" s="80">
        <f t="shared" si="531"/>
        <v>0</v>
      </c>
      <c r="AT506" s="80">
        <f t="shared" si="532"/>
        <v>0</v>
      </c>
      <c r="AU506" s="80">
        <f t="shared" si="533"/>
        <v>0</v>
      </c>
      <c r="AV506" s="80">
        <f t="shared" si="578"/>
        <v>72.0692711082188</v>
      </c>
      <c r="AW506" s="80">
        <f t="shared" si="579"/>
        <v>34.408096217629776</v>
      </c>
      <c r="AX506" s="80">
        <f t="shared" si="580"/>
        <v>21.381371373583178</v>
      </c>
      <c r="AY506" s="80">
        <f t="shared" si="581"/>
        <v>16.440873807947977</v>
      </c>
      <c r="AZ506" s="80">
        <f t="shared" si="582"/>
        <v>180.61945677191744</v>
      </c>
      <c r="BA506" s="80">
        <f t="shared" si="583"/>
        <v>84.563115678513171</v>
      </c>
      <c r="BB506" s="80">
        <f t="shared" si="547"/>
        <v>607.58102885415565</v>
      </c>
      <c r="BC506" s="80">
        <f t="shared" si="548"/>
        <v>227.77624407702132</v>
      </c>
      <c r="BD506" s="80">
        <f t="shared" si="549"/>
        <v>167.95750380051533</v>
      </c>
      <c r="BE506" s="80">
        <f t="shared" si="550"/>
        <v>124.84553990508809</v>
      </c>
      <c r="BF506" s="80">
        <f t="shared" si="551"/>
        <v>1348.4597638235425</v>
      </c>
      <c r="BG506" s="80">
        <f t="shared" si="552"/>
        <v>797.82476442403299</v>
      </c>
      <c r="BH506" s="49">
        <f t="shared" si="553"/>
        <v>0</v>
      </c>
      <c r="BI506" s="79">
        <f t="shared" si="554"/>
        <v>-120491.53598563701</v>
      </c>
      <c r="BJ506" s="79">
        <f t="shared" si="534"/>
        <v>159200</v>
      </c>
      <c r="BK506" s="44">
        <f t="shared" si="555"/>
        <v>0.3212546316861391</v>
      </c>
      <c r="BL506" s="79">
        <f t="shared" si="584"/>
        <v>19859.04342730701</v>
      </c>
      <c r="BM506" s="49">
        <f t="shared" si="556"/>
        <v>179059.04342730701</v>
      </c>
      <c r="BN506" s="44">
        <f t="shared" si="557"/>
        <v>0.48607154820112397</v>
      </c>
      <c r="BO506" s="49">
        <f t="shared" si="535"/>
        <v>22866.260280423059</v>
      </c>
      <c r="BP506" s="49">
        <f t="shared" si="536"/>
        <v>182066.26028042307</v>
      </c>
      <c r="BQ506" s="44">
        <f t="shared" si="537"/>
        <v>0.51102945772162767</v>
      </c>
      <c r="BS506" s="49">
        <f t="shared" si="538"/>
        <v>120491.53598563701</v>
      </c>
      <c r="BT506" s="49">
        <f t="shared" si="514"/>
        <v>104.050003</v>
      </c>
      <c r="BU506" s="49">
        <f t="shared" si="515"/>
        <v>33.479999999999997</v>
      </c>
      <c r="BV506" s="49">
        <f t="shared" si="539"/>
        <v>6289.1147916514765</v>
      </c>
      <c r="BW506" s="18">
        <f t="shared" si="540"/>
        <v>3248</v>
      </c>
      <c r="BX506" s="19">
        <f t="shared" si="558"/>
        <v>0.25504587155963304</v>
      </c>
      <c r="BY506" s="49">
        <f t="shared" si="559"/>
        <v>1604.0127633753307</v>
      </c>
      <c r="BZ506" s="19">
        <f t="shared" si="560"/>
        <v>19.13966472268098</v>
      </c>
      <c r="CA506" s="19">
        <f t="shared" si="561"/>
        <v>6.5161148650925558</v>
      </c>
      <c r="CB506" s="19">
        <f t="shared" si="562"/>
        <v>5.0953117311248288</v>
      </c>
      <c r="CC506" s="19">
        <f t="shared" si="563"/>
        <v>3.8955849856578593</v>
      </c>
      <c r="CD506" s="19">
        <f t="shared" si="564"/>
        <v>68.284042480251358</v>
      </c>
      <c r="CE506" s="19">
        <f t="shared" si="565"/>
        <v>17.64763399739152</v>
      </c>
      <c r="CF506" s="49">
        <f t="shared" si="566"/>
        <v>-1991.4821718139501</v>
      </c>
      <c r="CG506" s="49">
        <f t="shared" ref="CG506:CG533" si="585">IF(L506&lt;0,L506,0)</f>
        <v>-536.47174987529979</v>
      </c>
      <c r="CH506" s="49">
        <f t="shared" ref="CH506:CH533" si="586">IF(M506&lt;0,M506,0)</f>
        <v>-442.73163122212463</v>
      </c>
      <c r="CI506" s="49">
        <f t="shared" ref="CI506:CI533" si="587">IF(N506&lt;0,N506,0)</f>
        <v>-400.4661482123829</v>
      </c>
      <c r="CJ506" s="49">
        <f t="shared" ref="CJ506:CJ533" si="588">IF(O506&lt;0,O506,0)</f>
        <v>-2327.120304295051</v>
      </c>
      <c r="CK506" s="49">
        <f t="shared" ref="CK506:CK533" si="589">IF(P506&lt;0,P506,0)</f>
        <v>-590.842786232668</v>
      </c>
    </row>
    <row r="507" spans="2:89" ht="12.75" customHeight="1" x14ac:dyDescent="0.2">
      <c r="B507" s="77">
        <v>42548</v>
      </c>
      <c r="C507" s="79">
        <v>107.370003</v>
      </c>
      <c r="D507" s="79">
        <v>85.019997000000004</v>
      </c>
      <c r="E507" s="79">
        <v>89.279999000000004</v>
      </c>
      <c r="F507" s="79">
        <v>105.66999800000001</v>
      </c>
      <c r="G507" s="79">
        <v>35.439999</v>
      </c>
      <c r="H507" s="79">
        <v>35.490001999999997</v>
      </c>
      <c r="I507" s="79"/>
      <c r="J507" s="78">
        <f>IF(inter=Weekly_2,J506+$C$5,IF(inter=Bi_weekly_2,0,IF(inter=Monthly_2,0,IF(inter=Quarterly_2,0,IF(inter=Yearly_2,0,IF(inter=None_2,0,0))))))</f>
        <v>0</v>
      </c>
      <c r="K507" s="79">
        <f t="shared" si="541"/>
        <v>0</v>
      </c>
      <c r="L507" s="79">
        <f t="shared" si="542"/>
        <v>0</v>
      </c>
      <c r="M507" s="79">
        <f t="shared" si="543"/>
        <v>0</v>
      </c>
      <c r="N507" s="79">
        <f t="shared" si="544"/>
        <v>0</v>
      </c>
      <c r="O507" s="79">
        <f t="shared" si="545"/>
        <v>0</v>
      </c>
      <c r="P507" s="79">
        <f t="shared" si="546"/>
        <v>0</v>
      </c>
      <c r="Q507" s="79"/>
      <c r="R507" s="80">
        <f t="shared" si="516"/>
        <v>0</v>
      </c>
      <c r="S507" s="80">
        <f t="shared" si="517"/>
        <v>0</v>
      </c>
      <c r="T507" s="80">
        <f t="shared" si="518"/>
        <v>0</v>
      </c>
      <c r="U507" s="80">
        <f t="shared" si="519"/>
        <v>0</v>
      </c>
      <c r="V507" s="80">
        <f t="shared" si="520"/>
        <v>0</v>
      </c>
      <c r="W507" s="80">
        <f t="shared" si="521"/>
        <v>0</v>
      </c>
      <c r="X507" s="80">
        <f t="shared" si="572"/>
        <v>535.51175774593685</v>
      </c>
      <c r="Y507" s="80">
        <f t="shared" si="573"/>
        <v>193.36814785939154</v>
      </c>
      <c r="Z507" s="80">
        <f t="shared" si="574"/>
        <v>146.57613242693213</v>
      </c>
      <c r="AA507" s="80">
        <f t="shared" si="575"/>
        <v>108.40466609714011</v>
      </c>
      <c r="AB507" s="80">
        <f t="shared" si="576"/>
        <v>1167.8403070516251</v>
      </c>
      <c r="AC507" s="80">
        <f t="shared" si="577"/>
        <v>713.26164874551978</v>
      </c>
      <c r="AD507" s="80"/>
      <c r="AE507" s="80"/>
      <c r="AF507" s="80"/>
      <c r="AG507" s="80"/>
      <c r="AH507" s="80"/>
      <c r="AJ507" s="45">
        <f t="shared" si="522"/>
        <v>0</v>
      </c>
      <c r="AK507" s="45">
        <f t="shared" si="523"/>
        <v>0</v>
      </c>
      <c r="AL507" s="45">
        <f t="shared" si="524"/>
        <v>0</v>
      </c>
      <c r="AM507" s="45">
        <f t="shared" si="525"/>
        <v>0</v>
      </c>
      <c r="AN507" s="45">
        <f t="shared" si="526"/>
        <v>0</v>
      </c>
      <c r="AO507" s="45">
        <f t="shared" si="527"/>
        <v>0</v>
      </c>
      <c r="AP507" s="80">
        <f t="shared" si="528"/>
        <v>0</v>
      </c>
      <c r="AQ507" s="80">
        <f t="shared" si="529"/>
        <v>0</v>
      </c>
      <c r="AR507" s="80">
        <f t="shared" si="530"/>
        <v>0</v>
      </c>
      <c r="AS507" s="80">
        <f t="shared" si="531"/>
        <v>0</v>
      </c>
      <c r="AT507" s="80">
        <f t="shared" si="532"/>
        <v>0</v>
      </c>
      <c r="AU507" s="80">
        <f t="shared" si="533"/>
        <v>0</v>
      </c>
      <c r="AV507" s="80">
        <f t="shared" si="578"/>
        <v>72.0692711082188</v>
      </c>
      <c r="AW507" s="80">
        <f t="shared" si="579"/>
        <v>34.408096217629776</v>
      </c>
      <c r="AX507" s="80">
        <f t="shared" si="580"/>
        <v>21.381371373583178</v>
      </c>
      <c r="AY507" s="80">
        <f t="shared" si="581"/>
        <v>16.440873807947977</v>
      </c>
      <c r="AZ507" s="80">
        <f t="shared" si="582"/>
        <v>180.61945677191744</v>
      </c>
      <c r="BA507" s="80">
        <f t="shared" si="583"/>
        <v>84.563115678513171</v>
      </c>
      <c r="BB507" s="80">
        <f t="shared" si="547"/>
        <v>607.58102885415565</v>
      </c>
      <c r="BC507" s="80">
        <f t="shared" si="548"/>
        <v>227.77624407702132</v>
      </c>
      <c r="BD507" s="80">
        <f t="shared" si="549"/>
        <v>167.95750380051533</v>
      </c>
      <c r="BE507" s="80">
        <f t="shared" si="550"/>
        <v>124.84553990508809</v>
      </c>
      <c r="BF507" s="80">
        <f t="shared" si="551"/>
        <v>1348.4597638235425</v>
      </c>
      <c r="BG507" s="80">
        <f t="shared" si="552"/>
        <v>797.82476442403299</v>
      </c>
      <c r="BH507" s="49">
        <f t="shared" si="553"/>
        <v>0</v>
      </c>
      <c r="BI507" s="79">
        <f t="shared" si="554"/>
        <v>-120491.53598563701</v>
      </c>
      <c r="BJ507" s="79">
        <f t="shared" si="534"/>
        <v>165181.41284736444</v>
      </c>
      <c r="BK507" s="44">
        <f t="shared" si="555"/>
        <v>0.37089639945377262</v>
      </c>
      <c r="BL507" s="79">
        <f t="shared" si="584"/>
        <v>19859.04342730701</v>
      </c>
      <c r="BM507" s="49">
        <f t="shared" si="556"/>
        <v>185040.45627467145</v>
      </c>
      <c r="BN507" s="44">
        <f t="shared" si="557"/>
        <v>0.53571331596875726</v>
      </c>
      <c r="BO507" s="49">
        <f t="shared" si="535"/>
        <v>23711.98852148607</v>
      </c>
      <c r="BP507" s="49">
        <f t="shared" si="536"/>
        <v>188893.40136885052</v>
      </c>
      <c r="BQ507" s="44">
        <f t="shared" si="537"/>
        <v>0.56769021013531806</v>
      </c>
      <c r="BS507" s="49">
        <f t="shared" si="538"/>
        <v>120491.53598563701</v>
      </c>
      <c r="BT507" s="49">
        <f t="shared" si="514"/>
        <v>107.370003</v>
      </c>
      <c r="BU507" s="49">
        <f t="shared" si="515"/>
        <v>35.490001999999997</v>
      </c>
      <c r="BV507" s="49">
        <f t="shared" si="539"/>
        <v>0</v>
      </c>
      <c r="BW507" s="18">
        <f t="shared" si="540"/>
        <v>3255</v>
      </c>
      <c r="BX507" s="19">
        <f t="shared" si="558"/>
        <v>0.25344036697247707</v>
      </c>
      <c r="BY507" s="49">
        <f t="shared" si="559"/>
        <v>0</v>
      </c>
      <c r="BZ507" s="19">
        <f t="shared" si="560"/>
        <v>0</v>
      </c>
      <c r="CA507" s="19">
        <f t="shared" si="561"/>
        <v>0</v>
      </c>
      <c r="CB507" s="19">
        <f t="shared" si="562"/>
        <v>0</v>
      </c>
      <c r="CC507" s="19">
        <f t="shared" si="563"/>
        <v>0</v>
      </c>
      <c r="CD507" s="19">
        <f t="shared" si="564"/>
        <v>0</v>
      </c>
      <c r="CE507" s="19">
        <f t="shared" si="565"/>
        <v>0</v>
      </c>
      <c r="CF507" s="49">
        <f t="shared" si="566"/>
        <v>0</v>
      </c>
      <c r="CG507" s="49">
        <f t="shared" si="585"/>
        <v>0</v>
      </c>
      <c r="CH507" s="49">
        <f t="shared" si="586"/>
        <v>0</v>
      </c>
      <c r="CI507" s="49">
        <f t="shared" si="587"/>
        <v>0</v>
      </c>
      <c r="CJ507" s="49">
        <f t="shared" si="588"/>
        <v>0</v>
      </c>
      <c r="CK507" s="49">
        <f t="shared" si="589"/>
        <v>0</v>
      </c>
    </row>
    <row r="508" spans="2:89" ht="12.75" customHeight="1" x14ac:dyDescent="0.2">
      <c r="B508" s="77">
        <v>42556</v>
      </c>
      <c r="C508" s="79">
        <v>108.839996</v>
      </c>
      <c r="D508" s="79">
        <v>85.82</v>
      </c>
      <c r="E508" s="79">
        <v>90.099997999999999</v>
      </c>
      <c r="F508" s="79">
        <v>106.629997</v>
      </c>
      <c r="G508" s="79">
        <v>35.080002</v>
      </c>
      <c r="H508" s="79">
        <v>35.409999999999997</v>
      </c>
      <c r="I508" s="79"/>
      <c r="J508" s="78">
        <f>IF(inter=Weekly_2,J507+$C$5,IF(inter=Bi_weekly_2,J506+$C$5,IF(inter=Monthly_2,0,IF(inter=Quarterly_2,0,IF(inter=Yearly_2,0,IF(inter=None_2,0,0))))))</f>
        <v>159800</v>
      </c>
      <c r="K508" s="79">
        <f t="shared" si="541"/>
        <v>2355.0975710207349</v>
      </c>
      <c r="L508" s="79">
        <f t="shared" si="542"/>
        <v>614.85444929297955</v>
      </c>
      <c r="M508" s="79">
        <f t="shared" si="543"/>
        <v>422.5092385143198</v>
      </c>
      <c r="N508" s="79">
        <f t="shared" si="544"/>
        <v>373.18922072405076</v>
      </c>
      <c r="O508" s="79">
        <f t="shared" si="545"/>
        <v>1017.8403070516215</v>
      </c>
      <c r="P508" s="79">
        <f t="shared" si="546"/>
        <v>1286.5949820788519</v>
      </c>
      <c r="Q508" s="79"/>
      <c r="R508" s="80">
        <f t="shared" si="516"/>
        <v>-21.63816296925199</v>
      </c>
      <c r="S508" s="80">
        <f t="shared" si="517"/>
        <v>-7.1644657340128131</v>
      </c>
      <c r="T508" s="80">
        <f t="shared" si="518"/>
        <v>-4.6893368245615257</v>
      </c>
      <c r="U508" s="80">
        <f t="shared" si="519"/>
        <v>-3.4998521168864962</v>
      </c>
      <c r="V508" s="80">
        <f t="shared" si="520"/>
        <v>-29.014830359805039</v>
      </c>
      <c r="W508" s="80">
        <f t="shared" si="521"/>
        <v>-36.334227113212428</v>
      </c>
      <c r="X508" s="80">
        <f t="shared" si="572"/>
        <v>513.87359477668485</v>
      </c>
      <c r="Y508" s="80">
        <f t="shared" si="573"/>
        <v>186.20368212537872</v>
      </c>
      <c r="Z508" s="80">
        <f t="shared" si="574"/>
        <v>141.8867956023706</v>
      </c>
      <c r="AA508" s="80">
        <f t="shared" si="575"/>
        <v>104.90481398025361</v>
      </c>
      <c r="AB508" s="80">
        <f t="shared" si="576"/>
        <v>1138.8254766918201</v>
      </c>
      <c r="AC508" s="80">
        <f t="shared" si="577"/>
        <v>676.9274216323073</v>
      </c>
      <c r="AD508" s="80"/>
      <c r="AE508" s="80"/>
      <c r="AF508" s="80"/>
      <c r="AG508" s="80"/>
      <c r="AH508" s="80"/>
      <c r="AJ508" s="45">
        <f t="shared" si="522"/>
        <v>0</v>
      </c>
      <c r="AK508" s="45">
        <f t="shared" si="523"/>
        <v>0</v>
      </c>
      <c r="AL508" s="45">
        <f t="shared" si="524"/>
        <v>0</v>
      </c>
      <c r="AM508" s="45">
        <f t="shared" si="525"/>
        <v>0</v>
      </c>
      <c r="AN508" s="45">
        <f t="shared" si="526"/>
        <v>0</v>
      </c>
      <c r="AO508" s="45">
        <f t="shared" si="527"/>
        <v>0</v>
      </c>
      <c r="AP508" s="80">
        <f t="shared" si="528"/>
        <v>0</v>
      </c>
      <c r="AQ508" s="80">
        <f t="shared" si="529"/>
        <v>0</v>
      </c>
      <c r="AR508" s="80">
        <f t="shared" si="530"/>
        <v>0</v>
      </c>
      <c r="AS508" s="80">
        <f t="shared" si="531"/>
        <v>0</v>
      </c>
      <c r="AT508" s="80">
        <f t="shared" si="532"/>
        <v>0</v>
      </c>
      <c r="AU508" s="80">
        <f t="shared" si="533"/>
        <v>0</v>
      </c>
      <c r="AV508" s="80">
        <f t="shared" si="578"/>
        <v>72.0692711082188</v>
      </c>
      <c r="AW508" s="80">
        <f t="shared" si="579"/>
        <v>34.408096217629776</v>
      </c>
      <c r="AX508" s="80">
        <f t="shared" si="580"/>
        <v>21.381371373583178</v>
      </c>
      <c r="AY508" s="80">
        <f t="shared" si="581"/>
        <v>16.440873807947977</v>
      </c>
      <c r="AZ508" s="80">
        <f t="shared" si="582"/>
        <v>180.61945677191744</v>
      </c>
      <c r="BA508" s="80">
        <f t="shared" si="583"/>
        <v>84.563115678513171</v>
      </c>
      <c r="BB508" s="80">
        <f t="shared" si="547"/>
        <v>585.94286588490365</v>
      </c>
      <c r="BC508" s="80">
        <f t="shared" si="548"/>
        <v>220.6117783430085</v>
      </c>
      <c r="BD508" s="80">
        <f t="shared" si="549"/>
        <v>163.26816697595376</v>
      </c>
      <c r="BE508" s="80">
        <f t="shared" si="550"/>
        <v>121.34568778820159</v>
      </c>
      <c r="BF508" s="80">
        <f t="shared" si="551"/>
        <v>1319.4449334637375</v>
      </c>
      <c r="BG508" s="80">
        <f t="shared" si="552"/>
        <v>761.49053731082051</v>
      </c>
      <c r="BH508" s="49">
        <f t="shared" si="553"/>
        <v>0</v>
      </c>
      <c r="BI508" s="79">
        <f t="shared" si="554"/>
        <v>-114421.45021695446</v>
      </c>
      <c r="BJ508" s="79">
        <f t="shared" si="534"/>
        <v>159800</v>
      </c>
      <c r="BK508" s="44">
        <f t="shared" si="555"/>
        <v>0.39659128333894822</v>
      </c>
      <c r="BL508" s="79">
        <f t="shared" si="584"/>
        <v>19859.04342730701</v>
      </c>
      <c r="BM508" s="49">
        <f t="shared" si="556"/>
        <v>179659.04342730701</v>
      </c>
      <c r="BN508" s="44">
        <f t="shared" si="557"/>
        <v>0.57015177736915224</v>
      </c>
      <c r="BO508" s="49">
        <f t="shared" si="535"/>
        <v>23806.98467032834</v>
      </c>
      <c r="BP508" s="49">
        <f t="shared" si="536"/>
        <v>183606.98467032835</v>
      </c>
      <c r="BQ508" s="44">
        <f t="shared" si="537"/>
        <v>0.60465528379679889</v>
      </c>
      <c r="BS508" s="49">
        <f t="shared" si="538"/>
        <v>114421.45021695446</v>
      </c>
      <c r="BT508" s="49">
        <f t="shared" si="514"/>
        <v>108.839996</v>
      </c>
      <c r="BU508" s="49">
        <f t="shared" si="515"/>
        <v>35.409999999999997</v>
      </c>
      <c r="BV508" s="49">
        <f t="shared" si="539"/>
        <v>-6070.0857686825584</v>
      </c>
      <c r="BW508" s="18">
        <f t="shared" si="540"/>
        <v>3263</v>
      </c>
      <c r="BX508" s="19">
        <f t="shared" si="558"/>
        <v>0.25160550458715597</v>
      </c>
      <c r="BY508" s="49">
        <f t="shared" si="559"/>
        <v>-1527.2669927166896</v>
      </c>
      <c r="BZ508" s="19">
        <f t="shared" si="560"/>
        <v>0</v>
      </c>
      <c r="CA508" s="19">
        <f t="shared" si="561"/>
        <v>0</v>
      </c>
      <c r="CB508" s="19">
        <f t="shared" si="562"/>
        <v>0</v>
      </c>
      <c r="CC508" s="19">
        <f t="shared" si="563"/>
        <v>0</v>
      </c>
      <c r="CD508" s="19">
        <f t="shared" si="564"/>
        <v>0</v>
      </c>
      <c r="CE508" s="19">
        <f t="shared" si="565"/>
        <v>0</v>
      </c>
      <c r="CF508" s="49">
        <f t="shared" si="566"/>
        <v>0</v>
      </c>
      <c r="CG508" s="49">
        <f t="shared" si="585"/>
        <v>0</v>
      </c>
      <c r="CH508" s="49">
        <f t="shared" si="586"/>
        <v>0</v>
      </c>
      <c r="CI508" s="49">
        <f t="shared" si="587"/>
        <v>0</v>
      </c>
      <c r="CJ508" s="49">
        <f t="shared" si="588"/>
        <v>0</v>
      </c>
      <c r="CK508" s="49">
        <f t="shared" si="589"/>
        <v>0</v>
      </c>
    </row>
    <row r="509" spans="2:89" ht="12.75" customHeight="1" x14ac:dyDescent="0.2">
      <c r="B509" s="77">
        <v>42562</v>
      </c>
      <c r="C509" s="79">
        <v>110.550003</v>
      </c>
      <c r="D509" s="79">
        <v>87.419998000000007</v>
      </c>
      <c r="E509" s="79">
        <v>91.830001999999993</v>
      </c>
      <c r="F509" s="79">
        <v>109.290001</v>
      </c>
      <c r="G509" s="79">
        <v>36.159999999999997</v>
      </c>
      <c r="H509" s="79">
        <v>36.560001</v>
      </c>
      <c r="I509" s="79"/>
      <c r="J509" s="78">
        <f>IF(inter=Weekly_2,J508+$C$5,IF(inter=Bi_weekly_2,0,IF(inter=Monthly_2,0,IF(inter=Quarterly_2,0,IF(inter=Yearly_2,0,IF(inter=None_2,0,0))))))</f>
        <v>0</v>
      </c>
      <c r="K509" s="79">
        <f t="shared" si="541"/>
        <v>0</v>
      </c>
      <c r="L509" s="79">
        <f t="shared" si="542"/>
        <v>0</v>
      </c>
      <c r="M509" s="79">
        <f t="shared" si="543"/>
        <v>0</v>
      </c>
      <c r="N509" s="79">
        <f t="shared" si="544"/>
        <v>0</v>
      </c>
      <c r="O509" s="79">
        <f t="shared" si="545"/>
        <v>0</v>
      </c>
      <c r="P509" s="79">
        <f t="shared" si="546"/>
        <v>0</v>
      </c>
      <c r="Q509" s="79"/>
      <c r="R509" s="80">
        <f t="shared" si="516"/>
        <v>0</v>
      </c>
      <c r="S509" s="80">
        <f t="shared" si="517"/>
        <v>0</v>
      </c>
      <c r="T509" s="80">
        <f t="shared" si="518"/>
        <v>0</v>
      </c>
      <c r="U509" s="80">
        <f t="shared" si="519"/>
        <v>0</v>
      </c>
      <c r="V509" s="80">
        <f t="shared" si="520"/>
        <v>0</v>
      </c>
      <c r="W509" s="80">
        <f t="shared" si="521"/>
        <v>0</v>
      </c>
      <c r="X509" s="80">
        <f t="shared" si="572"/>
        <v>513.87359477668485</v>
      </c>
      <c r="Y509" s="80">
        <f t="shared" si="573"/>
        <v>186.20368212537872</v>
      </c>
      <c r="Z509" s="80">
        <f t="shared" si="574"/>
        <v>141.8867956023706</v>
      </c>
      <c r="AA509" s="80">
        <f t="shared" si="575"/>
        <v>104.90481398025361</v>
      </c>
      <c r="AB509" s="80">
        <f t="shared" si="576"/>
        <v>1138.8254766918201</v>
      </c>
      <c r="AC509" s="80">
        <f t="shared" si="577"/>
        <v>676.9274216323073</v>
      </c>
      <c r="AD509" s="80"/>
      <c r="AE509" s="80"/>
      <c r="AF509" s="80"/>
      <c r="AG509" s="80"/>
      <c r="AH509" s="80"/>
      <c r="AJ509" s="45">
        <f t="shared" si="522"/>
        <v>0</v>
      </c>
      <c r="AK509" s="45">
        <f t="shared" si="523"/>
        <v>0</v>
      </c>
      <c r="AL509" s="45">
        <f t="shared" si="524"/>
        <v>0</v>
      </c>
      <c r="AM509" s="45">
        <f t="shared" si="525"/>
        <v>0</v>
      </c>
      <c r="AN509" s="45">
        <f t="shared" si="526"/>
        <v>0</v>
      </c>
      <c r="AO509" s="45">
        <f t="shared" si="527"/>
        <v>0</v>
      </c>
      <c r="AP509" s="80">
        <f t="shared" si="528"/>
        <v>0</v>
      </c>
      <c r="AQ509" s="80">
        <f t="shared" si="529"/>
        <v>0</v>
      </c>
      <c r="AR509" s="80">
        <f t="shared" si="530"/>
        <v>0</v>
      </c>
      <c r="AS509" s="80">
        <f t="shared" si="531"/>
        <v>0</v>
      </c>
      <c r="AT509" s="80">
        <f t="shared" si="532"/>
        <v>0</v>
      </c>
      <c r="AU509" s="80">
        <f t="shared" si="533"/>
        <v>0</v>
      </c>
      <c r="AV509" s="80">
        <f t="shared" si="578"/>
        <v>72.0692711082188</v>
      </c>
      <c r="AW509" s="80">
        <f t="shared" si="579"/>
        <v>34.408096217629776</v>
      </c>
      <c r="AX509" s="80">
        <f t="shared" si="580"/>
        <v>21.381371373583178</v>
      </c>
      <c r="AY509" s="80">
        <f t="shared" si="581"/>
        <v>16.440873807947977</v>
      </c>
      <c r="AZ509" s="80">
        <f t="shared" si="582"/>
        <v>180.61945677191744</v>
      </c>
      <c r="BA509" s="80">
        <f t="shared" si="583"/>
        <v>84.563115678513171</v>
      </c>
      <c r="BB509" s="80">
        <f t="shared" si="547"/>
        <v>585.94286588490365</v>
      </c>
      <c r="BC509" s="80">
        <f t="shared" si="548"/>
        <v>220.6117783430085</v>
      </c>
      <c r="BD509" s="80">
        <f t="shared" si="549"/>
        <v>163.26816697595376</v>
      </c>
      <c r="BE509" s="80">
        <f t="shared" si="550"/>
        <v>121.34568778820159</v>
      </c>
      <c r="BF509" s="80">
        <f t="shared" si="551"/>
        <v>1319.4449334637375</v>
      </c>
      <c r="BG509" s="80">
        <f t="shared" si="552"/>
        <v>761.49053731082051</v>
      </c>
      <c r="BH509" s="49">
        <f t="shared" si="553"/>
        <v>0</v>
      </c>
      <c r="BI509" s="79">
        <f t="shared" si="554"/>
        <v>-114421.45021695446</v>
      </c>
      <c r="BJ509" s="79">
        <f t="shared" si="534"/>
        <v>163509.56136090338</v>
      </c>
      <c r="BK509" s="44">
        <f t="shared" si="555"/>
        <v>0.42901144017029136</v>
      </c>
      <c r="BL509" s="79">
        <f t="shared" si="584"/>
        <v>19859.04342730701</v>
      </c>
      <c r="BM509" s="49">
        <f t="shared" si="556"/>
        <v>183368.60478821039</v>
      </c>
      <c r="BN509" s="44">
        <f t="shared" si="557"/>
        <v>0.60257193420049537</v>
      </c>
      <c r="BO509" s="49">
        <f t="shared" si="535"/>
        <v>24358.315481302892</v>
      </c>
      <c r="BP509" s="49">
        <f t="shared" si="536"/>
        <v>187867.87684220623</v>
      </c>
      <c r="BQ509" s="44">
        <f t="shared" si="537"/>
        <v>0.64189386243567115</v>
      </c>
      <c r="BS509" s="49">
        <f t="shared" si="538"/>
        <v>114421.45021695446</v>
      </c>
      <c r="BT509" s="49">
        <f t="shared" si="514"/>
        <v>110.550003</v>
      </c>
      <c r="BU509" s="49">
        <f t="shared" si="515"/>
        <v>36.560001</v>
      </c>
      <c r="BV509" s="49">
        <f t="shared" si="539"/>
        <v>0</v>
      </c>
      <c r="BW509" s="18">
        <f t="shared" si="540"/>
        <v>3269</v>
      </c>
      <c r="BX509" s="19">
        <f t="shared" si="558"/>
        <v>0.25022935779816513</v>
      </c>
      <c r="BY509" s="49">
        <f t="shared" si="559"/>
        <v>0</v>
      </c>
      <c r="BZ509" s="19">
        <f t="shared" si="560"/>
        <v>0</v>
      </c>
      <c r="CA509" s="19">
        <f t="shared" si="561"/>
        <v>0</v>
      </c>
      <c r="CB509" s="19">
        <f t="shared" si="562"/>
        <v>0</v>
      </c>
      <c r="CC509" s="19">
        <f t="shared" si="563"/>
        <v>0</v>
      </c>
      <c r="CD509" s="19">
        <f t="shared" si="564"/>
        <v>0</v>
      </c>
      <c r="CE509" s="19">
        <f t="shared" si="565"/>
        <v>0</v>
      </c>
      <c r="CF509" s="49">
        <f t="shared" si="566"/>
        <v>0</v>
      </c>
      <c r="CG509" s="49">
        <f t="shared" si="585"/>
        <v>0</v>
      </c>
      <c r="CH509" s="49">
        <f t="shared" si="586"/>
        <v>0</v>
      </c>
      <c r="CI509" s="49">
        <f t="shared" si="587"/>
        <v>0</v>
      </c>
      <c r="CJ509" s="49">
        <f t="shared" si="588"/>
        <v>0</v>
      </c>
      <c r="CK509" s="49">
        <f t="shared" si="589"/>
        <v>0</v>
      </c>
    </row>
    <row r="510" spans="2:89" ht="12.75" customHeight="1" x14ac:dyDescent="0.2">
      <c r="B510" s="77">
        <v>42569</v>
      </c>
      <c r="C510" s="79">
        <v>111.32</v>
      </c>
      <c r="D510" s="79">
        <v>87.879997000000003</v>
      </c>
      <c r="E510" s="79">
        <v>92.589995999999999</v>
      </c>
      <c r="F510" s="79">
        <v>109.790001</v>
      </c>
      <c r="G510" s="79">
        <v>36.139999000000003</v>
      </c>
      <c r="H510" s="79">
        <v>36.889999000000003</v>
      </c>
      <c r="I510" s="79"/>
      <c r="J510" s="78">
        <f>IF(inter=Weekly_2,J509+$C$5,IF(inter=Bi_weekly_2,J508+$C$5,IF(inter=Monthly_2,J506+$C$5,IF(inter=Quarterly_2,J497+$C$5,IF(inter=Yearly_2,J458+$C$5,IF(inter=None_2,0,0))))))</f>
        <v>160400</v>
      </c>
      <c r="K510" s="79">
        <f t="shared" si="541"/>
        <v>1064.4085705405523</v>
      </c>
      <c r="L510" s="79">
        <f t="shared" si="542"/>
        <v>323.57902656723672</v>
      </c>
      <c r="M510" s="79">
        <f t="shared" si="543"/>
        <v>305.29783727631184</v>
      </c>
      <c r="N510" s="79">
        <f t="shared" si="544"/>
        <v>289.49963179685619</v>
      </c>
      <c r="O510" s="79">
        <f t="shared" si="545"/>
        <v>1057.1515888169015</v>
      </c>
      <c r="P510" s="79">
        <f t="shared" si="546"/>
        <v>911.85190708839582</v>
      </c>
      <c r="Q510" s="79"/>
      <c r="R510" s="80">
        <f t="shared" si="516"/>
        <v>-9.5617011367279225</v>
      </c>
      <c r="S510" s="80">
        <f t="shared" si="517"/>
        <v>-3.6820555031110973</v>
      </c>
      <c r="T510" s="80">
        <f t="shared" si="518"/>
        <v>-3.2973091096829927</v>
      </c>
      <c r="U510" s="80">
        <f t="shared" si="519"/>
        <v>-2.6368487946079551</v>
      </c>
      <c r="V510" s="80">
        <f t="shared" si="520"/>
        <v>-29.251566631667625</v>
      </c>
      <c r="W510" s="80">
        <f t="shared" si="521"/>
        <v>-24.718133147371343</v>
      </c>
      <c r="X510" s="80">
        <f t="shared" si="572"/>
        <v>504.31189363995691</v>
      </c>
      <c r="Y510" s="80">
        <f t="shared" si="573"/>
        <v>182.52162662226763</v>
      </c>
      <c r="Z510" s="80">
        <f t="shared" si="574"/>
        <v>138.5894864926876</v>
      </c>
      <c r="AA510" s="80">
        <f t="shared" si="575"/>
        <v>102.26796518564565</v>
      </c>
      <c r="AB510" s="80">
        <f t="shared" si="576"/>
        <v>1109.5739100601525</v>
      </c>
      <c r="AC510" s="80">
        <f t="shared" si="577"/>
        <v>652.209288484936</v>
      </c>
      <c r="AD510" s="80"/>
      <c r="AE510" s="80"/>
      <c r="AF510" s="80"/>
      <c r="AG510" s="80"/>
      <c r="AH510" s="80"/>
      <c r="AJ510" s="45">
        <f t="shared" si="522"/>
        <v>0</v>
      </c>
      <c r="AK510" s="45">
        <f t="shared" si="523"/>
        <v>0</v>
      </c>
      <c r="AL510" s="45">
        <f t="shared" si="524"/>
        <v>0</v>
      </c>
      <c r="AM510" s="45">
        <f t="shared" si="525"/>
        <v>0</v>
      </c>
      <c r="AN510" s="45">
        <f t="shared" si="526"/>
        <v>0</v>
      </c>
      <c r="AO510" s="45">
        <f t="shared" si="527"/>
        <v>0</v>
      </c>
      <c r="AP510" s="80">
        <f t="shared" si="528"/>
        <v>0</v>
      </c>
      <c r="AQ510" s="80">
        <f t="shared" si="529"/>
        <v>0</v>
      </c>
      <c r="AR510" s="80">
        <f t="shared" si="530"/>
        <v>0</v>
      </c>
      <c r="AS510" s="80">
        <f t="shared" si="531"/>
        <v>0</v>
      </c>
      <c r="AT510" s="80">
        <f t="shared" si="532"/>
        <v>0</v>
      </c>
      <c r="AU510" s="80">
        <f t="shared" si="533"/>
        <v>0</v>
      </c>
      <c r="AV510" s="80">
        <f t="shared" si="578"/>
        <v>72.0692711082188</v>
      </c>
      <c r="AW510" s="80">
        <f t="shared" si="579"/>
        <v>34.408096217629776</v>
      </c>
      <c r="AX510" s="80">
        <f t="shared" si="580"/>
        <v>21.381371373583178</v>
      </c>
      <c r="AY510" s="80">
        <f t="shared" si="581"/>
        <v>16.440873807947977</v>
      </c>
      <c r="AZ510" s="80">
        <f t="shared" si="582"/>
        <v>180.61945677191744</v>
      </c>
      <c r="BA510" s="80">
        <f t="shared" si="583"/>
        <v>84.563115678513171</v>
      </c>
      <c r="BB510" s="80">
        <f t="shared" si="547"/>
        <v>576.38116474817571</v>
      </c>
      <c r="BC510" s="80">
        <f t="shared" si="548"/>
        <v>216.92972283989741</v>
      </c>
      <c r="BD510" s="80">
        <f t="shared" si="549"/>
        <v>159.97085786627076</v>
      </c>
      <c r="BE510" s="80">
        <f t="shared" si="550"/>
        <v>118.70883899359363</v>
      </c>
      <c r="BF510" s="80">
        <f t="shared" si="551"/>
        <v>1290.1933668320698</v>
      </c>
      <c r="BG510" s="80">
        <f t="shared" si="552"/>
        <v>736.77240416344921</v>
      </c>
      <c r="BH510" s="49">
        <f t="shared" si="553"/>
        <v>0</v>
      </c>
      <c r="BI510" s="79">
        <f t="shared" si="554"/>
        <v>-110469.66165486819</v>
      </c>
      <c r="BJ510" s="79">
        <f t="shared" si="534"/>
        <v>160400</v>
      </c>
      <c r="BK510" s="44">
        <f t="shared" si="555"/>
        <v>0.4519823596556789</v>
      </c>
      <c r="BL510" s="79">
        <f t="shared" si="584"/>
        <v>19859.04342730701</v>
      </c>
      <c r="BM510" s="49">
        <f t="shared" si="556"/>
        <v>180259.04342730701</v>
      </c>
      <c r="BN510" s="44">
        <f t="shared" si="557"/>
        <v>0.63175156623975526</v>
      </c>
      <c r="BO510" s="49">
        <f t="shared" si="535"/>
        <v>24478.399533852873</v>
      </c>
      <c r="BP510" s="49">
        <f t="shared" si="536"/>
        <v>184878.39953385288</v>
      </c>
      <c r="BQ510" s="44">
        <f t="shared" si="537"/>
        <v>0.67356717459182724</v>
      </c>
      <c r="BS510" s="49">
        <f t="shared" si="538"/>
        <v>110469.66165486819</v>
      </c>
      <c r="BT510" s="49">
        <f t="shared" si="514"/>
        <v>111.32</v>
      </c>
      <c r="BU510" s="49">
        <f t="shared" si="515"/>
        <v>36.889999000000003</v>
      </c>
      <c r="BV510" s="49">
        <f t="shared" si="539"/>
        <v>-3951.7885620862544</v>
      </c>
      <c r="BW510" s="18">
        <f t="shared" si="540"/>
        <v>3276</v>
      </c>
      <c r="BX510" s="19">
        <f t="shared" si="558"/>
        <v>0.24862385321100919</v>
      </c>
      <c r="BY510" s="49">
        <f t="shared" si="559"/>
        <v>-982.50889938107798</v>
      </c>
      <c r="BZ510" s="19">
        <f t="shared" si="560"/>
        <v>0</v>
      </c>
      <c r="CA510" s="19">
        <f t="shared" si="561"/>
        <v>0</v>
      </c>
      <c r="CB510" s="19">
        <f t="shared" si="562"/>
        <v>0</v>
      </c>
      <c r="CC510" s="19">
        <f t="shared" si="563"/>
        <v>0</v>
      </c>
      <c r="CD510" s="19">
        <f t="shared" si="564"/>
        <v>0</v>
      </c>
      <c r="CE510" s="19">
        <f t="shared" si="565"/>
        <v>0</v>
      </c>
      <c r="CF510" s="49">
        <f t="shared" si="566"/>
        <v>0</v>
      </c>
      <c r="CG510" s="49">
        <f t="shared" si="585"/>
        <v>0</v>
      </c>
      <c r="CH510" s="49">
        <f t="shared" si="586"/>
        <v>0</v>
      </c>
      <c r="CI510" s="49">
        <f t="shared" si="587"/>
        <v>0</v>
      </c>
      <c r="CJ510" s="49">
        <f t="shared" si="588"/>
        <v>0</v>
      </c>
      <c r="CK510" s="49">
        <f t="shared" si="589"/>
        <v>0</v>
      </c>
    </row>
    <row r="511" spans="2:89" ht="12.75" customHeight="1" x14ac:dyDescent="0.2">
      <c r="B511" s="77">
        <v>42576</v>
      </c>
      <c r="C511" s="79">
        <v>111.41999800000001</v>
      </c>
      <c r="D511" s="79">
        <v>87.379997000000003</v>
      </c>
      <c r="E511" s="79">
        <v>92.809997999999993</v>
      </c>
      <c r="F511" s="79">
        <v>110.199997</v>
      </c>
      <c r="G511" s="79">
        <v>36.830002</v>
      </c>
      <c r="H511" s="79">
        <v>37.040000999999997</v>
      </c>
      <c r="I511" s="79"/>
      <c r="J511" s="78">
        <f>IF(inter=Weekly_2,J510+$C$5,IF(inter=Bi_weekly_2,0,IF(inter=Monthly_2,0,IF(inter=Quarterly_2,0,IF(inter=Yearly_2,0,IF(inter=None_2,0,0))))))</f>
        <v>0</v>
      </c>
      <c r="K511" s="79">
        <f t="shared" si="541"/>
        <v>0</v>
      </c>
      <c r="L511" s="79">
        <f t="shared" si="542"/>
        <v>0</v>
      </c>
      <c r="M511" s="79">
        <f t="shared" si="543"/>
        <v>0</v>
      </c>
      <c r="N511" s="79">
        <f t="shared" si="544"/>
        <v>0</v>
      </c>
      <c r="O511" s="79">
        <f t="shared" si="545"/>
        <v>0</v>
      </c>
      <c r="P511" s="79">
        <f t="shared" si="546"/>
        <v>0</v>
      </c>
      <c r="Q511" s="79"/>
      <c r="R511" s="80">
        <f t="shared" si="516"/>
        <v>0</v>
      </c>
      <c r="S511" s="80">
        <f t="shared" si="517"/>
        <v>0</v>
      </c>
      <c r="T511" s="80">
        <f t="shared" si="518"/>
        <v>0</v>
      </c>
      <c r="U511" s="80">
        <f t="shared" si="519"/>
        <v>0</v>
      </c>
      <c r="V511" s="80">
        <f t="shared" si="520"/>
        <v>0</v>
      </c>
      <c r="W511" s="80">
        <f t="shared" si="521"/>
        <v>0</v>
      </c>
      <c r="X511" s="80">
        <f t="shared" si="572"/>
        <v>504.31189363995691</v>
      </c>
      <c r="Y511" s="80">
        <f t="shared" si="573"/>
        <v>182.52162662226763</v>
      </c>
      <c r="Z511" s="80">
        <f t="shared" si="574"/>
        <v>138.5894864926876</v>
      </c>
      <c r="AA511" s="80">
        <f t="shared" si="575"/>
        <v>102.26796518564565</v>
      </c>
      <c r="AB511" s="80">
        <f t="shared" si="576"/>
        <v>1109.5739100601525</v>
      </c>
      <c r="AC511" s="80">
        <f t="shared" si="577"/>
        <v>652.209288484936</v>
      </c>
      <c r="AD511" s="80"/>
      <c r="AE511" s="80"/>
      <c r="AF511" s="80"/>
      <c r="AG511" s="80"/>
      <c r="AH511" s="80"/>
      <c r="AJ511" s="45">
        <f t="shared" si="522"/>
        <v>0</v>
      </c>
      <c r="AK511" s="45">
        <f t="shared" si="523"/>
        <v>0</v>
      </c>
      <c r="AL511" s="45">
        <f t="shared" si="524"/>
        <v>0</v>
      </c>
      <c r="AM511" s="45">
        <f t="shared" si="525"/>
        <v>0</v>
      </c>
      <c r="AN511" s="45">
        <f t="shared" si="526"/>
        <v>0</v>
      </c>
      <c r="AO511" s="45">
        <f t="shared" si="527"/>
        <v>0</v>
      </c>
      <c r="AP511" s="80">
        <f t="shared" si="528"/>
        <v>0</v>
      </c>
      <c r="AQ511" s="80">
        <f t="shared" si="529"/>
        <v>0</v>
      </c>
      <c r="AR511" s="80">
        <f t="shared" si="530"/>
        <v>0</v>
      </c>
      <c r="AS511" s="80">
        <f t="shared" si="531"/>
        <v>0</v>
      </c>
      <c r="AT511" s="80">
        <f t="shared" si="532"/>
        <v>0</v>
      </c>
      <c r="AU511" s="80">
        <f t="shared" si="533"/>
        <v>0</v>
      </c>
      <c r="AV511" s="80">
        <f t="shared" si="578"/>
        <v>72.0692711082188</v>
      </c>
      <c r="AW511" s="80">
        <f t="shared" si="579"/>
        <v>34.408096217629776</v>
      </c>
      <c r="AX511" s="80">
        <f t="shared" si="580"/>
        <v>21.381371373583178</v>
      </c>
      <c r="AY511" s="80">
        <f t="shared" si="581"/>
        <v>16.440873807947977</v>
      </c>
      <c r="AZ511" s="80">
        <f t="shared" si="582"/>
        <v>180.61945677191744</v>
      </c>
      <c r="BA511" s="80">
        <f t="shared" si="583"/>
        <v>84.563115678513171</v>
      </c>
      <c r="BB511" s="80">
        <f t="shared" si="547"/>
        <v>576.38116474817571</v>
      </c>
      <c r="BC511" s="80">
        <f t="shared" si="548"/>
        <v>216.92972283989741</v>
      </c>
      <c r="BD511" s="80">
        <f t="shared" si="549"/>
        <v>159.97085786627076</v>
      </c>
      <c r="BE511" s="80">
        <f t="shared" si="550"/>
        <v>118.70883899359363</v>
      </c>
      <c r="BF511" s="80">
        <f t="shared" si="551"/>
        <v>1290.1933668320698</v>
      </c>
      <c r="BG511" s="80">
        <f t="shared" si="552"/>
        <v>736.77240416344921</v>
      </c>
      <c r="BH511" s="49">
        <f t="shared" si="553"/>
        <v>0</v>
      </c>
      <c r="BI511" s="79">
        <f t="shared" si="554"/>
        <v>-110469.66165486819</v>
      </c>
      <c r="BJ511" s="79">
        <f t="shared" si="534"/>
        <v>161295.03081264524</v>
      </c>
      <c r="BK511" s="44">
        <f t="shared" si="555"/>
        <v>0.4600844104743147</v>
      </c>
      <c r="BL511" s="79">
        <f t="shared" si="584"/>
        <v>19859.04342730701</v>
      </c>
      <c r="BM511" s="49">
        <f t="shared" si="556"/>
        <v>181154.07423995226</v>
      </c>
      <c r="BN511" s="44">
        <f t="shared" si="557"/>
        <v>0.63985361705839106</v>
      </c>
      <c r="BO511" s="49">
        <f t="shared" si="535"/>
        <v>24617.15950918803</v>
      </c>
      <c r="BP511" s="49">
        <f t="shared" si="536"/>
        <v>185912.19032183327</v>
      </c>
      <c r="BQ511" s="44">
        <f t="shared" si="537"/>
        <v>0.68292531665992007</v>
      </c>
      <c r="BS511" s="49">
        <f t="shared" si="538"/>
        <v>110469.66165486819</v>
      </c>
      <c r="BT511" s="49">
        <f t="shared" si="514"/>
        <v>111.41999800000001</v>
      </c>
      <c r="BU511" s="49">
        <f t="shared" si="515"/>
        <v>37.040000999999997</v>
      </c>
      <c r="BV511" s="49">
        <f t="shared" si="539"/>
        <v>0</v>
      </c>
      <c r="BW511" s="18">
        <f t="shared" si="540"/>
        <v>3283</v>
      </c>
      <c r="BX511" s="19">
        <f t="shared" si="558"/>
        <v>0.24701834862385322</v>
      </c>
      <c r="BY511" s="49">
        <f t="shared" si="559"/>
        <v>0</v>
      </c>
      <c r="BZ511" s="19">
        <f t="shared" si="560"/>
        <v>0</v>
      </c>
      <c r="CA511" s="19">
        <f t="shared" si="561"/>
        <v>0</v>
      </c>
      <c r="CB511" s="19">
        <f t="shared" si="562"/>
        <v>0</v>
      </c>
      <c r="CC511" s="19">
        <f t="shared" si="563"/>
        <v>0</v>
      </c>
      <c r="CD511" s="19">
        <f t="shared" si="564"/>
        <v>0</v>
      </c>
      <c r="CE511" s="19">
        <f t="shared" si="565"/>
        <v>0</v>
      </c>
      <c r="CF511" s="49">
        <f t="shared" si="566"/>
        <v>0</v>
      </c>
      <c r="CG511" s="49">
        <f t="shared" si="585"/>
        <v>0</v>
      </c>
      <c r="CH511" s="49">
        <f t="shared" si="586"/>
        <v>0</v>
      </c>
      <c r="CI511" s="49">
        <f t="shared" si="587"/>
        <v>0</v>
      </c>
      <c r="CJ511" s="49">
        <f t="shared" si="588"/>
        <v>0</v>
      </c>
      <c r="CK511" s="49">
        <f t="shared" si="589"/>
        <v>0</v>
      </c>
    </row>
    <row r="512" spans="2:89" ht="12.75" customHeight="1" x14ac:dyDescent="0.2">
      <c r="B512" s="77">
        <v>42583</v>
      </c>
      <c r="C512" s="79">
        <v>111.889999</v>
      </c>
      <c r="D512" s="79">
        <v>87.809997999999993</v>
      </c>
      <c r="E512" s="79">
        <v>92.860000999999997</v>
      </c>
      <c r="F512" s="79">
        <v>110.599998</v>
      </c>
      <c r="G512" s="79">
        <v>36.639999000000003</v>
      </c>
      <c r="H512" s="79">
        <v>37.490001999999997</v>
      </c>
      <c r="I512" s="79"/>
      <c r="J512" s="78">
        <f>IF(inter=Weekly_2,J511+$C$5,IF(inter=Bi_weekly_2,J510+$C$5,IF(inter=Monthly_2,0,IF(inter=Quarterly_2,0,IF(inter=Yearly_2,0,IF(inter=None_2,0,0))))))</f>
        <v>161000</v>
      </c>
      <c r="K512" s="79">
        <f t="shared" si="541"/>
        <v>77.457275062886765</v>
      </c>
      <c r="L512" s="79">
        <f t="shared" si="542"/>
        <v>-72.776331341934565</v>
      </c>
      <c r="M512" s="79">
        <f t="shared" si="543"/>
        <v>-10.580145699543209</v>
      </c>
      <c r="N512" s="79">
        <f t="shared" si="544"/>
        <v>40.836744996477137</v>
      </c>
      <c r="O512" s="79">
        <f t="shared" si="545"/>
        <v>404.78695503008203</v>
      </c>
      <c r="P512" s="79">
        <f t="shared" si="546"/>
        <v>301.32752971882655</v>
      </c>
      <c r="Q512" s="79"/>
      <c r="R512" s="80">
        <f t="shared" si="516"/>
        <v>-0.6922627201282463</v>
      </c>
      <c r="S512" s="80">
        <f t="shared" si="517"/>
        <v>0.8287932240009227</v>
      </c>
      <c r="T512" s="80">
        <f t="shared" si="518"/>
        <v>0.11393652364426757</v>
      </c>
      <c r="U512" s="80">
        <f t="shared" si="519"/>
        <v>-0.36922916577699338</v>
      </c>
      <c r="V512" s="80">
        <f t="shared" si="520"/>
        <v>-11.047679205179072</v>
      </c>
      <c r="W512" s="80">
        <f t="shared" si="521"/>
        <v>-8.0375437088220636</v>
      </c>
      <c r="X512" s="80">
        <f t="shared" si="572"/>
        <v>503.61963091982864</v>
      </c>
      <c r="Y512" s="80">
        <f t="shared" si="573"/>
        <v>183.35041984626855</v>
      </c>
      <c r="Z512" s="80">
        <f t="shared" si="574"/>
        <v>138.70342301633187</v>
      </c>
      <c r="AA512" s="80">
        <f t="shared" si="575"/>
        <v>101.89873601986865</v>
      </c>
      <c r="AB512" s="80">
        <f t="shared" si="576"/>
        <v>1098.5262308549734</v>
      </c>
      <c r="AC512" s="80">
        <f t="shared" si="577"/>
        <v>644.17174477611388</v>
      </c>
      <c r="AD512" s="80"/>
      <c r="AE512" s="80"/>
      <c r="AF512" s="80"/>
      <c r="AG512" s="80"/>
      <c r="AH512" s="80"/>
      <c r="AJ512" s="45">
        <f t="shared" si="522"/>
        <v>0</v>
      </c>
      <c r="AK512" s="45">
        <f t="shared" si="523"/>
        <v>0</v>
      </c>
      <c r="AL512" s="45">
        <f t="shared" si="524"/>
        <v>0</v>
      </c>
      <c r="AM512" s="45">
        <f t="shared" si="525"/>
        <v>0</v>
      </c>
      <c r="AN512" s="45">
        <f t="shared" si="526"/>
        <v>0</v>
      </c>
      <c r="AO512" s="45">
        <f t="shared" si="527"/>
        <v>0</v>
      </c>
      <c r="AP512" s="80">
        <f t="shared" si="528"/>
        <v>0</v>
      </c>
      <c r="AQ512" s="80">
        <f t="shared" si="529"/>
        <v>0</v>
      </c>
      <c r="AR512" s="80">
        <f t="shared" si="530"/>
        <v>0</v>
      </c>
      <c r="AS512" s="80">
        <f t="shared" si="531"/>
        <v>0</v>
      </c>
      <c r="AT512" s="80">
        <f t="shared" si="532"/>
        <v>0</v>
      </c>
      <c r="AU512" s="80">
        <f t="shared" si="533"/>
        <v>0</v>
      </c>
      <c r="AV512" s="80">
        <f t="shared" si="578"/>
        <v>72.0692711082188</v>
      </c>
      <c r="AW512" s="80">
        <f t="shared" si="579"/>
        <v>34.408096217629776</v>
      </c>
      <c r="AX512" s="80">
        <f t="shared" si="580"/>
        <v>21.381371373583178</v>
      </c>
      <c r="AY512" s="80">
        <f t="shared" si="581"/>
        <v>16.440873807947977</v>
      </c>
      <c r="AZ512" s="80">
        <f t="shared" si="582"/>
        <v>180.61945677191744</v>
      </c>
      <c r="BA512" s="80">
        <f t="shared" si="583"/>
        <v>84.563115678513171</v>
      </c>
      <c r="BB512" s="80">
        <f t="shared" si="547"/>
        <v>575.68890202804744</v>
      </c>
      <c r="BC512" s="80">
        <f t="shared" si="548"/>
        <v>217.75851606389833</v>
      </c>
      <c r="BD512" s="80">
        <f t="shared" si="549"/>
        <v>160.08479438991503</v>
      </c>
      <c r="BE512" s="80">
        <f t="shared" si="550"/>
        <v>118.33960982781663</v>
      </c>
      <c r="BF512" s="80">
        <f t="shared" si="551"/>
        <v>1279.1456876268908</v>
      </c>
      <c r="BG512" s="80">
        <f t="shared" si="552"/>
        <v>728.7348604546271</v>
      </c>
      <c r="BH512" s="49">
        <f t="shared" si="553"/>
        <v>0</v>
      </c>
      <c r="BI512" s="79">
        <f t="shared" si="554"/>
        <v>-109728.60962710141</v>
      </c>
      <c r="BJ512" s="79">
        <f t="shared" si="534"/>
        <v>161000</v>
      </c>
      <c r="BK512" s="44">
        <f t="shared" si="555"/>
        <v>0.46725635681649313</v>
      </c>
      <c r="BL512" s="79">
        <f t="shared" si="584"/>
        <v>19859.04342730701</v>
      </c>
      <c r="BM512" s="49">
        <f t="shared" si="556"/>
        <v>180859.04342730701</v>
      </c>
      <c r="BN512" s="44">
        <f t="shared" si="557"/>
        <v>0.64823963451221389</v>
      </c>
      <c r="BO512" s="49">
        <f t="shared" si="535"/>
        <v>24677.208401110103</v>
      </c>
      <c r="BP512" s="49">
        <f t="shared" si="536"/>
        <v>185677.20840111008</v>
      </c>
      <c r="BQ512" s="44">
        <f t="shared" si="537"/>
        <v>0.69214946796564947</v>
      </c>
      <c r="BS512" s="49">
        <f t="shared" si="538"/>
        <v>109728.60962710141</v>
      </c>
      <c r="BT512" s="49">
        <f t="shared" si="514"/>
        <v>111.889999</v>
      </c>
      <c r="BU512" s="49">
        <f t="shared" si="515"/>
        <v>37.490001999999997</v>
      </c>
      <c r="BV512" s="49">
        <f t="shared" si="539"/>
        <v>-741.05202776679471</v>
      </c>
      <c r="BW512" s="18">
        <f t="shared" si="540"/>
        <v>3290</v>
      </c>
      <c r="BX512" s="19">
        <f t="shared" si="558"/>
        <v>0.24541284403669725</v>
      </c>
      <c r="BY512" s="49">
        <f t="shared" si="559"/>
        <v>-181.86368571341063</v>
      </c>
      <c r="BZ512" s="19">
        <f t="shared" si="560"/>
        <v>0</v>
      </c>
      <c r="CA512" s="19">
        <f t="shared" si="561"/>
        <v>0.8287932240009227</v>
      </c>
      <c r="CB512" s="19">
        <f t="shared" si="562"/>
        <v>0.11393652364426757</v>
      </c>
      <c r="CC512" s="19">
        <f t="shared" si="563"/>
        <v>0</v>
      </c>
      <c r="CD512" s="19">
        <f t="shared" si="564"/>
        <v>0</v>
      </c>
      <c r="CE512" s="19">
        <f t="shared" si="565"/>
        <v>0</v>
      </c>
      <c r="CF512" s="49">
        <f t="shared" si="566"/>
        <v>0</v>
      </c>
      <c r="CG512" s="49">
        <f t="shared" si="585"/>
        <v>-72.776331341934565</v>
      </c>
      <c r="CH512" s="49">
        <f t="shared" si="586"/>
        <v>-10.580145699543209</v>
      </c>
      <c r="CI512" s="49">
        <f t="shared" si="587"/>
        <v>0</v>
      </c>
      <c r="CJ512" s="49">
        <f t="shared" si="588"/>
        <v>0</v>
      </c>
      <c r="CK512" s="49">
        <f t="shared" si="589"/>
        <v>0</v>
      </c>
    </row>
    <row r="513" spans="2:89" ht="12.75" customHeight="1" x14ac:dyDescent="0.2">
      <c r="B513" s="77">
        <v>42590</v>
      </c>
      <c r="C513" s="79">
        <v>112.040001</v>
      </c>
      <c r="D513" s="79">
        <v>87.919998000000007</v>
      </c>
      <c r="E513" s="79">
        <v>93.279999000000004</v>
      </c>
      <c r="F513" s="79">
        <v>110.260002</v>
      </c>
      <c r="G513" s="79">
        <v>37.369999</v>
      </c>
      <c r="H513" s="79">
        <v>38.18</v>
      </c>
      <c r="I513" s="79"/>
      <c r="J513" s="78">
        <f>IF(inter=Weekly_2,J512+$C$5,IF(inter=Bi_weekly_2,0,IF(inter=Monthly_2,0,IF(inter=Quarterly_2,0,IF(inter=Yearly_2,0,IF(inter=None_2,0,0))))))</f>
        <v>0</v>
      </c>
      <c r="K513" s="79">
        <f t="shared" si="541"/>
        <v>0</v>
      </c>
      <c r="L513" s="79">
        <f t="shared" si="542"/>
        <v>0</v>
      </c>
      <c r="M513" s="79">
        <f t="shared" si="543"/>
        <v>0</v>
      </c>
      <c r="N513" s="79">
        <f t="shared" si="544"/>
        <v>0</v>
      </c>
      <c r="O513" s="79">
        <f t="shared" si="545"/>
        <v>0</v>
      </c>
      <c r="P513" s="79">
        <f t="shared" si="546"/>
        <v>0</v>
      </c>
      <c r="Q513" s="79"/>
      <c r="R513" s="80">
        <f t="shared" si="516"/>
        <v>0</v>
      </c>
      <c r="S513" s="80">
        <f t="shared" si="517"/>
        <v>0</v>
      </c>
      <c r="T513" s="80">
        <f t="shared" si="518"/>
        <v>0</v>
      </c>
      <c r="U513" s="80">
        <f t="shared" si="519"/>
        <v>0</v>
      </c>
      <c r="V513" s="80">
        <f t="shared" si="520"/>
        <v>0</v>
      </c>
      <c r="W513" s="80">
        <f t="shared" si="521"/>
        <v>0</v>
      </c>
      <c r="X513" s="80">
        <f t="shared" si="572"/>
        <v>503.61963091982864</v>
      </c>
      <c r="Y513" s="80">
        <f t="shared" si="573"/>
        <v>183.35041984626855</v>
      </c>
      <c r="Z513" s="80">
        <f t="shared" si="574"/>
        <v>138.70342301633187</v>
      </c>
      <c r="AA513" s="80">
        <f t="shared" si="575"/>
        <v>101.89873601986865</v>
      </c>
      <c r="AB513" s="80">
        <f t="shared" si="576"/>
        <v>1098.5262308549734</v>
      </c>
      <c r="AC513" s="80">
        <f t="shared" si="577"/>
        <v>644.17174477611388</v>
      </c>
      <c r="AD513" s="80"/>
      <c r="AE513" s="80"/>
      <c r="AF513" s="80"/>
      <c r="AG513" s="80"/>
      <c r="AH513" s="80"/>
      <c r="AJ513" s="45">
        <f t="shared" si="522"/>
        <v>0</v>
      </c>
      <c r="AK513" s="45">
        <f t="shared" si="523"/>
        <v>0</v>
      </c>
      <c r="AL513" s="45">
        <f t="shared" si="524"/>
        <v>0</v>
      </c>
      <c r="AM513" s="45">
        <f t="shared" si="525"/>
        <v>0</v>
      </c>
      <c r="AN513" s="45">
        <f t="shared" si="526"/>
        <v>0</v>
      </c>
      <c r="AO513" s="45">
        <f t="shared" si="527"/>
        <v>0</v>
      </c>
      <c r="AP513" s="80">
        <f t="shared" si="528"/>
        <v>0</v>
      </c>
      <c r="AQ513" s="80">
        <f t="shared" si="529"/>
        <v>0</v>
      </c>
      <c r="AR513" s="80">
        <f t="shared" si="530"/>
        <v>0</v>
      </c>
      <c r="AS513" s="80">
        <f t="shared" si="531"/>
        <v>0</v>
      </c>
      <c r="AT513" s="80">
        <f t="shared" si="532"/>
        <v>0</v>
      </c>
      <c r="AU513" s="80">
        <f t="shared" si="533"/>
        <v>0</v>
      </c>
      <c r="AV513" s="80">
        <f t="shared" si="578"/>
        <v>72.0692711082188</v>
      </c>
      <c r="AW513" s="80">
        <f t="shared" si="579"/>
        <v>34.408096217629776</v>
      </c>
      <c r="AX513" s="80">
        <f t="shared" si="580"/>
        <v>21.381371373583178</v>
      </c>
      <c r="AY513" s="80">
        <f t="shared" si="581"/>
        <v>16.440873807947977</v>
      </c>
      <c r="AZ513" s="80">
        <f t="shared" si="582"/>
        <v>180.61945677191744</v>
      </c>
      <c r="BA513" s="80">
        <f t="shared" si="583"/>
        <v>84.563115678513171</v>
      </c>
      <c r="BB513" s="80">
        <f t="shared" si="547"/>
        <v>575.68890202804744</v>
      </c>
      <c r="BC513" s="80">
        <f t="shared" si="548"/>
        <v>217.75851606389833</v>
      </c>
      <c r="BD513" s="80">
        <f t="shared" si="549"/>
        <v>160.08479438991503</v>
      </c>
      <c r="BE513" s="80">
        <f t="shared" si="550"/>
        <v>118.33960982781663</v>
      </c>
      <c r="BF513" s="80">
        <f t="shared" si="551"/>
        <v>1279.1456876268908</v>
      </c>
      <c r="BG513" s="80">
        <f t="shared" si="552"/>
        <v>728.7348604546271</v>
      </c>
      <c r="BH513" s="49">
        <f t="shared" si="553"/>
        <v>0</v>
      </c>
      <c r="BI513" s="79">
        <f t="shared" si="554"/>
        <v>-109728.60962710141</v>
      </c>
      <c r="BJ513" s="79">
        <f t="shared" si="534"/>
        <v>162365.7238597447</v>
      </c>
      <c r="BK513" s="44">
        <f t="shared" si="555"/>
        <v>0.47970273579081857</v>
      </c>
      <c r="BL513" s="79">
        <f t="shared" si="584"/>
        <v>19859.04342730701</v>
      </c>
      <c r="BM513" s="49">
        <f t="shared" si="556"/>
        <v>182224.76728705171</v>
      </c>
      <c r="BN513" s="44">
        <f t="shared" si="557"/>
        <v>0.6606860134865391</v>
      </c>
      <c r="BO513" s="49">
        <f t="shared" si="535"/>
        <v>24885.394712517213</v>
      </c>
      <c r="BP513" s="49">
        <f t="shared" si="536"/>
        <v>187251.11857226188</v>
      </c>
      <c r="BQ513" s="44">
        <f t="shared" si="537"/>
        <v>0.7064931307214295</v>
      </c>
      <c r="BS513" s="49">
        <f t="shared" si="538"/>
        <v>109728.60962710141</v>
      </c>
      <c r="BT513" s="49">
        <f t="shared" si="514"/>
        <v>112.040001</v>
      </c>
      <c r="BU513" s="49">
        <f t="shared" si="515"/>
        <v>38.18</v>
      </c>
      <c r="BV513" s="49">
        <f t="shared" si="539"/>
        <v>0</v>
      </c>
      <c r="BW513" s="18">
        <f t="shared" si="540"/>
        <v>3297</v>
      </c>
      <c r="BX513" s="19">
        <f t="shared" si="558"/>
        <v>0.24380733944954128</v>
      </c>
      <c r="BY513" s="49">
        <f t="shared" si="559"/>
        <v>0</v>
      </c>
      <c r="BZ513" s="19">
        <f t="shared" si="560"/>
        <v>0</v>
      </c>
      <c r="CA513" s="19">
        <f t="shared" si="561"/>
        <v>0</v>
      </c>
      <c r="CB513" s="19">
        <f t="shared" si="562"/>
        <v>0</v>
      </c>
      <c r="CC513" s="19">
        <f t="shared" si="563"/>
        <v>0</v>
      </c>
      <c r="CD513" s="19">
        <f t="shared" si="564"/>
        <v>0</v>
      </c>
      <c r="CE513" s="19">
        <f t="shared" si="565"/>
        <v>0</v>
      </c>
      <c r="CF513" s="49">
        <f t="shared" si="566"/>
        <v>0</v>
      </c>
      <c r="CG513" s="49">
        <f t="shared" si="585"/>
        <v>0</v>
      </c>
      <c r="CH513" s="49">
        <f t="shared" si="586"/>
        <v>0</v>
      </c>
      <c r="CI513" s="49">
        <f t="shared" si="587"/>
        <v>0</v>
      </c>
      <c r="CJ513" s="49">
        <f t="shared" si="588"/>
        <v>0</v>
      </c>
      <c r="CK513" s="49">
        <f t="shared" si="589"/>
        <v>0</v>
      </c>
    </row>
    <row r="514" spans="2:89" ht="12.75" customHeight="1" x14ac:dyDescent="0.2">
      <c r="B514" s="77">
        <v>42597</v>
      </c>
      <c r="C514" s="79">
        <v>112.139999</v>
      </c>
      <c r="D514" s="79">
        <v>88.080001999999993</v>
      </c>
      <c r="E514" s="79">
        <v>93.93</v>
      </c>
      <c r="F514" s="79">
        <v>110.970001</v>
      </c>
      <c r="G514" s="79">
        <v>37.349997999999999</v>
      </c>
      <c r="H514" s="79">
        <v>38.340000000000003</v>
      </c>
      <c r="I514" s="79"/>
      <c r="J514" s="78">
        <f>IF(inter=Weekly_2,J513+$C$5,IF(inter=Bi_weekly_2,J512+$C$5,IF(inter=Monthly_2,J510+$C$5,IF(inter=Quarterly_2,0,IF(inter=Yearly_2,0,IF(inter=None_2,0,0))))))</f>
        <v>161600</v>
      </c>
      <c r="K514" s="79">
        <f t="shared" si="541"/>
        <v>-84.095092270043097</v>
      </c>
      <c r="L514" s="79">
        <f t="shared" si="542"/>
        <v>-10.49465323982804</v>
      </c>
      <c r="M514" s="79">
        <f t="shared" si="543"/>
        <v>100.41252392405295</v>
      </c>
      <c r="N514" s="79">
        <f t="shared" si="544"/>
        <v>-4.2971619764412026</v>
      </c>
      <c r="O514" s="79">
        <f t="shared" si="545"/>
        <v>629.95252538079512</v>
      </c>
      <c r="P514" s="79">
        <f t="shared" si="546"/>
        <v>457.54469471620905</v>
      </c>
      <c r="Q514" s="79"/>
      <c r="R514" s="80">
        <f t="shared" si="516"/>
        <v>0.74991165525195957</v>
      </c>
      <c r="S514" s="80">
        <f t="shared" si="517"/>
        <v>0.11914910310547042</v>
      </c>
      <c r="T514" s="80">
        <f t="shared" si="518"/>
        <v>-1.0690144141813365</v>
      </c>
      <c r="U514" s="80">
        <f t="shared" si="519"/>
        <v>3.8723636457759454E-2</v>
      </c>
      <c r="V514" s="80">
        <f t="shared" si="520"/>
        <v>-16.866199708519265</v>
      </c>
      <c r="W514" s="80">
        <f t="shared" si="521"/>
        <v>-11.933873101622561</v>
      </c>
      <c r="X514" s="80">
        <f t="shared" si="572"/>
        <v>504.36954257508057</v>
      </c>
      <c r="Y514" s="80">
        <f t="shared" si="573"/>
        <v>183.46956894937401</v>
      </c>
      <c r="Z514" s="80">
        <f t="shared" si="574"/>
        <v>137.63440860215053</v>
      </c>
      <c r="AA514" s="80">
        <f t="shared" si="575"/>
        <v>101.93745965632641</v>
      </c>
      <c r="AB514" s="80">
        <f t="shared" si="576"/>
        <v>1081.6600311464542</v>
      </c>
      <c r="AC514" s="80">
        <f t="shared" si="577"/>
        <v>632.23787167449132</v>
      </c>
      <c r="AD514" s="80"/>
      <c r="AE514" s="80"/>
      <c r="AF514" s="80"/>
      <c r="AG514" s="80"/>
      <c r="AH514" s="80"/>
      <c r="AJ514" s="45">
        <f t="shared" si="522"/>
        <v>0</v>
      </c>
      <c r="AK514" s="45">
        <f t="shared" si="523"/>
        <v>0</v>
      </c>
      <c r="AL514" s="45">
        <f t="shared" si="524"/>
        <v>0</v>
      </c>
      <c r="AM514" s="45">
        <f t="shared" si="525"/>
        <v>0</v>
      </c>
      <c r="AN514" s="45">
        <f t="shared" si="526"/>
        <v>0</v>
      </c>
      <c r="AO514" s="45">
        <f t="shared" si="527"/>
        <v>0</v>
      </c>
      <c r="AP514" s="80">
        <f t="shared" si="528"/>
        <v>0</v>
      </c>
      <c r="AQ514" s="80">
        <f t="shared" si="529"/>
        <v>0</v>
      </c>
      <c r="AR514" s="80">
        <f t="shared" si="530"/>
        <v>0</v>
      </c>
      <c r="AS514" s="80">
        <f t="shared" si="531"/>
        <v>0</v>
      </c>
      <c r="AT514" s="80">
        <f t="shared" si="532"/>
        <v>0</v>
      </c>
      <c r="AU514" s="80">
        <f t="shared" si="533"/>
        <v>0</v>
      </c>
      <c r="AV514" s="80">
        <f t="shared" si="578"/>
        <v>72.0692711082188</v>
      </c>
      <c r="AW514" s="80">
        <f t="shared" si="579"/>
        <v>34.408096217629776</v>
      </c>
      <c r="AX514" s="80">
        <f t="shared" si="580"/>
        <v>21.381371373583178</v>
      </c>
      <c r="AY514" s="80">
        <f t="shared" si="581"/>
        <v>16.440873807947977</v>
      </c>
      <c r="AZ514" s="80">
        <f t="shared" si="582"/>
        <v>180.61945677191744</v>
      </c>
      <c r="BA514" s="80">
        <f t="shared" si="583"/>
        <v>84.563115678513171</v>
      </c>
      <c r="BB514" s="80">
        <f t="shared" si="547"/>
        <v>576.43881368329937</v>
      </c>
      <c r="BC514" s="80">
        <f t="shared" si="548"/>
        <v>217.87766516700378</v>
      </c>
      <c r="BD514" s="80">
        <f t="shared" si="549"/>
        <v>159.01577997573372</v>
      </c>
      <c r="BE514" s="80">
        <f t="shared" si="550"/>
        <v>118.37833346427439</v>
      </c>
      <c r="BF514" s="80">
        <f t="shared" si="551"/>
        <v>1262.2794879183716</v>
      </c>
      <c r="BG514" s="80">
        <f t="shared" si="552"/>
        <v>716.80098735300453</v>
      </c>
      <c r="BH514" s="49">
        <f t="shared" si="553"/>
        <v>0</v>
      </c>
      <c r="BI514" s="79">
        <f t="shared" si="554"/>
        <v>-108639.58679056667</v>
      </c>
      <c r="BJ514" s="79">
        <f t="shared" si="534"/>
        <v>161600</v>
      </c>
      <c r="BK514" s="44">
        <f t="shared" si="555"/>
        <v>0.48748724819369404</v>
      </c>
      <c r="BL514" s="79">
        <f t="shared" si="584"/>
        <v>19859.04342730701</v>
      </c>
      <c r="BM514" s="49">
        <f t="shared" si="556"/>
        <v>181459.04342730701</v>
      </c>
      <c r="BN514" s="44">
        <f t="shared" si="557"/>
        <v>0.67028473494767904</v>
      </c>
      <c r="BO514" s="49">
        <f t="shared" si="535"/>
        <v>24933.595374007335</v>
      </c>
      <c r="BP514" s="49">
        <f t="shared" si="536"/>
        <v>186533.59537400733</v>
      </c>
      <c r="BQ514" s="44">
        <f t="shared" si="537"/>
        <v>0.71699470593167169</v>
      </c>
      <c r="BS514" s="49">
        <f t="shared" si="538"/>
        <v>108639.58679056667</v>
      </c>
      <c r="BT514" s="49">
        <f t="shared" si="514"/>
        <v>112.139999</v>
      </c>
      <c r="BU514" s="49">
        <f t="shared" si="515"/>
        <v>38.340000000000003</v>
      </c>
      <c r="BV514" s="49">
        <f t="shared" si="539"/>
        <v>-1089.0228365347448</v>
      </c>
      <c r="BW514" s="18">
        <f t="shared" si="540"/>
        <v>3304</v>
      </c>
      <c r="BX514" s="19">
        <f t="shared" si="558"/>
        <v>0.24220183486238533</v>
      </c>
      <c r="BY514" s="49">
        <f t="shared" si="559"/>
        <v>-263.76332921575471</v>
      </c>
      <c r="BZ514" s="19">
        <f t="shared" si="560"/>
        <v>0.74991165525195957</v>
      </c>
      <c r="CA514" s="19">
        <f t="shared" si="561"/>
        <v>0.11914910310547042</v>
      </c>
      <c r="CB514" s="19">
        <f t="shared" si="562"/>
        <v>0</v>
      </c>
      <c r="CC514" s="19">
        <f t="shared" si="563"/>
        <v>3.8723636457759454E-2</v>
      </c>
      <c r="CD514" s="19">
        <f t="shared" si="564"/>
        <v>0</v>
      </c>
      <c r="CE514" s="19">
        <f t="shared" si="565"/>
        <v>0</v>
      </c>
      <c r="CF514" s="49">
        <f t="shared" si="566"/>
        <v>-84.095092270043097</v>
      </c>
      <c r="CG514" s="49">
        <f t="shared" si="585"/>
        <v>-10.49465323982804</v>
      </c>
      <c r="CH514" s="49">
        <f t="shared" si="586"/>
        <v>0</v>
      </c>
      <c r="CI514" s="49">
        <f t="shared" si="587"/>
        <v>-4.2971619764412026</v>
      </c>
      <c r="CJ514" s="49">
        <f t="shared" si="588"/>
        <v>0</v>
      </c>
      <c r="CK514" s="49">
        <f t="shared" si="589"/>
        <v>0</v>
      </c>
    </row>
    <row r="515" spans="2:89" ht="12.75" customHeight="1" x14ac:dyDescent="0.2">
      <c r="B515" s="77">
        <v>42604</v>
      </c>
      <c r="C515" s="79">
        <v>111.540001</v>
      </c>
      <c r="D515" s="79">
        <v>87.599997999999999</v>
      </c>
      <c r="E515" s="79">
        <v>93.389999000000003</v>
      </c>
      <c r="F515" s="79">
        <v>110.639999</v>
      </c>
      <c r="G515" s="79">
        <v>37.049999</v>
      </c>
      <c r="H515" s="79">
        <v>37.470001000000003</v>
      </c>
      <c r="I515" s="79"/>
      <c r="J515" s="78">
        <f>IF(inter=Weekly_2,J514+$C$5,IF(inter=Bi_weekly_2,0,IF(inter=Monthly_2,0,IF(inter=Quarterly_2,0,IF(inter=Yearly_2,0,IF(inter=None_2,0,0))))))</f>
        <v>0</v>
      </c>
      <c r="K515" s="79">
        <f t="shared" si="541"/>
        <v>0</v>
      </c>
      <c r="L515" s="79">
        <f t="shared" si="542"/>
        <v>0</v>
      </c>
      <c r="M515" s="79">
        <f t="shared" si="543"/>
        <v>0</v>
      </c>
      <c r="N515" s="79">
        <f t="shared" si="544"/>
        <v>0</v>
      </c>
      <c r="O515" s="79">
        <f t="shared" si="545"/>
        <v>0</v>
      </c>
      <c r="P515" s="79">
        <f t="shared" si="546"/>
        <v>0</v>
      </c>
      <c r="Q515" s="79"/>
      <c r="R515" s="80">
        <f t="shared" si="516"/>
        <v>0</v>
      </c>
      <c r="S515" s="80">
        <f t="shared" si="517"/>
        <v>0</v>
      </c>
      <c r="T515" s="80">
        <f t="shared" si="518"/>
        <v>0</v>
      </c>
      <c r="U515" s="80">
        <f t="shared" si="519"/>
        <v>0</v>
      </c>
      <c r="V515" s="80">
        <f t="shared" si="520"/>
        <v>0</v>
      </c>
      <c r="W515" s="80">
        <f t="shared" si="521"/>
        <v>0</v>
      </c>
      <c r="X515" s="80">
        <f t="shared" si="572"/>
        <v>504.36954257508057</v>
      </c>
      <c r="Y515" s="80">
        <f t="shared" si="573"/>
        <v>183.46956894937401</v>
      </c>
      <c r="Z515" s="80">
        <f t="shared" si="574"/>
        <v>137.63440860215053</v>
      </c>
      <c r="AA515" s="80">
        <f t="shared" si="575"/>
        <v>101.93745965632641</v>
      </c>
      <c r="AB515" s="80">
        <f t="shared" si="576"/>
        <v>1081.6600311464542</v>
      </c>
      <c r="AC515" s="80">
        <f t="shared" si="577"/>
        <v>632.23787167449132</v>
      </c>
      <c r="AD515" s="80"/>
      <c r="AE515" s="80"/>
      <c r="AF515" s="80"/>
      <c r="AG515" s="80"/>
      <c r="AH515" s="80"/>
      <c r="AJ515" s="45">
        <f t="shared" si="522"/>
        <v>0</v>
      </c>
      <c r="AK515" s="45">
        <f t="shared" si="523"/>
        <v>0</v>
      </c>
      <c r="AL515" s="45">
        <f t="shared" si="524"/>
        <v>0</v>
      </c>
      <c r="AM515" s="45">
        <f t="shared" si="525"/>
        <v>0</v>
      </c>
      <c r="AN515" s="45">
        <f t="shared" si="526"/>
        <v>0</v>
      </c>
      <c r="AO515" s="45">
        <f t="shared" si="527"/>
        <v>0</v>
      </c>
      <c r="AP515" s="80">
        <f t="shared" si="528"/>
        <v>0</v>
      </c>
      <c r="AQ515" s="80">
        <f t="shared" si="529"/>
        <v>0</v>
      </c>
      <c r="AR515" s="80">
        <f t="shared" si="530"/>
        <v>0</v>
      </c>
      <c r="AS515" s="80">
        <f t="shared" si="531"/>
        <v>0</v>
      </c>
      <c r="AT515" s="80">
        <f t="shared" si="532"/>
        <v>0</v>
      </c>
      <c r="AU515" s="80">
        <f t="shared" si="533"/>
        <v>0</v>
      </c>
      <c r="AV515" s="80">
        <f t="shared" si="578"/>
        <v>72.0692711082188</v>
      </c>
      <c r="AW515" s="80">
        <f t="shared" si="579"/>
        <v>34.408096217629776</v>
      </c>
      <c r="AX515" s="80">
        <f t="shared" si="580"/>
        <v>21.381371373583178</v>
      </c>
      <c r="AY515" s="80">
        <f t="shared" si="581"/>
        <v>16.440873807947977</v>
      </c>
      <c r="AZ515" s="80">
        <f t="shared" si="582"/>
        <v>180.61945677191744</v>
      </c>
      <c r="BA515" s="80">
        <f t="shared" si="583"/>
        <v>84.563115678513171</v>
      </c>
      <c r="BB515" s="80">
        <f t="shared" si="547"/>
        <v>576.43881368329937</v>
      </c>
      <c r="BC515" s="80">
        <f t="shared" si="548"/>
        <v>217.87766516700378</v>
      </c>
      <c r="BD515" s="80">
        <f t="shared" si="549"/>
        <v>159.01577997573372</v>
      </c>
      <c r="BE515" s="80">
        <f t="shared" si="550"/>
        <v>118.37833346427439</v>
      </c>
      <c r="BF515" s="80">
        <f t="shared" si="551"/>
        <v>1262.2794879183716</v>
      </c>
      <c r="BG515" s="80">
        <f t="shared" si="552"/>
        <v>716.80098735300453</v>
      </c>
      <c r="BH515" s="49">
        <f t="shared" si="553"/>
        <v>0</v>
      </c>
      <c r="BI515" s="79">
        <f t="shared" si="554"/>
        <v>-108639.58679056667</v>
      </c>
      <c r="BJ515" s="79">
        <f t="shared" si="534"/>
        <v>160226.80762857615</v>
      </c>
      <c r="BK515" s="44">
        <f t="shared" si="555"/>
        <v>0.47484735870229655</v>
      </c>
      <c r="BL515" s="79">
        <f t="shared" si="584"/>
        <v>19859.04342730701</v>
      </c>
      <c r="BM515" s="49">
        <f t="shared" si="556"/>
        <v>180085.85105588316</v>
      </c>
      <c r="BN515" s="44">
        <f t="shared" si="557"/>
        <v>0.65764484545628155</v>
      </c>
      <c r="BO515" s="49">
        <f t="shared" si="535"/>
        <v>24729.110966013315</v>
      </c>
      <c r="BP515" s="49">
        <f t="shared" si="536"/>
        <v>184955.91859458946</v>
      </c>
      <c r="BQ515" s="44">
        <f t="shared" si="537"/>
        <v>0.70247258903095755</v>
      </c>
      <c r="BS515" s="49">
        <f t="shared" si="538"/>
        <v>108639.58679056667</v>
      </c>
      <c r="BT515" s="49">
        <f t="shared" si="514"/>
        <v>111.540001</v>
      </c>
      <c r="BU515" s="49">
        <f t="shared" si="515"/>
        <v>37.470001000000003</v>
      </c>
      <c r="BV515" s="49">
        <f t="shared" si="539"/>
        <v>0</v>
      </c>
      <c r="BW515" s="18">
        <f t="shared" si="540"/>
        <v>3311</v>
      </c>
      <c r="BX515" s="19">
        <f t="shared" si="558"/>
        <v>0.24059633027522936</v>
      </c>
      <c r="BY515" s="49">
        <f t="shared" si="559"/>
        <v>0</v>
      </c>
      <c r="BZ515" s="19">
        <f t="shared" si="560"/>
        <v>0</v>
      </c>
      <c r="CA515" s="19">
        <f t="shared" si="561"/>
        <v>0</v>
      </c>
      <c r="CB515" s="19">
        <f t="shared" si="562"/>
        <v>0</v>
      </c>
      <c r="CC515" s="19">
        <f t="shared" si="563"/>
        <v>0</v>
      </c>
      <c r="CD515" s="19">
        <f t="shared" si="564"/>
        <v>0</v>
      </c>
      <c r="CE515" s="19">
        <f t="shared" si="565"/>
        <v>0</v>
      </c>
      <c r="CF515" s="49">
        <f t="shared" si="566"/>
        <v>0</v>
      </c>
      <c r="CG515" s="49">
        <f t="shared" si="585"/>
        <v>0</v>
      </c>
      <c r="CH515" s="49">
        <f t="shared" si="586"/>
        <v>0</v>
      </c>
      <c r="CI515" s="49">
        <f t="shared" si="587"/>
        <v>0</v>
      </c>
      <c r="CJ515" s="49">
        <f t="shared" si="588"/>
        <v>0</v>
      </c>
      <c r="CK515" s="49">
        <f t="shared" si="589"/>
        <v>0</v>
      </c>
    </row>
    <row r="516" spans="2:89" ht="12.75" customHeight="1" x14ac:dyDescent="0.2">
      <c r="B516" s="77">
        <v>42611</v>
      </c>
      <c r="C516" s="79">
        <v>112.279999</v>
      </c>
      <c r="D516" s="79">
        <v>88.330001999999993</v>
      </c>
      <c r="E516" s="79">
        <v>94.300003000000004</v>
      </c>
      <c r="F516" s="79">
        <v>111.989998</v>
      </c>
      <c r="G516" s="79">
        <v>37.669998</v>
      </c>
      <c r="H516" s="79">
        <v>38.099997999999999</v>
      </c>
      <c r="I516" s="79"/>
      <c r="J516" s="78">
        <f>IF(inter=Weekly_2,J515+$C$5,IF(inter=Bi_weekly_2,J514+$C$5,IF(inter=Monthly_2,0,IF(inter=Quarterly_2,0,IF(inter=Yearly_2,0,IF(inter=None_2,0,0))))))</f>
        <v>162200</v>
      </c>
      <c r="K516" s="79">
        <f t="shared" si="541"/>
        <v>-139.38826403949497</v>
      </c>
      <c r="L516" s="79">
        <f t="shared" si="542"/>
        <v>-14.132607762658154</v>
      </c>
      <c r="M516" s="79">
        <f t="shared" si="543"/>
        <v>2.9251440860207367</v>
      </c>
      <c r="N516" s="79">
        <f t="shared" si="544"/>
        <v>61.975903037073294</v>
      </c>
      <c r="O516" s="79">
        <f t="shared" si="545"/>
        <v>196.13120996686484</v>
      </c>
      <c r="P516" s="79">
        <f t="shared" si="546"/>
        <v>-241.73835367762513</v>
      </c>
      <c r="Q516" s="79"/>
      <c r="R516" s="80">
        <f t="shared" si="516"/>
        <v>1.2414344966238819</v>
      </c>
      <c r="S516" s="80">
        <f t="shared" si="517"/>
        <v>0.15999782002335011</v>
      </c>
      <c r="T516" s="80">
        <f t="shared" si="518"/>
        <v>-3.1019554538304062E-2</v>
      </c>
      <c r="U516" s="80">
        <f t="shared" si="519"/>
        <v>-0.55340569822202601</v>
      </c>
      <c r="V516" s="80">
        <f t="shared" si="520"/>
        <v>-5.2065627921420345</v>
      </c>
      <c r="W516" s="80">
        <f t="shared" si="521"/>
        <v>6.344839012265175</v>
      </c>
      <c r="X516" s="80">
        <f t="shared" si="572"/>
        <v>505.61097707170444</v>
      </c>
      <c r="Y516" s="80">
        <f t="shared" si="573"/>
        <v>183.62956676939737</v>
      </c>
      <c r="Z516" s="80">
        <f t="shared" si="574"/>
        <v>137.60338904761221</v>
      </c>
      <c r="AA516" s="80">
        <f t="shared" si="575"/>
        <v>101.38405395810439</v>
      </c>
      <c r="AB516" s="80">
        <f t="shared" si="576"/>
        <v>1076.4534683543122</v>
      </c>
      <c r="AC516" s="80">
        <f t="shared" si="577"/>
        <v>638.58271068675651</v>
      </c>
      <c r="AD516" s="80"/>
      <c r="AE516" s="80"/>
      <c r="AF516" s="80"/>
      <c r="AG516" s="80"/>
      <c r="AH516" s="80"/>
      <c r="AJ516" s="45">
        <f t="shared" si="522"/>
        <v>0</v>
      </c>
      <c r="AK516" s="45">
        <f t="shared" si="523"/>
        <v>0</v>
      </c>
      <c r="AL516" s="45">
        <f t="shared" si="524"/>
        <v>0</v>
      </c>
      <c r="AM516" s="45">
        <f t="shared" si="525"/>
        <v>0</v>
      </c>
      <c r="AN516" s="45">
        <f t="shared" si="526"/>
        <v>0</v>
      </c>
      <c r="AO516" s="45">
        <f t="shared" si="527"/>
        <v>0</v>
      </c>
      <c r="AP516" s="80">
        <f t="shared" si="528"/>
        <v>0</v>
      </c>
      <c r="AQ516" s="80">
        <f t="shared" si="529"/>
        <v>0</v>
      </c>
      <c r="AR516" s="80">
        <f t="shared" si="530"/>
        <v>0</v>
      </c>
      <c r="AS516" s="80">
        <f t="shared" si="531"/>
        <v>0</v>
      </c>
      <c r="AT516" s="80">
        <f t="shared" si="532"/>
        <v>0</v>
      </c>
      <c r="AU516" s="80">
        <f t="shared" si="533"/>
        <v>0</v>
      </c>
      <c r="AV516" s="80">
        <f t="shared" si="578"/>
        <v>72.0692711082188</v>
      </c>
      <c r="AW516" s="80">
        <f t="shared" si="579"/>
        <v>34.408096217629776</v>
      </c>
      <c r="AX516" s="80">
        <f t="shared" si="580"/>
        <v>21.381371373583178</v>
      </c>
      <c r="AY516" s="80">
        <f t="shared" si="581"/>
        <v>16.440873807947977</v>
      </c>
      <c r="AZ516" s="80">
        <f t="shared" si="582"/>
        <v>180.61945677191744</v>
      </c>
      <c r="BA516" s="80">
        <f t="shared" si="583"/>
        <v>84.563115678513171</v>
      </c>
      <c r="BB516" s="80">
        <f t="shared" si="547"/>
        <v>577.68024817992318</v>
      </c>
      <c r="BC516" s="80">
        <f t="shared" si="548"/>
        <v>218.03766298702715</v>
      </c>
      <c r="BD516" s="80">
        <f t="shared" si="549"/>
        <v>158.9847604211954</v>
      </c>
      <c r="BE516" s="80">
        <f t="shared" si="550"/>
        <v>117.82492776605237</v>
      </c>
      <c r="BF516" s="80">
        <f t="shared" si="551"/>
        <v>1257.0729251262296</v>
      </c>
      <c r="BG516" s="80">
        <f t="shared" si="552"/>
        <v>723.14582636526973</v>
      </c>
      <c r="BH516" s="49">
        <f t="shared" si="553"/>
        <v>0</v>
      </c>
      <c r="BI516" s="79">
        <f t="shared" si="554"/>
        <v>-108773.81375895647</v>
      </c>
      <c r="BJ516" s="79">
        <f t="shared" si="534"/>
        <v>162200</v>
      </c>
      <c r="BK516" s="44">
        <f t="shared" si="555"/>
        <v>0.49116772129950625</v>
      </c>
      <c r="BL516" s="79">
        <f t="shared" si="584"/>
        <v>19859.04342730701</v>
      </c>
      <c r="BM516" s="49">
        <f t="shared" si="556"/>
        <v>182059.04342730701</v>
      </c>
      <c r="BN516" s="44">
        <f t="shared" si="557"/>
        <v>0.67373963581667851</v>
      </c>
      <c r="BO516" s="49">
        <f t="shared" si="535"/>
        <v>25014.470818808659</v>
      </c>
      <c r="BP516" s="49">
        <f t="shared" si="536"/>
        <v>187214.47081880868</v>
      </c>
      <c r="BQ516" s="44">
        <f t="shared" si="537"/>
        <v>0.72113548609849465</v>
      </c>
      <c r="BS516" s="49">
        <f t="shared" si="538"/>
        <v>108773.81375895647</v>
      </c>
      <c r="BT516" s="49">
        <f t="shared" si="514"/>
        <v>112.279999</v>
      </c>
      <c r="BU516" s="49">
        <f t="shared" si="515"/>
        <v>38.099997999999999</v>
      </c>
      <c r="BV516" s="49">
        <f t="shared" si="539"/>
        <v>134.22696838981938</v>
      </c>
      <c r="BW516" s="18">
        <f t="shared" si="540"/>
        <v>3318</v>
      </c>
      <c r="BX516" s="19">
        <f t="shared" si="558"/>
        <v>0.23899082568807339</v>
      </c>
      <c r="BY516" s="49">
        <f t="shared" si="559"/>
        <v>32.07901400508986</v>
      </c>
      <c r="BZ516" s="19">
        <f t="shared" si="560"/>
        <v>1.2414344966238819</v>
      </c>
      <c r="CA516" s="19">
        <f t="shared" si="561"/>
        <v>0.15999782002335011</v>
      </c>
      <c r="CB516" s="19">
        <f t="shared" si="562"/>
        <v>0</v>
      </c>
      <c r="CC516" s="19">
        <f t="shared" si="563"/>
        <v>0</v>
      </c>
      <c r="CD516" s="19">
        <f t="shared" si="564"/>
        <v>0</v>
      </c>
      <c r="CE516" s="19">
        <f t="shared" si="565"/>
        <v>6.344839012265175</v>
      </c>
      <c r="CF516" s="49">
        <f t="shared" si="566"/>
        <v>-139.38826403949497</v>
      </c>
      <c r="CG516" s="49">
        <f t="shared" si="585"/>
        <v>-14.132607762658154</v>
      </c>
      <c r="CH516" s="49">
        <f t="shared" si="586"/>
        <v>0</v>
      </c>
      <c r="CI516" s="49">
        <f t="shared" si="587"/>
        <v>0</v>
      </c>
      <c r="CJ516" s="49">
        <f t="shared" si="588"/>
        <v>0</v>
      </c>
      <c r="CK516" s="49">
        <f t="shared" si="589"/>
        <v>-241.73835367762513</v>
      </c>
    </row>
    <row r="517" spans="2:89" ht="12.75" customHeight="1" x14ac:dyDescent="0.2">
      <c r="B517" s="77">
        <v>42619</v>
      </c>
      <c r="C517" s="79">
        <v>109.660004</v>
      </c>
      <c r="D517" s="79">
        <v>86.489998</v>
      </c>
      <c r="E517" s="79">
        <v>91.82</v>
      </c>
      <c r="F517" s="79">
        <v>109.019997</v>
      </c>
      <c r="G517" s="79">
        <v>37.150002000000001</v>
      </c>
      <c r="H517" s="79">
        <v>37.409999999999997</v>
      </c>
      <c r="I517" s="79"/>
      <c r="J517" s="78">
        <f>IF(inter=Weekly_2,J516+$C$5,IF(inter=Bi_weekly_2,0,IF(inter=Monthly_2,0,IF(inter=Quarterly_2,0,IF(inter=Yearly_2,0,IF(inter=None_2,0,0))))))</f>
        <v>0</v>
      </c>
      <c r="K517" s="79">
        <f t="shared" si="541"/>
        <v>0</v>
      </c>
      <c r="L517" s="79">
        <f t="shared" si="542"/>
        <v>0</v>
      </c>
      <c r="M517" s="79">
        <f t="shared" si="543"/>
        <v>0</v>
      </c>
      <c r="N517" s="79">
        <f t="shared" si="544"/>
        <v>0</v>
      </c>
      <c r="O517" s="79">
        <f t="shared" si="545"/>
        <v>0</v>
      </c>
      <c r="P517" s="79">
        <f t="shared" si="546"/>
        <v>0</v>
      </c>
      <c r="Q517" s="79"/>
      <c r="R517" s="80">
        <f t="shared" si="516"/>
        <v>0</v>
      </c>
      <c r="S517" s="80">
        <f t="shared" si="517"/>
        <v>0</v>
      </c>
      <c r="T517" s="80">
        <f t="shared" si="518"/>
        <v>0</v>
      </c>
      <c r="U517" s="80">
        <f t="shared" si="519"/>
        <v>0</v>
      </c>
      <c r="V517" s="80">
        <f t="shared" si="520"/>
        <v>0</v>
      </c>
      <c r="W517" s="80">
        <f t="shared" si="521"/>
        <v>0</v>
      </c>
      <c r="X517" s="80">
        <f t="shared" si="572"/>
        <v>505.61097707170444</v>
      </c>
      <c r="Y517" s="80">
        <f t="shared" si="573"/>
        <v>183.62956676939737</v>
      </c>
      <c r="Z517" s="80">
        <f t="shared" si="574"/>
        <v>137.60338904761221</v>
      </c>
      <c r="AA517" s="80">
        <f t="shared" si="575"/>
        <v>101.38405395810439</v>
      </c>
      <c r="AB517" s="80">
        <f t="shared" si="576"/>
        <v>1076.4534683543122</v>
      </c>
      <c r="AC517" s="80">
        <f t="shared" si="577"/>
        <v>638.58271068675651</v>
      </c>
      <c r="AD517" s="80"/>
      <c r="AE517" s="80"/>
      <c r="AF517" s="80"/>
      <c r="AG517" s="80"/>
      <c r="AH517" s="80"/>
      <c r="AJ517" s="45">
        <f t="shared" si="522"/>
        <v>0</v>
      </c>
      <c r="AK517" s="45">
        <f t="shared" si="523"/>
        <v>0</v>
      </c>
      <c r="AL517" s="45">
        <f t="shared" si="524"/>
        <v>0</v>
      </c>
      <c r="AM517" s="45">
        <f t="shared" si="525"/>
        <v>0</v>
      </c>
      <c r="AN517" s="45">
        <f t="shared" si="526"/>
        <v>0</v>
      </c>
      <c r="AO517" s="45">
        <f t="shared" si="527"/>
        <v>0</v>
      </c>
      <c r="AP517" s="80">
        <f t="shared" si="528"/>
        <v>0</v>
      </c>
      <c r="AQ517" s="80">
        <f t="shared" si="529"/>
        <v>0</v>
      </c>
      <c r="AR517" s="80">
        <f t="shared" si="530"/>
        <v>0</v>
      </c>
      <c r="AS517" s="80">
        <f t="shared" si="531"/>
        <v>0</v>
      </c>
      <c r="AT517" s="80">
        <f t="shared" si="532"/>
        <v>0</v>
      </c>
      <c r="AU517" s="80">
        <f t="shared" si="533"/>
        <v>0</v>
      </c>
      <c r="AV517" s="80">
        <f t="shared" si="578"/>
        <v>72.0692711082188</v>
      </c>
      <c r="AW517" s="80">
        <f t="shared" si="579"/>
        <v>34.408096217629776</v>
      </c>
      <c r="AX517" s="80">
        <f t="shared" si="580"/>
        <v>21.381371373583178</v>
      </c>
      <c r="AY517" s="80">
        <f t="shared" si="581"/>
        <v>16.440873807947977</v>
      </c>
      <c r="AZ517" s="80">
        <f t="shared" si="582"/>
        <v>180.61945677191744</v>
      </c>
      <c r="BA517" s="80">
        <f t="shared" si="583"/>
        <v>84.563115678513171</v>
      </c>
      <c r="BB517" s="80">
        <f t="shared" si="547"/>
        <v>577.68024817992318</v>
      </c>
      <c r="BC517" s="80">
        <f t="shared" si="548"/>
        <v>218.03766298702715</v>
      </c>
      <c r="BD517" s="80">
        <f t="shared" si="549"/>
        <v>158.9847604211954</v>
      </c>
      <c r="BE517" s="80">
        <f t="shared" si="550"/>
        <v>117.82492776605237</v>
      </c>
      <c r="BF517" s="80">
        <f t="shared" si="551"/>
        <v>1257.0729251262296</v>
      </c>
      <c r="BG517" s="80">
        <f t="shared" si="552"/>
        <v>723.14582636526973</v>
      </c>
      <c r="BH517" s="49">
        <f t="shared" si="553"/>
        <v>0</v>
      </c>
      <c r="BI517" s="79">
        <f t="shared" si="554"/>
        <v>-108773.81375895647</v>
      </c>
      <c r="BJ517" s="79">
        <f t="shared" si="534"/>
        <v>158894.68278052637</v>
      </c>
      <c r="BK517" s="44">
        <f t="shared" si="555"/>
        <v>0.46078065381285693</v>
      </c>
      <c r="BL517" s="79">
        <f t="shared" si="584"/>
        <v>19859.04342730701</v>
      </c>
      <c r="BM517" s="49">
        <f t="shared" si="556"/>
        <v>178753.72620783339</v>
      </c>
      <c r="BN517" s="44">
        <f t="shared" si="557"/>
        <v>0.64335256833002918</v>
      </c>
      <c r="BO517" s="49">
        <f t="shared" si="535"/>
        <v>24508.213601642063</v>
      </c>
      <c r="BP517" s="49">
        <f t="shared" si="536"/>
        <v>183402.89638216843</v>
      </c>
      <c r="BQ517" s="44">
        <f t="shared" si="537"/>
        <v>0.68609419900078628</v>
      </c>
      <c r="BS517" s="49">
        <f t="shared" si="538"/>
        <v>108773.81375895647</v>
      </c>
      <c r="BT517" s="49">
        <f t="shared" si="514"/>
        <v>109.660004</v>
      </c>
      <c r="BU517" s="49">
        <f t="shared" si="515"/>
        <v>37.409999999999997</v>
      </c>
      <c r="BV517" s="49">
        <f t="shared" si="539"/>
        <v>0</v>
      </c>
      <c r="BW517" s="18">
        <f t="shared" si="540"/>
        <v>3326</v>
      </c>
      <c r="BX517" s="19">
        <f t="shared" si="558"/>
        <v>0.23715596330275229</v>
      </c>
      <c r="BY517" s="49">
        <f t="shared" si="559"/>
        <v>0</v>
      </c>
      <c r="BZ517" s="19">
        <f t="shared" si="560"/>
        <v>0</v>
      </c>
      <c r="CA517" s="19">
        <f t="shared" si="561"/>
        <v>0</v>
      </c>
      <c r="CB517" s="19">
        <f t="shared" si="562"/>
        <v>0</v>
      </c>
      <c r="CC517" s="19">
        <f t="shared" si="563"/>
        <v>0</v>
      </c>
      <c r="CD517" s="19">
        <f t="shared" si="564"/>
        <v>0</v>
      </c>
      <c r="CE517" s="19">
        <f t="shared" si="565"/>
        <v>0</v>
      </c>
      <c r="CF517" s="49">
        <f t="shared" si="566"/>
        <v>0</v>
      </c>
      <c r="CG517" s="49">
        <f t="shared" si="585"/>
        <v>0</v>
      </c>
      <c r="CH517" s="49">
        <f t="shared" si="586"/>
        <v>0</v>
      </c>
      <c r="CI517" s="49">
        <f t="shared" si="587"/>
        <v>0</v>
      </c>
      <c r="CJ517" s="49">
        <f t="shared" si="588"/>
        <v>0</v>
      </c>
      <c r="CK517" s="49">
        <f t="shared" si="589"/>
        <v>0</v>
      </c>
    </row>
    <row r="518" spans="2:89" ht="12.75" customHeight="1" x14ac:dyDescent="0.2">
      <c r="B518" s="77">
        <v>42625</v>
      </c>
      <c r="C518" s="79">
        <v>109.610001</v>
      </c>
      <c r="D518" s="79">
        <v>85.709998999999996</v>
      </c>
      <c r="E518" s="79">
        <v>91.900002000000001</v>
      </c>
      <c r="F518" s="79">
        <v>108.57</v>
      </c>
      <c r="G518" s="79">
        <v>36.330002</v>
      </c>
      <c r="H518" s="79">
        <v>36.799999</v>
      </c>
      <c r="I518" s="79"/>
      <c r="J518" s="78">
        <f>IF(inter=Weekly_2,J517+$C$5,IF(inter=Bi_weekly_2,J516+$C$5,IF(inter=Monthly_2,J514+$C$5,IF(inter=Quarterly_2,0,IF(inter=Yearly_2,0,IF(inter=None_2,0,0))))))</f>
        <v>162800</v>
      </c>
      <c r="K518" s="79">
        <f t="shared" si="541"/>
        <v>-1559.9802975595012</v>
      </c>
      <c r="L518" s="79">
        <f t="shared" si="542"/>
        <v>-541.110015824519</v>
      </c>
      <c r="M518" s="79">
        <f t="shared" si="543"/>
        <v>-378.2482713176596</v>
      </c>
      <c r="N518" s="79">
        <f t="shared" si="544"/>
        <v>-388.73326176860974</v>
      </c>
      <c r="O518" s="79">
        <f t="shared" si="545"/>
        <v>-1592.4433417808978</v>
      </c>
      <c r="P518" s="79">
        <f t="shared" si="546"/>
        <v>-920.15688531007254</v>
      </c>
      <c r="Q518" s="79"/>
      <c r="R518" s="80">
        <f t="shared" si="516"/>
        <v>14.232098196582456</v>
      </c>
      <c r="S518" s="80">
        <f t="shared" si="517"/>
        <v>6.3132659215702365</v>
      </c>
      <c r="T518" s="80">
        <f t="shared" si="518"/>
        <v>4.1158679334703345</v>
      </c>
      <c r="U518" s="80">
        <f t="shared" si="519"/>
        <v>3.5804850489878399</v>
      </c>
      <c r="V518" s="80">
        <f t="shared" si="520"/>
        <v>43.832734767834523</v>
      </c>
      <c r="W518" s="80">
        <f t="shared" si="521"/>
        <v>25.004263867237402</v>
      </c>
      <c r="X518" s="80">
        <f t="shared" si="572"/>
        <v>519.84307526828684</v>
      </c>
      <c r="Y518" s="80">
        <f t="shared" si="573"/>
        <v>189.94283269096761</v>
      </c>
      <c r="Z518" s="80">
        <f t="shared" si="574"/>
        <v>141.71925698108254</v>
      </c>
      <c r="AA518" s="80">
        <f t="shared" si="575"/>
        <v>104.96453900709223</v>
      </c>
      <c r="AB518" s="80">
        <f t="shared" si="576"/>
        <v>1120.2862031221468</v>
      </c>
      <c r="AC518" s="80">
        <f t="shared" si="577"/>
        <v>663.58697455399397</v>
      </c>
      <c r="AD518" s="80">
        <v>0.53900000000000003</v>
      </c>
      <c r="AE518" s="80">
        <v>0.55800000000000005</v>
      </c>
      <c r="AF518" s="80">
        <v>0.49299999999999999</v>
      </c>
      <c r="AG518" s="80">
        <v>0.65500000000000003</v>
      </c>
      <c r="AH518" s="80">
        <v>0.17500099999999999</v>
      </c>
      <c r="AI518" s="16">
        <v>0.45</v>
      </c>
      <c r="AJ518" s="45">
        <f t="shared" si="522"/>
        <v>280.1954175696066</v>
      </c>
      <c r="AK518" s="45">
        <f t="shared" si="523"/>
        <v>105.98810064155994</v>
      </c>
      <c r="AL518" s="45">
        <f t="shared" si="524"/>
        <v>69.86759369167369</v>
      </c>
      <c r="AM518" s="45">
        <f t="shared" si="525"/>
        <v>68.751773049645408</v>
      </c>
      <c r="AN518" s="45">
        <f t="shared" si="526"/>
        <v>196.0512058325788</v>
      </c>
      <c r="AO518" s="45">
        <f t="shared" si="527"/>
        <v>298.61413854929731</v>
      </c>
      <c r="AP518" s="80">
        <f t="shared" si="528"/>
        <v>2.5562942707172005</v>
      </c>
      <c r="AQ518" s="80">
        <f t="shared" si="529"/>
        <v>1.2365896847293154</v>
      </c>
      <c r="AR518" s="80">
        <f t="shared" si="530"/>
        <v>0.76025671568183084</v>
      </c>
      <c r="AS518" s="80">
        <f t="shared" si="531"/>
        <v>0.63324834714603861</v>
      </c>
      <c r="AT518" s="80">
        <f t="shared" si="532"/>
        <v>5.3963995331621177</v>
      </c>
      <c r="AU518" s="80">
        <f t="shared" si="533"/>
        <v>8.114514854994896</v>
      </c>
      <c r="AV518" s="80">
        <f t="shared" si="578"/>
        <v>74.625565378936003</v>
      </c>
      <c r="AW518" s="80">
        <f t="shared" si="579"/>
        <v>35.644685902359093</v>
      </c>
      <c r="AX518" s="80">
        <f t="shared" si="580"/>
        <v>22.141628089265009</v>
      </c>
      <c r="AY518" s="80">
        <f t="shared" si="581"/>
        <v>17.074122155094017</v>
      </c>
      <c r="AZ518" s="80">
        <f t="shared" si="582"/>
        <v>186.01585630507955</v>
      </c>
      <c r="BA518" s="80">
        <f t="shared" si="583"/>
        <v>92.677630533508065</v>
      </c>
      <c r="BB518" s="80">
        <f t="shared" si="547"/>
        <v>594.46864064722286</v>
      </c>
      <c r="BC518" s="80">
        <f t="shared" si="548"/>
        <v>225.58751859332671</v>
      </c>
      <c r="BD518" s="80">
        <f t="shared" si="549"/>
        <v>163.86088507034754</v>
      </c>
      <c r="BE518" s="80">
        <f t="shared" si="550"/>
        <v>122.03866116218624</v>
      </c>
      <c r="BF518" s="80">
        <f t="shared" si="551"/>
        <v>1306.3020594272264</v>
      </c>
      <c r="BG518" s="80">
        <f t="shared" si="552"/>
        <v>756.26460508750199</v>
      </c>
      <c r="BH518" s="49">
        <f t="shared" si="553"/>
        <v>1019.4682293343617</v>
      </c>
      <c r="BI518" s="79">
        <f t="shared" si="554"/>
        <v>-114154.48583251773</v>
      </c>
      <c r="BJ518" s="79">
        <f t="shared" si="534"/>
        <v>162800</v>
      </c>
      <c r="BK518" s="44">
        <f t="shared" si="555"/>
        <v>0.4261375609790119</v>
      </c>
      <c r="BL518" s="79">
        <f t="shared" si="584"/>
        <v>20878.511656641371</v>
      </c>
      <c r="BM518" s="49">
        <f t="shared" si="556"/>
        <v>183678.51165664138</v>
      </c>
      <c r="BN518" s="44">
        <f t="shared" si="557"/>
        <v>0.60903454925219602</v>
      </c>
      <c r="BO518" s="49">
        <f t="shared" si="535"/>
        <v>25291.860539473237</v>
      </c>
      <c r="BP518" s="49">
        <f t="shared" si="536"/>
        <v>188091.86053947324</v>
      </c>
      <c r="BQ518" s="44">
        <f t="shared" si="537"/>
        <v>0.64769574465459967</v>
      </c>
      <c r="BS518" s="49">
        <f t="shared" si="538"/>
        <v>114154.48583251773</v>
      </c>
      <c r="BT518" s="49">
        <f t="shared" si="514"/>
        <v>109.610001</v>
      </c>
      <c r="BU518" s="49">
        <f t="shared" si="515"/>
        <v>36.799999</v>
      </c>
      <c r="BV518" s="49">
        <f t="shared" si="539"/>
        <v>4361.2038442268986</v>
      </c>
      <c r="BW518" s="18">
        <f t="shared" si="540"/>
        <v>3332</v>
      </c>
      <c r="BX518" s="19">
        <f t="shared" si="558"/>
        <v>0.23577981651376148</v>
      </c>
      <c r="BY518" s="49">
        <f t="shared" si="559"/>
        <v>1028.2838421709293</v>
      </c>
      <c r="BZ518" s="19">
        <f t="shared" si="560"/>
        <v>14.232098196582456</v>
      </c>
      <c r="CA518" s="19">
        <f t="shared" si="561"/>
        <v>6.3132659215702365</v>
      </c>
      <c r="CB518" s="19">
        <f t="shared" si="562"/>
        <v>4.1158679334703345</v>
      </c>
      <c r="CC518" s="19">
        <f t="shared" si="563"/>
        <v>3.5804850489878399</v>
      </c>
      <c r="CD518" s="19">
        <f t="shared" si="564"/>
        <v>43.832734767834523</v>
      </c>
      <c r="CE518" s="19">
        <f t="shared" si="565"/>
        <v>25.004263867237402</v>
      </c>
      <c r="CF518" s="49">
        <f t="shared" si="566"/>
        <v>-1559.9802975595012</v>
      </c>
      <c r="CG518" s="49">
        <f t="shared" si="585"/>
        <v>-541.110015824519</v>
      </c>
      <c r="CH518" s="49">
        <f t="shared" si="586"/>
        <v>-378.2482713176596</v>
      </c>
      <c r="CI518" s="49">
        <f t="shared" si="587"/>
        <v>-388.73326176860974</v>
      </c>
      <c r="CJ518" s="49">
        <f t="shared" si="588"/>
        <v>-1592.4433417808978</v>
      </c>
      <c r="CK518" s="49">
        <f t="shared" si="589"/>
        <v>-920.15688531007254</v>
      </c>
    </row>
    <row r="519" spans="2:89" ht="12.75" customHeight="1" x14ac:dyDescent="0.2">
      <c r="B519" s="77">
        <v>42632</v>
      </c>
      <c r="C519" s="79">
        <v>111.150002</v>
      </c>
      <c r="D519" s="79">
        <v>86.730002999999996</v>
      </c>
      <c r="E519" s="79">
        <v>93.139999000000003</v>
      </c>
      <c r="F519" s="79">
        <v>110.25</v>
      </c>
      <c r="G519" s="79">
        <v>37.439999</v>
      </c>
      <c r="H519" s="79">
        <v>37.689999</v>
      </c>
      <c r="I519" s="79"/>
      <c r="J519" s="78">
        <f>IF(inter=Weekly_2,J518+$C$5,IF(inter=Bi_weekly_2,0,IF(inter=Monthly_2,0,IF(inter=Quarterly_2,0,IF(inter=Yearly_2,0,IF(inter=None_2,0,0))))))</f>
        <v>0</v>
      </c>
      <c r="K519" s="79">
        <f t="shared" si="541"/>
        <v>0</v>
      </c>
      <c r="L519" s="79">
        <f t="shared" si="542"/>
        <v>0</v>
      </c>
      <c r="M519" s="79">
        <f t="shared" si="543"/>
        <v>0</v>
      </c>
      <c r="N519" s="79">
        <f t="shared" si="544"/>
        <v>0</v>
      </c>
      <c r="O519" s="79">
        <f t="shared" si="545"/>
        <v>0</v>
      </c>
      <c r="P519" s="79">
        <f t="shared" si="546"/>
        <v>0</v>
      </c>
      <c r="Q519" s="79"/>
      <c r="R519" s="80">
        <f t="shared" si="516"/>
        <v>0</v>
      </c>
      <c r="S519" s="80">
        <f t="shared" si="517"/>
        <v>0</v>
      </c>
      <c r="T519" s="80">
        <f t="shared" si="518"/>
        <v>0</v>
      </c>
      <c r="U519" s="80">
        <f t="shared" si="519"/>
        <v>0</v>
      </c>
      <c r="V519" s="80">
        <f t="shared" si="520"/>
        <v>0</v>
      </c>
      <c r="W519" s="80">
        <f t="shared" si="521"/>
        <v>0</v>
      </c>
      <c r="X519" s="80">
        <f t="shared" si="572"/>
        <v>519.84307526828684</v>
      </c>
      <c r="Y519" s="80">
        <f t="shared" si="573"/>
        <v>189.94283269096761</v>
      </c>
      <c r="Z519" s="80">
        <f t="shared" si="574"/>
        <v>141.71925698108254</v>
      </c>
      <c r="AA519" s="80">
        <f t="shared" si="575"/>
        <v>104.96453900709223</v>
      </c>
      <c r="AB519" s="80">
        <f t="shared" si="576"/>
        <v>1120.2862031221468</v>
      </c>
      <c r="AC519" s="80">
        <f t="shared" si="577"/>
        <v>663.58697455399397</v>
      </c>
      <c r="AD519" s="80"/>
      <c r="AE519" s="80"/>
      <c r="AF519" s="80"/>
      <c r="AG519" s="80"/>
      <c r="AH519" s="80"/>
      <c r="AI519" s="80"/>
      <c r="AJ519" s="45">
        <f t="shared" si="522"/>
        <v>0</v>
      </c>
      <c r="AK519" s="45">
        <f t="shared" si="523"/>
        <v>0</v>
      </c>
      <c r="AL519" s="45">
        <f t="shared" si="524"/>
        <v>0</v>
      </c>
      <c r="AM519" s="45">
        <f t="shared" si="525"/>
        <v>0</v>
      </c>
      <c r="AN519" s="45">
        <f t="shared" si="526"/>
        <v>0</v>
      </c>
      <c r="AO519" s="45">
        <f t="shared" si="527"/>
        <v>0</v>
      </c>
      <c r="AP519" s="80">
        <f t="shared" si="528"/>
        <v>0</v>
      </c>
      <c r="AQ519" s="80">
        <f t="shared" si="529"/>
        <v>0</v>
      </c>
      <c r="AR519" s="80">
        <f t="shared" si="530"/>
        <v>0</v>
      </c>
      <c r="AS519" s="80">
        <f t="shared" si="531"/>
        <v>0</v>
      </c>
      <c r="AT519" s="80">
        <f t="shared" si="532"/>
        <v>0</v>
      </c>
      <c r="AU519" s="80">
        <f t="shared" si="533"/>
        <v>0</v>
      </c>
      <c r="AV519" s="80">
        <f t="shared" si="578"/>
        <v>74.625565378936003</v>
      </c>
      <c r="AW519" s="80">
        <f t="shared" si="579"/>
        <v>35.644685902359093</v>
      </c>
      <c r="AX519" s="80">
        <f t="shared" si="580"/>
        <v>22.141628089265009</v>
      </c>
      <c r="AY519" s="80">
        <f t="shared" si="581"/>
        <v>17.074122155094017</v>
      </c>
      <c r="AZ519" s="80">
        <f t="shared" si="582"/>
        <v>186.01585630507955</v>
      </c>
      <c r="BA519" s="80">
        <f t="shared" si="583"/>
        <v>92.677630533508065</v>
      </c>
      <c r="BB519" s="80">
        <f t="shared" si="547"/>
        <v>594.46864064722286</v>
      </c>
      <c r="BC519" s="80">
        <f t="shared" si="548"/>
        <v>225.58751859332671</v>
      </c>
      <c r="BD519" s="80">
        <f t="shared" si="549"/>
        <v>163.86088507034754</v>
      </c>
      <c r="BE519" s="80">
        <f t="shared" si="550"/>
        <v>122.03866116218624</v>
      </c>
      <c r="BF519" s="80">
        <f t="shared" si="551"/>
        <v>1306.3020594272264</v>
      </c>
      <c r="BG519" s="80">
        <f t="shared" si="552"/>
        <v>756.26460508750199</v>
      </c>
      <c r="BH519" s="49">
        <f t="shared" si="553"/>
        <v>0</v>
      </c>
      <c r="BI519" s="79">
        <f t="shared" si="554"/>
        <v>-114154.48583251773</v>
      </c>
      <c r="BJ519" s="79">
        <f t="shared" si="534"/>
        <v>165980.47991586308</v>
      </c>
      <c r="BK519" s="44">
        <f t="shared" si="555"/>
        <v>0.45399875182638105</v>
      </c>
      <c r="BL519" s="79">
        <f t="shared" si="584"/>
        <v>20878.511656641371</v>
      </c>
      <c r="BM519" s="49">
        <f t="shared" si="556"/>
        <v>186858.99157250446</v>
      </c>
      <c r="BN519" s="44">
        <f t="shared" si="557"/>
        <v>0.63689574009956518</v>
      </c>
      <c r="BO519" s="49">
        <f t="shared" si="535"/>
        <v>25788.241918233773</v>
      </c>
      <c r="BP519" s="49">
        <f t="shared" si="536"/>
        <v>191768.72183409682</v>
      </c>
      <c r="BQ519" s="44">
        <f t="shared" si="537"/>
        <v>0.67990526553158115</v>
      </c>
      <c r="BS519" s="49">
        <f t="shared" si="538"/>
        <v>114154.48583251773</v>
      </c>
      <c r="BT519" s="49">
        <f t="shared" si="514"/>
        <v>111.150002</v>
      </c>
      <c r="BU519" s="49">
        <f t="shared" si="515"/>
        <v>37.689999</v>
      </c>
      <c r="BV519" s="49">
        <f t="shared" si="539"/>
        <v>0</v>
      </c>
      <c r="BW519" s="18">
        <f t="shared" si="540"/>
        <v>3339</v>
      </c>
      <c r="BX519" s="19">
        <f t="shared" si="558"/>
        <v>0.23417431192660551</v>
      </c>
      <c r="BY519" s="49">
        <f t="shared" si="559"/>
        <v>0</v>
      </c>
      <c r="BZ519" s="19">
        <f t="shared" si="560"/>
        <v>0</v>
      </c>
      <c r="CA519" s="19">
        <f t="shared" si="561"/>
        <v>0</v>
      </c>
      <c r="CB519" s="19">
        <f t="shared" si="562"/>
        <v>0</v>
      </c>
      <c r="CC519" s="19">
        <f t="shared" si="563"/>
        <v>0</v>
      </c>
      <c r="CD519" s="19">
        <f t="shared" si="564"/>
        <v>0</v>
      </c>
      <c r="CE519" s="19">
        <f t="shared" si="565"/>
        <v>0</v>
      </c>
      <c r="CF519" s="49">
        <f t="shared" si="566"/>
        <v>0</v>
      </c>
      <c r="CG519" s="49">
        <f t="shared" si="585"/>
        <v>0</v>
      </c>
      <c r="CH519" s="49">
        <f t="shared" si="586"/>
        <v>0</v>
      </c>
      <c r="CI519" s="49">
        <f t="shared" si="587"/>
        <v>0</v>
      </c>
      <c r="CJ519" s="49">
        <f t="shared" si="588"/>
        <v>0</v>
      </c>
      <c r="CK519" s="49">
        <f t="shared" si="589"/>
        <v>0</v>
      </c>
    </row>
    <row r="520" spans="2:89" ht="12.75" customHeight="1" x14ac:dyDescent="0.2">
      <c r="B520" s="77">
        <v>42639</v>
      </c>
      <c r="C520" s="79">
        <v>111.33000199999999</v>
      </c>
      <c r="D520" s="79">
        <v>87</v>
      </c>
      <c r="E520" s="79">
        <v>93.57</v>
      </c>
      <c r="F520" s="79">
        <v>110.660004</v>
      </c>
      <c r="G520" s="79">
        <v>37.409999999999997</v>
      </c>
      <c r="H520" s="79">
        <v>37.630001</v>
      </c>
      <c r="I520" s="79"/>
      <c r="J520" s="78">
        <f>IF(inter=Weekly_2,J519+$C$5,IF(inter=Bi_weekly_2,J518+$C$5,IF(inter=Monthly_2,0,IF(inter=Quarterly_2,0,IF(inter=Yearly_2,0,IF(inter=None_2,0,0))))))</f>
        <v>163400</v>
      </c>
      <c r="K520" s="79">
        <f t="shared" si="541"/>
        <v>684.13060930452048</v>
      </c>
      <c r="L520" s="79">
        <f t="shared" si="542"/>
        <v>185.02644411418078</v>
      </c>
      <c r="M520" s="79">
        <f t="shared" si="543"/>
        <v>188.67087571989214</v>
      </c>
      <c r="N520" s="79">
        <f t="shared" si="544"/>
        <v>177.37630638298106</v>
      </c>
      <c r="O520" s="79">
        <f t="shared" si="545"/>
        <v>1059.9068587995062</v>
      </c>
      <c r="P520" s="79">
        <f t="shared" si="546"/>
        <v>460.77851605376782</v>
      </c>
      <c r="Q520" s="79"/>
      <c r="R520" s="80">
        <f t="shared" si="516"/>
        <v>-6.145069586044924</v>
      </c>
      <c r="S520" s="80">
        <f t="shared" si="517"/>
        <v>-2.1267407369446065</v>
      </c>
      <c r="T520" s="80">
        <f t="shared" si="518"/>
        <v>-2.0163607536592085</v>
      </c>
      <c r="U520" s="80">
        <f t="shared" si="519"/>
        <v>-1.6028944512145604</v>
      </c>
      <c r="V520" s="80">
        <f t="shared" si="520"/>
        <v>-28.332180133640904</v>
      </c>
      <c r="W520" s="80">
        <f t="shared" si="521"/>
        <v>-12.244977512856506</v>
      </c>
      <c r="X520" s="80">
        <f t="shared" si="572"/>
        <v>513.69800568224196</v>
      </c>
      <c r="Y520" s="80">
        <f t="shared" si="573"/>
        <v>187.81609195402299</v>
      </c>
      <c r="Z520" s="80">
        <f t="shared" si="574"/>
        <v>139.70289622742334</v>
      </c>
      <c r="AA520" s="80">
        <f t="shared" si="575"/>
        <v>103.36164455587766</v>
      </c>
      <c r="AB520" s="80">
        <f t="shared" si="576"/>
        <v>1091.954022988506</v>
      </c>
      <c r="AC520" s="80">
        <f t="shared" si="577"/>
        <v>651.34199704113746</v>
      </c>
      <c r="AD520" s="80"/>
      <c r="AE520" s="80"/>
      <c r="AF520" s="80"/>
      <c r="AG520" s="80"/>
      <c r="AH520" s="80"/>
      <c r="AI520" s="80"/>
      <c r="AJ520" s="45">
        <f t="shared" si="522"/>
        <v>0</v>
      </c>
      <c r="AK520" s="45">
        <f t="shared" si="523"/>
        <v>0</v>
      </c>
      <c r="AL520" s="45">
        <f t="shared" si="524"/>
        <v>0</v>
      </c>
      <c r="AM520" s="45">
        <f t="shared" si="525"/>
        <v>0</v>
      </c>
      <c r="AN520" s="45">
        <f t="shared" si="526"/>
        <v>0</v>
      </c>
      <c r="AO520" s="45">
        <f t="shared" si="527"/>
        <v>0</v>
      </c>
      <c r="AP520" s="80">
        <f t="shared" si="528"/>
        <v>0</v>
      </c>
      <c r="AQ520" s="80">
        <f t="shared" si="529"/>
        <v>0</v>
      </c>
      <c r="AR520" s="80">
        <f t="shared" si="530"/>
        <v>0</v>
      </c>
      <c r="AS520" s="80">
        <f t="shared" si="531"/>
        <v>0</v>
      </c>
      <c r="AT520" s="80">
        <f t="shared" si="532"/>
        <v>0</v>
      </c>
      <c r="AU520" s="80">
        <f t="shared" si="533"/>
        <v>0</v>
      </c>
      <c r="AV520" s="80">
        <f t="shared" si="578"/>
        <v>74.625565378936003</v>
      </c>
      <c r="AW520" s="80">
        <f t="shared" si="579"/>
        <v>35.644685902359093</v>
      </c>
      <c r="AX520" s="80">
        <f t="shared" si="580"/>
        <v>22.141628089265009</v>
      </c>
      <c r="AY520" s="80">
        <f t="shared" si="581"/>
        <v>17.074122155094017</v>
      </c>
      <c r="AZ520" s="80">
        <f t="shared" si="582"/>
        <v>186.01585630507955</v>
      </c>
      <c r="BA520" s="80">
        <f t="shared" si="583"/>
        <v>92.677630533508065</v>
      </c>
      <c r="BB520" s="80">
        <f t="shared" si="547"/>
        <v>588.32357106117797</v>
      </c>
      <c r="BC520" s="80">
        <f t="shared" si="548"/>
        <v>223.46077785638209</v>
      </c>
      <c r="BD520" s="80">
        <f t="shared" si="549"/>
        <v>161.84452431668834</v>
      </c>
      <c r="BE520" s="80">
        <f t="shared" si="550"/>
        <v>120.43576671097168</v>
      </c>
      <c r="BF520" s="80">
        <f t="shared" si="551"/>
        <v>1277.9698792935856</v>
      </c>
      <c r="BG520" s="80">
        <f t="shared" si="552"/>
        <v>744.01962757464548</v>
      </c>
      <c r="BH520" s="49">
        <f t="shared" si="553"/>
        <v>0</v>
      </c>
      <c r="BI520" s="79">
        <f t="shared" si="554"/>
        <v>-111398.59622214286</v>
      </c>
      <c r="BJ520" s="79">
        <f t="shared" si="534"/>
        <v>163400</v>
      </c>
      <c r="BK520" s="44">
        <f t="shared" si="555"/>
        <v>0.46680483903190106</v>
      </c>
      <c r="BL520" s="79">
        <f t="shared" si="584"/>
        <v>20878.511656641371</v>
      </c>
      <c r="BM520" s="49">
        <f t="shared" si="556"/>
        <v>184278.51165664138</v>
      </c>
      <c r="BN520" s="44">
        <f t="shared" si="557"/>
        <v>0.65422651546853205</v>
      </c>
      <c r="BO520" s="49">
        <f t="shared" si="535"/>
        <v>25816.679096711596</v>
      </c>
      <c r="BP520" s="49">
        <f t="shared" si="536"/>
        <v>189216.6790967116</v>
      </c>
      <c r="BQ520" s="44">
        <f t="shared" si="537"/>
        <v>0.69855532756794925</v>
      </c>
      <c r="BS520" s="49">
        <f t="shared" si="538"/>
        <v>111398.59622214286</v>
      </c>
      <c r="BT520" s="49">
        <f t="shared" si="514"/>
        <v>111.33000199999999</v>
      </c>
      <c r="BU520" s="49">
        <f t="shared" si="515"/>
        <v>37.630001</v>
      </c>
      <c r="BV520" s="49">
        <f t="shared" si="539"/>
        <v>-2755.8896103748484</v>
      </c>
      <c r="BW520" s="18">
        <f t="shared" si="540"/>
        <v>3346</v>
      </c>
      <c r="BX520" s="19">
        <f t="shared" si="558"/>
        <v>0.23256880733944954</v>
      </c>
      <c r="BY520" s="49">
        <f t="shared" si="559"/>
        <v>-640.93395984405879</v>
      </c>
      <c r="BZ520" s="19">
        <f t="shared" si="560"/>
        <v>0</v>
      </c>
      <c r="CA520" s="19">
        <f t="shared" si="561"/>
        <v>0</v>
      </c>
      <c r="CB520" s="19">
        <f t="shared" si="562"/>
        <v>0</v>
      </c>
      <c r="CC520" s="19">
        <f t="shared" si="563"/>
        <v>0</v>
      </c>
      <c r="CD520" s="19">
        <f t="shared" si="564"/>
        <v>0</v>
      </c>
      <c r="CE520" s="19">
        <f t="shared" si="565"/>
        <v>0</v>
      </c>
      <c r="CF520" s="49">
        <f t="shared" si="566"/>
        <v>0</v>
      </c>
      <c r="CG520" s="49">
        <f t="shared" si="585"/>
        <v>0</v>
      </c>
      <c r="CH520" s="49">
        <f t="shared" si="586"/>
        <v>0</v>
      </c>
      <c r="CI520" s="49">
        <f t="shared" si="587"/>
        <v>0</v>
      </c>
      <c r="CJ520" s="49">
        <f t="shared" si="588"/>
        <v>0</v>
      </c>
      <c r="CK520" s="49">
        <f t="shared" si="589"/>
        <v>0</v>
      </c>
    </row>
    <row r="521" spans="2:89" ht="12.75" customHeight="1" x14ac:dyDescent="0.2">
      <c r="B521" s="77">
        <v>42646</v>
      </c>
      <c r="C521" s="79">
        <v>110.540001</v>
      </c>
      <c r="D521" s="79">
        <v>86.610000999999997</v>
      </c>
      <c r="E521" s="79">
        <v>92.550003000000004</v>
      </c>
      <c r="F521" s="79">
        <v>109.300003</v>
      </c>
      <c r="G521" s="79">
        <v>36.990001999999997</v>
      </c>
      <c r="H521" s="79">
        <v>37.939999</v>
      </c>
      <c r="I521" s="79"/>
      <c r="J521" s="78">
        <f>IF(inter=Weekly_2,J520+$C$5,IF(inter=Bi_weekly_2,0,IF(inter=Monthly_2,0,IF(inter=Quarterly_2,0,IF(inter=Yearly_2,0,IF(inter=None_2,0,0))))))</f>
        <v>0</v>
      </c>
      <c r="K521" s="79">
        <f t="shared" si="541"/>
        <v>0</v>
      </c>
      <c r="L521" s="79">
        <f t="shared" si="542"/>
        <v>0</v>
      </c>
      <c r="M521" s="79">
        <f t="shared" si="543"/>
        <v>0</v>
      </c>
      <c r="N521" s="79">
        <f t="shared" si="544"/>
        <v>0</v>
      </c>
      <c r="O521" s="79">
        <f t="shared" si="545"/>
        <v>0</v>
      </c>
      <c r="P521" s="79">
        <f t="shared" si="546"/>
        <v>0</v>
      </c>
      <c r="Q521" s="79"/>
      <c r="R521" s="80">
        <f t="shared" si="516"/>
        <v>0</v>
      </c>
      <c r="S521" s="80">
        <f t="shared" si="517"/>
        <v>0</v>
      </c>
      <c r="T521" s="80">
        <f t="shared" si="518"/>
        <v>0</v>
      </c>
      <c r="U521" s="80">
        <f t="shared" si="519"/>
        <v>0</v>
      </c>
      <c r="V521" s="80">
        <f t="shared" si="520"/>
        <v>0</v>
      </c>
      <c r="W521" s="80">
        <f t="shared" si="521"/>
        <v>0</v>
      </c>
      <c r="X521" s="80">
        <f t="shared" si="572"/>
        <v>513.69800568224196</v>
      </c>
      <c r="Y521" s="80">
        <f t="shared" si="573"/>
        <v>187.81609195402299</v>
      </c>
      <c r="Z521" s="80">
        <f t="shared" si="574"/>
        <v>139.70289622742334</v>
      </c>
      <c r="AA521" s="80">
        <f t="shared" si="575"/>
        <v>103.36164455587766</v>
      </c>
      <c r="AB521" s="80">
        <f t="shared" si="576"/>
        <v>1091.954022988506</v>
      </c>
      <c r="AC521" s="80">
        <f t="shared" si="577"/>
        <v>651.34199704113746</v>
      </c>
      <c r="AD521" s="80"/>
      <c r="AE521" s="80"/>
      <c r="AF521" s="80"/>
      <c r="AG521" s="80"/>
      <c r="AH521" s="80"/>
      <c r="AI521" s="80"/>
      <c r="AJ521" s="45">
        <f t="shared" si="522"/>
        <v>0</v>
      </c>
      <c r="AK521" s="45">
        <f t="shared" si="523"/>
        <v>0</v>
      </c>
      <c r="AL521" s="45">
        <f t="shared" si="524"/>
        <v>0</v>
      </c>
      <c r="AM521" s="45">
        <f t="shared" si="525"/>
        <v>0</v>
      </c>
      <c r="AN521" s="45">
        <f t="shared" si="526"/>
        <v>0</v>
      </c>
      <c r="AO521" s="45">
        <f t="shared" si="527"/>
        <v>0</v>
      </c>
      <c r="AP521" s="80">
        <f t="shared" si="528"/>
        <v>0</v>
      </c>
      <c r="AQ521" s="80">
        <f t="shared" si="529"/>
        <v>0</v>
      </c>
      <c r="AR521" s="80">
        <f t="shared" si="530"/>
        <v>0</v>
      </c>
      <c r="AS521" s="80">
        <f t="shared" si="531"/>
        <v>0</v>
      </c>
      <c r="AT521" s="80">
        <f t="shared" si="532"/>
        <v>0</v>
      </c>
      <c r="AU521" s="80">
        <f t="shared" si="533"/>
        <v>0</v>
      </c>
      <c r="AV521" s="80">
        <f t="shared" si="578"/>
        <v>74.625565378936003</v>
      </c>
      <c r="AW521" s="80">
        <f t="shared" si="579"/>
        <v>35.644685902359093</v>
      </c>
      <c r="AX521" s="80">
        <f t="shared" si="580"/>
        <v>22.141628089265009</v>
      </c>
      <c r="AY521" s="80">
        <f t="shared" si="581"/>
        <v>17.074122155094017</v>
      </c>
      <c r="AZ521" s="80">
        <f t="shared" si="582"/>
        <v>186.01585630507955</v>
      </c>
      <c r="BA521" s="80">
        <f t="shared" si="583"/>
        <v>92.677630533508065</v>
      </c>
      <c r="BB521" s="80">
        <f t="shared" si="547"/>
        <v>588.32357106117797</v>
      </c>
      <c r="BC521" s="80">
        <f t="shared" si="548"/>
        <v>223.46077785638209</v>
      </c>
      <c r="BD521" s="80">
        <f t="shared" si="549"/>
        <v>161.84452431668834</v>
      </c>
      <c r="BE521" s="80">
        <f t="shared" si="550"/>
        <v>120.43576671097168</v>
      </c>
      <c r="BF521" s="80">
        <f t="shared" si="551"/>
        <v>1277.9698792935856</v>
      </c>
      <c r="BG521" s="80">
        <f t="shared" si="552"/>
        <v>744.01962757464548</v>
      </c>
      <c r="BH521" s="49">
        <f t="shared" si="553"/>
        <v>0</v>
      </c>
      <c r="BI521" s="79">
        <f t="shared" si="554"/>
        <v>-111398.59622214286</v>
      </c>
      <c r="BJ521" s="79">
        <f t="shared" si="534"/>
        <v>162381.15770941778</v>
      </c>
      <c r="BK521" s="44">
        <f t="shared" si="555"/>
        <v>0.45765892225077276</v>
      </c>
      <c r="BL521" s="79">
        <f t="shared" si="584"/>
        <v>20878.511656641371</v>
      </c>
      <c r="BM521" s="49">
        <f t="shared" si="556"/>
        <v>183259.66936605916</v>
      </c>
      <c r="BN521" s="44">
        <f t="shared" si="557"/>
        <v>0.64508059868740397</v>
      </c>
      <c r="BO521" s="49">
        <f t="shared" si="535"/>
        <v>25648.621808641932</v>
      </c>
      <c r="BP521" s="49">
        <f t="shared" si="536"/>
        <v>188029.77951805969</v>
      </c>
      <c r="BQ521" s="44">
        <f t="shared" si="537"/>
        <v>0.68790079852626307</v>
      </c>
      <c r="BS521" s="49">
        <f t="shared" si="538"/>
        <v>111398.59622214286</v>
      </c>
      <c r="BT521" s="49">
        <f t="shared" si="514"/>
        <v>110.540001</v>
      </c>
      <c r="BU521" s="49">
        <f t="shared" si="515"/>
        <v>37.939999</v>
      </c>
      <c r="BV521" s="49">
        <f t="shared" si="539"/>
        <v>0</v>
      </c>
      <c r="BW521" s="18">
        <f t="shared" si="540"/>
        <v>3353</v>
      </c>
      <c r="BX521" s="19">
        <f t="shared" si="558"/>
        <v>0.23096330275229357</v>
      </c>
      <c r="BY521" s="49">
        <f t="shared" si="559"/>
        <v>0</v>
      </c>
      <c r="BZ521" s="19">
        <f t="shared" si="560"/>
        <v>0</v>
      </c>
      <c r="CA521" s="19">
        <f t="shared" si="561"/>
        <v>0</v>
      </c>
      <c r="CB521" s="19">
        <f t="shared" si="562"/>
        <v>0</v>
      </c>
      <c r="CC521" s="19">
        <f t="shared" si="563"/>
        <v>0</v>
      </c>
      <c r="CD521" s="19">
        <f t="shared" si="564"/>
        <v>0</v>
      </c>
      <c r="CE521" s="19">
        <f t="shared" si="565"/>
        <v>0</v>
      </c>
      <c r="CF521" s="49">
        <f t="shared" si="566"/>
        <v>0</v>
      </c>
      <c r="CG521" s="49">
        <f t="shared" si="585"/>
        <v>0</v>
      </c>
      <c r="CH521" s="49">
        <f t="shared" si="586"/>
        <v>0</v>
      </c>
      <c r="CI521" s="49">
        <f t="shared" si="587"/>
        <v>0</v>
      </c>
      <c r="CJ521" s="49">
        <f t="shared" si="588"/>
        <v>0</v>
      </c>
      <c r="CK521" s="49">
        <f t="shared" si="589"/>
        <v>0</v>
      </c>
    </row>
    <row r="522" spans="2:89" ht="12.75" customHeight="1" x14ac:dyDescent="0.2">
      <c r="B522" s="77">
        <v>42653</v>
      </c>
      <c r="C522" s="79">
        <v>109.370003</v>
      </c>
      <c r="D522" s="79">
        <v>85.809997999999993</v>
      </c>
      <c r="E522" s="79">
        <v>91.160004000000001</v>
      </c>
      <c r="F522" s="79">
        <v>108.16999800000001</v>
      </c>
      <c r="G522" s="79">
        <v>36.479999999999997</v>
      </c>
      <c r="H522" s="79">
        <v>37.32</v>
      </c>
      <c r="I522" s="79"/>
      <c r="J522" s="78">
        <f>IF(inter=Weekly_2,J521+$C$5,IF(inter=Bi_weekly_2,J520+$C$5,IF(inter=Monthly_2,J518+$C$5,IF(inter=Quarterly_2,0,IF(inter=Yearly_2,0,IF(inter=None_2,0,0))))))</f>
        <v>164000</v>
      </c>
      <c r="K522" s="79">
        <f t="shared" si="541"/>
        <v>-1216.8475774391773</v>
      </c>
      <c r="L522" s="79">
        <f t="shared" si="542"/>
        <v>-283.50152505747246</v>
      </c>
      <c r="M522" s="79">
        <f t="shared" si="543"/>
        <v>-384.68342109650439</v>
      </c>
      <c r="N522" s="79">
        <f t="shared" si="544"/>
        <v>-299.37111511400326</v>
      </c>
      <c r="O522" s="79">
        <f t="shared" si="545"/>
        <v>-1165.5172413793043</v>
      </c>
      <c r="P522" s="79">
        <f t="shared" si="546"/>
        <v>-291.91667042475092</v>
      </c>
      <c r="Q522" s="79"/>
      <c r="R522" s="80">
        <f t="shared" si="516"/>
        <v>11.12597187584586</v>
      </c>
      <c r="S522" s="80">
        <f t="shared" si="517"/>
        <v>3.303828594163031</v>
      </c>
      <c r="T522" s="80">
        <f t="shared" si="518"/>
        <v>4.2198706035215219</v>
      </c>
      <c r="U522" s="80">
        <f t="shared" si="519"/>
        <v>2.7675984159119911</v>
      </c>
      <c r="V522" s="80">
        <f t="shared" si="520"/>
        <v>31.949485783423913</v>
      </c>
      <c r="W522" s="80">
        <f t="shared" si="521"/>
        <v>7.8219900971262302</v>
      </c>
      <c r="X522" s="80">
        <f t="shared" si="572"/>
        <v>524.82397755808779</v>
      </c>
      <c r="Y522" s="80">
        <f t="shared" si="573"/>
        <v>191.11992054818603</v>
      </c>
      <c r="Z522" s="80">
        <f t="shared" si="574"/>
        <v>143.92276683094485</v>
      </c>
      <c r="AA522" s="80">
        <f t="shared" si="575"/>
        <v>106.12924297178965</v>
      </c>
      <c r="AB522" s="80">
        <f t="shared" si="576"/>
        <v>1123.9035087719299</v>
      </c>
      <c r="AC522" s="80">
        <f t="shared" si="577"/>
        <v>659.16398713826368</v>
      </c>
      <c r="AD522" s="80"/>
      <c r="AE522" s="80"/>
      <c r="AF522" s="80"/>
      <c r="AG522" s="80"/>
      <c r="AH522" s="80"/>
      <c r="AI522" s="80"/>
      <c r="AJ522" s="45">
        <f t="shared" si="522"/>
        <v>0</v>
      </c>
      <c r="AK522" s="45">
        <f t="shared" si="523"/>
        <v>0</v>
      </c>
      <c r="AL522" s="45">
        <f t="shared" si="524"/>
        <v>0</v>
      </c>
      <c r="AM522" s="45">
        <f t="shared" si="525"/>
        <v>0</v>
      </c>
      <c r="AN522" s="45">
        <f t="shared" si="526"/>
        <v>0</v>
      </c>
      <c r="AO522" s="45">
        <f t="shared" si="527"/>
        <v>0</v>
      </c>
      <c r="AP522" s="80">
        <f t="shared" si="528"/>
        <v>0</v>
      </c>
      <c r="AQ522" s="80">
        <f t="shared" si="529"/>
        <v>0</v>
      </c>
      <c r="AR522" s="80">
        <f t="shared" si="530"/>
        <v>0</v>
      </c>
      <c r="AS522" s="80">
        <f t="shared" si="531"/>
        <v>0</v>
      </c>
      <c r="AT522" s="80">
        <f t="shared" si="532"/>
        <v>0</v>
      </c>
      <c r="AU522" s="80">
        <f t="shared" si="533"/>
        <v>0</v>
      </c>
      <c r="AV522" s="80">
        <f t="shared" si="578"/>
        <v>74.625565378936003</v>
      </c>
      <c r="AW522" s="80">
        <f t="shared" si="579"/>
        <v>35.644685902359093</v>
      </c>
      <c r="AX522" s="80">
        <f t="shared" si="580"/>
        <v>22.141628089265009</v>
      </c>
      <c r="AY522" s="80">
        <f t="shared" si="581"/>
        <v>17.074122155094017</v>
      </c>
      <c r="AZ522" s="80">
        <f t="shared" si="582"/>
        <v>186.01585630507955</v>
      </c>
      <c r="BA522" s="80">
        <f t="shared" si="583"/>
        <v>92.677630533508065</v>
      </c>
      <c r="BB522" s="80">
        <f t="shared" si="547"/>
        <v>599.44954293702381</v>
      </c>
      <c r="BC522" s="80">
        <f t="shared" si="548"/>
        <v>226.76460645054513</v>
      </c>
      <c r="BD522" s="80">
        <f t="shared" si="549"/>
        <v>166.06439492020985</v>
      </c>
      <c r="BE522" s="80">
        <f t="shared" si="550"/>
        <v>123.20336512688367</v>
      </c>
      <c r="BF522" s="80">
        <f t="shared" si="551"/>
        <v>1309.9193650770094</v>
      </c>
      <c r="BG522" s="80">
        <f t="shared" si="552"/>
        <v>751.8416176717717</v>
      </c>
      <c r="BH522" s="49">
        <f t="shared" si="553"/>
        <v>0</v>
      </c>
      <c r="BI522" s="79">
        <f t="shared" si="554"/>
        <v>-115040.43377265408</v>
      </c>
      <c r="BJ522" s="79">
        <f t="shared" si="534"/>
        <v>164000</v>
      </c>
      <c r="BK522" s="44">
        <f t="shared" si="555"/>
        <v>0.42558572339966227</v>
      </c>
      <c r="BL522" s="79">
        <f t="shared" si="584"/>
        <v>20878.511656641371</v>
      </c>
      <c r="BM522" s="49">
        <f t="shared" si="556"/>
        <v>184878.51165664138</v>
      </c>
      <c r="BN522" s="44">
        <f t="shared" si="557"/>
        <v>0.60707418768954868</v>
      </c>
      <c r="BO522" s="49">
        <f t="shared" si="535"/>
        <v>25330.395009434997</v>
      </c>
      <c r="BP522" s="49">
        <f t="shared" si="536"/>
        <v>189330.39500943499</v>
      </c>
      <c r="BQ522" s="44">
        <f t="shared" si="537"/>
        <v>0.64577261055529989</v>
      </c>
      <c r="BS522" s="49">
        <f t="shared" si="538"/>
        <v>115040.43377265408</v>
      </c>
      <c r="BT522" s="49">
        <f t="shared" si="514"/>
        <v>109.370003</v>
      </c>
      <c r="BU522" s="49">
        <f t="shared" si="515"/>
        <v>37.32</v>
      </c>
      <c r="BV522" s="49">
        <f t="shared" si="539"/>
        <v>3641.8375505112126</v>
      </c>
      <c r="BW522" s="18">
        <f t="shared" si="540"/>
        <v>3360</v>
      </c>
      <c r="BX522" s="19">
        <f t="shared" si="558"/>
        <v>0.22935779816513763</v>
      </c>
      <c r="BY522" s="49">
        <f t="shared" si="559"/>
        <v>835.28384186036988</v>
      </c>
      <c r="BZ522" s="19">
        <f t="shared" si="560"/>
        <v>11.12597187584586</v>
      </c>
      <c r="CA522" s="19">
        <f t="shared" si="561"/>
        <v>3.303828594163031</v>
      </c>
      <c r="CB522" s="19">
        <f t="shared" si="562"/>
        <v>4.2198706035215219</v>
      </c>
      <c r="CC522" s="19">
        <f t="shared" si="563"/>
        <v>2.7675984159119911</v>
      </c>
      <c r="CD522" s="19">
        <f t="shared" si="564"/>
        <v>31.949485783423913</v>
      </c>
      <c r="CE522" s="19">
        <f t="shared" si="565"/>
        <v>7.8219900971262302</v>
      </c>
      <c r="CF522" s="49">
        <f t="shared" si="566"/>
        <v>-1216.8475774391773</v>
      </c>
      <c r="CG522" s="49">
        <f t="shared" si="585"/>
        <v>-283.50152505747246</v>
      </c>
      <c r="CH522" s="49">
        <f t="shared" si="586"/>
        <v>-384.68342109650439</v>
      </c>
      <c r="CI522" s="49">
        <f t="shared" si="587"/>
        <v>-299.37111511400326</v>
      </c>
      <c r="CJ522" s="49">
        <f t="shared" si="588"/>
        <v>-1165.5172413793043</v>
      </c>
      <c r="CK522" s="49">
        <f t="shared" si="589"/>
        <v>-291.91667042475092</v>
      </c>
    </row>
    <row r="523" spans="2:89" ht="12.75" customHeight="1" x14ac:dyDescent="0.2">
      <c r="B523" s="77">
        <v>42660</v>
      </c>
      <c r="C523" s="79">
        <v>109.800003</v>
      </c>
      <c r="D523" s="79">
        <v>85.940002000000007</v>
      </c>
      <c r="E523" s="79">
        <v>91.75</v>
      </c>
      <c r="F523" s="79">
        <v>108.80999799999999</v>
      </c>
      <c r="G523" s="79">
        <v>36.860000999999997</v>
      </c>
      <c r="H523" s="79">
        <v>38.07</v>
      </c>
      <c r="I523" s="79"/>
      <c r="J523" s="78">
        <f>IF(inter=Weekly_2,J522+$C$5,IF(inter=Bi_weekly_2,0,IF(inter=Monthly_2,0,IF(inter=Quarterly_2,J510+$C$5,IF(inter=Yearly_2,0,IF(inter=None_2,0,0))))))</f>
        <v>0</v>
      </c>
      <c r="K523" s="79">
        <f t="shared" si="541"/>
        <v>0</v>
      </c>
      <c r="L523" s="79">
        <f t="shared" si="542"/>
        <v>0</v>
      </c>
      <c r="M523" s="79">
        <f t="shared" si="543"/>
        <v>0</v>
      </c>
      <c r="N523" s="79">
        <f t="shared" si="544"/>
        <v>0</v>
      </c>
      <c r="O523" s="79">
        <f t="shared" si="545"/>
        <v>0</v>
      </c>
      <c r="P523" s="79">
        <f t="shared" si="546"/>
        <v>0</v>
      </c>
      <c r="Q523" s="79"/>
      <c r="R523" s="80">
        <f t="shared" si="516"/>
        <v>0</v>
      </c>
      <c r="S523" s="80">
        <f t="shared" si="517"/>
        <v>0</v>
      </c>
      <c r="T523" s="80">
        <f t="shared" si="518"/>
        <v>0</v>
      </c>
      <c r="U523" s="80">
        <f t="shared" si="519"/>
        <v>0</v>
      </c>
      <c r="V523" s="80">
        <f t="shared" si="520"/>
        <v>0</v>
      </c>
      <c r="W523" s="80">
        <f t="shared" si="521"/>
        <v>0</v>
      </c>
      <c r="X523" s="80">
        <f t="shared" si="572"/>
        <v>524.82397755808779</v>
      </c>
      <c r="Y523" s="80">
        <f t="shared" si="573"/>
        <v>191.11992054818603</v>
      </c>
      <c r="Z523" s="80">
        <f t="shared" si="574"/>
        <v>143.92276683094485</v>
      </c>
      <c r="AA523" s="80">
        <f t="shared" si="575"/>
        <v>106.12924297178965</v>
      </c>
      <c r="AB523" s="80">
        <f t="shared" si="576"/>
        <v>1123.9035087719299</v>
      </c>
      <c r="AC523" s="80">
        <f t="shared" si="577"/>
        <v>659.16398713826368</v>
      </c>
      <c r="AD523" s="80"/>
      <c r="AE523" s="80"/>
      <c r="AF523" s="80"/>
      <c r="AG523" s="80"/>
      <c r="AH523" s="80"/>
      <c r="AI523" s="80"/>
      <c r="AJ523" s="45">
        <f t="shared" si="522"/>
        <v>0</v>
      </c>
      <c r="AK523" s="45">
        <f t="shared" si="523"/>
        <v>0</v>
      </c>
      <c r="AL523" s="45">
        <f t="shared" si="524"/>
        <v>0</v>
      </c>
      <c r="AM523" s="45">
        <f t="shared" si="525"/>
        <v>0</v>
      </c>
      <c r="AN523" s="45">
        <f t="shared" si="526"/>
        <v>0</v>
      </c>
      <c r="AO523" s="45">
        <f t="shared" si="527"/>
        <v>0</v>
      </c>
      <c r="AP523" s="80">
        <f t="shared" si="528"/>
        <v>0</v>
      </c>
      <c r="AQ523" s="80">
        <f t="shared" si="529"/>
        <v>0</v>
      </c>
      <c r="AR523" s="80">
        <f t="shared" si="530"/>
        <v>0</v>
      </c>
      <c r="AS523" s="80">
        <f t="shared" si="531"/>
        <v>0</v>
      </c>
      <c r="AT523" s="80">
        <f t="shared" si="532"/>
        <v>0</v>
      </c>
      <c r="AU523" s="80">
        <f t="shared" si="533"/>
        <v>0</v>
      </c>
      <c r="AV523" s="80">
        <f t="shared" si="578"/>
        <v>74.625565378936003</v>
      </c>
      <c r="AW523" s="80">
        <f t="shared" si="579"/>
        <v>35.644685902359093</v>
      </c>
      <c r="AX523" s="80">
        <f t="shared" si="580"/>
        <v>22.141628089265009</v>
      </c>
      <c r="AY523" s="80">
        <f t="shared" si="581"/>
        <v>17.074122155094017</v>
      </c>
      <c r="AZ523" s="80">
        <f t="shared" si="582"/>
        <v>186.01585630507955</v>
      </c>
      <c r="BA523" s="80">
        <f t="shared" si="583"/>
        <v>92.677630533508065</v>
      </c>
      <c r="BB523" s="80">
        <f t="shared" si="547"/>
        <v>599.44954293702381</v>
      </c>
      <c r="BC523" s="80">
        <f t="shared" si="548"/>
        <v>226.76460645054513</v>
      </c>
      <c r="BD523" s="80">
        <f t="shared" si="549"/>
        <v>166.06439492020985</v>
      </c>
      <c r="BE523" s="80">
        <f t="shared" si="550"/>
        <v>123.20336512688367</v>
      </c>
      <c r="BF523" s="80">
        <f t="shared" si="551"/>
        <v>1309.9193650770094</v>
      </c>
      <c r="BG523" s="80">
        <f t="shared" si="552"/>
        <v>751.8416176717717</v>
      </c>
      <c r="BH523" s="49">
        <f t="shared" si="553"/>
        <v>0</v>
      </c>
      <c r="BI523" s="79">
        <f t="shared" si="554"/>
        <v>-115040.43377265408</v>
      </c>
      <c r="BJ523" s="79">
        <f t="shared" si="534"/>
        <v>165324.81468433261</v>
      </c>
      <c r="BK523" s="44">
        <f t="shared" si="555"/>
        <v>0.43710180205902072</v>
      </c>
      <c r="BL523" s="79">
        <f t="shared" si="584"/>
        <v>20878.511656641371</v>
      </c>
      <c r="BM523" s="49">
        <f t="shared" si="556"/>
        <v>186203.32634097399</v>
      </c>
      <c r="BN523" s="44">
        <f t="shared" si="557"/>
        <v>0.61859026634890713</v>
      </c>
      <c r="BO523" s="49">
        <f t="shared" si="535"/>
        <v>25531.303298791325</v>
      </c>
      <c r="BP523" s="49">
        <f t="shared" si="536"/>
        <v>190856.11798312393</v>
      </c>
      <c r="BQ523" s="44">
        <f t="shared" si="537"/>
        <v>0.6590351037818476</v>
      </c>
      <c r="BS523" s="49">
        <f t="shared" si="538"/>
        <v>115040.43377265408</v>
      </c>
      <c r="BT523" s="49">
        <f t="shared" si="514"/>
        <v>109.800003</v>
      </c>
      <c r="BU523" s="49">
        <f t="shared" si="515"/>
        <v>38.07</v>
      </c>
      <c r="BV523" s="49">
        <f t="shared" si="539"/>
        <v>0</v>
      </c>
      <c r="BW523" s="18">
        <f t="shared" si="540"/>
        <v>3367</v>
      </c>
      <c r="BX523" s="19">
        <f t="shared" si="558"/>
        <v>0.22775229357798166</v>
      </c>
      <c r="BY523" s="49">
        <f t="shared" si="559"/>
        <v>0</v>
      </c>
      <c r="BZ523" s="19">
        <f t="shared" si="560"/>
        <v>0</v>
      </c>
      <c r="CA523" s="19">
        <f t="shared" si="561"/>
        <v>0</v>
      </c>
      <c r="CB523" s="19">
        <f t="shared" si="562"/>
        <v>0</v>
      </c>
      <c r="CC523" s="19">
        <f t="shared" si="563"/>
        <v>0</v>
      </c>
      <c r="CD523" s="19">
        <f t="shared" si="564"/>
        <v>0</v>
      </c>
      <c r="CE523" s="19">
        <f t="shared" si="565"/>
        <v>0</v>
      </c>
      <c r="CF523" s="49">
        <f t="shared" si="566"/>
        <v>0</v>
      </c>
      <c r="CG523" s="49">
        <f t="shared" si="585"/>
        <v>0</v>
      </c>
      <c r="CH523" s="49">
        <f t="shared" si="586"/>
        <v>0</v>
      </c>
      <c r="CI523" s="49">
        <f t="shared" si="587"/>
        <v>0</v>
      </c>
      <c r="CJ523" s="49">
        <f t="shared" si="588"/>
        <v>0</v>
      </c>
      <c r="CK523" s="49">
        <f t="shared" si="589"/>
        <v>0</v>
      </c>
    </row>
    <row r="524" spans="2:89" ht="12.75" customHeight="1" x14ac:dyDescent="0.2">
      <c r="B524" s="77">
        <v>42667</v>
      </c>
      <c r="C524" s="79">
        <v>108.82</v>
      </c>
      <c r="D524" s="79">
        <v>85.970000999999996</v>
      </c>
      <c r="E524" s="79">
        <v>90.910004000000001</v>
      </c>
      <c r="F524" s="79">
        <v>106.760002</v>
      </c>
      <c r="G524" s="79">
        <v>36.540000999999997</v>
      </c>
      <c r="H524" s="79">
        <v>37.450001</v>
      </c>
      <c r="I524" s="79"/>
      <c r="J524" s="78">
        <f>IF(inter=Weekly_2,J523+$C$5,IF(inter=Bi_weekly_2,J522+$C$5,IF(inter=Monthly_2,0,IF(inter=Quarterly_2,0,IF(inter=Yearly_2,0,IF(inter=None_2,0,0))))))</f>
        <v>164600</v>
      </c>
      <c r="K524" s="79">
        <f t="shared" si="541"/>
        <v>-498.65476212888461</v>
      </c>
      <c r="L524" s="79">
        <f t="shared" si="542"/>
        <v>-29.420239352526551</v>
      </c>
      <c r="M524" s="79">
        <f t="shared" si="543"/>
        <v>-83.980691707736696</v>
      </c>
      <c r="N524" s="79">
        <f t="shared" si="544"/>
        <v>-191.64180807325283</v>
      </c>
      <c r="O524" s="79">
        <f t="shared" si="545"/>
        <v>-82.564665570178477</v>
      </c>
      <c r="P524" s="79">
        <f t="shared" si="546"/>
        <v>-4.3080225080375385</v>
      </c>
      <c r="Q524" s="79"/>
      <c r="R524" s="80">
        <f t="shared" si="516"/>
        <v>4.582381567073007</v>
      </c>
      <c r="S524" s="80">
        <f t="shared" si="517"/>
        <v>0.34221517983379518</v>
      </c>
      <c r="T524" s="80">
        <f t="shared" si="518"/>
        <v>0.92377833035555357</v>
      </c>
      <c r="U524" s="80">
        <f t="shared" si="519"/>
        <v>1.7950712297031695</v>
      </c>
      <c r="V524" s="80">
        <f t="shared" si="520"/>
        <v>2.2595693297922592</v>
      </c>
      <c r="W524" s="80">
        <f t="shared" si="521"/>
        <v>0.11503397578113653</v>
      </c>
      <c r="X524" s="80">
        <f t="shared" si="572"/>
        <v>529.40635912516075</v>
      </c>
      <c r="Y524" s="80">
        <f t="shared" si="573"/>
        <v>191.46213572801983</v>
      </c>
      <c r="Z524" s="80">
        <f t="shared" si="574"/>
        <v>144.84654516130041</v>
      </c>
      <c r="AA524" s="80">
        <f t="shared" si="575"/>
        <v>107.92431420149282</v>
      </c>
      <c r="AB524" s="80">
        <f t="shared" si="576"/>
        <v>1126.163078101722</v>
      </c>
      <c r="AC524" s="80">
        <f t="shared" si="577"/>
        <v>659.27902111404478</v>
      </c>
      <c r="AD524" s="80"/>
      <c r="AE524" s="80"/>
      <c r="AF524" s="80"/>
      <c r="AG524" s="80"/>
      <c r="AH524" s="80"/>
      <c r="AI524" s="80"/>
      <c r="AJ524" s="45">
        <f t="shared" si="522"/>
        <v>0</v>
      </c>
      <c r="AK524" s="45">
        <f t="shared" si="523"/>
        <v>0</v>
      </c>
      <c r="AL524" s="45">
        <f t="shared" si="524"/>
        <v>0</v>
      </c>
      <c r="AM524" s="45">
        <f t="shared" si="525"/>
        <v>0</v>
      </c>
      <c r="AN524" s="45">
        <f t="shared" si="526"/>
        <v>0</v>
      </c>
      <c r="AO524" s="45">
        <f t="shared" si="527"/>
        <v>0</v>
      </c>
      <c r="AP524" s="80">
        <f t="shared" si="528"/>
        <v>0</v>
      </c>
      <c r="AQ524" s="80">
        <f t="shared" si="529"/>
        <v>0</v>
      </c>
      <c r="AR524" s="80">
        <f t="shared" si="530"/>
        <v>0</v>
      </c>
      <c r="AS524" s="80">
        <f t="shared" si="531"/>
        <v>0</v>
      </c>
      <c r="AT524" s="80">
        <f t="shared" si="532"/>
        <v>0</v>
      </c>
      <c r="AU524" s="80">
        <f t="shared" si="533"/>
        <v>0</v>
      </c>
      <c r="AV524" s="80">
        <f t="shared" si="578"/>
        <v>74.625565378936003</v>
      </c>
      <c r="AW524" s="80">
        <f t="shared" si="579"/>
        <v>35.644685902359093</v>
      </c>
      <c r="AX524" s="80">
        <f t="shared" si="580"/>
        <v>22.141628089265009</v>
      </c>
      <c r="AY524" s="80">
        <f t="shared" si="581"/>
        <v>17.074122155094017</v>
      </c>
      <c r="AZ524" s="80">
        <f t="shared" si="582"/>
        <v>186.01585630507955</v>
      </c>
      <c r="BA524" s="80">
        <f t="shared" si="583"/>
        <v>92.677630533508065</v>
      </c>
      <c r="BB524" s="80">
        <f t="shared" si="547"/>
        <v>604.03192450409676</v>
      </c>
      <c r="BC524" s="80">
        <f t="shared" si="548"/>
        <v>227.10682163037893</v>
      </c>
      <c r="BD524" s="80">
        <f t="shared" si="549"/>
        <v>166.98817325056541</v>
      </c>
      <c r="BE524" s="80">
        <f t="shared" si="550"/>
        <v>124.99843635658684</v>
      </c>
      <c r="BF524" s="80">
        <f t="shared" si="551"/>
        <v>1312.1789344068015</v>
      </c>
      <c r="BG524" s="80">
        <f t="shared" si="552"/>
        <v>751.9566516475528</v>
      </c>
      <c r="BH524" s="49">
        <f t="shared" si="553"/>
        <v>0</v>
      </c>
      <c r="BI524" s="79">
        <f t="shared" si="554"/>
        <v>-115931.00396199471</v>
      </c>
      <c r="BJ524" s="79">
        <f t="shared" si="534"/>
        <v>164600</v>
      </c>
      <c r="BK524" s="44">
        <f t="shared" si="555"/>
        <v>0.41981001090924996</v>
      </c>
      <c r="BL524" s="79">
        <f t="shared" si="584"/>
        <v>20878.511656641371</v>
      </c>
      <c r="BM524" s="49">
        <f t="shared" si="556"/>
        <v>185478.51165664138</v>
      </c>
      <c r="BN524" s="44">
        <f t="shared" si="557"/>
        <v>0.59990429926274258</v>
      </c>
      <c r="BO524" s="49">
        <f t="shared" si="535"/>
        <v>25288.65345235496</v>
      </c>
      <c r="BP524" s="49">
        <f t="shared" si="536"/>
        <v>189888.65345235495</v>
      </c>
      <c r="BQ524" s="44">
        <f t="shared" si="537"/>
        <v>0.6379453896095435</v>
      </c>
      <c r="BS524" s="49">
        <f t="shared" si="538"/>
        <v>115931.00396199471</v>
      </c>
      <c r="BT524" s="49">
        <f t="shared" si="514"/>
        <v>108.82</v>
      </c>
      <c r="BU524" s="49">
        <f t="shared" si="515"/>
        <v>37.450001</v>
      </c>
      <c r="BV524" s="49">
        <f t="shared" si="539"/>
        <v>890.57018934061671</v>
      </c>
      <c r="BW524" s="18">
        <f t="shared" si="540"/>
        <v>3374</v>
      </c>
      <c r="BX524" s="19">
        <f t="shared" si="558"/>
        <v>0.22614678899082569</v>
      </c>
      <c r="BY524" s="49">
        <f t="shared" si="559"/>
        <v>201.39958869033214</v>
      </c>
      <c r="BZ524" s="19">
        <f t="shared" si="560"/>
        <v>4.582381567073007</v>
      </c>
      <c r="CA524" s="19">
        <f t="shared" si="561"/>
        <v>0.34221517983379518</v>
      </c>
      <c r="CB524" s="19">
        <f t="shared" si="562"/>
        <v>0.92377833035555357</v>
      </c>
      <c r="CC524" s="19">
        <f t="shared" si="563"/>
        <v>1.7950712297031695</v>
      </c>
      <c r="CD524" s="19">
        <f t="shared" si="564"/>
        <v>2.2595693297922592</v>
      </c>
      <c r="CE524" s="19">
        <f t="shared" si="565"/>
        <v>0.11503397578113653</v>
      </c>
      <c r="CF524" s="49">
        <f t="shared" si="566"/>
        <v>-498.65476212888461</v>
      </c>
      <c r="CG524" s="49">
        <f t="shared" si="585"/>
        <v>-29.420239352526551</v>
      </c>
      <c r="CH524" s="49">
        <f t="shared" si="586"/>
        <v>-83.980691707736696</v>
      </c>
      <c r="CI524" s="49">
        <f t="shared" si="587"/>
        <v>-191.64180807325283</v>
      </c>
      <c r="CJ524" s="49">
        <f t="shared" si="588"/>
        <v>-82.564665570178477</v>
      </c>
      <c r="CK524" s="49">
        <f t="shared" si="589"/>
        <v>-4.3080225080375385</v>
      </c>
    </row>
    <row r="525" spans="2:89" ht="12.75" customHeight="1" x14ac:dyDescent="0.2">
      <c r="B525" s="77">
        <v>42674</v>
      </c>
      <c r="C525" s="79">
        <v>106.790001</v>
      </c>
      <c r="D525" s="79">
        <v>84.650002000000001</v>
      </c>
      <c r="E525" s="79">
        <v>89.5</v>
      </c>
      <c r="F525" s="79">
        <v>105.16999800000001</v>
      </c>
      <c r="G525" s="79">
        <v>35.82</v>
      </c>
      <c r="H525" s="79">
        <v>36.560001</v>
      </c>
      <c r="I525" s="79"/>
      <c r="J525" s="78">
        <f>IF(inter=Weekly_2,J524+$C$5,IF(inter=Bi_weekly_2,0,IF(inter=Monthly_2,0,IF(inter=Quarterly_2,0,IF(inter=Yearly_2,0,IF(inter=None_2,0,0))))))</f>
        <v>0</v>
      </c>
      <c r="K525" s="79">
        <f t="shared" si="541"/>
        <v>0</v>
      </c>
      <c r="L525" s="79">
        <f t="shared" si="542"/>
        <v>0</v>
      </c>
      <c r="M525" s="79">
        <f t="shared" si="543"/>
        <v>0</v>
      </c>
      <c r="N525" s="79">
        <f t="shared" si="544"/>
        <v>0</v>
      </c>
      <c r="O525" s="79">
        <f t="shared" si="545"/>
        <v>0</v>
      </c>
      <c r="P525" s="79">
        <f t="shared" si="546"/>
        <v>0</v>
      </c>
      <c r="Q525" s="79"/>
      <c r="R525" s="80">
        <f t="shared" si="516"/>
        <v>0</v>
      </c>
      <c r="S525" s="80">
        <f t="shared" si="517"/>
        <v>0</v>
      </c>
      <c r="T525" s="80">
        <f t="shared" si="518"/>
        <v>0</v>
      </c>
      <c r="U525" s="80">
        <f t="shared" si="519"/>
        <v>0</v>
      </c>
      <c r="V525" s="80">
        <f t="shared" si="520"/>
        <v>0</v>
      </c>
      <c r="W525" s="80">
        <f t="shared" si="521"/>
        <v>0</v>
      </c>
      <c r="X525" s="80">
        <f t="shared" si="572"/>
        <v>529.40635912516075</v>
      </c>
      <c r="Y525" s="80">
        <f t="shared" si="573"/>
        <v>191.46213572801983</v>
      </c>
      <c r="Z525" s="80">
        <f t="shared" si="574"/>
        <v>144.84654516130041</v>
      </c>
      <c r="AA525" s="80">
        <f t="shared" si="575"/>
        <v>107.92431420149282</v>
      </c>
      <c r="AB525" s="80">
        <f t="shared" si="576"/>
        <v>1126.163078101722</v>
      </c>
      <c r="AC525" s="80">
        <f t="shared" si="577"/>
        <v>659.27902111404478</v>
      </c>
      <c r="AD525" s="80"/>
      <c r="AE525" s="80"/>
      <c r="AF525" s="80"/>
      <c r="AG525" s="80"/>
      <c r="AH525" s="80"/>
      <c r="AI525" s="80"/>
      <c r="AJ525" s="45">
        <f t="shared" si="522"/>
        <v>0</v>
      </c>
      <c r="AK525" s="45">
        <f t="shared" si="523"/>
        <v>0</v>
      </c>
      <c r="AL525" s="45">
        <f t="shared" si="524"/>
        <v>0</v>
      </c>
      <c r="AM525" s="45">
        <f t="shared" si="525"/>
        <v>0</v>
      </c>
      <c r="AN525" s="45">
        <f t="shared" si="526"/>
        <v>0</v>
      </c>
      <c r="AO525" s="45">
        <f t="shared" si="527"/>
        <v>0</v>
      </c>
      <c r="AP525" s="80">
        <f t="shared" si="528"/>
        <v>0</v>
      </c>
      <c r="AQ525" s="80">
        <f t="shared" si="529"/>
        <v>0</v>
      </c>
      <c r="AR525" s="80">
        <f t="shared" si="530"/>
        <v>0</v>
      </c>
      <c r="AS525" s="80">
        <f t="shared" si="531"/>
        <v>0</v>
      </c>
      <c r="AT525" s="80">
        <f t="shared" si="532"/>
        <v>0</v>
      </c>
      <c r="AU525" s="80">
        <f t="shared" si="533"/>
        <v>0</v>
      </c>
      <c r="AV525" s="80">
        <f t="shared" si="578"/>
        <v>74.625565378936003</v>
      </c>
      <c r="AW525" s="80">
        <f t="shared" si="579"/>
        <v>35.644685902359093</v>
      </c>
      <c r="AX525" s="80">
        <f t="shared" si="580"/>
        <v>22.141628089265009</v>
      </c>
      <c r="AY525" s="80">
        <f t="shared" si="581"/>
        <v>17.074122155094017</v>
      </c>
      <c r="AZ525" s="80">
        <f t="shared" si="582"/>
        <v>186.01585630507955</v>
      </c>
      <c r="BA525" s="80">
        <f t="shared" si="583"/>
        <v>92.677630533508065</v>
      </c>
      <c r="BB525" s="80">
        <f t="shared" si="547"/>
        <v>604.03192450409676</v>
      </c>
      <c r="BC525" s="80">
        <f t="shared" si="548"/>
        <v>227.10682163037893</v>
      </c>
      <c r="BD525" s="80">
        <f t="shared" si="549"/>
        <v>166.98817325056541</v>
      </c>
      <c r="BE525" s="80">
        <f t="shared" si="550"/>
        <v>124.99843635658684</v>
      </c>
      <c r="BF525" s="80">
        <f t="shared" si="551"/>
        <v>1312.1789344068015</v>
      </c>
      <c r="BG525" s="80">
        <f t="shared" si="552"/>
        <v>751.9566516475528</v>
      </c>
      <c r="BH525" s="49">
        <f t="shared" si="553"/>
        <v>0</v>
      </c>
      <c r="BI525" s="79">
        <f t="shared" si="554"/>
        <v>-115931.00396199471</v>
      </c>
      <c r="BJ525" s="79">
        <f t="shared" si="534"/>
        <v>161499.14462215439</v>
      </c>
      <c r="BK525" s="44">
        <f t="shared" si="555"/>
        <v>0.3930625898409208</v>
      </c>
      <c r="BL525" s="79">
        <f t="shared" si="584"/>
        <v>20878.511656641371</v>
      </c>
      <c r="BM525" s="49">
        <f t="shared" si="556"/>
        <v>182377.65627879577</v>
      </c>
      <c r="BN525" s="44">
        <f t="shared" si="557"/>
        <v>0.57315687819441341</v>
      </c>
      <c r="BO525" s="49">
        <f t="shared" si="535"/>
        <v>24815.330279089059</v>
      </c>
      <c r="BP525" s="49">
        <f t="shared" si="536"/>
        <v>186314.47490124343</v>
      </c>
      <c r="BQ525" s="44">
        <f t="shared" si="537"/>
        <v>0.6071151679349065</v>
      </c>
      <c r="BS525" s="49">
        <f t="shared" si="538"/>
        <v>115931.00396199471</v>
      </c>
      <c r="BT525" s="49">
        <f t="shared" si="514"/>
        <v>106.790001</v>
      </c>
      <c r="BU525" s="49">
        <f t="shared" si="515"/>
        <v>36.560001</v>
      </c>
      <c r="BV525" s="49">
        <f t="shared" si="539"/>
        <v>0</v>
      </c>
      <c r="BW525" s="18">
        <f t="shared" si="540"/>
        <v>3381</v>
      </c>
      <c r="BX525" s="19">
        <f t="shared" si="558"/>
        <v>0.22454128440366972</v>
      </c>
      <c r="BY525" s="49">
        <f t="shared" si="559"/>
        <v>0</v>
      </c>
      <c r="BZ525" s="19">
        <f t="shared" si="560"/>
        <v>0</v>
      </c>
      <c r="CA525" s="19">
        <f t="shared" si="561"/>
        <v>0</v>
      </c>
      <c r="CB525" s="19">
        <f t="shared" si="562"/>
        <v>0</v>
      </c>
      <c r="CC525" s="19">
        <f t="shared" si="563"/>
        <v>0</v>
      </c>
      <c r="CD525" s="19">
        <f t="shared" si="564"/>
        <v>0</v>
      </c>
      <c r="CE525" s="19">
        <f t="shared" si="565"/>
        <v>0</v>
      </c>
      <c r="CF525" s="49">
        <f t="shared" si="566"/>
        <v>0</v>
      </c>
      <c r="CG525" s="49">
        <f t="shared" si="585"/>
        <v>0</v>
      </c>
      <c r="CH525" s="49">
        <f t="shared" si="586"/>
        <v>0</v>
      </c>
      <c r="CI525" s="49">
        <f t="shared" si="587"/>
        <v>0</v>
      </c>
      <c r="CJ525" s="49">
        <f t="shared" si="588"/>
        <v>0</v>
      </c>
      <c r="CK525" s="49">
        <f t="shared" si="589"/>
        <v>0</v>
      </c>
    </row>
    <row r="526" spans="2:89" ht="12.75" customHeight="1" x14ac:dyDescent="0.2">
      <c r="B526" s="77">
        <v>42681</v>
      </c>
      <c r="C526" s="79">
        <v>111.410004</v>
      </c>
      <c r="D526" s="79">
        <v>88.989998</v>
      </c>
      <c r="E526" s="79">
        <v>93.580001999999993</v>
      </c>
      <c r="F526" s="79">
        <v>113.209999</v>
      </c>
      <c r="G526" s="79">
        <v>35.93</v>
      </c>
      <c r="H526" s="79">
        <v>35.25</v>
      </c>
      <c r="I526" s="79"/>
      <c r="J526" s="78">
        <f>IF(inter=Weekly_2,J525+$C$5,IF(inter=Bi_weekly_2,J524+$C$5,IF(inter=Monthly_2,J522+$C$5,IF(inter=Quarterly_2,0,IF(inter=Yearly_2,0,IF(inter=None_2,0,0))))))</f>
        <v>165200</v>
      </c>
      <c r="K526" s="79">
        <f t="shared" si="541"/>
        <v>1161.164587759602</v>
      </c>
      <c r="L526" s="79">
        <f t="shared" si="542"/>
        <v>518.21507551221293</v>
      </c>
      <c r="M526" s="79">
        <f t="shared" si="543"/>
        <v>338.7399858875815</v>
      </c>
      <c r="N526" s="79">
        <f t="shared" si="544"/>
        <v>654.11150282668495</v>
      </c>
      <c r="O526" s="79">
        <f t="shared" si="545"/>
        <v>-836.9606038051279</v>
      </c>
      <c r="P526" s="79">
        <f t="shared" si="546"/>
        <v>-1540.4145057299211</v>
      </c>
      <c r="Q526" s="79"/>
      <c r="R526" s="80">
        <f t="shared" si="516"/>
        <v>-10.422444538818992</v>
      </c>
      <c r="S526" s="80">
        <f t="shared" si="517"/>
        <v>-5.8232957316418066</v>
      </c>
      <c r="T526" s="80">
        <f t="shared" si="518"/>
        <v>-3.6197903253686778</v>
      </c>
      <c r="U526" s="80">
        <f t="shared" si="519"/>
        <v>-5.7778598057110218</v>
      </c>
      <c r="V526" s="80">
        <f t="shared" si="520"/>
        <v>23.294199938912548</v>
      </c>
      <c r="W526" s="80">
        <f t="shared" si="521"/>
        <v>43.699702290210524</v>
      </c>
      <c r="X526" s="80">
        <f t="shared" si="572"/>
        <v>518.98391458634171</v>
      </c>
      <c r="Y526" s="80">
        <f t="shared" si="573"/>
        <v>185.63883999637801</v>
      </c>
      <c r="Z526" s="80">
        <f t="shared" si="574"/>
        <v>141.22675483593173</v>
      </c>
      <c r="AA526" s="80">
        <f t="shared" si="575"/>
        <v>102.1464543957818</v>
      </c>
      <c r="AB526" s="80">
        <f t="shared" si="576"/>
        <v>1149.4572780406345</v>
      </c>
      <c r="AC526" s="80">
        <f t="shared" si="577"/>
        <v>702.97872340425533</v>
      </c>
      <c r="AD526" s="80"/>
      <c r="AE526" s="80"/>
      <c r="AF526" s="80"/>
      <c r="AG526" s="80"/>
      <c r="AH526" s="80"/>
      <c r="AI526" s="80"/>
      <c r="AJ526" s="45">
        <f t="shared" si="522"/>
        <v>0</v>
      </c>
      <c r="AK526" s="45">
        <f t="shared" si="523"/>
        <v>0</v>
      </c>
      <c r="AL526" s="45">
        <f t="shared" si="524"/>
        <v>0</v>
      </c>
      <c r="AM526" s="45">
        <f t="shared" si="525"/>
        <v>0</v>
      </c>
      <c r="AN526" s="45">
        <f t="shared" si="526"/>
        <v>0</v>
      </c>
      <c r="AO526" s="45">
        <f t="shared" si="527"/>
        <v>0</v>
      </c>
      <c r="AP526" s="80">
        <f t="shared" si="528"/>
        <v>0</v>
      </c>
      <c r="AQ526" s="80">
        <f t="shared" si="529"/>
        <v>0</v>
      </c>
      <c r="AR526" s="80">
        <f t="shared" si="530"/>
        <v>0</v>
      </c>
      <c r="AS526" s="80">
        <f t="shared" si="531"/>
        <v>0</v>
      </c>
      <c r="AT526" s="80">
        <f t="shared" si="532"/>
        <v>0</v>
      </c>
      <c r="AU526" s="80">
        <f t="shared" si="533"/>
        <v>0</v>
      </c>
      <c r="AV526" s="80">
        <f t="shared" si="578"/>
        <v>74.625565378936003</v>
      </c>
      <c r="AW526" s="80">
        <f t="shared" si="579"/>
        <v>35.644685902359093</v>
      </c>
      <c r="AX526" s="80">
        <f t="shared" si="580"/>
        <v>22.141628089265009</v>
      </c>
      <c r="AY526" s="80">
        <f t="shared" si="581"/>
        <v>17.074122155094017</v>
      </c>
      <c r="AZ526" s="80">
        <f t="shared" si="582"/>
        <v>186.01585630507955</v>
      </c>
      <c r="BA526" s="80">
        <f t="shared" si="583"/>
        <v>92.677630533508065</v>
      </c>
      <c r="BB526" s="80">
        <f t="shared" si="547"/>
        <v>593.60947996527773</v>
      </c>
      <c r="BC526" s="80">
        <f t="shared" si="548"/>
        <v>221.28352589873711</v>
      </c>
      <c r="BD526" s="80">
        <f t="shared" si="549"/>
        <v>163.36838292519673</v>
      </c>
      <c r="BE526" s="80">
        <f t="shared" si="550"/>
        <v>119.22057655087582</v>
      </c>
      <c r="BF526" s="80">
        <f t="shared" si="551"/>
        <v>1335.473134345714</v>
      </c>
      <c r="BG526" s="80">
        <f t="shared" si="552"/>
        <v>795.65635393776336</v>
      </c>
      <c r="BH526" s="49">
        <f t="shared" si="553"/>
        <v>0</v>
      </c>
      <c r="BI526" s="79">
        <f t="shared" si="554"/>
        <v>-115636.14791954367</v>
      </c>
      <c r="BJ526" s="79">
        <f t="shared" si="534"/>
        <v>165200</v>
      </c>
      <c r="BK526" s="44">
        <f t="shared" si="555"/>
        <v>0.42861901725523954</v>
      </c>
      <c r="BL526" s="79">
        <f t="shared" si="584"/>
        <v>20878.511656641371</v>
      </c>
      <c r="BM526" s="49">
        <f t="shared" si="556"/>
        <v>186078.51165664138</v>
      </c>
      <c r="BN526" s="44">
        <f t="shared" si="557"/>
        <v>0.60917252091542773</v>
      </c>
      <c r="BO526" s="49">
        <f t="shared" si="535"/>
        <v>25441.4662108595</v>
      </c>
      <c r="BP526" s="49">
        <f t="shared" si="536"/>
        <v>190641.46621085948</v>
      </c>
      <c r="BQ526" s="44">
        <f t="shared" si="537"/>
        <v>0.64863210718072661</v>
      </c>
      <c r="BS526" s="49">
        <f t="shared" si="538"/>
        <v>115636.14791954367</v>
      </c>
      <c r="BT526" s="49">
        <f t="shared" si="514"/>
        <v>111.410004</v>
      </c>
      <c r="BU526" s="49">
        <f t="shared" si="515"/>
        <v>35.25</v>
      </c>
      <c r="BV526" s="49">
        <f t="shared" si="539"/>
        <v>-294.85604245103241</v>
      </c>
      <c r="BW526" s="18">
        <f t="shared" si="540"/>
        <v>3388</v>
      </c>
      <c r="BX526" s="19">
        <f t="shared" si="558"/>
        <v>0.22293577981651377</v>
      </c>
      <c r="BY526" s="49">
        <f t="shared" si="559"/>
        <v>-65.733961757431999</v>
      </c>
      <c r="BZ526" s="19">
        <f t="shared" si="560"/>
        <v>0</v>
      </c>
      <c r="CA526" s="19">
        <f t="shared" si="561"/>
        <v>0</v>
      </c>
      <c r="CB526" s="19">
        <f t="shared" si="562"/>
        <v>0</v>
      </c>
      <c r="CC526" s="19">
        <f t="shared" si="563"/>
        <v>0</v>
      </c>
      <c r="CD526" s="19">
        <f t="shared" si="564"/>
        <v>23.294199938912548</v>
      </c>
      <c r="CE526" s="19">
        <f t="shared" si="565"/>
        <v>43.699702290210524</v>
      </c>
      <c r="CF526" s="49">
        <f t="shared" si="566"/>
        <v>0</v>
      </c>
      <c r="CG526" s="49">
        <f t="shared" si="585"/>
        <v>0</v>
      </c>
      <c r="CH526" s="49">
        <f t="shared" si="586"/>
        <v>0</v>
      </c>
      <c r="CI526" s="49">
        <f t="shared" si="587"/>
        <v>0</v>
      </c>
      <c r="CJ526" s="49">
        <f t="shared" si="588"/>
        <v>-836.9606038051279</v>
      </c>
      <c r="CK526" s="49">
        <f t="shared" si="589"/>
        <v>-1540.4145057299211</v>
      </c>
    </row>
    <row r="527" spans="2:89" ht="12.75" customHeight="1" x14ac:dyDescent="0.2">
      <c r="B527" s="77">
        <v>42688</v>
      </c>
      <c r="C527" s="79">
        <v>112.769997</v>
      </c>
      <c r="D527" s="79">
        <v>89.989998</v>
      </c>
      <c r="E527" s="79">
        <v>95.57</v>
      </c>
      <c r="F527" s="79">
        <v>116.389999</v>
      </c>
      <c r="G527" s="79">
        <v>35.580002</v>
      </c>
      <c r="H527" s="79">
        <v>35.380001</v>
      </c>
      <c r="I527" s="79"/>
      <c r="J527" s="78">
        <f>IF(inter=Weekly_2,J526+$C$5,IF(inter=Bi_weekly_2,0,IF(inter=Monthly_2,0,IF(inter=Quarterly_2,0,IF(inter=Yearly_2,0,IF(inter=None_2,0,0))))))</f>
        <v>0</v>
      </c>
      <c r="K527" s="79">
        <f t="shared" si="541"/>
        <v>0</v>
      </c>
      <c r="L527" s="79">
        <f t="shared" si="542"/>
        <v>0</v>
      </c>
      <c r="M527" s="79">
        <f t="shared" si="543"/>
        <v>0</v>
      </c>
      <c r="N527" s="79">
        <f t="shared" si="544"/>
        <v>0</v>
      </c>
      <c r="O527" s="79">
        <f t="shared" si="545"/>
        <v>0</v>
      </c>
      <c r="P527" s="79">
        <f t="shared" si="546"/>
        <v>0</v>
      </c>
      <c r="Q527" s="79"/>
      <c r="R527" s="80">
        <f t="shared" si="516"/>
        <v>0</v>
      </c>
      <c r="S527" s="80">
        <f t="shared" si="517"/>
        <v>0</v>
      </c>
      <c r="T527" s="80">
        <f t="shared" si="518"/>
        <v>0</v>
      </c>
      <c r="U527" s="80">
        <f t="shared" si="519"/>
        <v>0</v>
      </c>
      <c r="V527" s="80">
        <f t="shared" si="520"/>
        <v>0</v>
      </c>
      <c r="W527" s="80">
        <f t="shared" si="521"/>
        <v>0</v>
      </c>
      <c r="X527" s="80">
        <f t="shared" si="572"/>
        <v>518.98391458634171</v>
      </c>
      <c r="Y527" s="80">
        <f t="shared" si="573"/>
        <v>185.63883999637801</v>
      </c>
      <c r="Z527" s="80">
        <f t="shared" si="574"/>
        <v>141.22675483593173</v>
      </c>
      <c r="AA527" s="80">
        <f t="shared" si="575"/>
        <v>102.1464543957818</v>
      </c>
      <c r="AB527" s="80">
        <f t="shared" si="576"/>
        <v>1149.4572780406345</v>
      </c>
      <c r="AC527" s="80">
        <f t="shared" si="577"/>
        <v>702.97872340425533</v>
      </c>
      <c r="AD527" s="80"/>
      <c r="AE527" s="80"/>
      <c r="AF527" s="80"/>
      <c r="AG527" s="80"/>
      <c r="AH527" s="80"/>
      <c r="AI527" s="80"/>
      <c r="AJ527" s="45">
        <f t="shared" si="522"/>
        <v>0</v>
      </c>
      <c r="AK527" s="45">
        <f t="shared" si="523"/>
        <v>0</v>
      </c>
      <c r="AL527" s="45">
        <f t="shared" si="524"/>
        <v>0</v>
      </c>
      <c r="AM527" s="45">
        <f t="shared" si="525"/>
        <v>0</v>
      </c>
      <c r="AN527" s="45">
        <f t="shared" si="526"/>
        <v>0</v>
      </c>
      <c r="AO527" s="45">
        <f t="shared" si="527"/>
        <v>0</v>
      </c>
      <c r="AP527" s="80">
        <f t="shared" si="528"/>
        <v>0</v>
      </c>
      <c r="AQ527" s="80">
        <f t="shared" si="529"/>
        <v>0</v>
      </c>
      <c r="AR527" s="80">
        <f t="shared" si="530"/>
        <v>0</v>
      </c>
      <c r="AS527" s="80">
        <f t="shared" si="531"/>
        <v>0</v>
      </c>
      <c r="AT527" s="80">
        <f t="shared" si="532"/>
        <v>0</v>
      </c>
      <c r="AU527" s="80">
        <f t="shared" si="533"/>
        <v>0</v>
      </c>
      <c r="AV527" s="80">
        <f t="shared" si="578"/>
        <v>74.625565378936003</v>
      </c>
      <c r="AW527" s="80">
        <f t="shared" si="579"/>
        <v>35.644685902359093</v>
      </c>
      <c r="AX527" s="80">
        <f t="shared" si="580"/>
        <v>22.141628089265009</v>
      </c>
      <c r="AY527" s="80">
        <f t="shared" si="581"/>
        <v>17.074122155094017</v>
      </c>
      <c r="AZ527" s="80">
        <f t="shared" si="582"/>
        <v>186.01585630507955</v>
      </c>
      <c r="BA527" s="80">
        <f t="shared" si="583"/>
        <v>92.677630533508065</v>
      </c>
      <c r="BB527" s="80">
        <f t="shared" si="547"/>
        <v>593.60947996527773</v>
      </c>
      <c r="BC527" s="80">
        <f t="shared" si="548"/>
        <v>221.28352589873711</v>
      </c>
      <c r="BD527" s="80">
        <f t="shared" si="549"/>
        <v>163.36838292519673</v>
      </c>
      <c r="BE527" s="80">
        <f t="shared" si="550"/>
        <v>119.22057655087582</v>
      </c>
      <c r="BF527" s="80">
        <f t="shared" si="551"/>
        <v>1335.473134345714</v>
      </c>
      <c r="BG527" s="80">
        <f t="shared" si="552"/>
        <v>795.65635393776336</v>
      </c>
      <c r="BH527" s="49">
        <f t="shared" si="553"/>
        <v>0</v>
      </c>
      <c r="BI527" s="79">
        <f t="shared" si="554"/>
        <v>-115636.14791954367</v>
      </c>
      <c r="BJ527" s="79">
        <f t="shared" si="534"/>
        <v>166386.40020421657</v>
      </c>
      <c r="BK527" s="44">
        <f t="shared" si="555"/>
        <v>0.43887878658828616</v>
      </c>
      <c r="BL527" s="79">
        <f t="shared" si="584"/>
        <v>20878.511656641371</v>
      </c>
      <c r="BM527" s="49">
        <f t="shared" si="556"/>
        <v>187264.91186085794</v>
      </c>
      <c r="BN527" s="44">
        <f t="shared" si="557"/>
        <v>0.61943229024847435</v>
      </c>
      <c r="BO527" s="49">
        <f t="shared" si="535"/>
        <v>25623.901654337755</v>
      </c>
      <c r="BP527" s="49">
        <f t="shared" si="536"/>
        <v>192010.30185855433</v>
      </c>
      <c r="BQ527" s="44">
        <f t="shared" si="537"/>
        <v>0.66046954445550732</v>
      </c>
      <c r="BS527" s="49">
        <f t="shared" si="538"/>
        <v>115636.14791954367</v>
      </c>
      <c r="BT527" s="49">
        <f t="shared" si="514"/>
        <v>112.769997</v>
      </c>
      <c r="BU527" s="49">
        <f t="shared" si="515"/>
        <v>35.380001</v>
      </c>
      <c r="BV527" s="49">
        <f t="shared" si="539"/>
        <v>0</v>
      </c>
      <c r="BW527" s="18">
        <f t="shared" si="540"/>
        <v>3395</v>
      </c>
      <c r="BX527" s="19">
        <f t="shared" si="558"/>
        <v>0.2213302752293578</v>
      </c>
      <c r="BY527" s="49">
        <f t="shared" si="559"/>
        <v>0</v>
      </c>
      <c r="BZ527" s="19">
        <f t="shared" si="560"/>
        <v>0</v>
      </c>
      <c r="CA527" s="19">
        <f t="shared" si="561"/>
        <v>0</v>
      </c>
      <c r="CB527" s="19">
        <f t="shared" si="562"/>
        <v>0</v>
      </c>
      <c r="CC527" s="19">
        <f t="shared" si="563"/>
        <v>0</v>
      </c>
      <c r="CD527" s="19">
        <f t="shared" si="564"/>
        <v>0</v>
      </c>
      <c r="CE527" s="19">
        <f t="shared" si="565"/>
        <v>0</v>
      </c>
      <c r="CF527" s="49">
        <f t="shared" si="566"/>
        <v>0</v>
      </c>
      <c r="CG527" s="49">
        <f t="shared" si="585"/>
        <v>0</v>
      </c>
      <c r="CH527" s="49">
        <f t="shared" si="586"/>
        <v>0</v>
      </c>
      <c r="CI527" s="49">
        <f t="shared" si="587"/>
        <v>0</v>
      </c>
      <c r="CJ527" s="49">
        <f t="shared" si="588"/>
        <v>0</v>
      </c>
      <c r="CK527" s="49">
        <f t="shared" si="589"/>
        <v>0</v>
      </c>
    </row>
    <row r="528" spans="2:89" ht="12.75" customHeight="1" x14ac:dyDescent="0.2">
      <c r="B528" s="77">
        <v>42695</v>
      </c>
      <c r="C528" s="79">
        <v>114.550003</v>
      </c>
      <c r="D528" s="79">
        <v>91.410004000000001</v>
      </c>
      <c r="E528" s="79">
        <v>97.360000999999997</v>
      </c>
      <c r="F528" s="79">
        <v>119.300003</v>
      </c>
      <c r="G528" s="79">
        <v>35.939999</v>
      </c>
      <c r="H528" s="79">
        <v>35.959999000000003</v>
      </c>
      <c r="I528" s="79"/>
      <c r="J528" s="78">
        <f>IF(inter=Weekly_2,J527+$C$5,IF(inter=Bi_weekly_2,J526+$C$5,IF(inter=Monthly_2,0,IF(inter=Quarterly_2,0,IF(inter=Yearly_2,0,IF(inter=None_2,0,0))))))</f>
        <v>165800</v>
      </c>
      <c r="K528" s="79">
        <f t="shared" si="541"/>
        <v>1419.6089728171937</v>
      </c>
      <c r="L528" s="79">
        <f t="shared" si="542"/>
        <v>389.24710662427242</v>
      </c>
      <c r="M528" s="79">
        <f t="shared" si="543"/>
        <v>485.83699205306766</v>
      </c>
      <c r="N528" s="79">
        <f t="shared" si="544"/>
        <v>580.07231585613044</v>
      </c>
      <c r="O528" s="79">
        <f t="shared" si="545"/>
        <v>-138.50657667687483</v>
      </c>
      <c r="P528" s="79">
        <f t="shared" si="546"/>
        <v>409.11419063830181</v>
      </c>
      <c r="Q528" s="79"/>
      <c r="R528" s="80">
        <f t="shared" si="516"/>
        <v>-12.39291956035299</v>
      </c>
      <c r="S528" s="80">
        <f t="shared" si="517"/>
        <v>-4.2582550004512898</v>
      </c>
      <c r="T528" s="80">
        <f t="shared" si="518"/>
        <v>-4.9901087414026186</v>
      </c>
      <c r="U528" s="80">
        <f t="shared" si="519"/>
        <v>-4.8622992562383294</v>
      </c>
      <c r="V528" s="80">
        <f t="shared" si="520"/>
        <v>3.8538280615109319</v>
      </c>
      <c r="W528" s="80">
        <f t="shared" si="521"/>
        <v>-11.376924416441218</v>
      </c>
      <c r="X528" s="80">
        <f t="shared" si="572"/>
        <v>506.59099502598872</v>
      </c>
      <c r="Y528" s="80">
        <f t="shared" si="573"/>
        <v>181.38058499592671</v>
      </c>
      <c r="Z528" s="80">
        <f t="shared" si="574"/>
        <v>136.23664609452911</v>
      </c>
      <c r="AA528" s="80">
        <f t="shared" si="575"/>
        <v>97.284155139543472</v>
      </c>
      <c r="AB528" s="80">
        <f t="shared" si="576"/>
        <v>1153.3111061021455</v>
      </c>
      <c r="AC528" s="80">
        <f t="shared" si="577"/>
        <v>691.60179898781416</v>
      </c>
      <c r="AD528" s="80"/>
      <c r="AE528" s="80"/>
      <c r="AF528" s="80"/>
      <c r="AG528" s="80"/>
      <c r="AH528" s="80"/>
      <c r="AI528" s="80"/>
      <c r="AJ528" s="45">
        <f t="shared" si="522"/>
        <v>0</v>
      </c>
      <c r="AK528" s="45">
        <f t="shared" si="523"/>
        <v>0</v>
      </c>
      <c r="AL528" s="45">
        <f t="shared" si="524"/>
        <v>0</v>
      </c>
      <c r="AM528" s="45">
        <f t="shared" si="525"/>
        <v>0</v>
      </c>
      <c r="AN528" s="45">
        <f t="shared" si="526"/>
        <v>0</v>
      </c>
      <c r="AO528" s="45">
        <f t="shared" si="527"/>
        <v>0</v>
      </c>
      <c r="AP528" s="80">
        <f t="shared" si="528"/>
        <v>0</v>
      </c>
      <c r="AQ528" s="80">
        <f t="shared" si="529"/>
        <v>0</v>
      </c>
      <c r="AR528" s="80">
        <f t="shared" si="530"/>
        <v>0</v>
      </c>
      <c r="AS528" s="80">
        <f t="shared" si="531"/>
        <v>0</v>
      </c>
      <c r="AT528" s="80">
        <f t="shared" si="532"/>
        <v>0</v>
      </c>
      <c r="AU528" s="80">
        <f t="shared" si="533"/>
        <v>0</v>
      </c>
      <c r="AV528" s="80">
        <f t="shared" si="578"/>
        <v>74.625565378936003</v>
      </c>
      <c r="AW528" s="80">
        <f t="shared" si="579"/>
        <v>35.644685902359093</v>
      </c>
      <c r="AX528" s="80">
        <f t="shared" si="580"/>
        <v>22.141628089265009</v>
      </c>
      <c r="AY528" s="80">
        <f t="shared" si="581"/>
        <v>17.074122155094017</v>
      </c>
      <c r="AZ528" s="80">
        <f t="shared" si="582"/>
        <v>186.01585630507955</v>
      </c>
      <c r="BA528" s="80">
        <f t="shared" si="583"/>
        <v>92.677630533508065</v>
      </c>
      <c r="BB528" s="80">
        <f t="shared" si="547"/>
        <v>581.21656040492473</v>
      </c>
      <c r="BC528" s="80">
        <f t="shared" si="548"/>
        <v>217.02527089828581</v>
      </c>
      <c r="BD528" s="80">
        <f t="shared" si="549"/>
        <v>158.3782741837941</v>
      </c>
      <c r="BE528" s="80">
        <f t="shared" si="550"/>
        <v>114.35827729463749</v>
      </c>
      <c r="BF528" s="80">
        <f t="shared" si="551"/>
        <v>1339.326962407225</v>
      </c>
      <c r="BG528" s="80">
        <f t="shared" si="552"/>
        <v>784.27942952132219</v>
      </c>
      <c r="BH528" s="49">
        <f t="shared" si="553"/>
        <v>0</v>
      </c>
      <c r="BI528" s="79">
        <f t="shared" si="554"/>
        <v>-112490.77491823159</v>
      </c>
      <c r="BJ528" s="79">
        <f t="shared" si="534"/>
        <v>165800</v>
      </c>
      <c r="BK528" s="44">
        <f t="shared" si="555"/>
        <v>0.47389863853741199</v>
      </c>
      <c r="BL528" s="79">
        <f t="shared" si="584"/>
        <v>20878.511656641371</v>
      </c>
      <c r="BM528" s="49">
        <f t="shared" si="556"/>
        <v>186678.51165664138</v>
      </c>
      <c r="BN528" s="44">
        <f t="shared" si="557"/>
        <v>0.65950062831673173</v>
      </c>
      <c r="BO528" s="49">
        <f t="shared" si="535"/>
        <v>26017.388567080776</v>
      </c>
      <c r="BP528" s="49">
        <f t="shared" si="536"/>
        <v>191817.38856708078</v>
      </c>
      <c r="BQ528" s="44">
        <f t="shared" si="537"/>
        <v>0.70518328019796206</v>
      </c>
      <c r="BS528" s="49">
        <f t="shared" si="538"/>
        <v>112490.77491823159</v>
      </c>
      <c r="BT528" s="49">
        <f t="shared" si="514"/>
        <v>114.550003</v>
      </c>
      <c r="BU528" s="49">
        <f t="shared" si="515"/>
        <v>35.959999000000003</v>
      </c>
      <c r="BV528" s="49">
        <f t="shared" si="539"/>
        <v>-3145.3730013120912</v>
      </c>
      <c r="BW528" s="18">
        <f t="shared" si="540"/>
        <v>3402</v>
      </c>
      <c r="BX528" s="19">
        <f t="shared" si="558"/>
        <v>0.21972477064220183</v>
      </c>
      <c r="BY528" s="49">
        <f t="shared" si="559"/>
        <v>-691.1163612974733</v>
      </c>
      <c r="BZ528" s="19">
        <f t="shared" si="560"/>
        <v>0</v>
      </c>
      <c r="CA528" s="19">
        <f t="shared" si="561"/>
        <v>0</v>
      </c>
      <c r="CB528" s="19">
        <f t="shared" si="562"/>
        <v>0</v>
      </c>
      <c r="CC528" s="19">
        <f t="shared" si="563"/>
        <v>0</v>
      </c>
      <c r="CD528" s="19">
        <f t="shared" si="564"/>
        <v>3.8538280615109319</v>
      </c>
      <c r="CE528" s="19">
        <f t="shared" si="565"/>
        <v>0</v>
      </c>
      <c r="CF528" s="49">
        <f t="shared" si="566"/>
        <v>0</v>
      </c>
      <c r="CG528" s="49">
        <f t="shared" si="585"/>
        <v>0</v>
      </c>
      <c r="CH528" s="49">
        <f t="shared" si="586"/>
        <v>0</v>
      </c>
      <c r="CI528" s="49">
        <f t="shared" si="587"/>
        <v>0</v>
      </c>
      <c r="CJ528" s="49">
        <f t="shared" si="588"/>
        <v>-138.50657667687483</v>
      </c>
      <c r="CK528" s="49">
        <f t="shared" si="589"/>
        <v>0</v>
      </c>
    </row>
    <row r="529" spans="2:89" ht="12.75" customHeight="1" x14ac:dyDescent="0.2">
      <c r="B529" s="77">
        <v>42702</v>
      </c>
      <c r="C529" s="79">
        <v>113.30999799999999</v>
      </c>
      <c r="D529" s="79">
        <v>91.349997999999999</v>
      </c>
      <c r="E529" s="79">
        <v>96.68</v>
      </c>
      <c r="F529" s="79">
        <v>118.41999800000001</v>
      </c>
      <c r="G529" s="79">
        <v>35.970001000000003</v>
      </c>
      <c r="H529" s="79">
        <v>35.770000000000003</v>
      </c>
      <c r="I529" s="79"/>
      <c r="J529" s="78">
        <f>IF(inter=Weekly_2,J528+$C$5,IF(inter=Bi_weekly_2,0,IF(inter=Monthly_2,0,IF(inter=Quarterly_2,0,IF(inter=Yearly_2,0,IF(inter=None_2,0,0))))))</f>
        <v>0</v>
      </c>
      <c r="K529" s="79">
        <f t="shared" si="541"/>
        <v>0</v>
      </c>
      <c r="L529" s="79">
        <f t="shared" si="542"/>
        <v>0</v>
      </c>
      <c r="M529" s="79">
        <f t="shared" si="543"/>
        <v>0</v>
      </c>
      <c r="N529" s="79">
        <f t="shared" si="544"/>
        <v>0</v>
      </c>
      <c r="O529" s="79">
        <f t="shared" si="545"/>
        <v>0</v>
      </c>
      <c r="P529" s="79">
        <f t="shared" si="546"/>
        <v>0</v>
      </c>
      <c r="Q529" s="79"/>
      <c r="R529" s="80">
        <f t="shared" si="516"/>
        <v>0</v>
      </c>
      <c r="S529" s="80">
        <f t="shared" si="517"/>
        <v>0</v>
      </c>
      <c r="T529" s="80">
        <f t="shared" si="518"/>
        <v>0</v>
      </c>
      <c r="U529" s="80">
        <f t="shared" si="519"/>
        <v>0</v>
      </c>
      <c r="V529" s="80">
        <f t="shared" si="520"/>
        <v>0</v>
      </c>
      <c r="W529" s="80">
        <f t="shared" si="521"/>
        <v>0</v>
      </c>
      <c r="X529" s="80">
        <f t="shared" si="572"/>
        <v>506.59099502598872</v>
      </c>
      <c r="Y529" s="80">
        <f t="shared" si="573"/>
        <v>181.38058499592671</v>
      </c>
      <c r="Z529" s="80">
        <f t="shared" si="574"/>
        <v>136.23664609452911</v>
      </c>
      <c r="AA529" s="80">
        <f t="shared" si="575"/>
        <v>97.284155139543472</v>
      </c>
      <c r="AB529" s="80">
        <f t="shared" si="576"/>
        <v>1153.3111061021455</v>
      </c>
      <c r="AC529" s="80">
        <f t="shared" si="577"/>
        <v>691.60179898781416</v>
      </c>
      <c r="AD529" s="80"/>
      <c r="AE529" s="80"/>
      <c r="AF529" s="80"/>
      <c r="AG529" s="80"/>
      <c r="AH529" s="80"/>
      <c r="AI529" s="80"/>
      <c r="AJ529" s="45">
        <f t="shared" si="522"/>
        <v>0</v>
      </c>
      <c r="AK529" s="45">
        <f t="shared" si="523"/>
        <v>0</v>
      </c>
      <c r="AL529" s="45">
        <f t="shared" si="524"/>
        <v>0</v>
      </c>
      <c r="AM529" s="45">
        <f t="shared" si="525"/>
        <v>0</v>
      </c>
      <c r="AN529" s="45">
        <f t="shared" si="526"/>
        <v>0</v>
      </c>
      <c r="AO529" s="45">
        <f t="shared" si="527"/>
        <v>0</v>
      </c>
      <c r="AP529" s="80">
        <f t="shared" si="528"/>
        <v>0</v>
      </c>
      <c r="AQ529" s="80">
        <f t="shared" si="529"/>
        <v>0</v>
      </c>
      <c r="AR529" s="80">
        <f t="shared" si="530"/>
        <v>0</v>
      </c>
      <c r="AS529" s="80">
        <f t="shared" si="531"/>
        <v>0</v>
      </c>
      <c r="AT529" s="80">
        <f t="shared" si="532"/>
        <v>0</v>
      </c>
      <c r="AU529" s="80">
        <f t="shared" si="533"/>
        <v>0</v>
      </c>
      <c r="AV529" s="80">
        <f t="shared" si="578"/>
        <v>74.625565378936003</v>
      </c>
      <c r="AW529" s="80">
        <f t="shared" si="579"/>
        <v>35.644685902359093</v>
      </c>
      <c r="AX529" s="80">
        <f t="shared" si="580"/>
        <v>22.141628089265009</v>
      </c>
      <c r="AY529" s="80">
        <f t="shared" si="581"/>
        <v>17.074122155094017</v>
      </c>
      <c r="AZ529" s="80">
        <f t="shared" si="582"/>
        <v>186.01585630507955</v>
      </c>
      <c r="BA529" s="80">
        <f t="shared" si="583"/>
        <v>92.677630533508065</v>
      </c>
      <c r="BB529" s="80">
        <f t="shared" si="547"/>
        <v>581.21656040492473</v>
      </c>
      <c r="BC529" s="80">
        <f t="shared" si="548"/>
        <v>217.02527089828581</v>
      </c>
      <c r="BD529" s="80">
        <f t="shared" si="549"/>
        <v>158.3782741837941</v>
      </c>
      <c r="BE529" s="80">
        <f t="shared" si="550"/>
        <v>114.35827729463749</v>
      </c>
      <c r="BF529" s="80">
        <f t="shared" si="551"/>
        <v>1339.326962407225</v>
      </c>
      <c r="BG529" s="80">
        <f t="shared" si="552"/>
        <v>784.27942952132219</v>
      </c>
      <c r="BH529" s="49">
        <f t="shared" si="553"/>
        <v>0</v>
      </c>
      <c r="BI529" s="79">
        <f t="shared" si="554"/>
        <v>-112490.77491823159</v>
      </c>
      <c r="BJ529" s="79">
        <f t="shared" si="534"/>
        <v>164885.88710090442</v>
      </c>
      <c r="BK529" s="44">
        <f t="shared" si="555"/>
        <v>0.46577252419816917</v>
      </c>
      <c r="BL529" s="79">
        <f t="shared" si="584"/>
        <v>20878.511656641371</v>
      </c>
      <c r="BM529" s="49">
        <f t="shared" si="556"/>
        <v>185764.3987575458</v>
      </c>
      <c r="BN529" s="44">
        <f t="shared" si="557"/>
        <v>0.65137451397748891</v>
      </c>
      <c r="BO529" s="49">
        <f t="shared" si="535"/>
        <v>25880.60414634852</v>
      </c>
      <c r="BP529" s="49">
        <f t="shared" si="536"/>
        <v>190766.49124725294</v>
      </c>
      <c r="BQ529" s="44">
        <f t="shared" si="537"/>
        <v>0.69584120463139465</v>
      </c>
      <c r="BS529" s="49">
        <f t="shared" si="538"/>
        <v>112490.77491823159</v>
      </c>
      <c r="BT529" s="49">
        <f t="shared" si="514"/>
        <v>113.30999799999999</v>
      </c>
      <c r="BU529" s="49">
        <f t="shared" si="515"/>
        <v>35.770000000000003</v>
      </c>
      <c r="BV529" s="49">
        <f t="shared" si="539"/>
        <v>0</v>
      </c>
      <c r="BW529" s="18">
        <f t="shared" si="540"/>
        <v>3409</v>
      </c>
      <c r="BX529" s="19">
        <f t="shared" si="558"/>
        <v>0.21811926605504586</v>
      </c>
      <c r="BY529" s="49">
        <f t="shared" si="559"/>
        <v>0</v>
      </c>
      <c r="BZ529" s="19">
        <f t="shared" si="560"/>
        <v>0</v>
      </c>
      <c r="CA529" s="19">
        <f t="shared" si="561"/>
        <v>0</v>
      </c>
      <c r="CB529" s="19">
        <f t="shared" si="562"/>
        <v>0</v>
      </c>
      <c r="CC529" s="19">
        <f t="shared" si="563"/>
        <v>0</v>
      </c>
      <c r="CD529" s="19">
        <f t="shared" si="564"/>
        <v>0</v>
      </c>
      <c r="CE529" s="19">
        <f t="shared" si="565"/>
        <v>0</v>
      </c>
      <c r="CF529" s="49">
        <f t="shared" si="566"/>
        <v>0</v>
      </c>
      <c r="CG529" s="49">
        <f t="shared" si="585"/>
        <v>0</v>
      </c>
      <c r="CH529" s="49">
        <f t="shared" si="586"/>
        <v>0</v>
      </c>
      <c r="CI529" s="49">
        <f t="shared" si="587"/>
        <v>0</v>
      </c>
      <c r="CJ529" s="49">
        <f t="shared" si="588"/>
        <v>0</v>
      </c>
      <c r="CK529" s="49">
        <f t="shared" si="589"/>
        <v>0</v>
      </c>
    </row>
    <row r="530" spans="2:89" ht="12.75" customHeight="1" x14ac:dyDescent="0.2">
      <c r="B530" s="77">
        <v>42709</v>
      </c>
      <c r="C530" s="79">
        <v>117.150002</v>
      </c>
      <c r="D530" s="79">
        <v>94.190002000000007</v>
      </c>
      <c r="E530" s="79">
        <v>100.25</v>
      </c>
      <c r="F530" s="79">
        <v>124.16999800000001</v>
      </c>
      <c r="G530" s="79">
        <v>37.119999</v>
      </c>
      <c r="H530" s="79">
        <v>36.700001</v>
      </c>
      <c r="I530" s="79"/>
      <c r="J530" s="78">
        <f>IF(inter=Weekly_2,J529+$C$5,IF(inter=Bi_weekly_2,J528+$C$5,IF(inter=Monthly_2,J526+$C$5,IF(inter=Quarterly_2,0,IF(inter=Yearly_2,0,IF(inter=None_2,0,0))))))</f>
        <v>166400</v>
      </c>
      <c r="K530" s="79">
        <f t="shared" si="541"/>
        <v>1107.1360804765791</v>
      </c>
      <c r="L530" s="79">
        <f t="shared" si="542"/>
        <v>444.23766352750681</v>
      </c>
      <c r="M530" s="79">
        <f t="shared" si="543"/>
        <v>345.72377097654316</v>
      </c>
      <c r="N530" s="79">
        <f t="shared" si="544"/>
        <v>431.77334910880199</v>
      </c>
      <c r="O530" s="79">
        <f t="shared" si="545"/>
        <v>1210.9071052005311</v>
      </c>
      <c r="P530" s="79">
        <f t="shared" si="546"/>
        <v>421.78671445457803</v>
      </c>
      <c r="Q530" s="79"/>
      <c r="R530" s="80">
        <f t="shared" si="516"/>
        <v>-9.4505852460555584</v>
      </c>
      <c r="S530" s="80">
        <f t="shared" si="517"/>
        <v>-4.7163993427615258</v>
      </c>
      <c r="T530" s="80">
        <f t="shared" si="518"/>
        <v>-3.4486161693420763</v>
      </c>
      <c r="U530" s="80">
        <f t="shared" si="519"/>
        <v>-3.4772759608871215</v>
      </c>
      <c r="V530" s="80">
        <f t="shared" si="520"/>
        <v>-32.621420738737925</v>
      </c>
      <c r="W530" s="80">
        <f t="shared" si="521"/>
        <v>-11.492825693780718</v>
      </c>
      <c r="X530" s="80">
        <f t="shared" si="572"/>
        <v>497.14040977993318</v>
      </c>
      <c r="Y530" s="80">
        <f t="shared" si="573"/>
        <v>176.66418565316519</v>
      </c>
      <c r="Z530" s="80">
        <f t="shared" si="574"/>
        <v>132.78802992518703</v>
      </c>
      <c r="AA530" s="80">
        <f t="shared" si="575"/>
        <v>93.806879178656345</v>
      </c>
      <c r="AB530" s="80">
        <f t="shared" si="576"/>
        <v>1120.6896853634075</v>
      </c>
      <c r="AC530" s="80">
        <f t="shared" si="577"/>
        <v>680.10897329403349</v>
      </c>
      <c r="AD530" s="80"/>
      <c r="AE530" s="80"/>
      <c r="AF530" s="80"/>
      <c r="AG530" s="80"/>
      <c r="AH530" s="80"/>
      <c r="AI530" s="80"/>
      <c r="AJ530" s="45">
        <f t="shared" si="522"/>
        <v>0</v>
      </c>
      <c r="AK530" s="45">
        <f t="shared" si="523"/>
        <v>0</v>
      </c>
      <c r="AL530" s="45">
        <f t="shared" si="524"/>
        <v>0</v>
      </c>
      <c r="AM530" s="45">
        <f t="shared" si="525"/>
        <v>0</v>
      </c>
      <c r="AN530" s="45">
        <f t="shared" si="526"/>
        <v>0</v>
      </c>
      <c r="AO530" s="45">
        <f t="shared" si="527"/>
        <v>0</v>
      </c>
      <c r="AP530" s="80">
        <f t="shared" si="528"/>
        <v>0</v>
      </c>
      <c r="AQ530" s="80">
        <f t="shared" si="529"/>
        <v>0</v>
      </c>
      <c r="AR530" s="80">
        <f t="shared" si="530"/>
        <v>0</v>
      </c>
      <c r="AS530" s="80">
        <f t="shared" si="531"/>
        <v>0</v>
      </c>
      <c r="AT530" s="80">
        <f t="shared" si="532"/>
        <v>0</v>
      </c>
      <c r="AU530" s="80">
        <f t="shared" si="533"/>
        <v>0</v>
      </c>
      <c r="AV530" s="80">
        <f t="shared" si="578"/>
        <v>74.625565378936003</v>
      </c>
      <c r="AW530" s="80">
        <f t="shared" si="579"/>
        <v>35.644685902359093</v>
      </c>
      <c r="AX530" s="80">
        <f t="shared" si="580"/>
        <v>22.141628089265009</v>
      </c>
      <c r="AY530" s="80">
        <f t="shared" si="581"/>
        <v>17.074122155094017</v>
      </c>
      <c r="AZ530" s="80">
        <f t="shared" si="582"/>
        <v>186.01585630507955</v>
      </c>
      <c r="BA530" s="80">
        <f t="shared" si="583"/>
        <v>92.677630533508065</v>
      </c>
      <c r="BB530" s="80">
        <f t="shared" si="547"/>
        <v>571.7659751588692</v>
      </c>
      <c r="BC530" s="80">
        <f t="shared" si="548"/>
        <v>212.30887155552429</v>
      </c>
      <c r="BD530" s="80">
        <f t="shared" si="549"/>
        <v>154.92965801445203</v>
      </c>
      <c r="BE530" s="80">
        <f t="shared" si="550"/>
        <v>110.88100133375036</v>
      </c>
      <c r="BF530" s="80">
        <f t="shared" si="551"/>
        <v>1306.7055416684871</v>
      </c>
      <c r="BG530" s="80">
        <f t="shared" si="552"/>
        <v>772.78660382754151</v>
      </c>
      <c r="BH530" s="49">
        <f t="shared" si="553"/>
        <v>0</v>
      </c>
      <c r="BI530" s="79">
        <f t="shared" si="554"/>
        <v>-108529.21023448705</v>
      </c>
      <c r="BJ530" s="79">
        <f t="shared" si="534"/>
        <v>166400</v>
      </c>
      <c r="BK530" s="44">
        <f t="shared" si="555"/>
        <v>0.53322777932759235</v>
      </c>
      <c r="BL530" s="79">
        <f t="shared" si="584"/>
        <v>20878.511656641371</v>
      </c>
      <c r="BM530" s="49">
        <f t="shared" si="556"/>
        <v>187278.51165664138</v>
      </c>
      <c r="BN530" s="44">
        <f t="shared" si="557"/>
        <v>0.72560466672529378</v>
      </c>
      <c r="BO530" s="49">
        <f t="shared" si="535"/>
        <v>26745.72763291073</v>
      </c>
      <c r="BP530" s="49">
        <f t="shared" si="536"/>
        <v>193145.72763291071</v>
      </c>
      <c r="BQ530" s="44">
        <f t="shared" si="537"/>
        <v>0.7796658357284838</v>
      </c>
      <c r="BS530" s="49">
        <f t="shared" si="538"/>
        <v>108529.21023448705</v>
      </c>
      <c r="BT530" s="49">
        <f t="shared" si="514"/>
        <v>117.150002</v>
      </c>
      <c r="BU530" s="49">
        <f t="shared" si="515"/>
        <v>36.700001</v>
      </c>
      <c r="BV530" s="49">
        <f t="shared" si="539"/>
        <v>-3961.5646837445402</v>
      </c>
      <c r="BW530" s="18">
        <f t="shared" si="540"/>
        <v>3416</v>
      </c>
      <c r="BX530" s="19">
        <f t="shared" si="558"/>
        <v>0.21651376146788992</v>
      </c>
      <c r="BY530" s="49">
        <f t="shared" si="559"/>
        <v>-857.73327097588219</v>
      </c>
      <c r="BZ530" s="19">
        <f t="shared" si="560"/>
        <v>0</v>
      </c>
      <c r="CA530" s="19">
        <f t="shared" si="561"/>
        <v>0</v>
      </c>
      <c r="CB530" s="19">
        <f t="shared" si="562"/>
        <v>0</v>
      </c>
      <c r="CC530" s="19">
        <f t="shared" si="563"/>
        <v>0</v>
      </c>
      <c r="CD530" s="19">
        <f t="shared" si="564"/>
        <v>0</v>
      </c>
      <c r="CE530" s="19">
        <f t="shared" si="565"/>
        <v>0</v>
      </c>
      <c r="CF530" s="49">
        <f t="shared" si="566"/>
        <v>0</v>
      </c>
      <c r="CG530" s="49">
        <f t="shared" si="585"/>
        <v>0</v>
      </c>
      <c r="CH530" s="49">
        <f t="shared" si="586"/>
        <v>0</v>
      </c>
      <c r="CI530" s="49">
        <f t="shared" si="587"/>
        <v>0</v>
      </c>
      <c r="CJ530" s="49">
        <f t="shared" si="588"/>
        <v>0</v>
      </c>
      <c r="CK530" s="49">
        <f t="shared" si="589"/>
        <v>0</v>
      </c>
    </row>
    <row r="531" spans="2:89" ht="12.75" customHeight="1" x14ac:dyDescent="0.2">
      <c r="B531" s="77">
        <v>42716</v>
      </c>
      <c r="C531" s="79">
        <v>116.769997</v>
      </c>
      <c r="D531" s="79">
        <v>94.199996999999996</v>
      </c>
      <c r="E531" s="79">
        <v>98.660004000000001</v>
      </c>
      <c r="F531" s="79">
        <v>122.139999</v>
      </c>
      <c r="G531" s="79">
        <v>36.729999999999997</v>
      </c>
      <c r="H531" s="79">
        <v>35.650002000000001</v>
      </c>
      <c r="I531" s="79"/>
      <c r="J531" s="78">
        <f>IF(inter=Weekly_2,J530+$C$5,IF(inter=Bi_weekly_2,0,IF(inter=Monthly_2,0,IF(inter=Quarterly_2,0,IF(inter=Yearly_2,0,IF(inter=None_2,0,0))))))</f>
        <v>0</v>
      </c>
      <c r="K531" s="79">
        <f t="shared" si="541"/>
        <v>0</v>
      </c>
      <c r="L531" s="79">
        <f t="shared" si="542"/>
        <v>0</v>
      </c>
      <c r="M531" s="79">
        <f t="shared" si="543"/>
        <v>0</v>
      </c>
      <c r="N531" s="79">
        <f t="shared" si="544"/>
        <v>0</v>
      </c>
      <c r="O531" s="79">
        <f t="shared" si="545"/>
        <v>0</v>
      </c>
      <c r="P531" s="79">
        <f t="shared" si="546"/>
        <v>0</v>
      </c>
      <c r="Q531" s="79"/>
      <c r="R531" s="80">
        <f t="shared" si="516"/>
        <v>0</v>
      </c>
      <c r="S531" s="80">
        <f t="shared" si="517"/>
        <v>0</v>
      </c>
      <c r="T531" s="80">
        <f t="shared" si="518"/>
        <v>0</v>
      </c>
      <c r="U531" s="80">
        <f t="shared" si="519"/>
        <v>0</v>
      </c>
      <c r="V531" s="80">
        <f t="shared" si="520"/>
        <v>0</v>
      </c>
      <c r="W531" s="80">
        <f t="shared" si="521"/>
        <v>0</v>
      </c>
      <c r="X531" s="80">
        <f t="shared" si="572"/>
        <v>497.14040977993318</v>
      </c>
      <c r="Y531" s="80">
        <f t="shared" si="573"/>
        <v>176.66418565316519</v>
      </c>
      <c r="Z531" s="80">
        <f t="shared" si="574"/>
        <v>132.78802992518703</v>
      </c>
      <c r="AA531" s="80">
        <f t="shared" si="575"/>
        <v>93.806879178656345</v>
      </c>
      <c r="AB531" s="80">
        <f t="shared" si="576"/>
        <v>1120.6896853634075</v>
      </c>
      <c r="AC531" s="80">
        <f t="shared" si="577"/>
        <v>680.10897329403349</v>
      </c>
      <c r="AD531" s="80"/>
      <c r="AE531" s="80"/>
      <c r="AF531" s="80"/>
      <c r="AG531" s="80"/>
      <c r="AH531" s="80"/>
      <c r="AI531" s="80"/>
      <c r="AJ531" s="45">
        <f t="shared" si="522"/>
        <v>0</v>
      </c>
      <c r="AK531" s="45">
        <f t="shared" si="523"/>
        <v>0</v>
      </c>
      <c r="AL531" s="45">
        <f t="shared" si="524"/>
        <v>0</v>
      </c>
      <c r="AM531" s="45">
        <f t="shared" si="525"/>
        <v>0</v>
      </c>
      <c r="AN531" s="45">
        <f t="shared" si="526"/>
        <v>0</v>
      </c>
      <c r="AO531" s="45">
        <f t="shared" si="527"/>
        <v>0</v>
      </c>
      <c r="AP531" s="80">
        <f t="shared" si="528"/>
        <v>0</v>
      </c>
      <c r="AQ531" s="80">
        <f t="shared" si="529"/>
        <v>0</v>
      </c>
      <c r="AR531" s="80">
        <f t="shared" si="530"/>
        <v>0</v>
      </c>
      <c r="AS531" s="80">
        <f t="shared" si="531"/>
        <v>0</v>
      </c>
      <c r="AT531" s="80">
        <f t="shared" si="532"/>
        <v>0</v>
      </c>
      <c r="AU531" s="80">
        <f t="shared" si="533"/>
        <v>0</v>
      </c>
      <c r="AV531" s="80">
        <f t="shared" si="578"/>
        <v>74.625565378936003</v>
      </c>
      <c r="AW531" s="80">
        <f t="shared" si="579"/>
        <v>35.644685902359093</v>
      </c>
      <c r="AX531" s="80">
        <f t="shared" si="580"/>
        <v>22.141628089265009</v>
      </c>
      <c r="AY531" s="80">
        <f t="shared" si="581"/>
        <v>17.074122155094017</v>
      </c>
      <c r="AZ531" s="80">
        <f t="shared" si="582"/>
        <v>186.01585630507955</v>
      </c>
      <c r="BA531" s="80">
        <f t="shared" si="583"/>
        <v>92.677630533508065</v>
      </c>
      <c r="BB531" s="80">
        <f t="shared" si="547"/>
        <v>571.7659751588692</v>
      </c>
      <c r="BC531" s="80">
        <f t="shared" si="548"/>
        <v>212.30887155552429</v>
      </c>
      <c r="BD531" s="80">
        <f t="shared" si="549"/>
        <v>154.92965801445203</v>
      </c>
      <c r="BE531" s="80">
        <f t="shared" si="550"/>
        <v>110.88100133375036</v>
      </c>
      <c r="BF531" s="80">
        <f t="shared" si="551"/>
        <v>1306.7055416684871</v>
      </c>
      <c r="BG531" s="80">
        <f t="shared" si="552"/>
        <v>772.78660382754151</v>
      </c>
      <c r="BH531" s="49">
        <f t="shared" si="553"/>
        <v>0</v>
      </c>
      <c r="BI531" s="79">
        <f t="shared" si="554"/>
        <v>-108529.21023448705</v>
      </c>
      <c r="BJ531" s="79">
        <f t="shared" si="534"/>
        <v>164660.10801131066</v>
      </c>
      <c r="BK531" s="44">
        <f t="shared" si="555"/>
        <v>0.51719622445927493</v>
      </c>
      <c r="BL531" s="79">
        <f t="shared" si="584"/>
        <v>20878.511656641371</v>
      </c>
      <c r="BM531" s="49">
        <f t="shared" si="556"/>
        <v>185538.61966795204</v>
      </c>
      <c r="BN531" s="44">
        <f t="shared" si="557"/>
        <v>0.70957311185697636</v>
      </c>
      <c r="BO531" s="49">
        <f t="shared" si="535"/>
        <v>26478.002845252686</v>
      </c>
      <c r="BP531" s="49">
        <f t="shared" si="536"/>
        <v>191138.11085656335</v>
      </c>
      <c r="BQ531" s="44">
        <f t="shared" si="537"/>
        <v>0.76116743541754683</v>
      </c>
      <c r="BS531" s="49">
        <f t="shared" si="538"/>
        <v>108529.21023448705</v>
      </c>
      <c r="BT531" s="49">
        <f t="shared" si="514"/>
        <v>116.769997</v>
      </c>
      <c r="BU531" s="49">
        <f t="shared" si="515"/>
        <v>35.650002000000001</v>
      </c>
      <c r="BV531" s="49">
        <f t="shared" si="539"/>
        <v>0</v>
      </c>
      <c r="BW531" s="18">
        <f t="shared" si="540"/>
        <v>3423</v>
      </c>
      <c r="BX531" s="19">
        <f t="shared" si="558"/>
        <v>0.21490825688073395</v>
      </c>
      <c r="BY531" s="49">
        <f t="shared" si="559"/>
        <v>0</v>
      </c>
      <c r="BZ531" s="19">
        <f t="shared" si="560"/>
        <v>0</v>
      </c>
      <c r="CA531" s="19">
        <f t="shared" si="561"/>
        <v>0</v>
      </c>
      <c r="CB531" s="19">
        <f t="shared" si="562"/>
        <v>0</v>
      </c>
      <c r="CC531" s="19">
        <f t="shared" si="563"/>
        <v>0</v>
      </c>
      <c r="CD531" s="19">
        <f t="shared" si="564"/>
        <v>0</v>
      </c>
      <c r="CE531" s="19">
        <f t="shared" si="565"/>
        <v>0</v>
      </c>
      <c r="CF531" s="49">
        <f t="shared" si="566"/>
        <v>0</v>
      </c>
      <c r="CG531" s="49">
        <f t="shared" si="585"/>
        <v>0</v>
      </c>
      <c r="CH531" s="49">
        <f t="shared" si="586"/>
        <v>0</v>
      </c>
      <c r="CI531" s="49">
        <f t="shared" si="587"/>
        <v>0</v>
      </c>
      <c r="CJ531" s="49">
        <f t="shared" si="588"/>
        <v>0</v>
      </c>
      <c r="CK531" s="49">
        <f t="shared" si="589"/>
        <v>0</v>
      </c>
    </row>
    <row r="532" spans="2:89" ht="12.75" customHeight="1" x14ac:dyDescent="0.2">
      <c r="B532" s="77">
        <v>42723</v>
      </c>
      <c r="C532" s="79">
        <v>116.41999800000001</v>
      </c>
      <c r="D532" s="79">
        <v>93.889999000000003</v>
      </c>
      <c r="E532" s="79">
        <v>98.190002000000007</v>
      </c>
      <c r="F532" s="79">
        <v>122.18</v>
      </c>
      <c r="G532" s="79">
        <v>36.459999000000003</v>
      </c>
      <c r="H532" s="79">
        <v>35.029998999999997</v>
      </c>
      <c r="I532" s="79"/>
      <c r="J532" s="78">
        <f>IF(inter=Weekly_2,J531+$C$5,IF(inter=Bi_weekly_2,J530+$C$5,IF(inter=Monthly_2,0,IF(inter=Quarterly_2,0,IF(inter=Yearly_2,0,IF(inter=None_2,0,0))))))</f>
        <v>167000</v>
      </c>
      <c r="K532" s="79">
        <f t="shared" si="541"/>
        <v>-572.91448770098941</v>
      </c>
      <c r="L532" s="79">
        <f t="shared" si="542"/>
        <v>-112.99978568850565</v>
      </c>
      <c r="M532" s="79">
        <f t="shared" si="543"/>
        <v>-321.54307606982366</v>
      </c>
      <c r="N532" s="79">
        <f t="shared" si="544"/>
        <v>-228.67550195176955</v>
      </c>
      <c r="O532" s="79">
        <f t="shared" si="545"/>
        <v>-889.65519233984378</v>
      </c>
      <c r="P532" s="79">
        <f t="shared" si="546"/>
        <v>-1225.7833456189837</v>
      </c>
      <c r="Q532" s="79"/>
      <c r="R532" s="80">
        <f t="shared" si="516"/>
        <v>4.9211003053014082</v>
      </c>
      <c r="S532" s="80">
        <f t="shared" si="517"/>
        <v>1.2035337830657091</v>
      </c>
      <c r="T532" s="80">
        <f t="shared" si="518"/>
        <v>3.2747028161769833</v>
      </c>
      <c r="U532" s="80">
        <f t="shared" si="519"/>
        <v>1.8716279419853457</v>
      </c>
      <c r="V532" s="80">
        <f t="shared" si="520"/>
        <v>24.400856191461873</v>
      </c>
      <c r="W532" s="80">
        <f t="shared" si="521"/>
        <v>34.992388827044607</v>
      </c>
      <c r="X532" s="80">
        <f t="shared" si="572"/>
        <v>502.0615100852346</v>
      </c>
      <c r="Y532" s="80">
        <f t="shared" si="573"/>
        <v>177.86771943623091</v>
      </c>
      <c r="Z532" s="80">
        <f t="shared" si="574"/>
        <v>136.06273274136402</v>
      </c>
      <c r="AA532" s="80">
        <f t="shared" si="575"/>
        <v>95.678507120641697</v>
      </c>
      <c r="AB532" s="80">
        <f t="shared" si="576"/>
        <v>1145.0905415548693</v>
      </c>
      <c r="AC532" s="80">
        <f t="shared" si="577"/>
        <v>715.10136212107807</v>
      </c>
      <c r="AD532" s="80">
        <v>0.72699999999999998</v>
      </c>
      <c r="AE532" s="80">
        <v>0.69499999999999995</v>
      </c>
      <c r="AF532" s="80">
        <v>0.61399999999999999</v>
      </c>
      <c r="AG532" s="80">
        <v>0.79600000000000004</v>
      </c>
      <c r="AH532" s="80">
        <v>0.3</v>
      </c>
      <c r="AI532" s="80">
        <v>0.17</v>
      </c>
      <c r="AJ532" s="45">
        <f t="shared" si="522"/>
        <v>364.99871783196556</v>
      </c>
      <c r="AK532" s="45">
        <f t="shared" si="523"/>
        <v>123.61806500818048</v>
      </c>
      <c r="AL532" s="45">
        <f t="shared" si="524"/>
        <v>83.542517903197506</v>
      </c>
      <c r="AM532" s="45">
        <f t="shared" si="525"/>
        <v>76.160091668030802</v>
      </c>
      <c r="AN532" s="45">
        <f t="shared" si="526"/>
        <v>343.52716246646077</v>
      </c>
      <c r="AO532" s="45">
        <f t="shared" si="527"/>
        <v>121.56723156058328</v>
      </c>
      <c r="AP532" s="80">
        <f t="shared" si="528"/>
        <v>3.135189177996426</v>
      </c>
      <c r="AQ532" s="80">
        <f t="shared" si="529"/>
        <v>1.3166265451571735</v>
      </c>
      <c r="AR532" s="80">
        <f t="shared" si="530"/>
        <v>0.85082509625773817</v>
      </c>
      <c r="AS532" s="80">
        <f t="shared" si="531"/>
        <v>0.62334335953536424</v>
      </c>
      <c r="AT532" s="80">
        <f t="shared" si="532"/>
        <v>9.422028850479693</v>
      </c>
      <c r="AU532" s="80">
        <f t="shared" si="533"/>
        <v>3.4703749652000644</v>
      </c>
      <c r="AV532" s="80">
        <f t="shared" si="578"/>
        <v>77.760754556932426</v>
      </c>
      <c r="AW532" s="80">
        <f t="shared" si="579"/>
        <v>36.961312447516264</v>
      </c>
      <c r="AX532" s="80">
        <f t="shared" si="580"/>
        <v>22.992453185522749</v>
      </c>
      <c r="AY532" s="80">
        <f t="shared" si="581"/>
        <v>17.697465514629382</v>
      </c>
      <c r="AZ532" s="80">
        <f t="shared" si="582"/>
        <v>195.43788515555926</v>
      </c>
      <c r="BA532" s="80">
        <f t="shared" si="583"/>
        <v>96.14800549870813</v>
      </c>
      <c r="BB532" s="80">
        <f t="shared" si="547"/>
        <v>579.82226464216706</v>
      </c>
      <c r="BC532" s="80">
        <f t="shared" si="548"/>
        <v>214.82903188374718</v>
      </c>
      <c r="BD532" s="80">
        <f t="shared" si="549"/>
        <v>159.05518592688676</v>
      </c>
      <c r="BE532" s="80">
        <f t="shared" si="550"/>
        <v>113.37597263527108</v>
      </c>
      <c r="BF532" s="80">
        <f t="shared" si="551"/>
        <v>1340.5284267104287</v>
      </c>
      <c r="BG532" s="80">
        <f t="shared" si="552"/>
        <v>811.2493676197862</v>
      </c>
      <c r="BH532" s="49">
        <f t="shared" si="553"/>
        <v>1113.4137864384181</v>
      </c>
      <c r="BI532" s="79">
        <f t="shared" si="554"/>
        <v>-111880.78162385698</v>
      </c>
      <c r="BJ532" s="79">
        <f t="shared" si="534"/>
        <v>167000</v>
      </c>
      <c r="BK532" s="44">
        <f t="shared" si="555"/>
        <v>0.49266029049970128</v>
      </c>
      <c r="BL532" s="79">
        <f t="shared" si="584"/>
        <v>21991.925443079788</v>
      </c>
      <c r="BM532" s="49">
        <f t="shared" si="556"/>
        <v>188991.92544307979</v>
      </c>
      <c r="BN532" s="44">
        <f t="shared" si="557"/>
        <v>0.68922600199979267</v>
      </c>
      <c r="BO532" s="49">
        <f t="shared" si="535"/>
        <v>27436.839473386903</v>
      </c>
      <c r="BP532" s="49">
        <f t="shared" si="536"/>
        <v>194436.83947338691</v>
      </c>
      <c r="BQ532" s="44">
        <f t="shared" si="537"/>
        <v>0.73789310953406884</v>
      </c>
      <c r="BS532" s="49">
        <f t="shared" si="538"/>
        <v>111880.78162385698</v>
      </c>
      <c r="BT532" s="49">
        <f t="shared" si="514"/>
        <v>116.41999800000001</v>
      </c>
      <c r="BU532" s="49">
        <f t="shared" si="515"/>
        <v>35.029998999999997</v>
      </c>
      <c r="BV532" s="49">
        <f t="shared" si="539"/>
        <v>2238.1576029314974</v>
      </c>
      <c r="BW532" s="18">
        <f t="shared" si="540"/>
        <v>3430</v>
      </c>
      <c r="BX532" s="19">
        <f t="shared" si="558"/>
        <v>0.21330275229357798</v>
      </c>
      <c r="BY532" s="49">
        <f t="shared" si="559"/>
        <v>477.40517677208544</v>
      </c>
      <c r="BZ532" s="19">
        <f t="shared" si="560"/>
        <v>4.9211003053014082</v>
      </c>
      <c r="CA532" s="19">
        <f t="shared" si="561"/>
        <v>1.2035337830657091</v>
      </c>
      <c r="CB532" s="19">
        <f t="shared" si="562"/>
        <v>3.2747028161769833</v>
      </c>
      <c r="CC532" s="19">
        <f t="shared" si="563"/>
        <v>1.8716279419853457</v>
      </c>
      <c r="CD532" s="19">
        <f t="shared" si="564"/>
        <v>24.400856191461873</v>
      </c>
      <c r="CE532" s="19">
        <f t="shared" si="565"/>
        <v>34.992388827044607</v>
      </c>
      <c r="CF532" s="49">
        <f t="shared" si="566"/>
        <v>-572.91448770098941</v>
      </c>
      <c r="CG532" s="49">
        <f t="shared" si="585"/>
        <v>-112.99978568850565</v>
      </c>
      <c r="CH532" s="49">
        <f t="shared" si="586"/>
        <v>-321.54307606982366</v>
      </c>
      <c r="CI532" s="49">
        <f t="shared" si="587"/>
        <v>-228.67550195176955</v>
      </c>
      <c r="CJ532" s="49">
        <f t="shared" si="588"/>
        <v>-889.65519233984378</v>
      </c>
      <c r="CK532" s="49">
        <f t="shared" si="589"/>
        <v>-1225.7833456189837</v>
      </c>
    </row>
    <row r="533" spans="2:89" ht="12.75" customHeight="1" x14ac:dyDescent="0.2">
      <c r="B533" s="77">
        <v>42731</v>
      </c>
      <c r="C533" s="79">
        <v>115.32</v>
      </c>
      <c r="D533" s="79">
        <v>93.010002</v>
      </c>
      <c r="E533" s="79">
        <v>97.190002000000007</v>
      </c>
      <c r="F533" s="79">
        <v>121</v>
      </c>
      <c r="G533" s="79">
        <v>36.540000999999997</v>
      </c>
      <c r="H533" s="79">
        <v>35.779998999999997</v>
      </c>
      <c r="I533" s="79"/>
      <c r="J533" s="78">
        <f>IF(inter=Weekly_2,J532+$C$5,IF(inter=Bi_weekly_2,0,IF(inter=Monthly_2,0,IF(inter=Quarterly_2,0,IF(inter=Yearly_2,0,IF(inter=None_2,0,0))))))</f>
        <v>0</v>
      </c>
      <c r="K533" s="79">
        <f t="shared" si="541"/>
        <v>0</v>
      </c>
      <c r="L533" s="79">
        <f t="shared" si="542"/>
        <v>0</v>
      </c>
      <c r="M533" s="79">
        <f t="shared" si="543"/>
        <v>0</v>
      </c>
      <c r="N533" s="79">
        <f t="shared" si="544"/>
        <v>0</v>
      </c>
      <c r="O533" s="79">
        <f t="shared" si="545"/>
        <v>0</v>
      </c>
      <c r="P533" s="79">
        <f t="shared" si="546"/>
        <v>0</v>
      </c>
      <c r="Q533" s="79"/>
      <c r="R533" s="80">
        <f t="shared" si="516"/>
        <v>0</v>
      </c>
      <c r="S533" s="80">
        <f t="shared" si="517"/>
        <v>0</v>
      </c>
      <c r="T533" s="80">
        <f t="shared" si="518"/>
        <v>0</v>
      </c>
      <c r="U533" s="80">
        <f t="shared" si="519"/>
        <v>0</v>
      </c>
      <c r="V533" s="80">
        <f t="shared" si="520"/>
        <v>0</v>
      </c>
      <c r="W533" s="80">
        <f t="shared" si="521"/>
        <v>0</v>
      </c>
      <c r="X533" s="80">
        <f t="shared" si="572"/>
        <v>502.0615100852346</v>
      </c>
      <c r="Y533" s="80">
        <f t="shared" si="573"/>
        <v>177.86771943623091</v>
      </c>
      <c r="Z533" s="80">
        <f t="shared" si="574"/>
        <v>136.06273274136402</v>
      </c>
      <c r="AA533" s="80">
        <f t="shared" si="575"/>
        <v>95.678507120641697</v>
      </c>
      <c r="AB533" s="80">
        <f t="shared" si="576"/>
        <v>1145.0905415548693</v>
      </c>
      <c r="AC533" s="80">
        <f t="shared" si="577"/>
        <v>715.10136212107807</v>
      </c>
      <c r="AD533" s="80"/>
      <c r="AE533" s="80"/>
      <c r="AF533" s="80"/>
      <c r="AG533" s="80"/>
      <c r="AH533" s="80"/>
      <c r="AI533" s="80"/>
      <c r="AJ533" s="45">
        <f t="shared" ref="AJ533:AJ596" si="590">(X533*AD533)</f>
        <v>0</v>
      </c>
      <c r="AK533" s="45">
        <f t="shared" ref="AK533:AK596" si="591">(Y533*AE533)</f>
        <v>0</v>
      </c>
      <c r="AL533" s="45">
        <f t="shared" ref="AL533:AL596" si="592">(Z533*AF533)</f>
        <v>0</v>
      </c>
      <c r="AM533" s="45">
        <f t="shared" ref="AM533:AM596" si="593">(AA533*AG533)</f>
        <v>0</v>
      </c>
      <c r="AN533" s="45">
        <f t="shared" ref="AN533:AN596" si="594">(AB533*AH533)</f>
        <v>0</v>
      </c>
      <c r="AO533" s="45">
        <f t="shared" ref="AO533:AO596" si="595">(AC533*AI533)</f>
        <v>0</v>
      </c>
      <c r="AP533" s="80">
        <f t="shared" si="528"/>
        <v>0</v>
      </c>
      <c r="AQ533" s="80">
        <f t="shared" si="529"/>
        <v>0</v>
      </c>
      <c r="AR533" s="80">
        <f t="shared" si="530"/>
        <v>0</v>
      </c>
      <c r="AS533" s="80">
        <f t="shared" si="531"/>
        <v>0</v>
      </c>
      <c r="AT533" s="80">
        <f t="shared" si="532"/>
        <v>0</v>
      </c>
      <c r="AU533" s="80">
        <f t="shared" si="533"/>
        <v>0</v>
      </c>
      <c r="AV533" s="80">
        <f t="shared" ref="AV533:BA533" si="596">AP533+AV532+IF(AP533&lt;0,AP533,0)</f>
        <v>77.760754556932426</v>
      </c>
      <c r="AW533" s="80">
        <f t="shared" si="596"/>
        <v>36.961312447516264</v>
      </c>
      <c r="AX533" s="80">
        <f t="shared" si="596"/>
        <v>22.992453185522749</v>
      </c>
      <c r="AY533" s="80">
        <f t="shared" si="596"/>
        <v>17.697465514629382</v>
      </c>
      <c r="AZ533" s="80">
        <f t="shared" si="596"/>
        <v>195.43788515555926</v>
      </c>
      <c r="BA533" s="80">
        <f t="shared" si="596"/>
        <v>96.14800549870813</v>
      </c>
      <c r="BB533" s="80">
        <f t="shared" ref="BB533:BG533" si="597">X533+AV533</f>
        <v>579.82226464216706</v>
      </c>
      <c r="BC533" s="80">
        <f t="shared" si="597"/>
        <v>214.82903188374718</v>
      </c>
      <c r="BD533" s="80">
        <f t="shared" si="597"/>
        <v>159.05518592688676</v>
      </c>
      <c r="BE533" s="80">
        <f t="shared" si="597"/>
        <v>113.37597263527108</v>
      </c>
      <c r="BF533" s="80">
        <f t="shared" si="597"/>
        <v>1340.5284267104287</v>
      </c>
      <c r="BG533" s="80">
        <f t="shared" si="597"/>
        <v>811.2493676197862</v>
      </c>
      <c r="BH533" s="49">
        <f>(AJ533+AK533+AL533+AM533+AN533+AO533)</f>
        <v>0</v>
      </c>
      <c r="BI533" s="79">
        <f>BI532+K533+L533+M533+N533+O533+P533</f>
        <v>-111880.78162385698</v>
      </c>
      <c r="BJ533" s="79">
        <f t="shared" si="534"/>
        <v>166670.18246748106</v>
      </c>
      <c r="BK533" s="44">
        <f>BJ533/ABS(BI533)-1</f>
        <v>0.48971235317094908</v>
      </c>
      <c r="BL533" s="79">
        <f>BL532+BH533</f>
        <v>21991.925443079788</v>
      </c>
      <c r="BM533" s="49">
        <f>BJ533+BL533</f>
        <v>188662.10791056085</v>
      </c>
      <c r="BN533" s="44">
        <f>BM533/ABS(BI533)-1</f>
        <v>0.68627806467104047</v>
      </c>
      <c r="BO533" s="49">
        <f t="shared" si="535"/>
        <v>27362.647918145369</v>
      </c>
      <c r="BP533" s="49">
        <f t="shared" si="536"/>
        <v>194032.83038562647</v>
      </c>
      <c r="BQ533" s="44">
        <f t="shared" si="537"/>
        <v>0.73428204173585909</v>
      </c>
      <c r="BS533" s="49">
        <f t="shared" si="538"/>
        <v>111880.78162385698</v>
      </c>
      <c r="BT533" s="49">
        <f t="shared" si="514"/>
        <v>115.32</v>
      </c>
      <c r="BU533" s="49">
        <f t="shared" si="515"/>
        <v>35.779998999999997</v>
      </c>
      <c r="BV533" s="49">
        <f t="shared" si="539"/>
        <v>0</v>
      </c>
      <c r="BW533" s="18">
        <f t="shared" si="540"/>
        <v>3438</v>
      </c>
      <c r="BX533" s="19">
        <f t="shared" si="558"/>
        <v>0.21146788990825688</v>
      </c>
      <c r="BY533" s="49">
        <f t="shared" si="559"/>
        <v>0</v>
      </c>
      <c r="BZ533" s="19">
        <f t="shared" si="560"/>
        <v>0</v>
      </c>
      <c r="CA533" s="19">
        <f t="shared" si="561"/>
        <v>0</v>
      </c>
      <c r="CB533" s="19">
        <f t="shared" si="562"/>
        <v>0</v>
      </c>
      <c r="CC533" s="19">
        <f t="shared" si="563"/>
        <v>0</v>
      </c>
      <c r="CD533" s="19">
        <f t="shared" si="564"/>
        <v>0</v>
      </c>
      <c r="CE533" s="19">
        <f t="shared" si="565"/>
        <v>0</v>
      </c>
      <c r="CF533" s="49">
        <f t="shared" si="566"/>
        <v>0</v>
      </c>
      <c r="CG533" s="49">
        <f t="shared" si="585"/>
        <v>0</v>
      </c>
      <c r="CH533" s="49">
        <f t="shared" si="586"/>
        <v>0</v>
      </c>
      <c r="CI533" s="49">
        <f t="shared" si="587"/>
        <v>0</v>
      </c>
      <c r="CJ533" s="49">
        <f t="shared" si="588"/>
        <v>0</v>
      </c>
      <c r="CK533" s="49">
        <f t="shared" si="589"/>
        <v>0</v>
      </c>
    </row>
    <row r="534" spans="2:89" ht="12.75" customHeight="1" x14ac:dyDescent="0.2">
      <c r="B534" s="77">
        <v>42736</v>
      </c>
      <c r="C534" s="79">
        <v>117.230003</v>
      </c>
      <c r="D534" s="79">
        <v>93.879997000000003</v>
      </c>
      <c r="E534" s="79">
        <v>98.889999000000003</v>
      </c>
      <c r="F534" s="79">
        <v>122.339996</v>
      </c>
      <c r="G534" s="79">
        <v>37.400002000000001</v>
      </c>
      <c r="H534" s="79">
        <v>36.729999999999997</v>
      </c>
      <c r="I534" s="79"/>
      <c r="J534" s="78">
        <f>IF(inter=Weekly_2,J533+$C$5,IF(inter=Bi_weekly_2,J532+$C$5,IF(inter=Monthly_2,J530+$C$5,IF(inter=Quarterly_2,0,IF(inter=Yearly_2,0,IF(inter=None_2,0,0))))))</f>
        <v>167600</v>
      </c>
      <c r="K534" s="79">
        <f t="shared" si="541"/>
        <v>196.67233347658475</v>
      </c>
      <c r="L534" s="79">
        <f t="shared" si="542"/>
        <v>-61.779032929800451</v>
      </c>
      <c r="M534" s="79">
        <f t="shared" si="543"/>
        <v>47.243504730755376</v>
      </c>
      <c r="N534" s="79">
        <f t="shared" si="544"/>
        <v>-26.691821574724599</v>
      </c>
      <c r="O534" s="79">
        <f t="shared" si="545"/>
        <v>926.38854433319648</v>
      </c>
      <c r="P534" s="79">
        <f t="shared" si="546"/>
        <v>1125.6730307071957</v>
      </c>
      <c r="Q534" s="79"/>
      <c r="R534" s="80">
        <f t="shared" si="516"/>
        <v>-1.6776621039290152</v>
      </c>
      <c r="S534" s="80">
        <f t="shared" si="517"/>
        <v>0.65806385709407778</v>
      </c>
      <c r="T534" s="80">
        <f t="shared" si="518"/>
        <v>-0.47773794325506441</v>
      </c>
      <c r="U534" s="80">
        <f t="shared" si="519"/>
        <v>0.21817739453518209</v>
      </c>
      <c r="V534" s="80">
        <f t="shared" si="520"/>
        <v>-24.769745850099056</v>
      </c>
      <c r="W534" s="80">
        <f t="shared" si="521"/>
        <v>-30.647237427367159</v>
      </c>
      <c r="X534" s="80">
        <f t="shared" ref="X534:X597" si="598">X533+R534</f>
        <v>500.38384798130556</v>
      </c>
      <c r="Y534" s="80">
        <f t="shared" ref="Y534:Y597" si="599">Y533+S534</f>
        <v>178.52578329332499</v>
      </c>
      <c r="Z534" s="80">
        <f t="shared" ref="Z534:Z597" si="600">Z533+T534</f>
        <v>135.58499479810897</v>
      </c>
      <c r="AA534" s="80">
        <f t="shared" ref="AA534:AA597" si="601">AA533+U534</f>
        <v>95.896684515176872</v>
      </c>
      <c r="AB534" s="80">
        <f t="shared" ref="AB534:AB597" si="602">AB533+V534</f>
        <v>1120.3207957047703</v>
      </c>
      <c r="AC534" s="80">
        <f t="shared" ref="AC534:AC597" si="603">AC533+W534</f>
        <v>684.45412469371092</v>
      </c>
      <c r="AD534" s="80"/>
      <c r="AE534" s="80"/>
      <c r="AF534" s="80"/>
      <c r="AG534" s="80"/>
      <c r="AH534" s="80"/>
      <c r="AI534" s="80"/>
      <c r="AJ534" s="45">
        <f t="shared" si="590"/>
        <v>0</v>
      </c>
      <c r="AK534" s="45">
        <f t="shared" si="591"/>
        <v>0</v>
      </c>
      <c r="AL534" s="45">
        <f t="shared" si="592"/>
        <v>0</v>
      </c>
      <c r="AM534" s="45">
        <f t="shared" si="593"/>
        <v>0</v>
      </c>
      <c r="AN534" s="45">
        <f t="shared" si="594"/>
        <v>0</v>
      </c>
      <c r="AO534" s="45">
        <f t="shared" si="595"/>
        <v>0</v>
      </c>
      <c r="AP534" s="80">
        <f t="shared" si="528"/>
        <v>0</v>
      </c>
      <c r="AQ534" s="80">
        <f t="shared" si="529"/>
        <v>0</v>
      </c>
      <c r="AR534" s="80">
        <f t="shared" si="530"/>
        <v>0</v>
      </c>
      <c r="AS534" s="80">
        <f t="shared" si="531"/>
        <v>0</v>
      </c>
      <c r="AT534" s="80">
        <f t="shared" si="532"/>
        <v>0</v>
      </c>
      <c r="AU534" s="80">
        <f t="shared" si="533"/>
        <v>0</v>
      </c>
      <c r="AV534" s="80">
        <f t="shared" ref="AV534:AV597" si="604">AP534+AV533+IF(AP534&lt;0,AP534,0)</f>
        <v>77.760754556932426</v>
      </c>
      <c r="AW534" s="80">
        <f t="shared" ref="AW534:AW597" si="605">AQ534+AW533+IF(AQ534&lt;0,AQ534,0)</f>
        <v>36.961312447516264</v>
      </c>
      <c r="AX534" s="80">
        <f t="shared" ref="AX534:AX597" si="606">AR534+AX533+IF(AR534&lt;0,AR534,0)</f>
        <v>22.992453185522749</v>
      </c>
      <c r="AY534" s="80">
        <f t="shared" ref="AY534:AY597" si="607">AS534+AY533+IF(AS534&lt;0,AS534,0)</f>
        <v>17.697465514629382</v>
      </c>
      <c r="AZ534" s="80">
        <f t="shared" ref="AZ534:AZ597" si="608">AT534+AZ533+IF(AT534&lt;0,AT534,0)</f>
        <v>195.43788515555926</v>
      </c>
      <c r="BA534" s="80">
        <f t="shared" ref="BA534:BA597" si="609">AU534+BA533+IF(AU534&lt;0,AU534,0)</f>
        <v>96.14800549870813</v>
      </c>
      <c r="BB534" s="80">
        <f t="shared" ref="BB534:BB597" si="610">X534+AV534</f>
        <v>578.14460253823802</v>
      </c>
      <c r="BC534" s="80">
        <f t="shared" ref="BC534:BC597" si="611">Y534+AW534</f>
        <v>215.48709574084126</v>
      </c>
      <c r="BD534" s="80">
        <f t="shared" ref="BD534:BD597" si="612">Z534+AX534</f>
        <v>158.57744798363171</v>
      </c>
      <c r="BE534" s="80">
        <f t="shared" ref="BE534:BE597" si="613">AA534+AY534</f>
        <v>113.59415002980626</v>
      </c>
      <c r="BF534" s="80">
        <f t="shared" ref="BF534:BF597" si="614">AB534+AZ534</f>
        <v>1315.7586808603296</v>
      </c>
      <c r="BG534" s="80">
        <f t="shared" ref="BG534:BG597" si="615">AC534+BA534</f>
        <v>780.60213019241905</v>
      </c>
      <c r="BH534" s="49">
        <f t="shared" ref="BH534:BH597" si="616">(AJ534+AK534+AL534+AM534+AN534+AO534)</f>
        <v>0</v>
      </c>
      <c r="BI534" s="79">
        <f t="shared" ref="BI534:BI597" si="617">BI533+K534+L534+M534+N534+O534+P534</f>
        <v>-109673.27506511378</v>
      </c>
      <c r="BJ534" s="79">
        <f t="shared" si="534"/>
        <v>167600</v>
      </c>
      <c r="BK534" s="44">
        <f t="shared" ref="BK534:BK597" si="618">BJ534/ABS(BI534)-1</f>
        <v>0.52817539095549693</v>
      </c>
      <c r="BL534" s="79">
        <f t="shared" ref="BL534:BL597" si="619">BL533+BH534</f>
        <v>21991.925443079788</v>
      </c>
      <c r="BM534" s="49">
        <f t="shared" ref="BM534:BM597" si="620">BJ534+BL534</f>
        <v>189591.92544307979</v>
      </c>
      <c r="BN534" s="44">
        <f t="shared" ref="BN534:BN597" si="621">BM534/ABS(BI534)-1</f>
        <v>0.7286975822552737</v>
      </c>
      <c r="BO534" s="49">
        <f t="shared" si="535"/>
        <v>27865.546462135364</v>
      </c>
      <c r="BP534" s="49">
        <f t="shared" si="536"/>
        <v>195465.54646213539</v>
      </c>
      <c r="BQ534" s="44">
        <f t="shared" ref="BQ534:BQ597" si="622">(BP534/ABS(BI534))-1</f>
        <v>0.78225320932639386</v>
      </c>
      <c r="BS534" s="49">
        <f t="shared" ref="BS534:BS597" si="623">ABS(BI534)</f>
        <v>109673.27506511378</v>
      </c>
      <c r="BT534" s="49">
        <f t="shared" si="514"/>
        <v>117.230003</v>
      </c>
      <c r="BU534" s="49">
        <f t="shared" si="515"/>
        <v>36.729999999999997</v>
      </c>
      <c r="BV534" s="49">
        <f t="shared" ref="BV534:BV597" si="624">-(K534+L534+M534+N534+O534+P534+BH534)</f>
        <v>-2207.5065587432073</v>
      </c>
      <c r="BW534" s="18">
        <f t="shared" si="540"/>
        <v>3443</v>
      </c>
      <c r="BX534" s="19">
        <f t="shared" ref="BX534:BX597" si="625">($BW$40-BW534)/$BW$40</f>
        <v>0.2103211009174312</v>
      </c>
      <c r="BY534" s="49">
        <f t="shared" ref="BY534:BY597" si="626">BX534*BV534</f>
        <v>-464.28520971732138</v>
      </c>
      <c r="BZ534" s="19">
        <f t="shared" ref="BZ534:BZ597" si="627">IF(R534&gt;0,R534,0)</f>
        <v>0</v>
      </c>
      <c r="CA534" s="19">
        <f t="shared" ref="CA534:CA597" si="628">IF(S534&gt;0,S534,0)</f>
        <v>0.65806385709407778</v>
      </c>
      <c r="CB534" s="19">
        <f t="shared" ref="CB534:CB597" si="629">IF(T534&gt;0,T534,0)</f>
        <v>0</v>
      </c>
      <c r="CC534" s="19">
        <f t="shared" ref="CC534:CC597" si="630">IF(U534&gt;0,U534,0)</f>
        <v>0.21817739453518209</v>
      </c>
      <c r="CD534" s="19">
        <f t="shared" ref="CD534:CD597" si="631">IF(V534&gt;0,V534,0)</f>
        <v>0</v>
      </c>
      <c r="CE534" s="19">
        <f t="shared" ref="CE534:CE597" si="632">IF(W534&gt;0,W534,0)</f>
        <v>0</v>
      </c>
      <c r="CF534" s="49">
        <f t="shared" ref="CF534:CF597" si="633">IF(K534&lt;0,K534,0)</f>
        <v>0</v>
      </c>
      <c r="CG534" s="49">
        <f t="shared" ref="CG534:CG597" si="634">IF(L534&lt;0,L534,0)</f>
        <v>-61.779032929800451</v>
      </c>
      <c r="CH534" s="49">
        <f t="shared" ref="CH534:CH597" si="635">IF(M534&lt;0,M534,0)</f>
        <v>0</v>
      </c>
      <c r="CI534" s="49">
        <f t="shared" ref="CI534:CI597" si="636">IF(N534&lt;0,N534,0)</f>
        <v>-26.691821574724599</v>
      </c>
      <c r="CJ534" s="49">
        <f t="shared" ref="CJ534:CJ597" si="637">IF(O534&lt;0,O534,0)</f>
        <v>0</v>
      </c>
      <c r="CK534" s="49">
        <f t="shared" ref="CK534:CK597" si="638">IF(P534&lt;0,P534,0)</f>
        <v>0</v>
      </c>
    </row>
    <row r="535" spans="2:89" ht="12.75" customHeight="1" x14ac:dyDescent="0.2">
      <c r="B535" s="77">
        <v>42743</v>
      </c>
      <c r="C535" s="79">
        <v>117.220001</v>
      </c>
      <c r="D535" s="79">
        <v>93.550003000000004</v>
      </c>
      <c r="E535" s="79">
        <v>98.559997999999993</v>
      </c>
      <c r="F535" s="79">
        <v>122.30999799999999</v>
      </c>
      <c r="G535" s="79">
        <v>37.779998999999997</v>
      </c>
      <c r="H535" s="79">
        <v>37.240001999999997</v>
      </c>
      <c r="I535" s="79"/>
      <c r="J535" s="78">
        <f>IF(inter=Weekly_2,J534+$C$5,IF(inter=Bi_weekly_2,0,IF(inter=Monthly_2,0,IF(inter=Quarterly_2,0,IF(inter=Yearly_2,0,IF(inter=None_2,0,0))))))</f>
        <v>0</v>
      </c>
      <c r="K535" s="79">
        <f t="shared" si="541"/>
        <v>0</v>
      </c>
      <c r="L535" s="79">
        <f t="shared" si="542"/>
        <v>0</v>
      </c>
      <c r="M535" s="79">
        <f t="shared" si="543"/>
        <v>0</v>
      </c>
      <c r="N535" s="79">
        <f t="shared" si="544"/>
        <v>0</v>
      </c>
      <c r="O535" s="79">
        <f t="shared" si="545"/>
        <v>0</v>
      </c>
      <c r="P535" s="79">
        <f t="shared" si="546"/>
        <v>0</v>
      </c>
      <c r="Q535" s="79"/>
      <c r="R535" s="80">
        <f t="shared" si="516"/>
        <v>0</v>
      </c>
      <c r="S535" s="80">
        <f t="shared" si="517"/>
        <v>0</v>
      </c>
      <c r="T535" s="80">
        <f t="shared" si="518"/>
        <v>0</v>
      </c>
      <c r="U535" s="80">
        <f t="shared" si="519"/>
        <v>0</v>
      </c>
      <c r="V535" s="80">
        <f t="shared" si="520"/>
        <v>0</v>
      </c>
      <c r="W535" s="80">
        <f t="shared" si="521"/>
        <v>0</v>
      </c>
      <c r="X535" s="80">
        <f t="shared" si="598"/>
        <v>500.38384798130556</v>
      </c>
      <c r="Y535" s="80">
        <f t="shared" si="599"/>
        <v>178.52578329332499</v>
      </c>
      <c r="Z535" s="80">
        <f t="shared" si="600"/>
        <v>135.58499479810897</v>
      </c>
      <c r="AA535" s="80">
        <f t="shared" si="601"/>
        <v>95.896684515176872</v>
      </c>
      <c r="AB535" s="80">
        <f t="shared" si="602"/>
        <v>1120.3207957047703</v>
      </c>
      <c r="AC535" s="80">
        <f t="shared" si="603"/>
        <v>684.45412469371092</v>
      </c>
      <c r="AD535" s="80"/>
      <c r="AE535" s="80"/>
      <c r="AF535" s="80"/>
      <c r="AG535" s="80"/>
      <c r="AH535" s="80"/>
      <c r="AI535" s="80"/>
      <c r="AJ535" s="45">
        <f t="shared" si="590"/>
        <v>0</v>
      </c>
      <c r="AK535" s="45">
        <f t="shared" si="591"/>
        <v>0</v>
      </c>
      <c r="AL535" s="45">
        <f t="shared" si="592"/>
        <v>0</v>
      </c>
      <c r="AM535" s="45">
        <f t="shared" si="593"/>
        <v>0</v>
      </c>
      <c r="AN535" s="45">
        <f t="shared" si="594"/>
        <v>0</v>
      </c>
      <c r="AO535" s="45">
        <f t="shared" si="595"/>
        <v>0</v>
      </c>
      <c r="AP535" s="80">
        <f t="shared" si="528"/>
        <v>0</v>
      </c>
      <c r="AQ535" s="80">
        <f t="shared" si="529"/>
        <v>0</v>
      </c>
      <c r="AR535" s="80">
        <f t="shared" si="530"/>
        <v>0</v>
      </c>
      <c r="AS535" s="80">
        <f t="shared" si="531"/>
        <v>0</v>
      </c>
      <c r="AT535" s="80">
        <f t="shared" si="532"/>
        <v>0</v>
      </c>
      <c r="AU535" s="80">
        <f t="shared" si="533"/>
        <v>0</v>
      </c>
      <c r="AV535" s="80">
        <f t="shared" si="604"/>
        <v>77.760754556932426</v>
      </c>
      <c r="AW535" s="80">
        <f t="shared" si="605"/>
        <v>36.961312447516264</v>
      </c>
      <c r="AX535" s="80">
        <f t="shared" si="606"/>
        <v>22.992453185522749</v>
      </c>
      <c r="AY535" s="80">
        <f t="shared" si="607"/>
        <v>17.697465514629382</v>
      </c>
      <c r="AZ535" s="80">
        <f t="shared" si="608"/>
        <v>195.43788515555926</v>
      </c>
      <c r="BA535" s="80">
        <f t="shared" si="609"/>
        <v>96.14800549870813</v>
      </c>
      <c r="BB535" s="80">
        <f t="shared" si="610"/>
        <v>578.14460253823802</v>
      </c>
      <c r="BC535" s="80">
        <f t="shared" si="611"/>
        <v>215.48709574084126</v>
      </c>
      <c r="BD535" s="80">
        <f t="shared" si="612"/>
        <v>158.57744798363171</v>
      </c>
      <c r="BE535" s="80">
        <f t="shared" si="613"/>
        <v>113.59415002980626</v>
      </c>
      <c r="BF535" s="80">
        <f t="shared" si="614"/>
        <v>1315.7586808603296</v>
      </c>
      <c r="BG535" s="80">
        <f t="shared" si="615"/>
        <v>780.60213019241905</v>
      </c>
      <c r="BH535" s="49">
        <f t="shared" si="616"/>
        <v>0</v>
      </c>
      <c r="BI535" s="79">
        <f t="shared" si="617"/>
        <v>-109673.27506511378</v>
      </c>
      <c r="BJ535" s="79">
        <f t="shared" si="534"/>
        <v>168263.2543447174</v>
      </c>
      <c r="BK535" s="44">
        <f t="shared" si="618"/>
        <v>0.53422293849452696</v>
      </c>
      <c r="BL535" s="79">
        <f t="shared" si="619"/>
        <v>21991.925443079788</v>
      </c>
      <c r="BM535" s="49">
        <f t="shared" si="620"/>
        <v>190255.17978779718</v>
      </c>
      <c r="BN535" s="44">
        <f t="shared" si="621"/>
        <v>0.73474512979430373</v>
      </c>
      <c r="BO535" s="49">
        <f t="shared" si="535"/>
        <v>27967.754751760105</v>
      </c>
      <c r="BP535" s="49">
        <f t="shared" si="536"/>
        <v>196231.00909647747</v>
      </c>
      <c r="BQ535" s="44">
        <f t="shared" si="622"/>
        <v>0.78923269119093753</v>
      </c>
      <c r="BS535" s="49">
        <f t="shared" si="623"/>
        <v>109673.27506511378</v>
      </c>
      <c r="BT535" s="49">
        <f t="shared" si="514"/>
        <v>117.220001</v>
      </c>
      <c r="BU535" s="49">
        <f t="shared" si="515"/>
        <v>37.240001999999997</v>
      </c>
      <c r="BV535" s="49">
        <f t="shared" si="624"/>
        <v>0</v>
      </c>
      <c r="BW535" s="18">
        <f t="shared" si="540"/>
        <v>3450</v>
      </c>
      <c r="BX535" s="19">
        <f t="shared" si="625"/>
        <v>0.20871559633027523</v>
      </c>
      <c r="BY535" s="49">
        <f t="shared" si="626"/>
        <v>0</v>
      </c>
      <c r="BZ535" s="19">
        <f t="shared" si="627"/>
        <v>0</v>
      </c>
      <c r="CA535" s="19">
        <f t="shared" si="628"/>
        <v>0</v>
      </c>
      <c r="CB535" s="19">
        <f t="shared" si="629"/>
        <v>0</v>
      </c>
      <c r="CC535" s="19">
        <f t="shared" si="630"/>
        <v>0</v>
      </c>
      <c r="CD535" s="19">
        <f t="shared" si="631"/>
        <v>0</v>
      </c>
      <c r="CE535" s="19">
        <f t="shared" si="632"/>
        <v>0</v>
      </c>
      <c r="CF535" s="49">
        <f t="shared" si="633"/>
        <v>0</v>
      </c>
      <c r="CG535" s="49">
        <f t="shared" si="634"/>
        <v>0</v>
      </c>
      <c r="CH535" s="49">
        <f t="shared" si="635"/>
        <v>0</v>
      </c>
      <c r="CI535" s="49">
        <f t="shared" si="636"/>
        <v>0</v>
      </c>
      <c r="CJ535" s="49">
        <f t="shared" si="637"/>
        <v>0</v>
      </c>
      <c r="CK535" s="49">
        <f t="shared" si="638"/>
        <v>0</v>
      </c>
    </row>
    <row r="536" spans="2:89" ht="12.75" customHeight="1" x14ac:dyDescent="0.2">
      <c r="B536" s="77">
        <v>42750</v>
      </c>
      <c r="C536" s="79">
        <v>116.910004</v>
      </c>
      <c r="D536" s="79">
        <v>93.239998</v>
      </c>
      <c r="E536" s="79">
        <v>98.25</v>
      </c>
      <c r="F536" s="79">
        <v>121.379997</v>
      </c>
      <c r="G536" s="79">
        <v>37.619999</v>
      </c>
      <c r="H536" s="79">
        <v>37.020000000000003</v>
      </c>
      <c r="I536" s="79"/>
      <c r="J536" s="78">
        <f>IF(inter=Weekly_2,J535+$C$5,IF(inter=Bi_weekly_2,J534+$C$5,IF(inter=Monthly_2,0,IF(inter=Quarterly_2,J523+$C$5,IF(inter=Yearly_2,0,IF(inter=None_2,0,0))))))</f>
        <v>168200</v>
      </c>
      <c r="K536" s="79">
        <f t="shared" si="541"/>
        <v>-370.12233097016724</v>
      </c>
      <c r="L536" s="79">
        <f t="shared" si="542"/>
        <v>-174.25632278194462</v>
      </c>
      <c r="M536" s="79">
        <f t="shared" si="543"/>
        <v>-134.77426108579493</v>
      </c>
      <c r="N536" s="79">
        <f t="shared" si="544"/>
        <v>-134.06072123788545</v>
      </c>
      <c r="O536" s="79">
        <f t="shared" si="545"/>
        <v>96.467214092663198</v>
      </c>
      <c r="P536" s="79">
        <f t="shared" si="546"/>
        <v>108.49169616118161</v>
      </c>
      <c r="Q536" s="79"/>
      <c r="R536" s="80">
        <f t="shared" si="516"/>
        <v>3.1658739056254523</v>
      </c>
      <c r="S536" s="80">
        <f t="shared" si="517"/>
        <v>1.8689009708252526</v>
      </c>
      <c r="T536" s="80">
        <f t="shared" si="518"/>
        <v>1.3717482044355718</v>
      </c>
      <c r="U536" s="80">
        <f t="shared" si="519"/>
        <v>1.1044712848187452</v>
      </c>
      <c r="V536" s="80">
        <f t="shared" si="520"/>
        <v>-2.5642534996522248</v>
      </c>
      <c r="W536" s="80">
        <f t="shared" si="521"/>
        <v>-2.9306238833382388</v>
      </c>
      <c r="X536" s="80">
        <f t="shared" si="598"/>
        <v>503.54972188693102</v>
      </c>
      <c r="Y536" s="80">
        <f t="shared" si="599"/>
        <v>180.39468426415024</v>
      </c>
      <c r="Z536" s="80">
        <f t="shared" si="600"/>
        <v>136.95674300254453</v>
      </c>
      <c r="AA536" s="80">
        <f t="shared" si="601"/>
        <v>97.001155799995615</v>
      </c>
      <c r="AB536" s="80">
        <f t="shared" si="602"/>
        <v>1117.756542205118</v>
      </c>
      <c r="AC536" s="80">
        <f t="shared" si="603"/>
        <v>681.52350081037264</v>
      </c>
      <c r="AD536" s="80"/>
      <c r="AE536" s="80"/>
      <c r="AF536" s="80"/>
      <c r="AG536" s="80"/>
      <c r="AH536" s="80"/>
      <c r="AI536" s="80"/>
      <c r="AJ536" s="45">
        <f t="shared" si="590"/>
        <v>0</v>
      </c>
      <c r="AK536" s="45">
        <f t="shared" si="591"/>
        <v>0</v>
      </c>
      <c r="AL536" s="45">
        <f t="shared" si="592"/>
        <v>0</v>
      </c>
      <c r="AM536" s="45">
        <f t="shared" si="593"/>
        <v>0</v>
      </c>
      <c r="AN536" s="45">
        <f t="shared" si="594"/>
        <v>0</v>
      </c>
      <c r="AO536" s="45">
        <f t="shared" si="595"/>
        <v>0</v>
      </c>
      <c r="AP536" s="80">
        <f t="shared" si="528"/>
        <v>0</v>
      </c>
      <c r="AQ536" s="80">
        <f t="shared" si="529"/>
        <v>0</v>
      </c>
      <c r="AR536" s="80">
        <f t="shared" si="530"/>
        <v>0</v>
      </c>
      <c r="AS536" s="80">
        <f t="shared" si="531"/>
        <v>0</v>
      </c>
      <c r="AT536" s="80">
        <f t="shared" si="532"/>
        <v>0</v>
      </c>
      <c r="AU536" s="80">
        <f t="shared" si="533"/>
        <v>0</v>
      </c>
      <c r="AV536" s="80">
        <f t="shared" si="604"/>
        <v>77.760754556932426</v>
      </c>
      <c r="AW536" s="80">
        <f t="shared" si="605"/>
        <v>36.961312447516264</v>
      </c>
      <c r="AX536" s="80">
        <f t="shared" si="606"/>
        <v>22.992453185522749</v>
      </c>
      <c r="AY536" s="80">
        <f t="shared" si="607"/>
        <v>17.697465514629382</v>
      </c>
      <c r="AZ536" s="80">
        <f t="shared" si="608"/>
        <v>195.43788515555926</v>
      </c>
      <c r="BA536" s="80">
        <f t="shared" si="609"/>
        <v>96.14800549870813</v>
      </c>
      <c r="BB536" s="80">
        <f t="shared" si="610"/>
        <v>581.31047644386342</v>
      </c>
      <c r="BC536" s="80">
        <f t="shared" si="611"/>
        <v>217.35599671166651</v>
      </c>
      <c r="BD536" s="80">
        <f t="shared" si="612"/>
        <v>159.94919618806728</v>
      </c>
      <c r="BE536" s="80">
        <f t="shared" si="613"/>
        <v>114.698621314625</v>
      </c>
      <c r="BF536" s="80">
        <f t="shared" si="614"/>
        <v>1313.1944273606773</v>
      </c>
      <c r="BG536" s="80">
        <f t="shared" si="615"/>
        <v>777.67150630908077</v>
      </c>
      <c r="BH536" s="49">
        <f t="shared" si="616"/>
        <v>0</v>
      </c>
      <c r="BI536" s="79">
        <f t="shared" si="617"/>
        <v>-110281.52979093572</v>
      </c>
      <c r="BJ536" s="79">
        <f t="shared" si="534"/>
        <v>168200</v>
      </c>
      <c r="BK536" s="44">
        <f t="shared" si="618"/>
        <v>0.52518740281225895</v>
      </c>
      <c r="BL536" s="79">
        <f t="shared" si="619"/>
        <v>21991.925443079788</v>
      </c>
      <c r="BM536" s="49">
        <f t="shared" si="620"/>
        <v>190191.92544307979</v>
      </c>
      <c r="BN536" s="44">
        <f t="shared" si="621"/>
        <v>0.72460361951482533</v>
      </c>
      <c r="BO536" s="49">
        <f t="shared" si="535"/>
        <v>27856.181869205135</v>
      </c>
      <c r="BP536" s="49">
        <f t="shared" si="536"/>
        <v>196056.18186920515</v>
      </c>
      <c r="BQ536" s="44">
        <f t="shared" si="622"/>
        <v>0.7777789466728946</v>
      </c>
      <c r="BS536" s="49">
        <f t="shared" si="623"/>
        <v>110281.52979093572</v>
      </c>
      <c r="BT536" s="49">
        <f t="shared" ref="BT536:BT599" si="639">C536</f>
        <v>116.910004</v>
      </c>
      <c r="BU536" s="49">
        <f t="shared" ref="BU536:BU599" si="640">H536</f>
        <v>37.020000000000003</v>
      </c>
      <c r="BV536" s="49">
        <f t="shared" si="624"/>
        <v>608.25472582194743</v>
      </c>
      <c r="BW536" s="18">
        <f t="shared" si="540"/>
        <v>3457</v>
      </c>
      <c r="BX536" s="19">
        <f t="shared" si="625"/>
        <v>0.20711009174311926</v>
      </c>
      <c r="BY536" s="49">
        <f t="shared" si="626"/>
        <v>125.97569206816938</v>
      </c>
      <c r="BZ536" s="19">
        <f t="shared" si="627"/>
        <v>3.1658739056254523</v>
      </c>
      <c r="CA536" s="19">
        <f t="shared" si="628"/>
        <v>1.8689009708252526</v>
      </c>
      <c r="CB536" s="19">
        <f t="shared" si="629"/>
        <v>1.3717482044355718</v>
      </c>
      <c r="CC536" s="19">
        <f t="shared" si="630"/>
        <v>1.1044712848187452</v>
      </c>
      <c r="CD536" s="19">
        <f t="shared" si="631"/>
        <v>0</v>
      </c>
      <c r="CE536" s="19">
        <f t="shared" si="632"/>
        <v>0</v>
      </c>
      <c r="CF536" s="49">
        <f t="shared" si="633"/>
        <v>-370.12233097016724</v>
      </c>
      <c r="CG536" s="49">
        <f t="shared" si="634"/>
        <v>-174.25632278194462</v>
      </c>
      <c r="CH536" s="49">
        <f t="shared" si="635"/>
        <v>-134.77426108579493</v>
      </c>
      <c r="CI536" s="49">
        <f t="shared" si="636"/>
        <v>-134.06072123788545</v>
      </c>
      <c r="CJ536" s="49">
        <f t="shared" si="637"/>
        <v>0</v>
      </c>
      <c r="CK536" s="49">
        <f t="shared" si="638"/>
        <v>0</v>
      </c>
    </row>
    <row r="537" spans="2:89" ht="12.75" customHeight="1" x14ac:dyDescent="0.2">
      <c r="B537" s="77">
        <v>42757</v>
      </c>
      <c r="C537" s="79">
        <v>118.160004</v>
      </c>
      <c r="D537" s="79">
        <v>94.110000999999997</v>
      </c>
      <c r="E537" s="79">
        <v>99.470000999999996</v>
      </c>
      <c r="F537" s="79">
        <v>122.769997</v>
      </c>
      <c r="G537" s="79">
        <v>38.020000000000003</v>
      </c>
      <c r="H537" s="79">
        <v>38.009998000000003</v>
      </c>
      <c r="I537" s="79"/>
      <c r="J537" s="78">
        <f>IF(inter=Weekly_2,J536+$C$5,IF(inter=Bi_weekly_2,0,IF(inter=Monthly_2,0,IF(inter=Quarterly_2,0,IF(inter=Yearly_2,0,IF(inter=None_2,0,0))))))</f>
        <v>0</v>
      </c>
      <c r="K537" s="79">
        <f t="shared" si="541"/>
        <v>0</v>
      </c>
      <c r="L537" s="79">
        <f t="shared" si="542"/>
        <v>0</v>
      </c>
      <c r="M537" s="79">
        <f t="shared" si="543"/>
        <v>0</v>
      </c>
      <c r="N537" s="79">
        <f t="shared" si="544"/>
        <v>0</v>
      </c>
      <c r="O537" s="79">
        <f t="shared" si="545"/>
        <v>0</v>
      </c>
      <c r="P537" s="79">
        <f t="shared" si="546"/>
        <v>0</v>
      </c>
      <c r="Q537" s="79"/>
      <c r="R537" s="80">
        <f t="shared" si="516"/>
        <v>0</v>
      </c>
      <c r="S537" s="80">
        <f t="shared" si="517"/>
        <v>0</v>
      </c>
      <c r="T537" s="80">
        <f t="shared" si="518"/>
        <v>0</v>
      </c>
      <c r="U537" s="80">
        <f t="shared" si="519"/>
        <v>0</v>
      </c>
      <c r="V537" s="80">
        <f t="shared" si="520"/>
        <v>0</v>
      </c>
      <c r="W537" s="80">
        <f t="shared" si="521"/>
        <v>0</v>
      </c>
      <c r="X537" s="80">
        <f t="shared" si="598"/>
        <v>503.54972188693102</v>
      </c>
      <c r="Y537" s="80">
        <f t="shared" si="599"/>
        <v>180.39468426415024</v>
      </c>
      <c r="Z537" s="80">
        <f t="shared" si="600"/>
        <v>136.95674300254453</v>
      </c>
      <c r="AA537" s="80">
        <f t="shared" si="601"/>
        <v>97.001155799995615</v>
      </c>
      <c r="AB537" s="80">
        <f t="shared" si="602"/>
        <v>1117.756542205118</v>
      </c>
      <c r="AC537" s="80">
        <f t="shared" si="603"/>
        <v>681.52350081037264</v>
      </c>
      <c r="AD537" s="80"/>
      <c r="AE537" s="80"/>
      <c r="AF537" s="80"/>
      <c r="AG537" s="80"/>
      <c r="AH537" s="80"/>
      <c r="AI537" s="80"/>
      <c r="AJ537" s="45">
        <f t="shared" si="590"/>
        <v>0</v>
      </c>
      <c r="AK537" s="45">
        <f t="shared" si="591"/>
        <v>0</v>
      </c>
      <c r="AL537" s="45">
        <f t="shared" si="592"/>
        <v>0</v>
      </c>
      <c r="AM537" s="45">
        <f t="shared" si="593"/>
        <v>0</v>
      </c>
      <c r="AN537" s="45">
        <f t="shared" si="594"/>
        <v>0</v>
      </c>
      <c r="AO537" s="45">
        <f t="shared" si="595"/>
        <v>0</v>
      </c>
      <c r="AP537" s="80">
        <f t="shared" si="528"/>
        <v>0</v>
      </c>
      <c r="AQ537" s="80">
        <f t="shared" si="529"/>
        <v>0</v>
      </c>
      <c r="AR537" s="80">
        <f t="shared" si="530"/>
        <v>0</v>
      </c>
      <c r="AS537" s="80">
        <f t="shared" si="531"/>
        <v>0</v>
      </c>
      <c r="AT537" s="80">
        <f t="shared" si="532"/>
        <v>0</v>
      </c>
      <c r="AU537" s="80">
        <f t="shared" si="533"/>
        <v>0</v>
      </c>
      <c r="AV537" s="80">
        <f t="shared" si="604"/>
        <v>77.760754556932426</v>
      </c>
      <c r="AW537" s="80">
        <f t="shared" si="605"/>
        <v>36.961312447516264</v>
      </c>
      <c r="AX537" s="80">
        <f t="shared" si="606"/>
        <v>22.992453185522749</v>
      </c>
      <c r="AY537" s="80">
        <f t="shared" si="607"/>
        <v>17.697465514629382</v>
      </c>
      <c r="AZ537" s="80">
        <f t="shared" si="608"/>
        <v>195.43788515555926</v>
      </c>
      <c r="BA537" s="80">
        <f t="shared" si="609"/>
        <v>96.14800549870813</v>
      </c>
      <c r="BB537" s="80">
        <f t="shared" si="610"/>
        <v>581.31047644386342</v>
      </c>
      <c r="BC537" s="80">
        <f t="shared" si="611"/>
        <v>217.35599671166651</v>
      </c>
      <c r="BD537" s="80">
        <f t="shared" si="612"/>
        <v>159.94919618806728</v>
      </c>
      <c r="BE537" s="80">
        <f t="shared" si="613"/>
        <v>114.698621314625</v>
      </c>
      <c r="BF537" s="80">
        <f t="shared" si="614"/>
        <v>1313.1944273606773</v>
      </c>
      <c r="BG537" s="80">
        <f t="shared" si="615"/>
        <v>777.67150630908077</v>
      </c>
      <c r="BH537" s="49">
        <f t="shared" si="616"/>
        <v>0</v>
      </c>
      <c r="BI537" s="79">
        <f t="shared" si="617"/>
        <v>-110281.52979093572</v>
      </c>
      <c r="BJ537" s="79">
        <f t="shared" si="534"/>
        <v>170410.11067622819</v>
      </c>
      <c r="BK537" s="44">
        <f t="shared" si="618"/>
        <v>0.54522802684438787</v>
      </c>
      <c r="BL537" s="79">
        <f t="shared" si="619"/>
        <v>21991.925443079788</v>
      </c>
      <c r="BM537" s="49">
        <f t="shared" si="620"/>
        <v>192402.03611930797</v>
      </c>
      <c r="BN537" s="44">
        <f t="shared" si="621"/>
        <v>0.74464424354695447</v>
      </c>
      <c r="BO537" s="49">
        <f t="shared" si="535"/>
        <v>28211.551240706525</v>
      </c>
      <c r="BP537" s="49">
        <f t="shared" si="536"/>
        <v>198621.66191693477</v>
      </c>
      <c r="BQ537" s="44">
        <f t="shared" si="622"/>
        <v>0.80104195411025136</v>
      </c>
      <c r="BS537" s="49">
        <f t="shared" si="623"/>
        <v>110281.52979093572</v>
      </c>
      <c r="BT537" s="49">
        <f t="shared" si="639"/>
        <v>118.160004</v>
      </c>
      <c r="BU537" s="49">
        <f t="shared" si="640"/>
        <v>38.009998000000003</v>
      </c>
      <c r="BV537" s="49">
        <f t="shared" si="624"/>
        <v>0</v>
      </c>
      <c r="BW537" s="18">
        <f t="shared" si="540"/>
        <v>3464</v>
      </c>
      <c r="BX537" s="19">
        <f t="shared" si="625"/>
        <v>0.20550458715596331</v>
      </c>
      <c r="BY537" s="49">
        <f t="shared" si="626"/>
        <v>0</v>
      </c>
      <c r="BZ537" s="19">
        <f t="shared" si="627"/>
        <v>0</v>
      </c>
      <c r="CA537" s="19">
        <f t="shared" si="628"/>
        <v>0</v>
      </c>
      <c r="CB537" s="19">
        <f t="shared" si="629"/>
        <v>0</v>
      </c>
      <c r="CC537" s="19">
        <f t="shared" si="630"/>
        <v>0</v>
      </c>
      <c r="CD537" s="19">
        <f t="shared" si="631"/>
        <v>0</v>
      </c>
      <c r="CE537" s="19">
        <f t="shared" si="632"/>
        <v>0</v>
      </c>
      <c r="CF537" s="49">
        <f t="shared" si="633"/>
        <v>0</v>
      </c>
      <c r="CG537" s="49">
        <f t="shared" si="634"/>
        <v>0</v>
      </c>
      <c r="CH537" s="49">
        <f t="shared" si="635"/>
        <v>0</v>
      </c>
      <c r="CI537" s="49">
        <f t="shared" si="636"/>
        <v>0</v>
      </c>
      <c r="CJ537" s="49">
        <f t="shared" si="637"/>
        <v>0</v>
      </c>
      <c r="CK537" s="49">
        <f t="shared" si="638"/>
        <v>0</v>
      </c>
    </row>
    <row r="538" spans="2:89" ht="12.75" customHeight="1" x14ac:dyDescent="0.2">
      <c r="B538" s="77">
        <v>42764</v>
      </c>
      <c r="C538" s="79">
        <v>118.41999800000001</v>
      </c>
      <c r="D538" s="79">
        <v>94.080001999999993</v>
      </c>
      <c r="E538" s="79">
        <v>100.400002</v>
      </c>
      <c r="F538" s="79">
        <v>123.099998</v>
      </c>
      <c r="G538" s="79">
        <v>38.229999999999997</v>
      </c>
      <c r="H538" s="79">
        <v>38.290000999999997</v>
      </c>
      <c r="I538" s="79"/>
      <c r="J538" s="78">
        <f>IF(inter=Weekly_2,J537+$C$5,IF(inter=Bi_weekly_2,J536+$C$5,IF(inter=Monthly_2,J534+$C$5,IF(inter=Quarterly_2,0,IF(inter=Yearly_2,0,IF(inter=None_2,0,0))))))</f>
        <v>168800</v>
      </c>
      <c r="K538" s="79">
        <f t="shared" si="541"/>
        <v>550.35705875093845</v>
      </c>
      <c r="L538" s="79">
        <f t="shared" si="542"/>
        <v>91.532256360620522</v>
      </c>
      <c r="M538" s="79">
        <f t="shared" si="543"/>
        <v>246.45727136895584</v>
      </c>
      <c r="N538" s="79">
        <f t="shared" si="544"/>
        <v>124.84208497714644</v>
      </c>
      <c r="O538" s="79">
        <f t="shared" si="545"/>
        <v>531.83260850165971</v>
      </c>
      <c r="P538" s="79">
        <f t="shared" si="546"/>
        <v>775.53552755266719</v>
      </c>
      <c r="Q538" s="79"/>
      <c r="R538" s="80">
        <f t="shared" si="516"/>
        <v>-4.6475009968412468</v>
      </c>
      <c r="S538" s="80">
        <f t="shared" si="517"/>
        <v>-0.97291937090541869</v>
      </c>
      <c r="T538" s="80">
        <f t="shared" si="518"/>
        <v>-2.4547536499945073</v>
      </c>
      <c r="U538" s="80">
        <f t="shared" si="519"/>
        <v>-1.0141518034561336</v>
      </c>
      <c r="V538" s="80">
        <f t="shared" si="520"/>
        <v>-13.911394415424006</v>
      </c>
      <c r="W538" s="80">
        <f t="shared" si="521"/>
        <v>-20.254257176767045</v>
      </c>
      <c r="X538" s="80">
        <f t="shared" si="598"/>
        <v>498.90222089008978</v>
      </c>
      <c r="Y538" s="80">
        <f t="shared" si="599"/>
        <v>179.42176489324481</v>
      </c>
      <c r="Z538" s="80">
        <f t="shared" si="600"/>
        <v>134.50198935255003</v>
      </c>
      <c r="AA538" s="80">
        <f t="shared" si="601"/>
        <v>95.987003996539485</v>
      </c>
      <c r="AB538" s="80">
        <f t="shared" si="602"/>
        <v>1103.845147789694</v>
      </c>
      <c r="AC538" s="80">
        <f t="shared" si="603"/>
        <v>661.26924363360558</v>
      </c>
      <c r="AD538" s="80"/>
      <c r="AE538" s="80"/>
      <c r="AF538" s="80"/>
      <c r="AG538" s="80"/>
      <c r="AH538" s="80"/>
      <c r="AI538" s="80"/>
      <c r="AJ538" s="45">
        <f t="shared" si="590"/>
        <v>0</v>
      </c>
      <c r="AK538" s="45">
        <f t="shared" si="591"/>
        <v>0</v>
      </c>
      <c r="AL538" s="45">
        <f t="shared" si="592"/>
        <v>0</v>
      </c>
      <c r="AM538" s="45">
        <f t="shared" si="593"/>
        <v>0</v>
      </c>
      <c r="AN538" s="45">
        <f t="shared" si="594"/>
        <v>0</v>
      </c>
      <c r="AO538" s="45">
        <f t="shared" si="595"/>
        <v>0</v>
      </c>
      <c r="AP538" s="80">
        <f t="shared" si="528"/>
        <v>0</v>
      </c>
      <c r="AQ538" s="80">
        <f t="shared" si="529"/>
        <v>0</v>
      </c>
      <c r="AR538" s="80">
        <f t="shared" si="530"/>
        <v>0</v>
      </c>
      <c r="AS538" s="80">
        <f t="shared" si="531"/>
        <v>0</v>
      </c>
      <c r="AT538" s="80">
        <f t="shared" si="532"/>
        <v>0</v>
      </c>
      <c r="AU538" s="80">
        <f t="shared" si="533"/>
        <v>0</v>
      </c>
      <c r="AV538" s="80">
        <f t="shared" si="604"/>
        <v>77.760754556932426</v>
      </c>
      <c r="AW538" s="80">
        <f t="shared" si="605"/>
        <v>36.961312447516264</v>
      </c>
      <c r="AX538" s="80">
        <f t="shared" si="606"/>
        <v>22.992453185522749</v>
      </c>
      <c r="AY538" s="80">
        <f t="shared" si="607"/>
        <v>17.697465514629382</v>
      </c>
      <c r="AZ538" s="80">
        <f t="shared" si="608"/>
        <v>195.43788515555926</v>
      </c>
      <c r="BA538" s="80">
        <f t="shared" si="609"/>
        <v>96.14800549870813</v>
      </c>
      <c r="BB538" s="80">
        <f t="shared" si="610"/>
        <v>576.66297544702218</v>
      </c>
      <c r="BC538" s="80">
        <f t="shared" si="611"/>
        <v>216.38307734076108</v>
      </c>
      <c r="BD538" s="80">
        <f t="shared" si="612"/>
        <v>157.49444253807278</v>
      </c>
      <c r="BE538" s="80">
        <f t="shared" si="613"/>
        <v>113.68446951116887</v>
      </c>
      <c r="BF538" s="80">
        <f t="shared" si="614"/>
        <v>1299.2830329452534</v>
      </c>
      <c r="BG538" s="80">
        <f t="shared" si="615"/>
        <v>757.41724913231371</v>
      </c>
      <c r="BH538" s="49">
        <f t="shared" si="616"/>
        <v>0</v>
      </c>
      <c r="BI538" s="79">
        <f t="shared" si="617"/>
        <v>-107960.97298342374</v>
      </c>
      <c r="BJ538" s="79">
        <f t="shared" si="534"/>
        <v>168800</v>
      </c>
      <c r="BK538" s="44">
        <f t="shared" si="618"/>
        <v>0.56352796140432582</v>
      </c>
      <c r="BL538" s="79">
        <f t="shared" si="619"/>
        <v>21991.925443079788</v>
      </c>
      <c r="BM538" s="49">
        <f t="shared" si="620"/>
        <v>190791.92544307979</v>
      </c>
      <c r="BN538" s="44">
        <f t="shared" si="621"/>
        <v>0.76723051090298955</v>
      </c>
      <c r="BO538" s="49">
        <f t="shared" si="535"/>
        <v>28325.846639553289</v>
      </c>
      <c r="BP538" s="49">
        <f t="shared" si="536"/>
        <v>197125.84663955329</v>
      </c>
      <c r="BQ538" s="44">
        <f t="shared" si="622"/>
        <v>0.82589912995522807</v>
      </c>
      <c r="BS538" s="49">
        <f t="shared" si="623"/>
        <v>107960.97298342374</v>
      </c>
      <c r="BT538" s="49">
        <f t="shared" si="639"/>
        <v>118.41999800000001</v>
      </c>
      <c r="BU538" s="49">
        <f t="shared" si="640"/>
        <v>38.290000999999997</v>
      </c>
      <c r="BV538" s="49">
        <f t="shared" si="624"/>
        <v>-2320.5568075119882</v>
      </c>
      <c r="BW538" s="18">
        <f t="shared" si="540"/>
        <v>3471</v>
      </c>
      <c r="BX538" s="19">
        <f t="shared" si="625"/>
        <v>0.20389908256880734</v>
      </c>
      <c r="BY538" s="49">
        <f t="shared" si="626"/>
        <v>-473.15940410049484</v>
      </c>
      <c r="BZ538" s="19">
        <f t="shared" si="627"/>
        <v>0</v>
      </c>
      <c r="CA538" s="19">
        <f t="shared" si="628"/>
        <v>0</v>
      </c>
      <c r="CB538" s="19">
        <f t="shared" si="629"/>
        <v>0</v>
      </c>
      <c r="CC538" s="19">
        <f t="shared" si="630"/>
        <v>0</v>
      </c>
      <c r="CD538" s="19">
        <f t="shared" si="631"/>
        <v>0</v>
      </c>
      <c r="CE538" s="19">
        <f t="shared" si="632"/>
        <v>0</v>
      </c>
      <c r="CF538" s="49">
        <f t="shared" si="633"/>
        <v>0</v>
      </c>
      <c r="CG538" s="49">
        <f t="shared" si="634"/>
        <v>0</v>
      </c>
      <c r="CH538" s="49">
        <f t="shared" si="635"/>
        <v>0</v>
      </c>
      <c r="CI538" s="49">
        <f t="shared" si="636"/>
        <v>0</v>
      </c>
      <c r="CJ538" s="49">
        <f t="shared" si="637"/>
        <v>0</v>
      </c>
      <c r="CK538" s="49">
        <f t="shared" si="638"/>
        <v>0</v>
      </c>
    </row>
    <row r="539" spans="2:89" ht="12.75" customHeight="1" x14ac:dyDescent="0.2">
      <c r="B539" s="77">
        <v>42771</v>
      </c>
      <c r="C539" s="79">
        <v>119.540001</v>
      </c>
      <c r="D539" s="79">
        <v>94.660004000000001</v>
      </c>
      <c r="E539" s="79">
        <v>101.239998</v>
      </c>
      <c r="F539" s="79">
        <v>123.949997</v>
      </c>
      <c r="G539" s="79">
        <v>38.259998000000003</v>
      </c>
      <c r="H539" s="79">
        <v>38.909999999999997</v>
      </c>
      <c r="I539" s="79"/>
      <c r="J539" s="78">
        <f>IF(inter=Weekly_2,J538+$C$5,IF(inter=Bi_weekly_2,0,IF(inter=Monthly_2,0,IF(inter=Quarterly_2,0,IF(inter=Yearly_2,0,IF(inter=None_2,0,0))))))</f>
        <v>0</v>
      </c>
      <c r="K539" s="79">
        <f t="shared" si="541"/>
        <v>0</v>
      </c>
      <c r="L539" s="79">
        <f t="shared" si="542"/>
        <v>0</v>
      </c>
      <c r="M539" s="79">
        <f t="shared" si="543"/>
        <v>0</v>
      </c>
      <c r="N539" s="79">
        <f t="shared" si="544"/>
        <v>0</v>
      </c>
      <c r="O539" s="79">
        <f t="shared" si="545"/>
        <v>0</v>
      </c>
      <c r="P539" s="79">
        <f t="shared" si="546"/>
        <v>0</v>
      </c>
      <c r="Q539" s="79"/>
      <c r="R539" s="80">
        <f t="shared" si="516"/>
        <v>0</v>
      </c>
      <c r="S539" s="80">
        <f t="shared" si="517"/>
        <v>0</v>
      </c>
      <c r="T539" s="80">
        <f t="shared" si="518"/>
        <v>0</v>
      </c>
      <c r="U539" s="80">
        <f t="shared" si="519"/>
        <v>0</v>
      </c>
      <c r="V539" s="80">
        <f t="shared" si="520"/>
        <v>0</v>
      </c>
      <c r="W539" s="80">
        <f t="shared" si="521"/>
        <v>0</v>
      </c>
      <c r="X539" s="80">
        <f t="shared" si="598"/>
        <v>498.90222089008978</v>
      </c>
      <c r="Y539" s="80">
        <f t="shared" si="599"/>
        <v>179.42176489324481</v>
      </c>
      <c r="Z539" s="80">
        <f t="shared" si="600"/>
        <v>134.50198935255003</v>
      </c>
      <c r="AA539" s="80">
        <f t="shared" si="601"/>
        <v>95.987003996539485</v>
      </c>
      <c r="AB539" s="80">
        <f t="shared" si="602"/>
        <v>1103.845147789694</v>
      </c>
      <c r="AC539" s="80">
        <f t="shared" si="603"/>
        <v>661.26924363360558</v>
      </c>
      <c r="AD539" s="80"/>
      <c r="AE539" s="80"/>
      <c r="AF539" s="80"/>
      <c r="AG539" s="80"/>
      <c r="AH539" s="80"/>
      <c r="AI539" s="80"/>
      <c r="AJ539" s="45">
        <f t="shared" si="590"/>
        <v>0</v>
      </c>
      <c r="AK539" s="45">
        <f t="shared" si="591"/>
        <v>0</v>
      </c>
      <c r="AL539" s="45">
        <f t="shared" si="592"/>
        <v>0</v>
      </c>
      <c r="AM539" s="45">
        <f t="shared" si="593"/>
        <v>0</v>
      </c>
      <c r="AN539" s="45">
        <f t="shared" si="594"/>
        <v>0</v>
      </c>
      <c r="AO539" s="45">
        <f t="shared" si="595"/>
        <v>0</v>
      </c>
      <c r="AP539" s="80">
        <f t="shared" si="528"/>
        <v>0</v>
      </c>
      <c r="AQ539" s="80">
        <f t="shared" si="529"/>
        <v>0</v>
      </c>
      <c r="AR539" s="80">
        <f t="shared" si="530"/>
        <v>0</v>
      </c>
      <c r="AS539" s="80">
        <f t="shared" si="531"/>
        <v>0</v>
      </c>
      <c r="AT539" s="80">
        <f t="shared" si="532"/>
        <v>0</v>
      </c>
      <c r="AU539" s="80">
        <f t="shared" si="533"/>
        <v>0</v>
      </c>
      <c r="AV539" s="80">
        <f t="shared" si="604"/>
        <v>77.760754556932426</v>
      </c>
      <c r="AW539" s="80">
        <f t="shared" si="605"/>
        <v>36.961312447516264</v>
      </c>
      <c r="AX539" s="80">
        <f t="shared" si="606"/>
        <v>22.992453185522749</v>
      </c>
      <c r="AY539" s="80">
        <f t="shared" si="607"/>
        <v>17.697465514629382</v>
      </c>
      <c r="AZ539" s="80">
        <f t="shared" si="608"/>
        <v>195.43788515555926</v>
      </c>
      <c r="BA539" s="80">
        <f t="shared" si="609"/>
        <v>96.14800549870813</v>
      </c>
      <c r="BB539" s="80">
        <f t="shared" si="610"/>
        <v>576.66297544702218</v>
      </c>
      <c r="BC539" s="80">
        <f t="shared" si="611"/>
        <v>216.38307734076108</v>
      </c>
      <c r="BD539" s="80">
        <f t="shared" si="612"/>
        <v>157.49444253807278</v>
      </c>
      <c r="BE539" s="80">
        <f t="shared" si="613"/>
        <v>113.68446951116887</v>
      </c>
      <c r="BF539" s="80">
        <f t="shared" si="614"/>
        <v>1299.2830329452534</v>
      </c>
      <c r="BG539" s="80">
        <f t="shared" si="615"/>
        <v>757.41724913231371</v>
      </c>
      <c r="BH539" s="49">
        <f t="shared" si="616"/>
        <v>0</v>
      </c>
      <c r="BI539" s="79">
        <f t="shared" si="617"/>
        <v>-107960.97298342374</v>
      </c>
      <c r="BJ539" s="79">
        <f t="shared" si="534"/>
        <v>170100.50637357042</v>
      </c>
      <c r="BK539" s="44">
        <f t="shared" si="618"/>
        <v>0.57557404007175395</v>
      </c>
      <c r="BL539" s="79">
        <f t="shared" si="619"/>
        <v>21991.925443079788</v>
      </c>
      <c r="BM539" s="49">
        <f t="shared" si="620"/>
        <v>192092.43181665021</v>
      </c>
      <c r="BN539" s="44">
        <f t="shared" si="621"/>
        <v>0.7792765895704179</v>
      </c>
      <c r="BO539" s="49">
        <f t="shared" si="535"/>
        <v>28534.207362717585</v>
      </c>
      <c r="BP539" s="49">
        <f t="shared" si="536"/>
        <v>198634.71373628802</v>
      </c>
      <c r="BQ539" s="44">
        <f t="shared" si="622"/>
        <v>0.83987517199188511</v>
      </c>
      <c r="BS539" s="49">
        <f t="shared" si="623"/>
        <v>107960.97298342374</v>
      </c>
      <c r="BT539" s="49">
        <f t="shared" si="639"/>
        <v>119.540001</v>
      </c>
      <c r="BU539" s="49">
        <f t="shared" si="640"/>
        <v>38.909999999999997</v>
      </c>
      <c r="BV539" s="49">
        <f t="shared" si="624"/>
        <v>0</v>
      </c>
      <c r="BW539" s="18">
        <f t="shared" si="540"/>
        <v>3478</v>
      </c>
      <c r="BX539" s="19">
        <f t="shared" si="625"/>
        <v>0.20229357798165137</v>
      </c>
      <c r="BY539" s="49">
        <f t="shared" si="626"/>
        <v>0</v>
      </c>
      <c r="BZ539" s="19">
        <f t="shared" si="627"/>
        <v>0</v>
      </c>
      <c r="CA539" s="19">
        <f t="shared" si="628"/>
        <v>0</v>
      </c>
      <c r="CB539" s="19">
        <f t="shared" si="629"/>
        <v>0</v>
      </c>
      <c r="CC539" s="19">
        <f t="shared" si="630"/>
        <v>0</v>
      </c>
      <c r="CD539" s="19">
        <f t="shared" si="631"/>
        <v>0</v>
      </c>
      <c r="CE539" s="19">
        <f t="shared" si="632"/>
        <v>0</v>
      </c>
      <c r="CF539" s="49">
        <f t="shared" si="633"/>
        <v>0</v>
      </c>
      <c r="CG539" s="49">
        <f t="shared" si="634"/>
        <v>0</v>
      </c>
      <c r="CH539" s="49">
        <f t="shared" si="635"/>
        <v>0</v>
      </c>
      <c r="CI539" s="49">
        <f t="shared" si="636"/>
        <v>0</v>
      </c>
      <c r="CJ539" s="49">
        <f t="shared" si="637"/>
        <v>0</v>
      </c>
      <c r="CK539" s="49">
        <f t="shared" si="638"/>
        <v>0</v>
      </c>
    </row>
    <row r="540" spans="2:89" ht="12.75" customHeight="1" x14ac:dyDescent="0.2">
      <c r="B540" s="77">
        <v>42778</v>
      </c>
      <c r="C540" s="79">
        <v>121.30999799999999</v>
      </c>
      <c r="D540" s="79">
        <v>96.18</v>
      </c>
      <c r="E540" s="79">
        <v>102.339996</v>
      </c>
      <c r="F540" s="79">
        <v>124.879997</v>
      </c>
      <c r="G540" s="79">
        <v>38.470001000000003</v>
      </c>
      <c r="H540" s="79">
        <v>39.169998</v>
      </c>
      <c r="I540" s="79"/>
      <c r="J540" s="78">
        <f>IF(inter=Weekly_2,J539+$C$5,IF(inter=Bi_weekly_2,J538+$C$5,IF(inter=Monthly_2,0,IF(inter=Quarterly_2,0,IF(inter=Yearly_2,0,IF(inter=None_2,0,0))))))</f>
        <v>169400</v>
      </c>
      <c r="K540" s="79">
        <f t="shared" si="541"/>
        <v>1231.8274183723552</v>
      </c>
      <c r="L540" s="79">
        <f t="shared" si="542"/>
        <v>316.78534743228738</v>
      </c>
      <c r="M540" s="79">
        <f t="shared" si="543"/>
        <v>212.93305233201136</v>
      </c>
      <c r="N540" s="79">
        <f t="shared" si="544"/>
        <v>128.85677112683697</v>
      </c>
      <c r="O540" s="79">
        <f t="shared" si="545"/>
        <v>114.92393931467814</v>
      </c>
      <c r="P540" s="79">
        <f t="shared" si="546"/>
        <v>491.91495058984219</v>
      </c>
      <c r="Q540" s="79"/>
      <c r="R540" s="80">
        <f t="shared" si="516"/>
        <v>-10.154376709925881</v>
      </c>
      <c r="S540" s="80">
        <f t="shared" si="517"/>
        <v>-3.2936717345839819</v>
      </c>
      <c r="T540" s="80">
        <f t="shared" si="518"/>
        <v>-2.0806435475335698</v>
      </c>
      <c r="U540" s="80">
        <f t="shared" si="519"/>
        <v>-1.031844764753133</v>
      </c>
      <c r="V540" s="80">
        <f t="shared" si="520"/>
        <v>-2.9873651241828179</v>
      </c>
      <c r="W540" s="80">
        <f t="shared" si="521"/>
        <v>-12.558462489322624</v>
      </c>
      <c r="X540" s="80">
        <f t="shared" si="598"/>
        <v>488.7478441801639</v>
      </c>
      <c r="Y540" s="80">
        <f t="shared" si="599"/>
        <v>176.12809315866082</v>
      </c>
      <c r="Z540" s="80">
        <f t="shared" si="600"/>
        <v>132.42134580501644</v>
      </c>
      <c r="AA540" s="80">
        <f t="shared" si="601"/>
        <v>94.955159231786354</v>
      </c>
      <c r="AB540" s="80">
        <f t="shared" si="602"/>
        <v>1100.8577826655112</v>
      </c>
      <c r="AC540" s="80">
        <f t="shared" si="603"/>
        <v>648.71078114428292</v>
      </c>
      <c r="AD540" s="80"/>
      <c r="AE540" s="80"/>
      <c r="AF540" s="80"/>
      <c r="AG540" s="80"/>
      <c r="AH540" s="80"/>
      <c r="AI540" s="80"/>
      <c r="AJ540" s="45">
        <f t="shared" si="590"/>
        <v>0</v>
      </c>
      <c r="AK540" s="45">
        <f t="shared" si="591"/>
        <v>0</v>
      </c>
      <c r="AL540" s="45">
        <f t="shared" si="592"/>
        <v>0</v>
      </c>
      <c r="AM540" s="45">
        <f t="shared" si="593"/>
        <v>0</v>
      </c>
      <c r="AN540" s="45">
        <f t="shared" si="594"/>
        <v>0</v>
      </c>
      <c r="AO540" s="45">
        <f t="shared" si="595"/>
        <v>0</v>
      </c>
      <c r="AP540" s="80">
        <f t="shared" si="528"/>
        <v>0</v>
      </c>
      <c r="AQ540" s="80">
        <f t="shared" si="529"/>
        <v>0</v>
      </c>
      <c r="AR540" s="80">
        <f t="shared" si="530"/>
        <v>0</v>
      </c>
      <c r="AS540" s="80">
        <f t="shared" si="531"/>
        <v>0</v>
      </c>
      <c r="AT540" s="80">
        <f t="shared" si="532"/>
        <v>0</v>
      </c>
      <c r="AU540" s="80">
        <f t="shared" si="533"/>
        <v>0</v>
      </c>
      <c r="AV540" s="80">
        <f t="shared" si="604"/>
        <v>77.760754556932426</v>
      </c>
      <c r="AW540" s="80">
        <f t="shared" si="605"/>
        <v>36.961312447516264</v>
      </c>
      <c r="AX540" s="80">
        <f t="shared" si="606"/>
        <v>22.992453185522749</v>
      </c>
      <c r="AY540" s="80">
        <f t="shared" si="607"/>
        <v>17.697465514629382</v>
      </c>
      <c r="AZ540" s="80">
        <f t="shared" si="608"/>
        <v>195.43788515555926</v>
      </c>
      <c r="BA540" s="80">
        <f t="shared" si="609"/>
        <v>96.14800549870813</v>
      </c>
      <c r="BB540" s="80">
        <f t="shared" si="610"/>
        <v>566.50859873709635</v>
      </c>
      <c r="BC540" s="80">
        <f t="shared" si="611"/>
        <v>213.08940560617708</v>
      </c>
      <c r="BD540" s="80">
        <f t="shared" si="612"/>
        <v>155.41379899053919</v>
      </c>
      <c r="BE540" s="80">
        <f t="shared" si="613"/>
        <v>112.65262474641574</v>
      </c>
      <c r="BF540" s="80">
        <f t="shared" si="614"/>
        <v>1296.2956678210705</v>
      </c>
      <c r="BG540" s="80">
        <f t="shared" si="615"/>
        <v>744.85878664299105</v>
      </c>
      <c r="BH540" s="49">
        <f t="shared" si="616"/>
        <v>0</v>
      </c>
      <c r="BI540" s="79">
        <f t="shared" si="617"/>
        <v>-105463.73150425572</v>
      </c>
      <c r="BJ540" s="79">
        <f t="shared" si="534"/>
        <v>169400</v>
      </c>
      <c r="BK540" s="44">
        <f t="shared" si="618"/>
        <v>0.60623939228970203</v>
      </c>
      <c r="BL540" s="79">
        <f t="shared" si="619"/>
        <v>21991.925443079788</v>
      </c>
      <c r="BM540" s="49">
        <f t="shared" si="620"/>
        <v>191391.92544307979</v>
      </c>
      <c r="BN540" s="44">
        <f t="shared" si="621"/>
        <v>0.81476534836392234</v>
      </c>
      <c r="BO540" s="49">
        <f t="shared" si="535"/>
        <v>28835.815838853818</v>
      </c>
      <c r="BP540" s="49">
        <f t="shared" si="536"/>
        <v>198235.81583885383</v>
      </c>
      <c r="BQ540" s="44">
        <f t="shared" si="622"/>
        <v>0.87965865621637462</v>
      </c>
      <c r="BS540" s="49">
        <f t="shared" si="623"/>
        <v>105463.73150425572</v>
      </c>
      <c r="BT540" s="49">
        <f t="shared" si="639"/>
        <v>121.30999799999999</v>
      </c>
      <c r="BU540" s="49">
        <f t="shared" si="640"/>
        <v>39.169998</v>
      </c>
      <c r="BV540" s="49">
        <f t="shared" si="624"/>
        <v>-2497.2414791680112</v>
      </c>
      <c r="BW540" s="18">
        <f t="shared" si="540"/>
        <v>3485</v>
      </c>
      <c r="BX540" s="19">
        <f t="shared" si="625"/>
        <v>0.2006880733944954</v>
      </c>
      <c r="BY540" s="49">
        <f t="shared" si="626"/>
        <v>-501.16658125504807</v>
      </c>
      <c r="BZ540" s="19">
        <f t="shared" si="627"/>
        <v>0</v>
      </c>
      <c r="CA540" s="19">
        <f t="shared" si="628"/>
        <v>0</v>
      </c>
      <c r="CB540" s="19">
        <f t="shared" si="629"/>
        <v>0</v>
      </c>
      <c r="CC540" s="19">
        <f t="shared" si="630"/>
        <v>0</v>
      </c>
      <c r="CD540" s="19">
        <f t="shared" si="631"/>
        <v>0</v>
      </c>
      <c r="CE540" s="19">
        <f t="shared" si="632"/>
        <v>0</v>
      </c>
      <c r="CF540" s="49">
        <f t="shared" si="633"/>
        <v>0</v>
      </c>
      <c r="CG540" s="49">
        <f t="shared" si="634"/>
        <v>0</v>
      </c>
      <c r="CH540" s="49">
        <f t="shared" si="635"/>
        <v>0</v>
      </c>
      <c r="CI540" s="49">
        <f t="shared" si="636"/>
        <v>0</v>
      </c>
      <c r="CJ540" s="49">
        <f t="shared" si="637"/>
        <v>0</v>
      </c>
      <c r="CK540" s="49">
        <f t="shared" si="638"/>
        <v>0</v>
      </c>
    </row>
    <row r="541" spans="2:89" ht="12.75" customHeight="1" x14ac:dyDescent="0.2">
      <c r="B541" s="77">
        <v>42785</v>
      </c>
      <c r="C541" s="79">
        <v>121.980003</v>
      </c>
      <c r="D541" s="79">
        <v>96.919998000000007</v>
      </c>
      <c r="E541" s="79">
        <v>102.730003</v>
      </c>
      <c r="F541" s="79">
        <v>124.80999799999999</v>
      </c>
      <c r="G541" s="79">
        <v>38.349997999999999</v>
      </c>
      <c r="H541" s="79">
        <v>39.189999</v>
      </c>
      <c r="I541" s="79"/>
      <c r="J541" s="78">
        <f>IF(inter=Weekly_2,J540+$C$5,IF(inter=Bi_weekly_2,0,IF(inter=Monthly_2,0,IF(inter=Quarterly_2,0,IF(inter=Yearly_2,0,IF(inter=None_2,0,0))))))</f>
        <v>0</v>
      </c>
      <c r="K541" s="79">
        <f t="shared" si="541"/>
        <v>0</v>
      </c>
      <c r="L541" s="79">
        <f t="shared" si="542"/>
        <v>0</v>
      </c>
      <c r="M541" s="79">
        <f t="shared" si="543"/>
        <v>0</v>
      </c>
      <c r="N541" s="79">
        <f t="shared" si="544"/>
        <v>0</v>
      </c>
      <c r="O541" s="79">
        <f t="shared" si="545"/>
        <v>0</v>
      </c>
      <c r="P541" s="79">
        <f t="shared" si="546"/>
        <v>0</v>
      </c>
      <c r="Q541" s="79"/>
      <c r="R541" s="80">
        <f t="shared" si="516"/>
        <v>0</v>
      </c>
      <c r="S541" s="80">
        <f t="shared" si="517"/>
        <v>0</v>
      </c>
      <c r="T541" s="80">
        <f t="shared" si="518"/>
        <v>0</v>
      </c>
      <c r="U541" s="80">
        <f t="shared" si="519"/>
        <v>0</v>
      </c>
      <c r="V541" s="80">
        <f t="shared" si="520"/>
        <v>0</v>
      </c>
      <c r="W541" s="80">
        <f t="shared" si="521"/>
        <v>0</v>
      </c>
      <c r="X541" s="80">
        <f t="shared" si="598"/>
        <v>488.7478441801639</v>
      </c>
      <c r="Y541" s="80">
        <f t="shared" si="599"/>
        <v>176.12809315866082</v>
      </c>
      <c r="Z541" s="80">
        <f t="shared" si="600"/>
        <v>132.42134580501644</v>
      </c>
      <c r="AA541" s="80">
        <f t="shared" si="601"/>
        <v>94.955159231786354</v>
      </c>
      <c r="AB541" s="80">
        <f t="shared" si="602"/>
        <v>1100.8577826655112</v>
      </c>
      <c r="AC541" s="80">
        <f t="shared" si="603"/>
        <v>648.71078114428292</v>
      </c>
      <c r="AD541" s="80"/>
      <c r="AE541" s="80"/>
      <c r="AF541" s="80"/>
      <c r="AG541" s="80"/>
      <c r="AH541" s="80"/>
      <c r="AI541" s="80"/>
      <c r="AJ541" s="45">
        <f t="shared" si="590"/>
        <v>0</v>
      </c>
      <c r="AK541" s="45">
        <f t="shared" si="591"/>
        <v>0</v>
      </c>
      <c r="AL541" s="45">
        <f t="shared" si="592"/>
        <v>0</v>
      </c>
      <c r="AM541" s="45">
        <f t="shared" si="593"/>
        <v>0</v>
      </c>
      <c r="AN541" s="45">
        <f t="shared" si="594"/>
        <v>0</v>
      </c>
      <c r="AO541" s="45">
        <f t="shared" si="595"/>
        <v>0</v>
      </c>
      <c r="AP541" s="80">
        <f t="shared" si="528"/>
        <v>0</v>
      </c>
      <c r="AQ541" s="80">
        <f t="shared" si="529"/>
        <v>0</v>
      </c>
      <c r="AR541" s="80">
        <f t="shared" si="530"/>
        <v>0</v>
      </c>
      <c r="AS541" s="80">
        <f t="shared" si="531"/>
        <v>0</v>
      </c>
      <c r="AT541" s="80">
        <f t="shared" si="532"/>
        <v>0</v>
      </c>
      <c r="AU541" s="80">
        <f t="shared" si="533"/>
        <v>0</v>
      </c>
      <c r="AV541" s="80">
        <f t="shared" si="604"/>
        <v>77.760754556932426</v>
      </c>
      <c r="AW541" s="80">
        <f t="shared" si="605"/>
        <v>36.961312447516264</v>
      </c>
      <c r="AX541" s="80">
        <f t="shared" si="606"/>
        <v>22.992453185522749</v>
      </c>
      <c r="AY541" s="80">
        <f t="shared" si="607"/>
        <v>17.697465514629382</v>
      </c>
      <c r="AZ541" s="80">
        <f t="shared" si="608"/>
        <v>195.43788515555926</v>
      </c>
      <c r="BA541" s="80">
        <f t="shared" si="609"/>
        <v>96.14800549870813</v>
      </c>
      <c r="BB541" s="80">
        <f t="shared" si="610"/>
        <v>566.50859873709635</v>
      </c>
      <c r="BC541" s="80">
        <f t="shared" si="611"/>
        <v>213.08940560617708</v>
      </c>
      <c r="BD541" s="80">
        <f t="shared" si="612"/>
        <v>155.41379899053919</v>
      </c>
      <c r="BE541" s="80">
        <f t="shared" si="613"/>
        <v>112.65262474641574</v>
      </c>
      <c r="BF541" s="80">
        <f t="shared" si="614"/>
        <v>1296.2956678210705</v>
      </c>
      <c r="BG541" s="80">
        <f t="shared" si="615"/>
        <v>744.85878664299105</v>
      </c>
      <c r="BH541" s="49">
        <f t="shared" si="616"/>
        <v>0</v>
      </c>
      <c r="BI541" s="79">
        <f t="shared" si="617"/>
        <v>-105463.73150425572</v>
      </c>
      <c r="BJ541" s="79">
        <f t="shared" si="534"/>
        <v>169783.66504948391</v>
      </c>
      <c r="BK541" s="44">
        <f t="shared" si="618"/>
        <v>0.6098772784521922</v>
      </c>
      <c r="BL541" s="79">
        <f t="shared" si="619"/>
        <v>21991.925443079788</v>
      </c>
      <c r="BM541" s="49">
        <f t="shared" si="620"/>
        <v>191775.5904925637</v>
      </c>
      <c r="BN541" s="44">
        <f t="shared" si="621"/>
        <v>0.8184032345264125</v>
      </c>
      <c r="BO541" s="49">
        <f t="shared" si="535"/>
        <v>28901.465567025898</v>
      </c>
      <c r="BP541" s="49">
        <f t="shared" si="536"/>
        <v>198685.13061650982</v>
      </c>
      <c r="BQ541" s="44">
        <f t="shared" si="622"/>
        <v>0.88391902868041794</v>
      </c>
      <c r="BS541" s="49">
        <f t="shared" si="623"/>
        <v>105463.73150425572</v>
      </c>
      <c r="BT541" s="49">
        <f t="shared" si="639"/>
        <v>121.980003</v>
      </c>
      <c r="BU541" s="49">
        <f t="shared" si="640"/>
        <v>39.189999</v>
      </c>
      <c r="BV541" s="49">
        <f t="shared" si="624"/>
        <v>0</v>
      </c>
      <c r="BW541" s="18">
        <f t="shared" si="540"/>
        <v>3492</v>
      </c>
      <c r="BX541" s="19">
        <f t="shared" si="625"/>
        <v>0.19908256880733946</v>
      </c>
      <c r="BY541" s="49">
        <f t="shared" si="626"/>
        <v>0</v>
      </c>
      <c r="BZ541" s="19">
        <f t="shared" si="627"/>
        <v>0</v>
      </c>
      <c r="CA541" s="19">
        <f t="shared" si="628"/>
        <v>0</v>
      </c>
      <c r="CB541" s="19">
        <f t="shared" si="629"/>
        <v>0</v>
      </c>
      <c r="CC541" s="19">
        <f t="shared" si="630"/>
        <v>0</v>
      </c>
      <c r="CD541" s="19">
        <f t="shared" si="631"/>
        <v>0</v>
      </c>
      <c r="CE541" s="19">
        <f t="shared" si="632"/>
        <v>0</v>
      </c>
      <c r="CF541" s="49">
        <f t="shared" si="633"/>
        <v>0</v>
      </c>
      <c r="CG541" s="49">
        <f t="shared" si="634"/>
        <v>0</v>
      </c>
      <c r="CH541" s="49">
        <f t="shared" si="635"/>
        <v>0</v>
      </c>
      <c r="CI541" s="49">
        <f t="shared" si="636"/>
        <v>0</v>
      </c>
      <c r="CJ541" s="49">
        <f t="shared" si="637"/>
        <v>0</v>
      </c>
      <c r="CK541" s="49">
        <f t="shared" si="638"/>
        <v>0</v>
      </c>
    </row>
    <row r="542" spans="2:89" ht="12.75" customHeight="1" x14ac:dyDescent="0.2">
      <c r="B542" s="77">
        <v>42792</v>
      </c>
      <c r="C542" s="79">
        <v>122.75</v>
      </c>
      <c r="D542" s="79">
        <v>97.550003000000004</v>
      </c>
      <c r="E542" s="79">
        <v>103.089996</v>
      </c>
      <c r="F542" s="79">
        <v>124.80999799999999</v>
      </c>
      <c r="G542" s="79">
        <v>38.599997999999999</v>
      </c>
      <c r="H542" s="79">
        <v>38.939999</v>
      </c>
      <c r="I542" s="79"/>
      <c r="J542" s="78">
        <f>IF(inter=Weekly_2,J541+$C$5,IF(inter=Bi_weekly_2,J540+$C$5,IF(inter=Monthly_2,J538+$C$5,IF(inter=Quarterly_2,0,IF(inter=Yearly_2,0,IF(inter=None_2,0,0))))))</f>
        <v>170000</v>
      </c>
      <c r="K542" s="79">
        <f t="shared" si="541"/>
        <v>493.79787311512337</v>
      </c>
      <c r="L542" s="79">
        <f t="shared" si="542"/>
        <v>181.29601601164177</v>
      </c>
      <c r="M542" s="79">
        <f t="shared" si="543"/>
        <v>51.316009353762638</v>
      </c>
      <c r="N542" s="79">
        <f t="shared" si="544"/>
        <v>-48.64676619106649</v>
      </c>
      <c r="O542" s="79">
        <f t="shared" si="545"/>
        <v>-6.8917908268340398</v>
      </c>
      <c r="P542" s="79">
        <f t="shared" si="546"/>
        <v>-239.20283095240302</v>
      </c>
      <c r="Q542" s="79"/>
      <c r="R542" s="80">
        <f t="shared" si="516"/>
        <v>-4.0227932636669932</v>
      </c>
      <c r="S542" s="80">
        <f t="shared" si="517"/>
        <v>-1.8584931874542512</v>
      </c>
      <c r="T542" s="80">
        <f t="shared" si="518"/>
        <v>-0.49777875007156502</v>
      </c>
      <c r="U542" s="80">
        <f t="shared" si="519"/>
        <v>0.38976658096786843</v>
      </c>
      <c r="V542" s="80">
        <f t="shared" si="520"/>
        <v>0.17854381305496544</v>
      </c>
      <c r="W542" s="80">
        <f t="shared" si="521"/>
        <v>6.1428566280241306</v>
      </c>
      <c r="X542" s="80">
        <f t="shared" si="598"/>
        <v>484.72505091649691</v>
      </c>
      <c r="Y542" s="80">
        <f t="shared" si="599"/>
        <v>174.26959997120656</v>
      </c>
      <c r="Z542" s="80">
        <f t="shared" si="600"/>
        <v>131.92356705494487</v>
      </c>
      <c r="AA542" s="80">
        <f t="shared" si="601"/>
        <v>95.344925812754227</v>
      </c>
      <c r="AB542" s="80">
        <f t="shared" si="602"/>
        <v>1101.0363264785663</v>
      </c>
      <c r="AC542" s="80">
        <f t="shared" si="603"/>
        <v>654.85363777230702</v>
      </c>
      <c r="AD542" s="80"/>
      <c r="AE542" s="80"/>
      <c r="AF542" s="80"/>
      <c r="AG542" s="80"/>
      <c r="AH542" s="80"/>
      <c r="AI542" s="80"/>
      <c r="AJ542" s="45">
        <f t="shared" si="590"/>
        <v>0</v>
      </c>
      <c r="AK542" s="45">
        <f t="shared" si="591"/>
        <v>0</v>
      </c>
      <c r="AL542" s="45">
        <f t="shared" si="592"/>
        <v>0</v>
      </c>
      <c r="AM542" s="45">
        <f t="shared" si="593"/>
        <v>0</v>
      </c>
      <c r="AN542" s="45">
        <f t="shared" si="594"/>
        <v>0</v>
      </c>
      <c r="AO542" s="45">
        <f t="shared" si="595"/>
        <v>0</v>
      </c>
      <c r="AP542" s="80">
        <f t="shared" si="528"/>
        <v>0</v>
      </c>
      <c r="AQ542" s="80">
        <f t="shared" si="529"/>
        <v>0</v>
      </c>
      <c r="AR542" s="80">
        <f t="shared" si="530"/>
        <v>0</v>
      </c>
      <c r="AS542" s="80">
        <f t="shared" si="531"/>
        <v>0</v>
      </c>
      <c r="AT542" s="80">
        <f t="shared" si="532"/>
        <v>0</v>
      </c>
      <c r="AU542" s="80">
        <f t="shared" si="533"/>
        <v>0</v>
      </c>
      <c r="AV542" s="80">
        <f t="shared" si="604"/>
        <v>77.760754556932426</v>
      </c>
      <c r="AW542" s="80">
        <f t="shared" si="605"/>
        <v>36.961312447516264</v>
      </c>
      <c r="AX542" s="80">
        <f t="shared" si="606"/>
        <v>22.992453185522749</v>
      </c>
      <c r="AY542" s="80">
        <f t="shared" si="607"/>
        <v>17.697465514629382</v>
      </c>
      <c r="AZ542" s="80">
        <f t="shared" si="608"/>
        <v>195.43788515555926</v>
      </c>
      <c r="BA542" s="80">
        <f t="shared" si="609"/>
        <v>96.14800549870813</v>
      </c>
      <c r="BB542" s="80">
        <f t="shared" si="610"/>
        <v>562.48580547342931</v>
      </c>
      <c r="BC542" s="80">
        <f t="shared" si="611"/>
        <v>211.23091241872282</v>
      </c>
      <c r="BD542" s="80">
        <f t="shared" si="612"/>
        <v>154.91602024046762</v>
      </c>
      <c r="BE542" s="80">
        <f t="shared" si="613"/>
        <v>113.04239132738361</v>
      </c>
      <c r="BF542" s="80">
        <f t="shared" si="614"/>
        <v>1296.4742116341256</v>
      </c>
      <c r="BG542" s="80">
        <f t="shared" si="615"/>
        <v>751.00164327101515</v>
      </c>
      <c r="BH542" s="49">
        <f t="shared" si="616"/>
        <v>0</v>
      </c>
      <c r="BI542" s="79">
        <f t="shared" si="617"/>
        <v>-105032.06299374549</v>
      </c>
      <c r="BJ542" s="79">
        <f t="shared" si="534"/>
        <v>170000</v>
      </c>
      <c r="BK542" s="44">
        <f t="shared" si="618"/>
        <v>0.61855337460260351</v>
      </c>
      <c r="BL542" s="79">
        <f t="shared" si="619"/>
        <v>21991.925443079788</v>
      </c>
      <c r="BM542" s="49">
        <f t="shared" si="620"/>
        <v>191991.92544307979</v>
      </c>
      <c r="BN542" s="44">
        <f t="shared" si="621"/>
        <v>0.82793634601381316</v>
      </c>
      <c r="BO542" s="49">
        <f t="shared" si="535"/>
        <v>29017.726518514803</v>
      </c>
      <c r="BP542" s="49">
        <f t="shared" si="536"/>
        <v>199017.7265185148</v>
      </c>
      <c r="BQ542" s="44">
        <f t="shared" si="622"/>
        <v>0.89482831095458937</v>
      </c>
      <c r="BS542" s="49">
        <f t="shared" si="623"/>
        <v>105032.06299374549</v>
      </c>
      <c r="BT542" s="49">
        <f t="shared" si="639"/>
        <v>122.75</v>
      </c>
      <c r="BU542" s="49">
        <f t="shared" si="640"/>
        <v>38.939999</v>
      </c>
      <c r="BV542" s="49">
        <f t="shared" si="624"/>
        <v>-431.66851051022422</v>
      </c>
      <c r="BW542" s="18">
        <f t="shared" si="540"/>
        <v>3499</v>
      </c>
      <c r="BX542" s="19">
        <f t="shared" si="625"/>
        <v>0.19747706422018349</v>
      </c>
      <c r="BY542" s="49">
        <f t="shared" si="626"/>
        <v>-85.244630171858503</v>
      </c>
      <c r="BZ542" s="19">
        <f t="shared" si="627"/>
        <v>0</v>
      </c>
      <c r="CA542" s="19">
        <f t="shared" si="628"/>
        <v>0</v>
      </c>
      <c r="CB542" s="19">
        <f t="shared" si="629"/>
        <v>0</v>
      </c>
      <c r="CC542" s="19">
        <f t="shared" si="630"/>
        <v>0.38976658096786843</v>
      </c>
      <c r="CD542" s="19">
        <f t="shared" si="631"/>
        <v>0.17854381305496544</v>
      </c>
      <c r="CE542" s="19">
        <f t="shared" si="632"/>
        <v>6.1428566280241306</v>
      </c>
      <c r="CF542" s="49">
        <f t="shared" si="633"/>
        <v>0</v>
      </c>
      <c r="CG542" s="49">
        <f t="shared" si="634"/>
        <v>0</v>
      </c>
      <c r="CH542" s="49">
        <f t="shared" si="635"/>
        <v>0</v>
      </c>
      <c r="CI542" s="49">
        <f t="shared" si="636"/>
        <v>-48.64676619106649</v>
      </c>
      <c r="CJ542" s="49">
        <f t="shared" si="637"/>
        <v>-6.8917908268340398</v>
      </c>
      <c r="CK542" s="49">
        <f t="shared" si="638"/>
        <v>-239.20283095240302</v>
      </c>
    </row>
    <row r="543" spans="2:89" ht="12.75" customHeight="1" x14ac:dyDescent="0.2">
      <c r="B543" s="77">
        <v>42799</v>
      </c>
      <c r="C543" s="79">
        <v>122.040001</v>
      </c>
      <c r="D543" s="79">
        <v>97.029999000000004</v>
      </c>
      <c r="E543" s="79">
        <v>102.040001</v>
      </c>
      <c r="F543" s="79">
        <v>122.209999</v>
      </c>
      <c r="G543" s="79">
        <v>38.630001</v>
      </c>
      <c r="H543" s="79">
        <v>38.650002000000001</v>
      </c>
      <c r="I543" s="79"/>
      <c r="J543" s="78">
        <f>IF(inter=Weekly_2,J542+$C$5,IF(inter=Bi_weekly_2,0,IF(inter=Monthly_2,0,IF(inter=Quarterly_2,0,IF(inter=Yearly_2,0,IF(inter=None_2,0,0))))))</f>
        <v>0</v>
      </c>
      <c r="K543" s="79">
        <f t="shared" si="541"/>
        <v>0</v>
      </c>
      <c r="L543" s="79">
        <f t="shared" si="542"/>
        <v>0</v>
      </c>
      <c r="M543" s="79">
        <f t="shared" si="543"/>
        <v>0</v>
      </c>
      <c r="N543" s="79">
        <f t="shared" si="544"/>
        <v>0</v>
      </c>
      <c r="O543" s="79">
        <f t="shared" si="545"/>
        <v>0</v>
      </c>
      <c r="P543" s="79">
        <f t="shared" si="546"/>
        <v>0</v>
      </c>
      <c r="Q543" s="79"/>
      <c r="R543" s="80">
        <f t="shared" si="516"/>
        <v>0</v>
      </c>
      <c r="S543" s="80">
        <f t="shared" si="517"/>
        <v>0</v>
      </c>
      <c r="T543" s="80">
        <f t="shared" si="518"/>
        <v>0</v>
      </c>
      <c r="U543" s="80">
        <f t="shared" si="519"/>
        <v>0</v>
      </c>
      <c r="V543" s="80">
        <f t="shared" si="520"/>
        <v>0</v>
      </c>
      <c r="W543" s="80">
        <f t="shared" si="521"/>
        <v>0</v>
      </c>
      <c r="X543" s="80">
        <f t="shared" si="598"/>
        <v>484.72505091649691</v>
      </c>
      <c r="Y543" s="80">
        <f t="shared" si="599"/>
        <v>174.26959997120656</v>
      </c>
      <c r="Z543" s="80">
        <f t="shared" si="600"/>
        <v>131.92356705494487</v>
      </c>
      <c r="AA543" s="80">
        <f t="shared" si="601"/>
        <v>95.344925812754227</v>
      </c>
      <c r="AB543" s="80">
        <f t="shared" si="602"/>
        <v>1101.0363264785663</v>
      </c>
      <c r="AC543" s="80">
        <f t="shared" si="603"/>
        <v>654.85363777230702</v>
      </c>
      <c r="AD543" s="80"/>
      <c r="AE543" s="80"/>
      <c r="AF543" s="80"/>
      <c r="AG543" s="80"/>
      <c r="AH543" s="80"/>
      <c r="AI543" s="80"/>
      <c r="AJ543" s="45">
        <f t="shared" si="590"/>
        <v>0</v>
      </c>
      <c r="AK543" s="45">
        <f t="shared" si="591"/>
        <v>0</v>
      </c>
      <c r="AL543" s="45">
        <f t="shared" si="592"/>
        <v>0</v>
      </c>
      <c r="AM543" s="45">
        <f t="shared" si="593"/>
        <v>0</v>
      </c>
      <c r="AN543" s="45">
        <f t="shared" si="594"/>
        <v>0</v>
      </c>
      <c r="AO543" s="45">
        <f t="shared" si="595"/>
        <v>0</v>
      </c>
      <c r="AP543" s="80">
        <f t="shared" si="528"/>
        <v>0</v>
      </c>
      <c r="AQ543" s="80">
        <f t="shared" si="529"/>
        <v>0</v>
      </c>
      <c r="AR543" s="80">
        <f t="shared" si="530"/>
        <v>0</v>
      </c>
      <c r="AS543" s="80">
        <f t="shared" si="531"/>
        <v>0</v>
      </c>
      <c r="AT543" s="80">
        <f t="shared" si="532"/>
        <v>0</v>
      </c>
      <c r="AU543" s="80">
        <f t="shared" si="533"/>
        <v>0</v>
      </c>
      <c r="AV543" s="80">
        <f t="shared" si="604"/>
        <v>77.760754556932426</v>
      </c>
      <c r="AW543" s="80">
        <f t="shared" si="605"/>
        <v>36.961312447516264</v>
      </c>
      <c r="AX543" s="80">
        <f t="shared" si="606"/>
        <v>22.992453185522749</v>
      </c>
      <c r="AY543" s="80">
        <f t="shared" si="607"/>
        <v>17.697465514629382</v>
      </c>
      <c r="AZ543" s="80">
        <f t="shared" si="608"/>
        <v>195.43788515555926</v>
      </c>
      <c r="BA543" s="80">
        <f t="shared" si="609"/>
        <v>96.14800549870813</v>
      </c>
      <c r="BB543" s="80">
        <f t="shared" si="610"/>
        <v>562.48580547342931</v>
      </c>
      <c r="BC543" s="80">
        <f t="shared" si="611"/>
        <v>211.23091241872282</v>
      </c>
      <c r="BD543" s="80">
        <f t="shared" si="612"/>
        <v>154.91602024046762</v>
      </c>
      <c r="BE543" s="80">
        <f t="shared" si="613"/>
        <v>113.04239132738361</v>
      </c>
      <c r="BF543" s="80">
        <f t="shared" si="614"/>
        <v>1296.4742116341256</v>
      </c>
      <c r="BG543" s="80">
        <f t="shared" si="615"/>
        <v>751.00164327101515</v>
      </c>
      <c r="BH543" s="49">
        <f t="shared" si="616"/>
        <v>0</v>
      </c>
      <c r="BI543" s="79">
        <f t="shared" si="617"/>
        <v>-105032.06299374549</v>
      </c>
      <c r="BJ543" s="79">
        <f t="shared" si="534"/>
        <v>169021.9378144631</v>
      </c>
      <c r="BK543" s="44">
        <f t="shared" si="618"/>
        <v>0.60924134018512155</v>
      </c>
      <c r="BL543" s="79">
        <f t="shared" si="619"/>
        <v>21991.925443079788</v>
      </c>
      <c r="BM543" s="49">
        <f t="shared" si="620"/>
        <v>191013.86325754289</v>
      </c>
      <c r="BN543" s="44">
        <f t="shared" si="621"/>
        <v>0.8186243115963312</v>
      </c>
      <c r="BO543" s="49">
        <f t="shared" si="535"/>
        <v>28851.122166416786</v>
      </c>
      <c r="BP543" s="49">
        <f t="shared" si="536"/>
        <v>197873.05998087989</v>
      </c>
      <c r="BQ543" s="44">
        <f t="shared" si="622"/>
        <v>0.8839300527940972</v>
      </c>
      <c r="BS543" s="49">
        <f t="shared" si="623"/>
        <v>105032.06299374549</v>
      </c>
      <c r="BT543" s="49">
        <f t="shared" si="639"/>
        <v>122.040001</v>
      </c>
      <c r="BU543" s="49">
        <f t="shared" si="640"/>
        <v>38.650002000000001</v>
      </c>
      <c r="BV543" s="49">
        <f t="shared" si="624"/>
        <v>0</v>
      </c>
      <c r="BW543" s="18">
        <f t="shared" si="540"/>
        <v>3506</v>
      </c>
      <c r="BX543" s="19">
        <f t="shared" si="625"/>
        <v>0.19587155963302752</v>
      </c>
      <c r="BY543" s="49">
        <f t="shared" si="626"/>
        <v>0</v>
      </c>
      <c r="BZ543" s="19">
        <f t="shared" si="627"/>
        <v>0</v>
      </c>
      <c r="CA543" s="19">
        <f t="shared" si="628"/>
        <v>0</v>
      </c>
      <c r="CB543" s="19">
        <f t="shared" si="629"/>
        <v>0</v>
      </c>
      <c r="CC543" s="19">
        <f t="shared" si="630"/>
        <v>0</v>
      </c>
      <c r="CD543" s="19">
        <f t="shared" si="631"/>
        <v>0</v>
      </c>
      <c r="CE543" s="19">
        <f t="shared" si="632"/>
        <v>0</v>
      </c>
      <c r="CF543" s="49">
        <f t="shared" si="633"/>
        <v>0</v>
      </c>
      <c r="CG543" s="49">
        <f t="shared" si="634"/>
        <v>0</v>
      </c>
      <c r="CH543" s="49">
        <f t="shared" si="635"/>
        <v>0</v>
      </c>
      <c r="CI543" s="49">
        <f t="shared" si="636"/>
        <v>0</v>
      </c>
      <c r="CJ543" s="49">
        <f t="shared" si="637"/>
        <v>0</v>
      </c>
      <c r="CK543" s="49">
        <f t="shared" si="638"/>
        <v>0</v>
      </c>
    </row>
    <row r="544" spans="2:89" ht="12.75" customHeight="1" x14ac:dyDescent="0.2">
      <c r="B544" s="77">
        <v>42806</v>
      </c>
      <c r="C544" s="79">
        <v>122.57</v>
      </c>
      <c r="D544" s="79">
        <v>97.010002</v>
      </c>
      <c r="E544" s="79">
        <v>102.75</v>
      </c>
      <c r="F544" s="79">
        <v>123.94000200000001</v>
      </c>
      <c r="G544" s="79">
        <v>39.340000000000003</v>
      </c>
      <c r="H544" s="79">
        <v>40.060001</v>
      </c>
      <c r="I544" s="79"/>
      <c r="J544" s="78">
        <f>IF(inter=Weekly_2,J543+$C$5,IF(inter=Bi_weekly_2,J542+$C$5,IF(inter=Monthly_2,0,IF(inter=Quarterly_2,0,IF(inter=Yearly_2,0,IF(inter=None_2,0,0))))))</f>
        <v>170600</v>
      </c>
      <c r="K544" s="79">
        <f t="shared" si="541"/>
        <v>-297.25050916497275</v>
      </c>
      <c r="L544" s="79">
        <f t="shared" si="542"/>
        <v>-154.10575825405249</v>
      </c>
      <c r="M544" s="79">
        <f t="shared" si="543"/>
        <v>-92.853485104415086</v>
      </c>
      <c r="N544" s="79">
        <f t="shared" si="544"/>
        <v>-124.94970407739129</v>
      </c>
      <c r="O544" s="79">
        <f t="shared" si="545"/>
        <v>664.76908366679709</v>
      </c>
      <c r="P544" s="79">
        <f t="shared" si="546"/>
        <v>643.4373840122571</v>
      </c>
      <c r="Q544" s="79"/>
      <c r="R544" s="80">
        <f t="shared" si="516"/>
        <v>2.4251489692826365</v>
      </c>
      <c r="S544" s="80">
        <f t="shared" si="517"/>
        <v>1.5885553559111616</v>
      </c>
      <c r="T544" s="80">
        <f t="shared" si="518"/>
        <v>0.90368355332764072</v>
      </c>
      <c r="U544" s="80">
        <f t="shared" si="519"/>
        <v>1.0081467005091003</v>
      </c>
      <c r="V544" s="80">
        <f t="shared" si="520"/>
        <v>-16.898044831387825</v>
      </c>
      <c r="W544" s="80">
        <f t="shared" si="521"/>
        <v>-16.061841436605484</v>
      </c>
      <c r="X544" s="80">
        <f t="shared" si="598"/>
        <v>487.15019988577956</v>
      </c>
      <c r="Y544" s="80">
        <f t="shared" si="599"/>
        <v>175.85815532711771</v>
      </c>
      <c r="Z544" s="80">
        <f t="shared" si="600"/>
        <v>132.82725060827252</v>
      </c>
      <c r="AA544" s="80">
        <f t="shared" si="601"/>
        <v>96.353072513263328</v>
      </c>
      <c r="AB544" s="80">
        <f t="shared" si="602"/>
        <v>1084.1382816471785</v>
      </c>
      <c r="AC544" s="80">
        <f t="shared" si="603"/>
        <v>638.79179633570152</v>
      </c>
      <c r="AD544" s="80"/>
      <c r="AE544" s="80"/>
      <c r="AF544" s="80"/>
      <c r="AG544" s="80"/>
      <c r="AH544" s="80"/>
      <c r="AI544" s="80"/>
      <c r="AJ544" s="45">
        <f t="shared" si="590"/>
        <v>0</v>
      </c>
      <c r="AK544" s="45">
        <f t="shared" si="591"/>
        <v>0</v>
      </c>
      <c r="AL544" s="45">
        <f t="shared" si="592"/>
        <v>0</v>
      </c>
      <c r="AM544" s="45">
        <f t="shared" si="593"/>
        <v>0</v>
      </c>
      <c r="AN544" s="45">
        <f t="shared" si="594"/>
        <v>0</v>
      </c>
      <c r="AO544" s="45">
        <f t="shared" si="595"/>
        <v>0</v>
      </c>
      <c r="AP544" s="80">
        <f t="shared" si="528"/>
        <v>0</v>
      </c>
      <c r="AQ544" s="80">
        <f t="shared" si="529"/>
        <v>0</v>
      </c>
      <c r="AR544" s="80">
        <f t="shared" si="530"/>
        <v>0</v>
      </c>
      <c r="AS544" s="80">
        <f t="shared" si="531"/>
        <v>0</v>
      </c>
      <c r="AT544" s="80">
        <f t="shared" si="532"/>
        <v>0</v>
      </c>
      <c r="AU544" s="80">
        <f t="shared" si="533"/>
        <v>0</v>
      </c>
      <c r="AV544" s="80">
        <f t="shared" si="604"/>
        <v>77.760754556932426</v>
      </c>
      <c r="AW544" s="80">
        <f t="shared" si="605"/>
        <v>36.961312447516264</v>
      </c>
      <c r="AX544" s="80">
        <f t="shared" si="606"/>
        <v>22.992453185522749</v>
      </c>
      <c r="AY544" s="80">
        <f t="shared" si="607"/>
        <v>17.697465514629382</v>
      </c>
      <c r="AZ544" s="80">
        <f t="shared" si="608"/>
        <v>195.43788515555926</v>
      </c>
      <c r="BA544" s="80">
        <f t="shared" si="609"/>
        <v>96.14800549870813</v>
      </c>
      <c r="BB544" s="80">
        <f t="shared" si="610"/>
        <v>564.91095444271195</v>
      </c>
      <c r="BC544" s="80">
        <f t="shared" si="611"/>
        <v>212.81946777463398</v>
      </c>
      <c r="BD544" s="80">
        <f t="shared" si="612"/>
        <v>155.81970379379527</v>
      </c>
      <c r="BE544" s="80">
        <f t="shared" si="613"/>
        <v>114.05053802789271</v>
      </c>
      <c r="BF544" s="80">
        <f t="shared" si="614"/>
        <v>1279.5761668027378</v>
      </c>
      <c r="BG544" s="80">
        <f t="shared" si="615"/>
        <v>734.93980183440965</v>
      </c>
      <c r="BH544" s="49">
        <f t="shared" si="616"/>
        <v>0</v>
      </c>
      <c r="BI544" s="79">
        <f t="shared" si="617"/>
        <v>-104393.01598266726</v>
      </c>
      <c r="BJ544" s="79">
        <f t="shared" si="534"/>
        <v>170600</v>
      </c>
      <c r="BK544" s="44">
        <f t="shared" si="618"/>
        <v>0.63420894007244044</v>
      </c>
      <c r="BL544" s="79">
        <f t="shared" si="619"/>
        <v>21991.925443079788</v>
      </c>
      <c r="BM544" s="49">
        <f t="shared" si="620"/>
        <v>192591.92544307979</v>
      </c>
      <c r="BN544" s="44">
        <f t="shared" si="621"/>
        <v>0.84487365970015182</v>
      </c>
      <c r="BO544" s="49">
        <f t="shared" si="535"/>
        <v>29212.866755035899</v>
      </c>
      <c r="BP544" s="49">
        <f t="shared" si="536"/>
        <v>199812.86675503588</v>
      </c>
      <c r="BQ544" s="44">
        <f t="shared" si="622"/>
        <v>0.91404439151572658</v>
      </c>
      <c r="BS544" s="49">
        <f t="shared" si="623"/>
        <v>104393.01598266726</v>
      </c>
      <c r="BT544" s="49">
        <f t="shared" si="639"/>
        <v>122.57</v>
      </c>
      <c r="BU544" s="49">
        <f t="shared" si="640"/>
        <v>40.060001</v>
      </c>
      <c r="BV544" s="49">
        <f t="shared" si="624"/>
        <v>-639.04701107822257</v>
      </c>
      <c r="BW544" s="18">
        <f t="shared" si="540"/>
        <v>3513</v>
      </c>
      <c r="BX544" s="19">
        <f t="shared" si="625"/>
        <v>0.19426605504587155</v>
      </c>
      <c r="BY544" s="49">
        <f t="shared" si="626"/>
        <v>-124.14514183102168</v>
      </c>
      <c r="BZ544" s="19">
        <f t="shared" si="627"/>
        <v>2.4251489692826365</v>
      </c>
      <c r="CA544" s="19">
        <f t="shared" si="628"/>
        <v>1.5885553559111616</v>
      </c>
      <c r="CB544" s="19">
        <f t="shared" si="629"/>
        <v>0.90368355332764072</v>
      </c>
      <c r="CC544" s="19">
        <f t="shared" si="630"/>
        <v>1.0081467005091003</v>
      </c>
      <c r="CD544" s="19">
        <f t="shared" si="631"/>
        <v>0</v>
      </c>
      <c r="CE544" s="19">
        <f t="shared" si="632"/>
        <v>0</v>
      </c>
      <c r="CF544" s="49">
        <f t="shared" si="633"/>
        <v>-297.25050916497275</v>
      </c>
      <c r="CG544" s="49">
        <f t="shared" si="634"/>
        <v>-154.10575825405249</v>
      </c>
      <c r="CH544" s="49">
        <f t="shared" si="635"/>
        <v>-92.853485104415086</v>
      </c>
      <c r="CI544" s="49">
        <f t="shared" si="636"/>
        <v>-124.94970407739129</v>
      </c>
      <c r="CJ544" s="49">
        <f t="shared" si="637"/>
        <v>0</v>
      </c>
      <c r="CK544" s="49">
        <f t="shared" si="638"/>
        <v>0</v>
      </c>
    </row>
    <row r="545" spans="2:89" ht="12.75" customHeight="1" x14ac:dyDescent="0.2">
      <c r="B545" s="77">
        <v>42813</v>
      </c>
      <c r="C545" s="79">
        <v>120.160004</v>
      </c>
      <c r="D545" s="79">
        <v>94.68</v>
      </c>
      <c r="E545" s="79">
        <v>100.55999799999999</v>
      </c>
      <c r="F545" s="79">
        <v>120.33000199999999</v>
      </c>
      <c r="G545" s="79">
        <v>39.200001</v>
      </c>
      <c r="H545" s="79">
        <v>40.209999000000003</v>
      </c>
      <c r="I545" s="79"/>
      <c r="J545" s="78">
        <f>IF(inter=Weekly_2,J544+$C$5,IF(inter=Bi_weekly_2,0,IF(inter=Monthly_2,0,IF(inter=Quarterly_2,0,IF(inter=Yearly_2,0,IF(inter=None_2,0,0))))))</f>
        <v>0</v>
      </c>
      <c r="K545" s="79">
        <f t="shared" si="541"/>
        <v>0</v>
      </c>
      <c r="L545" s="79">
        <f t="shared" si="542"/>
        <v>0</v>
      </c>
      <c r="M545" s="79">
        <f t="shared" si="543"/>
        <v>0</v>
      </c>
      <c r="N545" s="79">
        <f t="shared" si="544"/>
        <v>0</v>
      </c>
      <c r="O545" s="79">
        <f t="shared" si="545"/>
        <v>0</v>
      </c>
      <c r="P545" s="79">
        <f t="shared" si="546"/>
        <v>0</v>
      </c>
      <c r="Q545" s="79"/>
      <c r="R545" s="80">
        <f t="shared" si="516"/>
        <v>0</v>
      </c>
      <c r="S545" s="80">
        <f t="shared" si="517"/>
        <v>0</v>
      </c>
      <c r="T545" s="80">
        <f t="shared" si="518"/>
        <v>0</v>
      </c>
      <c r="U545" s="80">
        <f t="shared" si="519"/>
        <v>0</v>
      </c>
      <c r="V545" s="80">
        <f t="shared" si="520"/>
        <v>0</v>
      </c>
      <c r="W545" s="80">
        <f t="shared" si="521"/>
        <v>0</v>
      </c>
      <c r="X545" s="80">
        <f t="shared" si="598"/>
        <v>487.15019988577956</v>
      </c>
      <c r="Y545" s="80">
        <f t="shared" si="599"/>
        <v>175.85815532711771</v>
      </c>
      <c r="Z545" s="80">
        <f t="shared" si="600"/>
        <v>132.82725060827252</v>
      </c>
      <c r="AA545" s="80">
        <f t="shared" si="601"/>
        <v>96.353072513263328</v>
      </c>
      <c r="AB545" s="80">
        <f t="shared" si="602"/>
        <v>1084.1382816471785</v>
      </c>
      <c r="AC545" s="80">
        <f t="shared" si="603"/>
        <v>638.79179633570152</v>
      </c>
      <c r="AD545" s="80"/>
      <c r="AE545" s="80"/>
      <c r="AF545" s="80"/>
      <c r="AG545" s="80"/>
      <c r="AH545" s="80"/>
      <c r="AI545" s="80"/>
      <c r="AJ545" s="45">
        <f t="shared" si="590"/>
        <v>0</v>
      </c>
      <c r="AK545" s="45">
        <f t="shared" si="591"/>
        <v>0</v>
      </c>
      <c r="AL545" s="45">
        <f t="shared" si="592"/>
        <v>0</v>
      </c>
      <c r="AM545" s="45">
        <f t="shared" si="593"/>
        <v>0</v>
      </c>
      <c r="AN545" s="45">
        <f t="shared" si="594"/>
        <v>0</v>
      </c>
      <c r="AO545" s="45">
        <f t="shared" si="595"/>
        <v>0</v>
      </c>
      <c r="AP545" s="80">
        <f t="shared" si="528"/>
        <v>0</v>
      </c>
      <c r="AQ545" s="80">
        <f t="shared" si="529"/>
        <v>0</v>
      </c>
      <c r="AR545" s="80">
        <f t="shared" si="530"/>
        <v>0</v>
      </c>
      <c r="AS545" s="80">
        <f t="shared" si="531"/>
        <v>0</v>
      </c>
      <c r="AT545" s="80">
        <f t="shared" si="532"/>
        <v>0</v>
      </c>
      <c r="AU545" s="80">
        <f t="shared" si="533"/>
        <v>0</v>
      </c>
      <c r="AV545" s="80">
        <f t="shared" si="604"/>
        <v>77.760754556932426</v>
      </c>
      <c r="AW545" s="80">
        <f t="shared" si="605"/>
        <v>36.961312447516264</v>
      </c>
      <c r="AX545" s="80">
        <f t="shared" si="606"/>
        <v>22.992453185522749</v>
      </c>
      <c r="AY545" s="80">
        <f t="shared" si="607"/>
        <v>17.697465514629382</v>
      </c>
      <c r="AZ545" s="80">
        <f t="shared" si="608"/>
        <v>195.43788515555926</v>
      </c>
      <c r="BA545" s="80">
        <f t="shared" si="609"/>
        <v>96.14800549870813</v>
      </c>
      <c r="BB545" s="80">
        <f t="shared" si="610"/>
        <v>564.91095444271195</v>
      </c>
      <c r="BC545" s="80">
        <f t="shared" si="611"/>
        <v>212.81946777463398</v>
      </c>
      <c r="BD545" s="80">
        <f t="shared" si="612"/>
        <v>155.81970379379527</v>
      </c>
      <c r="BE545" s="80">
        <f t="shared" si="613"/>
        <v>114.05053802789271</v>
      </c>
      <c r="BF545" s="80">
        <f t="shared" si="614"/>
        <v>1279.5761668027378</v>
      </c>
      <c r="BG545" s="80">
        <f t="shared" si="615"/>
        <v>734.93980183440965</v>
      </c>
      <c r="BH545" s="49">
        <f t="shared" si="616"/>
        <v>0</v>
      </c>
      <c r="BI545" s="79">
        <f t="shared" si="617"/>
        <v>-104393.01598266726</v>
      </c>
      <c r="BJ545" s="79">
        <f t="shared" si="534"/>
        <v>168321.53279356251</v>
      </c>
      <c r="BK545" s="44">
        <f t="shared" si="618"/>
        <v>0.61238308146504283</v>
      </c>
      <c r="BL545" s="79">
        <f t="shared" si="619"/>
        <v>21991.925443079788</v>
      </c>
      <c r="BM545" s="49">
        <f t="shared" si="620"/>
        <v>190313.4582366423</v>
      </c>
      <c r="BN545" s="44">
        <f t="shared" si="621"/>
        <v>0.82304780109275422</v>
      </c>
      <c r="BO545" s="49">
        <f t="shared" si="535"/>
        <v>28812.163246747263</v>
      </c>
      <c r="BP545" s="49">
        <f t="shared" si="536"/>
        <v>197133.69604030979</v>
      </c>
      <c r="BQ545" s="44">
        <f t="shared" si="622"/>
        <v>0.88838011992143806</v>
      </c>
      <c r="BS545" s="49">
        <f t="shared" si="623"/>
        <v>104393.01598266726</v>
      </c>
      <c r="BT545" s="49">
        <f t="shared" si="639"/>
        <v>120.160004</v>
      </c>
      <c r="BU545" s="49">
        <f t="shared" si="640"/>
        <v>40.209999000000003</v>
      </c>
      <c r="BV545" s="49">
        <f t="shared" si="624"/>
        <v>0</v>
      </c>
      <c r="BW545" s="18">
        <f t="shared" si="540"/>
        <v>3520</v>
      </c>
      <c r="BX545" s="19">
        <f t="shared" si="625"/>
        <v>0.19266055045871561</v>
      </c>
      <c r="BY545" s="49">
        <f t="shared" si="626"/>
        <v>0</v>
      </c>
      <c r="BZ545" s="19">
        <f t="shared" si="627"/>
        <v>0</v>
      </c>
      <c r="CA545" s="19">
        <f t="shared" si="628"/>
        <v>0</v>
      </c>
      <c r="CB545" s="19">
        <f t="shared" si="629"/>
        <v>0</v>
      </c>
      <c r="CC545" s="19">
        <f t="shared" si="630"/>
        <v>0</v>
      </c>
      <c r="CD545" s="19">
        <f t="shared" si="631"/>
        <v>0</v>
      </c>
      <c r="CE545" s="19">
        <f t="shared" si="632"/>
        <v>0</v>
      </c>
      <c r="CF545" s="49">
        <f t="shared" si="633"/>
        <v>0</v>
      </c>
      <c r="CG545" s="49">
        <f t="shared" si="634"/>
        <v>0</v>
      </c>
      <c r="CH545" s="49">
        <f t="shared" si="635"/>
        <v>0</v>
      </c>
      <c r="CI545" s="49">
        <f t="shared" si="636"/>
        <v>0</v>
      </c>
      <c r="CJ545" s="49">
        <f t="shared" si="637"/>
        <v>0</v>
      </c>
      <c r="CK545" s="49">
        <f t="shared" si="638"/>
        <v>0</v>
      </c>
    </row>
    <row r="546" spans="2:89" ht="12.75" customHeight="1" x14ac:dyDescent="0.2">
      <c r="B546" s="77">
        <v>42820</v>
      </c>
      <c r="C546" s="79">
        <v>121.32</v>
      </c>
      <c r="D546" s="79">
        <v>95.370002999999997</v>
      </c>
      <c r="E546" s="79">
        <v>101.91999800000001</v>
      </c>
      <c r="F546" s="79">
        <v>122.860001</v>
      </c>
      <c r="G546" s="79">
        <v>39.299999</v>
      </c>
      <c r="H546" s="79">
        <v>39.720001000000003</v>
      </c>
      <c r="I546" s="79"/>
      <c r="J546" s="78">
        <f>IF(inter=Weekly_2,J545+$C$5,IF(inter=Bi_weekly_2,J544+$C$5,IF(inter=Monthly_2,J542+$C$5,IF(inter=Quarterly_2,0,IF(inter=Yearly_2,0,IF(inter=None_2,0,0))))))</f>
        <v>171200</v>
      </c>
      <c r="K546" s="79">
        <f t="shared" si="541"/>
        <v>-818.93774985722121</v>
      </c>
      <c r="L546" s="79">
        <f t="shared" si="542"/>
        <v>-348.40719887831801</v>
      </c>
      <c r="M546" s="79">
        <f t="shared" si="543"/>
        <v>-158.24688365936527</v>
      </c>
      <c r="N546" s="79">
        <f t="shared" si="544"/>
        <v>-146.06141466739791</v>
      </c>
      <c r="O546" s="79">
        <f t="shared" si="545"/>
        <v>-193.36661540417117</v>
      </c>
      <c r="P546" s="79">
        <f t="shared" si="546"/>
        <v>-307.18921075413891</v>
      </c>
      <c r="Q546" s="79"/>
      <c r="R546" s="80">
        <f t="shared" si="516"/>
        <v>6.7502287327499282</v>
      </c>
      <c r="S546" s="80">
        <f t="shared" si="517"/>
        <v>3.6532157693055543</v>
      </c>
      <c r="T546" s="80">
        <f t="shared" si="518"/>
        <v>1.5526578371730861</v>
      </c>
      <c r="U546" s="80">
        <f t="shared" si="519"/>
        <v>1.1888443226318866</v>
      </c>
      <c r="V546" s="80">
        <f t="shared" si="520"/>
        <v>4.9202702372631402</v>
      </c>
      <c r="W546" s="80">
        <f t="shared" si="521"/>
        <v>7.7338671455254717</v>
      </c>
      <c r="X546" s="80">
        <f t="shared" si="598"/>
        <v>493.90042861852947</v>
      </c>
      <c r="Y546" s="80">
        <f t="shared" si="599"/>
        <v>179.51137109642326</v>
      </c>
      <c r="Z546" s="80">
        <f t="shared" si="600"/>
        <v>134.37990844544561</v>
      </c>
      <c r="AA546" s="80">
        <f t="shared" si="601"/>
        <v>97.541916835895208</v>
      </c>
      <c r="AB546" s="80">
        <f t="shared" si="602"/>
        <v>1089.0585518844416</v>
      </c>
      <c r="AC546" s="80">
        <f t="shared" si="603"/>
        <v>646.52566348122696</v>
      </c>
      <c r="AD546" s="80">
        <v>0.54200000000000004</v>
      </c>
      <c r="AE546" s="80">
        <v>0.55800000000000005</v>
      </c>
      <c r="AF546" s="80">
        <v>0.45200000000000001</v>
      </c>
      <c r="AG546" s="80">
        <v>0.47699999999999998</v>
      </c>
      <c r="AH546" s="80">
        <v>0.15</v>
      </c>
      <c r="AI546" s="80">
        <v>7.0999999999999994E-2</v>
      </c>
      <c r="AJ546" s="45">
        <f t="shared" si="590"/>
        <v>267.69403231124301</v>
      </c>
      <c r="AK546" s="45">
        <f t="shared" si="591"/>
        <v>100.16734507180419</v>
      </c>
      <c r="AL546" s="45">
        <f t="shared" si="592"/>
        <v>60.739718617341417</v>
      </c>
      <c r="AM546" s="45">
        <f t="shared" si="593"/>
        <v>46.527494330722014</v>
      </c>
      <c r="AN546" s="45">
        <f t="shared" si="594"/>
        <v>163.35878278266622</v>
      </c>
      <c r="AO546" s="45">
        <f t="shared" si="595"/>
        <v>45.903322107167106</v>
      </c>
      <c r="AP546" s="80">
        <f t="shared" si="528"/>
        <v>2.2065119709136418</v>
      </c>
      <c r="AQ546" s="80">
        <f t="shared" si="529"/>
        <v>1.0503024213158954</v>
      </c>
      <c r="AR546" s="80">
        <f t="shared" si="530"/>
        <v>0.59595486469045467</v>
      </c>
      <c r="AS546" s="80">
        <f t="shared" si="531"/>
        <v>0.37870335301984914</v>
      </c>
      <c r="AT546" s="80">
        <f t="shared" si="532"/>
        <v>4.1567121358620449</v>
      </c>
      <c r="AU546" s="80">
        <f t="shared" si="533"/>
        <v>1.1556727329177838</v>
      </c>
      <c r="AV546" s="80">
        <f t="shared" si="604"/>
        <v>79.967266527846064</v>
      </c>
      <c r="AW546" s="80">
        <f t="shared" si="605"/>
        <v>38.011614868832162</v>
      </c>
      <c r="AX546" s="80">
        <f t="shared" si="606"/>
        <v>23.588408050213204</v>
      </c>
      <c r="AY546" s="80">
        <f t="shared" si="607"/>
        <v>18.07616886764923</v>
      </c>
      <c r="AZ546" s="80">
        <f t="shared" si="608"/>
        <v>199.59459729142131</v>
      </c>
      <c r="BA546" s="80">
        <f t="shared" si="609"/>
        <v>97.303678231625909</v>
      </c>
      <c r="BB546" s="80">
        <f t="shared" si="610"/>
        <v>573.86769514637558</v>
      </c>
      <c r="BC546" s="80">
        <f t="shared" si="611"/>
        <v>217.52298596525543</v>
      </c>
      <c r="BD546" s="80">
        <f t="shared" si="612"/>
        <v>157.96831649565883</v>
      </c>
      <c r="BE546" s="80">
        <f t="shared" si="613"/>
        <v>115.61808570354444</v>
      </c>
      <c r="BF546" s="80">
        <f t="shared" si="614"/>
        <v>1288.6531491758628</v>
      </c>
      <c r="BG546" s="80">
        <f t="shared" si="615"/>
        <v>743.82934171285285</v>
      </c>
      <c r="BH546" s="49">
        <f t="shared" si="616"/>
        <v>684.39069522094394</v>
      </c>
      <c r="BI546" s="79">
        <f t="shared" si="617"/>
        <v>-106365.22505588787</v>
      </c>
      <c r="BJ546" s="79">
        <f t="shared" si="534"/>
        <v>171200</v>
      </c>
      <c r="BK546" s="44">
        <f t="shared" si="618"/>
        <v>0.60954860867398852</v>
      </c>
      <c r="BL546" s="79">
        <f t="shared" si="619"/>
        <v>22676.316138300732</v>
      </c>
      <c r="BM546" s="49">
        <f t="shared" si="620"/>
        <v>193876.31613830072</v>
      </c>
      <c r="BN546" s="44">
        <f t="shared" si="621"/>
        <v>0.8227415589675251</v>
      </c>
      <c r="BO546" s="49">
        <f t="shared" si="535"/>
        <v>29660.734896312242</v>
      </c>
      <c r="BP546" s="49">
        <f t="shared" si="536"/>
        <v>200860.73489631226</v>
      </c>
      <c r="BQ546" s="44">
        <f t="shared" si="622"/>
        <v>0.88840605367753667</v>
      </c>
      <c r="BS546" s="49">
        <f t="shared" si="623"/>
        <v>106365.22505588787</v>
      </c>
      <c r="BT546" s="49">
        <f t="shared" si="639"/>
        <v>121.32</v>
      </c>
      <c r="BU546" s="49">
        <f t="shared" si="640"/>
        <v>39.720001000000003</v>
      </c>
      <c r="BV546" s="49">
        <f t="shared" si="624"/>
        <v>1287.8183779996684</v>
      </c>
      <c r="BW546" s="18">
        <f t="shared" si="540"/>
        <v>3527</v>
      </c>
      <c r="BX546" s="19">
        <f t="shared" si="625"/>
        <v>0.19105504587155964</v>
      </c>
      <c r="BY546" s="49">
        <f t="shared" si="626"/>
        <v>246.04419928296417</v>
      </c>
      <c r="BZ546" s="19">
        <f t="shared" si="627"/>
        <v>6.7502287327499282</v>
      </c>
      <c r="CA546" s="19">
        <f t="shared" si="628"/>
        <v>3.6532157693055543</v>
      </c>
      <c r="CB546" s="19">
        <f t="shared" si="629"/>
        <v>1.5526578371730861</v>
      </c>
      <c r="CC546" s="19">
        <f t="shared" si="630"/>
        <v>1.1888443226318866</v>
      </c>
      <c r="CD546" s="19">
        <f t="shared" si="631"/>
        <v>4.9202702372631402</v>
      </c>
      <c r="CE546" s="19">
        <f t="shared" si="632"/>
        <v>7.7338671455254717</v>
      </c>
      <c r="CF546" s="49">
        <f t="shared" si="633"/>
        <v>-818.93774985722121</v>
      </c>
      <c r="CG546" s="49">
        <f t="shared" si="634"/>
        <v>-348.40719887831801</v>
      </c>
      <c r="CH546" s="49">
        <f t="shared" si="635"/>
        <v>-158.24688365936527</v>
      </c>
      <c r="CI546" s="49">
        <f t="shared" si="636"/>
        <v>-146.06141466739791</v>
      </c>
      <c r="CJ546" s="49">
        <f t="shared" si="637"/>
        <v>-193.36661540417117</v>
      </c>
      <c r="CK546" s="49">
        <f t="shared" si="638"/>
        <v>-307.18921075413891</v>
      </c>
    </row>
    <row r="547" spans="2:89" ht="12.75" customHeight="1" x14ac:dyDescent="0.2">
      <c r="B547" s="77">
        <v>42827</v>
      </c>
      <c r="C547" s="79">
        <v>120.879997</v>
      </c>
      <c r="D547" s="79">
        <v>95.089995999999999</v>
      </c>
      <c r="E547" s="79">
        <v>101.349998</v>
      </c>
      <c r="F547" s="79">
        <v>121.610001</v>
      </c>
      <c r="G547" s="79">
        <v>39.009998000000003</v>
      </c>
      <c r="H547" s="79">
        <v>39.970001000000003</v>
      </c>
      <c r="I547" s="79"/>
      <c r="J547" s="78">
        <f>IF(inter=Weekly_2,J546+$C$5,IF(inter=Bi_weekly_2,0,IF(inter=Monthly_2,0,IF(inter=Quarterly_2,0,IF(inter=Yearly_2,0,IF(inter=None_2,0,0))))))</f>
        <v>0</v>
      </c>
      <c r="K547" s="79">
        <f t="shared" si="541"/>
        <v>0</v>
      </c>
      <c r="L547" s="79">
        <f t="shared" si="542"/>
        <v>0</v>
      </c>
      <c r="M547" s="79">
        <f t="shared" si="543"/>
        <v>0</v>
      </c>
      <c r="N547" s="79">
        <f t="shared" si="544"/>
        <v>0</v>
      </c>
      <c r="O547" s="79">
        <f t="shared" si="545"/>
        <v>0</v>
      </c>
      <c r="P547" s="79">
        <f t="shared" si="546"/>
        <v>0</v>
      </c>
      <c r="Q547" s="79"/>
      <c r="R547" s="80">
        <f t="shared" si="516"/>
        <v>0</v>
      </c>
      <c r="S547" s="80">
        <f t="shared" si="517"/>
        <v>0</v>
      </c>
      <c r="T547" s="80">
        <f t="shared" si="518"/>
        <v>0</v>
      </c>
      <c r="U547" s="80">
        <f t="shared" si="519"/>
        <v>0</v>
      </c>
      <c r="V547" s="80">
        <f t="shared" si="520"/>
        <v>0</v>
      </c>
      <c r="W547" s="80">
        <f t="shared" si="521"/>
        <v>0</v>
      </c>
      <c r="X547" s="80">
        <f t="shared" si="598"/>
        <v>493.90042861852947</v>
      </c>
      <c r="Y547" s="80">
        <f t="shared" si="599"/>
        <v>179.51137109642326</v>
      </c>
      <c r="Z547" s="80">
        <f t="shared" si="600"/>
        <v>134.37990844544561</v>
      </c>
      <c r="AA547" s="80">
        <f t="shared" si="601"/>
        <v>97.541916835895208</v>
      </c>
      <c r="AB547" s="80">
        <f t="shared" si="602"/>
        <v>1089.0585518844416</v>
      </c>
      <c r="AC547" s="80">
        <f t="shared" si="603"/>
        <v>646.52566348122696</v>
      </c>
      <c r="AD547" s="80"/>
      <c r="AE547" s="80"/>
      <c r="AF547" s="80"/>
      <c r="AG547" s="80"/>
      <c r="AH547" s="80"/>
      <c r="AI547" s="80"/>
      <c r="AJ547" s="45">
        <f t="shared" si="590"/>
        <v>0</v>
      </c>
      <c r="AK547" s="45">
        <f t="shared" si="591"/>
        <v>0</v>
      </c>
      <c r="AL547" s="45">
        <f t="shared" si="592"/>
        <v>0</v>
      </c>
      <c r="AM547" s="45">
        <f t="shared" si="593"/>
        <v>0</v>
      </c>
      <c r="AN547" s="45">
        <f t="shared" si="594"/>
        <v>0</v>
      </c>
      <c r="AO547" s="45">
        <f t="shared" si="595"/>
        <v>0</v>
      </c>
      <c r="AP547" s="80">
        <f t="shared" si="528"/>
        <v>0</v>
      </c>
      <c r="AQ547" s="80">
        <f t="shared" si="529"/>
        <v>0</v>
      </c>
      <c r="AR547" s="80">
        <f t="shared" si="530"/>
        <v>0</v>
      </c>
      <c r="AS547" s="80">
        <f t="shared" si="531"/>
        <v>0</v>
      </c>
      <c r="AT547" s="80">
        <f t="shared" si="532"/>
        <v>0</v>
      </c>
      <c r="AU547" s="80">
        <f t="shared" si="533"/>
        <v>0</v>
      </c>
      <c r="AV547" s="80">
        <f t="shared" si="604"/>
        <v>79.967266527846064</v>
      </c>
      <c r="AW547" s="80">
        <f t="shared" si="605"/>
        <v>38.011614868832162</v>
      </c>
      <c r="AX547" s="80">
        <f t="shared" si="606"/>
        <v>23.588408050213204</v>
      </c>
      <c r="AY547" s="80">
        <f t="shared" si="607"/>
        <v>18.07616886764923</v>
      </c>
      <c r="AZ547" s="80">
        <f t="shared" si="608"/>
        <v>199.59459729142131</v>
      </c>
      <c r="BA547" s="80">
        <f t="shared" si="609"/>
        <v>97.303678231625909</v>
      </c>
      <c r="BB547" s="80">
        <f t="shared" si="610"/>
        <v>573.86769514637558</v>
      </c>
      <c r="BC547" s="80">
        <f t="shared" si="611"/>
        <v>217.52298596525543</v>
      </c>
      <c r="BD547" s="80">
        <f t="shared" si="612"/>
        <v>157.96831649565883</v>
      </c>
      <c r="BE547" s="80">
        <f t="shared" si="613"/>
        <v>115.61808570354444</v>
      </c>
      <c r="BF547" s="80">
        <f t="shared" si="614"/>
        <v>1288.6531491758628</v>
      </c>
      <c r="BG547" s="80">
        <f t="shared" si="615"/>
        <v>743.82934171285285</v>
      </c>
      <c r="BH547" s="49">
        <f t="shared" si="616"/>
        <v>0</v>
      </c>
      <c r="BI547" s="79">
        <f t="shared" si="617"/>
        <v>-106365.22505588787</v>
      </c>
      <c r="BJ547" s="79">
        <f t="shared" si="534"/>
        <v>170579.69729212645</v>
      </c>
      <c r="BK547" s="44">
        <f t="shared" si="618"/>
        <v>0.60371678997997824</v>
      </c>
      <c r="BL547" s="79">
        <f t="shared" si="619"/>
        <v>22676.316138300732</v>
      </c>
      <c r="BM547" s="49">
        <f t="shared" si="620"/>
        <v>193256.01343042718</v>
      </c>
      <c r="BN547" s="44">
        <f t="shared" si="621"/>
        <v>0.81690974027351482</v>
      </c>
      <c r="BO547" s="49">
        <f t="shared" si="535"/>
        <v>29545.308223969223</v>
      </c>
      <c r="BP547" s="49">
        <f t="shared" si="536"/>
        <v>200125.00551609567</v>
      </c>
      <c r="BQ547" s="44">
        <f t="shared" si="622"/>
        <v>0.88148904316183452</v>
      </c>
      <c r="BS547" s="49">
        <f t="shared" si="623"/>
        <v>106365.22505588787</v>
      </c>
      <c r="BT547" s="49">
        <f t="shared" si="639"/>
        <v>120.879997</v>
      </c>
      <c r="BU547" s="49">
        <f t="shared" si="640"/>
        <v>39.970001000000003</v>
      </c>
      <c r="BV547" s="49">
        <f t="shared" si="624"/>
        <v>0</v>
      </c>
      <c r="BW547" s="18">
        <f t="shared" si="540"/>
        <v>3534</v>
      </c>
      <c r="BX547" s="19">
        <f t="shared" si="625"/>
        <v>0.18944954128440367</v>
      </c>
      <c r="BY547" s="49">
        <f t="shared" si="626"/>
        <v>0</v>
      </c>
      <c r="BZ547" s="19">
        <f t="shared" si="627"/>
        <v>0</v>
      </c>
      <c r="CA547" s="19">
        <f t="shared" si="628"/>
        <v>0</v>
      </c>
      <c r="CB547" s="19">
        <f t="shared" si="629"/>
        <v>0</v>
      </c>
      <c r="CC547" s="19">
        <f t="shared" si="630"/>
        <v>0</v>
      </c>
      <c r="CD547" s="19">
        <f t="shared" si="631"/>
        <v>0</v>
      </c>
      <c r="CE547" s="19">
        <f t="shared" si="632"/>
        <v>0</v>
      </c>
      <c r="CF547" s="49">
        <f t="shared" si="633"/>
        <v>0</v>
      </c>
      <c r="CG547" s="49">
        <f t="shared" si="634"/>
        <v>0</v>
      </c>
      <c r="CH547" s="49">
        <f t="shared" si="635"/>
        <v>0</v>
      </c>
      <c r="CI547" s="49">
        <f t="shared" si="636"/>
        <v>0</v>
      </c>
      <c r="CJ547" s="49">
        <f t="shared" si="637"/>
        <v>0</v>
      </c>
      <c r="CK547" s="49">
        <f t="shared" si="638"/>
        <v>0</v>
      </c>
    </row>
    <row r="548" spans="2:89" ht="12.75" customHeight="1" x14ac:dyDescent="0.2">
      <c r="B548" s="77">
        <v>42834</v>
      </c>
      <c r="C548" s="79">
        <v>119.550003</v>
      </c>
      <c r="D548" s="79">
        <v>93.910004000000001</v>
      </c>
      <c r="E548" s="79">
        <v>100.16999800000001</v>
      </c>
      <c r="F548" s="79">
        <v>119.709999</v>
      </c>
      <c r="G548" s="79">
        <v>38.889999000000003</v>
      </c>
      <c r="H548" s="79">
        <v>39.75</v>
      </c>
      <c r="I548" s="79"/>
      <c r="J548" s="78">
        <f>IF(inter=Weekly_2,J547+$C$5,IF(inter=Bi_weekly_2,J546+$C$5,IF(inter=Monthly_2,0,IF(inter=Quarterly_2,0,IF(inter=Yearly_2,0,IF(inter=None_2,0,0))))))</f>
        <v>171800</v>
      </c>
      <c r="K548" s="79">
        <f t="shared" si="541"/>
        <v>-1084.2022769535033</v>
      </c>
      <c r="L548" s="79">
        <f t="shared" si="542"/>
        <v>-322.0864222894088</v>
      </c>
      <c r="M548" s="79">
        <f t="shared" si="543"/>
        <v>-283.16483977952885</v>
      </c>
      <c r="N548" s="79">
        <f t="shared" si="544"/>
        <v>-349.25723311690308</v>
      </c>
      <c r="O548" s="79">
        <f t="shared" si="545"/>
        <v>-596.51400627261319</v>
      </c>
      <c r="P548" s="79">
        <f t="shared" si="546"/>
        <v>-70.604876621229778</v>
      </c>
      <c r="Q548" s="79"/>
      <c r="R548" s="80">
        <f t="shared" si="516"/>
        <v>9.0690276013920581</v>
      </c>
      <c r="S548" s="80">
        <f t="shared" si="517"/>
        <v>3.4297349437809501</v>
      </c>
      <c r="T548" s="80">
        <f t="shared" si="518"/>
        <v>2.8268428215355343</v>
      </c>
      <c r="U548" s="80">
        <f t="shared" si="519"/>
        <v>2.9175276587956791</v>
      </c>
      <c r="V548" s="80">
        <f t="shared" si="520"/>
        <v>15.338493741607273</v>
      </c>
      <c r="W548" s="80">
        <f t="shared" si="521"/>
        <v>1.7762233112259063</v>
      </c>
      <c r="X548" s="80">
        <f t="shared" si="598"/>
        <v>502.96945621992154</v>
      </c>
      <c r="Y548" s="80">
        <f t="shared" si="599"/>
        <v>182.9411060402042</v>
      </c>
      <c r="Z548" s="80">
        <f t="shared" si="600"/>
        <v>137.20675126698114</v>
      </c>
      <c r="AA548" s="80">
        <f t="shared" si="601"/>
        <v>100.45944449469089</v>
      </c>
      <c r="AB548" s="80">
        <f t="shared" si="602"/>
        <v>1104.3970456260488</v>
      </c>
      <c r="AC548" s="80">
        <f t="shared" si="603"/>
        <v>648.30188679245282</v>
      </c>
      <c r="AD548" s="80"/>
      <c r="AE548" s="80"/>
      <c r="AF548" s="80"/>
      <c r="AG548" s="80"/>
      <c r="AH548" s="80"/>
      <c r="AI548" s="80"/>
      <c r="AJ548" s="45">
        <f t="shared" si="590"/>
        <v>0</v>
      </c>
      <c r="AK548" s="45">
        <f t="shared" si="591"/>
        <v>0</v>
      </c>
      <c r="AL548" s="45">
        <f t="shared" si="592"/>
        <v>0</v>
      </c>
      <c r="AM548" s="45">
        <f t="shared" si="593"/>
        <v>0</v>
      </c>
      <c r="AN548" s="45">
        <f t="shared" si="594"/>
        <v>0</v>
      </c>
      <c r="AO548" s="45">
        <f t="shared" si="595"/>
        <v>0</v>
      </c>
      <c r="AP548" s="80">
        <f t="shared" si="528"/>
        <v>0</v>
      </c>
      <c r="AQ548" s="80">
        <f t="shared" si="529"/>
        <v>0</v>
      </c>
      <c r="AR548" s="80">
        <f t="shared" si="530"/>
        <v>0</v>
      </c>
      <c r="AS548" s="80">
        <f t="shared" si="531"/>
        <v>0</v>
      </c>
      <c r="AT548" s="80">
        <f t="shared" si="532"/>
        <v>0</v>
      </c>
      <c r="AU548" s="80">
        <f t="shared" si="533"/>
        <v>0</v>
      </c>
      <c r="AV548" s="80">
        <f t="shared" si="604"/>
        <v>79.967266527846064</v>
      </c>
      <c r="AW548" s="80">
        <f t="shared" si="605"/>
        <v>38.011614868832162</v>
      </c>
      <c r="AX548" s="80">
        <f t="shared" si="606"/>
        <v>23.588408050213204</v>
      </c>
      <c r="AY548" s="80">
        <f t="shared" si="607"/>
        <v>18.07616886764923</v>
      </c>
      <c r="AZ548" s="80">
        <f t="shared" si="608"/>
        <v>199.59459729142131</v>
      </c>
      <c r="BA548" s="80">
        <f t="shared" si="609"/>
        <v>97.303678231625909</v>
      </c>
      <c r="BB548" s="80">
        <f t="shared" si="610"/>
        <v>582.93672274776759</v>
      </c>
      <c r="BC548" s="80">
        <f t="shared" si="611"/>
        <v>220.95272090903637</v>
      </c>
      <c r="BD548" s="80">
        <f t="shared" si="612"/>
        <v>160.79515931719436</v>
      </c>
      <c r="BE548" s="80">
        <f t="shared" si="613"/>
        <v>118.53561336234011</v>
      </c>
      <c r="BF548" s="80">
        <f t="shared" si="614"/>
        <v>1303.99164291747</v>
      </c>
      <c r="BG548" s="80">
        <f t="shared" si="615"/>
        <v>745.60556502407871</v>
      </c>
      <c r="BH548" s="49">
        <f t="shared" si="616"/>
        <v>0</v>
      </c>
      <c r="BI548" s="79">
        <f t="shared" si="617"/>
        <v>-109071.05471092106</v>
      </c>
      <c r="BJ548" s="79">
        <f t="shared" si="534"/>
        <v>171800</v>
      </c>
      <c r="BK548" s="44">
        <f t="shared" si="618"/>
        <v>0.57512000278473541</v>
      </c>
      <c r="BL548" s="79">
        <f t="shared" si="619"/>
        <v>22676.316138300732</v>
      </c>
      <c r="BM548" s="49">
        <f t="shared" si="620"/>
        <v>194476.31613830072</v>
      </c>
      <c r="BN548" s="44">
        <f t="shared" si="621"/>
        <v>0.78302407227779569</v>
      </c>
      <c r="BO548" s="49">
        <f t="shared" si="535"/>
        <v>29286.561700743354</v>
      </c>
      <c r="BP548" s="49">
        <f t="shared" si="536"/>
        <v>201086.56170074333</v>
      </c>
      <c r="BQ548" s="44">
        <f t="shared" si="622"/>
        <v>0.8436290199420704</v>
      </c>
      <c r="BS548" s="49">
        <f t="shared" si="623"/>
        <v>109071.05471092106</v>
      </c>
      <c r="BT548" s="49">
        <f t="shared" si="639"/>
        <v>119.550003</v>
      </c>
      <c r="BU548" s="49">
        <f t="shared" si="640"/>
        <v>39.75</v>
      </c>
      <c r="BV548" s="49">
        <f t="shared" si="624"/>
        <v>2705.829655033187</v>
      </c>
      <c r="BW548" s="18">
        <f t="shared" si="540"/>
        <v>3541</v>
      </c>
      <c r="BX548" s="19">
        <f t="shared" si="625"/>
        <v>0.1878440366972477</v>
      </c>
      <c r="BY548" s="49">
        <f t="shared" si="626"/>
        <v>508.27396501655505</v>
      </c>
      <c r="BZ548" s="19">
        <f t="shared" si="627"/>
        <v>9.0690276013920581</v>
      </c>
      <c r="CA548" s="19">
        <f t="shared" si="628"/>
        <v>3.4297349437809501</v>
      </c>
      <c r="CB548" s="19">
        <f t="shared" si="629"/>
        <v>2.8268428215355343</v>
      </c>
      <c r="CC548" s="19">
        <f t="shared" si="630"/>
        <v>2.9175276587956791</v>
      </c>
      <c r="CD548" s="19">
        <f t="shared" si="631"/>
        <v>15.338493741607273</v>
      </c>
      <c r="CE548" s="19">
        <f t="shared" si="632"/>
        <v>1.7762233112259063</v>
      </c>
      <c r="CF548" s="49">
        <f t="shared" si="633"/>
        <v>-1084.2022769535033</v>
      </c>
      <c r="CG548" s="49">
        <f t="shared" si="634"/>
        <v>-322.0864222894088</v>
      </c>
      <c r="CH548" s="49">
        <f t="shared" si="635"/>
        <v>-283.16483977952885</v>
      </c>
      <c r="CI548" s="49">
        <f t="shared" si="636"/>
        <v>-349.25723311690308</v>
      </c>
      <c r="CJ548" s="49">
        <f t="shared" si="637"/>
        <v>-596.51400627261319</v>
      </c>
      <c r="CK548" s="49">
        <f t="shared" si="638"/>
        <v>-70.604876621229778</v>
      </c>
    </row>
    <row r="549" spans="2:89" ht="12.75" customHeight="1" x14ac:dyDescent="0.2">
      <c r="B549" s="77">
        <v>42841</v>
      </c>
      <c r="C549" s="79">
        <v>120.83000199999999</v>
      </c>
      <c r="D549" s="79">
        <v>94.360000999999997</v>
      </c>
      <c r="E549" s="79">
        <v>101.30999799999999</v>
      </c>
      <c r="F549" s="79">
        <v>122.300003</v>
      </c>
      <c r="G549" s="79">
        <v>39.169998</v>
      </c>
      <c r="H549" s="79">
        <v>39.700001</v>
      </c>
      <c r="I549" s="79"/>
      <c r="J549" s="78">
        <f>IF(inter=Weekly_2,J548+$C$5,IF(inter=Bi_weekly_2,0,IF(inter=Monthly_2,0,IF(inter=Quarterly_2,J536+$C$5,IF(inter=Yearly_2,0,IF(inter=None_2,0,0))))))</f>
        <v>0</v>
      </c>
      <c r="K549" s="79">
        <f t="shared" si="541"/>
        <v>0</v>
      </c>
      <c r="L549" s="79">
        <f t="shared" si="542"/>
        <v>0</v>
      </c>
      <c r="M549" s="79">
        <f t="shared" si="543"/>
        <v>0</v>
      </c>
      <c r="N549" s="79">
        <f t="shared" si="544"/>
        <v>0</v>
      </c>
      <c r="O549" s="79">
        <f t="shared" si="545"/>
        <v>0</v>
      </c>
      <c r="P549" s="79">
        <f t="shared" si="546"/>
        <v>0</v>
      </c>
      <c r="Q549" s="79"/>
      <c r="R549" s="80">
        <f t="shared" si="516"/>
        <v>0</v>
      </c>
      <c r="S549" s="80">
        <f t="shared" si="517"/>
        <v>0</v>
      </c>
      <c r="T549" s="80">
        <f t="shared" si="518"/>
        <v>0</v>
      </c>
      <c r="U549" s="80">
        <f t="shared" si="519"/>
        <v>0</v>
      </c>
      <c r="V549" s="80">
        <f t="shared" si="520"/>
        <v>0</v>
      </c>
      <c r="W549" s="80">
        <f t="shared" si="521"/>
        <v>0</v>
      </c>
      <c r="X549" s="80">
        <f t="shared" si="598"/>
        <v>502.96945621992154</v>
      </c>
      <c r="Y549" s="80">
        <f t="shared" si="599"/>
        <v>182.9411060402042</v>
      </c>
      <c r="Z549" s="80">
        <f t="shared" si="600"/>
        <v>137.20675126698114</v>
      </c>
      <c r="AA549" s="80">
        <f t="shared" si="601"/>
        <v>100.45944449469089</v>
      </c>
      <c r="AB549" s="80">
        <f t="shared" si="602"/>
        <v>1104.3970456260488</v>
      </c>
      <c r="AC549" s="80">
        <f t="shared" si="603"/>
        <v>648.30188679245282</v>
      </c>
      <c r="AD549" s="80"/>
      <c r="AE549" s="80"/>
      <c r="AF549" s="80"/>
      <c r="AG549" s="80"/>
      <c r="AH549" s="80"/>
      <c r="AI549" s="80"/>
      <c r="AJ549" s="45">
        <f t="shared" si="590"/>
        <v>0</v>
      </c>
      <c r="AK549" s="45">
        <f t="shared" si="591"/>
        <v>0</v>
      </c>
      <c r="AL549" s="45">
        <f t="shared" si="592"/>
        <v>0</v>
      </c>
      <c r="AM549" s="45">
        <f t="shared" si="593"/>
        <v>0</v>
      </c>
      <c r="AN549" s="45">
        <f t="shared" si="594"/>
        <v>0</v>
      </c>
      <c r="AO549" s="45">
        <f t="shared" si="595"/>
        <v>0</v>
      </c>
      <c r="AP549" s="80">
        <f t="shared" si="528"/>
        <v>0</v>
      </c>
      <c r="AQ549" s="80">
        <f t="shared" si="529"/>
        <v>0</v>
      </c>
      <c r="AR549" s="80">
        <f t="shared" si="530"/>
        <v>0</v>
      </c>
      <c r="AS549" s="80">
        <f t="shared" si="531"/>
        <v>0</v>
      </c>
      <c r="AT549" s="80">
        <f t="shared" si="532"/>
        <v>0</v>
      </c>
      <c r="AU549" s="80">
        <f t="shared" si="533"/>
        <v>0</v>
      </c>
      <c r="AV549" s="80">
        <f t="shared" si="604"/>
        <v>79.967266527846064</v>
      </c>
      <c r="AW549" s="80">
        <f t="shared" si="605"/>
        <v>38.011614868832162</v>
      </c>
      <c r="AX549" s="80">
        <f t="shared" si="606"/>
        <v>23.588408050213204</v>
      </c>
      <c r="AY549" s="80">
        <f t="shared" si="607"/>
        <v>18.07616886764923</v>
      </c>
      <c r="AZ549" s="80">
        <f t="shared" si="608"/>
        <v>199.59459729142131</v>
      </c>
      <c r="BA549" s="80">
        <f t="shared" si="609"/>
        <v>97.303678231625909</v>
      </c>
      <c r="BB549" s="80">
        <f t="shared" si="610"/>
        <v>582.93672274776759</v>
      </c>
      <c r="BC549" s="80">
        <f t="shared" si="611"/>
        <v>220.95272090903637</v>
      </c>
      <c r="BD549" s="80">
        <f t="shared" si="612"/>
        <v>160.79515931719436</v>
      </c>
      <c r="BE549" s="80">
        <f t="shared" si="613"/>
        <v>118.53561336234011</v>
      </c>
      <c r="BF549" s="80">
        <f t="shared" si="614"/>
        <v>1303.99164291747</v>
      </c>
      <c r="BG549" s="80">
        <f t="shared" si="615"/>
        <v>745.60556502407871</v>
      </c>
      <c r="BH549" s="49">
        <f t="shared" si="616"/>
        <v>0</v>
      </c>
      <c r="BI549" s="79">
        <f t="shared" si="617"/>
        <v>-109071.05471092106</v>
      </c>
      <c r="BJ549" s="79">
        <f t="shared" si="534"/>
        <v>173219.54503175069</v>
      </c>
      <c r="BK549" s="44">
        <f t="shared" si="618"/>
        <v>0.58813486759477152</v>
      </c>
      <c r="BL549" s="79">
        <f t="shared" si="619"/>
        <v>22676.316138300732</v>
      </c>
      <c r="BM549" s="49">
        <f t="shared" si="620"/>
        <v>195895.86117005142</v>
      </c>
      <c r="BN549" s="44">
        <f t="shared" si="621"/>
        <v>0.7960389370878318</v>
      </c>
      <c r="BO549" s="49">
        <f t="shared" si="535"/>
        <v>29530.754170476084</v>
      </c>
      <c r="BP549" s="49">
        <f t="shared" si="536"/>
        <v>202750.29920222677</v>
      </c>
      <c r="BQ549" s="44">
        <f t="shared" si="622"/>
        <v>0.85888272318985659</v>
      </c>
      <c r="BS549" s="49">
        <f t="shared" si="623"/>
        <v>109071.05471092106</v>
      </c>
      <c r="BT549" s="49">
        <f t="shared" si="639"/>
        <v>120.83000199999999</v>
      </c>
      <c r="BU549" s="49">
        <f t="shared" si="640"/>
        <v>39.700001</v>
      </c>
      <c r="BV549" s="49">
        <f t="shared" si="624"/>
        <v>0</v>
      </c>
      <c r="BW549" s="18">
        <f t="shared" si="540"/>
        <v>3548</v>
      </c>
      <c r="BX549" s="19">
        <f t="shared" si="625"/>
        <v>0.18623853211009175</v>
      </c>
      <c r="BY549" s="49">
        <f t="shared" si="626"/>
        <v>0</v>
      </c>
      <c r="BZ549" s="19">
        <f t="shared" si="627"/>
        <v>0</v>
      </c>
      <c r="CA549" s="19">
        <f t="shared" si="628"/>
        <v>0</v>
      </c>
      <c r="CB549" s="19">
        <f t="shared" si="629"/>
        <v>0</v>
      </c>
      <c r="CC549" s="19">
        <f t="shared" si="630"/>
        <v>0</v>
      </c>
      <c r="CD549" s="19">
        <f t="shared" si="631"/>
        <v>0</v>
      </c>
      <c r="CE549" s="19">
        <f t="shared" si="632"/>
        <v>0</v>
      </c>
      <c r="CF549" s="49">
        <f t="shared" si="633"/>
        <v>0</v>
      </c>
      <c r="CG549" s="49">
        <f t="shared" si="634"/>
        <v>0</v>
      </c>
      <c r="CH549" s="49">
        <f t="shared" si="635"/>
        <v>0</v>
      </c>
      <c r="CI549" s="49">
        <f t="shared" si="636"/>
        <v>0</v>
      </c>
      <c r="CJ549" s="49">
        <f t="shared" si="637"/>
        <v>0</v>
      </c>
      <c r="CK549" s="49">
        <f t="shared" si="638"/>
        <v>0</v>
      </c>
    </row>
    <row r="550" spans="2:89" ht="12.75" customHeight="1" x14ac:dyDescent="0.2">
      <c r="B550" s="77">
        <v>42848</v>
      </c>
      <c r="C550" s="79">
        <v>122.610001</v>
      </c>
      <c r="D550" s="79">
        <v>95.339995999999999</v>
      </c>
      <c r="E550" s="79">
        <v>102.32</v>
      </c>
      <c r="F550" s="79">
        <v>123.349998</v>
      </c>
      <c r="G550" s="79">
        <v>40.169998</v>
      </c>
      <c r="H550" s="79">
        <v>40.340000000000003</v>
      </c>
      <c r="I550" s="79"/>
      <c r="J550" s="78">
        <f>IF(inter=Weekly_2,J549+$C$5,IF(inter=Bi_weekly_2,J548+$C$5,IF(inter=Monthly_2,J546+$C$5,IF(inter=Quarterly_2,0,IF(inter=Yearly_2,0,IF(inter=None_2,0,0))))))</f>
        <v>172400</v>
      </c>
      <c r="K550" s="79">
        <f t="shared" si="541"/>
        <v>1329.0855300940384</v>
      </c>
      <c r="L550" s="79">
        <f t="shared" si="542"/>
        <v>201.60431810864611</v>
      </c>
      <c r="M550" s="79">
        <f t="shared" si="543"/>
        <v>246.9947896375088</v>
      </c>
      <c r="N550" s="79">
        <f t="shared" si="544"/>
        <v>323.67227750122947</v>
      </c>
      <c r="O550" s="79">
        <f t="shared" si="545"/>
        <v>1263.6271140042882</v>
      </c>
      <c r="P550" s="79">
        <f t="shared" si="546"/>
        <v>292.49811320754816</v>
      </c>
      <c r="Q550" s="79"/>
      <c r="R550" s="80">
        <f t="shared" si="516"/>
        <v>-10.839943881038208</v>
      </c>
      <c r="S550" s="80">
        <f t="shared" si="517"/>
        <v>-2.1145828253301597</v>
      </c>
      <c r="T550" s="80">
        <f t="shared" si="518"/>
        <v>-2.413944386605833</v>
      </c>
      <c r="U550" s="80">
        <f t="shared" si="519"/>
        <v>-2.6240152634719092</v>
      </c>
      <c r="V550" s="80">
        <f t="shared" si="520"/>
        <v>-31.456987227240791</v>
      </c>
      <c r="W550" s="80">
        <f t="shared" si="521"/>
        <v>-7.2508208529387241</v>
      </c>
      <c r="X550" s="80">
        <f t="shared" si="598"/>
        <v>492.12951233888333</v>
      </c>
      <c r="Y550" s="80">
        <f t="shared" si="599"/>
        <v>180.82652321487404</v>
      </c>
      <c r="Z550" s="80">
        <f t="shared" si="600"/>
        <v>134.79280688037531</v>
      </c>
      <c r="AA550" s="80">
        <f t="shared" si="601"/>
        <v>97.835429231218981</v>
      </c>
      <c r="AB550" s="80">
        <f t="shared" si="602"/>
        <v>1072.9400583988081</v>
      </c>
      <c r="AC550" s="80">
        <f t="shared" si="603"/>
        <v>641.05106593951405</v>
      </c>
      <c r="AD550" s="80"/>
      <c r="AE550" s="80"/>
      <c r="AF550" s="80"/>
      <c r="AG550" s="80"/>
      <c r="AH550" s="80"/>
      <c r="AI550" s="80"/>
      <c r="AJ550" s="45">
        <f t="shared" si="590"/>
        <v>0</v>
      </c>
      <c r="AK550" s="45">
        <f t="shared" si="591"/>
        <v>0</v>
      </c>
      <c r="AL550" s="45">
        <f t="shared" si="592"/>
        <v>0</v>
      </c>
      <c r="AM550" s="45">
        <f t="shared" si="593"/>
        <v>0</v>
      </c>
      <c r="AN550" s="45">
        <f t="shared" si="594"/>
        <v>0</v>
      </c>
      <c r="AO550" s="45">
        <f t="shared" si="595"/>
        <v>0</v>
      </c>
      <c r="AP550" s="80">
        <f t="shared" si="528"/>
        <v>0</v>
      </c>
      <c r="AQ550" s="80">
        <f t="shared" si="529"/>
        <v>0</v>
      </c>
      <c r="AR550" s="80">
        <f t="shared" si="530"/>
        <v>0</v>
      </c>
      <c r="AS550" s="80">
        <f t="shared" si="531"/>
        <v>0</v>
      </c>
      <c r="AT550" s="80">
        <f t="shared" si="532"/>
        <v>0</v>
      </c>
      <c r="AU550" s="80">
        <f t="shared" si="533"/>
        <v>0</v>
      </c>
      <c r="AV550" s="80">
        <f t="shared" si="604"/>
        <v>79.967266527846064</v>
      </c>
      <c r="AW550" s="80">
        <f t="shared" si="605"/>
        <v>38.011614868832162</v>
      </c>
      <c r="AX550" s="80">
        <f t="shared" si="606"/>
        <v>23.588408050213204</v>
      </c>
      <c r="AY550" s="80">
        <f t="shared" si="607"/>
        <v>18.07616886764923</v>
      </c>
      <c r="AZ550" s="80">
        <f t="shared" si="608"/>
        <v>199.59459729142131</v>
      </c>
      <c r="BA550" s="80">
        <f t="shared" si="609"/>
        <v>97.303678231625909</v>
      </c>
      <c r="BB550" s="80">
        <f t="shared" si="610"/>
        <v>572.09677886672944</v>
      </c>
      <c r="BC550" s="80">
        <f t="shared" si="611"/>
        <v>218.83813808370621</v>
      </c>
      <c r="BD550" s="80">
        <f t="shared" si="612"/>
        <v>158.3812149305885</v>
      </c>
      <c r="BE550" s="80">
        <f t="shared" si="613"/>
        <v>115.91159809886821</v>
      </c>
      <c r="BF550" s="80">
        <f t="shared" si="614"/>
        <v>1272.5346556902293</v>
      </c>
      <c r="BG550" s="80">
        <f t="shared" si="615"/>
        <v>738.35474417113994</v>
      </c>
      <c r="BH550" s="49">
        <f t="shared" si="616"/>
        <v>0</v>
      </c>
      <c r="BI550" s="79">
        <f t="shared" si="617"/>
        <v>-105413.57256836782</v>
      </c>
      <c r="BJ550" s="79">
        <f t="shared" si="534"/>
        <v>172400</v>
      </c>
      <c r="BK550" s="44">
        <f t="shared" si="618"/>
        <v>0.63546302245080399</v>
      </c>
      <c r="BL550" s="79">
        <f t="shared" si="619"/>
        <v>22676.316138300732</v>
      </c>
      <c r="BM550" s="49">
        <f t="shared" si="620"/>
        <v>195076.31613830072</v>
      </c>
      <c r="BN550" s="44">
        <f t="shared" si="621"/>
        <v>0.85058063573151887</v>
      </c>
      <c r="BO550" s="49">
        <f t="shared" si="535"/>
        <v>30015.020097735469</v>
      </c>
      <c r="BP550" s="49">
        <f t="shared" si="536"/>
        <v>202415.02009773548</v>
      </c>
      <c r="BQ550" s="44">
        <f t="shared" si="622"/>
        <v>0.92019884314665146</v>
      </c>
      <c r="BS550" s="49">
        <f t="shared" si="623"/>
        <v>105413.57256836782</v>
      </c>
      <c r="BT550" s="49">
        <f t="shared" si="639"/>
        <v>122.610001</v>
      </c>
      <c r="BU550" s="49">
        <f t="shared" si="640"/>
        <v>40.340000000000003</v>
      </c>
      <c r="BV550" s="49">
        <f t="shared" si="624"/>
        <v>-3657.4821425532591</v>
      </c>
      <c r="BW550" s="18">
        <f t="shared" si="540"/>
        <v>3555</v>
      </c>
      <c r="BX550" s="19">
        <f t="shared" si="625"/>
        <v>0.18463302752293578</v>
      </c>
      <c r="BY550" s="49">
        <f t="shared" si="626"/>
        <v>-675.29200109068199</v>
      </c>
      <c r="BZ550" s="19">
        <f t="shared" si="627"/>
        <v>0</v>
      </c>
      <c r="CA550" s="19">
        <f t="shared" si="628"/>
        <v>0</v>
      </c>
      <c r="CB550" s="19">
        <f t="shared" si="629"/>
        <v>0</v>
      </c>
      <c r="CC550" s="19">
        <f t="shared" si="630"/>
        <v>0</v>
      </c>
      <c r="CD550" s="19">
        <f t="shared" si="631"/>
        <v>0</v>
      </c>
      <c r="CE550" s="19">
        <f t="shared" si="632"/>
        <v>0</v>
      </c>
      <c r="CF550" s="49">
        <f t="shared" si="633"/>
        <v>0</v>
      </c>
      <c r="CG550" s="49">
        <f t="shared" si="634"/>
        <v>0</v>
      </c>
      <c r="CH550" s="49">
        <f t="shared" si="635"/>
        <v>0</v>
      </c>
      <c r="CI550" s="49">
        <f t="shared" si="636"/>
        <v>0</v>
      </c>
      <c r="CJ550" s="49">
        <f t="shared" si="637"/>
        <v>0</v>
      </c>
      <c r="CK550" s="49">
        <f t="shared" si="638"/>
        <v>0</v>
      </c>
    </row>
    <row r="551" spans="2:89" ht="12.75" customHeight="1" x14ac:dyDescent="0.2">
      <c r="B551" s="77">
        <v>42855</v>
      </c>
      <c r="C551" s="79">
        <v>123.33000199999999</v>
      </c>
      <c r="D551" s="79">
        <v>95.739998</v>
      </c>
      <c r="E551" s="79">
        <v>102.379997</v>
      </c>
      <c r="F551" s="79">
        <v>123.290001</v>
      </c>
      <c r="G551" s="79">
        <v>41.09</v>
      </c>
      <c r="H551" s="79">
        <v>40.209999000000003</v>
      </c>
      <c r="I551" s="79"/>
      <c r="J551" s="78">
        <f>IF(inter=Weekly_2,J550+$C$5,IF(inter=Bi_weekly_2,0,IF(inter=Monthly_2,0,IF(inter=Quarterly_2,0,IF(inter=Yearly_2,0,IF(inter=None_2,0,0))))))</f>
        <v>0</v>
      </c>
      <c r="K551" s="79">
        <f t="shared" si="541"/>
        <v>0</v>
      </c>
      <c r="L551" s="79">
        <f t="shared" si="542"/>
        <v>0</v>
      </c>
      <c r="M551" s="79">
        <f t="shared" si="543"/>
        <v>0</v>
      </c>
      <c r="N551" s="79">
        <f t="shared" si="544"/>
        <v>0</v>
      </c>
      <c r="O551" s="79">
        <f t="shared" si="545"/>
        <v>0</v>
      </c>
      <c r="P551" s="79">
        <f t="shared" si="546"/>
        <v>0</v>
      </c>
      <c r="Q551" s="79"/>
      <c r="R551" s="80">
        <f t="shared" si="516"/>
        <v>0</v>
      </c>
      <c r="S551" s="80">
        <f t="shared" si="517"/>
        <v>0</v>
      </c>
      <c r="T551" s="80">
        <f t="shared" si="518"/>
        <v>0</v>
      </c>
      <c r="U551" s="80">
        <f t="shared" si="519"/>
        <v>0</v>
      </c>
      <c r="V551" s="80">
        <f t="shared" si="520"/>
        <v>0</v>
      </c>
      <c r="W551" s="80">
        <f t="shared" si="521"/>
        <v>0</v>
      </c>
      <c r="X551" s="80">
        <f t="shared" si="598"/>
        <v>492.12951233888333</v>
      </c>
      <c r="Y551" s="80">
        <f t="shared" si="599"/>
        <v>180.82652321487404</v>
      </c>
      <c r="Z551" s="80">
        <f t="shared" si="600"/>
        <v>134.79280688037531</v>
      </c>
      <c r="AA551" s="80">
        <f t="shared" si="601"/>
        <v>97.835429231218981</v>
      </c>
      <c r="AB551" s="80">
        <f t="shared" si="602"/>
        <v>1072.9400583988081</v>
      </c>
      <c r="AC551" s="80">
        <f t="shared" si="603"/>
        <v>641.05106593951405</v>
      </c>
      <c r="AD551" s="80"/>
      <c r="AE551" s="80"/>
      <c r="AF551" s="80"/>
      <c r="AG551" s="80"/>
      <c r="AH551" s="80"/>
      <c r="AI551" s="80"/>
      <c r="AJ551" s="45">
        <f t="shared" si="590"/>
        <v>0</v>
      </c>
      <c r="AK551" s="45">
        <f t="shared" si="591"/>
        <v>0</v>
      </c>
      <c r="AL551" s="45">
        <f t="shared" si="592"/>
        <v>0</v>
      </c>
      <c r="AM551" s="45">
        <f t="shared" si="593"/>
        <v>0</v>
      </c>
      <c r="AN551" s="45">
        <f t="shared" si="594"/>
        <v>0</v>
      </c>
      <c r="AO551" s="45">
        <f t="shared" si="595"/>
        <v>0</v>
      </c>
      <c r="AP551" s="80">
        <f t="shared" si="528"/>
        <v>0</v>
      </c>
      <c r="AQ551" s="80">
        <f t="shared" si="529"/>
        <v>0</v>
      </c>
      <c r="AR551" s="80">
        <f t="shared" si="530"/>
        <v>0</v>
      </c>
      <c r="AS551" s="80">
        <f t="shared" si="531"/>
        <v>0</v>
      </c>
      <c r="AT551" s="80">
        <f t="shared" si="532"/>
        <v>0</v>
      </c>
      <c r="AU551" s="80">
        <f t="shared" si="533"/>
        <v>0</v>
      </c>
      <c r="AV551" s="80">
        <f t="shared" si="604"/>
        <v>79.967266527846064</v>
      </c>
      <c r="AW551" s="80">
        <f t="shared" si="605"/>
        <v>38.011614868832162</v>
      </c>
      <c r="AX551" s="80">
        <f t="shared" si="606"/>
        <v>23.588408050213204</v>
      </c>
      <c r="AY551" s="80">
        <f t="shared" si="607"/>
        <v>18.07616886764923</v>
      </c>
      <c r="AZ551" s="80">
        <f t="shared" si="608"/>
        <v>199.59459729142131</v>
      </c>
      <c r="BA551" s="80">
        <f t="shared" si="609"/>
        <v>97.303678231625909</v>
      </c>
      <c r="BB551" s="80">
        <f t="shared" si="610"/>
        <v>572.09677886672944</v>
      </c>
      <c r="BC551" s="80">
        <f t="shared" si="611"/>
        <v>218.83813808370621</v>
      </c>
      <c r="BD551" s="80">
        <f t="shared" si="612"/>
        <v>158.3812149305885</v>
      </c>
      <c r="BE551" s="80">
        <f t="shared" si="613"/>
        <v>115.91159809886821</v>
      </c>
      <c r="BF551" s="80">
        <f t="shared" si="614"/>
        <v>1272.5346556902293</v>
      </c>
      <c r="BG551" s="80">
        <f t="shared" si="615"/>
        <v>738.35474417113994</v>
      </c>
      <c r="BH551" s="49">
        <f t="shared" si="616"/>
        <v>0</v>
      </c>
      <c r="BI551" s="79">
        <f t="shared" si="617"/>
        <v>-105413.57256836782</v>
      </c>
      <c r="BJ551" s="79">
        <f t="shared" si="534"/>
        <v>173732.65176372314</v>
      </c>
      <c r="BK551" s="44">
        <f t="shared" si="618"/>
        <v>0.64810514937292152</v>
      </c>
      <c r="BL551" s="79">
        <f t="shared" si="619"/>
        <v>22676.316138300732</v>
      </c>
      <c r="BM551" s="49">
        <f t="shared" si="620"/>
        <v>196408.96790202387</v>
      </c>
      <c r="BN551" s="44">
        <f t="shared" si="621"/>
        <v>0.8632227626536364</v>
      </c>
      <c r="BO551" s="49">
        <f t="shared" si="535"/>
        <v>30259.109902611301</v>
      </c>
      <c r="BP551" s="49">
        <f t="shared" si="536"/>
        <v>203991.76166633444</v>
      </c>
      <c r="BQ551" s="44">
        <f t="shared" si="622"/>
        <v>0.93515651444250225</v>
      </c>
      <c r="BS551" s="49">
        <f t="shared" si="623"/>
        <v>105413.57256836782</v>
      </c>
      <c r="BT551" s="49">
        <f t="shared" si="639"/>
        <v>123.33000199999999</v>
      </c>
      <c r="BU551" s="49">
        <f t="shared" si="640"/>
        <v>40.209999000000003</v>
      </c>
      <c r="BV551" s="49">
        <f t="shared" si="624"/>
        <v>0</v>
      </c>
      <c r="BW551" s="18">
        <f t="shared" si="540"/>
        <v>3562</v>
      </c>
      <c r="BX551" s="19">
        <f t="shared" si="625"/>
        <v>0.18302752293577981</v>
      </c>
      <c r="BY551" s="49">
        <f t="shared" si="626"/>
        <v>0</v>
      </c>
      <c r="BZ551" s="19">
        <f t="shared" si="627"/>
        <v>0</v>
      </c>
      <c r="CA551" s="19">
        <f t="shared" si="628"/>
        <v>0</v>
      </c>
      <c r="CB551" s="19">
        <f t="shared" si="629"/>
        <v>0</v>
      </c>
      <c r="CC551" s="19">
        <f t="shared" si="630"/>
        <v>0</v>
      </c>
      <c r="CD551" s="19">
        <f t="shared" si="631"/>
        <v>0</v>
      </c>
      <c r="CE551" s="19">
        <f t="shared" si="632"/>
        <v>0</v>
      </c>
      <c r="CF551" s="49">
        <f t="shared" si="633"/>
        <v>0</v>
      </c>
      <c r="CG551" s="49">
        <f t="shared" si="634"/>
        <v>0</v>
      </c>
      <c r="CH551" s="49">
        <f t="shared" si="635"/>
        <v>0</v>
      </c>
      <c r="CI551" s="49">
        <f t="shared" si="636"/>
        <v>0</v>
      </c>
      <c r="CJ551" s="49">
        <f t="shared" si="637"/>
        <v>0</v>
      </c>
      <c r="CK551" s="49">
        <f t="shared" si="638"/>
        <v>0</v>
      </c>
    </row>
    <row r="552" spans="2:89" ht="12.75" customHeight="1" x14ac:dyDescent="0.2">
      <c r="B552" s="77">
        <v>42862</v>
      </c>
      <c r="C552" s="79">
        <v>122.769997</v>
      </c>
      <c r="D552" s="79">
        <v>94.970000999999996</v>
      </c>
      <c r="E552" s="79">
        <v>101.44000200000001</v>
      </c>
      <c r="F552" s="79">
        <v>121.339996</v>
      </c>
      <c r="G552" s="79">
        <v>40.990001999999997</v>
      </c>
      <c r="H552" s="79">
        <v>40.93</v>
      </c>
      <c r="I552" s="79"/>
      <c r="J552" s="78">
        <f>IF(inter=Weekly_2,J551+$C$5,IF(inter=Bi_weekly_2,J550+$C$5,IF(inter=Monthly_2,0,IF(inter=Quarterly_2,0,IF(inter=Yearly_2,0,IF(inter=None_2,0,0))))))</f>
        <v>173000</v>
      </c>
      <c r="K552" s="79">
        <f t="shared" si="541"/>
        <v>-131.26124654382147</v>
      </c>
      <c r="L552" s="79">
        <f t="shared" si="542"/>
        <v>-126.90490945689089</v>
      </c>
      <c r="M552" s="79">
        <f t="shared" si="543"/>
        <v>-166.61740046911473</v>
      </c>
      <c r="N552" s="79">
        <f t="shared" si="544"/>
        <v>-238.64940842560827</v>
      </c>
      <c r="O552" s="79">
        <f t="shared" si="545"/>
        <v>729.81513964726037</v>
      </c>
      <c r="P552" s="79">
        <f t="shared" si="546"/>
        <v>288.22012890431142</v>
      </c>
      <c r="Q552" s="79"/>
      <c r="R552" s="80">
        <f t="shared" si="516"/>
        <v>1.069163881659307</v>
      </c>
      <c r="S552" s="80">
        <f t="shared" si="517"/>
        <v>1.336263115937957</v>
      </c>
      <c r="T552" s="80">
        <f t="shared" si="518"/>
        <v>1.6425216599376125</v>
      </c>
      <c r="U552" s="80">
        <f t="shared" si="519"/>
        <v>1.9667827286363868</v>
      </c>
      <c r="V552" s="80">
        <f t="shared" si="520"/>
        <v>-17.804711003606695</v>
      </c>
      <c r="W552" s="80">
        <f t="shared" si="521"/>
        <v>-7.0417817958541757</v>
      </c>
      <c r="X552" s="80">
        <f t="shared" si="598"/>
        <v>493.19867622054267</v>
      </c>
      <c r="Y552" s="80">
        <f t="shared" si="599"/>
        <v>182.162786330812</v>
      </c>
      <c r="Z552" s="80">
        <f t="shared" si="600"/>
        <v>136.43532854031292</v>
      </c>
      <c r="AA552" s="80">
        <f t="shared" si="601"/>
        <v>99.80221195985537</v>
      </c>
      <c r="AB552" s="80">
        <f t="shared" si="602"/>
        <v>1055.1353473952015</v>
      </c>
      <c r="AC552" s="80">
        <f t="shared" si="603"/>
        <v>634.0092841436599</v>
      </c>
      <c r="AD552" s="80"/>
      <c r="AE552" s="80"/>
      <c r="AF552" s="80"/>
      <c r="AG552" s="80"/>
      <c r="AH552" s="80"/>
      <c r="AI552" s="80"/>
      <c r="AJ552" s="45">
        <f t="shared" si="590"/>
        <v>0</v>
      </c>
      <c r="AK552" s="45">
        <f t="shared" si="591"/>
        <v>0</v>
      </c>
      <c r="AL552" s="45">
        <f t="shared" si="592"/>
        <v>0</v>
      </c>
      <c r="AM552" s="45">
        <f t="shared" si="593"/>
        <v>0</v>
      </c>
      <c r="AN552" s="45">
        <f t="shared" si="594"/>
        <v>0</v>
      </c>
      <c r="AO552" s="45">
        <f t="shared" si="595"/>
        <v>0</v>
      </c>
      <c r="AP552" s="80">
        <f t="shared" si="528"/>
        <v>0</v>
      </c>
      <c r="AQ552" s="80">
        <f t="shared" si="529"/>
        <v>0</v>
      </c>
      <c r="AR552" s="80">
        <f t="shared" si="530"/>
        <v>0</v>
      </c>
      <c r="AS552" s="80">
        <f t="shared" si="531"/>
        <v>0</v>
      </c>
      <c r="AT552" s="80">
        <f t="shared" si="532"/>
        <v>0</v>
      </c>
      <c r="AU552" s="80">
        <f t="shared" si="533"/>
        <v>0</v>
      </c>
      <c r="AV552" s="80">
        <f t="shared" si="604"/>
        <v>79.967266527846064</v>
      </c>
      <c r="AW552" s="80">
        <f t="shared" si="605"/>
        <v>38.011614868832162</v>
      </c>
      <c r="AX552" s="80">
        <f t="shared" si="606"/>
        <v>23.588408050213204</v>
      </c>
      <c r="AY552" s="80">
        <f t="shared" si="607"/>
        <v>18.07616886764923</v>
      </c>
      <c r="AZ552" s="80">
        <f t="shared" si="608"/>
        <v>199.59459729142131</v>
      </c>
      <c r="BA552" s="80">
        <f t="shared" si="609"/>
        <v>97.303678231625909</v>
      </c>
      <c r="BB552" s="80">
        <f t="shared" si="610"/>
        <v>573.16594274838872</v>
      </c>
      <c r="BC552" s="80">
        <f t="shared" si="611"/>
        <v>220.17440119964417</v>
      </c>
      <c r="BD552" s="80">
        <f t="shared" si="612"/>
        <v>160.02373659052614</v>
      </c>
      <c r="BE552" s="80">
        <f t="shared" si="613"/>
        <v>117.8783808275046</v>
      </c>
      <c r="BF552" s="80">
        <f t="shared" si="614"/>
        <v>1254.7299446866227</v>
      </c>
      <c r="BG552" s="80">
        <f t="shared" si="615"/>
        <v>731.31296237528579</v>
      </c>
      <c r="BH552" s="49">
        <f t="shared" si="616"/>
        <v>0</v>
      </c>
      <c r="BI552" s="79">
        <f t="shared" si="617"/>
        <v>-105058.97026471166</v>
      </c>
      <c r="BJ552" s="79">
        <f t="shared" si="534"/>
        <v>173000</v>
      </c>
      <c r="BK552" s="44">
        <f t="shared" si="618"/>
        <v>0.64669422862322778</v>
      </c>
      <c r="BL552" s="79">
        <f t="shared" si="619"/>
        <v>22676.316138300732</v>
      </c>
      <c r="BM552" s="49">
        <f t="shared" si="620"/>
        <v>195676.31613830072</v>
      </c>
      <c r="BN552" s="44">
        <f t="shared" si="621"/>
        <v>0.86253792175256638</v>
      </c>
      <c r="BO552" s="49">
        <f t="shared" si="535"/>
        <v>30177.737083897795</v>
      </c>
      <c r="BP552" s="49">
        <f t="shared" si="536"/>
        <v>203177.73708389781</v>
      </c>
      <c r="BQ552" s="44">
        <f t="shared" si="622"/>
        <v>0.93393992509122592</v>
      </c>
      <c r="BS552" s="49">
        <f t="shared" si="623"/>
        <v>105058.97026471166</v>
      </c>
      <c r="BT552" s="49">
        <f t="shared" si="639"/>
        <v>122.769997</v>
      </c>
      <c r="BU552" s="49">
        <f t="shared" si="640"/>
        <v>40.93</v>
      </c>
      <c r="BV552" s="49">
        <f t="shared" si="624"/>
        <v>-354.60230365613643</v>
      </c>
      <c r="BW552" s="18">
        <f t="shared" si="540"/>
        <v>3569</v>
      </c>
      <c r="BX552" s="19">
        <f t="shared" si="625"/>
        <v>0.18142201834862384</v>
      </c>
      <c r="BY552" s="49">
        <f t="shared" si="626"/>
        <v>-64.332665640367864</v>
      </c>
      <c r="BZ552" s="19">
        <f t="shared" si="627"/>
        <v>1.069163881659307</v>
      </c>
      <c r="CA552" s="19">
        <f t="shared" si="628"/>
        <v>1.336263115937957</v>
      </c>
      <c r="CB552" s="19">
        <f t="shared" si="629"/>
        <v>1.6425216599376125</v>
      </c>
      <c r="CC552" s="19">
        <f t="shared" si="630"/>
        <v>1.9667827286363868</v>
      </c>
      <c r="CD552" s="19">
        <f t="shared" si="631"/>
        <v>0</v>
      </c>
      <c r="CE552" s="19">
        <f t="shared" si="632"/>
        <v>0</v>
      </c>
      <c r="CF552" s="49">
        <f t="shared" si="633"/>
        <v>-131.26124654382147</v>
      </c>
      <c r="CG552" s="49">
        <f t="shared" si="634"/>
        <v>-126.90490945689089</v>
      </c>
      <c r="CH552" s="49">
        <f t="shared" si="635"/>
        <v>-166.61740046911473</v>
      </c>
      <c r="CI552" s="49">
        <f t="shared" si="636"/>
        <v>-238.64940842560827</v>
      </c>
      <c r="CJ552" s="49">
        <f t="shared" si="637"/>
        <v>0</v>
      </c>
      <c r="CK552" s="49">
        <f t="shared" si="638"/>
        <v>0</v>
      </c>
    </row>
    <row r="553" spans="2:89" ht="12.75" customHeight="1" x14ac:dyDescent="0.2">
      <c r="B553" s="77">
        <v>42869</v>
      </c>
      <c r="C553" s="79">
        <v>122.370003</v>
      </c>
      <c r="D553" s="79">
        <v>94.610000999999997</v>
      </c>
      <c r="E553" s="79">
        <v>100.970001</v>
      </c>
      <c r="F553" s="79">
        <v>120.220001</v>
      </c>
      <c r="G553" s="79">
        <v>41.490001999999997</v>
      </c>
      <c r="H553" s="79">
        <v>40.689999</v>
      </c>
      <c r="I553" s="79"/>
      <c r="J553" s="78">
        <f>IF(inter=Weekly_2,J552+$C$5,IF(inter=Bi_weekly_2,0,IF(inter=Monthly_2,0,IF(inter=Quarterly_2,0,IF(inter=Yearly_2,0,IF(inter=None_2,0,0))))))</f>
        <v>0</v>
      </c>
      <c r="K553" s="79">
        <f t="shared" si="541"/>
        <v>0</v>
      </c>
      <c r="L553" s="79">
        <f t="shared" si="542"/>
        <v>0</v>
      </c>
      <c r="M553" s="79">
        <f t="shared" si="543"/>
        <v>0</v>
      </c>
      <c r="N553" s="79">
        <f t="shared" si="544"/>
        <v>0</v>
      </c>
      <c r="O553" s="79">
        <f t="shared" si="545"/>
        <v>0</v>
      </c>
      <c r="P553" s="79">
        <f t="shared" si="546"/>
        <v>0</v>
      </c>
      <c r="Q553" s="79"/>
      <c r="R553" s="80">
        <f t="shared" si="516"/>
        <v>0</v>
      </c>
      <c r="S553" s="80">
        <f t="shared" si="517"/>
        <v>0</v>
      </c>
      <c r="T553" s="80">
        <f t="shared" si="518"/>
        <v>0</v>
      </c>
      <c r="U553" s="80">
        <f t="shared" si="519"/>
        <v>0</v>
      </c>
      <c r="V553" s="80">
        <f t="shared" si="520"/>
        <v>0</v>
      </c>
      <c r="W553" s="80">
        <f t="shared" si="521"/>
        <v>0</v>
      </c>
      <c r="X553" s="80">
        <f t="shared" si="598"/>
        <v>493.19867622054267</v>
      </c>
      <c r="Y553" s="80">
        <f t="shared" si="599"/>
        <v>182.162786330812</v>
      </c>
      <c r="Z553" s="80">
        <f t="shared" si="600"/>
        <v>136.43532854031292</v>
      </c>
      <c r="AA553" s="80">
        <f t="shared" si="601"/>
        <v>99.80221195985537</v>
      </c>
      <c r="AB553" s="80">
        <f t="shared" si="602"/>
        <v>1055.1353473952015</v>
      </c>
      <c r="AC553" s="80">
        <f t="shared" si="603"/>
        <v>634.0092841436599</v>
      </c>
      <c r="AD553" s="80"/>
      <c r="AE553" s="80"/>
      <c r="AF553" s="80"/>
      <c r="AG553" s="80"/>
      <c r="AH553" s="80"/>
      <c r="AI553" s="80"/>
      <c r="AJ553" s="45">
        <f t="shared" si="590"/>
        <v>0</v>
      </c>
      <c r="AK553" s="45">
        <f t="shared" si="591"/>
        <v>0</v>
      </c>
      <c r="AL553" s="45">
        <f t="shared" si="592"/>
        <v>0</v>
      </c>
      <c r="AM553" s="45">
        <f t="shared" si="593"/>
        <v>0</v>
      </c>
      <c r="AN553" s="45">
        <f t="shared" si="594"/>
        <v>0</v>
      </c>
      <c r="AO553" s="45">
        <f t="shared" si="595"/>
        <v>0</v>
      </c>
      <c r="AP553" s="80">
        <f t="shared" si="528"/>
        <v>0</v>
      </c>
      <c r="AQ553" s="80">
        <f t="shared" si="529"/>
        <v>0</v>
      </c>
      <c r="AR553" s="80">
        <f t="shared" si="530"/>
        <v>0</v>
      </c>
      <c r="AS553" s="80">
        <f t="shared" si="531"/>
        <v>0</v>
      </c>
      <c r="AT553" s="80">
        <f t="shared" si="532"/>
        <v>0</v>
      </c>
      <c r="AU553" s="80">
        <f t="shared" si="533"/>
        <v>0</v>
      </c>
      <c r="AV553" s="80">
        <f t="shared" si="604"/>
        <v>79.967266527846064</v>
      </c>
      <c r="AW553" s="80">
        <f t="shared" si="605"/>
        <v>38.011614868832162</v>
      </c>
      <c r="AX553" s="80">
        <f t="shared" si="606"/>
        <v>23.588408050213204</v>
      </c>
      <c r="AY553" s="80">
        <f t="shared" si="607"/>
        <v>18.07616886764923</v>
      </c>
      <c r="AZ553" s="80">
        <f t="shared" si="608"/>
        <v>199.59459729142131</v>
      </c>
      <c r="BA553" s="80">
        <f t="shared" si="609"/>
        <v>97.303678231625909</v>
      </c>
      <c r="BB553" s="80">
        <f t="shared" si="610"/>
        <v>573.16594274838872</v>
      </c>
      <c r="BC553" s="80">
        <f t="shared" si="611"/>
        <v>220.17440119964417</v>
      </c>
      <c r="BD553" s="80">
        <f t="shared" si="612"/>
        <v>160.02373659052614</v>
      </c>
      <c r="BE553" s="80">
        <f t="shared" si="613"/>
        <v>117.8783808275046</v>
      </c>
      <c r="BF553" s="80">
        <f t="shared" si="614"/>
        <v>1254.7299446866227</v>
      </c>
      <c r="BG553" s="80">
        <f t="shared" si="615"/>
        <v>731.31296237528579</v>
      </c>
      <c r="BH553" s="49">
        <f t="shared" si="616"/>
        <v>0</v>
      </c>
      <c r="BI553" s="79">
        <f t="shared" si="617"/>
        <v>-105058.97026471166</v>
      </c>
      <c r="BJ553" s="79">
        <f t="shared" si="534"/>
        <v>172936.64697788534</v>
      </c>
      <c r="BK553" s="44">
        <f t="shared" si="618"/>
        <v>0.64609120517882279</v>
      </c>
      <c r="BL553" s="79">
        <f t="shared" si="619"/>
        <v>22676.316138300732</v>
      </c>
      <c r="BM553" s="49">
        <f t="shared" si="620"/>
        <v>195612.96311618606</v>
      </c>
      <c r="BN553" s="44">
        <f t="shared" si="621"/>
        <v>0.86193489830816139</v>
      </c>
      <c r="BO553" s="49">
        <f t="shared" si="535"/>
        <v>30177.17900018099</v>
      </c>
      <c r="BP553" s="49">
        <f t="shared" si="536"/>
        <v>203113.82597806631</v>
      </c>
      <c r="BQ553" s="44">
        <f t="shared" si="622"/>
        <v>0.9333315895471932</v>
      </c>
      <c r="BS553" s="49">
        <f t="shared" si="623"/>
        <v>105058.97026471166</v>
      </c>
      <c r="BT553" s="49">
        <f t="shared" si="639"/>
        <v>122.370003</v>
      </c>
      <c r="BU553" s="49">
        <f t="shared" si="640"/>
        <v>40.689999</v>
      </c>
      <c r="BV553" s="49">
        <f t="shared" si="624"/>
        <v>0</v>
      </c>
      <c r="BW553" s="18">
        <f t="shared" si="540"/>
        <v>3576</v>
      </c>
      <c r="BX553" s="19">
        <f t="shared" si="625"/>
        <v>0.1798165137614679</v>
      </c>
      <c r="BY553" s="49">
        <f t="shared" si="626"/>
        <v>0</v>
      </c>
      <c r="BZ553" s="19">
        <f t="shared" si="627"/>
        <v>0</v>
      </c>
      <c r="CA553" s="19">
        <f t="shared" si="628"/>
        <v>0</v>
      </c>
      <c r="CB553" s="19">
        <f t="shared" si="629"/>
        <v>0</v>
      </c>
      <c r="CC553" s="19">
        <f t="shared" si="630"/>
        <v>0</v>
      </c>
      <c r="CD553" s="19">
        <f t="shared" si="631"/>
        <v>0</v>
      </c>
      <c r="CE553" s="19">
        <f t="shared" si="632"/>
        <v>0</v>
      </c>
      <c r="CF553" s="49">
        <f t="shared" si="633"/>
        <v>0</v>
      </c>
      <c r="CG553" s="49">
        <f t="shared" si="634"/>
        <v>0</v>
      </c>
      <c r="CH553" s="49">
        <f t="shared" si="635"/>
        <v>0</v>
      </c>
      <c r="CI553" s="49">
        <f t="shared" si="636"/>
        <v>0</v>
      </c>
      <c r="CJ553" s="49">
        <f t="shared" si="637"/>
        <v>0</v>
      </c>
      <c r="CK553" s="49">
        <f t="shared" si="638"/>
        <v>0</v>
      </c>
    </row>
    <row r="554" spans="2:89" ht="12.75" customHeight="1" x14ac:dyDescent="0.2">
      <c r="B554" s="77">
        <v>42876</v>
      </c>
      <c r="C554" s="79">
        <v>124.089996</v>
      </c>
      <c r="D554" s="79">
        <v>95.709998999999996</v>
      </c>
      <c r="E554" s="79">
        <v>102.470001</v>
      </c>
      <c r="F554" s="79">
        <v>121.25</v>
      </c>
      <c r="G554" s="79">
        <v>41.529998999999997</v>
      </c>
      <c r="H554" s="79">
        <v>41.110000999999997</v>
      </c>
      <c r="I554" s="79"/>
      <c r="J554" s="78">
        <f>IF(inter=Weekly_2,J553+$C$5,IF(inter=Bi_weekly_2,J552+$C$5,IF(inter=Monthly_2,J550+$C$5,IF(inter=Quarterly_2,0,IF(inter=Yearly_2,0,IF(inter=None_2,0,0))))))</f>
        <v>173600</v>
      </c>
      <c r="K554" s="79">
        <f t="shared" si="541"/>
        <v>441.02175941244059</v>
      </c>
      <c r="L554" s="79">
        <f t="shared" si="542"/>
        <v>74.800097559229471</v>
      </c>
      <c r="M554" s="79">
        <f t="shared" si="543"/>
        <v>92.528251961193746</v>
      </c>
      <c r="N554" s="79">
        <f t="shared" si="544"/>
        <v>-50.981799867538939</v>
      </c>
      <c r="O554" s="79">
        <f t="shared" si="545"/>
        <v>419.76992218736996</v>
      </c>
      <c r="P554" s="79">
        <f t="shared" si="546"/>
        <v>24.122305155138747</v>
      </c>
      <c r="Q554" s="79"/>
      <c r="R554" s="80">
        <f t="shared" ref="R554:R617" si="641">-((K554)/C554)</f>
        <v>-3.5540476559644709</v>
      </c>
      <c r="S554" s="80">
        <f t="shared" ref="S554:S617" si="642">-((L554)/D554)</f>
        <v>-0.78152855857024384</v>
      </c>
      <c r="T554" s="80">
        <f t="shared" ref="T554:T617" si="643">-(M554)/E554</f>
        <v>-0.90297893098677484</v>
      </c>
      <c r="U554" s="80">
        <f t="shared" ref="U554:U617" si="644">-(N554)/F554</f>
        <v>0.42046845251578507</v>
      </c>
      <c r="V554" s="80">
        <f t="shared" ref="V554:V617" si="645">-(O554)/G554</f>
        <v>-10.107631406092015</v>
      </c>
      <c r="W554" s="80">
        <f t="shared" ref="W554:W617" si="646">-(P554)/H554</f>
        <v>-0.58677461854449353</v>
      </c>
      <c r="X554" s="80">
        <f t="shared" si="598"/>
        <v>489.64462856457817</v>
      </c>
      <c r="Y554" s="80">
        <f t="shared" si="599"/>
        <v>181.38125777224175</v>
      </c>
      <c r="Z554" s="80">
        <f t="shared" si="600"/>
        <v>135.53234960932616</v>
      </c>
      <c r="AA554" s="80">
        <f t="shared" si="601"/>
        <v>100.22268041237116</v>
      </c>
      <c r="AB554" s="80">
        <f t="shared" si="602"/>
        <v>1045.0277159891095</v>
      </c>
      <c r="AC554" s="80">
        <f t="shared" si="603"/>
        <v>633.4225095251154</v>
      </c>
      <c r="AD554" s="80"/>
      <c r="AE554" s="80"/>
      <c r="AF554" s="80"/>
      <c r="AG554" s="80"/>
      <c r="AH554" s="80"/>
      <c r="AI554" s="80"/>
      <c r="AJ554" s="45">
        <f t="shared" si="590"/>
        <v>0</v>
      </c>
      <c r="AK554" s="45">
        <f t="shared" si="591"/>
        <v>0</v>
      </c>
      <c r="AL554" s="45">
        <f t="shared" si="592"/>
        <v>0</v>
      </c>
      <c r="AM554" s="45">
        <f t="shared" si="593"/>
        <v>0</v>
      </c>
      <c r="AN554" s="45">
        <f t="shared" si="594"/>
        <v>0</v>
      </c>
      <c r="AO554" s="45">
        <f t="shared" si="595"/>
        <v>0</v>
      </c>
      <c r="AP554" s="80">
        <f t="shared" ref="AP554:AP617" si="647">IF(AJ554&gt;0,AJ554/C554,0)</f>
        <v>0</v>
      </c>
      <c r="AQ554" s="80">
        <f t="shared" ref="AQ554:AQ617" si="648">IF(AK554&gt;0,AK554/D554,0)</f>
        <v>0</v>
      </c>
      <c r="AR554" s="80">
        <f t="shared" ref="AR554:AR617" si="649">IF(AL554&gt;0,AL554/E554,0)</f>
        <v>0</v>
      </c>
      <c r="AS554" s="80">
        <f t="shared" ref="AS554:AS617" si="650">IF(AM554&gt;0,AM554/F554,0)</f>
        <v>0</v>
      </c>
      <c r="AT554" s="80">
        <f t="shared" ref="AT554:AT617" si="651">IF(AN554&gt;0,AN554/G554,0)</f>
        <v>0</v>
      </c>
      <c r="AU554" s="80">
        <f t="shared" ref="AU554:AU617" si="652">IF(AO554&gt;0,AO554/H554,0)</f>
        <v>0</v>
      </c>
      <c r="AV554" s="80">
        <f t="shared" si="604"/>
        <v>79.967266527846064</v>
      </c>
      <c r="AW554" s="80">
        <f t="shared" si="605"/>
        <v>38.011614868832162</v>
      </c>
      <c r="AX554" s="80">
        <f t="shared" si="606"/>
        <v>23.588408050213204</v>
      </c>
      <c r="AY554" s="80">
        <f t="shared" si="607"/>
        <v>18.07616886764923</v>
      </c>
      <c r="AZ554" s="80">
        <f t="shared" si="608"/>
        <v>199.59459729142131</v>
      </c>
      <c r="BA554" s="80">
        <f t="shared" si="609"/>
        <v>97.303678231625909</v>
      </c>
      <c r="BB554" s="80">
        <f t="shared" si="610"/>
        <v>569.61189509242422</v>
      </c>
      <c r="BC554" s="80">
        <f t="shared" si="611"/>
        <v>219.39287264107392</v>
      </c>
      <c r="BD554" s="80">
        <f t="shared" si="612"/>
        <v>159.12075765953938</v>
      </c>
      <c r="BE554" s="80">
        <f t="shared" si="613"/>
        <v>118.29884928002039</v>
      </c>
      <c r="BF554" s="80">
        <f t="shared" si="614"/>
        <v>1244.6223132805308</v>
      </c>
      <c r="BG554" s="80">
        <f t="shared" si="615"/>
        <v>730.7261877567413</v>
      </c>
      <c r="BH554" s="49">
        <f t="shared" si="616"/>
        <v>0</v>
      </c>
      <c r="BI554" s="79">
        <f t="shared" si="617"/>
        <v>-104057.70972830385</v>
      </c>
      <c r="BJ554" s="79">
        <f t="shared" ref="BJ554:BJ617" si="653">(X554*C554)+(Y554*D554)+(Z554*E554)+(AA554*F554)+(AB554*G554)+(AC554*H554)</f>
        <v>173600</v>
      </c>
      <c r="BK554" s="44">
        <f t="shared" si="618"/>
        <v>0.66830502471438269</v>
      </c>
      <c r="BL554" s="79">
        <f t="shared" si="619"/>
        <v>22676.316138300732</v>
      </c>
      <c r="BM554" s="49">
        <f t="shared" si="620"/>
        <v>196276.31613830072</v>
      </c>
      <c r="BN554" s="44">
        <f t="shared" si="621"/>
        <v>0.88622560164721054</v>
      </c>
      <c r="BO554" s="49">
        <f t="shared" ref="BO554:BO617" si="654">(C554*AV554)+(D554*AW554)+(E554*AX554)+(F554*AY554)+(G554*AZ554)+(H554*BA554)</f>
        <v>30459.386811675835</v>
      </c>
      <c r="BP554" s="49">
        <f t="shared" ref="BP554:BP617" si="655">(C554*BB554)+(D554*BC554)+(E554*BD554)+(F554*BE554)+(G554*BF554)+(H554*BG554)</f>
        <v>204059.38681167582</v>
      </c>
      <c r="BQ554" s="44">
        <f t="shared" si="622"/>
        <v>0.96102131542658187</v>
      </c>
      <c r="BS554" s="49">
        <f t="shared" si="623"/>
        <v>104057.70972830385</v>
      </c>
      <c r="BT554" s="49">
        <f t="shared" si="639"/>
        <v>124.089996</v>
      </c>
      <c r="BU554" s="49">
        <f t="shared" si="640"/>
        <v>41.110000999999997</v>
      </c>
      <c r="BV554" s="49">
        <f t="shared" si="624"/>
        <v>-1001.2605364078336</v>
      </c>
      <c r="BW554" s="18">
        <f t="shared" ref="BW554:BW617" si="656">DATEDIF($B$42,B554,"d")</f>
        <v>3583</v>
      </c>
      <c r="BX554" s="19">
        <f t="shared" si="625"/>
        <v>0.17821100917431193</v>
      </c>
      <c r="BY554" s="49">
        <f t="shared" si="626"/>
        <v>-178.43565063965292</v>
      </c>
      <c r="BZ554" s="19">
        <f t="shared" si="627"/>
        <v>0</v>
      </c>
      <c r="CA554" s="19">
        <f t="shared" si="628"/>
        <v>0</v>
      </c>
      <c r="CB554" s="19">
        <f t="shared" si="629"/>
        <v>0</v>
      </c>
      <c r="CC554" s="19">
        <f t="shared" si="630"/>
        <v>0.42046845251578507</v>
      </c>
      <c r="CD554" s="19">
        <f t="shared" si="631"/>
        <v>0</v>
      </c>
      <c r="CE554" s="19">
        <f t="shared" si="632"/>
        <v>0</v>
      </c>
      <c r="CF554" s="49">
        <f t="shared" si="633"/>
        <v>0</v>
      </c>
      <c r="CG554" s="49">
        <f t="shared" si="634"/>
        <v>0</v>
      </c>
      <c r="CH554" s="49">
        <f t="shared" si="635"/>
        <v>0</v>
      </c>
      <c r="CI554" s="49">
        <f t="shared" si="636"/>
        <v>-50.981799867538939</v>
      </c>
      <c r="CJ554" s="49">
        <f t="shared" si="637"/>
        <v>0</v>
      </c>
      <c r="CK554" s="49">
        <f t="shared" si="638"/>
        <v>0</v>
      </c>
    </row>
    <row r="555" spans="2:89" ht="12.75" customHeight="1" x14ac:dyDescent="0.2">
      <c r="B555" s="77">
        <v>42883</v>
      </c>
      <c r="C555" s="79">
        <v>125.410004</v>
      </c>
      <c r="D555" s="79">
        <v>96.290001000000004</v>
      </c>
      <c r="E555" s="79">
        <v>103.470001</v>
      </c>
      <c r="F555" s="79">
        <v>122.66999800000001</v>
      </c>
      <c r="G555" s="79">
        <v>42.220001000000003</v>
      </c>
      <c r="H555" s="79">
        <v>41.169998</v>
      </c>
      <c r="I555" s="79"/>
      <c r="J555" s="78">
        <f>IF(inter=Weekly_2,J554+$C$5,IF(inter=Bi_weekly_2,0,IF(inter=Monthly_2,0,IF(inter=Quarterly_2,0,IF(inter=Yearly_2,0,IF(inter=None_2,0,0))))))</f>
        <v>0</v>
      </c>
      <c r="K555" s="79">
        <f t="shared" ref="K555:K618" si="657">IF(J555=0,0,-((J555*$C$36)-(X554*C555)))</f>
        <v>0</v>
      </c>
      <c r="L555" s="79">
        <f t="shared" ref="L555:L618" si="658">IF(J555=0,0,-((J555*$D$36)-(Y554*D555)))</f>
        <v>0</v>
      </c>
      <c r="M555" s="79">
        <f t="shared" ref="M555:M618" si="659">IF(J555=0,0,-((J555*$E$36)-(Z554*E555)))</f>
        <v>0</v>
      </c>
      <c r="N555" s="79">
        <f t="shared" ref="N555:N618" si="660">IF(J555=0,0,-((J555*$F$36)-(AA554*F555)))</f>
        <v>0</v>
      </c>
      <c r="O555" s="79">
        <f t="shared" ref="O555:O618" si="661">IF(J555=0,0,-((J555*$G$36)-(AB554*G555)))</f>
        <v>0</v>
      </c>
      <c r="P555" s="79">
        <f t="shared" ref="P555:P618" si="662">IF(J555=0,0,-((J555*$H$36)-(AC554*H555)))</f>
        <v>0</v>
      </c>
      <c r="Q555" s="79"/>
      <c r="R555" s="80">
        <f t="shared" si="641"/>
        <v>0</v>
      </c>
      <c r="S555" s="80">
        <f t="shared" si="642"/>
        <v>0</v>
      </c>
      <c r="T555" s="80">
        <f t="shared" si="643"/>
        <v>0</v>
      </c>
      <c r="U555" s="80">
        <f t="shared" si="644"/>
        <v>0</v>
      </c>
      <c r="V555" s="80">
        <f t="shared" si="645"/>
        <v>0</v>
      </c>
      <c r="W555" s="80">
        <f t="shared" si="646"/>
        <v>0</v>
      </c>
      <c r="X555" s="80">
        <f t="shared" si="598"/>
        <v>489.64462856457817</v>
      </c>
      <c r="Y555" s="80">
        <f t="shared" si="599"/>
        <v>181.38125777224175</v>
      </c>
      <c r="Z555" s="80">
        <f t="shared" si="600"/>
        <v>135.53234960932616</v>
      </c>
      <c r="AA555" s="80">
        <f t="shared" si="601"/>
        <v>100.22268041237116</v>
      </c>
      <c r="AB555" s="80">
        <f t="shared" si="602"/>
        <v>1045.0277159891095</v>
      </c>
      <c r="AC555" s="80">
        <f t="shared" si="603"/>
        <v>633.4225095251154</v>
      </c>
      <c r="AD555" s="80"/>
      <c r="AE555" s="80"/>
      <c r="AF555" s="80"/>
      <c r="AG555" s="80"/>
      <c r="AH555" s="80"/>
      <c r="AI555" s="80"/>
      <c r="AJ555" s="45">
        <f t="shared" si="590"/>
        <v>0</v>
      </c>
      <c r="AK555" s="45">
        <f t="shared" si="591"/>
        <v>0</v>
      </c>
      <c r="AL555" s="45">
        <f t="shared" si="592"/>
        <v>0</v>
      </c>
      <c r="AM555" s="45">
        <f t="shared" si="593"/>
        <v>0</v>
      </c>
      <c r="AN555" s="45">
        <f t="shared" si="594"/>
        <v>0</v>
      </c>
      <c r="AO555" s="45">
        <f t="shared" si="595"/>
        <v>0</v>
      </c>
      <c r="AP555" s="80">
        <f t="shared" si="647"/>
        <v>0</v>
      </c>
      <c r="AQ555" s="80">
        <f t="shared" si="648"/>
        <v>0</v>
      </c>
      <c r="AR555" s="80">
        <f t="shared" si="649"/>
        <v>0</v>
      </c>
      <c r="AS555" s="80">
        <f t="shared" si="650"/>
        <v>0</v>
      </c>
      <c r="AT555" s="80">
        <f t="shared" si="651"/>
        <v>0</v>
      </c>
      <c r="AU555" s="80">
        <f t="shared" si="652"/>
        <v>0</v>
      </c>
      <c r="AV555" s="80">
        <f t="shared" si="604"/>
        <v>79.967266527846064</v>
      </c>
      <c r="AW555" s="80">
        <f t="shared" si="605"/>
        <v>38.011614868832162</v>
      </c>
      <c r="AX555" s="80">
        <f t="shared" si="606"/>
        <v>23.588408050213204</v>
      </c>
      <c r="AY555" s="80">
        <f t="shared" si="607"/>
        <v>18.07616886764923</v>
      </c>
      <c r="AZ555" s="80">
        <f t="shared" si="608"/>
        <v>199.59459729142131</v>
      </c>
      <c r="BA555" s="80">
        <f t="shared" si="609"/>
        <v>97.303678231625909</v>
      </c>
      <c r="BB555" s="80">
        <f t="shared" si="610"/>
        <v>569.61189509242422</v>
      </c>
      <c r="BC555" s="80">
        <f t="shared" si="611"/>
        <v>219.39287264107392</v>
      </c>
      <c r="BD555" s="80">
        <f t="shared" si="612"/>
        <v>159.12075765953938</v>
      </c>
      <c r="BE555" s="80">
        <f t="shared" si="613"/>
        <v>118.29884928002039</v>
      </c>
      <c r="BF555" s="80">
        <f t="shared" si="614"/>
        <v>1244.6223132805308</v>
      </c>
      <c r="BG555" s="80">
        <f t="shared" si="615"/>
        <v>730.7261877567413</v>
      </c>
      <c r="BH555" s="49">
        <f t="shared" si="616"/>
        <v>0</v>
      </c>
      <c r="BI555" s="79">
        <f t="shared" si="617"/>
        <v>-104057.70972830385</v>
      </c>
      <c r="BJ555" s="79">
        <f t="shared" si="653"/>
        <v>175388.45933887415</v>
      </c>
      <c r="BK555" s="44">
        <f t="shared" si="618"/>
        <v>0.68549221193524157</v>
      </c>
      <c r="BL555" s="79">
        <f t="shared" si="619"/>
        <v>22676.316138300732</v>
      </c>
      <c r="BM555" s="49">
        <f t="shared" si="620"/>
        <v>198064.77547717487</v>
      </c>
      <c r="BN555" s="44">
        <f t="shared" si="621"/>
        <v>0.90341278886806964</v>
      </c>
      <c r="BO555" s="49">
        <f t="shared" si="654"/>
        <v>30779.806187670954</v>
      </c>
      <c r="BP555" s="49">
        <f t="shared" si="655"/>
        <v>206168.26552654506</v>
      </c>
      <c r="BQ555" s="44">
        <f t="shared" si="622"/>
        <v>0.98128774950797326</v>
      </c>
      <c r="BS555" s="49">
        <f t="shared" si="623"/>
        <v>104057.70972830385</v>
      </c>
      <c r="BT555" s="49">
        <f t="shared" si="639"/>
        <v>125.410004</v>
      </c>
      <c r="BU555" s="49">
        <f t="shared" si="640"/>
        <v>41.169998</v>
      </c>
      <c r="BV555" s="49">
        <f t="shared" si="624"/>
        <v>0</v>
      </c>
      <c r="BW555" s="18">
        <f t="shared" si="656"/>
        <v>3590</v>
      </c>
      <c r="BX555" s="19">
        <f t="shared" si="625"/>
        <v>0.17660550458715596</v>
      </c>
      <c r="BY555" s="49">
        <f t="shared" si="626"/>
        <v>0</v>
      </c>
      <c r="BZ555" s="19">
        <f t="shared" si="627"/>
        <v>0</v>
      </c>
      <c r="CA555" s="19">
        <f t="shared" si="628"/>
        <v>0</v>
      </c>
      <c r="CB555" s="19">
        <f t="shared" si="629"/>
        <v>0</v>
      </c>
      <c r="CC555" s="19">
        <f t="shared" si="630"/>
        <v>0</v>
      </c>
      <c r="CD555" s="19">
        <f t="shared" si="631"/>
        <v>0</v>
      </c>
      <c r="CE555" s="19">
        <f t="shared" si="632"/>
        <v>0</v>
      </c>
      <c r="CF555" s="49">
        <f t="shared" si="633"/>
        <v>0</v>
      </c>
      <c r="CG555" s="49">
        <f t="shared" si="634"/>
        <v>0</v>
      </c>
      <c r="CH555" s="49">
        <f t="shared" si="635"/>
        <v>0</v>
      </c>
      <c r="CI555" s="49">
        <f t="shared" si="636"/>
        <v>0</v>
      </c>
      <c r="CJ555" s="49">
        <f t="shared" si="637"/>
        <v>0</v>
      </c>
      <c r="CK555" s="49">
        <f t="shared" si="638"/>
        <v>0</v>
      </c>
    </row>
    <row r="556" spans="2:89" ht="12.75" customHeight="1" x14ac:dyDescent="0.2">
      <c r="B556" s="77">
        <v>42890</v>
      </c>
      <c r="C556" s="79">
        <v>125.19000200000001</v>
      </c>
      <c r="D556" s="79">
        <v>97.080001999999993</v>
      </c>
      <c r="E556" s="79">
        <v>103.44000200000001</v>
      </c>
      <c r="F556" s="79">
        <v>123.83000199999999</v>
      </c>
      <c r="G556" s="79">
        <v>41.700001</v>
      </c>
      <c r="H556" s="79">
        <v>40.970001000000003</v>
      </c>
      <c r="I556" s="79"/>
      <c r="J556" s="78">
        <f>IF(inter=Weekly_2,J555+$C$5,IF(inter=Bi_weekly_2,J554+$C$5,IF(inter=Monthly_2,0,IF(inter=Quarterly_2,0,IF(inter=Yearly_2,0,IF(inter=None_2,0,0))))))</f>
        <v>174200</v>
      </c>
      <c r="K556" s="79">
        <f t="shared" si="657"/>
        <v>328.61202928880812</v>
      </c>
      <c r="L556" s="79">
        <f t="shared" si="658"/>
        <v>188.49286729174491</v>
      </c>
      <c r="M556" s="79">
        <f t="shared" si="659"/>
        <v>83.466514653398917</v>
      </c>
      <c r="N556" s="79">
        <f t="shared" si="660"/>
        <v>216.57471590927889</v>
      </c>
      <c r="O556" s="79">
        <f t="shared" si="661"/>
        <v>27.656801773584448</v>
      </c>
      <c r="P556" s="79">
        <f t="shared" si="662"/>
        <v>-178.67915133351198</v>
      </c>
      <c r="Q556" s="79"/>
      <c r="R556" s="80">
        <f t="shared" si="641"/>
        <v>-2.6249063346832449</v>
      </c>
      <c r="S556" s="80">
        <f t="shared" si="642"/>
        <v>-1.9416240565358138</v>
      </c>
      <c r="T556" s="80">
        <f t="shared" si="643"/>
        <v>-0.80690751198360289</v>
      </c>
      <c r="U556" s="80">
        <f t="shared" si="644"/>
        <v>-1.748968040146514</v>
      </c>
      <c r="V556" s="80">
        <f t="shared" si="645"/>
        <v>-0.66323264053601461</v>
      </c>
      <c r="W556" s="80">
        <f t="shared" si="646"/>
        <v>4.3612191108687544</v>
      </c>
      <c r="X556" s="80">
        <f t="shared" si="598"/>
        <v>487.01972222989491</v>
      </c>
      <c r="Y556" s="80">
        <f t="shared" si="599"/>
        <v>179.43963371570595</v>
      </c>
      <c r="Z556" s="80">
        <f t="shared" si="600"/>
        <v>134.72544209734255</v>
      </c>
      <c r="AA556" s="80">
        <f t="shared" si="601"/>
        <v>98.473712372224654</v>
      </c>
      <c r="AB556" s="80">
        <f t="shared" si="602"/>
        <v>1044.3644833485735</v>
      </c>
      <c r="AC556" s="80">
        <f t="shared" si="603"/>
        <v>637.78372863598418</v>
      </c>
      <c r="AD556" s="80"/>
      <c r="AE556" s="80"/>
      <c r="AF556" s="80"/>
      <c r="AG556" s="80"/>
      <c r="AH556" s="80"/>
      <c r="AI556" s="80"/>
      <c r="AJ556" s="45">
        <f t="shared" si="590"/>
        <v>0</v>
      </c>
      <c r="AK556" s="45">
        <f t="shared" si="591"/>
        <v>0</v>
      </c>
      <c r="AL556" s="45">
        <f t="shared" si="592"/>
        <v>0</v>
      </c>
      <c r="AM556" s="45">
        <f t="shared" si="593"/>
        <v>0</v>
      </c>
      <c r="AN556" s="45">
        <f t="shared" si="594"/>
        <v>0</v>
      </c>
      <c r="AO556" s="45">
        <f t="shared" si="595"/>
        <v>0</v>
      </c>
      <c r="AP556" s="80">
        <f t="shared" si="647"/>
        <v>0</v>
      </c>
      <c r="AQ556" s="80">
        <f t="shared" si="648"/>
        <v>0</v>
      </c>
      <c r="AR556" s="80">
        <f t="shared" si="649"/>
        <v>0</v>
      </c>
      <c r="AS556" s="80">
        <f t="shared" si="650"/>
        <v>0</v>
      </c>
      <c r="AT556" s="80">
        <f t="shared" si="651"/>
        <v>0</v>
      </c>
      <c r="AU556" s="80">
        <f t="shared" si="652"/>
        <v>0</v>
      </c>
      <c r="AV556" s="80">
        <f t="shared" si="604"/>
        <v>79.967266527846064</v>
      </c>
      <c r="AW556" s="80">
        <f t="shared" si="605"/>
        <v>38.011614868832162</v>
      </c>
      <c r="AX556" s="80">
        <f t="shared" si="606"/>
        <v>23.588408050213204</v>
      </c>
      <c r="AY556" s="80">
        <f t="shared" si="607"/>
        <v>18.07616886764923</v>
      </c>
      <c r="AZ556" s="80">
        <f t="shared" si="608"/>
        <v>199.59459729142131</v>
      </c>
      <c r="BA556" s="80">
        <f t="shared" si="609"/>
        <v>97.303678231625909</v>
      </c>
      <c r="BB556" s="80">
        <f t="shared" si="610"/>
        <v>566.98698875774096</v>
      </c>
      <c r="BC556" s="80">
        <f t="shared" si="611"/>
        <v>217.45124858453812</v>
      </c>
      <c r="BD556" s="80">
        <f t="shared" si="612"/>
        <v>158.31385014755574</v>
      </c>
      <c r="BE556" s="80">
        <f t="shared" si="613"/>
        <v>116.54988123987388</v>
      </c>
      <c r="BF556" s="80">
        <f t="shared" si="614"/>
        <v>1243.9590806399947</v>
      </c>
      <c r="BG556" s="80">
        <f t="shared" si="615"/>
        <v>735.08740686761007</v>
      </c>
      <c r="BH556" s="49">
        <f t="shared" si="616"/>
        <v>0</v>
      </c>
      <c r="BI556" s="79">
        <f t="shared" si="617"/>
        <v>-103391.58595072056</v>
      </c>
      <c r="BJ556" s="79">
        <f t="shared" si="653"/>
        <v>174200</v>
      </c>
      <c r="BK556" s="44">
        <f t="shared" si="618"/>
        <v>0.68485663894379956</v>
      </c>
      <c r="BL556" s="79">
        <f t="shared" si="619"/>
        <v>22676.316138300732</v>
      </c>
      <c r="BM556" s="49">
        <f t="shared" si="620"/>
        <v>196876.31613830072</v>
      </c>
      <c r="BN556" s="44">
        <f t="shared" si="621"/>
        <v>0.90418121869353762</v>
      </c>
      <c r="BO556" s="49">
        <f t="shared" si="654"/>
        <v>30689.25360806951</v>
      </c>
      <c r="BP556" s="49">
        <f t="shared" si="655"/>
        <v>204889.2536080695</v>
      </c>
      <c r="BQ556" s="44">
        <f t="shared" si="622"/>
        <v>0.98168208490123821</v>
      </c>
      <c r="BS556" s="49">
        <f t="shared" si="623"/>
        <v>103391.58595072056</v>
      </c>
      <c r="BT556" s="49">
        <f t="shared" si="639"/>
        <v>125.19000200000001</v>
      </c>
      <c r="BU556" s="49">
        <f t="shared" si="640"/>
        <v>40.970001000000003</v>
      </c>
      <c r="BV556" s="49">
        <f t="shared" si="624"/>
        <v>-666.12377758330331</v>
      </c>
      <c r="BW556" s="18">
        <f t="shared" si="656"/>
        <v>3597</v>
      </c>
      <c r="BX556" s="19">
        <f t="shared" si="625"/>
        <v>0.17499999999999999</v>
      </c>
      <c r="BY556" s="49">
        <f t="shared" si="626"/>
        <v>-116.57166107707808</v>
      </c>
      <c r="BZ556" s="19">
        <f t="shared" si="627"/>
        <v>0</v>
      </c>
      <c r="CA556" s="19">
        <f t="shared" si="628"/>
        <v>0</v>
      </c>
      <c r="CB556" s="19">
        <f t="shared" si="629"/>
        <v>0</v>
      </c>
      <c r="CC556" s="19">
        <f t="shared" si="630"/>
        <v>0</v>
      </c>
      <c r="CD556" s="19">
        <f t="shared" si="631"/>
        <v>0</v>
      </c>
      <c r="CE556" s="19">
        <f t="shared" si="632"/>
        <v>4.3612191108687544</v>
      </c>
      <c r="CF556" s="49">
        <f t="shared" si="633"/>
        <v>0</v>
      </c>
      <c r="CG556" s="49">
        <f t="shared" si="634"/>
        <v>0</v>
      </c>
      <c r="CH556" s="49">
        <f t="shared" si="635"/>
        <v>0</v>
      </c>
      <c r="CI556" s="49">
        <f t="shared" si="636"/>
        <v>0</v>
      </c>
      <c r="CJ556" s="49">
        <f t="shared" si="637"/>
        <v>0</v>
      </c>
      <c r="CK556" s="49">
        <f t="shared" si="638"/>
        <v>-178.67915133351198</v>
      </c>
    </row>
    <row r="557" spans="2:89" ht="12.75" customHeight="1" x14ac:dyDescent="0.2">
      <c r="B557" s="77">
        <v>42897</v>
      </c>
      <c r="C557" s="79">
        <v>125.25</v>
      </c>
      <c r="D557" s="79">
        <v>97.480002999999996</v>
      </c>
      <c r="E557" s="79">
        <v>103.779999</v>
      </c>
      <c r="F557" s="79">
        <v>123.209999</v>
      </c>
      <c r="G557" s="79">
        <v>41.799999</v>
      </c>
      <c r="H557" s="79">
        <v>40.75</v>
      </c>
      <c r="I557" s="79"/>
      <c r="J557" s="78">
        <f>IF(inter=Weekly_2,J556+$C$5,IF(inter=Bi_weekly_2,0,IF(inter=Monthly_2,0,IF(inter=Quarterly_2,0,IF(inter=Yearly_2,0,IF(inter=None_2,0,0))))))</f>
        <v>0</v>
      </c>
      <c r="K557" s="79">
        <f t="shared" si="657"/>
        <v>0</v>
      </c>
      <c r="L557" s="79">
        <f t="shared" si="658"/>
        <v>0</v>
      </c>
      <c r="M557" s="79">
        <f t="shared" si="659"/>
        <v>0</v>
      </c>
      <c r="N557" s="79">
        <f t="shared" si="660"/>
        <v>0</v>
      </c>
      <c r="O557" s="79">
        <f t="shared" si="661"/>
        <v>0</v>
      </c>
      <c r="P557" s="79">
        <f t="shared" si="662"/>
        <v>0</v>
      </c>
      <c r="Q557" s="79"/>
      <c r="R557" s="80">
        <f t="shared" si="641"/>
        <v>0</v>
      </c>
      <c r="S557" s="80">
        <f t="shared" si="642"/>
        <v>0</v>
      </c>
      <c r="T557" s="80">
        <f t="shared" si="643"/>
        <v>0</v>
      </c>
      <c r="U557" s="80">
        <f t="shared" si="644"/>
        <v>0</v>
      </c>
      <c r="V557" s="80">
        <f t="shared" si="645"/>
        <v>0</v>
      </c>
      <c r="W557" s="80">
        <f t="shared" si="646"/>
        <v>0</v>
      </c>
      <c r="X557" s="80">
        <f t="shared" si="598"/>
        <v>487.01972222989491</v>
      </c>
      <c r="Y557" s="80">
        <f t="shared" si="599"/>
        <v>179.43963371570595</v>
      </c>
      <c r="Z557" s="80">
        <f t="shared" si="600"/>
        <v>134.72544209734255</v>
      </c>
      <c r="AA557" s="80">
        <f t="shared" si="601"/>
        <v>98.473712372224654</v>
      </c>
      <c r="AB557" s="80">
        <f t="shared" si="602"/>
        <v>1044.3644833485735</v>
      </c>
      <c r="AC557" s="80">
        <f t="shared" si="603"/>
        <v>637.78372863598418</v>
      </c>
      <c r="AD557" s="80"/>
      <c r="AE557" s="80"/>
      <c r="AF557" s="80"/>
      <c r="AG557" s="80"/>
      <c r="AH557" s="80"/>
      <c r="AI557" s="80"/>
      <c r="AJ557" s="45">
        <f t="shared" si="590"/>
        <v>0</v>
      </c>
      <c r="AK557" s="45">
        <f t="shared" si="591"/>
        <v>0</v>
      </c>
      <c r="AL557" s="45">
        <f t="shared" si="592"/>
        <v>0</v>
      </c>
      <c r="AM557" s="45">
        <f t="shared" si="593"/>
        <v>0</v>
      </c>
      <c r="AN557" s="45">
        <f t="shared" si="594"/>
        <v>0</v>
      </c>
      <c r="AO557" s="45">
        <f t="shared" si="595"/>
        <v>0</v>
      </c>
      <c r="AP557" s="80">
        <f t="shared" si="647"/>
        <v>0</v>
      </c>
      <c r="AQ557" s="80">
        <f t="shared" si="648"/>
        <v>0</v>
      </c>
      <c r="AR557" s="80">
        <f t="shared" si="649"/>
        <v>0</v>
      </c>
      <c r="AS557" s="80">
        <f t="shared" si="650"/>
        <v>0</v>
      </c>
      <c r="AT557" s="80">
        <f t="shared" si="651"/>
        <v>0</v>
      </c>
      <c r="AU557" s="80">
        <f t="shared" si="652"/>
        <v>0</v>
      </c>
      <c r="AV557" s="80">
        <f t="shared" si="604"/>
        <v>79.967266527846064</v>
      </c>
      <c r="AW557" s="80">
        <f t="shared" si="605"/>
        <v>38.011614868832162</v>
      </c>
      <c r="AX557" s="80">
        <f t="shared" si="606"/>
        <v>23.588408050213204</v>
      </c>
      <c r="AY557" s="80">
        <f t="shared" si="607"/>
        <v>18.07616886764923</v>
      </c>
      <c r="AZ557" s="80">
        <f t="shared" si="608"/>
        <v>199.59459729142131</v>
      </c>
      <c r="BA557" s="80">
        <f t="shared" si="609"/>
        <v>97.303678231625909</v>
      </c>
      <c r="BB557" s="80">
        <f t="shared" si="610"/>
        <v>566.98698875774096</v>
      </c>
      <c r="BC557" s="80">
        <f t="shared" si="611"/>
        <v>217.45124858453812</v>
      </c>
      <c r="BD557" s="80">
        <f t="shared" si="612"/>
        <v>158.31385014755574</v>
      </c>
      <c r="BE557" s="80">
        <f t="shared" si="613"/>
        <v>116.54988123987388</v>
      </c>
      <c r="BF557" s="80">
        <f t="shared" si="614"/>
        <v>1243.9590806399947</v>
      </c>
      <c r="BG557" s="80">
        <f t="shared" si="615"/>
        <v>735.08740686761007</v>
      </c>
      <c r="BH557" s="49">
        <f t="shared" si="616"/>
        <v>0</v>
      </c>
      <c r="BI557" s="79">
        <f t="shared" si="617"/>
        <v>-103391.58595072056</v>
      </c>
      <c r="BJ557" s="79">
        <f t="shared" si="653"/>
        <v>174249.86979278736</v>
      </c>
      <c r="BK557" s="44">
        <f t="shared" si="618"/>
        <v>0.68533897793036958</v>
      </c>
      <c r="BL557" s="79">
        <f t="shared" si="619"/>
        <v>22676.316138300732</v>
      </c>
      <c r="BM557" s="49">
        <f t="shared" si="620"/>
        <v>196926.18593108808</v>
      </c>
      <c r="BN557" s="44">
        <f t="shared" si="621"/>
        <v>0.90466355768010787</v>
      </c>
      <c r="BO557" s="49">
        <f t="shared" si="654"/>
        <v>30704.621031156505</v>
      </c>
      <c r="BP557" s="49">
        <f t="shared" si="655"/>
        <v>204954.49082394384</v>
      </c>
      <c r="BQ557" s="44">
        <f t="shared" si="622"/>
        <v>0.98231305709568195</v>
      </c>
      <c r="BS557" s="49">
        <f t="shared" si="623"/>
        <v>103391.58595072056</v>
      </c>
      <c r="BT557" s="49">
        <f t="shared" si="639"/>
        <v>125.25</v>
      </c>
      <c r="BU557" s="49">
        <f t="shared" si="640"/>
        <v>40.75</v>
      </c>
      <c r="BV557" s="49">
        <f t="shared" si="624"/>
        <v>0</v>
      </c>
      <c r="BW557" s="18">
        <f t="shared" si="656"/>
        <v>3604</v>
      </c>
      <c r="BX557" s="19">
        <f t="shared" si="625"/>
        <v>0.17339449541284405</v>
      </c>
      <c r="BY557" s="49">
        <f t="shared" si="626"/>
        <v>0</v>
      </c>
      <c r="BZ557" s="19">
        <f t="shared" si="627"/>
        <v>0</v>
      </c>
      <c r="CA557" s="19">
        <f t="shared" si="628"/>
        <v>0</v>
      </c>
      <c r="CB557" s="19">
        <f t="shared" si="629"/>
        <v>0</v>
      </c>
      <c r="CC557" s="19">
        <f t="shared" si="630"/>
        <v>0</v>
      </c>
      <c r="CD557" s="19">
        <f t="shared" si="631"/>
        <v>0</v>
      </c>
      <c r="CE557" s="19">
        <f t="shared" si="632"/>
        <v>0</v>
      </c>
      <c r="CF557" s="49">
        <f t="shared" si="633"/>
        <v>0</v>
      </c>
      <c r="CG557" s="49">
        <f t="shared" si="634"/>
        <v>0</v>
      </c>
      <c r="CH557" s="49">
        <f t="shared" si="635"/>
        <v>0</v>
      </c>
      <c r="CI557" s="49">
        <f t="shared" si="636"/>
        <v>0</v>
      </c>
      <c r="CJ557" s="49">
        <f t="shared" si="637"/>
        <v>0</v>
      </c>
      <c r="CK557" s="49">
        <f t="shared" si="638"/>
        <v>0</v>
      </c>
    </row>
    <row r="558" spans="2:89" ht="12.75" customHeight="1" x14ac:dyDescent="0.2">
      <c r="B558" s="77">
        <v>42904</v>
      </c>
      <c r="C558" s="79">
        <v>125.050003</v>
      </c>
      <c r="D558" s="79">
        <v>96.360000999999997</v>
      </c>
      <c r="E558" s="79">
        <v>102.699997</v>
      </c>
      <c r="F558" s="79">
        <v>122.400002</v>
      </c>
      <c r="G558" s="79">
        <v>41.220001000000003</v>
      </c>
      <c r="H558" s="79">
        <v>40.729999999999997</v>
      </c>
      <c r="I558" s="79"/>
      <c r="J558" s="78">
        <f>IF(inter=Weekly_2,J557+$C$5,IF(inter=Bi_weekly_2,J556+$C$5,IF(inter=Monthly_2,J554+$C$5,IF(inter=Quarterly_2,0,IF(inter=Yearly_2,0,IF(inter=None_2,0,0))))))</f>
        <v>174800</v>
      </c>
      <c r="K558" s="79">
        <f t="shared" si="657"/>
        <v>-278.18227409246902</v>
      </c>
      <c r="L558" s="79">
        <f t="shared" si="658"/>
        <v>-189.19671571494109</v>
      </c>
      <c r="M558" s="79">
        <f t="shared" si="659"/>
        <v>-147.69750077924618</v>
      </c>
      <c r="N558" s="79">
        <f t="shared" si="660"/>
        <v>-182.81740869227906</v>
      </c>
      <c r="O558" s="79">
        <f t="shared" si="661"/>
        <v>-651.29495200731617</v>
      </c>
      <c r="P558" s="79">
        <f t="shared" si="662"/>
        <v>-243.0687326563675</v>
      </c>
      <c r="Q558" s="79"/>
      <c r="R558" s="80">
        <f t="shared" si="641"/>
        <v>2.2245683120253026</v>
      </c>
      <c r="S558" s="80">
        <f t="shared" si="642"/>
        <v>1.9634362157690419</v>
      </c>
      <c r="T558" s="80">
        <f t="shared" si="643"/>
        <v>1.4381451323630146</v>
      </c>
      <c r="U558" s="80">
        <f t="shared" si="644"/>
        <v>1.4936062557603476</v>
      </c>
      <c r="V558" s="80">
        <f t="shared" si="645"/>
        <v>15.800459393664646</v>
      </c>
      <c r="W558" s="80">
        <f t="shared" si="646"/>
        <v>5.9678058594737911</v>
      </c>
      <c r="X558" s="80">
        <f t="shared" si="598"/>
        <v>489.24429054192024</v>
      </c>
      <c r="Y558" s="80">
        <f t="shared" si="599"/>
        <v>181.40306993147499</v>
      </c>
      <c r="Z558" s="80">
        <f t="shared" si="600"/>
        <v>136.16358722970557</v>
      </c>
      <c r="AA558" s="80">
        <f t="shared" si="601"/>
        <v>99.967318627984994</v>
      </c>
      <c r="AB558" s="80">
        <f t="shared" si="602"/>
        <v>1060.1649427422381</v>
      </c>
      <c r="AC558" s="80">
        <f t="shared" si="603"/>
        <v>643.75153449545792</v>
      </c>
      <c r="AD558" s="80"/>
      <c r="AE558" s="80"/>
      <c r="AF558" s="80"/>
      <c r="AG558" s="80"/>
      <c r="AH558" s="80"/>
      <c r="AI558" s="80"/>
      <c r="AJ558" s="45">
        <f t="shared" si="590"/>
        <v>0</v>
      </c>
      <c r="AK558" s="45">
        <f t="shared" si="591"/>
        <v>0</v>
      </c>
      <c r="AL558" s="45">
        <f t="shared" si="592"/>
        <v>0</v>
      </c>
      <c r="AM558" s="45">
        <f t="shared" si="593"/>
        <v>0</v>
      </c>
      <c r="AN558" s="45">
        <f t="shared" si="594"/>
        <v>0</v>
      </c>
      <c r="AO558" s="45">
        <f t="shared" si="595"/>
        <v>0</v>
      </c>
      <c r="AP558" s="80">
        <f t="shared" si="647"/>
        <v>0</v>
      </c>
      <c r="AQ558" s="80">
        <f t="shared" si="648"/>
        <v>0</v>
      </c>
      <c r="AR558" s="80">
        <f t="shared" si="649"/>
        <v>0</v>
      </c>
      <c r="AS558" s="80">
        <f t="shared" si="650"/>
        <v>0</v>
      </c>
      <c r="AT558" s="80">
        <f t="shared" si="651"/>
        <v>0</v>
      </c>
      <c r="AU558" s="80">
        <f t="shared" si="652"/>
        <v>0</v>
      </c>
      <c r="AV558" s="80">
        <f t="shared" si="604"/>
        <v>79.967266527846064</v>
      </c>
      <c r="AW558" s="80">
        <f t="shared" si="605"/>
        <v>38.011614868832162</v>
      </c>
      <c r="AX558" s="80">
        <f t="shared" si="606"/>
        <v>23.588408050213204</v>
      </c>
      <c r="AY558" s="80">
        <f t="shared" si="607"/>
        <v>18.07616886764923</v>
      </c>
      <c r="AZ558" s="80">
        <f t="shared" si="608"/>
        <v>199.59459729142131</v>
      </c>
      <c r="BA558" s="80">
        <f t="shared" si="609"/>
        <v>97.303678231625909</v>
      </c>
      <c r="BB558" s="80">
        <f t="shared" si="610"/>
        <v>569.21155706976629</v>
      </c>
      <c r="BC558" s="80">
        <f t="shared" si="611"/>
        <v>219.41468480030716</v>
      </c>
      <c r="BD558" s="80">
        <f t="shared" si="612"/>
        <v>159.75199527991879</v>
      </c>
      <c r="BE558" s="80">
        <f t="shared" si="613"/>
        <v>118.04348749563422</v>
      </c>
      <c r="BF558" s="80">
        <f t="shared" si="614"/>
        <v>1259.7595400336593</v>
      </c>
      <c r="BG558" s="80">
        <f t="shared" si="615"/>
        <v>741.05521272708381</v>
      </c>
      <c r="BH558" s="49">
        <f t="shared" si="616"/>
        <v>0</v>
      </c>
      <c r="BI558" s="79">
        <f t="shared" si="617"/>
        <v>-105083.84353466319</v>
      </c>
      <c r="BJ558" s="79">
        <f t="shared" si="653"/>
        <v>174800</v>
      </c>
      <c r="BK558" s="44">
        <f t="shared" si="618"/>
        <v>0.66343363661170307</v>
      </c>
      <c r="BL558" s="79">
        <f t="shared" si="619"/>
        <v>22676.316138300732</v>
      </c>
      <c r="BM558" s="49">
        <f t="shared" si="620"/>
        <v>197476.31613830072</v>
      </c>
      <c r="BN558" s="44">
        <f t="shared" si="621"/>
        <v>0.87922623969459912</v>
      </c>
      <c r="BO558" s="49">
        <f t="shared" si="654"/>
        <v>30488.227021846615</v>
      </c>
      <c r="BP558" s="49">
        <f t="shared" si="655"/>
        <v>205288.2270218466</v>
      </c>
      <c r="BQ558" s="44">
        <f t="shared" si="622"/>
        <v>0.95356602991143702</v>
      </c>
      <c r="BS558" s="49">
        <f t="shared" si="623"/>
        <v>105083.84353466319</v>
      </c>
      <c r="BT558" s="49">
        <f t="shared" si="639"/>
        <v>125.050003</v>
      </c>
      <c r="BU558" s="49">
        <f t="shared" si="640"/>
        <v>40.729999999999997</v>
      </c>
      <c r="BV558" s="49">
        <f t="shared" si="624"/>
        <v>1692.257583942619</v>
      </c>
      <c r="BW558" s="18">
        <f t="shared" si="656"/>
        <v>3611</v>
      </c>
      <c r="BX558" s="19">
        <f t="shared" si="625"/>
        <v>0.17178899082568808</v>
      </c>
      <c r="BY558" s="49">
        <f t="shared" si="626"/>
        <v>290.71122256261964</v>
      </c>
      <c r="BZ558" s="19">
        <f t="shared" si="627"/>
        <v>2.2245683120253026</v>
      </c>
      <c r="CA558" s="19">
        <f t="shared" si="628"/>
        <v>1.9634362157690419</v>
      </c>
      <c r="CB558" s="19">
        <f t="shared" si="629"/>
        <v>1.4381451323630146</v>
      </c>
      <c r="CC558" s="19">
        <f t="shared" si="630"/>
        <v>1.4936062557603476</v>
      </c>
      <c r="CD558" s="19">
        <f t="shared" si="631"/>
        <v>15.800459393664646</v>
      </c>
      <c r="CE558" s="19">
        <f t="shared" si="632"/>
        <v>5.9678058594737911</v>
      </c>
      <c r="CF558" s="49">
        <f t="shared" si="633"/>
        <v>-278.18227409246902</v>
      </c>
      <c r="CG558" s="49">
        <f t="shared" si="634"/>
        <v>-189.19671571494109</v>
      </c>
      <c r="CH558" s="49">
        <f t="shared" si="635"/>
        <v>-147.69750077924618</v>
      </c>
      <c r="CI558" s="49">
        <f t="shared" si="636"/>
        <v>-182.81740869227906</v>
      </c>
      <c r="CJ558" s="49">
        <f t="shared" si="637"/>
        <v>-651.29495200731617</v>
      </c>
      <c r="CK558" s="49">
        <f t="shared" si="638"/>
        <v>-243.0687326563675</v>
      </c>
    </row>
    <row r="559" spans="2:89" ht="12.75" customHeight="1" x14ac:dyDescent="0.2">
      <c r="B559" s="77">
        <v>42911</v>
      </c>
      <c r="C559" s="79">
        <v>124.449997</v>
      </c>
      <c r="D559" s="79">
        <v>96.559997999999993</v>
      </c>
      <c r="E559" s="79">
        <v>102.870003</v>
      </c>
      <c r="F559" s="79">
        <v>122.910004</v>
      </c>
      <c r="G559" s="79">
        <v>41.32</v>
      </c>
      <c r="H559" s="79">
        <v>40.830002</v>
      </c>
      <c r="I559" s="79"/>
      <c r="J559" s="78">
        <f>IF(inter=Weekly_2,J558+$C$5,IF(inter=Bi_weekly_2,0,IF(inter=Monthly_2,0,IF(inter=Quarterly_2,0,IF(inter=Yearly_2,0,IF(inter=None_2,0,0))))))</f>
        <v>0</v>
      </c>
      <c r="K559" s="79">
        <f t="shared" si="657"/>
        <v>0</v>
      </c>
      <c r="L559" s="79">
        <f t="shared" si="658"/>
        <v>0</v>
      </c>
      <c r="M559" s="79">
        <f t="shared" si="659"/>
        <v>0</v>
      </c>
      <c r="N559" s="79">
        <f t="shared" si="660"/>
        <v>0</v>
      </c>
      <c r="O559" s="79">
        <f t="shared" si="661"/>
        <v>0</v>
      </c>
      <c r="P559" s="79">
        <f t="shared" si="662"/>
        <v>0</v>
      </c>
      <c r="Q559" s="79"/>
      <c r="R559" s="80">
        <f t="shared" si="641"/>
        <v>0</v>
      </c>
      <c r="S559" s="80">
        <f t="shared" si="642"/>
        <v>0</v>
      </c>
      <c r="T559" s="80">
        <f t="shared" si="643"/>
        <v>0</v>
      </c>
      <c r="U559" s="80">
        <f t="shared" si="644"/>
        <v>0</v>
      </c>
      <c r="V559" s="80">
        <f t="shared" si="645"/>
        <v>0</v>
      </c>
      <c r="W559" s="80">
        <f t="shared" si="646"/>
        <v>0</v>
      </c>
      <c r="X559" s="80">
        <f t="shared" si="598"/>
        <v>489.24429054192024</v>
      </c>
      <c r="Y559" s="80">
        <f t="shared" si="599"/>
        <v>181.40306993147499</v>
      </c>
      <c r="Z559" s="80">
        <f t="shared" si="600"/>
        <v>136.16358722970557</v>
      </c>
      <c r="AA559" s="80">
        <f t="shared" si="601"/>
        <v>99.967318627984994</v>
      </c>
      <c r="AB559" s="80">
        <f t="shared" si="602"/>
        <v>1060.1649427422381</v>
      </c>
      <c r="AC559" s="80">
        <f t="shared" si="603"/>
        <v>643.75153449545792</v>
      </c>
      <c r="AD559" s="80">
        <v>0.57499999999999996</v>
      </c>
      <c r="AE559" s="80">
        <v>0.55700000000000005</v>
      </c>
      <c r="AF559" s="80">
        <v>0.46300000000000002</v>
      </c>
      <c r="AG559" s="80">
        <v>0.42</v>
      </c>
      <c r="AH559" s="80">
        <v>0.48199999999999998</v>
      </c>
      <c r="AI559" s="80">
        <v>0.253</v>
      </c>
      <c r="AJ559" s="45">
        <f t="shared" si="590"/>
        <v>281.31546706160412</v>
      </c>
      <c r="AK559" s="45">
        <f t="shared" si="591"/>
        <v>101.04150995183157</v>
      </c>
      <c r="AL559" s="45">
        <f t="shared" si="592"/>
        <v>63.043740887353685</v>
      </c>
      <c r="AM559" s="45">
        <f t="shared" si="593"/>
        <v>41.986273823753699</v>
      </c>
      <c r="AN559" s="45">
        <f t="shared" si="594"/>
        <v>510.99950240175872</v>
      </c>
      <c r="AO559" s="45">
        <f t="shared" si="595"/>
        <v>162.86913822735085</v>
      </c>
      <c r="AP559" s="80">
        <f t="shared" si="647"/>
        <v>2.260469858119837</v>
      </c>
      <c r="AQ559" s="80">
        <f t="shared" si="648"/>
        <v>1.046411682318299</v>
      </c>
      <c r="AR559" s="80">
        <f t="shared" si="649"/>
        <v>0.6128486346729638</v>
      </c>
      <c r="AS559" s="80">
        <f t="shared" si="650"/>
        <v>0.34160176110443946</v>
      </c>
      <c r="AT559" s="80">
        <f t="shared" si="651"/>
        <v>12.366880503430753</v>
      </c>
      <c r="AU559" s="80">
        <f t="shared" si="652"/>
        <v>3.9889573903854045</v>
      </c>
      <c r="AV559" s="80">
        <f t="shared" si="604"/>
        <v>82.227736385965898</v>
      </c>
      <c r="AW559" s="80">
        <f t="shared" si="605"/>
        <v>39.058026551150462</v>
      </c>
      <c r="AX559" s="80">
        <f t="shared" si="606"/>
        <v>24.201256684886168</v>
      </c>
      <c r="AY559" s="80">
        <f t="shared" si="607"/>
        <v>18.417770628753669</v>
      </c>
      <c r="AZ559" s="80">
        <f t="shared" si="608"/>
        <v>211.96147779485207</v>
      </c>
      <c r="BA559" s="80">
        <f t="shared" si="609"/>
        <v>101.29263562201132</v>
      </c>
      <c r="BB559" s="80">
        <f t="shared" si="610"/>
        <v>571.47202692788619</v>
      </c>
      <c r="BC559" s="80">
        <f t="shared" si="611"/>
        <v>220.46109648262546</v>
      </c>
      <c r="BD559" s="80">
        <f t="shared" si="612"/>
        <v>160.36484391459175</v>
      </c>
      <c r="BE559" s="80">
        <f t="shared" si="613"/>
        <v>118.38508925673867</v>
      </c>
      <c r="BF559" s="80">
        <f t="shared" si="614"/>
        <v>1272.1264205370901</v>
      </c>
      <c r="BG559" s="80">
        <f t="shared" si="615"/>
        <v>745.04417011746921</v>
      </c>
      <c r="BH559" s="49">
        <f t="shared" si="616"/>
        <v>1161.2556323536528</v>
      </c>
      <c r="BI559" s="79">
        <f t="shared" si="617"/>
        <v>-105083.84353466319</v>
      </c>
      <c r="BJ559" s="79">
        <f t="shared" si="653"/>
        <v>174787.25459429357</v>
      </c>
      <c r="BK559" s="44">
        <f t="shared" si="618"/>
        <v>0.66331234864508803</v>
      </c>
      <c r="BL559" s="79">
        <f t="shared" si="619"/>
        <v>23837.571770654384</v>
      </c>
      <c r="BM559" s="49">
        <f t="shared" si="620"/>
        <v>198624.82636494795</v>
      </c>
      <c r="BN559" s="44">
        <f t="shared" si="621"/>
        <v>0.89015570504355535</v>
      </c>
      <c r="BO559" s="49">
        <f t="shared" si="654"/>
        <v>31652.022899157771</v>
      </c>
      <c r="BP559" s="49">
        <f t="shared" si="655"/>
        <v>206439.27749345137</v>
      </c>
      <c r="BQ559" s="44">
        <f t="shared" si="622"/>
        <v>0.96451966876672968</v>
      </c>
      <c r="BS559" s="49">
        <f t="shared" si="623"/>
        <v>105083.84353466319</v>
      </c>
      <c r="BT559" s="49">
        <f t="shared" si="639"/>
        <v>124.449997</v>
      </c>
      <c r="BU559" s="49">
        <f t="shared" si="640"/>
        <v>40.830002</v>
      </c>
      <c r="BV559" s="49">
        <f t="shared" si="624"/>
        <v>-1161.2556323536528</v>
      </c>
      <c r="BW559" s="18">
        <f t="shared" si="656"/>
        <v>3618</v>
      </c>
      <c r="BX559" s="19">
        <f t="shared" si="625"/>
        <v>0.17018348623853211</v>
      </c>
      <c r="BY559" s="49">
        <f t="shared" si="626"/>
        <v>-197.62653192807576</v>
      </c>
      <c r="BZ559" s="19">
        <f t="shared" si="627"/>
        <v>0</v>
      </c>
      <c r="CA559" s="19">
        <f t="shared" si="628"/>
        <v>0</v>
      </c>
      <c r="CB559" s="19">
        <f t="shared" si="629"/>
        <v>0</v>
      </c>
      <c r="CC559" s="19">
        <f t="shared" si="630"/>
        <v>0</v>
      </c>
      <c r="CD559" s="19">
        <f t="shared" si="631"/>
        <v>0</v>
      </c>
      <c r="CE559" s="19">
        <f t="shared" si="632"/>
        <v>0</v>
      </c>
      <c r="CF559" s="49">
        <f t="shared" si="633"/>
        <v>0</v>
      </c>
      <c r="CG559" s="49">
        <f t="shared" si="634"/>
        <v>0</v>
      </c>
      <c r="CH559" s="49">
        <f t="shared" si="635"/>
        <v>0</v>
      </c>
      <c r="CI559" s="49">
        <f t="shared" si="636"/>
        <v>0</v>
      </c>
      <c r="CJ559" s="49">
        <f t="shared" si="637"/>
        <v>0</v>
      </c>
      <c r="CK559" s="49">
        <f t="shared" si="638"/>
        <v>0</v>
      </c>
    </row>
    <row r="560" spans="2:89" ht="12.75" customHeight="1" x14ac:dyDescent="0.2">
      <c r="B560" s="77">
        <v>42918</v>
      </c>
      <c r="C560" s="79">
        <v>124.519997</v>
      </c>
      <c r="D560" s="79">
        <v>96.739998</v>
      </c>
      <c r="E560" s="79">
        <v>103.010002</v>
      </c>
      <c r="F560" s="79">
        <v>122.860001</v>
      </c>
      <c r="G560" s="79">
        <v>41.080002</v>
      </c>
      <c r="H560" s="79">
        <v>40.610000999999997</v>
      </c>
      <c r="I560" s="79"/>
      <c r="J560" s="78">
        <f>IF(inter=Weekly_2,J559+$C$5,IF(inter=Bi_weekly_2,J558+$C$5,IF(inter=Monthly_2,0,IF(inter=Quarterly_2,0,IF(inter=Yearly_2,0,IF(inter=None_2,0,0))))))</f>
        <v>175400</v>
      </c>
      <c r="K560" s="79">
        <f t="shared" si="657"/>
        <v>-469.30240945295373</v>
      </c>
      <c r="L560" s="79">
        <f t="shared" si="658"/>
        <v>8.9326223647512961</v>
      </c>
      <c r="M560" s="79">
        <f t="shared" si="659"/>
        <v>-5.7886071408556745</v>
      </c>
      <c r="N560" s="79">
        <f t="shared" si="660"/>
        <v>3.9848666015532217</v>
      </c>
      <c r="O560" s="79">
        <f t="shared" si="661"/>
        <v>-298.42203181897639</v>
      </c>
      <c r="P560" s="79">
        <f t="shared" si="662"/>
        <v>-167.24954038792202</v>
      </c>
      <c r="Q560" s="79"/>
      <c r="R560" s="80">
        <f t="shared" si="641"/>
        <v>3.7688919110153343</v>
      </c>
      <c r="S560" s="80">
        <f t="shared" si="642"/>
        <v>-9.2336391869175929E-2</v>
      </c>
      <c r="T560" s="80">
        <f t="shared" si="643"/>
        <v>5.6194612449921848E-2</v>
      </c>
      <c r="U560" s="80">
        <f t="shared" si="644"/>
        <v>-3.2434206162453329E-2</v>
      </c>
      <c r="V560" s="80">
        <f t="shared" si="645"/>
        <v>7.2644113264399648</v>
      </c>
      <c r="W560" s="80">
        <f t="shared" si="646"/>
        <v>4.1184323139495129</v>
      </c>
      <c r="X560" s="80">
        <f t="shared" si="598"/>
        <v>493.01318245293555</v>
      </c>
      <c r="Y560" s="80">
        <f t="shared" si="599"/>
        <v>181.31073353960582</v>
      </c>
      <c r="Z560" s="80">
        <f t="shared" si="600"/>
        <v>136.2197818421555</v>
      </c>
      <c r="AA560" s="80">
        <f t="shared" si="601"/>
        <v>99.934884421822545</v>
      </c>
      <c r="AB560" s="80">
        <f t="shared" si="602"/>
        <v>1067.4293540686781</v>
      </c>
      <c r="AC560" s="80">
        <f t="shared" si="603"/>
        <v>647.8699668094074</v>
      </c>
      <c r="AD560" s="80"/>
      <c r="AE560" s="80"/>
      <c r="AF560" s="80"/>
      <c r="AG560" s="80"/>
      <c r="AH560" s="80"/>
      <c r="AI560" s="80"/>
      <c r="AJ560" s="45">
        <f t="shared" si="590"/>
        <v>0</v>
      </c>
      <c r="AK560" s="45">
        <f t="shared" si="591"/>
        <v>0</v>
      </c>
      <c r="AL560" s="45">
        <f t="shared" si="592"/>
        <v>0</v>
      </c>
      <c r="AM560" s="45">
        <f t="shared" si="593"/>
        <v>0</v>
      </c>
      <c r="AN560" s="45">
        <f t="shared" si="594"/>
        <v>0</v>
      </c>
      <c r="AO560" s="45">
        <f t="shared" si="595"/>
        <v>0</v>
      </c>
      <c r="AP560" s="80">
        <f t="shared" si="647"/>
        <v>0</v>
      </c>
      <c r="AQ560" s="80">
        <f t="shared" si="648"/>
        <v>0</v>
      </c>
      <c r="AR560" s="80">
        <f t="shared" si="649"/>
        <v>0</v>
      </c>
      <c r="AS560" s="80">
        <f t="shared" si="650"/>
        <v>0</v>
      </c>
      <c r="AT560" s="80">
        <f t="shared" si="651"/>
        <v>0</v>
      </c>
      <c r="AU560" s="80">
        <f t="shared" si="652"/>
        <v>0</v>
      </c>
      <c r="AV560" s="80">
        <f t="shared" si="604"/>
        <v>82.227736385965898</v>
      </c>
      <c r="AW560" s="80">
        <f t="shared" si="605"/>
        <v>39.058026551150462</v>
      </c>
      <c r="AX560" s="80">
        <f t="shared" si="606"/>
        <v>24.201256684886168</v>
      </c>
      <c r="AY560" s="80">
        <f t="shared" si="607"/>
        <v>18.417770628753669</v>
      </c>
      <c r="AZ560" s="80">
        <f t="shared" si="608"/>
        <v>211.96147779485207</v>
      </c>
      <c r="BA560" s="80">
        <f t="shared" si="609"/>
        <v>101.29263562201132</v>
      </c>
      <c r="BB560" s="80">
        <f t="shared" si="610"/>
        <v>575.24091883890151</v>
      </c>
      <c r="BC560" s="80">
        <f t="shared" si="611"/>
        <v>220.36876009075627</v>
      </c>
      <c r="BD560" s="80">
        <f t="shared" si="612"/>
        <v>160.42103852704167</v>
      </c>
      <c r="BE560" s="80">
        <f t="shared" si="613"/>
        <v>118.35265505057622</v>
      </c>
      <c r="BF560" s="80">
        <f t="shared" si="614"/>
        <v>1279.3908318635301</v>
      </c>
      <c r="BG560" s="80">
        <f t="shared" si="615"/>
        <v>749.16260243141869</v>
      </c>
      <c r="BH560" s="49">
        <f t="shared" si="616"/>
        <v>0</v>
      </c>
      <c r="BI560" s="79">
        <f t="shared" si="617"/>
        <v>-106011.68863449758</v>
      </c>
      <c r="BJ560" s="79">
        <f t="shared" si="653"/>
        <v>175400</v>
      </c>
      <c r="BK560" s="44">
        <f t="shared" si="618"/>
        <v>0.65453453538256889</v>
      </c>
      <c r="BL560" s="79">
        <f t="shared" si="619"/>
        <v>23837.571770654384</v>
      </c>
      <c r="BM560" s="49">
        <f t="shared" si="620"/>
        <v>199237.57177065438</v>
      </c>
      <c r="BN560" s="44">
        <f t="shared" si="621"/>
        <v>0.87939249281819176</v>
      </c>
      <c r="BO560" s="49">
        <f t="shared" si="654"/>
        <v>31594.121681556582</v>
      </c>
      <c r="BP560" s="49">
        <f t="shared" si="655"/>
        <v>206994.12168155657</v>
      </c>
      <c r="BQ560" s="44">
        <f t="shared" si="622"/>
        <v>0.95255942385015446</v>
      </c>
      <c r="BS560" s="49">
        <f t="shared" si="623"/>
        <v>106011.68863449758</v>
      </c>
      <c r="BT560" s="49">
        <f t="shared" si="639"/>
        <v>124.519997</v>
      </c>
      <c r="BU560" s="49">
        <f t="shared" si="640"/>
        <v>40.610000999999997</v>
      </c>
      <c r="BV560" s="49">
        <f t="shared" si="624"/>
        <v>927.8450998344033</v>
      </c>
      <c r="BW560" s="18">
        <f t="shared" si="656"/>
        <v>3625</v>
      </c>
      <c r="BX560" s="19">
        <f t="shared" si="625"/>
        <v>0.16857798165137614</v>
      </c>
      <c r="BY560" s="49">
        <f t="shared" si="626"/>
        <v>156.4142542152033</v>
      </c>
      <c r="BZ560" s="19">
        <f t="shared" si="627"/>
        <v>3.7688919110153343</v>
      </c>
      <c r="CA560" s="19">
        <f t="shared" si="628"/>
        <v>0</v>
      </c>
      <c r="CB560" s="19">
        <f t="shared" si="629"/>
        <v>5.6194612449921848E-2</v>
      </c>
      <c r="CC560" s="19">
        <f t="shared" si="630"/>
        <v>0</v>
      </c>
      <c r="CD560" s="19">
        <f t="shared" si="631"/>
        <v>7.2644113264399648</v>
      </c>
      <c r="CE560" s="19">
        <f t="shared" si="632"/>
        <v>4.1184323139495129</v>
      </c>
      <c r="CF560" s="49">
        <f t="shared" si="633"/>
        <v>-469.30240945295373</v>
      </c>
      <c r="CG560" s="49">
        <f t="shared" si="634"/>
        <v>0</v>
      </c>
      <c r="CH560" s="49">
        <f t="shared" si="635"/>
        <v>-5.7886071408556745</v>
      </c>
      <c r="CI560" s="49">
        <f t="shared" si="636"/>
        <v>0</v>
      </c>
      <c r="CJ560" s="49">
        <f t="shared" si="637"/>
        <v>-298.42203181897639</v>
      </c>
      <c r="CK560" s="49">
        <f t="shared" si="638"/>
        <v>-167.24954038792202</v>
      </c>
    </row>
    <row r="561" spans="2:89" ht="12.75" customHeight="1" x14ac:dyDescent="0.2">
      <c r="B561" s="77">
        <v>42925</v>
      </c>
      <c r="C561" s="79">
        <v>126.230003</v>
      </c>
      <c r="D561" s="79">
        <v>97.529999000000004</v>
      </c>
      <c r="E561" s="79">
        <v>104.260002</v>
      </c>
      <c r="F561" s="79">
        <v>124.089996</v>
      </c>
      <c r="G561" s="79">
        <v>42.07</v>
      </c>
      <c r="H561" s="79">
        <v>42.52</v>
      </c>
      <c r="I561" s="79"/>
      <c r="J561" s="78">
        <f>IF(inter=Weekly_2,J560+$C$5,IF(inter=Bi_weekly_2,0,IF(inter=Monthly_2,0,IF(inter=Quarterly_2,0,IF(inter=Yearly_2,0,IF(inter=None_2,0,0))))))</f>
        <v>0</v>
      </c>
      <c r="K561" s="79">
        <f t="shared" si="657"/>
        <v>0</v>
      </c>
      <c r="L561" s="79">
        <f t="shared" si="658"/>
        <v>0</v>
      </c>
      <c r="M561" s="79">
        <f t="shared" si="659"/>
        <v>0</v>
      </c>
      <c r="N561" s="79">
        <f t="shared" si="660"/>
        <v>0</v>
      </c>
      <c r="O561" s="79">
        <f t="shared" si="661"/>
        <v>0</v>
      </c>
      <c r="P561" s="79">
        <f t="shared" si="662"/>
        <v>0</v>
      </c>
      <c r="Q561" s="79"/>
      <c r="R561" s="80">
        <f t="shared" si="641"/>
        <v>0</v>
      </c>
      <c r="S561" s="80">
        <f t="shared" si="642"/>
        <v>0</v>
      </c>
      <c r="T561" s="80">
        <f t="shared" si="643"/>
        <v>0</v>
      </c>
      <c r="U561" s="80">
        <f t="shared" si="644"/>
        <v>0</v>
      </c>
      <c r="V561" s="80">
        <f t="shared" si="645"/>
        <v>0</v>
      </c>
      <c r="W561" s="80">
        <f t="shared" si="646"/>
        <v>0</v>
      </c>
      <c r="X561" s="80">
        <f t="shared" si="598"/>
        <v>493.01318245293555</v>
      </c>
      <c r="Y561" s="80">
        <f t="shared" si="599"/>
        <v>181.31073353960582</v>
      </c>
      <c r="Z561" s="80">
        <f t="shared" si="600"/>
        <v>136.2197818421555</v>
      </c>
      <c r="AA561" s="80">
        <f t="shared" si="601"/>
        <v>99.934884421822545</v>
      </c>
      <c r="AB561" s="80">
        <f t="shared" si="602"/>
        <v>1067.4293540686781</v>
      </c>
      <c r="AC561" s="80">
        <f t="shared" si="603"/>
        <v>647.8699668094074</v>
      </c>
      <c r="AD561" s="80"/>
      <c r="AE561" s="80"/>
      <c r="AF561" s="80"/>
      <c r="AG561" s="80"/>
      <c r="AH561" s="80"/>
      <c r="AI561" s="80"/>
      <c r="AJ561" s="45">
        <f t="shared" si="590"/>
        <v>0</v>
      </c>
      <c r="AK561" s="45">
        <f t="shared" si="591"/>
        <v>0</v>
      </c>
      <c r="AL561" s="45">
        <f t="shared" si="592"/>
        <v>0</v>
      </c>
      <c r="AM561" s="45">
        <f t="shared" si="593"/>
        <v>0</v>
      </c>
      <c r="AN561" s="45">
        <f t="shared" si="594"/>
        <v>0</v>
      </c>
      <c r="AO561" s="45">
        <f t="shared" si="595"/>
        <v>0</v>
      </c>
      <c r="AP561" s="80">
        <f t="shared" si="647"/>
        <v>0</v>
      </c>
      <c r="AQ561" s="80">
        <f t="shared" si="648"/>
        <v>0</v>
      </c>
      <c r="AR561" s="80">
        <f t="shared" si="649"/>
        <v>0</v>
      </c>
      <c r="AS561" s="80">
        <f t="shared" si="650"/>
        <v>0</v>
      </c>
      <c r="AT561" s="80">
        <f t="shared" si="651"/>
        <v>0</v>
      </c>
      <c r="AU561" s="80">
        <f t="shared" si="652"/>
        <v>0</v>
      </c>
      <c r="AV561" s="80">
        <f t="shared" si="604"/>
        <v>82.227736385965898</v>
      </c>
      <c r="AW561" s="80">
        <f t="shared" si="605"/>
        <v>39.058026551150462</v>
      </c>
      <c r="AX561" s="80">
        <f t="shared" si="606"/>
        <v>24.201256684886168</v>
      </c>
      <c r="AY561" s="80">
        <f t="shared" si="607"/>
        <v>18.417770628753669</v>
      </c>
      <c r="AZ561" s="80">
        <f t="shared" si="608"/>
        <v>211.96147779485207</v>
      </c>
      <c r="BA561" s="80">
        <f t="shared" si="609"/>
        <v>101.29263562201132</v>
      </c>
      <c r="BB561" s="80">
        <f t="shared" si="610"/>
        <v>575.24091883890151</v>
      </c>
      <c r="BC561" s="80">
        <f t="shared" si="611"/>
        <v>220.36876009075627</v>
      </c>
      <c r="BD561" s="80">
        <f t="shared" si="612"/>
        <v>160.42103852704167</v>
      </c>
      <c r="BE561" s="80">
        <f t="shared" si="613"/>
        <v>118.35265505057622</v>
      </c>
      <c r="BF561" s="80">
        <f t="shared" si="614"/>
        <v>1279.3908318635301</v>
      </c>
      <c r="BG561" s="80">
        <f t="shared" si="615"/>
        <v>749.16260243141869</v>
      </c>
      <c r="BH561" s="49">
        <f t="shared" si="616"/>
        <v>0</v>
      </c>
      <c r="BI561" s="79">
        <f t="shared" si="617"/>
        <v>-106011.68863449758</v>
      </c>
      <c r="BJ561" s="79">
        <f t="shared" si="653"/>
        <v>178973.66921075303</v>
      </c>
      <c r="BK561" s="44">
        <f t="shared" si="618"/>
        <v>0.68824467863926353</v>
      </c>
      <c r="BL561" s="79">
        <f t="shared" si="619"/>
        <v>23837.571770654384</v>
      </c>
      <c r="BM561" s="49">
        <f t="shared" si="620"/>
        <v>202811.24098140741</v>
      </c>
      <c r="BN561" s="44">
        <f t="shared" si="621"/>
        <v>0.91310263607488662</v>
      </c>
      <c r="BO561" s="49">
        <f t="shared" si="654"/>
        <v>32221.803092656413</v>
      </c>
      <c r="BP561" s="49">
        <f t="shared" si="655"/>
        <v>211195.47230340942</v>
      </c>
      <c r="BQ561" s="44">
        <f t="shared" si="622"/>
        <v>0.99219043695794573</v>
      </c>
      <c r="BS561" s="49">
        <f t="shared" si="623"/>
        <v>106011.68863449758</v>
      </c>
      <c r="BT561" s="49">
        <f t="shared" si="639"/>
        <v>126.230003</v>
      </c>
      <c r="BU561" s="49">
        <f t="shared" si="640"/>
        <v>42.52</v>
      </c>
      <c r="BV561" s="49">
        <f t="shared" si="624"/>
        <v>0</v>
      </c>
      <c r="BW561" s="18">
        <f t="shared" si="656"/>
        <v>3632</v>
      </c>
      <c r="BX561" s="19">
        <f t="shared" si="625"/>
        <v>0.16697247706422019</v>
      </c>
      <c r="BY561" s="49">
        <f t="shared" si="626"/>
        <v>0</v>
      </c>
      <c r="BZ561" s="19">
        <f t="shared" si="627"/>
        <v>0</v>
      </c>
      <c r="CA561" s="19">
        <f t="shared" si="628"/>
        <v>0</v>
      </c>
      <c r="CB561" s="19">
        <f t="shared" si="629"/>
        <v>0</v>
      </c>
      <c r="CC561" s="19">
        <f t="shared" si="630"/>
        <v>0</v>
      </c>
      <c r="CD561" s="19">
        <f t="shared" si="631"/>
        <v>0</v>
      </c>
      <c r="CE561" s="19">
        <f t="shared" si="632"/>
        <v>0</v>
      </c>
      <c r="CF561" s="49">
        <f t="shared" si="633"/>
        <v>0</v>
      </c>
      <c r="CG561" s="49">
        <f t="shared" si="634"/>
        <v>0</v>
      </c>
      <c r="CH561" s="49">
        <f t="shared" si="635"/>
        <v>0</v>
      </c>
      <c r="CI561" s="49">
        <f t="shared" si="636"/>
        <v>0</v>
      </c>
      <c r="CJ561" s="49">
        <f t="shared" si="637"/>
        <v>0</v>
      </c>
      <c r="CK561" s="49">
        <f t="shared" si="638"/>
        <v>0</v>
      </c>
    </row>
    <row r="562" spans="2:89" ht="12.75" customHeight="1" x14ac:dyDescent="0.2">
      <c r="B562" s="77">
        <v>42932</v>
      </c>
      <c r="C562" s="79">
        <v>126.949997</v>
      </c>
      <c r="D562" s="79">
        <v>97.690002000000007</v>
      </c>
      <c r="E562" s="79">
        <v>104.849998</v>
      </c>
      <c r="F562" s="79">
        <v>124.82</v>
      </c>
      <c r="G562" s="79">
        <v>42.32</v>
      </c>
      <c r="H562" s="79">
        <v>42.599997999999999</v>
      </c>
      <c r="I562" s="79"/>
      <c r="J562" s="78">
        <f>IF(inter=Weekly_2,J561+$C$5,IF(inter=Bi_weekly_2,J560+$C$5,IF(inter=Monthly_2,J558+$C$5,IF(inter=Quarterly_2,J549+$C$5,IF(inter=Yearly_2,J510+$C$5,IF(inter=None_2,0,0))))))</f>
        <v>176000</v>
      </c>
      <c r="K562" s="79">
        <f t="shared" si="657"/>
        <v>988.02203336062666</v>
      </c>
      <c r="L562" s="79">
        <f t="shared" si="658"/>
        <v>112.24592210556148</v>
      </c>
      <c r="M562" s="79">
        <f t="shared" si="659"/>
        <v>202.64385371044045</v>
      </c>
      <c r="N562" s="79">
        <f t="shared" si="660"/>
        <v>153.87227353188791</v>
      </c>
      <c r="O562" s="79">
        <f t="shared" si="661"/>
        <v>1173.6102641864563</v>
      </c>
      <c r="P562" s="79">
        <f t="shared" si="662"/>
        <v>1199.2592903408222</v>
      </c>
      <c r="Q562" s="79"/>
      <c r="R562" s="80">
        <f t="shared" si="641"/>
        <v>-7.7827653147611082</v>
      </c>
      <c r="S562" s="80">
        <f t="shared" si="642"/>
        <v>-1.1490011240409379</v>
      </c>
      <c r="T562" s="80">
        <f t="shared" si="643"/>
        <v>-1.9327025042999091</v>
      </c>
      <c r="U562" s="80">
        <f t="shared" si="644"/>
        <v>-1.2327533530835437</v>
      </c>
      <c r="V562" s="80">
        <f t="shared" si="645"/>
        <v>-27.731811535596794</v>
      </c>
      <c r="W562" s="80">
        <f t="shared" si="646"/>
        <v>-28.151627855494787</v>
      </c>
      <c r="X562" s="80">
        <f t="shared" si="598"/>
        <v>485.23041713817446</v>
      </c>
      <c r="Y562" s="80">
        <f t="shared" si="599"/>
        <v>180.16173241556487</v>
      </c>
      <c r="Z562" s="80">
        <f t="shared" si="600"/>
        <v>134.2870793378556</v>
      </c>
      <c r="AA562" s="80">
        <f t="shared" si="601"/>
        <v>98.702131068739007</v>
      </c>
      <c r="AB562" s="80">
        <f t="shared" si="602"/>
        <v>1039.6975425330813</v>
      </c>
      <c r="AC562" s="80">
        <f t="shared" si="603"/>
        <v>619.71833895391262</v>
      </c>
      <c r="AD562" s="80"/>
      <c r="AE562" s="80"/>
      <c r="AF562" s="80"/>
      <c r="AG562" s="80"/>
      <c r="AH562" s="80"/>
      <c r="AI562" s="80"/>
      <c r="AJ562" s="45">
        <f t="shared" si="590"/>
        <v>0</v>
      </c>
      <c r="AK562" s="45">
        <f t="shared" si="591"/>
        <v>0</v>
      </c>
      <c r="AL562" s="45">
        <f t="shared" si="592"/>
        <v>0</v>
      </c>
      <c r="AM562" s="45">
        <f t="shared" si="593"/>
        <v>0</v>
      </c>
      <c r="AN562" s="45">
        <f t="shared" si="594"/>
        <v>0</v>
      </c>
      <c r="AO562" s="45">
        <f t="shared" si="595"/>
        <v>0</v>
      </c>
      <c r="AP562" s="80">
        <f t="shared" si="647"/>
        <v>0</v>
      </c>
      <c r="AQ562" s="80">
        <f t="shared" si="648"/>
        <v>0</v>
      </c>
      <c r="AR562" s="80">
        <f t="shared" si="649"/>
        <v>0</v>
      </c>
      <c r="AS562" s="80">
        <f t="shared" si="650"/>
        <v>0</v>
      </c>
      <c r="AT562" s="80">
        <f t="shared" si="651"/>
        <v>0</v>
      </c>
      <c r="AU562" s="80">
        <f t="shared" si="652"/>
        <v>0</v>
      </c>
      <c r="AV562" s="80">
        <f t="shared" si="604"/>
        <v>82.227736385965898</v>
      </c>
      <c r="AW562" s="80">
        <f t="shared" si="605"/>
        <v>39.058026551150462</v>
      </c>
      <c r="AX562" s="80">
        <f t="shared" si="606"/>
        <v>24.201256684886168</v>
      </c>
      <c r="AY562" s="80">
        <f t="shared" si="607"/>
        <v>18.417770628753669</v>
      </c>
      <c r="AZ562" s="80">
        <f t="shared" si="608"/>
        <v>211.96147779485207</v>
      </c>
      <c r="BA562" s="80">
        <f t="shared" si="609"/>
        <v>101.29263562201132</v>
      </c>
      <c r="BB562" s="80">
        <f t="shared" si="610"/>
        <v>567.45815352414036</v>
      </c>
      <c r="BC562" s="80">
        <f t="shared" si="611"/>
        <v>219.21975896671535</v>
      </c>
      <c r="BD562" s="80">
        <f t="shared" si="612"/>
        <v>158.48833602274178</v>
      </c>
      <c r="BE562" s="80">
        <f t="shared" si="613"/>
        <v>117.11990169749268</v>
      </c>
      <c r="BF562" s="80">
        <f t="shared" si="614"/>
        <v>1251.6590203279334</v>
      </c>
      <c r="BG562" s="80">
        <f t="shared" si="615"/>
        <v>721.01097457592391</v>
      </c>
      <c r="BH562" s="49">
        <f t="shared" si="616"/>
        <v>0</v>
      </c>
      <c r="BI562" s="79">
        <f t="shared" si="617"/>
        <v>-102182.03499726178</v>
      </c>
      <c r="BJ562" s="79">
        <f t="shared" si="653"/>
        <v>176000</v>
      </c>
      <c r="BK562" s="44">
        <f t="shared" si="618"/>
        <v>0.72241627410059261</v>
      </c>
      <c r="BL562" s="79">
        <f t="shared" si="619"/>
        <v>23837.571770654384</v>
      </c>
      <c r="BM562" s="49">
        <f t="shared" si="620"/>
        <v>199837.57177065438</v>
      </c>
      <c r="BN562" s="44">
        <f t="shared" si="621"/>
        <v>0.95570162383250157</v>
      </c>
      <c r="BO562" s="49">
        <f t="shared" si="654"/>
        <v>32376.073239492489</v>
      </c>
      <c r="BP562" s="49">
        <f t="shared" si="655"/>
        <v>208376.07323949249</v>
      </c>
      <c r="BQ562" s="44">
        <f t="shared" si="622"/>
        <v>1.0392632936413571</v>
      </c>
      <c r="BS562" s="49">
        <f t="shared" si="623"/>
        <v>102182.03499726178</v>
      </c>
      <c r="BT562" s="49">
        <f t="shared" si="639"/>
        <v>126.949997</v>
      </c>
      <c r="BU562" s="49">
        <f t="shared" si="640"/>
        <v>42.599997999999999</v>
      </c>
      <c r="BV562" s="49">
        <f t="shared" si="624"/>
        <v>-3829.653637235795</v>
      </c>
      <c r="BW562" s="18">
        <f t="shared" si="656"/>
        <v>3639</v>
      </c>
      <c r="BX562" s="19">
        <f t="shared" si="625"/>
        <v>0.16536697247706422</v>
      </c>
      <c r="BY562" s="49">
        <f t="shared" si="626"/>
        <v>-633.29822762546064</v>
      </c>
      <c r="BZ562" s="19">
        <f t="shared" si="627"/>
        <v>0</v>
      </c>
      <c r="CA562" s="19">
        <f t="shared" si="628"/>
        <v>0</v>
      </c>
      <c r="CB562" s="19">
        <f t="shared" si="629"/>
        <v>0</v>
      </c>
      <c r="CC562" s="19">
        <f t="shared" si="630"/>
        <v>0</v>
      </c>
      <c r="CD562" s="19">
        <f t="shared" si="631"/>
        <v>0</v>
      </c>
      <c r="CE562" s="19">
        <f t="shared" si="632"/>
        <v>0</v>
      </c>
      <c r="CF562" s="49">
        <f t="shared" si="633"/>
        <v>0</v>
      </c>
      <c r="CG562" s="49">
        <f t="shared" si="634"/>
        <v>0</v>
      </c>
      <c r="CH562" s="49">
        <f t="shared" si="635"/>
        <v>0</v>
      </c>
      <c r="CI562" s="49">
        <f t="shared" si="636"/>
        <v>0</v>
      </c>
      <c r="CJ562" s="49">
        <f t="shared" si="637"/>
        <v>0</v>
      </c>
      <c r="CK562" s="49">
        <f t="shared" si="638"/>
        <v>0</v>
      </c>
    </row>
    <row r="563" spans="2:89" ht="12.75" customHeight="1" x14ac:dyDescent="0.2">
      <c r="B563" s="77">
        <v>42939</v>
      </c>
      <c r="C563" s="79">
        <v>126.860001</v>
      </c>
      <c r="D563" s="79">
        <v>97.870002999999997</v>
      </c>
      <c r="E563" s="79">
        <v>104.519997</v>
      </c>
      <c r="F563" s="79">
        <v>124.30999799999999</v>
      </c>
      <c r="G563" s="79">
        <v>42.419998</v>
      </c>
      <c r="H563" s="79">
        <v>42.939999</v>
      </c>
      <c r="I563" s="79"/>
      <c r="J563" s="78">
        <f>IF(inter=Weekly_2,J562+$C$5,IF(inter=Bi_weekly_2,0,IF(inter=Monthly_2,0,IF(inter=Quarterly_2,0,IF(inter=Yearly_2,0,IF(inter=None_2,0,0))))))</f>
        <v>0</v>
      </c>
      <c r="K563" s="79">
        <f t="shared" si="657"/>
        <v>0</v>
      </c>
      <c r="L563" s="79">
        <f t="shared" si="658"/>
        <v>0</v>
      </c>
      <c r="M563" s="79">
        <f t="shared" si="659"/>
        <v>0</v>
      </c>
      <c r="N563" s="79">
        <f t="shared" si="660"/>
        <v>0</v>
      </c>
      <c r="O563" s="79">
        <f t="shared" si="661"/>
        <v>0</v>
      </c>
      <c r="P563" s="79">
        <f t="shared" si="662"/>
        <v>0</v>
      </c>
      <c r="Q563" s="79"/>
      <c r="R563" s="80">
        <f t="shared" si="641"/>
        <v>0</v>
      </c>
      <c r="S563" s="80">
        <f t="shared" si="642"/>
        <v>0</v>
      </c>
      <c r="T563" s="80">
        <f t="shared" si="643"/>
        <v>0</v>
      </c>
      <c r="U563" s="80">
        <f t="shared" si="644"/>
        <v>0</v>
      </c>
      <c r="V563" s="80">
        <f t="shared" si="645"/>
        <v>0</v>
      </c>
      <c r="W563" s="80">
        <f t="shared" si="646"/>
        <v>0</v>
      </c>
      <c r="X563" s="80">
        <f t="shared" si="598"/>
        <v>485.23041713817446</v>
      </c>
      <c r="Y563" s="80">
        <f t="shared" si="599"/>
        <v>180.16173241556487</v>
      </c>
      <c r="Z563" s="80">
        <f t="shared" si="600"/>
        <v>134.2870793378556</v>
      </c>
      <c r="AA563" s="80">
        <f t="shared" si="601"/>
        <v>98.702131068739007</v>
      </c>
      <c r="AB563" s="80">
        <f t="shared" si="602"/>
        <v>1039.6975425330813</v>
      </c>
      <c r="AC563" s="80">
        <f t="shared" si="603"/>
        <v>619.71833895391262</v>
      </c>
      <c r="AD563" s="80"/>
      <c r="AE563" s="80"/>
      <c r="AF563" s="80"/>
      <c r="AG563" s="80"/>
      <c r="AH563" s="80"/>
      <c r="AI563" s="80"/>
      <c r="AJ563" s="45">
        <f t="shared" si="590"/>
        <v>0</v>
      </c>
      <c r="AK563" s="45">
        <f t="shared" si="591"/>
        <v>0</v>
      </c>
      <c r="AL563" s="45">
        <f t="shared" si="592"/>
        <v>0</v>
      </c>
      <c r="AM563" s="45">
        <f t="shared" si="593"/>
        <v>0</v>
      </c>
      <c r="AN563" s="45">
        <f t="shared" si="594"/>
        <v>0</v>
      </c>
      <c r="AO563" s="45">
        <f t="shared" si="595"/>
        <v>0</v>
      </c>
      <c r="AP563" s="80">
        <f t="shared" si="647"/>
        <v>0</v>
      </c>
      <c r="AQ563" s="80">
        <f t="shared" si="648"/>
        <v>0</v>
      </c>
      <c r="AR563" s="80">
        <f t="shared" si="649"/>
        <v>0</v>
      </c>
      <c r="AS563" s="80">
        <f t="shared" si="650"/>
        <v>0</v>
      </c>
      <c r="AT563" s="80">
        <f t="shared" si="651"/>
        <v>0</v>
      </c>
      <c r="AU563" s="80">
        <f t="shared" si="652"/>
        <v>0</v>
      </c>
      <c r="AV563" s="80">
        <f t="shared" si="604"/>
        <v>82.227736385965898</v>
      </c>
      <c r="AW563" s="80">
        <f t="shared" si="605"/>
        <v>39.058026551150462</v>
      </c>
      <c r="AX563" s="80">
        <f t="shared" si="606"/>
        <v>24.201256684886168</v>
      </c>
      <c r="AY563" s="80">
        <f t="shared" si="607"/>
        <v>18.417770628753669</v>
      </c>
      <c r="AZ563" s="80">
        <f t="shared" si="608"/>
        <v>211.96147779485207</v>
      </c>
      <c r="BA563" s="80">
        <f t="shared" si="609"/>
        <v>101.29263562201132</v>
      </c>
      <c r="BB563" s="80">
        <f t="shared" si="610"/>
        <v>567.45815352414036</v>
      </c>
      <c r="BC563" s="80">
        <f t="shared" si="611"/>
        <v>219.21975896671535</v>
      </c>
      <c r="BD563" s="80">
        <f t="shared" si="612"/>
        <v>158.48833602274178</v>
      </c>
      <c r="BE563" s="80">
        <f t="shared" si="613"/>
        <v>117.11990169749268</v>
      </c>
      <c r="BF563" s="80">
        <f t="shared" si="614"/>
        <v>1251.6590203279334</v>
      </c>
      <c r="BG563" s="80">
        <f t="shared" si="615"/>
        <v>721.01097457592391</v>
      </c>
      <c r="BH563" s="49">
        <f t="shared" si="616"/>
        <v>0</v>
      </c>
      <c r="BI563" s="79">
        <f t="shared" si="617"/>
        <v>-102182.03499726178</v>
      </c>
      <c r="BJ563" s="79">
        <f t="shared" si="653"/>
        <v>176208.77987047876</v>
      </c>
      <c r="BK563" s="44">
        <f t="shared" si="618"/>
        <v>0.72445948913819058</v>
      </c>
      <c r="BL563" s="79">
        <f t="shared" si="619"/>
        <v>23837.571770654384</v>
      </c>
      <c r="BM563" s="49">
        <f t="shared" si="620"/>
        <v>200046.35164113314</v>
      </c>
      <c r="BN563" s="44">
        <f t="shared" si="621"/>
        <v>0.95774483887009954</v>
      </c>
      <c r="BO563" s="49">
        <f t="shared" si="654"/>
        <v>32413.959338463108</v>
      </c>
      <c r="BP563" s="49">
        <f t="shared" si="655"/>
        <v>208622.73920894187</v>
      </c>
      <c r="BQ563" s="44">
        <f t="shared" si="622"/>
        <v>1.041677279323439</v>
      </c>
      <c r="BS563" s="49">
        <f t="shared" si="623"/>
        <v>102182.03499726178</v>
      </c>
      <c r="BT563" s="49">
        <f t="shared" si="639"/>
        <v>126.860001</v>
      </c>
      <c r="BU563" s="49">
        <f t="shared" si="640"/>
        <v>42.939999</v>
      </c>
      <c r="BV563" s="49">
        <f t="shared" si="624"/>
        <v>0</v>
      </c>
      <c r="BW563" s="18">
        <f t="shared" si="656"/>
        <v>3646</v>
      </c>
      <c r="BX563" s="19">
        <f t="shared" si="625"/>
        <v>0.16376146788990825</v>
      </c>
      <c r="BY563" s="49">
        <f t="shared" si="626"/>
        <v>0</v>
      </c>
      <c r="BZ563" s="19">
        <f t="shared" si="627"/>
        <v>0</v>
      </c>
      <c r="CA563" s="19">
        <f t="shared" si="628"/>
        <v>0</v>
      </c>
      <c r="CB563" s="19">
        <f t="shared" si="629"/>
        <v>0</v>
      </c>
      <c r="CC563" s="19">
        <f t="shared" si="630"/>
        <v>0</v>
      </c>
      <c r="CD563" s="19">
        <f t="shared" si="631"/>
        <v>0</v>
      </c>
      <c r="CE563" s="19">
        <f t="shared" si="632"/>
        <v>0</v>
      </c>
      <c r="CF563" s="49">
        <f t="shared" si="633"/>
        <v>0</v>
      </c>
      <c r="CG563" s="49">
        <f t="shared" si="634"/>
        <v>0</v>
      </c>
      <c r="CH563" s="49">
        <f t="shared" si="635"/>
        <v>0</v>
      </c>
      <c r="CI563" s="49">
        <f t="shared" si="636"/>
        <v>0</v>
      </c>
      <c r="CJ563" s="49">
        <f t="shared" si="637"/>
        <v>0</v>
      </c>
      <c r="CK563" s="49">
        <f t="shared" si="638"/>
        <v>0</v>
      </c>
    </row>
    <row r="564" spans="2:89" ht="12.75" customHeight="1" x14ac:dyDescent="0.2">
      <c r="B564" s="77">
        <v>42946</v>
      </c>
      <c r="C564" s="79">
        <v>126.910004</v>
      </c>
      <c r="D564" s="79">
        <v>98.480002999999996</v>
      </c>
      <c r="E564" s="79">
        <v>104.589996</v>
      </c>
      <c r="F564" s="79">
        <v>123.730003</v>
      </c>
      <c r="G564" s="79">
        <v>42.73</v>
      </c>
      <c r="H564" s="79">
        <v>43.240001999999997</v>
      </c>
      <c r="I564" s="79"/>
      <c r="J564" s="78">
        <f>IF(inter=Weekly_2,J563+$C$5,IF(inter=Bi_weekly_2,J562+$C$5,IF(inter=Monthly_2,0,IF(inter=Quarterly_2,0,IF(inter=Yearly_2,0,IF(inter=None_2,0,0))))))</f>
        <v>176600</v>
      </c>
      <c r="K564" s="79">
        <f t="shared" si="657"/>
        <v>-229.40582007260673</v>
      </c>
      <c r="L564" s="79">
        <f t="shared" si="658"/>
        <v>82.327948770023795</v>
      </c>
      <c r="M564" s="79">
        <f t="shared" si="659"/>
        <v>-82.914909201999762</v>
      </c>
      <c r="N564" s="79">
        <f t="shared" si="660"/>
        <v>-149.58502675853197</v>
      </c>
      <c r="O564" s="79">
        <f t="shared" si="661"/>
        <v>276.27599243856093</v>
      </c>
      <c r="P564" s="79">
        <f t="shared" si="662"/>
        <v>306.62221580385813</v>
      </c>
      <c r="Q564" s="79"/>
      <c r="R564" s="80">
        <f t="shared" si="641"/>
        <v>1.8076259777960981</v>
      </c>
      <c r="S564" s="80">
        <f t="shared" si="642"/>
        <v>-0.83598645676344874</v>
      </c>
      <c r="T564" s="80">
        <f t="shared" si="643"/>
        <v>0.79276137654694778</v>
      </c>
      <c r="U564" s="80">
        <f t="shared" si="644"/>
        <v>1.2089632516903113</v>
      </c>
      <c r="V564" s="80">
        <f t="shared" si="645"/>
        <v>-6.4656211663599565</v>
      </c>
      <c r="W564" s="80">
        <f t="shared" si="646"/>
        <v>-7.0911702502663658</v>
      </c>
      <c r="X564" s="80">
        <f t="shared" si="598"/>
        <v>487.03804311597054</v>
      </c>
      <c r="Y564" s="80">
        <f t="shared" si="599"/>
        <v>179.32574595880143</v>
      </c>
      <c r="Z564" s="80">
        <f t="shared" si="600"/>
        <v>135.07984071440254</v>
      </c>
      <c r="AA564" s="80">
        <f t="shared" si="601"/>
        <v>99.911094320429314</v>
      </c>
      <c r="AB564" s="80">
        <f t="shared" si="602"/>
        <v>1033.2319213667213</v>
      </c>
      <c r="AC564" s="80">
        <f t="shared" si="603"/>
        <v>612.62716870364625</v>
      </c>
      <c r="AD564" s="80"/>
      <c r="AE564" s="80"/>
      <c r="AF564" s="80"/>
      <c r="AG564" s="80"/>
      <c r="AH564" s="80"/>
      <c r="AI564" s="80"/>
      <c r="AJ564" s="45">
        <f t="shared" si="590"/>
        <v>0</v>
      </c>
      <c r="AK564" s="45">
        <f t="shared" si="591"/>
        <v>0</v>
      </c>
      <c r="AL564" s="45">
        <f t="shared" si="592"/>
        <v>0</v>
      </c>
      <c r="AM564" s="45">
        <f t="shared" si="593"/>
        <v>0</v>
      </c>
      <c r="AN564" s="45">
        <f t="shared" si="594"/>
        <v>0</v>
      </c>
      <c r="AO564" s="45">
        <f t="shared" si="595"/>
        <v>0</v>
      </c>
      <c r="AP564" s="80">
        <f t="shared" si="647"/>
        <v>0</v>
      </c>
      <c r="AQ564" s="80">
        <f t="shared" si="648"/>
        <v>0</v>
      </c>
      <c r="AR564" s="80">
        <f t="shared" si="649"/>
        <v>0</v>
      </c>
      <c r="AS564" s="80">
        <f t="shared" si="650"/>
        <v>0</v>
      </c>
      <c r="AT564" s="80">
        <f t="shared" si="651"/>
        <v>0</v>
      </c>
      <c r="AU564" s="80">
        <f t="shared" si="652"/>
        <v>0</v>
      </c>
      <c r="AV564" s="80">
        <f t="shared" si="604"/>
        <v>82.227736385965898</v>
      </c>
      <c r="AW564" s="80">
        <f t="shared" si="605"/>
        <v>39.058026551150462</v>
      </c>
      <c r="AX564" s="80">
        <f t="shared" si="606"/>
        <v>24.201256684886168</v>
      </c>
      <c r="AY564" s="80">
        <f t="shared" si="607"/>
        <v>18.417770628753669</v>
      </c>
      <c r="AZ564" s="80">
        <f t="shared" si="608"/>
        <v>211.96147779485207</v>
      </c>
      <c r="BA564" s="80">
        <f t="shared" si="609"/>
        <v>101.29263562201132</v>
      </c>
      <c r="BB564" s="80">
        <f t="shared" si="610"/>
        <v>569.26577950193644</v>
      </c>
      <c r="BC564" s="80">
        <f t="shared" si="611"/>
        <v>218.38377250995188</v>
      </c>
      <c r="BD564" s="80">
        <f t="shared" si="612"/>
        <v>159.28109739928871</v>
      </c>
      <c r="BE564" s="80">
        <f t="shared" si="613"/>
        <v>118.32886494918299</v>
      </c>
      <c r="BF564" s="80">
        <f t="shared" si="614"/>
        <v>1245.1933991615733</v>
      </c>
      <c r="BG564" s="80">
        <f t="shared" si="615"/>
        <v>713.91980432565754</v>
      </c>
      <c r="BH564" s="49">
        <f t="shared" si="616"/>
        <v>0</v>
      </c>
      <c r="BI564" s="79">
        <f t="shared" si="617"/>
        <v>-101978.71459628249</v>
      </c>
      <c r="BJ564" s="79">
        <f t="shared" si="653"/>
        <v>176600</v>
      </c>
      <c r="BK564" s="44">
        <f t="shared" si="618"/>
        <v>0.73173392799792891</v>
      </c>
      <c r="BL564" s="79">
        <f t="shared" si="619"/>
        <v>23837.571770654384</v>
      </c>
      <c r="BM564" s="49">
        <f t="shared" si="620"/>
        <v>200437.57177065438</v>
      </c>
      <c r="BN564" s="44">
        <f t="shared" si="621"/>
        <v>0.96548439117079332</v>
      </c>
      <c r="BO564" s="49">
        <f t="shared" si="654"/>
        <v>32529.004793656542</v>
      </c>
      <c r="BP564" s="49">
        <f t="shared" si="655"/>
        <v>209129.00479365652</v>
      </c>
      <c r="BQ564" s="44">
        <f t="shared" si="622"/>
        <v>1.0507123042447142</v>
      </c>
      <c r="BS564" s="49">
        <f t="shared" si="623"/>
        <v>101978.71459628249</v>
      </c>
      <c r="BT564" s="49">
        <f t="shared" si="639"/>
        <v>126.910004</v>
      </c>
      <c r="BU564" s="49">
        <f t="shared" si="640"/>
        <v>43.240001999999997</v>
      </c>
      <c r="BV564" s="49">
        <f t="shared" si="624"/>
        <v>-203.3204009793044</v>
      </c>
      <c r="BW564" s="18">
        <f t="shared" si="656"/>
        <v>3653</v>
      </c>
      <c r="BX564" s="19">
        <f t="shared" si="625"/>
        <v>0.16215596330275228</v>
      </c>
      <c r="BY564" s="49">
        <f t="shared" si="626"/>
        <v>-32.969615479900959</v>
      </c>
      <c r="BZ564" s="19">
        <f t="shared" si="627"/>
        <v>1.8076259777960981</v>
      </c>
      <c r="CA564" s="19">
        <f t="shared" si="628"/>
        <v>0</v>
      </c>
      <c r="CB564" s="19">
        <f t="shared" si="629"/>
        <v>0.79276137654694778</v>
      </c>
      <c r="CC564" s="19">
        <f t="shared" si="630"/>
        <v>1.2089632516903113</v>
      </c>
      <c r="CD564" s="19">
        <f t="shared" si="631"/>
        <v>0</v>
      </c>
      <c r="CE564" s="19">
        <f t="shared" si="632"/>
        <v>0</v>
      </c>
      <c r="CF564" s="49">
        <f t="shared" si="633"/>
        <v>-229.40582007260673</v>
      </c>
      <c r="CG564" s="49">
        <f t="shared" si="634"/>
        <v>0</v>
      </c>
      <c r="CH564" s="49">
        <f t="shared" si="635"/>
        <v>-82.914909201999762</v>
      </c>
      <c r="CI564" s="49">
        <f t="shared" si="636"/>
        <v>-149.58502675853197</v>
      </c>
      <c r="CJ564" s="49">
        <f t="shared" si="637"/>
        <v>0</v>
      </c>
      <c r="CK564" s="49">
        <f t="shared" si="638"/>
        <v>0</v>
      </c>
    </row>
    <row r="565" spans="2:89" ht="12.75" customHeight="1" x14ac:dyDescent="0.2">
      <c r="B565" s="77">
        <v>42953</v>
      </c>
      <c r="C565" s="79">
        <v>125.040001</v>
      </c>
      <c r="D565" s="79">
        <v>97.040001000000004</v>
      </c>
      <c r="E565" s="79">
        <v>102.769997</v>
      </c>
      <c r="F565" s="79">
        <v>120.470001</v>
      </c>
      <c r="G565" s="79">
        <v>41.810001</v>
      </c>
      <c r="H565" s="79">
        <v>42.41</v>
      </c>
      <c r="I565" s="79"/>
      <c r="J565" s="78">
        <f>IF(inter=Weekly_2,J564+$C$5,IF(inter=Bi_weekly_2,0,IF(inter=Monthly_2,0,IF(inter=Quarterly_2,0,IF(inter=Yearly_2,0,IF(inter=None_2,0,0))))))</f>
        <v>0</v>
      </c>
      <c r="K565" s="79">
        <f t="shared" si="657"/>
        <v>0</v>
      </c>
      <c r="L565" s="79">
        <f t="shared" si="658"/>
        <v>0</v>
      </c>
      <c r="M565" s="79">
        <f t="shared" si="659"/>
        <v>0</v>
      </c>
      <c r="N565" s="79">
        <f t="shared" si="660"/>
        <v>0</v>
      </c>
      <c r="O565" s="79">
        <f t="shared" si="661"/>
        <v>0</v>
      </c>
      <c r="P565" s="79">
        <f t="shared" si="662"/>
        <v>0</v>
      </c>
      <c r="Q565" s="79"/>
      <c r="R565" s="80">
        <f t="shared" si="641"/>
        <v>0</v>
      </c>
      <c r="S565" s="80">
        <f t="shared" si="642"/>
        <v>0</v>
      </c>
      <c r="T565" s="80">
        <f t="shared" si="643"/>
        <v>0</v>
      </c>
      <c r="U565" s="80">
        <f t="shared" si="644"/>
        <v>0</v>
      </c>
      <c r="V565" s="80">
        <f t="shared" si="645"/>
        <v>0</v>
      </c>
      <c r="W565" s="80">
        <f t="shared" si="646"/>
        <v>0</v>
      </c>
      <c r="X565" s="80">
        <f t="shared" si="598"/>
        <v>487.03804311597054</v>
      </c>
      <c r="Y565" s="80">
        <f t="shared" si="599"/>
        <v>179.32574595880143</v>
      </c>
      <c r="Z565" s="80">
        <f t="shared" si="600"/>
        <v>135.07984071440254</v>
      </c>
      <c r="AA565" s="80">
        <f t="shared" si="601"/>
        <v>99.911094320429314</v>
      </c>
      <c r="AB565" s="80">
        <f t="shared" si="602"/>
        <v>1033.2319213667213</v>
      </c>
      <c r="AC565" s="80">
        <f t="shared" si="603"/>
        <v>612.62716870364625</v>
      </c>
      <c r="AD565" s="80"/>
      <c r="AE565" s="80"/>
      <c r="AF565" s="80"/>
      <c r="AG565" s="80"/>
      <c r="AH565" s="80"/>
      <c r="AI565" s="80"/>
      <c r="AJ565" s="45">
        <f t="shared" si="590"/>
        <v>0</v>
      </c>
      <c r="AK565" s="45">
        <f t="shared" si="591"/>
        <v>0</v>
      </c>
      <c r="AL565" s="45">
        <f t="shared" si="592"/>
        <v>0</v>
      </c>
      <c r="AM565" s="45">
        <f t="shared" si="593"/>
        <v>0</v>
      </c>
      <c r="AN565" s="45">
        <f t="shared" si="594"/>
        <v>0</v>
      </c>
      <c r="AO565" s="45">
        <f t="shared" si="595"/>
        <v>0</v>
      </c>
      <c r="AP565" s="80">
        <f t="shared" si="647"/>
        <v>0</v>
      </c>
      <c r="AQ565" s="80">
        <f t="shared" si="648"/>
        <v>0</v>
      </c>
      <c r="AR565" s="80">
        <f t="shared" si="649"/>
        <v>0</v>
      </c>
      <c r="AS565" s="80">
        <f t="shared" si="650"/>
        <v>0</v>
      </c>
      <c r="AT565" s="80">
        <f t="shared" si="651"/>
        <v>0</v>
      </c>
      <c r="AU565" s="80">
        <f t="shared" si="652"/>
        <v>0</v>
      </c>
      <c r="AV565" s="80">
        <f t="shared" si="604"/>
        <v>82.227736385965898</v>
      </c>
      <c r="AW565" s="80">
        <f t="shared" si="605"/>
        <v>39.058026551150462</v>
      </c>
      <c r="AX565" s="80">
        <f t="shared" si="606"/>
        <v>24.201256684886168</v>
      </c>
      <c r="AY565" s="80">
        <f t="shared" si="607"/>
        <v>18.417770628753669</v>
      </c>
      <c r="AZ565" s="80">
        <f t="shared" si="608"/>
        <v>211.96147779485207</v>
      </c>
      <c r="BA565" s="80">
        <f t="shared" si="609"/>
        <v>101.29263562201132</v>
      </c>
      <c r="BB565" s="80">
        <f t="shared" si="610"/>
        <v>569.26577950193644</v>
      </c>
      <c r="BC565" s="80">
        <f t="shared" si="611"/>
        <v>218.38377250995188</v>
      </c>
      <c r="BD565" s="80">
        <f t="shared" si="612"/>
        <v>159.28109739928871</v>
      </c>
      <c r="BE565" s="80">
        <f t="shared" si="613"/>
        <v>118.32886494918299</v>
      </c>
      <c r="BF565" s="80">
        <f t="shared" si="614"/>
        <v>1245.1933991615733</v>
      </c>
      <c r="BG565" s="80">
        <f t="shared" si="615"/>
        <v>713.91980432565754</v>
      </c>
      <c r="BH565" s="49">
        <f t="shared" si="616"/>
        <v>0</v>
      </c>
      <c r="BI565" s="79">
        <f t="shared" si="617"/>
        <v>-101978.71459628249</v>
      </c>
      <c r="BJ565" s="79">
        <f t="shared" si="653"/>
        <v>173400.39831339582</v>
      </c>
      <c r="BK565" s="44">
        <f t="shared" si="618"/>
        <v>0.70035873662323</v>
      </c>
      <c r="BL565" s="79">
        <f t="shared" si="619"/>
        <v>23837.571770654384</v>
      </c>
      <c r="BM565" s="49">
        <f t="shared" si="620"/>
        <v>197237.9700840502</v>
      </c>
      <c r="BN565" s="44">
        <f t="shared" si="621"/>
        <v>0.93410919979609441</v>
      </c>
      <c r="BO565" s="49">
        <f t="shared" si="654"/>
        <v>31935.82937377003</v>
      </c>
      <c r="BP565" s="49">
        <f t="shared" si="655"/>
        <v>205336.2276871659</v>
      </c>
      <c r="BQ565" s="44">
        <f t="shared" si="622"/>
        <v>1.0135204537540932</v>
      </c>
      <c r="BS565" s="49">
        <f t="shared" si="623"/>
        <v>101978.71459628249</v>
      </c>
      <c r="BT565" s="49">
        <f t="shared" si="639"/>
        <v>125.040001</v>
      </c>
      <c r="BU565" s="49">
        <f t="shared" si="640"/>
        <v>42.41</v>
      </c>
      <c r="BV565" s="49">
        <f t="shared" si="624"/>
        <v>0</v>
      </c>
      <c r="BW565" s="18">
        <f t="shared" si="656"/>
        <v>3660</v>
      </c>
      <c r="BX565" s="19">
        <f t="shared" si="625"/>
        <v>0.16055045871559634</v>
      </c>
      <c r="BY565" s="49">
        <f t="shared" si="626"/>
        <v>0</v>
      </c>
      <c r="BZ565" s="19">
        <f t="shared" si="627"/>
        <v>0</v>
      </c>
      <c r="CA565" s="19">
        <f t="shared" si="628"/>
        <v>0</v>
      </c>
      <c r="CB565" s="19">
        <f t="shared" si="629"/>
        <v>0</v>
      </c>
      <c r="CC565" s="19">
        <f t="shared" si="630"/>
        <v>0</v>
      </c>
      <c r="CD565" s="19">
        <f t="shared" si="631"/>
        <v>0</v>
      </c>
      <c r="CE565" s="19">
        <f t="shared" si="632"/>
        <v>0</v>
      </c>
      <c r="CF565" s="49">
        <f t="shared" si="633"/>
        <v>0</v>
      </c>
      <c r="CG565" s="49">
        <f t="shared" si="634"/>
        <v>0</v>
      </c>
      <c r="CH565" s="49">
        <f t="shared" si="635"/>
        <v>0</v>
      </c>
      <c r="CI565" s="49">
        <f t="shared" si="636"/>
        <v>0</v>
      </c>
      <c r="CJ565" s="49">
        <f t="shared" si="637"/>
        <v>0</v>
      </c>
      <c r="CK565" s="49">
        <f t="shared" si="638"/>
        <v>0</v>
      </c>
    </row>
    <row r="566" spans="2:89" ht="12.75" customHeight="1" x14ac:dyDescent="0.2">
      <c r="B566" s="77">
        <v>42960</v>
      </c>
      <c r="C566" s="79">
        <v>124.209999</v>
      </c>
      <c r="D566" s="79">
        <v>96.279999000000004</v>
      </c>
      <c r="E566" s="79">
        <v>101.790001</v>
      </c>
      <c r="F566" s="79">
        <v>119.07</v>
      </c>
      <c r="G566" s="79">
        <v>41.959999000000003</v>
      </c>
      <c r="H566" s="79">
        <v>43.029998999999997</v>
      </c>
      <c r="I566" s="79"/>
      <c r="J566" s="78">
        <f>IF(inter=Weekly_2,J565+$C$5,IF(inter=Bi_weekly_2,J564+$C$5,IF(inter=Monthly_2,J562+$C$5,IF(inter=Quarterly_2,0,IF(inter=Yearly_2,0,IF(inter=None_2,0,0))))))</f>
        <v>177200</v>
      </c>
      <c r="K566" s="79">
        <f t="shared" si="657"/>
        <v>-1525.0051516033345</v>
      </c>
      <c r="L566" s="79">
        <f t="shared" si="658"/>
        <v>-454.51735841234404</v>
      </c>
      <c r="M566" s="79">
        <f t="shared" si="659"/>
        <v>-426.22287860112374</v>
      </c>
      <c r="N566" s="79">
        <f t="shared" si="660"/>
        <v>-507.58599926648458</v>
      </c>
      <c r="O566" s="79">
        <f t="shared" si="661"/>
        <v>-945.58961268429266</v>
      </c>
      <c r="P566" s="79">
        <f t="shared" si="662"/>
        <v>-218.65354330927221</v>
      </c>
      <c r="Q566" s="79"/>
      <c r="R566" s="80">
        <f t="shared" si="641"/>
        <v>12.277635970380569</v>
      </c>
      <c r="S566" s="80">
        <f t="shared" si="642"/>
        <v>4.7207869041662951</v>
      </c>
      <c r="T566" s="80">
        <f t="shared" si="643"/>
        <v>4.187276494880118</v>
      </c>
      <c r="U566" s="80">
        <f t="shared" si="644"/>
        <v>4.2629209646971074</v>
      </c>
      <c r="V566" s="80">
        <f t="shared" si="645"/>
        <v>22.53550131601034</v>
      </c>
      <c r="W566" s="80">
        <f t="shared" si="646"/>
        <v>5.0814210641574089</v>
      </c>
      <c r="X566" s="80">
        <f t="shared" si="598"/>
        <v>499.31567908635111</v>
      </c>
      <c r="Y566" s="80">
        <f t="shared" si="599"/>
        <v>184.04653286296772</v>
      </c>
      <c r="Z566" s="80">
        <f t="shared" si="600"/>
        <v>139.26711720928265</v>
      </c>
      <c r="AA566" s="80">
        <f t="shared" si="601"/>
        <v>104.17401528512642</v>
      </c>
      <c r="AB566" s="80">
        <f t="shared" si="602"/>
        <v>1055.7674226827316</v>
      </c>
      <c r="AC566" s="80">
        <f t="shared" si="603"/>
        <v>617.70858976780369</v>
      </c>
      <c r="AD566" s="80"/>
      <c r="AE566" s="80"/>
      <c r="AF566" s="80"/>
      <c r="AG566" s="80"/>
      <c r="AH566" s="80"/>
      <c r="AI566" s="80"/>
      <c r="AJ566" s="45">
        <f t="shared" si="590"/>
        <v>0</v>
      </c>
      <c r="AK566" s="45">
        <f t="shared" si="591"/>
        <v>0</v>
      </c>
      <c r="AL566" s="45">
        <f t="shared" si="592"/>
        <v>0</v>
      </c>
      <c r="AM566" s="45">
        <f t="shared" si="593"/>
        <v>0</v>
      </c>
      <c r="AN566" s="45">
        <f t="shared" si="594"/>
        <v>0</v>
      </c>
      <c r="AO566" s="45">
        <f t="shared" si="595"/>
        <v>0</v>
      </c>
      <c r="AP566" s="80">
        <f t="shared" si="647"/>
        <v>0</v>
      </c>
      <c r="AQ566" s="80">
        <f t="shared" si="648"/>
        <v>0</v>
      </c>
      <c r="AR566" s="80">
        <f t="shared" si="649"/>
        <v>0</v>
      </c>
      <c r="AS566" s="80">
        <f t="shared" si="650"/>
        <v>0</v>
      </c>
      <c r="AT566" s="80">
        <f t="shared" si="651"/>
        <v>0</v>
      </c>
      <c r="AU566" s="80">
        <f t="shared" si="652"/>
        <v>0</v>
      </c>
      <c r="AV566" s="80">
        <f t="shared" si="604"/>
        <v>82.227736385965898</v>
      </c>
      <c r="AW566" s="80">
        <f t="shared" si="605"/>
        <v>39.058026551150462</v>
      </c>
      <c r="AX566" s="80">
        <f t="shared" si="606"/>
        <v>24.201256684886168</v>
      </c>
      <c r="AY566" s="80">
        <f t="shared" si="607"/>
        <v>18.417770628753669</v>
      </c>
      <c r="AZ566" s="80">
        <f t="shared" si="608"/>
        <v>211.96147779485207</v>
      </c>
      <c r="BA566" s="80">
        <f t="shared" si="609"/>
        <v>101.29263562201132</v>
      </c>
      <c r="BB566" s="80">
        <f t="shared" si="610"/>
        <v>581.54341547231706</v>
      </c>
      <c r="BC566" s="80">
        <f t="shared" si="611"/>
        <v>223.10455941411817</v>
      </c>
      <c r="BD566" s="80">
        <f t="shared" si="612"/>
        <v>163.46837389416882</v>
      </c>
      <c r="BE566" s="80">
        <f t="shared" si="613"/>
        <v>122.59178591388009</v>
      </c>
      <c r="BF566" s="80">
        <f t="shared" si="614"/>
        <v>1267.7289004775837</v>
      </c>
      <c r="BG566" s="80">
        <f t="shared" si="615"/>
        <v>719.00122538981498</v>
      </c>
      <c r="BH566" s="49">
        <f t="shared" si="616"/>
        <v>0</v>
      </c>
      <c r="BI566" s="79">
        <f t="shared" si="617"/>
        <v>-106056.28914015935</v>
      </c>
      <c r="BJ566" s="79">
        <f t="shared" si="653"/>
        <v>177200</v>
      </c>
      <c r="BK566" s="44">
        <f t="shared" si="618"/>
        <v>0.6708108631428753</v>
      </c>
      <c r="BL566" s="79">
        <f t="shared" si="619"/>
        <v>23837.571770654384</v>
      </c>
      <c r="BM566" s="49">
        <f t="shared" si="620"/>
        <v>201037.57177065438</v>
      </c>
      <c r="BN566" s="44">
        <f t="shared" si="621"/>
        <v>0.89557425967423687</v>
      </c>
      <c r="BO566" s="49">
        <f t="shared" si="654"/>
        <v>31882.98910831437</v>
      </c>
      <c r="BP566" s="49">
        <f t="shared" si="655"/>
        <v>209082.98910831439</v>
      </c>
      <c r="BQ566" s="44">
        <f t="shared" si="622"/>
        <v>0.97143413939365209</v>
      </c>
      <c r="BS566" s="49">
        <f t="shared" si="623"/>
        <v>106056.28914015935</v>
      </c>
      <c r="BT566" s="49">
        <f t="shared" si="639"/>
        <v>124.209999</v>
      </c>
      <c r="BU566" s="49">
        <f t="shared" si="640"/>
        <v>43.029998999999997</v>
      </c>
      <c r="BV566" s="49">
        <f t="shared" si="624"/>
        <v>4077.5745438768517</v>
      </c>
      <c r="BW566" s="18">
        <f t="shared" si="656"/>
        <v>3667</v>
      </c>
      <c r="BX566" s="19">
        <f t="shared" si="625"/>
        <v>0.15894495412844037</v>
      </c>
      <c r="BY566" s="49">
        <f t="shared" si="626"/>
        <v>648.10989883180241</v>
      </c>
      <c r="BZ566" s="19">
        <f t="shared" si="627"/>
        <v>12.277635970380569</v>
      </c>
      <c r="CA566" s="19">
        <f t="shared" si="628"/>
        <v>4.7207869041662951</v>
      </c>
      <c r="CB566" s="19">
        <f t="shared" si="629"/>
        <v>4.187276494880118</v>
      </c>
      <c r="CC566" s="19">
        <f t="shared" si="630"/>
        <v>4.2629209646971074</v>
      </c>
      <c r="CD566" s="19">
        <f t="shared" si="631"/>
        <v>22.53550131601034</v>
      </c>
      <c r="CE566" s="19">
        <f t="shared" si="632"/>
        <v>5.0814210641574089</v>
      </c>
      <c r="CF566" s="49">
        <f t="shared" si="633"/>
        <v>-1525.0051516033345</v>
      </c>
      <c r="CG566" s="49">
        <f t="shared" si="634"/>
        <v>-454.51735841234404</v>
      </c>
      <c r="CH566" s="49">
        <f t="shared" si="635"/>
        <v>-426.22287860112374</v>
      </c>
      <c r="CI566" s="49">
        <f t="shared" si="636"/>
        <v>-507.58599926648458</v>
      </c>
      <c r="CJ566" s="49">
        <f t="shared" si="637"/>
        <v>-945.58961268429266</v>
      </c>
      <c r="CK566" s="49">
        <f t="shared" si="638"/>
        <v>-218.65354330927221</v>
      </c>
    </row>
    <row r="567" spans="2:89" ht="12.75" customHeight="1" x14ac:dyDescent="0.2">
      <c r="B567" s="77">
        <v>42967</v>
      </c>
      <c r="C567" s="79">
        <v>125.360001</v>
      </c>
      <c r="D567" s="79">
        <v>97.160004000000001</v>
      </c>
      <c r="E567" s="79">
        <v>103.029999</v>
      </c>
      <c r="F567" s="79">
        <v>120.839996</v>
      </c>
      <c r="G567" s="79">
        <v>42.400002000000001</v>
      </c>
      <c r="H567" s="79">
        <v>44.200001</v>
      </c>
      <c r="I567" s="79"/>
      <c r="J567" s="78">
        <f>IF(inter=Weekly_2,J566+$C$5,IF(inter=Bi_weekly_2,0,IF(inter=Monthly_2,0,IF(inter=Quarterly_2,0,IF(inter=Yearly_2,0,IF(inter=None_2,0,0))))))</f>
        <v>0</v>
      </c>
      <c r="K567" s="79">
        <f t="shared" si="657"/>
        <v>0</v>
      </c>
      <c r="L567" s="79">
        <f t="shared" si="658"/>
        <v>0</v>
      </c>
      <c r="M567" s="79">
        <f t="shared" si="659"/>
        <v>0</v>
      </c>
      <c r="N567" s="79">
        <f t="shared" si="660"/>
        <v>0</v>
      </c>
      <c r="O567" s="79">
        <f t="shared" si="661"/>
        <v>0</v>
      </c>
      <c r="P567" s="79">
        <f t="shared" si="662"/>
        <v>0</v>
      </c>
      <c r="Q567" s="79"/>
      <c r="R567" s="80">
        <f t="shared" si="641"/>
        <v>0</v>
      </c>
      <c r="S567" s="80">
        <f t="shared" si="642"/>
        <v>0</v>
      </c>
      <c r="T567" s="80">
        <f t="shared" si="643"/>
        <v>0</v>
      </c>
      <c r="U567" s="80">
        <f t="shared" si="644"/>
        <v>0</v>
      </c>
      <c r="V567" s="80">
        <f t="shared" si="645"/>
        <v>0</v>
      </c>
      <c r="W567" s="80">
        <f t="shared" si="646"/>
        <v>0</v>
      </c>
      <c r="X567" s="80">
        <f t="shared" si="598"/>
        <v>499.31567908635111</v>
      </c>
      <c r="Y567" s="80">
        <f t="shared" si="599"/>
        <v>184.04653286296772</v>
      </c>
      <c r="Z567" s="80">
        <f t="shared" si="600"/>
        <v>139.26711720928265</v>
      </c>
      <c r="AA567" s="80">
        <f t="shared" si="601"/>
        <v>104.17401528512642</v>
      </c>
      <c r="AB567" s="80">
        <f t="shared" si="602"/>
        <v>1055.7674226827316</v>
      </c>
      <c r="AC567" s="80">
        <f t="shared" si="603"/>
        <v>617.70858976780369</v>
      </c>
      <c r="AD567" s="80"/>
      <c r="AE567" s="80"/>
      <c r="AF567" s="80"/>
      <c r="AG567" s="80"/>
      <c r="AH567" s="80"/>
      <c r="AI567" s="80"/>
      <c r="AJ567" s="45">
        <f t="shared" si="590"/>
        <v>0</v>
      </c>
      <c r="AK567" s="45">
        <f t="shared" si="591"/>
        <v>0</v>
      </c>
      <c r="AL567" s="45">
        <f t="shared" si="592"/>
        <v>0</v>
      </c>
      <c r="AM567" s="45">
        <f t="shared" si="593"/>
        <v>0</v>
      </c>
      <c r="AN567" s="45">
        <f t="shared" si="594"/>
        <v>0</v>
      </c>
      <c r="AO567" s="45">
        <f t="shared" si="595"/>
        <v>0</v>
      </c>
      <c r="AP567" s="80">
        <f t="shared" si="647"/>
        <v>0</v>
      </c>
      <c r="AQ567" s="80">
        <f t="shared" si="648"/>
        <v>0</v>
      </c>
      <c r="AR567" s="80">
        <f t="shared" si="649"/>
        <v>0</v>
      </c>
      <c r="AS567" s="80">
        <f t="shared" si="650"/>
        <v>0</v>
      </c>
      <c r="AT567" s="80">
        <f t="shared" si="651"/>
        <v>0</v>
      </c>
      <c r="AU567" s="80">
        <f t="shared" si="652"/>
        <v>0</v>
      </c>
      <c r="AV567" s="80">
        <f t="shared" si="604"/>
        <v>82.227736385965898</v>
      </c>
      <c r="AW567" s="80">
        <f t="shared" si="605"/>
        <v>39.058026551150462</v>
      </c>
      <c r="AX567" s="80">
        <f t="shared" si="606"/>
        <v>24.201256684886168</v>
      </c>
      <c r="AY567" s="80">
        <f t="shared" si="607"/>
        <v>18.417770628753669</v>
      </c>
      <c r="AZ567" s="80">
        <f t="shared" si="608"/>
        <v>211.96147779485207</v>
      </c>
      <c r="BA567" s="80">
        <f t="shared" si="609"/>
        <v>101.29263562201132</v>
      </c>
      <c r="BB567" s="80">
        <f t="shared" si="610"/>
        <v>581.54341547231706</v>
      </c>
      <c r="BC567" s="80">
        <f t="shared" si="611"/>
        <v>223.10455941411817</v>
      </c>
      <c r="BD567" s="80">
        <f t="shared" si="612"/>
        <v>163.46837389416882</v>
      </c>
      <c r="BE567" s="80">
        <f t="shared" si="613"/>
        <v>122.59178591388009</v>
      </c>
      <c r="BF567" s="80">
        <f t="shared" si="614"/>
        <v>1267.7289004775837</v>
      </c>
      <c r="BG567" s="80">
        <f t="shared" si="615"/>
        <v>719.00122538981498</v>
      </c>
      <c r="BH567" s="49">
        <f t="shared" si="616"/>
        <v>0</v>
      </c>
      <c r="BI567" s="79">
        <f t="shared" si="617"/>
        <v>-106056.28914015935</v>
      </c>
      <c r="BJ567" s="79">
        <f t="shared" si="653"/>
        <v>179480.51555462481</v>
      </c>
      <c r="BK567" s="44">
        <f t="shared" si="618"/>
        <v>0.69231374216225139</v>
      </c>
      <c r="BL567" s="79">
        <f t="shared" si="619"/>
        <v>23837.571770654384</v>
      </c>
      <c r="BM567" s="49">
        <f t="shared" si="620"/>
        <v>203318.08732527919</v>
      </c>
      <c r="BN567" s="44">
        <f t="shared" si="621"/>
        <v>0.91707713869361296</v>
      </c>
      <c r="BO567" s="49">
        <f t="shared" si="654"/>
        <v>32286.307590874603</v>
      </c>
      <c r="BP567" s="49">
        <f t="shared" si="655"/>
        <v>211766.82314549939</v>
      </c>
      <c r="BQ567" s="44">
        <f t="shared" si="622"/>
        <v>0.9967398903202962</v>
      </c>
      <c r="BS567" s="49">
        <f t="shared" si="623"/>
        <v>106056.28914015935</v>
      </c>
      <c r="BT567" s="49">
        <f t="shared" si="639"/>
        <v>125.360001</v>
      </c>
      <c r="BU567" s="49">
        <f t="shared" si="640"/>
        <v>44.200001</v>
      </c>
      <c r="BV567" s="49">
        <f t="shared" si="624"/>
        <v>0</v>
      </c>
      <c r="BW567" s="18">
        <f t="shared" si="656"/>
        <v>3674</v>
      </c>
      <c r="BX567" s="19">
        <f t="shared" si="625"/>
        <v>0.1573394495412844</v>
      </c>
      <c r="BY567" s="49">
        <f t="shared" si="626"/>
        <v>0</v>
      </c>
      <c r="BZ567" s="19">
        <f t="shared" si="627"/>
        <v>0</v>
      </c>
      <c r="CA567" s="19">
        <f t="shared" si="628"/>
        <v>0</v>
      </c>
      <c r="CB567" s="19">
        <f t="shared" si="629"/>
        <v>0</v>
      </c>
      <c r="CC567" s="19">
        <f t="shared" si="630"/>
        <v>0</v>
      </c>
      <c r="CD567" s="19">
        <f t="shared" si="631"/>
        <v>0</v>
      </c>
      <c r="CE567" s="19">
        <f t="shared" si="632"/>
        <v>0</v>
      </c>
      <c r="CF567" s="49">
        <f t="shared" si="633"/>
        <v>0</v>
      </c>
      <c r="CG567" s="49">
        <f t="shared" si="634"/>
        <v>0</v>
      </c>
      <c r="CH567" s="49">
        <f t="shared" si="635"/>
        <v>0</v>
      </c>
      <c r="CI567" s="49">
        <f t="shared" si="636"/>
        <v>0</v>
      </c>
      <c r="CJ567" s="49">
        <f t="shared" si="637"/>
        <v>0</v>
      </c>
      <c r="CK567" s="49">
        <f t="shared" si="638"/>
        <v>0</v>
      </c>
    </row>
    <row r="568" spans="2:89" ht="12.75" customHeight="1" x14ac:dyDescent="0.2">
      <c r="B568" s="77">
        <v>42974</v>
      </c>
      <c r="C568" s="79">
        <v>127.269997</v>
      </c>
      <c r="D568" s="79">
        <v>97.879997000000003</v>
      </c>
      <c r="E568" s="79">
        <v>103.970001</v>
      </c>
      <c r="F568" s="79">
        <v>123.08000199999999</v>
      </c>
      <c r="G568" s="79">
        <v>42.599997999999999</v>
      </c>
      <c r="H568" s="79">
        <v>44.619999</v>
      </c>
      <c r="I568" s="79"/>
      <c r="J568" s="78">
        <f>IF(inter=Weekly_2,J567+$C$5,IF(inter=Bi_weekly_2,J566+$C$5,IF(inter=Monthly_2,0,IF(inter=Quarterly_2,0,IF(inter=Yearly_2,0,IF(inter=None_2,0,0))))))</f>
        <v>177800</v>
      </c>
      <c r="K568" s="79">
        <f t="shared" si="657"/>
        <v>1317.9049793728773</v>
      </c>
      <c r="L568" s="79">
        <f t="shared" si="658"/>
        <v>234.47408448768329</v>
      </c>
      <c r="M568" s="79">
        <f t="shared" si="659"/>
        <v>255.60231551623292</v>
      </c>
      <c r="N568" s="79">
        <f t="shared" si="660"/>
        <v>375.73800964138718</v>
      </c>
      <c r="O568" s="79">
        <f t="shared" si="661"/>
        <v>525.69009474952327</v>
      </c>
      <c r="P568" s="79">
        <f t="shared" si="662"/>
        <v>892.15665773081128</v>
      </c>
      <c r="Q568" s="79"/>
      <c r="R568" s="80">
        <f t="shared" si="641"/>
        <v>-10.355189836084284</v>
      </c>
      <c r="S568" s="80">
        <f t="shared" si="642"/>
        <v>-2.395526069414196</v>
      </c>
      <c r="T568" s="80">
        <f t="shared" si="643"/>
        <v>-2.4584237093181613</v>
      </c>
      <c r="U568" s="80">
        <f t="shared" si="644"/>
        <v>-3.0527949588543817</v>
      </c>
      <c r="V568" s="80">
        <f t="shared" si="645"/>
        <v>-12.340143648587103</v>
      </c>
      <c r="W568" s="80">
        <f t="shared" si="646"/>
        <v>-19.994546789003991</v>
      </c>
      <c r="X568" s="80">
        <f t="shared" si="598"/>
        <v>488.96048925026685</v>
      </c>
      <c r="Y568" s="80">
        <f t="shared" si="599"/>
        <v>181.65100679355353</v>
      </c>
      <c r="Z568" s="80">
        <f t="shared" si="600"/>
        <v>136.80869349996448</v>
      </c>
      <c r="AA568" s="80">
        <f t="shared" si="601"/>
        <v>101.12122032627204</v>
      </c>
      <c r="AB568" s="80">
        <f t="shared" si="602"/>
        <v>1043.4272790341445</v>
      </c>
      <c r="AC568" s="80">
        <f t="shared" si="603"/>
        <v>597.71404297879974</v>
      </c>
      <c r="AD568" s="80"/>
      <c r="AE568" s="80"/>
      <c r="AF568" s="80"/>
      <c r="AG568" s="80"/>
      <c r="AH568" s="80"/>
      <c r="AI568" s="80"/>
      <c r="AJ568" s="45">
        <f t="shared" si="590"/>
        <v>0</v>
      </c>
      <c r="AK568" s="45">
        <f t="shared" si="591"/>
        <v>0</v>
      </c>
      <c r="AL568" s="45">
        <f t="shared" si="592"/>
        <v>0</v>
      </c>
      <c r="AM568" s="45">
        <f t="shared" si="593"/>
        <v>0</v>
      </c>
      <c r="AN568" s="45">
        <f t="shared" si="594"/>
        <v>0</v>
      </c>
      <c r="AO568" s="45">
        <f t="shared" si="595"/>
        <v>0</v>
      </c>
      <c r="AP568" s="80">
        <f t="shared" si="647"/>
        <v>0</v>
      </c>
      <c r="AQ568" s="80">
        <f t="shared" si="648"/>
        <v>0</v>
      </c>
      <c r="AR568" s="80">
        <f t="shared" si="649"/>
        <v>0</v>
      </c>
      <c r="AS568" s="80">
        <f t="shared" si="650"/>
        <v>0</v>
      </c>
      <c r="AT568" s="80">
        <f t="shared" si="651"/>
        <v>0</v>
      </c>
      <c r="AU568" s="80">
        <f t="shared" si="652"/>
        <v>0</v>
      </c>
      <c r="AV568" s="80">
        <f t="shared" si="604"/>
        <v>82.227736385965898</v>
      </c>
      <c r="AW568" s="80">
        <f t="shared" si="605"/>
        <v>39.058026551150462</v>
      </c>
      <c r="AX568" s="80">
        <f t="shared" si="606"/>
        <v>24.201256684886168</v>
      </c>
      <c r="AY568" s="80">
        <f t="shared" si="607"/>
        <v>18.417770628753669</v>
      </c>
      <c r="AZ568" s="80">
        <f t="shared" si="608"/>
        <v>211.96147779485207</v>
      </c>
      <c r="BA568" s="80">
        <f t="shared" si="609"/>
        <v>101.29263562201132</v>
      </c>
      <c r="BB568" s="80">
        <f t="shared" si="610"/>
        <v>571.1882256362328</v>
      </c>
      <c r="BC568" s="80">
        <f t="shared" si="611"/>
        <v>220.70903334470398</v>
      </c>
      <c r="BD568" s="80">
        <f t="shared" si="612"/>
        <v>161.00995018485065</v>
      </c>
      <c r="BE568" s="80">
        <f t="shared" si="613"/>
        <v>119.53899095502571</v>
      </c>
      <c r="BF568" s="80">
        <f t="shared" si="614"/>
        <v>1255.3887568289965</v>
      </c>
      <c r="BG568" s="80">
        <f t="shared" si="615"/>
        <v>699.00667860081103</v>
      </c>
      <c r="BH568" s="49">
        <f t="shared" si="616"/>
        <v>0</v>
      </c>
      <c r="BI568" s="79">
        <f t="shared" si="617"/>
        <v>-102454.72299866084</v>
      </c>
      <c r="BJ568" s="79">
        <f t="shared" si="653"/>
        <v>177800</v>
      </c>
      <c r="BK568" s="44">
        <f t="shared" si="618"/>
        <v>0.73540071942143626</v>
      </c>
      <c r="BL568" s="79">
        <f t="shared" si="619"/>
        <v>23837.571770654384</v>
      </c>
      <c r="BM568" s="49">
        <f t="shared" si="620"/>
        <v>201637.57177065438</v>
      </c>
      <c r="BN568" s="44">
        <f t="shared" si="621"/>
        <v>0.96806516936549558</v>
      </c>
      <c r="BO568" s="49">
        <f t="shared" si="654"/>
        <v>32620.423042661867</v>
      </c>
      <c r="BP568" s="49">
        <f t="shared" si="655"/>
        <v>210420.42304266186</v>
      </c>
      <c r="BQ568" s="44">
        <f t="shared" si="622"/>
        <v>1.0537893899279998</v>
      </c>
      <c r="BS568" s="49">
        <f t="shared" si="623"/>
        <v>102454.72299866084</v>
      </c>
      <c r="BT568" s="49">
        <f t="shared" si="639"/>
        <v>127.269997</v>
      </c>
      <c r="BU568" s="49">
        <f t="shared" si="640"/>
        <v>44.619999</v>
      </c>
      <c r="BV568" s="49">
        <f t="shared" si="624"/>
        <v>-3601.5661414985152</v>
      </c>
      <c r="BW568" s="18">
        <f t="shared" si="656"/>
        <v>3681</v>
      </c>
      <c r="BX568" s="19">
        <f t="shared" si="625"/>
        <v>0.15573394495412843</v>
      </c>
      <c r="BY568" s="49">
        <f t="shared" si="626"/>
        <v>-560.88610322878253</v>
      </c>
      <c r="BZ568" s="19">
        <f t="shared" si="627"/>
        <v>0</v>
      </c>
      <c r="CA568" s="19">
        <f t="shared" si="628"/>
        <v>0</v>
      </c>
      <c r="CB568" s="19">
        <f t="shared" si="629"/>
        <v>0</v>
      </c>
      <c r="CC568" s="19">
        <f t="shared" si="630"/>
        <v>0</v>
      </c>
      <c r="CD568" s="19">
        <f t="shared" si="631"/>
        <v>0</v>
      </c>
      <c r="CE568" s="19">
        <f t="shared" si="632"/>
        <v>0</v>
      </c>
      <c r="CF568" s="49">
        <f t="shared" si="633"/>
        <v>0</v>
      </c>
      <c r="CG568" s="49">
        <f t="shared" si="634"/>
        <v>0</v>
      </c>
      <c r="CH568" s="49">
        <f t="shared" si="635"/>
        <v>0</v>
      </c>
      <c r="CI568" s="49">
        <f t="shared" si="636"/>
        <v>0</v>
      </c>
      <c r="CJ568" s="49">
        <f t="shared" si="637"/>
        <v>0</v>
      </c>
      <c r="CK568" s="49">
        <f t="shared" si="638"/>
        <v>0</v>
      </c>
    </row>
    <row r="569" spans="2:89" ht="12.75" customHeight="1" x14ac:dyDescent="0.2">
      <c r="B569" s="77">
        <v>42981</v>
      </c>
      <c r="C569" s="79">
        <v>126.489998</v>
      </c>
      <c r="D569" s="79">
        <v>96.959998999999996</v>
      </c>
      <c r="E569" s="79">
        <v>102.720001</v>
      </c>
      <c r="F569" s="79">
        <v>121.68</v>
      </c>
      <c r="G569" s="79">
        <v>42.939999</v>
      </c>
      <c r="H569" s="79">
        <v>44.529998999999997</v>
      </c>
      <c r="I569" s="79"/>
      <c r="J569" s="78">
        <f>IF(inter=Weekly_2,J568+$C$5,IF(inter=Bi_weekly_2,0,IF(inter=Monthly_2,0,IF(inter=Quarterly_2,0,IF(inter=Yearly_2,0,IF(inter=None_2,0,0))))))</f>
        <v>0</v>
      </c>
      <c r="K569" s="79">
        <f t="shared" si="657"/>
        <v>0</v>
      </c>
      <c r="L569" s="79">
        <f t="shared" si="658"/>
        <v>0</v>
      </c>
      <c r="M569" s="79">
        <f t="shared" si="659"/>
        <v>0</v>
      </c>
      <c r="N569" s="79">
        <f t="shared" si="660"/>
        <v>0</v>
      </c>
      <c r="O569" s="79">
        <f t="shared" si="661"/>
        <v>0</v>
      </c>
      <c r="P569" s="79">
        <f t="shared" si="662"/>
        <v>0</v>
      </c>
      <c r="Q569" s="79"/>
      <c r="R569" s="80">
        <f t="shared" si="641"/>
        <v>0</v>
      </c>
      <c r="S569" s="80">
        <f t="shared" si="642"/>
        <v>0</v>
      </c>
      <c r="T569" s="80">
        <f t="shared" si="643"/>
        <v>0</v>
      </c>
      <c r="U569" s="80">
        <f t="shared" si="644"/>
        <v>0</v>
      </c>
      <c r="V569" s="80">
        <f t="shared" si="645"/>
        <v>0</v>
      </c>
      <c r="W569" s="80">
        <f t="shared" si="646"/>
        <v>0</v>
      </c>
      <c r="X569" s="80">
        <f t="shared" si="598"/>
        <v>488.96048925026685</v>
      </c>
      <c r="Y569" s="80">
        <f t="shared" si="599"/>
        <v>181.65100679355353</v>
      </c>
      <c r="Z569" s="80">
        <f t="shared" si="600"/>
        <v>136.80869349996448</v>
      </c>
      <c r="AA569" s="80">
        <f t="shared" si="601"/>
        <v>101.12122032627204</v>
      </c>
      <c r="AB569" s="80">
        <f t="shared" si="602"/>
        <v>1043.4272790341445</v>
      </c>
      <c r="AC569" s="80">
        <f t="shared" si="603"/>
        <v>597.71404297879974</v>
      </c>
      <c r="AD569" s="80"/>
      <c r="AE569" s="80"/>
      <c r="AF569" s="80"/>
      <c r="AG569" s="80"/>
      <c r="AH569" s="80"/>
      <c r="AI569" s="80"/>
      <c r="AJ569" s="45">
        <f t="shared" si="590"/>
        <v>0</v>
      </c>
      <c r="AK569" s="45">
        <f t="shared" si="591"/>
        <v>0</v>
      </c>
      <c r="AL569" s="45">
        <f t="shared" si="592"/>
        <v>0</v>
      </c>
      <c r="AM569" s="45">
        <f t="shared" si="593"/>
        <v>0</v>
      </c>
      <c r="AN569" s="45">
        <f t="shared" si="594"/>
        <v>0</v>
      </c>
      <c r="AO569" s="45">
        <f t="shared" si="595"/>
        <v>0</v>
      </c>
      <c r="AP569" s="80">
        <f t="shared" si="647"/>
        <v>0</v>
      </c>
      <c r="AQ569" s="80">
        <f t="shared" si="648"/>
        <v>0</v>
      </c>
      <c r="AR569" s="80">
        <f t="shared" si="649"/>
        <v>0</v>
      </c>
      <c r="AS569" s="80">
        <f t="shared" si="650"/>
        <v>0</v>
      </c>
      <c r="AT569" s="80">
        <f t="shared" si="651"/>
        <v>0</v>
      </c>
      <c r="AU569" s="80">
        <f t="shared" si="652"/>
        <v>0</v>
      </c>
      <c r="AV569" s="80">
        <f t="shared" si="604"/>
        <v>82.227736385965898</v>
      </c>
      <c r="AW569" s="80">
        <f t="shared" si="605"/>
        <v>39.058026551150462</v>
      </c>
      <c r="AX569" s="80">
        <f t="shared" si="606"/>
        <v>24.201256684886168</v>
      </c>
      <c r="AY569" s="80">
        <f t="shared" si="607"/>
        <v>18.417770628753669</v>
      </c>
      <c r="AZ569" s="80">
        <f t="shared" si="608"/>
        <v>211.96147779485207</v>
      </c>
      <c r="BA569" s="80">
        <f t="shared" si="609"/>
        <v>101.29263562201132</v>
      </c>
      <c r="BB569" s="80">
        <f t="shared" si="610"/>
        <v>571.1882256362328</v>
      </c>
      <c r="BC569" s="80">
        <f t="shared" si="611"/>
        <v>220.70903334470398</v>
      </c>
      <c r="BD569" s="80">
        <f t="shared" si="612"/>
        <v>161.00995018485065</v>
      </c>
      <c r="BE569" s="80">
        <f t="shared" si="613"/>
        <v>119.53899095502571</v>
      </c>
      <c r="BF569" s="80">
        <f t="shared" si="614"/>
        <v>1255.3887568289965</v>
      </c>
      <c r="BG569" s="80">
        <f t="shared" si="615"/>
        <v>699.00667860081103</v>
      </c>
      <c r="BH569" s="49">
        <f t="shared" si="616"/>
        <v>0</v>
      </c>
      <c r="BI569" s="79">
        <f t="shared" si="617"/>
        <v>-102454.72299866084</v>
      </c>
      <c r="BJ569" s="79">
        <f t="shared" si="653"/>
        <v>177239.88402125382</v>
      </c>
      <c r="BK569" s="44">
        <f t="shared" si="618"/>
        <v>0.72993375838389096</v>
      </c>
      <c r="BL569" s="79">
        <f t="shared" si="619"/>
        <v>23837.571770654384</v>
      </c>
      <c r="BM569" s="49">
        <f t="shared" si="620"/>
        <v>201077.4557919082</v>
      </c>
      <c r="BN569" s="44">
        <f t="shared" si="621"/>
        <v>0.96259820832795007</v>
      </c>
      <c r="BO569" s="49">
        <f t="shared" si="654"/>
        <v>32527.26647483138</v>
      </c>
      <c r="BP569" s="49">
        <f t="shared" si="655"/>
        <v>209767.1504960852</v>
      </c>
      <c r="BQ569" s="44">
        <f t="shared" si="622"/>
        <v>1.0474131826878006</v>
      </c>
      <c r="BS569" s="49">
        <f t="shared" si="623"/>
        <v>102454.72299866084</v>
      </c>
      <c r="BT569" s="49">
        <f t="shared" si="639"/>
        <v>126.489998</v>
      </c>
      <c r="BU569" s="49">
        <f t="shared" si="640"/>
        <v>44.529998999999997</v>
      </c>
      <c r="BV569" s="49">
        <f t="shared" si="624"/>
        <v>0</v>
      </c>
      <c r="BW569" s="18">
        <f t="shared" si="656"/>
        <v>3688</v>
      </c>
      <c r="BX569" s="19">
        <f t="shared" si="625"/>
        <v>0.15412844036697249</v>
      </c>
      <c r="BY569" s="49">
        <f t="shared" si="626"/>
        <v>0</v>
      </c>
      <c r="BZ569" s="19">
        <f t="shared" si="627"/>
        <v>0</v>
      </c>
      <c r="CA569" s="19">
        <f t="shared" si="628"/>
        <v>0</v>
      </c>
      <c r="CB569" s="19">
        <f t="shared" si="629"/>
        <v>0</v>
      </c>
      <c r="CC569" s="19">
        <f t="shared" si="630"/>
        <v>0</v>
      </c>
      <c r="CD569" s="19">
        <f t="shared" si="631"/>
        <v>0</v>
      </c>
      <c r="CE569" s="19">
        <f t="shared" si="632"/>
        <v>0</v>
      </c>
      <c r="CF569" s="49">
        <f t="shared" si="633"/>
        <v>0</v>
      </c>
      <c r="CG569" s="49">
        <f t="shared" si="634"/>
        <v>0</v>
      </c>
      <c r="CH569" s="49">
        <f t="shared" si="635"/>
        <v>0</v>
      </c>
      <c r="CI569" s="49">
        <f t="shared" si="636"/>
        <v>0</v>
      </c>
      <c r="CJ569" s="49">
        <f t="shared" si="637"/>
        <v>0</v>
      </c>
      <c r="CK569" s="49">
        <f t="shared" si="638"/>
        <v>0</v>
      </c>
    </row>
    <row r="570" spans="2:89" ht="12.75" customHeight="1" x14ac:dyDescent="0.2">
      <c r="B570" s="77">
        <v>42988</v>
      </c>
      <c r="C570" s="79">
        <v>128.60000600000001</v>
      </c>
      <c r="D570" s="79">
        <v>99.139999000000003</v>
      </c>
      <c r="E570" s="79">
        <v>104.790001</v>
      </c>
      <c r="F570" s="79">
        <v>124.589996</v>
      </c>
      <c r="G570" s="79">
        <v>43.290000999999997</v>
      </c>
      <c r="H570" s="79">
        <v>45.060001</v>
      </c>
      <c r="I570" s="79"/>
      <c r="J570" s="78">
        <f>IF(inter=Weekly_2,J569+$C$5,IF(inter=Bi_weekly_2,J568+$C$5,IF(inter=Monthly_2,J566+$C$5,IF(inter=Quarterly_2,0,IF(inter=Yearly_2,0,IF(inter=None_2,0,0))))))</f>
        <v>178400</v>
      </c>
      <c r="K570" s="79">
        <f t="shared" si="657"/>
        <v>440.32185134726024</v>
      </c>
      <c r="L570" s="79">
        <f t="shared" si="658"/>
        <v>168.88063186189174</v>
      </c>
      <c r="M570" s="79">
        <f t="shared" si="659"/>
        <v>64.183128669970756</v>
      </c>
      <c r="N570" s="79">
        <f t="shared" si="660"/>
        <v>110.69243596534943</v>
      </c>
      <c r="O570" s="79">
        <f t="shared" si="661"/>
        <v>569.96795281538652</v>
      </c>
      <c r="P570" s="79">
        <f t="shared" si="662"/>
        <v>172.99537433875958</v>
      </c>
      <c r="Q570" s="79"/>
      <c r="R570" s="80">
        <f t="shared" si="641"/>
        <v>-3.4239644697004152</v>
      </c>
      <c r="S570" s="80">
        <f t="shared" si="642"/>
        <v>-1.703456057750129</v>
      </c>
      <c r="T570" s="80">
        <f t="shared" si="643"/>
        <v>-0.61249287200570557</v>
      </c>
      <c r="U570" s="80">
        <f t="shared" si="644"/>
        <v>-0.88845364410597971</v>
      </c>
      <c r="V570" s="80">
        <f t="shared" si="645"/>
        <v>-13.166272572167106</v>
      </c>
      <c r="W570" s="80">
        <f t="shared" si="646"/>
        <v>-3.8392226031854633</v>
      </c>
      <c r="X570" s="80">
        <f t="shared" si="598"/>
        <v>485.53652478056642</v>
      </c>
      <c r="Y570" s="80">
        <f t="shared" si="599"/>
        <v>179.94755073580342</v>
      </c>
      <c r="Z570" s="80">
        <f t="shared" si="600"/>
        <v>136.19620062795877</v>
      </c>
      <c r="AA570" s="80">
        <f t="shared" si="601"/>
        <v>100.23276668216606</v>
      </c>
      <c r="AB570" s="80">
        <f t="shared" si="602"/>
        <v>1030.2610064619773</v>
      </c>
      <c r="AC570" s="80">
        <f t="shared" si="603"/>
        <v>593.87482037561426</v>
      </c>
      <c r="AD570" s="80"/>
      <c r="AE570" s="80"/>
      <c r="AF570" s="80"/>
      <c r="AG570" s="80"/>
      <c r="AH570" s="80"/>
      <c r="AI570" s="80"/>
      <c r="AJ570" s="45">
        <f t="shared" si="590"/>
        <v>0</v>
      </c>
      <c r="AK570" s="45">
        <f t="shared" si="591"/>
        <v>0</v>
      </c>
      <c r="AL570" s="45">
        <f t="shared" si="592"/>
        <v>0</v>
      </c>
      <c r="AM570" s="45">
        <f t="shared" si="593"/>
        <v>0</v>
      </c>
      <c r="AN570" s="45">
        <f t="shared" si="594"/>
        <v>0</v>
      </c>
      <c r="AO570" s="45">
        <f t="shared" si="595"/>
        <v>0</v>
      </c>
      <c r="AP570" s="80">
        <f t="shared" si="647"/>
        <v>0</v>
      </c>
      <c r="AQ570" s="80">
        <f t="shared" si="648"/>
        <v>0</v>
      </c>
      <c r="AR570" s="80">
        <f t="shared" si="649"/>
        <v>0</v>
      </c>
      <c r="AS570" s="80">
        <f t="shared" si="650"/>
        <v>0</v>
      </c>
      <c r="AT570" s="80">
        <f t="shared" si="651"/>
        <v>0</v>
      </c>
      <c r="AU570" s="80">
        <f t="shared" si="652"/>
        <v>0</v>
      </c>
      <c r="AV570" s="80">
        <f t="shared" si="604"/>
        <v>82.227736385965898</v>
      </c>
      <c r="AW570" s="80">
        <f t="shared" si="605"/>
        <v>39.058026551150462</v>
      </c>
      <c r="AX570" s="80">
        <f t="shared" si="606"/>
        <v>24.201256684886168</v>
      </c>
      <c r="AY570" s="80">
        <f t="shared" si="607"/>
        <v>18.417770628753669</v>
      </c>
      <c r="AZ570" s="80">
        <f t="shared" si="608"/>
        <v>211.96147779485207</v>
      </c>
      <c r="BA570" s="80">
        <f t="shared" si="609"/>
        <v>101.29263562201132</v>
      </c>
      <c r="BB570" s="80">
        <f t="shared" si="610"/>
        <v>567.76426116653238</v>
      </c>
      <c r="BC570" s="80">
        <f t="shared" si="611"/>
        <v>219.00557728695389</v>
      </c>
      <c r="BD570" s="80">
        <f t="shared" si="612"/>
        <v>160.39745731284495</v>
      </c>
      <c r="BE570" s="80">
        <f t="shared" si="613"/>
        <v>118.65053731091973</v>
      </c>
      <c r="BF570" s="80">
        <f t="shared" si="614"/>
        <v>1242.2224842568294</v>
      </c>
      <c r="BG570" s="80">
        <f t="shared" si="615"/>
        <v>695.16745599762555</v>
      </c>
      <c r="BH570" s="49">
        <f t="shared" si="616"/>
        <v>0</v>
      </c>
      <c r="BI570" s="79">
        <f t="shared" si="617"/>
        <v>-100927.68162366224</v>
      </c>
      <c r="BJ570" s="79">
        <f t="shared" si="653"/>
        <v>178400</v>
      </c>
      <c r="BK570" s="44">
        <f t="shared" si="618"/>
        <v>0.76760227848307738</v>
      </c>
      <c r="BL570" s="79">
        <f t="shared" si="619"/>
        <v>23837.571770654384</v>
      </c>
      <c r="BM570" s="49">
        <f t="shared" si="620"/>
        <v>202237.57177065438</v>
      </c>
      <c r="BN570" s="44">
        <f t="shared" si="621"/>
        <v>1.0037869543536635</v>
      </c>
      <c r="BO570" s="49">
        <f t="shared" si="654"/>
        <v>33017.478635121566</v>
      </c>
      <c r="BP570" s="49">
        <f t="shared" si="655"/>
        <v>211417.47863512157</v>
      </c>
      <c r="BQ570" s="44">
        <f t="shared" si="622"/>
        <v>1.0947422474584543</v>
      </c>
      <c r="BS570" s="49">
        <f t="shared" si="623"/>
        <v>100927.68162366224</v>
      </c>
      <c r="BT570" s="49">
        <f t="shared" si="639"/>
        <v>128.60000600000001</v>
      </c>
      <c r="BU570" s="49">
        <f t="shared" si="640"/>
        <v>45.060001</v>
      </c>
      <c r="BV570" s="49">
        <f t="shared" si="624"/>
        <v>-1527.0413749986183</v>
      </c>
      <c r="BW570" s="18">
        <f t="shared" si="656"/>
        <v>3695</v>
      </c>
      <c r="BX570" s="19">
        <f t="shared" si="625"/>
        <v>0.15252293577981652</v>
      </c>
      <c r="BY570" s="49">
        <f t="shared" si="626"/>
        <v>-232.90883357203697</v>
      </c>
      <c r="BZ570" s="19">
        <f t="shared" si="627"/>
        <v>0</v>
      </c>
      <c r="CA570" s="19">
        <f t="shared" si="628"/>
        <v>0</v>
      </c>
      <c r="CB570" s="19">
        <f t="shared" si="629"/>
        <v>0</v>
      </c>
      <c r="CC570" s="19">
        <f t="shared" si="630"/>
        <v>0</v>
      </c>
      <c r="CD570" s="19">
        <f t="shared" si="631"/>
        <v>0</v>
      </c>
      <c r="CE570" s="19">
        <f t="shared" si="632"/>
        <v>0</v>
      </c>
      <c r="CF570" s="49">
        <f t="shared" si="633"/>
        <v>0</v>
      </c>
      <c r="CG570" s="49">
        <f t="shared" si="634"/>
        <v>0</v>
      </c>
      <c r="CH570" s="49">
        <f t="shared" si="635"/>
        <v>0</v>
      </c>
      <c r="CI570" s="49">
        <f t="shared" si="636"/>
        <v>0</v>
      </c>
      <c r="CJ570" s="49">
        <f t="shared" si="637"/>
        <v>0</v>
      </c>
      <c r="CK570" s="49">
        <f t="shared" si="638"/>
        <v>0</v>
      </c>
    </row>
    <row r="571" spans="2:89" ht="12.75" customHeight="1" x14ac:dyDescent="0.2">
      <c r="B571" s="77">
        <v>42995</v>
      </c>
      <c r="C571" s="79">
        <v>128.36999499999999</v>
      </c>
      <c r="D571" s="79">
        <v>99.18</v>
      </c>
      <c r="E571" s="79">
        <v>104.459999</v>
      </c>
      <c r="F571" s="79">
        <v>125.739998</v>
      </c>
      <c r="G571" s="79">
        <v>43.310001</v>
      </c>
      <c r="H571" s="79">
        <v>44.18</v>
      </c>
      <c r="I571" s="79"/>
      <c r="J571" s="78">
        <f>IF(inter=Weekly_2,J570+$C$5,IF(inter=Bi_weekly_2,0,IF(inter=Monthly_2,0,IF(inter=Quarterly_2,0,IF(inter=Yearly_2,0,IF(inter=None_2,0,0))))))</f>
        <v>0</v>
      </c>
      <c r="K571" s="79">
        <f t="shared" si="657"/>
        <v>0</v>
      </c>
      <c r="L571" s="79">
        <f t="shared" si="658"/>
        <v>0</v>
      </c>
      <c r="M571" s="79">
        <f t="shared" si="659"/>
        <v>0</v>
      </c>
      <c r="N571" s="79">
        <f t="shared" si="660"/>
        <v>0</v>
      </c>
      <c r="O571" s="79">
        <f t="shared" si="661"/>
        <v>0</v>
      </c>
      <c r="P571" s="79">
        <f t="shared" si="662"/>
        <v>0</v>
      </c>
      <c r="Q571" s="79"/>
      <c r="R571" s="80">
        <f t="shared" si="641"/>
        <v>0</v>
      </c>
      <c r="S571" s="80">
        <f t="shared" si="642"/>
        <v>0</v>
      </c>
      <c r="T571" s="80">
        <f t="shared" si="643"/>
        <v>0</v>
      </c>
      <c r="U571" s="80">
        <f t="shared" si="644"/>
        <v>0</v>
      </c>
      <c r="V571" s="80">
        <f t="shared" si="645"/>
        <v>0</v>
      </c>
      <c r="W571" s="80">
        <f t="shared" si="646"/>
        <v>0</v>
      </c>
      <c r="X571" s="80">
        <f t="shared" si="598"/>
        <v>485.53652478056642</v>
      </c>
      <c r="Y571" s="80">
        <f t="shared" si="599"/>
        <v>179.94755073580342</v>
      </c>
      <c r="Z571" s="80">
        <f t="shared" si="600"/>
        <v>136.19620062795877</v>
      </c>
      <c r="AA571" s="80">
        <f t="shared" si="601"/>
        <v>100.23276668216606</v>
      </c>
      <c r="AB571" s="80">
        <f t="shared" si="602"/>
        <v>1030.2610064619773</v>
      </c>
      <c r="AC571" s="80">
        <f t="shared" si="603"/>
        <v>593.87482037561426</v>
      </c>
      <c r="AD571" s="80"/>
      <c r="AE571" s="80"/>
      <c r="AF571" s="80"/>
      <c r="AG571" s="80"/>
      <c r="AH571" s="80"/>
      <c r="AI571" s="80"/>
      <c r="AJ571" s="45">
        <f t="shared" si="590"/>
        <v>0</v>
      </c>
      <c r="AK571" s="45">
        <f t="shared" si="591"/>
        <v>0</v>
      </c>
      <c r="AL571" s="45">
        <f t="shared" si="592"/>
        <v>0</v>
      </c>
      <c r="AM571" s="45">
        <f t="shared" si="593"/>
        <v>0</v>
      </c>
      <c r="AN571" s="45">
        <f t="shared" si="594"/>
        <v>0</v>
      </c>
      <c r="AO571" s="45">
        <f t="shared" si="595"/>
        <v>0</v>
      </c>
      <c r="AP571" s="80">
        <f t="shared" si="647"/>
        <v>0</v>
      </c>
      <c r="AQ571" s="80">
        <f t="shared" si="648"/>
        <v>0</v>
      </c>
      <c r="AR571" s="80">
        <f t="shared" si="649"/>
        <v>0</v>
      </c>
      <c r="AS571" s="80">
        <f t="shared" si="650"/>
        <v>0</v>
      </c>
      <c r="AT571" s="80">
        <f t="shared" si="651"/>
        <v>0</v>
      </c>
      <c r="AU571" s="80">
        <f t="shared" si="652"/>
        <v>0</v>
      </c>
      <c r="AV571" s="80">
        <f t="shared" si="604"/>
        <v>82.227736385965898</v>
      </c>
      <c r="AW571" s="80">
        <f t="shared" si="605"/>
        <v>39.058026551150462</v>
      </c>
      <c r="AX571" s="80">
        <f t="shared" si="606"/>
        <v>24.201256684886168</v>
      </c>
      <c r="AY571" s="80">
        <f t="shared" si="607"/>
        <v>18.417770628753669</v>
      </c>
      <c r="AZ571" s="80">
        <f t="shared" si="608"/>
        <v>211.96147779485207</v>
      </c>
      <c r="BA571" s="80">
        <f t="shared" si="609"/>
        <v>101.29263562201132</v>
      </c>
      <c r="BB571" s="80">
        <f t="shared" si="610"/>
        <v>567.76426116653238</v>
      </c>
      <c r="BC571" s="80">
        <f t="shared" si="611"/>
        <v>219.00557728695389</v>
      </c>
      <c r="BD571" s="80">
        <f t="shared" si="612"/>
        <v>160.39745731284495</v>
      </c>
      <c r="BE571" s="80">
        <f t="shared" si="613"/>
        <v>118.65053731091973</v>
      </c>
      <c r="BF571" s="80">
        <f t="shared" si="614"/>
        <v>1242.2224842568294</v>
      </c>
      <c r="BG571" s="80">
        <f t="shared" si="615"/>
        <v>695.16745599762555</v>
      </c>
      <c r="BH571" s="49">
        <f t="shared" si="616"/>
        <v>0</v>
      </c>
      <c r="BI571" s="79">
        <f t="shared" si="617"/>
        <v>-100927.68162366224</v>
      </c>
      <c r="BJ571" s="79">
        <f t="shared" si="653"/>
        <v>177863.83698824994</v>
      </c>
      <c r="BK571" s="44">
        <f t="shared" si="618"/>
        <v>0.76228993004581413</v>
      </c>
      <c r="BL571" s="79">
        <f t="shared" si="619"/>
        <v>23837.571770654384</v>
      </c>
      <c r="BM571" s="49">
        <f t="shared" si="620"/>
        <v>201701.40875890432</v>
      </c>
      <c r="BN571" s="44">
        <f t="shared" si="621"/>
        <v>0.99847460591640047</v>
      </c>
      <c r="BO571" s="49">
        <f t="shared" si="654"/>
        <v>32928.423330233745</v>
      </c>
      <c r="BP571" s="49">
        <f t="shared" si="655"/>
        <v>210792.26031848369</v>
      </c>
      <c r="BQ571" s="44">
        <f t="shared" si="622"/>
        <v>1.0885475315333508</v>
      </c>
      <c r="BS571" s="49">
        <f t="shared" si="623"/>
        <v>100927.68162366224</v>
      </c>
      <c r="BT571" s="49">
        <f t="shared" si="639"/>
        <v>128.36999499999999</v>
      </c>
      <c r="BU571" s="49">
        <f t="shared" si="640"/>
        <v>44.18</v>
      </c>
      <c r="BV571" s="49">
        <f t="shared" si="624"/>
        <v>0</v>
      </c>
      <c r="BW571" s="18">
        <f t="shared" si="656"/>
        <v>3702</v>
      </c>
      <c r="BX571" s="19">
        <f t="shared" si="625"/>
        <v>0.15091743119266054</v>
      </c>
      <c r="BY571" s="49">
        <f t="shared" si="626"/>
        <v>0</v>
      </c>
      <c r="BZ571" s="19">
        <f t="shared" si="627"/>
        <v>0</v>
      </c>
      <c r="CA571" s="19">
        <f t="shared" si="628"/>
        <v>0</v>
      </c>
      <c r="CB571" s="19">
        <f t="shared" si="629"/>
        <v>0</v>
      </c>
      <c r="CC571" s="19">
        <f t="shared" si="630"/>
        <v>0</v>
      </c>
      <c r="CD571" s="19">
        <f t="shared" si="631"/>
        <v>0</v>
      </c>
      <c r="CE571" s="19">
        <f t="shared" si="632"/>
        <v>0</v>
      </c>
      <c r="CF571" s="49">
        <f t="shared" si="633"/>
        <v>0</v>
      </c>
      <c r="CG571" s="49">
        <f t="shared" si="634"/>
        <v>0</v>
      </c>
      <c r="CH571" s="49">
        <f t="shared" si="635"/>
        <v>0</v>
      </c>
      <c r="CI571" s="49">
        <f t="shared" si="636"/>
        <v>0</v>
      </c>
      <c r="CJ571" s="49">
        <f t="shared" si="637"/>
        <v>0</v>
      </c>
      <c r="CK571" s="49">
        <f t="shared" si="638"/>
        <v>0</v>
      </c>
    </row>
    <row r="572" spans="2:89" ht="12.75" customHeight="1" x14ac:dyDescent="0.2">
      <c r="B572" s="77">
        <v>43002</v>
      </c>
      <c r="C572" s="79">
        <v>129.520004</v>
      </c>
      <c r="D572" s="79">
        <v>99.82</v>
      </c>
      <c r="E572" s="79">
        <v>105.639999</v>
      </c>
      <c r="F572" s="79">
        <v>127.790001</v>
      </c>
      <c r="G572" s="79">
        <v>43.41</v>
      </c>
      <c r="H572" s="79">
        <v>43.57</v>
      </c>
      <c r="I572" s="79"/>
      <c r="J572" s="78">
        <f>IF(inter=Weekly_2,J571+$C$5,IF(inter=Bi_weekly_2,J570+$C$5,IF(inter=Monthly_2,0,IF(inter=Quarterly_2,0,IF(inter=Yearly_2,0,IF(inter=None_2,0,0))))))</f>
        <v>179000</v>
      </c>
      <c r="K572" s="79">
        <f t="shared" si="657"/>
        <v>236.69263172506908</v>
      </c>
      <c r="L572" s="79">
        <f t="shared" si="658"/>
        <v>62.36451444789418</v>
      </c>
      <c r="M572" s="79">
        <f t="shared" si="659"/>
        <v>67.766498141365446</v>
      </c>
      <c r="N572" s="79">
        <f t="shared" si="660"/>
        <v>278.74535454676516</v>
      </c>
      <c r="O572" s="79">
        <f t="shared" si="661"/>
        <v>-26.369709485567</v>
      </c>
      <c r="P572" s="79">
        <f t="shared" si="662"/>
        <v>-974.87407623448598</v>
      </c>
      <c r="Q572" s="79"/>
      <c r="R572" s="80">
        <f t="shared" si="641"/>
        <v>-1.8274600402658192</v>
      </c>
      <c r="S572" s="80">
        <f t="shared" si="642"/>
        <v>-0.62476972999292912</v>
      </c>
      <c r="T572" s="80">
        <f t="shared" si="643"/>
        <v>-0.64148522134466746</v>
      </c>
      <c r="U572" s="80">
        <f t="shared" si="644"/>
        <v>-2.1812767224781942</v>
      </c>
      <c r="V572" s="80">
        <f t="shared" si="645"/>
        <v>0.60745702569838755</v>
      </c>
      <c r="W572" s="80">
        <f t="shared" si="646"/>
        <v>22.374892729733439</v>
      </c>
      <c r="X572" s="80">
        <f t="shared" si="598"/>
        <v>483.70906474030062</v>
      </c>
      <c r="Y572" s="80">
        <f t="shared" si="599"/>
        <v>179.3227810058105</v>
      </c>
      <c r="Z572" s="80">
        <f t="shared" si="600"/>
        <v>135.55471540661409</v>
      </c>
      <c r="AA572" s="80">
        <f t="shared" si="601"/>
        <v>98.051489959687871</v>
      </c>
      <c r="AB572" s="80">
        <f t="shared" si="602"/>
        <v>1030.8684634876756</v>
      </c>
      <c r="AC572" s="80">
        <f t="shared" si="603"/>
        <v>616.24971310534772</v>
      </c>
      <c r="AD572" s="80">
        <v>0.55300000000000005</v>
      </c>
      <c r="AE572" s="80">
        <v>0.67500000000000004</v>
      </c>
      <c r="AF572" s="80">
        <v>0.48299999999999998</v>
      </c>
      <c r="AG572" s="80">
        <v>0.61699999999999999</v>
      </c>
      <c r="AH572" s="80">
        <v>0.17899999999999999</v>
      </c>
      <c r="AI572" s="80">
        <v>0.52200000000000002</v>
      </c>
      <c r="AJ572" s="45">
        <f t="shared" si="590"/>
        <v>267.49111280138624</v>
      </c>
      <c r="AK572" s="45">
        <f t="shared" si="591"/>
        <v>121.0428771789221</v>
      </c>
      <c r="AL572" s="45">
        <f t="shared" si="592"/>
        <v>65.472927541394611</v>
      </c>
      <c r="AM572" s="45">
        <f t="shared" si="593"/>
        <v>60.497769305127413</v>
      </c>
      <c r="AN572" s="45">
        <f t="shared" si="594"/>
        <v>184.52545496429394</v>
      </c>
      <c r="AO572" s="45">
        <f t="shared" si="595"/>
        <v>321.68235024099152</v>
      </c>
      <c r="AP572" s="80">
        <f t="shared" si="647"/>
        <v>2.0652494173902762</v>
      </c>
      <c r="AQ572" s="80">
        <f t="shared" si="648"/>
        <v>1.2126114724396124</v>
      </c>
      <c r="AR572" s="80">
        <f t="shared" si="649"/>
        <v>0.61977402651617419</v>
      </c>
      <c r="AS572" s="80">
        <f t="shared" si="650"/>
        <v>0.47341551632922679</v>
      </c>
      <c r="AT572" s="80">
        <f t="shared" si="651"/>
        <v>4.250759156053765</v>
      </c>
      <c r="AU572" s="80">
        <f t="shared" si="652"/>
        <v>7.3831156814549352</v>
      </c>
      <c r="AV572" s="80">
        <f t="shared" si="604"/>
        <v>84.292985803356174</v>
      </c>
      <c r="AW572" s="80">
        <f t="shared" si="605"/>
        <v>40.270638023590074</v>
      </c>
      <c r="AX572" s="80">
        <f t="shared" si="606"/>
        <v>24.821030711402344</v>
      </c>
      <c r="AY572" s="80">
        <f t="shared" si="607"/>
        <v>18.891186145082894</v>
      </c>
      <c r="AZ572" s="80">
        <f t="shared" si="608"/>
        <v>216.21223695090583</v>
      </c>
      <c r="BA572" s="80">
        <f t="shared" si="609"/>
        <v>108.67575130346626</v>
      </c>
      <c r="BB572" s="80">
        <f t="shared" si="610"/>
        <v>568.00205054365676</v>
      </c>
      <c r="BC572" s="80">
        <f t="shared" si="611"/>
        <v>219.59341902940056</v>
      </c>
      <c r="BD572" s="80">
        <f t="shared" si="612"/>
        <v>160.37574611801642</v>
      </c>
      <c r="BE572" s="80">
        <f t="shared" si="613"/>
        <v>116.94267610477077</v>
      </c>
      <c r="BF572" s="80">
        <f t="shared" si="614"/>
        <v>1247.0807004385815</v>
      </c>
      <c r="BG572" s="80">
        <f t="shared" si="615"/>
        <v>724.92546440881392</v>
      </c>
      <c r="BH572" s="49">
        <f t="shared" si="616"/>
        <v>1020.712492032116</v>
      </c>
      <c r="BI572" s="79">
        <f t="shared" si="617"/>
        <v>-101283.35641052118</v>
      </c>
      <c r="BJ572" s="79">
        <f t="shared" si="653"/>
        <v>179000</v>
      </c>
      <c r="BK572" s="44">
        <f t="shared" si="618"/>
        <v>0.76731899834043915</v>
      </c>
      <c r="BL572" s="79">
        <f t="shared" si="619"/>
        <v>24858.284262686499</v>
      </c>
      <c r="BM572" s="49">
        <f t="shared" si="620"/>
        <v>203858.2842626865</v>
      </c>
      <c r="BN572" s="44">
        <f t="shared" si="621"/>
        <v>1.0127520600364894</v>
      </c>
      <c r="BO572" s="49">
        <f t="shared" si="654"/>
        <v>34094.416992171085</v>
      </c>
      <c r="BP572" s="49">
        <f t="shared" si="655"/>
        <v>213094.41699217109</v>
      </c>
      <c r="BQ572" s="44">
        <f t="shared" si="622"/>
        <v>1.1039430815114173</v>
      </c>
      <c r="BS572" s="49">
        <f t="shared" si="623"/>
        <v>101283.35641052118</v>
      </c>
      <c r="BT572" s="49">
        <f t="shared" si="639"/>
        <v>129.520004</v>
      </c>
      <c r="BU572" s="49">
        <f t="shared" si="640"/>
        <v>43.57</v>
      </c>
      <c r="BV572" s="49">
        <f t="shared" si="624"/>
        <v>-665.03770517315684</v>
      </c>
      <c r="BW572" s="18">
        <f t="shared" si="656"/>
        <v>3709</v>
      </c>
      <c r="BX572" s="19">
        <f t="shared" si="625"/>
        <v>0.14931192660550457</v>
      </c>
      <c r="BY572" s="49">
        <f t="shared" si="626"/>
        <v>-99.298061024707579</v>
      </c>
      <c r="BZ572" s="19">
        <f t="shared" si="627"/>
        <v>0</v>
      </c>
      <c r="CA572" s="19">
        <f t="shared" si="628"/>
        <v>0</v>
      </c>
      <c r="CB572" s="19">
        <f t="shared" si="629"/>
        <v>0</v>
      </c>
      <c r="CC572" s="19">
        <f t="shared" si="630"/>
        <v>0</v>
      </c>
      <c r="CD572" s="19">
        <f t="shared" si="631"/>
        <v>0.60745702569838755</v>
      </c>
      <c r="CE572" s="19">
        <f t="shared" si="632"/>
        <v>22.374892729733439</v>
      </c>
      <c r="CF572" s="49">
        <f t="shared" si="633"/>
        <v>0</v>
      </c>
      <c r="CG572" s="49">
        <f t="shared" si="634"/>
        <v>0</v>
      </c>
      <c r="CH572" s="49">
        <f t="shared" si="635"/>
        <v>0</v>
      </c>
      <c r="CI572" s="49">
        <f t="shared" si="636"/>
        <v>0</v>
      </c>
      <c r="CJ572" s="49">
        <f t="shared" si="637"/>
        <v>-26.369709485567</v>
      </c>
      <c r="CK572" s="49">
        <f t="shared" si="638"/>
        <v>-974.87407623448598</v>
      </c>
    </row>
    <row r="573" spans="2:89" ht="12.75" customHeight="1" x14ac:dyDescent="0.2">
      <c r="B573" s="77">
        <v>43009</v>
      </c>
      <c r="C573" s="79">
        <v>131.19000199999999</v>
      </c>
      <c r="D573" s="79">
        <v>101.110001</v>
      </c>
      <c r="E573" s="79">
        <v>106.58000199999999</v>
      </c>
      <c r="F573" s="79">
        <v>129.13999899999999</v>
      </c>
      <c r="G573" s="79">
        <v>43.360000999999997</v>
      </c>
      <c r="H573" s="79">
        <v>44.369999</v>
      </c>
      <c r="I573" s="79"/>
      <c r="J573" s="78">
        <f>IF(inter=Weekly_2,J572+$C$5,IF(inter=Bi_weekly_2,0,IF(inter=Monthly_2,0,IF(inter=Quarterly_2,0,IF(inter=Yearly_2,0,IF(inter=None_2,0,0))))))</f>
        <v>0</v>
      </c>
      <c r="K573" s="79">
        <f t="shared" si="657"/>
        <v>0</v>
      </c>
      <c r="L573" s="79">
        <f t="shared" si="658"/>
        <v>0</v>
      </c>
      <c r="M573" s="79">
        <f t="shared" si="659"/>
        <v>0</v>
      </c>
      <c r="N573" s="79">
        <f t="shared" si="660"/>
        <v>0</v>
      </c>
      <c r="O573" s="79">
        <f t="shared" si="661"/>
        <v>0</v>
      </c>
      <c r="P573" s="79">
        <f t="shared" si="662"/>
        <v>0</v>
      </c>
      <c r="Q573" s="79"/>
      <c r="R573" s="80">
        <f t="shared" si="641"/>
        <v>0</v>
      </c>
      <c r="S573" s="80">
        <f t="shared" si="642"/>
        <v>0</v>
      </c>
      <c r="T573" s="80">
        <f t="shared" si="643"/>
        <v>0</v>
      </c>
      <c r="U573" s="80">
        <f t="shared" si="644"/>
        <v>0</v>
      </c>
      <c r="V573" s="80">
        <f t="shared" si="645"/>
        <v>0</v>
      </c>
      <c r="W573" s="80">
        <f t="shared" si="646"/>
        <v>0</v>
      </c>
      <c r="X573" s="80">
        <f t="shared" si="598"/>
        <v>483.70906474030062</v>
      </c>
      <c r="Y573" s="80">
        <f t="shared" si="599"/>
        <v>179.3227810058105</v>
      </c>
      <c r="Z573" s="80">
        <f t="shared" si="600"/>
        <v>135.55471540661409</v>
      </c>
      <c r="AA573" s="80">
        <f t="shared" si="601"/>
        <v>98.051489959687871</v>
      </c>
      <c r="AB573" s="80">
        <f t="shared" si="602"/>
        <v>1030.8684634876756</v>
      </c>
      <c r="AC573" s="80">
        <f t="shared" si="603"/>
        <v>616.24971310534772</v>
      </c>
      <c r="AD573" s="80"/>
      <c r="AE573" s="80"/>
      <c r="AF573" s="80"/>
      <c r="AG573" s="80"/>
      <c r="AH573" s="80"/>
      <c r="AI573" s="80"/>
      <c r="AJ573" s="45">
        <f t="shared" si="590"/>
        <v>0</v>
      </c>
      <c r="AK573" s="45">
        <f t="shared" si="591"/>
        <v>0</v>
      </c>
      <c r="AL573" s="45">
        <f t="shared" si="592"/>
        <v>0</v>
      </c>
      <c r="AM573" s="45">
        <f t="shared" si="593"/>
        <v>0</v>
      </c>
      <c r="AN573" s="45">
        <f t="shared" si="594"/>
        <v>0</v>
      </c>
      <c r="AO573" s="45">
        <f t="shared" si="595"/>
        <v>0</v>
      </c>
      <c r="AP573" s="80">
        <f t="shared" si="647"/>
        <v>0</v>
      </c>
      <c r="AQ573" s="80">
        <f t="shared" si="648"/>
        <v>0</v>
      </c>
      <c r="AR573" s="80">
        <f t="shared" si="649"/>
        <v>0</v>
      </c>
      <c r="AS573" s="80">
        <f t="shared" si="650"/>
        <v>0</v>
      </c>
      <c r="AT573" s="80">
        <f t="shared" si="651"/>
        <v>0</v>
      </c>
      <c r="AU573" s="80">
        <f t="shared" si="652"/>
        <v>0</v>
      </c>
      <c r="AV573" s="80">
        <f t="shared" si="604"/>
        <v>84.292985803356174</v>
      </c>
      <c r="AW573" s="80">
        <f t="shared" si="605"/>
        <v>40.270638023590074</v>
      </c>
      <c r="AX573" s="80">
        <f t="shared" si="606"/>
        <v>24.821030711402344</v>
      </c>
      <c r="AY573" s="80">
        <f t="shared" si="607"/>
        <v>18.891186145082894</v>
      </c>
      <c r="AZ573" s="80">
        <f t="shared" si="608"/>
        <v>216.21223695090583</v>
      </c>
      <c r="BA573" s="80">
        <f t="shared" si="609"/>
        <v>108.67575130346626</v>
      </c>
      <c r="BB573" s="80">
        <f t="shared" si="610"/>
        <v>568.00205054365676</v>
      </c>
      <c r="BC573" s="80">
        <f t="shared" si="611"/>
        <v>219.59341902940056</v>
      </c>
      <c r="BD573" s="80">
        <f t="shared" si="612"/>
        <v>160.37574611801642</v>
      </c>
      <c r="BE573" s="80">
        <f t="shared" si="613"/>
        <v>116.94267610477077</v>
      </c>
      <c r="BF573" s="80">
        <f t="shared" si="614"/>
        <v>1247.0807004385815</v>
      </c>
      <c r="BG573" s="80">
        <f t="shared" si="615"/>
        <v>724.92546440881392</v>
      </c>
      <c r="BH573" s="49">
        <f t="shared" si="616"/>
        <v>0</v>
      </c>
      <c r="BI573" s="79">
        <f t="shared" si="617"/>
        <v>-101283.35641052118</v>
      </c>
      <c r="BJ573" s="79">
        <f t="shared" si="653"/>
        <v>180740.36765393606</v>
      </c>
      <c r="BK573" s="44">
        <f t="shared" si="618"/>
        <v>0.78450215375327925</v>
      </c>
      <c r="BL573" s="79">
        <f t="shared" si="619"/>
        <v>24858.284262686499</v>
      </c>
      <c r="BM573" s="49">
        <f t="shared" si="620"/>
        <v>205598.65191662256</v>
      </c>
      <c r="BN573" s="44">
        <f t="shared" si="621"/>
        <v>1.0299352154493295</v>
      </c>
      <c r="BO573" s="49">
        <f t="shared" si="654"/>
        <v>34412.1002767748</v>
      </c>
      <c r="BP573" s="49">
        <f t="shared" si="655"/>
        <v>215152.46793071085</v>
      </c>
      <c r="BQ573" s="44">
        <f t="shared" si="622"/>
        <v>1.1242628162780859</v>
      </c>
      <c r="BS573" s="49">
        <f t="shared" si="623"/>
        <v>101283.35641052118</v>
      </c>
      <c r="BT573" s="49">
        <f t="shared" si="639"/>
        <v>131.19000199999999</v>
      </c>
      <c r="BU573" s="49">
        <f t="shared" si="640"/>
        <v>44.369999</v>
      </c>
      <c r="BV573" s="49">
        <f t="shared" si="624"/>
        <v>0</v>
      </c>
      <c r="BW573" s="18">
        <f t="shared" si="656"/>
        <v>3716</v>
      </c>
      <c r="BX573" s="19">
        <f t="shared" si="625"/>
        <v>0.14770642201834863</v>
      </c>
      <c r="BY573" s="49">
        <f t="shared" si="626"/>
        <v>0</v>
      </c>
      <c r="BZ573" s="19">
        <f t="shared" si="627"/>
        <v>0</v>
      </c>
      <c r="CA573" s="19">
        <f t="shared" si="628"/>
        <v>0</v>
      </c>
      <c r="CB573" s="19">
        <f t="shared" si="629"/>
        <v>0</v>
      </c>
      <c r="CC573" s="19">
        <f t="shared" si="630"/>
        <v>0</v>
      </c>
      <c r="CD573" s="19">
        <f t="shared" si="631"/>
        <v>0</v>
      </c>
      <c r="CE573" s="19">
        <f t="shared" si="632"/>
        <v>0</v>
      </c>
      <c r="CF573" s="49">
        <f t="shared" si="633"/>
        <v>0</v>
      </c>
      <c r="CG573" s="49">
        <f t="shared" si="634"/>
        <v>0</v>
      </c>
      <c r="CH573" s="49">
        <f t="shared" si="635"/>
        <v>0</v>
      </c>
      <c r="CI573" s="49">
        <f t="shared" si="636"/>
        <v>0</v>
      </c>
      <c r="CJ573" s="49">
        <f t="shared" si="637"/>
        <v>0</v>
      </c>
      <c r="CK573" s="49">
        <f t="shared" si="638"/>
        <v>0</v>
      </c>
    </row>
    <row r="574" spans="2:89" ht="12.75" customHeight="1" x14ac:dyDescent="0.2">
      <c r="B574" s="77">
        <v>43016</v>
      </c>
      <c r="C574" s="79">
        <v>131.36000100000001</v>
      </c>
      <c r="D574" s="79">
        <v>100.949997</v>
      </c>
      <c r="E574" s="79">
        <v>106.790001</v>
      </c>
      <c r="F574" s="79">
        <v>128.88999899999999</v>
      </c>
      <c r="G574" s="79">
        <v>44.150002000000001</v>
      </c>
      <c r="H574" s="79">
        <v>45.18</v>
      </c>
      <c r="I574" s="79"/>
      <c r="J574" s="78">
        <f>IF(inter=Weekly_2,J573+$C$5,IF(inter=Bi_weekly_2,J572+$C$5,IF(inter=Monthly_2,J570+$C$5,IF(inter=Quarterly_2,0,IF(inter=Yearly_2,0,IF(inter=None_2,0,0))))))</f>
        <v>179600</v>
      </c>
      <c r="K574" s="79">
        <f t="shared" si="657"/>
        <v>680.02322799496324</v>
      </c>
      <c r="L574" s="79">
        <f t="shared" si="658"/>
        <v>142.63420456822496</v>
      </c>
      <c r="M574" s="79">
        <f t="shared" si="659"/>
        <v>107.88819382703514</v>
      </c>
      <c r="N574" s="79">
        <f t="shared" si="660"/>
        <v>65.856442852676992</v>
      </c>
      <c r="O574" s="79">
        <f t="shared" si="661"/>
        <v>612.84472471780464</v>
      </c>
      <c r="P574" s="79">
        <f t="shared" si="662"/>
        <v>902.16203809961007</v>
      </c>
      <c r="Q574" s="79"/>
      <c r="R574" s="80">
        <f t="shared" si="641"/>
        <v>-5.1767906730981466</v>
      </c>
      <c r="S574" s="80">
        <f t="shared" si="642"/>
        <v>-1.4129193542048839</v>
      </c>
      <c r="T574" s="80">
        <f t="shared" si="643"/>
        <v>-1.0102836671668833</v>
      </c>
      <c r="U574" s="80">
        <f t="shared" si="644"/>
        <v>-0.5109507592802216</v>
      </c>
      <c r="V574" s="80">
        <f t="shared" si="645"/>
        <v>-13.880967088468187</v>
      </c>
      <c r="W574" s="80">
        <f t="shared" si="646"/>
        <v>-19.968172600699649</v>
      </c>
      <c r="X574" s="80">
        <f t="shared" si="598"/>
        <v>478.53227406720248</v>
      </c>
      <c r="Y574" s="80">
        <f t="shared" si="599"/>
        <v>177.90986165160561</v>
      </c>
      <c r="Z574" s="80">
        <f t="shared" si="600"/>
        <v>134.54443173944722</v>
      </c>
      <c r="AA574" s="80">
        <f t="shared" si="601"/>
        <v>97.54053920040765</v>
      </c>
      <c r="AB574" s="80">
        <f t="shared" si="602"/>
        <v>1016.9874963992074</v>
      </c>
      <c r="AC574" s="80">
        <f t="shared" si="603"/>
        <v>596.28154050464809</v>
      </c>
      <c r="AD574" s="80"/>
      <c r="AE574" s="80"/>
      <c r="AF574" s="80"/>
      <c r="AG574" s="80"/>
      <c r="AH574" s="80"/>
      <c r="AI574" s="80"/>
      <c r="AJ574" s="45">
        <f t="shared" si="590"/>
        <v>0</v>
      </c>
      <c r="AK574" s="45">
        <f t="shared" si="591"/>
        <v>0</v>
      </c>
      <c r="AL574" s="45">
        <f t="shared" si="592"/>
        <v>0</v>
      </c>
      <c r="AM574" s="45">
        <f t="shared" si="593"/>
        <v>0</v>
      </c>
      <c r="AN574" s="45">
        <f t="shared" si="594"/>
        <v>0</v>
      </c>
      <c r="AO574" s="45">
        <f t="shared" si="595"/>
        <v>0</v>
      </c>
      <c r="AP574" s="80">
        <f t="shared" si="647"/>
        <v>0</v>
      </c>
      <c r="AQ574" s="80">
        <f t="shared" si="648"/>
        <v>0</v>
      </c>
      <c r="AR574" s="80">
        <f t="shared" si="649"/>
        <v>0</v>
      </c>
      <c r="AS574" s="80">
        <f t="shared" si="650"/>
        <v>0</v>
      </c>
      <c r="AT574" s="80">
        <f t="shared" si="651"/>
        <v>0</v>
      </c>
      <c r="AU574" s="80">
        <f t="shared" si="652"/>
        <v>0</v>
      </c>
      <c r="AV574" s="80">
        <f t="shared" si="604"/>
        <v>84.292985803356174</v>
      </c>
      <c r="AW574" s="80">
        <f t="shared" si="605"/>
        <v>40.270638023590074</v>
      </c>
      <c r="AX574" s="80">
        <f t="shared" si="606"/>
        <v>24.821030711402344</v>
      </c>
      <c r="AY574" s="80">
        <f t="shared" si="607"/>
        <v>18.891186145082894</v>
      </c>
      <c r="AZ574" s="80">
        <f t="shared" si="608"/>
        <v>216.21223695090583</v>
      </c>
      <c r="BA574" s="80">
        <f t="shared" si="609"/>
        <v>108.67575130346626</v>
      </c>
      <c r="BB574" s="80">
        <f t="shared" si="610"/>
        <v>562.82525987055863</v>
      </c>
      <c r="BC574" s="80">
        <f t="shared" si="611"/>
        <v>218.18049967519568</v>
      </c>
      <c r="BD574" s="80">
        <f t="shared" si="612"/>
        <v>159.36546245084958</v>
      </c>
      <c r="BE574" s="80">
        <f t="shared" si="613"/>
        <v>116.43172534549055</v>
      </c>
      <c r="BF574" s="80">
        <f t="shared" si="614"/>
        <v>1233.1997333501133</v>
      </c>
      <c r="BG574" s="80">
        <f t="shared" si="615"/>
        <v>704.95729180811441</v>
      </c>
      <c r="BH574" s="49">
        <f t="shared" si="616"/>
        <v>0</v>
      </c>
      <c r="BI574" s="79">
        <f t="shared" si="617"/>
        <v>-98771.94757846088</v>
      </c>
      <c r="BJ574" s="79">
        <f t="shared" si="653"/>
        <v>179600</v>
      </c>
      <c r="BK574" s="44">
        <f t="shared" si="618"/>
        <v>0.81833004616348415</v>
      </c>
      <c r="BL574" s="79">
        <f t="shared" si="619"/>
        <v>24858.284262686499</v>
      </c>
      <c r="BM574" s="49">
        <f t="shared" si="620"/>
        <v>204458.2842626865</v>
      </c>
      <c r="BN574" s="44">
        <f t="shared" si="621"/>
        <v>1.0700035716140173</v>
      </c>
      <c r="BO574" s="49">
        <f t="shared" si="654"/>
        <v>34679.311482629164</v>
      </c>
      <c r="BP574" s="49">
        <f t="shared" si="655"/>
        <v>214279.31148262919</v>
      </c>
      <c r="BQ574" s="44">
        <f t="shared" si="622"/>
        <v>1.1694349128067301</v>
      </c>
      <c r="BS574" s="49">
        <f t="shared" si="623"/>
        <v>98771.94757846088</v>
      </c>
      <c r="BT574" s="49">
        <f t="shared" si="639"/>
        <v>131.36000100000001</v>
      </c>
      <c r="BU574" s="49">
        <f t="shared" si="640"/>
        <v>45.18</v>
      </c>
      <c r="BV574" s="49">
        <f t="shared" si="624"/>
        <v>-2511.408832060315</v>
      </c>
      <c r="BW574" s="18">
        <f t="shared" si="656"/>
        <v>3723</v>
      </c>
      <c r="BX574" s="19">
        <f t="shared" si="625"/>
        <v>0.14610091743119266</v>
      </c>
      <c r="BY574" s="49">
        <f t="shared" si="626"/>
        <v>-366.91913440881211</v>
      </c>
      <c r="BZ574" s="19">
        <f t="shared" si="627"/>
        <v>0</v>
      </c>
      <c r="CA574" s="19">
        <f t="shared" si="628"/>
        <v>0</v>
      </c>
      <c r="CB574" s="19">
        <f t="shared" si="629"/>
        <v>0</v>
      </c>
      <c r="CC574" s="19">
        <f t="shared" si="630"/>
        <v>0</v>
      </c>
      <c r="CD574" s="19">
        <f t="shared" si="631"/>
        <v>0</v>
      </c>
      <c r="CE574" s="19">
        <f t="shared" si="632"/>
        <v>0</v>
      </c>
      <c r="CF574" s="49">
        <f t="shared" si="633"/>
        <v>0</v>
      </c>
      <c r="CG574" s="49">
        <f t="shared" si="634"/>
        <v>0</v>
      </c>
      <c r="CH574" s="49">
        <f t="shared" si="635"/>
        <v>0</v>
      </c>
      <c r="CI574" s="49">
        <f t="shared" si="636"/>
        <v>0</v>
      </c>
      <c r="CJ574" s="49">
        <f t="shared" si="637"/>
        <v>0</v>
      </c>
      <c r="CK574" s="49">
        <f t="shared" si="638"/>
        <v>0</v>
      </c>
    </row>
    <row r="575" spans="2:89" ht="12.75" customHeight="1" x14ac:dyDescent="0.2">
      <c r="B575" s="77">
        <v>43023</v>
      </c>
      <c r="C575" s="79">
        <v>132.41999799999999</v>
      </c>
      <c r="D575" s="79">
        <v>102.480003</v>
      </c>
      <c r="E575" s="79">
        <v>107.75</v>
      </c>
      <c r="F575" s="79">
        <v>129.61000100000001</v>
      </c>
      <c r="G575" s="79">
        <v>43.950001</v>
      </c>
      <c r="H575" s="79">
        <v>44.810001</v>
      </c>
      <c r="I575" s="79"/>
      <c r="J575" s="78">
        <f>IF(inter=Weekly_2,J574+$C$5,IF(inter=Bi_weekly_2,0,IF(inter=Monthly_2,0,IF(inter=Quarterly_2,J562+$C$5,IF(inter=Yearly_2,0,IF(inter=None_2,0,0))))))</f>
        <v>0</v>
      </c>
      <c r="K575" s="79">
        <f t="shared" si="657"/>
        <v>0</v>
      </c>
      <c r="L575" s="79">
        <f t="shared" si="658"/>
        <v>0</v>
      </c>
      <c r="M575" s="79">
        <f t="shared" si="659"/>
        <v>0</v>
      </c>
      <c r="N575" s="79">
        <f t="shared" si="660"/>
        <v>0</v>
      </c>
      <c r="O575" s="79">
        <f t="shared" si="661"/>
        <v>0</v>
      </c>
      <c r="P575" s="79">
        <f t="shared" si="662"/>
        <v>0</v>
      </c>
      <c r="Q575" s="79"/>
      <c r="R575" s="80">
        <f t="shared" si="641"/>
        <v>0</v>
      </c>
      <c r="S575" s="80">
        <f t="shared" si="642"/>
        <v>0</v>
      </c>
      <c r="T575" s="80">
        <f t="shared" si="643"/>
        <v>0</v>
      </c>
      <c r="U575" s="80">
        <f t="shared" si="644"/>
        <v>0</v>
      </c>
      <c r="V575" s="80">
        <f t="shared" si="645"/>
        <v>0</v>
      </c>
      <c r="W575" s="80">
        <f t="shared" si="646"/>
        <v>0</v>
      </c>
      <c r="X575" s="80">
        <f t="shared" si="598"/>
        <v>478.53227406720248</v>
      </c>
      <c r="Y575" s="80">
        <f t="shared" si="599"/>
        <v>177.90986165160561</v>
      </c>
      <c r="Z575" s="80">
        <f t="shared" si="600"/>
        <v>134.54443173944722</v>
      </c>
      <c r="AA575" s="80">
        <f t="shared" si="601"/>
        <v>97.54053920040765</v>
      </c>
      <c r="AB575" s="80">
        <f t="shared" si="602"/>
        <v>1016.9874963992074</v>
      </c>
      <c r="AC575" s="80">
        <f t="shared" si="603"/>
        <v>596.28154050464809</v>
      </c>
      <c r="AD575" s="80"/>
      <c r="AE575" s="80"/>
      <c r="AF575" s="80"/>
      <c r="AG575" s="80"/>
      <c r="AH575" s="80"/>
      <c r="AI575" s="80"/>
      <c r="AJ575" s="45">
        <f t="shared" si="590"/>
        <v>0</v>
      </c>
      <c r="AK575" s="45">
        <f t="shared" si="591"/>
        <v>0</v>
      </c>
      <c r="AL575" s="45">
        <f t="shared" si="592"/>
        <v>0</v>
      </c>
      <c r="AM575" s="45">
        <f t="shared" si="593"/>
        <v>0</v>
      </c>
      <c r="AN575" s="45">
        <f t="shared" si="594"/>
        <v>0</v>
      </c>
      <c r="AO575" s="45">
        <f t="shared" si="595"/>
        <v>0</v>
      </c>
      <c r="AP575" s="80">
        <f t="shared" si="647"/>
        <v>0</v>
      </c>
      <c r="AQ575" s="80">
        <f t="shared" si="648"/>
        <v>0</v>
      </c>
      <c r="AR575" s="80">
        <f t="shared" si="649"/>
        <v>0</v>
      </c>
      <c r="AS575" s="80">
        <f t="shared" si="650"/>
        <v>0</v>
      </c>
      <c r="AT575" s="80">
        <f t="shared" si="651"/>
        <v>0</v>
      </c>
      <c r="AU575" s="80">
        <f t="shared" si="652"/>
        <v>0</v>
      </c>
      <c r="AV575" s="80">
        <f t="shared" si="604"/>
        <v>84.292985803356174</v>
      </c>
      <c r="AW575" s="80">
        <f t="shared" si="605"/>
        <v>40.270638023590074</v>
      </c>
      <c r="AX575" s="80">
        <f t="shared" si="606"/>
        <v>24.821030711402344</v>
      </c>
      <c r="AY575" s="80">
        <f t="shared" si="607"/>
        <v>18.891186145082894</v>
      </c>
      <c r="AZ575" s="80">
        <f t="shared" si="608"/>
        <v>216.21223695090583</v>
      </c>
      <c r="BA575" s="80">
        <f t="shared" si="609"/>
        <v>108.67575130346626</v>
      </c>
      <c r="BB575" s="80">
        <f t="shared" si="610"/>
        <v>562.82525987055863</v>
      </c>
      <c r="BC575" s="80">
        <f t="shared" si="611"/>
        <v>218.18049967519568</v>
      </c>
      <c r="BD575" s="80">
        <f t="shared" si="612"/>
        <v>159.36546245084958</v>
      </c>
      <c r="BE575" s="80">
        <f t="shared" si="613"/>
        <v>116.43172534549055</v>
      </c>
      <c r="BF575" s="80">
        <f t="shared" si="614"/>
        <v>1233.1997333501133</v>
      </c>
      <c r="BG575" s="80">
        <f t="shared" si="615"/>
        <v>704.95729180811441</v>
      </c>
      <c r="BH575" s="49">
        <f t="shared" si="616"/>
        <v>0</v>
      </c>
      <c r="BI575" s="79">
        <f t="shared" si="617"/>
        <v>-98771.94757846088</v>
      </c>
      <c r="BJ575" s="79">
        <f t="shared" si="653"/>
        <v>180154.81574395881</v>
      </c>
      <c r="BK575" s="44">
        <f t="shared" si="618"/>
        <v>0.82394718501273156</v>
      </c>
      <c r="BL575" s="79">
        <f t="shared" si="619"/>
        <v>24858.284262686499</v>
      </c>
      <c r="BM575" s="49">
        <f t="shared" si="620"/>
        <v>205013.10000664531</v>
      </c>
      <c r="BN575" s="44">
        <f t="shared" si="621"/>
        <v>1.0756207104632649</v>
      </c>
      <c r="BO575" s="49">
        <f t="shared" si="654"/>
        <v>34784.253386061486</v>
      </c>
      <c r="BP575" s="49">
        <f t="shared" si="655"/>
        <v>214939.0691300203</v>
      </c>
      <c r="BQ575" s="44">
        <f t="shared" si="622"/>
        <v>1.1761145183381188</v>
      </c>
      <c r="BS575" s="49">
        <f t="shared" si="623"/>
        <v>98771.94757846088</v>
      </c>
      <c r="BT575" s="49">
        <f t="shared" si="639"/>
        <v>132.41999799999999</v>
      </c>
      <c r="BU575" s="49">
        <f t="shared" si="640"/>
        <v>44.810001</v>
      </c>
      <c r="BV575" s="49">
        <f t="shared" si="624"/>
        <v>0</v>
      </c>
      <c r="BW575" s="18">
        <f t="shared" si="656"/>
        <v>3730</v>
      </c>
      <c r="BX575" s="19">
        <f t="shared" si="625"/>
        <v>0.14449541284403669</v>
      </c>
      <c r="BY575" s="49">
        <f t="shared" si="626"/>
        <v>0</v>
      </c>
      <c r="BZ575" s="19">
        <f t="shared" si="627"/>
        <v>0</v>
      </c>
      <c r="CA575" s="19">
        <f t="shared" si="628"/>
        <v>0</v>
      </c>
      <c r="CB575" s="19">
        <f t="shared" si="629"/>
        <v>0</v>
      </c>
      <c r="CC575" s="19">
        <f t="shared" si="630"/>
        <v>0</v>
      </c>
      <c r="CD575" s="19">
        <f t="shared" si="631"/>
        <v>0</v>
      </c>
      <c r="CE575" s="19">
        <f t="shared" si="632"/>
        <v>0</v>
      </c>
      <c r="CF575" s="49">
        <f t="shared" si="633"/>
        <v>0</v>
      </c>
      <c r="CG575" s="49">
        <f t="shared" si="634"/>
        <v>0</v>
      </c>
      <c r="CH575" s="49">
        <f t="shared" si="635"/>
        <v>0</v>
      </c>
      <c r="CI575" s="49">
        <f t="shared" si="636"/>
        <v>0</v>
      </c>
      <c r="CJ575" s="49">
        <f t="shared" si="637"/>
        <v>0</v>
      </c>
      <c r="CK575" s="49">
        <f t="shared" si="638"/>
        <v>0</v>
      </c>
    </row>
    <row r="576" spans="2:89" ht="12.75" customHeight="1" x14ac:dyDescent="0.2">
      <c r="B576" s="77">
        <v>43030</v>
      </c>
      <c r="C576" s="79">
        <v>132.63999899999999</v>
      </c>
      <c r="D576" s="79">
        <v>102.33000199999999</v>
      </c>
      <c r="E576" s="79">
        <v>106.709999</v>
      </c>
      <c r="F576" s="79">
        <v>129.46000699999999</v>
      </c>
      <c r="G576" s="79">
        <v>43.880001</v>
      </c>
      <c r="H576" s="79">
        <v>44.740001999999997</v>
      </c>
      <c r="I576" s="79"/>
      <c r="J576" s="78">
        <f>IF(inter=Weekly_2,J575+$C$5,IF(inter=Bi_weekly_2,J574+$C$5,IF(inter=Monthly_2,0,IF(inter=Quarterly_2,0,IF(inter=Yearly_2,0,IF(inter=None_2,0,0))))))</f>
        <v>180200</v>
      </c>
      <c r="K576" s="79">
        <f t="shared" si="657"/>
        <v>402.52035374146362</v>
      </c>
      <c r="L576" s="79">
        <f t="shared" si="658"/>
        <v>185.51649862852355</v>
      </c>
      <c r="M576" s="79">
        <f t="shared" si="659"/>
        <v>-58.763823628019964</v>
      </c>
      <c r="N576" s="79">
        <f t="shared" si="660"/>
        <v>13.598887668546013</v>
      </c>
      <c r="O576" s="79">
        <f t="shared" si="661"/>
        <v>-424.58764101528504</v>
      </c>
      <c r="P576" s="79">
        <f t="shared" si="662"/>
        <v>-352.36268525896594</v>
      </c>
      <c r="Q576" s="79"/>
      <c r="R576" s="80">
        <f t="shared" si="641"/>
        <v>-3.034683027564435</v>
      </c>
      <c r="S576" s="80">
        <f t="shared" si="642"/>
        <v>-1.812923824906439</v>
      </c>
      <c r="T576" s="80">
        <f t="shared" si="643"/>
        <v>0.55068713502677447</v>
      </c>
      <c r="U576" s="80">
        <f t="shared" si="644"/>
        <v>-0.10504315567158909</v>
      </c>
      <c r="V576" s="80">
        <f t="shared" si="645"/>
        <v>9.6761082802911744</v>
      </c>
      <c r="W576" s="80">
        <f t="shared" si="646"/>
        <v>7.8757860864415239</v>
      </c>
      <c r="X576" s="80">
        <f t="shared" si="598"/>
        <v>475.49759103963805</v>
      </c>
      <c r="Y576" s="80">
        <f t="shared" si="599"/>
        <v>176.09693782669916</v>
      </c>
      <c r="Z576" s="80">
        <f t="shared" si="600"/>
        <v>135.095118874474</v>
      </c>
      <c r="AA576" s="80">
        <f t="shared" si="601"/>
        <v>97.435496044736055</v>
      </c>
      <c r="AB576" s="80">
        <f t="shared" si="602"/>
        <v>1026.6636046794986</v>
      </c>
      <c r="AC576" s="80">
        <f t="shared" si="603"/>
        <v>604.1573265910896</v>
      </c>
      <c r="AD576" s="80"/>
      <c r="AE576" s="80"/>
      <c r="AF576" s="80"/>
      <c r="AG576" s="80"/>
      <c r="AH576" s="80"/>
      <c r="AI576" s="80"/>
      <c r="AJ576" s="45">
        <f t="shared" si="590"/>
        <v>0</v>
      </c>
      <c r="AK576" s="45">
        <f t="shared" si="591"/>
        <v>0</v>
      </c>
      <c r="AL576" s="45">
        <f t="shared" si="592"/>
        <v>0</v>
      </c>
      <c r="AM576" s="45">
        <f t="shared" si="593"/>
        <v>0</v>
      </c>
      <c r="AN576" s="45">
        <f t="shared" si="594"/>
        <v>0</v>
      </c>
      <c r="AO576" s="45">
        <f t="shared" si="595"/>
        <v>0</v>
      </c>
      <c r="AP576" s="80">
        <f t="shared" si="647"/>
        <v>0</v>
      </c>
      <c r="AQ576" s="80">
        <f t="shared" si="648"/>
        <v>0</v>
      </c>
      <c r="AR576" s="80">
        <f t="shared" si="649"/>
        <v>0</v>
      </c>
      <c r="AS576" s="80">
        <f t="shared" si="650"/>
        <v>0</v>
      </c>
      <c r="AT576" s="80">
        <f t="shared" si="651"/>
        <v>0</v>
      </c>
      <c r="AU576" s="80">
        <f t="shared" si="652"/>
        <v>0</v>
      </c>
      <c r="AV576" s="80">
        <f t="shared" si="604"/>
        <v>84.292985803356174</v>
      </c>
      <c r="AW576" s="80">
        <f t="shared" si="605"/>
        <v>40.270638023590074</v>
      </c>
      <c r="AX576" s="80">
        <f t="shared" si="606"/>
        <v>24.821030711402344</v>
      </c>
      <c r="AY576" s="80">
        <f t="shared" si="607"/>
        <v>18.891186145082894</v>
      </c>
      <c r="AZ576" s="80">
        <f t="shared" si="608"/>
        <v>216.21223695090583</v>
      </c>
      <c r="BA576" s="80">
        <f t="shared" si="609"/>
        <v>108.67575130346626</v>
      </c>
      <c r="BB576" s="80">
        <f t="shared" si="610"/>
        <v>559.79057684299426</v>
      </c>
      <c r="BC576" s="80">
        <f t="shared" si="611"/>
        <v>216.36757585028923</v>
      </c>
      <c r="BD576" s="80">
        <f t="shared" si="612"/>
        <v>159.91614958587633</v>
      </c>
      <c r="BE576" s="80">
        <f t="shared" si="613"/>
        <v>116.32668218981895</v>
      </c>
      <c r="BF576" s="80">
        <f t="shared" si="614"/>
        <v>1242.8758416304045</v>
      </c>
      <c r="BG576" s="80">
        <f t="shared" si="615"/>
        <v>712.8330778945558</v>
      </c>
      <c r="BH576" s="49">
        <f t="shared" si="616"/>
        <v>0</v>
      </c>
      <c r="BI576" s="79">
        <f t="shared" si="617"/>
        <v>-99006.025988324618</v>
      </c>
      <c r="BJ576" s="79">
        <f t="shared" si="653"/>
        <v>180200</v>
      </c>
      <c r="BK576" s="44">
        <f t="shared" si="618"/>
        <v>0.82009123385328353</v>
      </c>
      <c r="BL576" s="79">
        <f t="shared" si="619"/>
        <v>24858.284262686499</v>
      </c>
      <c r="BM576" s="49">
        <f t="shared" si="620"/>
        <v>205058.2842626865</v>
      </c>
      <c r="BN576" s="44">
        <f t="shared" si="621"/>
        <v>1.0711697314956181</v>
      </c>
      <c r="BO576" s="49">
        <f t="shared" si="654"/>
        <v>34745.367779419437</v>
      </c>
      <c r="BP576" s="49">
        <f t="shared" si="655"/>
        <v>214945.36777941944</v>
      </c>
      <c r="BQ576" s="44">
        <f t="shared" si="622"/>
        <v>1.1710331834222605</v>
      </c>
      <c r="BS576" s="49">
        <f t="shared" si="623"/>
        <v>99006.025988324618</v>
      </c>
      <c r="BT576" s="49">
        <f t="shared" si="639"/>
        <v>132.63999899999999</v>
      </c>
      <c r="BU576" s="49">
        <f t="shared" si="640"/>
        <v>44.740001999999997</v>
      </c>
      <c r="BV576" s="49">
        <f t="shared" si="624"/>
        <v>234.07840986373776</v>
      </c>
      <c r="BW576" s="18">
        <f t="shared" si="656"/>
        <v>3737</v>
      </c>
      <c r="BX576" s="19">
        <f t="shared" si="625"/>
        <v>0.14288990825688072</v>
      </c>
      <c r="BY576" s="49">
        <f t="shared" si="626"/>
        <v>33.447442510346015</v>
      </c>
      <c r="BZ576" s="19">
        <f t="shared" si="627"/>
        <v>0</v>
      </c>
      <c r="CA576" s="19">
        <f t="shared" si="628"/>
        <v>0</v>
      </c>
      <c r="CB576" s="19">
        <f t="shared" si="629"/>
        <v>0.55068713502677447</v>
      </c>
      <c r="CC576" s="19">
        <f t="shared" si="630"/>
        <v>0</v>
      </c>
      <c r="CD576" s="19">
        <f t="shared" si="631"/>
        <v>9.6761082802911744</v>
      </c>
      <c r="CE576" s="19">
        <f t="shared" si="632"/>
        <v>7.8757860864415239</v>
      </c>
      <c r="CF576" s="49">
        <f t="shared" si="633"/>
        <v>0</v>
      </c>
      <c r="CG576" s="49">
        <f t="shared" si="634"/>
        <v>0</v>
      </c>
      <c r="CH576" s="49">
        <f t="shared" si="635"/>
        <v>-58.763823628019964</v>
      </c>
      <c r="CI576" s="49">
        <f t="shared" si="636"/>
        <v>0</v>
      </c>
      <c r="CJ576" s="49">
        <f t="shared" si="637"/>
        <v>-424.58764101528504</v>
      </c>
      <c r="CK576" s="49">
        <f t="shared" si="638"/>
        <v>-352.36268525896594</v>
      </c>
    </row>
    <row r="577" spans="2:89" ht="12.75" customHeight="1" x14ac:dyDescent="0.2">
      <c r="B577" s="77">
        <v>43037</v>
      </c>
      <c r="C577" s="79">
        <v>132.820007</v>
      </c>
      <c r="D577" s="79">
        <v>102.209999</v>
      </c>
      <c r="E577" s="79">
        <v>106.160004</v>
      </c>
      <c r="F577" s="79">
        <v>128.740005</v>
      </c>
      <c r="G577" s="79">
        <v>44.330002</v>
      </c>
      <c r="H577" s="79">
        <v>44.619999</v>
      </c>
      <c r="I577" s="79"/>
      <c r="J577" s="78">
        <f>IF(inter=Weekly_2,J576+$C$5,IF(inter=Bi_weekly_2,0,IF(inter=Monthly_2,0,IF(inter=Quarterly_2,0,IF(inter=Yearly_2,0,IF(inter=None_2,0,0))))))</f>
        <v>0</v>
      </c>
      <c r="K577" s="79">
        <f t="shared" si="657"/>
        <v>0</v>
      </c>
      <c r="L577" s="79">
        <f t="shared" si="658"/>
        <v>0</v>
      </c>
      <c r="M577" s="79">
        <f t="shared" si="659"/>
        <v>0</v>
      </c>
      <c r="N577" s="79">
        <f t="shared" si="660"/>
        <v>0</v>
      </c>
      <c r="O577" s="79">
        <f t="shared" si="661"/>
        <v>0</v>
      </c>
      <c r="P577" s="79">
        <f t="shared" si="662"/>
        <v>0</v>
      </c>
      <c r="Q577" s="79"/>
      <c r="R577" s="80">
        <f t="shared" si="641"/>
        <v>0</v>
      </c>
      <c r="S577" s="80">
        <f t="shared" si="642"/>
        <v>0</v>
      </c>
      <c r="T577" s="80">
        <f t="shared" si="643"/>
        <v>0</v>
      </c>
      <c r="U577" s="80">
        <f t="shared" si="644"/>
        <v>0</v>
      </c>
      <c r="V577" s="80">
        <f t="shared" si="645"/>
        <v>0</v>
      </c>
      <c r="W577" s="80">
        <f t="shared" si="646"/>
        <v>0</v>
      </c>
      <c r="X577" s="80">
        <f t="shared" si="598"/>
        <v>475.49759103963805</v>
      </c>
      <c r="Y577" s="80">
        <f t="shared" si="599"/>
        <v>176.09693782669916</v>
      </c>
      <c r="Z577" s="80">
        <f t="shared" si="600"/>
        <v>135.095118874474</v>
      </c>
      <c r="AA577" s="80">
        <f t="shared" si="601"/>
        <v>97.435496044736055</v>
      </c>
      <c r="AB577" s="80">
        <f t="shared" si="602"/>
        <v>1026.6636046794986</v>
      </c>
      <c r="AC577" s="80">
        <f t="shared" si="603"/>
        <v>604.1573265910896</v>
      </c>
      <c r="AD577" s="80"/>
      <c r="AE577" s="80"/>
      <c r="AF577" s="80"/>
      <c r="AG577" s="80"/>
      <c r="AH577" s="80"/>
      <c r="AI577" s="80"/>
      <c r="AJ577" s="45">
        <f t="shared" si="590"/>
        <v>0</v>
      </c>
      <c r="AK577" s="45">
        <f t="shared" si="591"/>
        <v>0</v>
      </c>
      <c r="AL577" s="45">
        <f t="shared" si="592"/>
        <v>0</v>
      </c>
      <c r="AM577" s="45">
        <f t="shared" si="593"/>
        <v>0</v>
      </c>
      <c r="AN577" s="45">
        <f t="shared" si="594"/>
        <v>0</v>
      </c>
      <c r="AO577" s="45">
        <f t="shared" si="595"/>
        <v>0</v>
      </c>
      <c r="AP577" s="80">
        <f t="shared" si="647"/>
        <v>0</v>
      </c>
      <c r="AQ577" s="80">
        <f t="shared" si="648"/>
        <v>0</v>
      </c>
      <c r="AR577" s="80">
        <f t="shared" si="649"/>
        <v>0</v>
      </c>
      <c r="AS577" s="80">
        <f t="shared" si="650"/>
        <v>0</v>
      </c>
      <c r="AT577" s="80">
        <f t="shared" si="651"/>
        <v>0</v>
      </c>
      <c r="AU577" s="80">
        <f t="shared" si="652"/>
        <v>0</v>
      </c>
      <c r="AV577" s="80">
        <f t="shared" si="604"/>
        <v>84.292985803356174</v>
      </c>
      <c r="AW577" s="80">
        <f t="shared" si="605"/>
        <v>40.270638023590074</v>
      </c>
      <c r="AX577" s="80">
        <f t="shared" si="606"/>
        <v>24.821030711402344</v>
      </c>
      <c r="AY577" s="80">
        <f t="shared" si="607"/>
        <v>18.891186145082894</v>
      </c>
      <c r="AZ577" s="80">
        <f t="shared" si="608"/>
        <v>216.21223695090583</v>
      </c>
      <c r="BA577" s="80">
        <f t="shared" si="609"/>
        <v>108.67575130346626</v>
      </c>
      <c r="BB577" s="80">
        <f t="shared" si="610"/>
        <v>559.79057684299426</v>
      </c>
      <c r="BC577" s="80">
        <f t="shared" si="611"/>
        <v>216.36757585028923</v>
      </c>
      <c r="BD577" s="80">
        <f t="shared" si="612"/>
        <v>159.91614958587633</v>
      </c>
      <c r="BE577" s="80">
        <f t="shared" si="613"/>
        <v>116.32668218981895</v>
      </c>
      <c r="BF577" s="80">
        <f t="shared" si="614"/>
        <v>1242.8758416304045</v>
      </c>
      <c r="BG577" s="80">
        <f t="shared" si="615"/>
        <v>712.8330778945558</v>
      </c>
      <c r="BH577" s="49">
        <f t="shared" si="616"/>
        <v>0</v>
      </c>
      <c r="BI577" s="79">
        <f t="shared" si="617"/>
        <v>-99006.025988324618</v>
      </c>
      <c r="BJ577" s="79">
        <f t="shared" si="653"/>
        <v>180509.50477471575</v>
      </c>
      <c r="BK577" s="44">
        <f t="shared" si="618"/>
        <v>0.82321735442651245</v>
      </c>
      <c r="BL577" s="79">
        <f t="shared" si="619"/>
        <v>24858.284262686499</v>
      </c>
      <c r="BM577" s="49">
        <f t="shared" si="620"/>
        <v>205367.78903740225</v>
      </c>
      <c r="BN577" s="44">
        <f t="shared" si="621"/>
        <v>1.0742958520688473</v>
      </c>
      <c r="BO577" s="49">
        <f t="shared" si="654"/>
        <v>34812.709765896718</v>
      </c>
      <c r="BP577" s="49">
        <f t="shared" si="655"/>
        <v>215322.21454061248</v>
      </c>
      <c r="BQ577" s="44">
        <f t="shared" si="622"/>
        <v>1.1748394846794938</v>
      </c>
      <c r="BS577" s="49">
        <f t="shared" si="623"/>
        <v>99006.025988324618</v>
      </c>
      <c r="BT577" s="49">
        <f t="shared" si="639"/>
        <v>132.820007</v>
      </c>
      <c r="BU577" s="49">
        <f t="shared" si="640"/>
        <v>44.619999</v>
      </c>
      <c r="BV577" s="49">
        <f t="shared" si="624"/>
        <v>0</v>
      </c>
      <c r="BW577" s="18">
        <f t="shared" si="656"/>
        <v>3744</v>
      </c>
      <c r="BX577" s="19">
        <f t="shared" si="625"/>
        <v>0.14128440366972478</v>
      </c>
      <c r="BY577" s="49">
        <f t="shared" si="626"/>
        <v>0</v>
      </c>
      <c r="BZ577" s="19">
        <f t="shared" si="627"/>
        <v>0</v>
      </c>
      <c r="CA577" s="19">
        <f t="shared" si="628"/>
        <v>0</v>
      </c>
      <c r="CB577" s="19">
        <f t="shared" si="629"/>
        <v>0</v>
      </c>
      <c r="CC577" s="19">
        <f t="shared" si="630"/>
        <v>0</v>
      </c>
      <c r="CD577" s="19">
        <f t="shared" si="631"/>
        <v>0</v>
      </c>
      <c r="CE577" s="19">
        <f t="shared" si="632"/>
        <v>0</v>
      </c>
      <c r="CF577" s="49">
        <f t="shared" si="633"/>
        <v>0</v>
      </c>
      <c r="CG577" s="49">
        <f t="shared" si="634"/>
        <v>0</v>
      </c>
      <c r="CH577" s="49">
        <f t="shared" si="635"/>
        <v>0</v>
      </c>
      <c r="CI577" s="49">
        <f t="shared" si="636"/>
        <v>0</v>
      </c>
      <c r="CJ577" s="49">
        <f t="shared" si="637"/>
        <v>0</v>
      </c>
      <c r="CK577" s="49">
        <f t="shared" si="638"/>
        <v>0</v>
      </c>
    </row>
    <row r="578" spans="2:89" ht="12.75" customHeight="1" x14ac:dyDescent="0.2">
      <c r="B578" s="77">
        <v>43044</v>
      </c>
      <c r="C578" s="79">
        <v>132.53999300000001</v>
      </c>
      <c r="D578" s="79">
        <v>101.55999799999999</v>
      </c>
      <c r="E578" s="79">
        <v>106.160004</v>
      </c>
      <c r="F578" s="79">
        <v>127.449997</v>
      </c>
      <c r="G578" s="79">
        <v>44.040000999999997</v>
      </c>
      <c r="H578" s="79">
        <v>44.59</v>
      </c>
      <c r="I578" s="79"/>
      <c r="J578" s="78">
        <f>IF(inter=Weekly_2,J577+$C$5,IF(inter=Bi_weekly_2,J576+$C$5,IF(inter=Monthly_2,J574+$C$5,IF(inter=Quarterly_2,0,IF(inter=Yearly_2,0,IF(inter=None_2,0,0))))))</f>
        <v>180800</v>
      </c>
      <c r="K578" s="79">
        <f t="shared" si="657"/>
        <v>-257.55261208950105</v>
      </c>
      <c r="L578" s="79">
        <f t="shared" si="658"/>
        <v>-195.59534651431022</v>
      </c>
      <c r="M578" s="79">
        <f t="shared" si="659"/>
        <v>-122.30163990536494</v>
      </c>
      <c r="N578" s="79">
        <f t="shared" si="660"/>
        <v>-237.84632140488065</v>
      </c>
      <c r="O578" s="79">
        <f t="shared" si="661"/>
        <v>14.266176748715225</v>
      </c>
      <c r="P578" s="79">
        <f t="shared" si="662"/>
        <v>-180.62480730331299</v>
      </c>
      <c r="Q578" s="79"/>
      <c r="R578" s="80">
        <f t="shared" si="641"/>
        <v>1.9432067729888973</v>
      </c>
      <c r="S578" s="80">
        <f t="shared" si="642"/>
        <v>1.9259093182958731</v>
      </c>
      <c r="T578" s="80">
        <f t="shared" si="643"/>
        <v>1.1520500687374216</v>
      </c>
      <c r="U578" s="80">
        <f t="shared" si="644"/>
        <v>1.8661932287442946</v>
      </c>
      <c r="V578" s="80">
        <f t="shared" si="645"/>
        <v>-0.32393679438643125</v>
      </c>
      <c r="W578" s="80">
        <f t="shared" si="646"/>
        <v>4.0507918211104057</v>
      </c>
      <c r="X578" s="80">
        <f t="shared" si="598"/>
        <v>477.44079781262695</v>
      </c>
      <c r="Y578" s="80">
        <f t="shared" si="599"/>
        <v>178.02284714499504</v>
      </c>
      <c r="Z578" s="80">
        <f t="shared" si="600"/>
        <v>136.24716894321142</v>
      </c>
      <c r="AA578" s="80">
        <f t="shared" si="601"/>
        <v>99.301689273480349</v>
      </c>
      <c r="AB578" s="80">
        <f t="shared" si="602"/>
        <v>1026.3396678851122</v>
      </c>
      <c r="AC578" s="80">
        <f t="shared" si="603"/>
        <v>608.20811841219995</v>
      </c>
      <c r="AD578" s="80"/>
      <c r="AE578" s="80"/>
      <c r="AF578" s="80"/>
      <c r="AG578" s="80"/>
      <c r="AH578" s="80"/>
      <c r="AI578" s="80"/>
      <c r="AJ578" s="45">
        <f t="shared" si="590"/>
        <v>0</v>
      </c>
      <c r="AK578" s="45">
        <f t="shared" si="591"/>
        <v>0</v>
      </c>
      <c r="AL578" s="45">
        <f t="shared" si="592"/>
        <v>0</v>
      </c>
      <c r="AM578" s="45">
        <f t="shared" si="593"/>
        <v>0</v>
      </c>
      <c r="AN578" s="45">
        <f t="shared" si="594"/>
        <v>0</v>
      </c>
      <c r="AO578" s="45">
        <f t="shared" si="595"/>
        <v>0</v>
      </c>
      <c r="AP578" s="80">
        <f t="shared" si="647"/>
        <v>0</v>
      </c>
      <c r="AQ578" s="80">
        <f t="shared" si="648"/>
        <v>0</v>
      </c>
      <c r="AR578" s="80">
        <f t="shared" si="649"/>
        <v>0</v>
      </c>
      <c r="AS578" s="80">
        <f t="shared" si="650"/>
        <v>0</v>
      </c>
      <c r="AT578" s="80">
        <f t="shared" si="651"/>
        <v>0</v>
      </c>
      <c r="AU578" s="80">
        <f t="shared" si="652"/>
        <v>0</v>
      </c>
      <c r="AV578" s="80">
        <f t="shared" si="604"/>
        <v>84.292985803356174</v>
      </c>
      <c r="AW578" s="80">
        <f t="shared" si="605"/>
        <v>40.270638023590074</v>
      </c>
      <c r="AX578" s="80">
        <f t="shared" si="606"/>
        <v>24.821030711402344</v>
      </c>
      <c r="AY578" s="80">
        <f t="shared" si="607"/>
        <v>18.891186145082894</v>
      </c>
      <c r="AZ578" s="80">
        <f t="shared" si="608"/>
        <v>216.21223695090583</v>
      </c>
      <c r="BA578" s="80">
        <f t="shared" si="609"/>
        <v>108.67575130346626</v>
      </c>
      <c r="BB578" s="80">
        <f t="shared" si="610"/>
        <v>561.73378361598316</v>
      </c>
      <c r="BC578" s="80">
        <f t="shared" si="611"/>
        <v>218.29348516858511</v>
      </c>
      <c r="BD578" s="80">
        <f t="shared" si="612"/>
        <v>161.06819965461375</v>
      </c>
      <c r="BE578" s="80">
        <f t="shared" si="613"/>
        <v>118.19287541856325</v>
      </c>
      <c r="BF578" s="80">
        <f t="shared" si="614"/>
        <v>1242.5519048360181</v>
      </c>
      <c r="BG578" s="80">
        <f t="shared" si="615"/>
        <v>716.88386971566615</v>
      </c>
      <c r="BH578" s="49">
        <f t="shared" si="616"/>
        <v>0</v>
      </c>
      <c r="BI578" s="79">
        <f t="shared" si="617"/>
        <v>-99985.680538793269</v>
      </c>
      <c r="BJ578" s="79">
        <f t="shared" si="653"/>
        <v>180800</v>
      </c>
      <c r="BK578" s="44">
        <f t="shared" si="618"/>
        <v>0.80825893293641915</v>
      </c>
      <c r="BL578" s="79">
        <f t="shared" si="619"/>
        <v>24858.284262686499</v>
      </c>
      <c r="BM578" s="49">
        <f t="shared" si="620"/>
        <v>205658.2842626865</v>
      </c>
      <c r="BN578" s="44">
        <f t="shared" si="621"/>
        <v>1.0568773763848465</v>
      </c>
      <c r="BO578" s="49">
        <f t="shared" si="654"/>
        <v>34672.598884735999</v>
      </c>
      <c r="BP578" s="49">
        <f t="shared" si="655"/>
        <v>215472.59888473601</v>
      </c>
      <c r="BQ578" s="44">
        <f t="shared" si="622"/>
        <v>1.1550345781877756</v>
      </c>
      <c r="BS578" s="49">
        <f t="shared" si="623"/>
        <v>99985.680538793269</v>
      </c>
      <c r="BT578" s="49">
        <f t="shared" si="639"/>
        <v>132.53999300000001</v>
      </c>
      <c r="BU578" s="49">
        <f t="shared" si="640"/>
        <v>44.59</v>
      </c>
      <c r="BV578" s="49">
        <f t="shared" si="624"/>
        <v>979.65455046865463</v>
      </c>
      <c r="BW578" s="18">
        <f t="shared" si="656"/>
        <v>3751</v>
      </c>
      <c r="BX578" s="19">
        <f t="shared" si="625"/>
        <v>0.13967889908256881</v>
      </c>
      <c r="BY578" s="49">
        <f t="shared" si="626"/>
        <v>136.83706909069053</v>
      </c>
      <c r="BZ578" s="19">
        <f t="shared" si="627"/>
        <v>1.9432067729888973</v>
      </c>
      <c r="CA578" s="19">
        <f t="shared" si="628"/>
        <v>1.9259093182958731</v>
      </c>
      <c r="CB578" s="19">
        <f t="shared" si="629"/>
        <v>1.1520500687374216</v>
      </c>
      <c r="CC578" s="19">
        <f t="shared" si="630"/>
        <v>1.8661932287442946</v>
      </c>
      <c r="CD578" s="19">
        <f t="shared" si="631"/>
        <v>0</v>
      </c>
      <c r="CE578" s="19">
        <f t="shared" si="632"/>
        <v>4.0507918211104057</v>
      </c>
      <c r="CF578" s="49">
        <f t="shared" si="633"/>
        <v>-257.55261208950105</v>
      </c>
      <c r="CG578" s="49">
        <f t="shared" si="634"/>
        <v>-195.59534651431022</v>
      </c>
      <c r="CH578" s="49">
        <f t="shared" si="635"/>
        <v>-122.30163990536494</v>
      </c>
      <c r="CI578" s="49">
        <f t="shared" si="636"/>
        <v>-237.84632140488065</v>
      </c>
      <c r="CJ578" s="49">
        <f t="shared" si="637"/>
        <v>0</v>
      </c>
      <c r="CK578" s="49">
        <f t="shared" si="638"/>
        <v>-180.62480730331299</v>
      </c>
    </row>
    <row r="579" spans="2:89" ht="12.75" customHeight="1" x14ac:dyDescent="0.2">
      <c r="B579" s="77">
        <v>43051</v>
      </c>
      <c r="C579" s="79">
        <v>132.63999899999999</v>
      </c>
      <c r="D579" s="79">
        <v>101.519997</v>
      </c>
      <c r="E579" s="79">
        <v>107.029999</v>
      </c>
      <c r="F579" s="79">
        <v>128.58000200000001</v>
      </c>
      <c r="G579" s="79">
        <v>43.869999</v>
      </c>
      <c r="H579" s="79">
        <v>44.869999</v>
      </c>
      <c r="I579" s="79"/>
      <c r="J579" s="78">
        <f>IF(inter=Weekly_2,J578+$C$5,IF(inter=Bi_weekly_2,0,IF(inter=Monthly_2,0,IF(inter=Quarterly_2,0,IF(inter=Yearly_2,0,IF(inter=None_2,0,0))))))</f>
        <v>0</v>
      </c>
      <c r="K579" s="79">
        <f t="shared" si="657"/>
        <v>0</v>
      </c>
      <c r="L579" s="79">
        <f t="shared" si="658"/>
        <v>0</v>
      </c>
      <c r="M579" s="79">
        <f t="shared" si="659"/>
        <v>0</v>
      </c>
      <c r="N579" s="79">
        <f t="shared" si="660"/>
        <v>0</v>
      </c>
      <c r="O579" s="79">
        <f t="shared" si="661"/>
        <v>0</v>
      </c>
      <c r="P579" s="79">
        <f t="shared" si="662"/>
        <v>0</v>
      </c>
      <c r="Q579" s="79"/>
      <c r="R579" s="80">
        <f t="shared" si="641"/>
        <v>0</v>
      </c>
      <c r="S579" s="80">
        <f t="shared" si="642"/>
        <v>0</v>
      </c>
      <c r="T579" s="80">
        <f t="shared" si="643"/>
        <v>0</v>
      </c>
      <c r="U579" s="80">
        <f t="shared" si="644"/>
        <v>0</v>
      </c>
      <c r="V579" s="80">
        <f t="shared" si="645"/>
        <v>0</v>
      </c>
      <c r="W579" s="80">
        <f t="shared" si="646"/>
        <v>0</v>
      </c>
      <c r="X579" s="80">
        <f t="shared" si="598"/>
        <v>477.44079781262695</v>
      </c>
      <c r="Y579" s="80">
        <f t="shared" si="599"/>
        <v>178.02284714499504</v>
      </c>
      <c r="Z579" s="80">
        <f t="shared" si="600"/>
        <v>136.24716894321142</v>
      </c>
      <c r="AA579" s="80">
        <f t="shared" si="601"/>
        <v>99.301689273480349</v>
      </c>
      <c r="AB579" s="80">
        <f t="shared" si="602"/>
        <v>1026.3396678851122</v>
      </c>
      <c r="AC579" s="80">
        <f t="shared" si="603"/>
        <v>608.20811841219995</v>
      </c>
      <c r="AD579" s="80"/>
      <c r="AE579" s="80"/>
      <c r="AF579" s="80"/>
      <c r="AG579" s="80"/>
      <c r="AH579" s="80"/>
      <c r="AI579" s="80"/>
      <c r="AJ579" s="45">
        <f t="shared" si="590"/>
        <v>0</v>
      </c>
      <c r="AK579" s="45">
        <f t="shared" si="591"/>
        <v>0</v>
      </c>
      <c r="AL579" s="45">
        <f t="shared" si="592"/>
        <v>0</v>
      </c>
      <c r="AM579" s="45">
        <f t="shared" si="593"/>
        <v>0</v>
      </c>
      <c r="AN579" s="45">
        <f t="shared" si="594"/>
        <v>0</v>
      </c>
      <c r="AO579" s="45">
        <f t="shared" si="595"/>
        <v>0</v>
      </c>
      <c r="AP579" s="80">
        <f t="shared" si="647"/>
        <v>0</v>
      </c>
      <c r="AQ579" s="80">
        <f t="shared" si="648"/>
        <v>0</v>
      </c>
      <c r="AR579" s="80">
        <f t="shared" si="649"/>
        <v>0</v>
      </c>
      <c r="AS579" s="80">
        <f t="shared" si="650"/>
        <v>0</v>
      </c>
      <c r="AT579" s="80">
        <f t="shared" si="651"/>
        <v>0</v>
      </c>
      <c r="AU579" s="80">
        <f t="shared" si="652"/>
        <v>0</v>
      </c>
      <c r="AV579" s="80">
        <f t="shared" si="604"/>
        <v>84.292985803356174</v>
      </c>
      <c r="AW579" s="80">
        <f t="shared" si="605"/>
        <v>40.270638023590074</v>
      </c>
      <c r="AX579" s="80">
        <f t="shared" si="606"/>
        <v>24.821030711402344</v>
      </c>
      <c r="AY579" s="80">
        <f t="shared" si="607"/>
        <v>18.891186145082894</v>
      </c>
      <c r="AZ579" s="80">
        <f t="shared" si="608"/>
        <v>216.21223695090583</v>
      </c>
      <c r="BA579" s="80">
        <f t="shared" si="609"/>
        <v>108.67575130346626</v>
      </c>
      <c r="BB579" s="80">
        <f t="shared" si="610"/>
        <v>561.73378361598316</v>
      </c>
      <c r="BC579" s="80">
        <f t="shared" si="611"/>
        <v>218.29348516858511</v>
      </c>
      <c r="BD579" s="80">
        <f t="shared" si="612"/>
        <v>161.06819965461375</v>
      </c>
      <c r="BE579" s="80">
        <f t="shared" si="613"/>
        <v>118.19287541856325</v>
      </c>
      <c r="BF579" s="80">
        <f t="shared" si="614"/>
        <v>1242.5519048360181</v>
      </c>
      <c r="BG579" s="80">
        <f t="shared" si="615"/>
        <v>716.88386971566615</v>
      </c>
      <c r="BH579" s="49">
        <f t="shared" si="616"/>
        <v>0</v>
      </c>
      <c r="BI579" s="79">
        <f t="shared" si="617"/>
        <v>-99985.680538793269</v>
      </c>
      <c r="BJ579" s="79">
        <f t="shared" si="653"/>
        <v>181067.18948237711</v>
      </c>
      <c r="BK579" s="44">
        <f t="shared" si="618"/>
        <v>0.8109312104159272</v>
      </c>
      <c r="BL579" s="79">
        <f t="shared" si="619"/>
        <v>24858.284262686499</v>
      </c>
      <c r="BM579" s="49">
        <f t="shared" si="620"/>
        <v>205925.47374506362</v>
      </c>
      <c r="BN579" s="44">
        <f t="shared" si="621"/>
        <v>1.0595496538643547</v>
      </c>
      <c r="BO579" s="49">
        <f t="shared" si="654"/>
        <v>34716.031719679406</v>
      </c>
      <c r="BP579" s="49">
        <f t="shared" si="655"/>
        <v>215783.22120205653</v>
      </c>
      <c r="BQ579" s="44">
        <f t="shared" si="622"/>
        <v>1.1581412462191043</v>
      </c>
      <c r="BS579" s="49">
        <f t="shared" si="623"/>
        <v>99985.680538793269</v>
      </c>
      <c r="BT579" s="49">
        <f t="shared" si="639"/>
        <v>132.63999899999999</v>
      </c>
      <c r="BU579" s="49">
        <f t="shared" si="640"/>
        <v>44.869999</v>
      </c>
      <c r="BV579" s="49">
        <f t="shared" si="624"/>
        <v>0</v>
      </c>
      <c r="BW579" s="18">
        <f t="shared" si="656"/>
        <v>3758</v>
      </c>
      <c r="BX579" s="19">
        <f t="shared" si="625"/>
        <v>0.13807339449541284</v>
      </c>
      <c r="BY579" s="49">
        <f t="shared" si="626"/>
        <v>0</v>
      </c>
      <c r="BZ579" s="19">
        <f t="shared" si="627"/>
        <v>0</v>
      </c>
      <c r="CA579" s="19">
        <f t="shared" si="628"/>
        <v>0</v>
      </c>
      <c r="CB579" s="19">
        <f t="shared" si="629"/>
        <v>0</v>
      </c>
      <c r="CC579" s="19">
        <f t="shared" si="630"/>
        <v>0</v>
      </c>
      <c r="CD579" s="19">
        <f t="shared" si="631"/>
        <v>0</v>
      </c>
      <c r="CE579" s="19">
        <f t="shared" si="632"/>
        <v>0</v>
      </c>
      <c r="CF579" s="49">
        <f t="shared" si="633"/>
        <v>0</v>
      </c>
      <c r="CG579" s="49">
        <f t="shared" si="634"/>
        <v>0</v>
      </c>
      <c r="CH579" s="49">
        <f t="shared" si="635"/>
        <v>0</v>
      </c>
      <c r="CI579" s="49">
        <f t="shared" si="636"/>
        <v>0</v>
      </c>
      <c r="CJ579" s="49">
        <f t="shared" si="637"/>
        <v>0</v>
      </c>
      <c r="CK579" s="49">
        <f t="shared" si="638"/>
        <v>0</v>
      </c>
    </row>
    <row r="580" spans="2:89" ht="12.75" customHeight="1" x14ac:dyDescent="0.2">
      <c r="B580" s="77">
        <v>43058</v>
      </c>
      <c r="C580" s="79">
        <v>134.11000100000001</v>
      </c>
      <c r="D580" s="79">
        <v>102.129997</v>
      </c>
      <c r="E580" s="79">
        <v>107.699997</v>
      </c>
      <c r="F580" s="79">
        <v>129.69000199999999</v>
      </c>
      <c r="G580" s="79">
        <v>44.720001000000003</v>
      </c>
      <c r="H580" s="79">
        <v>45.599997999999999</v>
      </c>
      <c r="I580" s="79"/>
      <c r="J580" s="78">
        <f>IF(inter=Weekly_2,J579+$C$5,IF(inter=Bi_weekly_2,J578+$C$5,IF(inter=Monthly_2,0,IF(inter=Quarterly_2,0,IF(inter=Yearly_2,0,IF(inter=None_2,0,0))))))</f>
        <v>181400</v>
      </c>
      <c r="K580" s="79">
        <f t="shared" si="657"/>
        <v>539.5858720922115</v>
      </c>
      <c r="L580" s="79">
        <f t="shared" si="658"/>
        <v>41.472844849802641</v>
      </c>
      <c r="M580" s="79">
        <f t="shared" si="659"/>
        <v>161.81968644236258</v>
      </c>
      <c r="N580" s="79">
        <f t="shared" si="660"/>
        <v>180.43628048104256</v>
      </c>
      <c r="O580" s="79">
        <f t="shared" si="661"/>
        <v>547.91097416188859</v>
      </c>
      <c r="P580" s="79">
        <f t="shared" si="662"/>
        <v>524.28898318008214</v>
      </c>
      <c r="Q580" s="79"/>
      <c r="R580" s="80">
        <f t="shared" si="641"/>
        <v>-4.0234573713276722</v>
      </c>
      <c r="S580" s="80">
        <f t="shared" si="642"/>
        <v>-0.40607897843963159</v>
      </c>
      <c r="T580" s="80">
        <f t="shared" si="643"/>
        <v>-1.5025040942421064</v>
      </c>
      <c r="U580" s="80">
        <f t="shared" si="644"/>
        <v>-1.3912890561991245</v>
      </c>
      <c r="V580" s="80">
        <f t="shared" si="645"/>
        <v>-12.252034031973491</v>
      </c>
      <c r="W580" s="80">
        <f t="shared" si="646"/>
        <v>-11.497565924895044</v>
      </c>
      <c r="X580" s="80">
        <f t="shared" si="598"/>
        <v>473.4173404412993</v>
      </c>
      <c r="Y580" s="80">
        <f t="shared" si="599"/>
        <v>177.6167681665554</v>
      </c>
      <c r="Z580" s="80">
        <f t="shared" si="600"/>
        <v>134.74466484896931</v>
      </c>
      <c r="AA580" s="80">
        <f t="shared" si="601"/>
        <v>97.910400217281222</v>
      </c>
      <c r="AB580" s="80">
        <f t="shared" si="602"/>
        <v>1014.0876338531388</v>
      </c>
      <c r="AC580" s="80">
        <f t="shared" si="603"/>
        <v>596.71055248730488</v>
      </c>
      <c r="AD580" s="80"/>
      <c r="AE580" s="80"/>
      <c r="AF580" s="80"/>
      <c r="AG580" s="80"/>
      <c r="AH580" s="80"/>
      <c r="AI580" s="80"/>
      <c r="AJ580" s="45">
        <f t="shared" si="590"/>
        <v>0</v>
      </c>
      <c r="AK580" s="45">
        <f t="shared" si="591"/>
        <v>0</v>
      </c>
      <c r="AL580" s="45">
        <f t="shared" si="592"/>
        <v>0</v>
      </c>
      <c r="AM580" s="45">
        <f t="shared" si="593"/>
        <v>0</v>
      </c>
      <c r="AN580" s="45">
        <f t="shared" si="594"/>
        <v>0</v>
      </c>
      <c r="AO580" s="45">
        <f t="shared" si="595"/>
        <v>0</v>
      </c>
      <c r="AP580" s="80">
        <f t="shared" si="647"/>
        <v>0</v>
      </c>
      <c r="AQ580" s="80">
        <f t="shared" si="648"/>
        <v>0</v>
      </c>
      <c r="AR580" s="80">
        <f t="shared" si="649"/>
        <v>0</v>
      </c>
      <c r="AS580" s="80">
        <f t="shared" si="650"/>
        <v>0</v>
      </c>
      <c r="AT580" s="80">
        <f t="shared" si="651"/>
        <v>0</v>
      </c>
      <c r="AU580" s="80">
        <f t="shared" si="652"/>
        <v>0</v>
      </c>
      <c r="AV580" s="80">
        <f t="shared" si="604"/>
        <v>84.292985803356174</v>
      </c>
      <c r="AW580" s="80">
        <f t="shared" si="605"/>
        <v>40.270638023590074</v>
      </c>
      <c r="AX580" s="80">
        <f t="shared" si="606"/>
        <v>24.821030711402344</v>
      </c>
      <c r="AY580" s="80">
        <f t="shared" si="607"/>
        <v>18.891186145082894</v>
      </c>
      <c r="AZ580" s="80">
        <f t="shared" si="608"/>
        <v>216.21223695090583</v>
      </c>
      <c r="BA580" s="80">
        <f t="shared" si="609"/>
        <v>108.67575130346626</v>
      </c>
      <c r="BB580" s="80">
        <f t="shared" si="610"/>
        <v>557.71032624465545</v>
      </c>
      <c r="BC580" s="80">
        <f t="shared" si="611"/>
        <v>217.88740619014547</v>
      </c>
      <c r="BD580" s="80">
        <f t="shared" si="612"/>
        <v>159.56569556037164</v>
      </c>
      <c r="BE580" s="80">
        <f t="shared" si="613"/>
        <v>116.80158636236412</v>
      </c>
      <c r="BF580" s="80">
        <f t="shared" si="614"/>
        <v>1230.2998708040445</v>
      </c>
      <c r="BG580" s="80">
        <f t="shared" si="615"/>
        <v>705.38630379077108</v>
      </c>
      <c r="BH580" s="49">
        <f t="shared" si="616"/>
        <v>0</v>
      </c>
      <c r="BI580" s="79">
        <f t="shared" si="617"/>
        <v>-97990.165897585874</v>
      </c>
      <c r="BJ580" s="79">
        <f t="shared" si="653"/>
        <v>181400</v>
      </c>
      <c r="BK580" s="44">
        <f t="shared" si="618"/>
        <v>0.8512061729703535</v>
      </c>
      <c r="BL580" s="79">
        <f t="shared" si="619"/>
        <v>24858.284262686499</v>
      </c>
      <c r="BM580" s="49">
        <f t="shared" si="620"/>
        <v>206258.2842626865</v>
      </c>
      <c r="BN580" s="44">
        <f t="shared" si="621"/>
        <v>1.1048875912533584</v>
      </c>
      <c r="BO580" s="49">
        <f t="shared" si="654"/>
        <v>35165.220947754839</v>
      </c>
      <c r="BP580" s="49">
        <f t="shared" si="655"/>
        <v>216565.22094775483</v>
      </c>
      <c r="BQ580" s="44">
        <f t="shared" si="622"/>
        <v>1.2100709695103213</v>
      </c>
      <c r="BS580" s="49">
        <f t="shared" si="623"/>
        <v>97990.165897585874</v>
      </c>
      <c r="BT580" s="49">
        <f t="shared" si="639"/>
        <v>134.11000100000001</v>
      </c>
      <c r="BU580" s="49">
        <f t="shared" si="640"/>
        <v>45.599997999999999</v>
      </c>
      <c r="BV580" s="49">
        <f t="shared" si="624"/>
        <v>-1995.51464120739</v>
      </c>
      <c r="BW580" s="18">
        <f t="shared" si="656"/>
        <v>3765</v>
      </c>
      <c r="BX580" s="19">
        <f t="shared" si="625"/>
        <v>0.13646788990825687</v>
      </c>
      <c r="BY580" s="49">
        <f t="shared" si="626"/>
        <v>-272.3236723666048</v>
      </c>
      <c r="BZ580" s="19">
        <f t="shared" si="627"/>
        <v>0</v>
      </c>
      <c r="CA580" s="19">
        <f t="shared" si="628"/>
        <v>0</v>
      </c>
      <c r="CB580" s="19">
        <f t="shared" si="629"/>
        <v>0</v>
      </c>
      <c r="CC580" s="19">
        <f t="shared" si="630"/>
        <v>0</v>
      </c>
      <c r="CD580" s="19">
        <f t="shared" si="631"/>
        <v>0</v>
      </c>
      <c r="CE580" s="19">
        <f t="shared" si="632"/>
        <v>0</v>
      </c>
      <c r="CF580" s="49">
        <f t="shared" si="633"/>
        <v>0</v>
      </c>
      <c r="CG580" s="49">
        <f t="shared" si="634"/>
        <v>0</v>
      </c>
      <c r="CH580" s="49">
        <f t="shared" si="635"/>
        <v>0</v>
      </c>
      <c r="CI580" s="49">
        <f t="shared" si="636"/>
        <v>0</v>
      </c>
      <c r="CJ580" s="49">
        <f t="shared" si="637"/>
        <v>0</v>
      </c>
      <c r="CK580" s="49">
        <f t="shared" si="638"/>
        <v>0</v>
      </c>
    </row>
    <row r="581" spans="2:89" ht="12.75" customHeight="1" x14ac:dyDescent="0.2">
      <c r="B581" s="77">
        <v>43065</v>
      </c>
      <c r="C581" s="79">
        <v>136.070007</v>
      </c>
      <c r="D581" s="79">
        <v>105.160004</v>
      </c>
      <c r="E581" s="79">
        <v>110.120003</v>
      </c>
      <c r="F581" s="79">
        <v>132.60000600000001</v>
      </c>
      <c r="G581" s="79">
        <v>44.43</v>
      </c>
      <c r="H581" s="79">
        <v>44.049999</v>
      </c>
      <c r="I581" s="79"/>
      <c r="J581" s="78">
        <f>IF(inter=Weekly_2,J580+$C$5,IF(inter=Bi_weekly_2,0,IF(inter=Monthly_2,0,IF(inter=Quarterly_2,0,IF(inter=Yearly_2,0,IF(inter=None_2,0,0))))))</f>
        <v>0</v>
      </c>
      <c r="K581" s="79">
        <f t="shared" si="657"/>
        <v>0</v>
      </c>
      <c r="L581" s="79">
        <f t="shared" si="658"/>
        <v>0</v>
      </c>
      <c r="M581" s="79">
        <f t="shared" si="659"/>
        <v>0</v>
      </c>
      <c r="N581" s="79">
        <f t="shared" si="660"/>
        <v>0</v>
      </c>
      <c r="O581" s="79">
        <f t="shared" si="661"/>
        <v>0</v>
      </c>
      <c r="P581" s="79">
        <f t="shared" si="662"/>
        <v>0</v>
      </c>
      <c r="Q581" s="79"/>
      <c r="R581" s="80">
        <f t="shared" si="641"/>
        <v>0</v>
      </c>
      <c r="S581" s="80">
        <f t="shared" si="642"/>
        <v>0</v>
      </c>
      <c r="T581" s="80">
        <f t="shared" si="643"/>
        <v>0</v>
      </c>
      <c r="U581" s="80">
        <f t="shared" si="644"/>
        <v>0</v>
      </c>
      <c r="V581" s="80">
        <f t="shared" si="645"/>
        <v>0</v>
      </c>
      <c r="W581" s="80">
        <f t="shared" si="646"/>
        <v>0</v>
      </c>
      <c r="X581" s="80">
        <f t="shared" si="598"/>
        <v>473.4173404412993</v>
      </c>
      <c r="Y581" s="80">
        <f t="shared" si="599"/>
        <v>177.6167681665554</v>
      </c>
      <c r="Z581" s="80">
        <f t="shared" si="600"/>
        <v>134.74466484896931</v>
      </c>
      <c r="AA581" s="80">
        <f t="shared" si="601"/>
        <v>97.910400217281222</v>
      </c>
      <c r="AB581" s="80">
        <f t="shared" si="602"/>
        <v>1014.0876338531388</v>
      </c>
      <c r="AC581" s="80">
        <f t="shared" si="603"/>
        <v>596.71055248730488</v>
      </c>
      <c r="AD581" s="80"/>
      <c r="AE581" s="80"/>
      <c r="AF581" s="80"/>
      <c r="AG581" s="80"/>
      <c r="AH581" s="80"/>
      <c r="AI581" s="80"/>
      <c r="AJ581" s="45">
        <f t="shared" si="590"/>
        <v>0</v>
      </c>
      <c r="AK581" s="45">
        <f t="shared" si="591"/>
        <v>0</v>
      </c>
      <c r="AL581" s="45">
        <f t="shared" si="592"/>
        <v>0</v>
      </c>
      <c r="AM581" s="45">
        <f t="shared" si="593"/>
        <v>0</v>
      </c>
      <c r="AN581" s="45">
        <f t="shared" si="594"/>
        <v>0</v>
      </c>
      <c r="AO581" s="45">
        <f t="shared" si="595"/>
        <v>0</v>
      </c>
      <c r="AP581" s="80">
        <f t="shared" si="647"/>
        <v>0</v>
      </c>
      <c r="AQ581" s="80">
        <f t="shared" si="648"/>
        <v>0</v>
      </c>
      <c r="AR581" s="80">
        <f t="shared" si="649"/>
        <v>0</v>
      </c>
      <c r="AS581" s="80">
        <f t="shared" si="650"/>
        <v>0</v>
      </c>
      <c r="AT581" s="80">
        <f t="shared" si="651"/>
        <v>0</v>
      </c>
      <c r="AU581" s="80">
        <f t="shared" si="652"/>
        <v>0</v>
      </c>
      <c r="AV581" s="80">
        <f t="shared" si="604"/>
        <v>84.292985803356174</v>
      </c>
      <c r="AW581" s="80">
        <f t="shared" si="605"/>
        <v>40.270638023590074</v>
      </c>
      <c r="AX581" s="80">
        <f t="shared" si="606"/>
        <v>24.821030711402344</v>
      </c>
      <c r="AY581" s="80">
        <f t="shared" si="607"/>
        <v>18.891186145082894</v>
      </c>
      <c r="AZ581" s="80">
        <f t="shared" si="608"/>
        <v>216.21223695090583</v>
      </c>
      <c r="BA581" s="80">
        <f t="shared" si="609"/>
        <v>108.67575130346626</v>
      </c>
      <c r="BB581" s="80">
        <f t="shared" si="610"/>
        <v>557.71032624465545</v>
      </c>
      <c r="BC581" s="80">
        <f t="shared" si="611"/>
        <v>217.88740619014547</v>
      </c>
      <c r="BD581" s="80">
        <f t="shared" si="612"/>
        <v>159.56569556037164</v>
      </c>
      <c r="BE581" s="80">
        <f t="shared" si="613"/>
        <v>116.80158636236412</v>
      </c>
      <c r="BF581" s="80">
        <f t="shared" si="614"/>
        <v>1230.2998708040445</v>
      </c>
      <c r="BG581" s="80">
        <f t="shared" si="615"/>
        <v>705.38630379077108</v>
      </c>
      <c r="BH581" s="49">
        <f t="shared" si="616"/>
        <v>0</v>
      </c>
      <c r="BI581" s="79">
        <f t="shared" si="617"/>
        <v>-97990.165897585874</v>
      </c>
      <c r="BJ581" s="79">
        <f t="shared" si="653"/>
        <v>182258.09624475759</v>
      </c>
      <c r="BK581" s="44">
        <f t="shared" si="618"/>
        <v>0.85996313584410178</v>
      </c>
      <c r="BL581" s="79">
        <f t="shared" si="619"/>
        <v>24858.284262686499</v>
      </c>
      <c r="BM581" s="49">
        <f t="shared" si="620"/>
        <v>207116.38050744409</v>
      </c>
      <c r="BN581" s="44">
        <f t="shared" si="621"/>
        <v>1.1136445541271063</v>
      </c>
      <c r="BO581" s="49">
        <f t="shared" si="654"/>
        <v>35336.347420515369</v>
      </c>
      <c r="BP581" s="49">
        <f t="shared" si="655"/>
        <v>217594.44366527291</v>
      </c>
      <c r="BQ581" s="44">
        <f t="shared" si="622"/>
        <v>1.2205742961257058</v>
      </c>
      <c r="BS581" s="49">
        <f t="shared" si="623"/>
        <v>97990.165897585874</v>
      </c>
      <c r="BT581" s="49">
        <f t="shared" si="639"/>
        <v>136.070007</v>
      </c>
      <c r="BU581" s="49">
        <f t="shared" si="640"/>
        <v>44.049999</v>
      </c>
      <c r="BV581" s="49">
        <f t="shared" si="624"/>
        <v>0</v>
      </c>
      <c r="BW581" s="18">
        <f t="shared" si="656"/>
        <v>3772</v>
      </c>
      <c r="BX581" s="19">
        <f t="shared" si="625"/>
        <v>0.13486238532110092</v>
      </c>
      <c r="BY581" s="49">
        <f t="shared" si="626"/>
        <v>0</v>
      </c>
      <c r="BZ581" s="19">
        <f t="shared" si="627"/>
        <v>0</v>
      </c>
      <c r="CA581" s="19">
        <f t="shared" si="628"/>
        <v>0</v>
      </c>
      <c r="CB581" s="19">
        <f t="shared" si="629"/>
        <v>0</v>
      </c>
      <c r="CC581" s="19">
        <f t="shared" si="630"/>
        <v>0</v>
      </c>
      <c r="CD581" s="19">
        <f t="shared" si="631"/>
        <v>0</v>
      </c>
      <c r="CE581" s="19">
        <f t="shared" si="632"/>
        <v>0</v>
      </c>
      <c r="CF581" s="49">
        <f t="shared" si="633"/>
        <v>0</v>
      </c>
      <c r="CG581" s="49">
        <f t="shared" si="634"/>
        <v>0</v>
      </c>
      <c r="CH581" s="49">
        <f t="shared" si="635"/>
        <v>0</v>
      </c>
      <c r="CI581" s="49">
        <f t="shared" si="636"/>
        <v>0</v>
      </c>
      <c r="CJ581" s="49">
        <f t="shared" si="637"/>
        <v>0</v>
      </c>
      <c r="CK581" s="49">
        <f t="shared" si="638"/>
        <v>0</v>
      </c>
    </row>
    <row r="582" spans="2:89" ht="12.75" customHeight="1" x14ac:dyDescent="0.2">
      <c r="B582" s="77">
        <v>43072</v>
      </c>
      <c r="C582" s="79">
        <v>136.479996</v>
      </c>
      <c r="D582" s="79">
        <v>105.730003</v>
      </c>
      <c r="E582" s="79">
        <v>110.949997</v>
      </c>
      <c r="F582" s="79">
        <v>132.470001</v>
      </c>
      <c r="G582" s="79">
        <v>44.369999</v>
      </c>
      <c r="H582" s="79">
        <v>44.139999000000003</v>
      </c>
      <c r="I582" s="79"/>
      <c r="J582" s="78">
        <f>IF(inter=Weekly_2,J581+$C$5,IF(inter=Bi_weekly_2,J580+$C$5,IF(inter=Monthly_2,J578+$C$5,IF(inter=Quarterly_2,0,IF(inter=Yearly_2,0,IF(inter=None_2,0,0))))))</f>
        <v>182000</v>
      </c>
      <c r="K582" s="79">
        <f t="shared" si="657"/>
        <v>911.99672975917201</v>
      </c>
      <c r="L582" s="79">
        <f t="shared" si="658"/>
        <v>579.42143110020697</v>
      </c>
      <c r="M582" s="79">
        <f t="shared" si="659"/>
        <v>389.92016075914944</v>
      </c>
      <c r="N582" s="79">
        <f t="shared" si="660"/>
        <v>230.1908146936421</v>
      </c>
      <c r="O582" s="79">
        <f t="shared" si="661"/>
        <v>-504.93270002386998</v>
      </c>
      <c r="P582" s="79">
        <f t="shared" si="662"/>
        <v>-961.19680992091162</v>
      </c>
      <c r="Q582" s="79"/>
      <c r="R582" s="80">
        <f t="shared" si="641"/>
        <v>-6.6822740070945779</v>
      </c>
      <c r="S582" s="80">
        <f t="shared" si="642"/>
        <v>-5.4801987577755673</v>
      </c>
      <c r="T582" s="80">
        <f t="shared" si="643"/>
        <v>-3.5143773889344896</v>
      </c>
      <c r="U582" s="80">
        <f t="shared" si="644"/>
        <v>-1.7376825919525893</v>
      </c>
      <c r="V582" s="80">
        <f t="shared" si="645"/>
        <v>11.38004758629519</v>
      </c>
      <c r="W582" s="80">
        <f t="shared" si="646"/>
        <v>21.776094963683882</v>
      </c>
      <c r="X582" s="80">
        <f t="shared" si="598"/>
        <v>466.73506643420473</v>
      </c>
      <c r="Y582" s="80">
        <f t="shared" si="599"/>
        <v>172.13656940877985</v>
      </c>
      <c r="Z582" s="80">
        <f t="shared" si="600"/>
        <v>131.23028746003482</v>
      </c>
      <c r="AA582" s="80">
        <f t="shared" si="601"/>
        <v>96.17271762532863</v>
      </c>
      <c r="AB582" s="80">
        <f t="shared" si="602"/>
        <v>1025.467681439434</v>
      </c>
      <c r="AC582" s="80">
        <f t="shared" si="603"/>
        <v>618.48664745098881</v>
      </c>
      <c r="AD582" s="80">
        <v>0.67300000000000004</v>
      </c>
      <c r="AE582" s="80"/>
      <c r="AF582" s="80"/>
      <c r="AG582" s="80"/>
      <c r="AH582" s="80"/>
      <c r="AI582" s="80"/>
      <c r="AJ582" s="45">
        <f t="shared" si="590"/>
        <v>314.11269971021977</v>
      </c>
      <c r="AK582" s="45">
        <f t="shared" si="591"/>
        <v>0</v>
      </c>
      <c r="AL582" s="45">
        <f t="shared" si="592"/>
        <v>0</v>
      </c>
      <c r="AM582" s="45">
        <f t="shared" si="593"/>
        <v>0</v>
      </c>
      <c r="AN582" s="45">
        <f t="shared" si="594"/>
        <v>0</v>
      </c>
      <c r="AO582" s="45">
        <f t="shared" si="595"/>
        <v>0</v>
      </c>
      <c r="AP582" s="80">
        <f t="shared" si="647"/>
        <v>2.3015292271126664</v>
      </c>
      <c r="AQ582" s="80">
        <f t="shared" si="648"/>
        <v>0</v>
      </c>
      <c r="AR582" s="80">
        <f t="shared" si="649"/>
        <v>0</v>
      </c>
      <c r="AS582" s="80">
        <f t="shared" si="650"/>
        <v>0</v>
      </c>
      <c r="AT582" s="80">
        <f t="shared" si="651"/>
        <v>0</v>
      </c>
      <c r="AU582" s="80">
        <f t="shared" si="652"/>
        <v>0</v>
      </c>
      <c r="AV582" s="80">
        <f t="shared" si="604"/>
        <v>86.594515030468841</v>
      </c>
      <c r="AW582" s="80">
        <f t="shared" si="605"/>
        <v>40.270638023590074</v>
      </c>
      <c r="AX582" s="80">
        <f t="shared" si="606"/>
        <v>24.821030711402344</v>
      </c>
      <c r="AY582" s="80">
        <f t="shared" si="607"/>
        <v>18.891186145082894</v>
      </c>
      <c r="AZ582" s="80">
        <f t="shared" si="608"/>
        <v>216.21223695090583</v>
      </c>
      <c r="BA582" s="80">
        <f t="shared" si="609"/>
        <v>108.67575130346626</v>
      </c>
      <c r="BB582" s="80">
        <f t="shared" si="610"/>
        <v>553.32958146467354</v>
      </c>
      <c r="BC582" s="80">
        <f t="shared" si="611"/>
        <v>212.40720743236992</v>
      </c>
      <c r="BD582" s="80">
        <f t="shared" si="612"/>
        <v>156.05131817143717</v>
      </c>
      <c r="BE582" s="80">
        <f t="shared" si="613"/>
        <v>115.06390377041153</v>
      </c>
      <c r="BF582" s="80">
        <f t="shared" si="614"/>
        <v>1241.6799183903399</v>
      </c>
      <c r="BG582" s="80">
        <f t="shared" si="615"/>
        <v>727.16239875445513</v>
      </c>
      <c r="BH582" s="49">
        <f t="shared" si="616"/>
        <v>314.11269971021977</v>
      </c>
      <c r="BI582" s="79">
        <f t="shared" si="617"/>
        <v>-97344.766271218483</v>
      </c>
      <c r="BJ582" s="79">
        <f t="shared" si="653"/>
        <v>182000</v>
      </c>
      <c r="BK582" s="44">
        <f t="shared" si="618"/>
        <v>0.86964340222378422</v>
      </c>
      <c r="BL582" s="79">
        <f t="shared" si="619"/>
        <v>25172.396962396717</v>
      </c>
      <c r="BM582" s="49">
        <f t="shared" si="620"/>
        <v>207172.39696239671</v>
      </c>
      <c r="BN582" s="44">
        <f t="shared" si="621"/>
        <v>1.1282335445254494</v>
      </c>
      <c r="BO582" s="49">
        <f t="shared" si="654"/>
        <v>35722.926765682438</v>
      </c>
      <c r="BP582" s="49">
        <f t="shared" si="655"/>
        <v>217722.92676568241</v>
      </c>
      <c r="BQ582" s="44">
        <f t="shared" si="622"/>
        <v>1.2366166678039026</v>
      </c>
      <c r="BS582" s="49">
        <f t="shared" si="623"/>
        <v>97344.766271218483</v>
      </c>
      <c r="BT582" s="49">
        <f t="shared" si="639"/>
        <v>136.479996</v>
      </c>
      <c r="BU582" s="49">
        <f t="shared" si="640"/>
        <v>44.139999000000003</v>
      </c>
      <c r="BV582" s="49">
        <f t="shared" si="624"/>
        <v>-959.51232607760869</v>
      </c>
      <c r="BW582" s="18">
        <f t="shared" si="656"/>
        <v>3779</v>
      </c>
      <c r="BX582" s="19">
        <f t="shared" si="625"/>
        <v>0.13325688073394495</v>
      </c>
      <c r="BY582" s="49">
        <f t="shared" si="626"/>
        <v>-127.861619598874</v>
      </c>
      <c r="BZ582" s="19">
        <f t="shared" si="627"/>
        <v>0</v>
      </c>
      <c r="CA582" s="19">
        <f t="shared" si="628"/>
        <v>0</v>
      </c>
      <c r="CB582" s="19">
        <f t="shared" si="629"/>
        <v>0</v>
      </c>
      <c r="CC582" s="19">
        <f t="shared" si="630"/>
        <v>0</v>
      </c>
      <c r="CD582" s="19">
        <f t="shared" si="631"/>
        <v>11.38004758629519</v>
      </c>
      <c r="CE582" s="19">
        <f t="shared" si="632"/>
        <v>21.776094963683882</v>
      </c>
      <c r="CF582" s="49">
        <f t="shared" si="633"/>
        <v>0</v>
      </c>
      <c r="CG582" s="49">
        <f t="shared" si="634"/>
        <v>0</v>
      </c>
      <c r="CH582" s="49">
        <f t="shared" si="635"/>
        <v>0</v>
      </c>
      <c r="CI582" s="49">
        <f t="shared" si="636"/>
        <v>0</v>
      </c>
      <c r="CJ582" s="49">
        <f t="shared" si="637"/>
        <v>-504.93270002386998</v>
      </c>
      <c r="CK582" s="49">
        <f t="shared" si="638"/>
        <v>-961.19680992091162</v>
      </c>
    </row>
    <row r="583" spans="2:89" ht="12.75" customHeight="1" x14ac:dyDescent="0.2">
      <c r="B583" s="77">
        <v>43079</v>
      </c>
      <c r="C583" s="79">
        <v>137.550003</v>
      </c>
      <c r="D583" s="79">
        <v>106.43</v>
      </c>
      <c r="E583" s="79">
        <v>111.029999</v>
      </c>
      <c r="F583" s="79">
        <v>132.21000699999999</v>
      </c>
      <c r="G583" s="79">
        <v>44.439999</v>
      </c>
      <c r="H583" s="79">
        <v>44.43</v>
      </c>
      <c r="I583" s="79"/>
      <c r="J583" s="78">
        <f>IF(inter=Weekly_2,J582+$C$5,IF(inter=Bi_weekly_2,0,IF(inter=Monthly_2,0,IF(inter=Quarterly_2,0,IF(inter=Yearly_2,0,IF(inter=None_2,0,0))))))</f>
        <v>0</v>
      </c>
      <c r="K583" s="79">
        <f t="shared" si="657"/>
        <v>0</v>
      </c>
      <c r="L583" s="79">
        <f t="shared" si="658"/>
        <v>0</v>
      </c>
      <c r="M583" s="79">
        <f t="shared" si="659"/>
        <v>0</v>
      </c>
      <c r="N583" s="79">
        <f t="shared" si="660"/>
        <v>0</v>
      </c>
      <c r="O583" s="79">
        <f t="shared" si="661"/>
        <v>0</v>
      </c>
      <c r="P583" s="79">
        <f t="shared" si="662"/>
        <v>0</v>
      </c>
      <c r="Q583" s="79"/>
      <c r="R583" s="80">
        <f t="shared" si="641"/>
        <v>0</v>
      </c>
      <c r="S583" s="80">
        <f t="shared" si="642"/>
        <v>0</v>
      </c>
      <c r="T583" s="80">
        <f t="shared" si="643"/>
        <v>0</v>
      </c>
      <c r="U583" s="80">
        <f t="shared" si="644"/>
        <v>0</v>
      </c>
      <c r="V583" s="80">
        <f t="shared" si="645"/>
        <v>0</v>
      </c>
      <c r="W583" s="80">
        <f t="shared" si="646"/>
        <v>0</v>
      </c>
      <c r="X583" s="80">
        <f t="shared" si="598"/>
        <v>466.73506643420473</v>
      </c>
      <c r="Y583" s="80">
        <f t="shared" si="599"/>
        <v>172.13656940877985</v>
      </c>
      <c r="Z583" s="80">
        <f t="shared" si="600"/>
        <v>131.23028746003482</v>
      </c>
      <c r="AA583" s="80">
        <f t="shared" si="601"/>
        <v>96.17271762532863</v>
      </c>
      <c r="AB583" s="80">
        <f t="shared" si="602"/>
        <v>1025.467681439434</v>
      </c>
      <c r="AC583" s="80">
        <f t="shared" si="603"/>
        <v>618.48664745098881</v>
      </c>
      <c r="AD583" s="80"/>
      <c r="AE583" s="80"/>
      <c r="AF583" s="80"/>
      <c r="AG583" s="80"/>
      <c r="AH583" s="80"/>
      <c r="AI583" s="80"/>
      <c r="AJ583" s="45">
        <f t="shared" si="590"/>
        <v>0</v>
      </c>
      <c r="AK583" s="45">
        <f t="shared" si="591"/>
        <v>0</v>
      </c>
      <c r="AL583" s="45">
        <f t="shared" si="592"/>
        <v>0</v>
      </c>
      <c r="AM583" s="45">
        <f t="shared" si="593"/>
        <v>0</v>
      </c>
      <c r="AN583" s="45">
        <f t="shared" si="594"/>
        <v>0</v>
      </c>
      <c r="AO583" s="45">
        <f t="shared" si="595"/>
        <v>0</v>
      </c>
      <c r="AP583" s="80">
        <f t="shared" si="647"/>
        <v>0</v>
      </c>
      <c r="AQ583" s="80">
        <f t="shared" si="648"/>
        <v>0</v>
      </c>
      <c r="AR583" s="80">
        <f t="shared" si="649"/>
        <v>0</v>
      </c>
      <c r="AS583" s="80">
        <f t="shared" si="650"/>
        <v>0</v>
      </c>
      <c r="AT583" s="80">
        <f t="shared" si="651"/>
        <v>0</v>
      </c>
      <c r="AU583" s="80">
        <f t="shared" si="652"/>
        <v>0</v>
      </c>
      <c r="AV583" s="80">
        <f t="shared" si="604"/>
        <v>86.594515030468841</v>
      </c>
      <c r="AW583" s="80">
        <f t="shared" si="605"/>
        <v>40.270638023590074</v>
      </c>
      <c r="AX583" s="80">
        <f t="shared" si="606"/>
        <v>24.821030711402344</v>
      </c>
      <c r="AY583" s="80">
        <f t="shared" si="607"/>
        <v>18.891186145082894</v>
      </c>
      <c r="AZ583" s="80">
        <f t="shared" si="608"/>
        <v>216.21223695090583</v>
      </c>
      <c r="BA583" s="80">
        <f t="shared" si="609"/>
        <v>108.67575130346626</v>
      </c>
      <c r="BB583" s="80">
        <f t="shared" si="610"/>
        <v>553.32958146467354</v>
      </c>
      <c r="BC583" s="80">
        <f t="shared" si="611"/>
        <v>212.40720743236992</v>
      </c>
      <c r="BD583" s="80">
        <f t="shared" si="612"/>
        <v>156.05131817143717</v>
      </c>
      <c r="BE583" s="80">
        <f t="shared" si="613"/>
        <v>115.06390377041153</v>
      </c>
      <c r="BF583" s="80">
        <f t="shared" si="614"/>
        <v>1241.6799183903399</v>
      </c>
      <c r="BG583" s="80">
        <f t="shared" si="615"/>
        <v>727.16239875445513</v>
      </c>
      <c r="BH583" s="49">
        <f t="shared" si="616"/>
        <v>0</v>
      </c>
      <c r="BI583" s="79">
        <f t="shared" si="617"/>
        <v>-97344.766271218483</v>
      </c>
      <c r="BJ583" s="79">
        <f t="shared" si="653"/>
        <v>182856.5437102658</v>
      </c>
      <c r="BK583" s="44">
        <f t="shared" si="618"/>
        <v>0.87844247528210695</v>
      </c>
      <c r="BL583" s="79">
        <f t="shared" si="619"/>
        <v>25172.396962396717</v>
      </c>
      <c r="BM583" s="49">
        <f t="shared" si="620"/>
        <v>208028.94067266252</v>
      </c>
      <c r="BN583" s="44">
        <f t="shared" si="621"/>
        <v>1.1370326175837722</v>
      </c>
      <c r="BO583" s="49">
        <f t="shared" si="654"/>
        <v>35887.49789891993</v>
      </c>
      <c r="BP583" s="49">
        <f t="shared" si="655"/>
        <v>218744.04160918575</v>
      </c>
      <c r="BQ583" s="44">
        <f t="shared" si="622"/>
        <v>1.2471063415954893</v>
      </c>
      <c r="BS583" s="49">
        <f t="shared" si="623"/>
        <v>97344.766271218483</v>
      </c>
      <c r="BT583" s="49">
        <f t="shared" si="639"/>
        <v>137.550003</v>
      </c>
      <c r="BU583" s="49">
        <f t="shared" si="640"/>
        <v>44.43</v>
      </c>
      <c r="BV583" s="49">
        <f t="shared" si="624"/>
        <v>0</v>
      </c>
      <c r="BW583" s="18">
        <f t="shared" si="656"/>
        <v>3786</v>
      </c>
      <c r="BX583" s="19">
        <f t="shared" si="625"/>
        <v>0.13165137614678898</v>
      </c>
      <c r="BY583" s="49">
        <f t="shared" si="626"/>
        <v>0</v>
      </c>
      <c r="BZ583" s="19">
        <f t="shared" si="627"/>
        <v>0</v>
      </c>
      <c r="CA583" s="19">
        <f t="shared" si="628"/>
        <v>0</v>
      </c>
      <c r="CB583" s="19">
        <f t="shared" si="629"/>
        <v>0</v>
      </c>
      <c r="CC583" s="19">
        <f t="shared" si="630"/>
        <v>0</v>
      </c>
      <c r="CD583" s="19">
        <f t="shared" si="631"/>
        <v>0</v>
      </c>
      <c r="CE583" s="19">
        <f t="shared" si="632"/>
        <v>0</v>
      </c>
      <c r="CF583" s="49">
        <f t="shared" si="633"/>
        <v>0</v>
      </c>
      <c r="CG583" s="49">
        <f t="shared" si="634"/>
        <v>0</v>
      </c>
      <c r="CH583" s="49">
        <f t="shared" si="635"/>
        <v>0</v>
      </c>
      <c r="CI583" s="49">
        <f t="shared" si="636"/>
        <v>0</v>
      </c>
      <c r="CJ583" s="49">
        <f t="shared" si="637"/>
        <v>0</v>
      </c>
      <c r="CK583" s="49">
        <f t="shared" si="638"/>
        <v>0</v>
      </c>
    </row>
    <row r="584" spans="2:89" ht="12.75" customHeight="1" x14ac:dyDescent="0.2">
      <c r="B584" s="77">
        <v>43086</v>
      </c>
      <c r="C584" s="79">
        <v>137.520004</v>
      </c>
      <c r="D584" s="79">
        <v>106.44000200000001</v>
      </c>
      <c r="E584" s="79">
        <v>111.620003</v>
      </c>
      <c r="F584" s="79">
        <v>132.929993</v>
      </c>
      <c r="G584" s="79">
        <v>44.59</v>
      </c>
      <c r="H584" s="79">
        <v>45.43</v>
      </c>
      <c r="I584" s="79"/>
      <c r="J584" s="78">
        <f>IF(inter=Weekly_2,J583+$C$5,IF(inter=Bi_weekly_2,J582+$C$5,IF(inter=Monthly_2,0,IF(inter=Quarterly_2,0,IF(inter=Yearly_2,0,IF(inter=None_2,0,0))))))</f>
        <v>182600</v>
      </c>
      <c r="K584" s="79">
        <f t="shared" si="657"/>
        <v>275.4082029721103</v>
      </c>
      <c r="L584" s="79">
        <f t="shared" si="658"/>
        <v>62.21679214366668</v>
      </c>
      <c r="M584" s="79">
        <f t="shared" si="659"/>
        <v>39.92507997994835</v>
      </c>
      <c r="N584" s="79">
        <f t="shared" si="660"/>
        <v>2.2386807259099442</v>
      </c>
      <c r="O584" s="79">
        <f t="shared" si="661"/>
        <v>75.603915384366701</v>
      </c>
      <c r="P584" s="79">
        <f t="shared" si="662"/>
        <v>707.84839369842302</v>
      </c>
      <c r="Q584" s="79"/>
      <c r="R584" s="80">
        <f t="shared" si="641"/>
        <v>-2.002677392098609</v>
      </c>
      <c r="S584" s="80">
        <f t="shared" si="642"/>
        <v>-0.5845245300133185</v>
      </c>
      <c r="T584" s="80">
        <f t="shared" si="643"/>
        <v>-0.35768750140553529</v>
      </c>
      <c r="U584" s="80">
        <f t="shared" si="644"/>
        <v>-1.6841050506261172E-2</v>
      </c>
      <c r="V584" s="80">
        <f t="shared" si="645"/>
        <v>-1.695535218308291</v>
      </c>
      <c r="W584" s="80">
        <f t="shared" si="646"/>
        <v>-15.581078443724918</v>
      </c>
      <c r="X584" s="80">
        <f t="shared" si="598"/>
        <v>464.73238904210609</v>
      </c>
      <c r="Y584" s="80">
        <f t="shared" si="599"/>
        <v>171.55204487876654</v>
      </c>
      <c r="Z584" s="80">
        <f t="shared" si="600"/>
        <v>130.87259995862928</v>
      </c>
      <c r="AA584" s="80">
        <f t="shared" si="601"/>
        <v>96.155876574822372</v>
      </c>
      <c r="AB584" s="80">
        <f t="shared" si="602"/>
        <v>1023.7721462211258</v>
      </c>
      <c r="AC584" s="80">
        <f t="shared" si="603"/>
        <v>602.90556900726392</v>
      </c>
      <c r="AD584" s="80"/>
      <c r="AE584" s="80"/>
      <c r="AF584" s="80"/>
      <c r="AG584" s="80">
        <v>0.86199999999999999</v>
      </c>
      <c r="AH584" s="80">
        <v>0.432</v>
      </c>
      <c r="AI584" s="80">
        <v>0.21199999999999999</v>
      </c>
      <c r="AJ584" s="45">
        <f t="shared" si="590"/>
        <v>0</v>
      </c>
      <c r="AK584" s="45">
        <f t="shared" si="591"/>
        <v>0</v>
      </c>
      <c r="AL584" s="45">
        <f t="shared" si="592"/>
        <v>0</v>
      </c>
      <c r="AM584" s="45">
        <f t="shared" si="593"/>
        <v>82.886365607496884</v>
      </c>
      <c r="AN584" s="45">
        <f t="shared" si="594"/>
        <v>442.26956716752636</v>
      </c>
      <c r="AO584" s="45">
        <f t="shared" si="595"/>
        <v>127.81598062953995</v>
      </c>
      <c r="AP584" s="80">
        <f t="shared" si="647"/>
        <v>0</v>
      </c>
      <c r="AQ584" s="80">
        <f t="shared" si="648"/>
        <v>0</v>
      </c>
      <c r="AR584" s="80">
        <f t="shared" si="649"/>
        <v>0</v>
      </c>
      <c r="AS584" s="80">
        <f t="shared" si="650"/>
        <v>0.62353396503599368</v>
      </c>
      <c r="AT584" s="80">
        <f t="shared" si="651"/>
        <v>9.9185819055287361</v>
      </c>
      <c r="AU584" s="80">
        <f t="shared" si="652"/>
        <v>2.813470848107857</v>
      </c>
      <c r="AV584" s="80">
        <f t="shared" si="604"/>
        <v>86.594515030468841</v>
      </c>
      <c r="AW584" s="80">
        <f t="shared" si="605"/>
        <v>40.270638023590074</v>
      </c>
      <c r="AX584" s="80">
        <f t="shared" si="606"/>
        <v>24.821030711402344</v>
      </c>
      <c r="AY584" s="80">
        <f t="shared" si="607"/>
        <v>19.514720110118887</v>
      </c>
      <c r="AZ584" s="80">
        <f t="shared" si="608"/>
        <v>226.13081885643456</v>
      </c>
      <c r="BA584" s="80">
        <f t="shared" si="609"/>
        <v>111.48922215157411</v>
      </c>
      <c r="BB584" s="80">
        <f t="shared" si="610"/>
        <v>551.32690407257496</v>
      </c>
      <c r="BC584" s="80">
        <f t="shared" si="611"/>
        <v>211.8226829023566</v>
      </c>
      <c r="BD584" s="80">
        <f t="shared" si="612"/>
        <v>155.69363067003161</v>
      </c>
      <c r="BE584" s="80">
        <f t="shared" si="613"/>
        <v>115.67059668494126</v>
      </c>
      <c r="BF584" s="80">
        <f t="shared" si="614"/>
        <v>1249.9029650775603</v>
      </c>
      <c r="BG584" s="80">
        <f t="shared" si="615"/>
        <v>714.39479115883807</v>
      </c>
      <c r="BH584" s="49">
        <f t="shared" si="616"/>
        <v>652.97191340456322</v>
      </c>
      <c r="BI584" s="79">
        <f t="shared" si="617"/>
        <v>-96181.525206314051</v>
      </c>
      <c r="BJ584" s="79">
        <f t="shared" si="653"/>
        <v>182600</v>
      </c>
      <c r="BK584" s="44">
        <f t="shared" si="618"/>
        <v>0.89849349558882663</v>
      </c>
      <c r="BL584" s="79">
        <f t="shared" si="619"/>
        <v>25825.36887580128</v>
      </c>
      <c r="BM584" s="49">
        <f t="shared" si="620"/>
        <v>208425.36887580127</v>
      </c>
      <c r="BN584" s="44">
        <f t="shared" si="621"/>
        <v>1.1670000390274402</v>
      </c>
      <c r="BO584" s="49">
        <f t="shared" si="654"/>
        <v>36707.628550399655</v>
      </c>
      <c r="BP584" s="49">
        <f t="shared" si="655"/>
        <v>219307.62855039965</v>
      </c>
      <c r="BQ584" s="44">
        <f t="shared" si="622"/>
        <v>1.2801429700763647</v>
      </c>
      <c r="BS584" s="49">
        <f t="shared" si="623"/>
        <v>96181.525206314051</v>
      </c>
      <c r="BT584" s="49">
        <f t="shared" si="639"/>
        <v>137.520004</v>
      </c>
      <c r="BU584" s="49">
        <f t="shared" si="640"/>
        <v>45.43</v>
      </c>
      <c r="BV584" s="49">
        <f t="shared" si="624"/>
        <v>-1816.2129783089881</v>
      </c>
      <c r="BW584" s="18">
        <f t="shared" si="656"/>
        <v>3793</v>
      </c>
      <c r="BX584" s="19">
        <f t="shared" si="625"/>
        <v>0.13004587155963301</v>
      </c>
      <c r="BY584" s="49">
        <f t="shared" si="626"/>
        <v>-236.1909997021092</v>
      </c>
      <c r="BZ584" s="19">
        <f t="shared" si="627"/>
        <v>0</v>
      </c>
      <c r="CA584" s="19">
        <f t="shared" si="628"/>
        <v>0</v>
      </c>
      <c r="CB584" s="19">
        <f t="shared" si="629"/>
        <v>0</v>
      </c>
      <c r="CC584" s="19">
        <f t="shared" si="630"/>
        <v>0</v>
      </c>
      <c r="CD584" s="19">
        <f t="shared" si="631"/>
        <v>0</v>
      </c>
      <c r="CE584" s="19">
        <f t="shared" si="632"/>
        <v>0</v>
      </c>
      <c r="CF584" s="49">
        <f t="shared" si="633"/>
        <v>0</v>
      </c>
      <c r="CG584" s="49">
        <f t="shared" si="634"/>
        <v>0</v>
      </c>
      <c r="CH584" s="49">
        <f t="shared" si="635"/>
        <v>0</v>
      </c>
      <c r="CI584" s="49">
        <f t="shared" si="636"/>
        <v>0</v>
      </c>
      <c r="CJ584" s="49">
        <f t="shared" si="637"/>
        <v>0</v>
      </c>
      <c r="CK584" s="49">
        <f t="shared" si="638"/>
        <v>0</v>
      </c>
    </row>
    <row r="585" spans="2:89" ht="12.75" customHeight="1" x14ac:dyDescent="0.2">
      <c r="B585" s="77">
        <v>43093</v>
      </c>
      <c r="C585" s="79">
        <v>137.25</v>
      </c>
      <c r="D585" s="79">
        <v>106.32</v>
      </c>
      <c r="E585" s="79">
        <v>111.57</v>
      </c>
      <c r="F585" s="79">
        <v>132.779999</v>
      </c>
      <c r="G585" s="79">
        <v>44.860000999999997</v>
      </c>
      <c r="H585" s="79">
        <v>45.91</v>
      </c>
      <c r="I585" s="79"/>
      <c r="J585" s="78">
        <f>IF(inter=Weekly_2,J584+$C$5,IF(inter=Bi_weekly_2,0,IF(inter=Monthly_2,0,IF(inter=Quarterly_2,0,IF(inter=Yearly_2,0,IF(inter=None_2,0,0))))))</f>
        <v>0</v>
      </c>
      <c r="K585" s="79">
        <f t="shared" si="657"/>
        <v>0</v>
      </c>
      <c r="L585" s="79">
        <f t="shared" si="658"/>
        <v>0</v>
      </c>
      <c r="M585" s="79">
        <f t="shared" si="659"/>
        <v>0</v>
      </c>
      <c r="N585" s="79">
        <f t="shared" si="660"/>
        <v>0</v>
      </c>
      <c r="O585" s="79">
        <f t="shared" si="661"/>
        <v>0</v>
      </c>
      <c r="P585" s="79">
        <f t="shared" si="662"/>
        <v>0</v>
      </c>
      <c r="Q585" s="79"/>
      <c r="R585" s="80">
        <f t="shared" si="641"/>
        <v>0</v>
      </c>
      <c r="S585" s="80">
        <f t="shared" si="642"/>
        <v>0</v>
      </c>
      <c r="T585" s="80">
        <f t="shared" si="643"/>
        <v>0</v>
      </c>
      <c r="U585" s="80">
        <f t="shared" si="644"/>
        <v>0</v>
      </c>
      <c r="V585" s="80">
        <f t="shared" si="645"/>
        <v>0</v>
      </c>
      <c r="W585" s="80">
        <f t="shared" si="646"/>
        <v>0</v>
      </c>
      <c r="X585" s="80">
        <f t="shared" si="598"/>
        <v>464.73238904210609</v>
      </c>
      <c r="Y585" s="80">
        <f t="shared" si="599"/>
        <v>171.55204487876654</v>
      </c>
      <c r="Z585" s="80">
        <f t="shared" si="600"/>
        <v>130.87259995862928</v>
      </c>
      <c r="AA585" s="80">
        <f t="shared" si="601"/>
        <v>96.155876574822372</v>
      </c>
      <c r="AB585" s="80">
        <f t="shared" si="602"/>
        <v>1023.7721462211258</v>
      </c>
      <c r="AC585" s="80">
        <f t="shared" si="603"/>
        <v>602.90556900726392</v>
      </c>
      <c r="AD585" s="80"/>
      <c r="AE585" s="80"/>
      <c r="AF585" s="80"/>
      <c r="AG585" s="80"/>
      <c r="AH585" s="80"/>
      <c r="AI585" s="80"/>
      <c r="AJ585" s="45">
        <f t="shared" si="590"/>
        <v>0</v>
      </c>
      <c r="AK585" s="45">
        <f t="shared" si="591"/>
        <v>0</v>
      </c>
      <c r="AL585" s="45">
        <f t="shared" si="592"/>
        <v>0</v>
      </c>
      <c r="AM585" s="45">
        <f t="shared" si="593"/>
        <v>0</v>
      </c>
      <c r="AN585" s="45">
        <f t="shared" si="594"/>
        <v>0</v>
      </c>
      <c r="AO585" s="45">
        <f t="shared" si="595"/>
        <v>0</v>
      </c>
      <c r="AP585" s="80">
        <f t="shared" si="647"/>
        <v>0</v>
      </c>
      <c r="AQ585" s="80">
        <f t="shared" si="648"/>
        <v>0</v>
      </c>
      <c r="AR585" s="80">
        <f t="shared" si="649"/>
        <v>0</v>
      </c>
      <c r="AS585" s="80">
        <f t="shared" si="650"/>
        <v>0</v>
      </c>
      <c r="AT585" s="80">
        <f t="shared" si="651"/>
        <v>0</v>
      </c>
      <c r="AU585" s="80">
        <f t="shared" si="652"/>
        <v>0</v>
      </c>
      <c r="AV585" s="80">
        <f t="shared" si="604"/>
        <v>86.594515030468841</v>
      </c>
      <c r="AW585" s="80">
        <f t="shared" si="605"/>
        <v>40.270638023590074</v>
      </c>
      <c r="AX585" s="80">
        <f t="shared" si="606"/>
        <v>24.821030711402344</v>
      </c>
      <c r="AY585" s="80">
        <f t="shared" si="607"/>
        <v>19.514720110118887</v>
      </c>
      <c r="AZ585" s="80">
        <f t="shared" si="608"/>
        <v>226.13081885643456</v>
      </c>
      <c r="BA585" s="80">
        <f t="shared" si="609"/>
        <v>111.48922215157411</v>
      </c>
      <c r="BB585" s="80">
        <f t="shared" si="610"/>
        <v>551.32690407257496</v>
      </c>
      <c r="BC585" s="80">
        <f t="shared" si="611"/>
        <v>211.8226829023566</v>
      </c>
      <c r="BD585" s="80">
        <f t="shared" si="612"/>
        <v>155.69363067003161</v>
      </c>
      <c r="BE585" s="80">
        <f t="shared" si="613"/>
        <v>115.67059668494126</v>
      </c>
      <c r="BF585" s="80">
        <f t="shared" si="614"/>
        <v>1249.9029650775603</v>
      </c>
      <c r="BG585" s="80">
        <f t="shared" si="615"/>
        <v>714.39479115883807</v>
      </c>
      <c r="BH585" s="49">
        <f t="shared" si="616"/>
        <v>0</v>
      </c>
      <c r="BI585" s="79">
        <f t="shared" si="617"/>
        <v>-96181.525206314051</v>
      </c>
      <c r="BJ585" s="79">
        <f t="shared" si="653"/>
        <v>182998.78115674815</v>
      </c>
      <c r="BK585" s="44">
        <f t="shared" si="618"/>
        <v>0.90263962610498094</v>
      </c>
      <c r="BL585" s="79">
        <f t="shared" si="619"/>
        <v>25825.36887580128</v>
      </c>
      <c r="BM585" s="49">
        <f t="shared" si="620"/>
        <v>208824.15003254943</v>
      </c>
      <c r="BN585" s="44">
        <f t="shared" si="621"/>
        <v>1.1711461695435945</v>
      </c>
      <c r="BO585" s="49">
        <f t="shared" si="654"/>
        <v>36789.817284787212</v>
      </c>
      <c r="BP585" s="49">
        <f t="shared" si="655"/>
        <v>219788.59844153537</v>
      </c>
      <c r="BQ585" s="44">
        <f t="shared" si="622"/>
        <v>1.2851436174470945</v>
      </c>
      <c r="BS585" s="49">
        <f t="shared" si="623"/>
        <v>96181.525206314051</v>
      </c>
      <c r="BT585" s="49">
        <f t="shared" si="639"/>
        <v>137.25</v>
      </c>
      <c r="BU585" s="49">
        <f t="shared" si="640"/>
        <v>45.91</v>
      </c>
      <c r="BV585" s="49">
        <f t="shared" si="624"/>
        <v>0</v>
      </c>
      <c r="BW585" s="18">
        <f t="shared" si="656"/>
        <v>3800</v>
      </c>
      <c r="BX585" s="19">
        <f t="shared" si="625"/>
        <v>0.12844036697247707</v>
      </c>
      <c r="BY585" s="49">
        <f t="shared" si="626"/>
        <v>0</v>
      </c>
      <c r="BZ585" s="19">
        <f t="shared" si="627"/>
        <v>0</v>
      </c>
      <c r="CA585" s="19">
        <f t="shared" si="628"/>
        <v>0</v>
      </c>
      <c r="CB585" s="19">
        <f t="shared" si="629"/>
        <v>0</v>
      </c>
      <c r="CC585" s="19">
        <f t="shared" si="630"/>
        <v>0</v>
      </c>
      <c r="CD585" s="19">
        <f t="shared" si="631"/>
        <v>0</v>
      </c>
      <c r="CE585" s="19">
        <f t="shared" si="632"/>
        <v>0</v>
      </c>
      <c r="CF585" s="49">
        <f t="shared" si="633"/>
        <v>0</v>
      </c>
      <c r="CG585" s="49">
        <f t="shared" si="634"/>
        <v>0</v>
      </c>
      <c r="CH585" s="49">
        <f t="shared" si="635"/>
        <v>0</v>
      </c>
      <c r="CI585" s="49">
        <f t="shared" si="636"/>
        <v>0</v>
      </c>
      <c r="CJ585" s="49">
        <f t="shared" si="637"/>
        <v>0</v>
      </c>
      <c r="CK585" s="49">
        <f t="shared" si="638"/>
        <v>0</v>
      </c>
    </row>
    <row r="586" spans="2:89" ht="12.75" customHeight="1" x14ac:dyDescent="0.2">
      <c r="B586" s="77">
        <v>43100</v>
      </c>
      <c r="C586" s="79">
        <v>140.36999499999999</v>
      </c>
      <c r="D586" s="79">
        <v>108.209999</v>
      </c>
      <c r="E586" s="79">
        <v>113.43</v>
      </c>
      <c r="F586" s="79">
        <v>134.55999800000001</v>
      </c>
      <c r="G586" s="79">
        <v>46.16</v>
      </c>
      <c r="H586" s="79">
        <v>47.860000999999997</v>
      </c>
      <c r="I586" s="79"/>
      <c r="J586" s="78">
        <f>IF(inter=Weekly_2,J585+$C$5,IF(inter=Bi_weekly_2,J584+$C$5,IF(inter=Monthly_2,J582+$C$5,IF(inter=Quarterly_2,0,IF(inter=Yearly_2,0,IF(inter=None_2,0,0))))))</f>
        <v>183200</v>
      </c>
      <c r="K586" s="79">
        <f t="shared" si="657"/>
        <v>1114.4831261784857</v>
      </c>
      <c r="L586" s="79">
        <f t="shared" si="658"/>
        <v>243.64660477928192</v>
      </c>
      <c r="M586" s="79">
        <f t="shared" si="659"/>
        <v>188.87901330731984</v>
      </c>
      <c r="N586" s="79">
        <f t="shared" si="660"/>
        <v>114.73455959634339</v>
      </c>
      <c r="O586" s="79">
        <f t="shared" si="661"/>
        <v>1457.3222695671648</v>
      </c>
      <c r="P586" s="79">
        <f t="shared" si="662"/>
        <v>1375.0611355932197</v>
      </c>
      <c r="Q586" s="79"/>
      <c r="R586" s="80">
        <f t="shared" si="641"/>
        <v>-7.9396107849009026</v>
      </c>
      <c r="S586" s="80">
        <f t="shared" si="642"/>
        <v>-2.2516089735781435</v>
      </c>
      <c r="T586" s="80">
        <f t="shared" si="643"/>
        <v>-1.6651592462956875</v>
      </c>
      <c r="U586" s="80">
        <f t="shared" si="644"/>
        <v>-0.85266469457247895</v>
      </c>
      <c r="V586" s="80">
        <f t="shared" si="645"/>
        <v>-31.571106359773935</v>
      </c>
      <c r="W586" s="80">
        <f t="shared" si="646"/>
        <v>-28.730904865489236</v>
      </c>
      <c r="X586" s="80">
        <f t="shared" si="598"/>
        <v>456.79277825720521</v>
      </c>
      <c r="Y586" s="80">
        <f t="shared" si="599"/>
        <v>169.30043590518841</v>
      </c>
      <c r="Z586" s="80">
        <f t="shared" si="600"/>
        <v>129.20744071233358</v>
      </c>
      <c r="AA586" s="80">
        <f t="shared" si="601"/>
        <v>95.30321188024989</v>
      </c>
      <c r="AB586" s="80">
        <f t="shared" si="602"/>
        <v>992.20103986135189</v>
      </c>
      <c r="AC586" s="80">
        <f t="shared" si="603"/>
        <v>574.17466414177466</v>
      </c>
      <c r="AD586" s="80"/>
      <c r="AE586" s="80"/>
      <c r="AF586" s="80"/>
      <c r="AG586" s="80"/>
      <c r="AH586" s="80"/>
      <c r="AI586" s="80"/>
      <c r="AJ586" s="45">
        <f t="shared" si="590"/>
        <v>0</v>
      </c>
      <c r="AK586" s="45">
        <f t="shared" si="591"/>
        <v>0</v>
      </c>
      <c r="AL586" s="45">
        <f t="shared" si="592"/>
        <v>0</v>
      </c>
      <c r="AM586" s="45">
        <f t="shared" si="593"/>
        <v>0</v>
      </c>
      <c r="AN586" s="45">
        <f t="shared" si="594"/>
        <v>0</v>
      </c>
      <c r="AO586" s="45">
        <f t="shared" si="595"/>
        <v>0</v>
      </c>
      <c r="AP586" s="80">
        <f t="shared" si="647"/>
        <v>0</v>
      </c>
      <c r="AQ586" s="80">
        <f t="shared" si="648"/>
        <v>0</v>
      </c>
      <c r="AR586" s="80">
        <f t="shared" si="649"/>
        <v>0</v>
      </c>
      <c r="AS586" s="80">
        <f t="shared" si="650"/>
        <v>0</v>
      </c>
      <c r="AT586" s="80">
        <f t="shared" si="651"/>
        <v>0</v>
      </c>
      <c r="AU586" s="80">
        <f t="shared" si="652"/>
        <v>0</v>
      </c>
      <c r="AV586" s="80">
        <f t="shared" si="604"/>
        <v>86.594515030468841</v>
      </c>
      <c r="AW586" s="80">
        <f t="shared" si="605"/>
        <v>40.270638023590074</v>
      </c>
      <c r="AX586" s="80">
        <f t="shared" si="606"/>
        <v>24.821030711402344</v>
      </c>
      <c r="AY586" s="80">
        <f t="shared" si="607"/>
        <v>19.514720110118887</v>
      </c>
      <c r="AZ586" s="80">
        <f t="shared" si="608"/>
        <v>226.13081885643456</v>
      </c>
      <c r="BA586" s="80">
        <f t="shared" si="609"/>
        <v>111.48922215157411</v>
      </c>
      <c r="BB586" s="80">
        <f t="shared" si="610"/>
        <v>543.38729328767408</v>
      </c>
      <c r="BC586" s="80">
        <f t="shared" si="611"/>
        <v>209.57107392877847</v>
      </c>
      <c r="BD586" s="80">
        <f t="shared" si="612"/>
        <v>154.02847142373594</v>
      </c>
      <c r="BE586" s="80">
        <f t="shared" si="613"/>
        <v>114.81793199036878</v>
      </c>
      <c r="BF586" s="80">
        <f t="shared" si="614"/>
        <v>1218.3318587177864</v>
      </c>
      <c r="BG586" s="80">
        <f t="shared" si="615"/>
        <v>685.66388629334881</v>
      </c>
      <c r="BH586" s="49">
        <f t="shared" si="616"/>
        <v>0</v>
      </c>
      <c r="BI586" s="79">
        <f t="shared" si="617"/>
        <v>-91687.398497292248</v>
      </c>
      <c r="BJ586" s="79">
        <f t="shared" si="653"/>
        <v>183200</v>
      </c>
      <c r="BK586" s="44">
        <f t="shared" si="618"/>
        <v>0.99809355486741547</v>
      </c>
      <c r="BL586" s="79">
        <f t="shared" si="619"/>
        <v>25825.36887580128</v>
      </c>
      <c r="BM586" s="49">
        <f t="shared" si="620"/>
        <v>209025.36887580127</v>
      </c>
      <c r="BN586" s="44">
        <f t="shared" si="621"/>
        <v>1.2797611482233768</v>
      </c>
      <c r="BO586" s="49">
        <f t="shared" si="654"/>
        <v>37728.380436775486</v>
      </c>
      <c r="BP586" s="49">
        <f t="shared" si="655"/>
        <v>220928.38043677548</v>
      </c>
      <c r="BQ586" s="44">
        <f t="shared" si="622"/>
        <v>1.4095828222599209</v>
      </c>
      <c r="BS586" s="49">
        <f t="shared" si="623"/>
        <v>91687.398497292248</v>
      </c>
      <c r="BT586" s="49">
        <f t="shared" si="639"/>
        <v>140.36999499999999</v>
      </c>
      <c r="BU586" s="49">
        <f t="shared" si="640"/>
        <v>47.860000999999997</v>
      </c>
      <c r="BV586" s="49">
        <f t="shared" si="624"/>
        <v>-4494.1267090218153</v>
      </c>
      <c r="BW586" s="18">
        <f t="shared" si="656"/>
        <v>3807</v>
      </c>
      <c r="BX586" s="19">
        <f t="shared" si="625"/>
        <v>0.1268348623853211</v>
      </c>
      <c r="BY586" s="49">
        <f t="shared" si="626"/>
        <v>-570.011942680978</v>
      </c>
      <c r="BZ586" s="19">
        <f t="shared" si="627"/>
        <v>0</v>
      </c>
      <c r="CA586" s="19">
        <f t="shared" si="628"/>
        <v>0</v>
      </c>
      <c r="CB586" s="19">
        <f t="shared" si="629"/>
        <v>0</v>
      </c>
      <c r="CC586" s="19">
        <f t="shared" si="630"/>
        <v>0</v>
      </c>
      <c r="CD586" s="19">
        <f t="shared" si="631"/>
        <v>0</v>
      </c>
      <c r="CE586" s="19">
        <f t="shared" si="632"/>
        <v>0</v>
      </c>
      <c r="CF586" s="49">
        <f t="shared" si="633"/>
        <v>0</v>
      </c>
      <c r="CG586" s="49">
        <f t="shared" si="634"/>
        <v>0</v>
      </c>
      <c r="CH586" s="49">
        <f t="shared" si="635"/>
        <v>0</v>
      </c>
      <c r="CI586" s="49">
        <f t="shared" si="636"/>
        <v>0</v>
      </c>
      <c r="CJ586" s="49">
        <f t="shared" si="637"/>
        <v>0</v>
      </c>
      <c r="CK586" s="49">
        <f t="shared" si="638"/>
        <v>0</v>
      </c>
    </row>
    <row r="587" spans="2:89" ht="12.75" customHeight="1" x14ac:dyDescent="0.2">
      <c r="B587" s="77">
        <v>43107</v>
      </c>
      <c r="C587" s="79">
        <v>142.75</v>
      </c>
      <c r="D587" s="79">
        <v>110.050003</v>
      </c>
      <c r="E587" s="79">
        <v>115.639999</v>
      </c>
      <c r="F587" s="79">
        <v>136.949997</v>
      </c>
      <c r="G587" s="79">
        <v>46.799999</v>
      </c>
      <c r="H587" s="79">
        <v>48.470001000000003</v>
      </c>
      <c r="I587" s="79"/>
      <c r="J587" s="78">
        <f>IF(inter=Weekly_2,J586+$C$5,IF(inter=Bi_weekly_2,0,IF(inter=Monthly_2,0,IF(inter=Quarterly_2,0,IF(inter=Yearly_2,0,IF(inter=None_2,0,0))))))</f>
        <v>0</v>
      </c>
      <c r="K587" s="79">
        <f t="shared" si="657"/>
        <v>0</v>
      </c>
      <c r="L587" s="79">
        <f t="shared" si="658"/>
        <v>0</v>
      </c>
      <c r="M587" s="79">
        <f t="shared" si="659"/>
        <v>0</v>
      </c>
      <c r="N587" s="79">
        <f t="shared" si="660"/>
        <v>0</v>
      </c>
      <c r="O587" s="79">
        <f t="shared" si="661"/>
        <v>0</v>
      </c>
      <c r="P587" s="79">
        <f t="shared" si="662"/>
        <v>0</v>
      </c>
      <c r="Q587" s="79"/>
      <c r="R587" s="80">
        <f t="shared" si="641"/>
        <v>0</v>
      </c>
      <c r="S587" s="80">
        <f t="shared" si="642"/>
        <v>0</v>
      </c>
      <c r="T587" s="80">
        <f t="shared" si="643"/>
        <v>0</v>
      </c>
      <c r="U587" s="80">
        <f t="shared" si="644"/>
        <v>0</v>
      </c>
      <c r="V587" s="80">
        <f t="shared" si="645"/>
        <v>0</v>
      </c>
      <c r="W587" s="80">
        <f t="shared" si="646"/>
        <v>0</v>
      </c>
      <c r="X587" s="80">
        <f t="shared" si="598"/>
        <v>456.79277825720521</v>
      </c>
      <c r="Y587" s="80">
        <f t="shared" si="599"/>
        <v>169.30043590518841</v>
      </c>
      <c r="Z587" s="80">
        <f t="shared" si="600"/>
        <v>129.20744071233358</v>
      </c>
      <c r="AA587" s="80">
        <f t="shared" si="601"/>
        <v>95.30321188024989</v>
      </c>
      <c r="AB587" s="80">
        <f t="shared" si="602"/>
        <v>992.20103986135189</v>
      </c>
      <c r="AC587" s="80">
        <f t="shared" si="603"/>
        <v>574.17466414177466</v>
      </c>
      <c r="AD587" s="80"/>
      <c r="AE587" s="80"/>
      <c r="AF587" s="80"/>
      <c r="AG587" s="80"/>
      <c r="AH587" s="80"/>
      <c r="AI587" s="80"/>
      <c r="AJ587" s="45">
        <f t="shared" si="590"/>
        <v>0</v>
      </c>
      <c r="AK587" s="45">
        <f t="shared" si="591"/>
        <v>0</v>
      </c>
      <c r="AL587" s="45">
        <f t="shared" si="592"/>
        <v>0</v>
      </c>
      <c r="AM587" s="45">
        <f t="shared" si="593"/>
        <v>0</v>
      </c>
      <c r="AN587" s="45">
        <f t="shared" si="594"/>
        <v>0</v>
      </c>
      <c r="AO587" s="45">
        <f t="shared" si="595"/>
        <v>0</v>
      </c>
      <c r="AP587" s="80">
        <f t="shared" si="647"/>
        <v>0</v>
      </c>
      <c r="AQ587" s="80">
        <f t="shared" si="648"/>
        <v>0</v>
      </c>
      <c r="AR587" s="80">
        <f t="shared" si="649"/>
        <v>0</v>
      </c>
      <c r="AS587" s="80">
        <f t="shared" si="650"/>
        <v>0</v>
      </c>
      <c r="AT587" s="80">
        <f t="shared" si="651"/>
        <v>0</v>
      </c>
      <c r="AU587" s="80">
        <f t="shared" si="652"/>
        <v>0</v>
      </c>
      <c r="AV587" s="80">
        <f t="shared" si="604"/>
        <v>86.594515030468841</v>
      </c>
      <c r="AW587" s="80">
        <f t="shared" si="605"/>
        <v>40.270638023590074</v>
      </c>
      <c r="AX587" s="80">
        <f t="shared" si="606"/>
        <v>24.821030711402344</v>
      </c>
      <c r="AY587" s="80">
        <f t="shared" si="607"/>
        <v>19.514720110118887</v>
      </c>
      <c r="AZ587" s="80">
        <f t="shared" si="608"/>
        <v>226.13081885643456</v>
      </c>
      <c r="BA587" s="80">
        <f t="shared" si="609"/>
        <v>111.48922215157411</v>
      </c>
      <c r="BB587" s="80">
        <f t="shared" si="610"/>
        <v>543.38729328767408</v>
      </c>
      <c r="BC587" s="80">
        <f t="shared" si="611"/>
        <v>209.57107392877847</v>
      </c>
      <c r="BD587" s="80">
        <f t="shared" si="612"/>
        <v>154.02847142373594</v>
      </c>
      <c r="BE587" s="80">
        <f t="shared" si="613"/>
        <v>114.81793199036878</v>
      </c>
      <c r="BF587" s="80">
        <f t="shared" si="614"/>
        <v>1218.3318587177864</v>
      </c>
      <c r="BG587" s="80">
        <f t="shared" si="615"/>
        <v>685.66388629334881</v>
      </c>
      <c r="BH587" s="49">
        <f t="shared" si="616"/>
        <v>0</v>
      </c>
      <c r="BI587" s="79">
        <f t="shared" si="617"/>
        <v>-91687.398497292248</v>
      </c>
      <c r="BJ587" s="79">
        <f t="shared" si="653"/>
        <v>186097.25968977745</v>
      </c>
      <c r="BK587" s="44">
        <f t="shared" si="618"/>
        <v>1.0296928775362009</v>
      </c>
      <c r="BL587" s="79">
        <f t="shared" si="619"/>
        <v>25825.36887580128</v>
      </c>
      <c r="BM587" s="49">
        <f t="shared" si="620"/>
        <v>211922.62856557872</v>
      </c>
      <c r="BN587" s="44">
        <f t="shared" si="621"/>
        <v>1.3113604708921622</v>
      </c>
      <c r="BO587" s="49">
        <f t="shared" si="654"/>
        <v>38322.800488615918</v>
      </c>
      <c r="BP587" s="49">
        <f t="shared" si="655"/>
        <v>224420.06017839338</v>
      </c>
      <c r="BQ587" s="44">
        <f t="shared" si="622"/>
        <v>1.4476652610557061</v>
      </c>
      <c r="BS587" s="49">
        <f t="shared" si="623"/>
        <v>91687.398497292248</v>
      </c>
      <c r="BT587" s="49">
        <f t="shared" si="639"/>
        <v>142.75</v>
      </c>
      <c r="BU587" s="49">
        <f t="shared" si="640"/>
        <v>48.470001000000003</v>
      </c>
      <c r="BV587" s="49">
        <f t="shared" si="624"/>
        <v>0</v>
      </c>
      <c r="BW587" s="18">
        <f t="shared" si="656"/>
        <v>3814</v>
      </c>
      <c r="BX587" s="19">
        <f t="shared" si="625"/>
        <v>0.12522935779816513</v>
      </c>
      <c r="BY587" s="49">
        <f t="shared" si="626"/>
        <v>0</v>
      </c>
      <c r="BZ587" s="19">
        <f t="shared" si="627"/>
        <v>0</v>
      </c>
      <c r="CA587" s="19">
        <f t="shared" si="628"/>
        <v>0</v>
      </c>
      <c r="CB587" s="19">
        <f t="shared" si="629"/>
        <v>0</v>
      </c>
      <c r="CC587" s="19">
        <f t="shared" si="630"/>
        <v>0</v>
      </c>
      <c r="CD587" s="19">
        <f t="shared" si="631"/>
        <v>0</v>
      </c>
      <c r="CE587" s="19">
        <f t="shared" si="632"/>
        <v>0</v>
      </c>
      <c r="CF587" s="49">
        <f t="shared" si="633"/>
        <v>0</v>
      </c>
      <c r="CG587" s="49">
        <f t="shared" si="634"/>
        <v>0</v>
      </c>
      <c r="CH587" s="49">
        <f t="shared" si="635"/>
        <v>0</v>
      </c>
      <c r="CI587" s="49">
        <f t="shared" si="636"/>
        <v>0</v>
      </c>
      <c r="CJ587" s="49">
        <f t="shared" si="637"/>
        <v>0</v>
      </c>
      <c r="CK587" s="49">
        <f t="shared" si="638"/>
        <v>0</v>
      </c>
    </row>
    <row r="588" spans="2:89" ht="12.75" customHeight="1" x14ac:dyDescent="0.2">
      <c r="B588" s="77">
        <v>43114</v>
      </c>
      <c r="C588" s="79">
        <v>143.91999799999999</v>
      </c>
      <c r="D588" s="79">
        <v>110.83000199999999</v>
      </c>
      <c r="E588" s="79">
        <v>116.110001</v>
      </c>
      <c r="F588" s="79">
        <v>137.38000500000001</v>
      </c>
      <c r="G588" s="79">
        <v>47.099997999999999</v>
      </c>
      <c r="H588" s="79">
        <v>49.450001</v>
      </c>
      <c r="I588" s="79"/>
      <c r="J588" s="78">
        <f>IF(inter=Weekly_2,J587+$C$5,IF(inter=Bi_weekly_2,J586+$C$5,IF(inter=Monthly_2,0,IF(inter=Quarterly_2,J575+$C$5,IF(inter=Yearly_2,0,IF(inter=None_2,0,0))))))</f>
        <v>183800</v>
      </c>
      <c r="K588" s="79">
        <f t="shared" si="657"/>
        <v>1411.6157331914219</v>
      </c>
      <c r="L588" s="79">
        <f t="shared" si="658"/>
        <v>383.56764997290156</v>
      </c>
      <c r="M588" s="79">
        <f t="shared" si="659"/>
        <v>298.27607031649131</v>
      </c>
      <c r="N588" s="79">
        <f t="shared" si="660"/>
        <v>226.75572462478885</v>
      </c>
      <c r="O588" s="79">
        <f t="shared" si="661"/>
        <v>782.66699306759256</v>
      </c>
      <c r="P588" s="79">
        <f t="shared" si="662"/>
        <v>822.93771598541935</v>
      </c>
      <c r="Q588" s="79"/>
      <c r="R588" s="80">
        <f t="shared" si="641"/>
        <v>-9.8083362479717522</v>
      </c>
      <c r="S588" s="80">
        <f t="shared" si="642"/>
        <v>-3.4608647753421642</v>
      </c>
      <c r="T588" s="80">
        <f t="shared" si="643"/>
        <v>-2.5689093768631639</v>
      </c>
      <c r="U588" s="80">
        <f t="shared" si="644"/>
        <v>-1.650572982762585</v>
      </c>
      <c r="V588" s="80">
        <f t="shared" si="645"/>
        <v>-16.617134316387713</v>
      </c>
      <c r="W588" s="80">
        <f t="shared" si="646"/>
        <v>-16.641813940214465</v>
      </c>
      <c r="X588" s="80">
        <f t="shared" si="598"/>
        <v>446.98444200923348</v>
      </c>
      <c r="Y588" s="80">
        <f t="shared" si="599"/>
        <v>165.83957112984623</v>
      </c>
      <c r="Z588" s="80">
        <f t="shared" si="600"/>
        <v>126.63853133547042</v>
      </c>
      <c r="AA588" s="80">
        <f t="shared" si="601"/>
        <v>93.652638897487307</v>
      </c>
      <c r="AB588" s="80">
        <f t="shared" si="602"/>
        <v>975.58390554496418</v>
      </c>
      <c r="AC588" s="80">
        <f t="shared" si="603"/>
        <v>557.53285020156022</v>
      </c>
      <c r="AD588" s="80"/>
      <c r="AE588" s="80"/>
      <c r="AF588" s="80"/>
      <c r="AG588" s="80"/>
      <c r="AH588" s="80"/>
      <c r="AI588" s="80"/>
      <c r="AJ588" s="45">
        <f t="shared" si="590"/>
        <v>0</v>
      </c>
      <c r="AK588" s="45">
        <f t="shared" si="591"/>
        <v>0</v>
      </c>
      <c r="AL588" s="45">
        <f t="shared" si="592"/>
        <v>0</v>
      </c>
      <c r="AM588" s="45">
        <f t="shared" si="593"/>
        <v>0</v>
      </c>
      <c r="AN588" s="45">
        <f t="shared" si="594"/>
        <v>0</v>
      </c>
      <c r="AO588" s="45">
        <f t="shared" si="595"/>
        <v>0</v>
      </c>
      <c r="AP588" s="80">
        <f t="shared" si="647"/>
        <v>0</v>
      </c>
      <c r="AQ588" s="80">
        <f t="shared" si="648"/>
        <v>0</v>
      </c>
      <c r="AR588" s="80">
        <f t="shared" si="649"/>
        <v>0</v>
      </c>
      <c r="AS588" s="80">
        <f t="shared" si="650"/>
        <v>0</v>
      </c>
      <c r="AT588" s="80">
        <f t="shared" si="651"/>
        <v>0</v>
      </c>
      <c r="AU588" s="80">
        <f t="shared" si="652"/>
        <v>0</v>
      </c>
      <c r="AV588" s="80">
        <f t="shared" si="604"/>
        <v>86.594515030468841</v>
      </c>
      <c r="AW588" s="80">
        <f t="shared" si="605"/>
        <v>40.270638023590074</v>
      </c>
      <c r="AX588" s="80">
        <f t="shared" si="606"/>
        <v>24.821030711402344</v>
      </c>
      <c r="AY588" s="80">
        <f t="shared" si="607"/>
        <v>19.514720110118887</v>
      </c>
      <c r="AZ588" s="80">
        <f t="shared" si="608"/>
        <v>226.13081885643456</v>
      </c>
      <c r="BA588" s="80">
        <f t="shared" si="609"/>
        <v>111.48922215157411</v>
      </c>
      <c r="BB588" s="80">
        <f t="shared" si="610"/>
        <v>533.57895703970235</v>
      </c>
      <c r="BC588" s="80">
        <f t="shared" si="611"/>
        <v>206.1102091534363</v>
      </c>
      <c r="BD588" s="80">
        <f t="shared" si="612"/>
        <v>151.45956204687275</v>
      </c>
      <c r="BE588" s="80">
        <f t="shared" si="613"/>
        <v>113.16735900760619</v>
      </c>
      <c r="BF588" s="80">
        <f t="shared" si="614"/>
        <v>1201.7147244013988</v>
      </c>
      <c r="BG588" s="80">
        <f t="shared" si="615"/>
        <v>669.02207235313438</v>
      </c>
      <c r="BH588" s="49">
        <f t="shared" si="616"/>
        <v>0</v>
      </c>
      <c r="BI588" s="79">
        <f t="shared" si="617"/>
        <v>-87761.578610133627</v>
      </c>
      <c r="BJ588" s="79">
        <f t="shared" si="653"/>
        <v>183800</v>
      </c>
      <c r="BK588" s="44">
        <f t="shared" si="618"/>
        <v>1.0943105503662514</v>
      </c>
      <c r="BL588" s="79">
        <f t="shared" si="619"/>
        <v>25825.36887580128</v>
      </c>
      <c r="BM588" s="49">
        <f t="shared" si="620"/>
        <v>209625.36887580127</v>
      </c>
      <c r="BN588" s="44">
        <f t="shared" si="621"/>
        <v>1.3885779198096184</v>
      </c>
      <c r="BO588" s="49">
        <f t="shared" si="654"/>
        <v>38652.682832476494</v>
      </c>
      <c r="BP588" s="49">
        <f t="shared" si="655"/>
        <v>222452.68283247651</v>
      </c>
      <c r="BQ588" s="44">
        <f t="shared" si="622"/>
        <v>1.5347388499093202</v>
      </c>
      <c r="BS588" s="49">
        <f t="shared" si="623"/>
        <v>87761.578610133627</v>
      </c>
      <c r="BT588" s="49">
        <f t="shared" si="639"/>
        <v>143.91999799999999</v>
      </c>
      <c r="BU588" s="49">
        <f t="shared" si="640"/>
        <v>49.450001</v>
      </c>
      <c r="BV588" s="49">
        <f t="shared" si="624"/>
        <v>-3925.8198871586155</v>
      </c>
      <c r="BW588" s="18">
        <f t="shared" si="656"/>
        <v>3821</v>
      </c>
      <c r="BX588" s="19">
        <f t="shared" si="625"/>
        <v>0.12362385321100917</v>
      </c>
      <c r="BY588" s="49">
        <f t="shared" si="626"/>
        <v>-485.32498146295728</v>
      </c>
      <c r="BZ588" s="19">
        <f t="shared" si="627"/>
        <v>0</v>
      </c>
      <c r="CA588" s="19">
        <f t="shared" si="628"/>
        <v>0</v>
      </c>
      <c r="CB588" s="19">
        <f t="shared" si="629"/>
        <v>0</v>
      </c>
      <c r="CC588" s="19">
        <f t="shared" si="630"/>
        <v>0</v>
      </c>
      <c r="CD588" s="19">
        <f t="shared" si="631"/>
        <v>0</v>
      </c>
      <c r="CE588" s="19">
        <f t="shared" si="632"/>
        <v>0</v>
      </c>
      <c r="CF588" s="49">
        <f t="shared" si="633"/>
        <v>0</v>
      </c>
      <c r="CG588" s="49">
        <f t="shared" si="634"/>
        <v>0</v>
      </c>
      <c r="CH588" s="49">
        <f t="shared" si="635"/>
        <v>0</v>
      </c>
      <c r="CI588" s="49">
        <f t="shared" si="636"/>
        <v>0</v>
      </c>
      <c r="CJ588" s="49">
        <f t="shared" si="637"/>
        <v>0</v>
      </c>
      <c r="CK588" s="49">
        <f t="shared" si="638"/>
        <v>0</v>
      </c>
    </row>
    <row r="589" spans="2:89" ht="12.75" customHeight="1" x14ac:dyDescent="0.2">
      <c r="B589" s="77">
        <v>43121</v>
      </c>
      <c r="C589" s="79">
        <v>146.86000100000001</v>
      </c>
      <c r="D589" s="79">
        <v>113.260002</v>
      </c>
      <c r="E589" s="79">
        <v>117.779999</v>
      </c>
      <c r="F589" s="79">
        <v>138.199997</v>
      </c>
      <c r="G589" s="79">
        <v>47.880001</v>
      </c>
      <c r="H589" s="79">
        <v>50.98</v>
      </c>
      <c r="I589" s="79"/>
      <c r="J589" s="78">
        <f>IF(inter=Weekly_2,J588+$C$5,IF(inter=Bi_weekly_2,0,IF(inter=Monthly_2,0,IF(inter=Quarterly_2,0,IF(inter=Yearly_2,0,IF(inter=None_2,0,0))))))</f>
        <v>0</v>
      </c>
      <c r="K589" s="79">
        <f t="shared" si="657"/>
        <v>0</v>
      </c>
      <c r="L589" s="79">
        <f t="shared" si="658"/>
        <v>0</v>
      </c>
      <c r="M589" s="79">
        <f t="shared" si="659"/>
        <v>0</v>
      </c>
      <c r="N589" s="79">
        <f t="shared" si="660"/>
        <v>0</v>
      </c>
      <c r="O589" s="79">
        <f t="shared" si="661"/>
        <v>0</v>
      </c>
      <c r="P589" s="79">
        <f t="shared" si="662"/>
        <v>0</v>
      </c>
      <c r="Q589" s="79"/>
      <c r="R589" s="80">
        <f t="shared" si="641"/>
        <v>0</v>
      </c>
      <c r="S589" s="80">
        <f t="shared" si="642"/>
        <v>0</v>
      </c>
      <c r="T589" s="80">
        <f t="shared" si="643"/>
        <v>0</v>
      </c>
      <c r="U589" s="80">
        <f t="shared" si="644"/>
        <v>0</v>
      </c>
      <c r="V589" s="80">
        <f t="shared" si="645"/>
        <v>0</v>
      </c>
      <c r="W589" s="80">
        <f t="shared" si="646"/>
        <v>0</v>
      </c>
      <c r="X589" s="80">
        <f t="shared" si="598"/>
        <v>446.98444200923348</v>
      </c>
      <c r="Y589" s="80">
        <f t="shared" si="599"/>
        <v>165.83957112984623</v>
      </c>
      <c r="Z589" s="80">
        <f t="shared" si="600"/>
        <v>126.63853133547042</v>
      </c>
      <c r="AA589" s="80">
        <f t="shared" si="601"/>
        <v>93.652638897487307</v>
      </c>
      <c r="AB589" s="80">
        <f t="shared" si="602"/>
        <v>975.58390554496418</v>
      </c>
      <c r="AC589" s="80">
        <f t="shared" si="603"/>
        <v>557.53285020156022</v>
      </c>
      <c r="AD589" s="80"/>
      <c r="AE589" s="80"/>
      <c r="AF589" s="80"/>
      <c r="AG589" s="80"/>
      <c r="AH589" s="80"/>
      <c r="AI589" s="80"/>
      <c r="AJ589" s="45">
        <f t="shared" si="590"/>
        <v>0</v>
      </c>
      <c r="AK589" s="45">
        <f t="shared" si="591"/>
        <v>0</v>
      </c>
      <c r="AL589" s="45">
        <f t="shared" si="592"/>
        <v>0</v>
      </c>
      <c r="AM589" s="45">
        <f t="shared" si="593"/>
        <v>0</v>
      </c>
      <c r="AN589" s="45">
        <f t="shared" si="594"/>
        <v>0</v>
      </c>
      <c r="AO589" s="45">
        <f t="shared" si="595"/>
        <v>0</v>
      </c>
      <c r="AP589" s="80">
        <f t="shared" si="647"/>
        <v>0</v>
      </c>
      <c r="AQ589" s="80">
        <f t="shared" si="648"/>
        <v>0</v>
      </c>
      <c r="AR589" s="80">
        <f t="shared" si="649"/>
        <v>0</v>
      </c>
      <c r="AS589" s="80">
        <f t="shared" si="650"/>
        <v>0</v>
      </c>
      <c r="AT589" s="80">
        <f t="shared" si="651"/>
        <v>0</v>
      </c>
      <c r="AU589" s="80">
        <f t="shared" si="652"/>
        <v>0</v>
      </c>
      <c r="AV589" s="80">
        <f t="shared" si="604"/>
        <v>86.594515030468841</v>
      </c>
      <c r="AW589" s="80">
        <f t="shared" si="605"/>
        <v>40.270638023590074</v>
      </c>
      <c r="AX589" s="80">
        <f t="shared" si="606"/>
        <v>24.821030711402344</v>
      </c>
      <c r="AY589" s="80">
        <f t="shared" si="607"/>
        <v>19.514720110118887</v>
      </c>
      <c r="AZ589" s="80">
        <f t="shared" si="608"/>
        <v>226.13081885643456</v>
      </c>
      <c r="BA589" s="80">
        <f t="shared" si="609"/>
        <v>111.48922215157411</v>
      </c>
      <c r="BB589" s="80">
        <f t="shared" si="610"/>
        <v>533.57895703970235</v>
      </c>
      <c r="BC589" s="80">
        <f t="shared" si="611"/>
        <v>206.1102091534363</v>
      </c>
      <c r="BD589" s="80">
        <f t="shared" si="612"/>
        <v>151.45956204687275</v>
      </c>
      <c r="BE589" s="80">
        <f t="shared" si="613"/>
        <v>113.16735900760619</v>
      </c>
      <c r="BF589" s="80">
        <f t="shared" si="614"/>
        <v>1201.7147244013988</v>
      </c>
      <c r="BG589" s="80">
        <f t="shared" si="615"/>
        <v>669.02207235313438</v>
      </c>
      <c r="BH589" s="49">
        <f t="shared" si="616"/>
        <v>0</v>
      </c>
      <c r="BI589" s="79">
        <f t="shared" si="617"/>
        <v>-87761.578610133627</v>
      </c>
      <c r="BJ589" s="79">
        <f t="shared" si="653"/>
        <v>187419.38934338634</v>
      </c>
      <c r="BK589" s="44">
        <f t="shared" si="618"/>
        <v>1.1355517108000774</v>
      </c>
      <c r="BL589" s="79">
        <f t="shared" si="619"/>
        <v>25825.36887580128</v>
      </c>
      <c r="BM589" s="49">
        <f t="shared" si="620"/>
        <v>213244.75821918761</v>
      </c>
      <c r="BN589" s="44">
        <f t="shared" si="621"/>
        <v>1.4298190802434441</v>
      </c>
      <c r="BO589" s="49">
        <f t="shared" si="654"/>
        <v>39409.542718368612</v>
      </c>
      <c r="BP589" s="49">
        <f t="shared" si="655"/>
        <v>226828.93206175498</v>
      </c>
      <c r="BQ589" s="44">
        <f t="shared" si="622"/>
        <v>1.5846040562853272</v>
      </c>
      <c r="BS589" s="49">
        <f t="shared" si="623"/>
        <v>87761.578610133627</v>
      </c>
      <c r="BT589" s="49">
        <f t="shared" si="639"/>
        <v>146.86000100000001</v>
      </c>
      <c r="BU589" s="49">
        <f t="shared" si="640"/>
        <v>50.98</v>
      </c>
      <c r="BV589" s="49">
        <f t="shared" si="624"/>
        <v>0</v>
      </c>
      <c r="BW589" s="18">
        <f t="shared" si="656"/>
        <v>3828</v>
      </c>
      <c r="BX589" s="19">
        <f t="shared" si="625"/>
        <v>0.12201834862385322</v>
      </c>
      <c r="BY589" s="49">
        <f t="shared" si="626"/>
        <v>0</v>
      </c>
      <c r="BZ589" s="19">
        <f t="shared" si="627"/>
        <v>0</v>
      </c>
      <c r="CA589" s="19">
        <f t="shared" si="628"/>
        <v>0</v>
      </c>
      <c r="CB589" s="19">
        <f t="shared" si="629"/>
        <v>0</v>
      </c>
      <c r="CC589" s="19">
        <f t="shared" si="630"/>
        <v>0</v>
      </c>
      <c r="CD589" s="19">
        <f t="shared" si="631"/>
        <v>0</v>
      </c>
      <c r="CE589" s="19">
        <f t="shared" si="632"/>
        <v>0</v>
      </c>
      <c r="CF589" s="49">
        <f t="shared" si="633"/>
        <v>0</v>
      </c>
      <c r="CG589" s="49">
        <f t="shared" si="634"/>
        <v>0</v>
      </c>
      <c r="CH589" s="49">
        <f t="shared" si="635"/>
        <v>0</v>
      </c>
      <c r="CI589" s="49">
        <f t="shared" si="636"/>
        <v>0</v>
      </c>
      <c r="CJ589" s="49">
        <f t="shared" si="637"/>
        <v>0</v>
      </c>
      <c r="CK589" s="49">
        <f t="shared" si="638"/>
        <v>0</v>
      </c>
    </row>
    <row r="590" spans="2:89" ht="12.75" customHeight="1" x14ac:dyDescent="0.2">
      <c r="B590" s="77">
        <v>43128</v>
      </c>
      <c r="C590" s="79">
        <v>141.300003</v>
      </c>
      <c r="D590" s="79">
        <v>108.949997</v>
      </c>
      <c r="E590" s="79">
        <v>113.040001</v>
      </c>
      <c r="F590" s="79">
        <v>132.770004</v>
      </c>
      <c r="G590" s="79">
        <v>46.09</v>
      </c>
      <c r="H590" s="79">
        <v>48.259998000000003</v>
      </c>
      <c r="I590" s="79"/>
      <c r="J590" s="78">
        <f>IF(inter=Weekly_2,J589+$C$5,IF(inter=Bi_weekly_2,J588+$C$5,IF(inter=Monthly_2,J586+$C$5,IF(inter=Quarterly_2,0,IF(inter=Yearly_2,0,IF(inter=None_2,0,0))))))</f>
        <v>184400</v>
      </c>
      <c r="K590" s="79">
        <f t="shared" si="657"/>
        <v>-1381.0970031419783</v>
      </c>
      <c r="L590" s="79">
        <f t="shared" si="658"/>
        <v>-371.77922292196672</v>
      </c>
      <c r="M590" s="79">
        <f t="shared" si="659"/>
        <v>-436.78029119989151</v>
      </c>
      <c r="N590" s="79">
        <f t="shared" si="660"/>
        <v>-473.73875897005564</v>
      </c>
      <c r="O590" s="79">
        <f t="shared" si="661"/>
        <v>-1135.3377934325981</v>
      </c>
      <c r="P590" s="79">
        <f t="shared" si="662"/>
        <v>-753.46576433840164</v>
      </c>
      <c r="Q590" s="79"/>
      <c r="R590" s="80">
        <f t="shared" si="641"/>
        <v>9.7742177906533971</v>
      </c>
      <c r="S590" s="80">
        <f t="shared" si="642"/>
        <v>3.4123839665820892</v>
      </c>
      <c r="T590" s="80">
        <f t="shared" si="643"/>
        <v>3.8639445093413567</v>
      </c>
      <c r="U590" s="80">
        <f t="shared" si="644"/>
        <v>3.5681158748029835</v>
      </c>
      <c r="V590" s="80">
        <f t="shared" si="645"/>
        <v>24.633061259114733</v>
      </c>
      <c r="W590" s="80">
        <f t="shared" si="646"/>
        <v>15.61263563124063</v>
      </c>
      <c r="X590" s="80">
        <f t="shared" si="598"/>
        <v>456.75865979988686</v>
      </c>
      <c r="Y590" s="80">
        <f t="shared" si="599"/>
        <v>169.25195509642833</v>
      </c>
      <c r="Z590" s="80">
        <f t="shared" si="600"/>
        <v>130.50247584481178</v>
      </c>
      <c r="AA590" s="80">
        <f t="shared" si="601"/>
        <v>97.220754772290292</v>
      </c>
      <c r="AB590" s="80">
        <f t="shared" si="602"/>
        <v>1000.2169668040789</v>
      </c>
      <c r="AC590" s="80">
        <f t="shared" si="603"/>
        <v>573.14548583280089</v>
      </c>
      <c r="AD590" s="80"/>
      <c r="AE590" s="80"/>
      <c r="AF590" s="80"/>
      <c r="AG590" s="80"/>
      <c r="AH590" s="80"/>
      <c r="AI590" s="80"/>
      <c r="AJ590" s="45">
        <f t="shared" si="590"/>
        <v>0</v>
      </c>
      <c r="AK590" s="45">
        <f t="shared" si="591"/>
        <v>0</v>
      </c>
      <c r="AL590" s="45">
        <f t="shared" si="592"/>
        <v>0</v>
      </c>
      <c r="AM590" s="45">
        <f t="shared" si="593"/>
        <v>0</v>
      </c>
      <c r="AN590" s="45">
        <f t="shared" si="594"/>
        <v>0</v>
      </c>
      <c r="AO590" s="45">
        <f t="shared" si="595"/>
        <v>0</v>
      </c>
      <c r="AP590" s="80">
        <f t="shared" si="647"/>
        <v>0</v>
      </c>
      <c r="AQ590" s="80">
        <f t="shared" si="648"/>
        <v>0</v>
      </c>
      <c r="AR590" s="80">
        <f t="shared" si="649"/>
        <v>0</v>
      </c>
      <c r="AS590" s="80">
        <f t="shared" si="650"/>
        <v>0</v>
      </c>
      <c r="AT590" s="80">
        <f t="shared" si="651"/>
        <v>0</v>
      </c>
      <c r="AU590" s="80">
        <f t="shared" si="652"/>
        <v>0</v>
      </c>
      <c r="AV590" s="80">
        <f t="shared" si="604"/>
        <v>86.594515030468841</v>
      </c>
      <c r="AW590" s="80">
        <f t="shared" si="605"/>
        <v>40.270638023590074</v>
      </c>
      <c r="AX590" s="80">
        <f t="shared" si="606"/>
        <v>24.821030711402344</v>
      </c>
      <c r="AY590" s="80">
        <f t="shared" si="607"/>
        <v>19.514720110118887</v>
      </c>
      <c r="AZ590" s="80">
        <f t="shared" si="608"/>
        <v>226.13081885643456</v>
      </c>
      <c r="BA590" s="80">
        <f t="shared" si="609"/>
        <v>111.48922215157411</v>
      </c>
      <c r="BB590" s="80">
        <f t="shared" si="610"/>
        <v>543.35317483035567</v>
      </c>
      <c r="BC590" s="80">
        <f t="shared" si="611"/>
        <v>209.5225931200184</v>
      </c>
      <c r="BD590" s="80">
        <f t="shared" si="612"/>
        <v>155.32350655621411</v>
      </c>
      <c r="BE590" s="80">
        <f t="shared" si="613"/>
        <v>116.73547488240918</v>
      </c>
      <c r="BF590" s="80">
        <f t="shared" si="614"/>
        <v>1226.3477856605134</v>
      </c>
      <c r="BG590" s="80">
        <f t="shared" si="615"/>
        <v>684.63470798437504</v>
      </c>
      <c r="BH590" s="49">
        <f t="shared" si="616"/>
        <v>0</v>
      </c>
      <c r="BI590" s="79">
        <f t="shared" si="617"/>
        <v>-92313.777444138512</v>
      </c>
      <c r="BJ590" s="79">
        <f t="shared" si="653"/>
        <v>184400</v>
      </c>
      <c r="BK590" s="44">
        <f t="shared" si="618"/>
        <v>0.99753498454318246</v>
      </c>
      <c r="BL590" s="79">
        <f t="shared" si="619"/>
        <v>25825.36887580128</v>
      </c>
      <c r="BM590" s="49">
        <f t="shared" si="620"/>
        <v>210225.36887580127</v>
      </c>
      <c r="BN590" s="44">
        <f t="shared" si="621"/>
        <v>1.2772913718433214</v>
      </c>
      <c r="BO590" s="49">
        <f t="shared" si="654"/>
        <v>37822.869008113928</v>
      </c>
      <c r="BP590" s="49">
        <f t="shared" si="655"/>
        <v>222222.86900811389</v>
      </c>
      <c r="BQ590" s="44">
        <f t="shared" si="622"/>
        <v>1.407255722392974</v>
      </c>
      <c r="BS590" s="49">
        <f t="shared" si="623"/>
        <v>92313.777444138512</v>
      </c>
      <c r="BT590" s="49">
        <f t="shared" si="639"/>
        <v>141.300003</v>
      </c>
      <c r="BU590" s="49">
        <f t="shared" si="640"/>
        <v>48.259998000000003</v>
      </c>
      <c r="BV590" s="49">
        <f t="shared" si="624"/>
        <v>4552.198834004892</v>
      </c>
      <c r="BW590" s="18">
        <f t="shared" si="656"/>
        <v>3835</v>
      </c>
      <c r="BX590" s="19">
        <f t="shared" si="625"/>
        <v>0.12041284403669725</v>
      </c>
      <c r="BY590" s="49">
        <f t="shared" si="626"/>
        <v>548.14320822306615</v>
      </c>
      <c r="BZ590" s="19">
        <f t="shared" si="627"/>
        <v>9.7742177906533971</v>
      </c>
      <c r="CA590" s="19">
        <f t="shared" si="628"/>
        <v>3.4123839665820892</v>
      </c>
      <c r="CB590" s="19">
        <f t="shared" si="629"/>
        <v>3.8639445093413567</v>
      </c>
      <c r="CC590" s="19">
        <f t="shared" si="630"/>
        <v>3.5681158748029835</v>
      </c>
      <c r="CD590" s="19">
        <f t="shared" si="631"/>
        <v>24.633061259114733</v>
      </c>
      <c r="CE590" s="19">
        <f t="shared" si="632"/>
        <v>15.61263563124063</v>
      </c>
      <c r="CF590" s="49">
        <f t="shared" si="633"/>
        <v>-1381.0970031419783</v>
      </c>
      <c r="CG590" s="49">
        <f t="shared" si="634"/>
        <v>-371.77922292196672</v>
      </c>
      <c r="CH590" s="49">
        <f t="shared" si="635"/>
        <v>-436.78029119989151</v>
      </c>
      <c r="CI590" s="49">
        <f t="shared" si="636"/>
        <v>-473.73875897005564</v>
      </c>
      <c r="CJ590" s="49">
        <f t="shared" si="637"/>
        <v>-1135.3377934325981</v>
      </c>
      <c r="CK590" s="49">
        <f t="shared" si="638"/>
        <v>-753.46576433840164</v>
      </c>
    </row>
    <row r="591" spans="2:89" ht="12.75" customHeight="1" x14ac:dyDescent="0.2">
      <c r="B591" s="77">
        <v>43135</v>
      </c>
      <c r="C591" s="79">
        <v>134.229996</v>
      </c>
      <c r="D591" s="79">
        <v>103.379997</v>
      </c>
      <c r="E591" s="79">
        <v>108.010002</v>
      </c>
      <c r="F591" s="79">
        <v>126.55999799999999</v>
      </c>
      <c r="G591" s="79">
        <v>43.66</v>
      </c>
      <c r="H591" s="79">
        <v>45.639999000000003</v>
      </c>
      <c r="I591" s="79"/>
      <c r="J591" s="78">
        <f>IF(inter=Weekly_2,J590+$C$5,IF(inter=Bi_weekly_2,0,IF(inter=Monthly_2,0,IF(inter=Quarterly_2,0,IF(inter=Yearly_2,0,IF(inter=None_2,0,0))))))</f>
        <v>0</v>
      </c>
      <c r="K591" s="79">
        <f t="shared" si="657"/>
        <v>0</v>
      </c>
      <c r="L591" s="79">
        <f t="shared" si="658"/>
        <v>0</v>
      </c>
      <c r="M591" s="79">
        <f t="shared" si="659"/>
        <v>0</v>
      </c>
      <c r="N591" s="79">
        <f t="shared" si="660"/>
        <v>0</v>
      </c>
      <c r="O591" s="79">
        <f t="shared" si="661"/>
        <v>0</v>
      </c>
      <c r="P591" s="79">
        <f t="shared" si="662"/>
        <v>0</v>
      </c>
      <c r="Q591" s="79"/>
      <c r="R591" s="80">
        <f t="shared" si="641"/>
        <v>0</v>
      </c>
      <c r="S591" s="80">
        <f t="shared" si="642"/>
        <v>0</v>
      </c>
      <c r="T591" s="80">
        <f t="shared" si="643"/>
        <v>0</v>
      </c>
      <c r="U591" s="80">
        <f t="shared" si="644"/>
        <v>0</v>
      </c>
      <c r="V591" s="80">
        <f t="shared" si="645"/>
        <v>0</v>
      </c>
      <c r="W591" s="80">
        <f t="shared" si="646"/>
        <v>0</v>
      </c>
      <c r="X591" s="80">
        <f t="shared" si="598"/>
        <v>456.75865979988686</v>
      </c>
      <c r="Y591" s="80">
        <f t="shared" si="599"/>
        <v>169.25195509642833</v>
      </c>
      <c r="Z591" s="80">
        <f t="shared" si="600"/>
        <v>130.50247584481178</v>
      </c>
      <c r="AA591" s="80">
        <f t="shared" si="601"/>
        <v>97.220754772290292</v>
      </c>
      <c r="AB591" s="80">
        <f t="shared" si="602"/>
        <v>1000.2169668040789</v>
      </c>
      <c r="AC591" s="80">
        <f t="shared" si="603"/>
        <v>573.14548583280089</v>
      </c>
      <c r="AD591" s="80"/>
      <c r="AE591" s="80"/>
      <c r="AF591" s="80"/>
      <c r="AG591" s="80"/>
      <c r="AH591" s="80"/>
      <c r="AI591" s="80"/>
      <c r="AJ591" s="45">
        <f t="shared" si="590"/>
        <v>0</v>
      </c>
      <c r="AK591" s="45">
        <f t="shared" si="591"/>
        <v>0</v>
      </c>
      <c r="AL591" s="45">
        <f t="shared" si="592"/>
        <v>0</v>
      </c>
      <c r="AM591" s="45">
        <f t="shared" si="593"/>
        <v>0</v>
      </c>
      <c r="AN591" s="45">
        <f t="shared" si="594"/>
        <v>0</v>
      </c>
      <c r="AO591" s="45">
        <f t="shared" si="595"/>
        <v>0</v>
      </c>
      <c r="AP591" s="80">
        <f t="shared" si="647"/>
        <v>0</v>
      </c>
      <c r="AQ591" s="80">
        <f t="shared" si="648"/>
        <v>0</v>
      </c>
      <c r="AR591" s="80">
        <f t="shared" si="649"/>
        <v>0</v>
      </c>
      <c r="AS591" s="80">
        <f t="shared" si="650"/>
        <v>0</v>
      </c>
      <c r="AT591" s="80">
        <f t="shared" si="651"/>
        <v>0</v>
      </c>
      <c r="AU591" s="80">
        <f t="shared" si="652"/>
        <v>0</v>
      </c>
      <c r="AV591" s="80">
        <f t="shared" si="604"/>
        <v>86.594515030468841</v>
      </c>
      <c r="AW591" s="80">
        <f t="shared" si="605"/>
        <v>40.270638023590074</v>
      </c>
      <c r="AX591" s="80">
        <f t="shared" si="606"/>
        <v>24.821030711402344</v>
      </c>
      <c r="AY591" s="80">
        <f t="shared" si="607"/>
        <v>19.514720110118887</v>
      </c>
      <c r="AZ591" s="80">
        <f t="shared" si="608"/>
        <v>226.13081885643456</v>
      </c>
      <c r="BA591" s="80">
        <f t="shared" si="609"/>
        <v>111.48922215157411</v>
      </c>
      <c r="BB591" s="80">
        <f t="shared" si="610"/>
        <v>543.35317483035567</v>
      </c>
      <c r="BC591" s="80">
        <f t="shared" si="611"/>
        <v>209.5225931200184</v>
      </c>
      <c r="BD591" s="80">
        <f t="shared" si="612"/>
        <v>155.32350655621411</v>
      </c>
      <c r="BE591" s="80">
        <f t="shared" si="613"/>
        <v>116.73547488240918</v>
      </c>
      <c r="BF591" s="80">
        <f t="shared" si="614"/>
        <v>1226.3477856605134</v>
      </c>
      <c r="BG591" s="80">
        <f t="shared" si="615"/>
        <v>684.63470798437504</v>
      </c>
      <c r="BH591" s="49">
        <f t="shared" si="616"/>
        <v>0</v>
      </c>
      <c r="BI591" s="79">
        <f t="shared" si="617"/>
        <v>-92313.777444138512</v>
      </c>
      <c r="BJ591" s="79">
        <f t="shared" si="653"/>
        <v>175035.64306548933</v>
      </c>
      <c r="BK591" s="44">
        <f t="shared" si="618"/>
        <v>0.89609447161240907</v>
      </c>
      <c r="BL591" s="79">
        <f t="shared" si="619"/>
        <v>25825.36887580128</v>
      </c>
      <c r="BM591" s="49">
        <f t="shared" si="620"/>
        <v>200861.01194129061</v>
      </c>
      <c r="BN591" s="44">
        <f t="shared" si="621"/>
        <v>1.1758508589125483</v>
      </c>
      <c r="BO591" s="49">
        <f t="shared" si="654"/>
        <v>35898.701897896986</v>
      </c>
      <c r="BP591" s="49">
        <f t="shared" si="655"/>
        <v>210934.34496338631</v>
      </c>
      <c r="BQ591" s="44">
        <f t="shared" si="622"/>
        <v>1.2849714398376579</v>
      </c>
      <c r="BS591" s="49">
        <f t="shared" si="623"/>
        <v>92313.777444138512</v>
      </c>
      <c r="BT591" s="49">
        <f t="shared" si="639"/>
        <v>134.229996</v>
      </c>
      <c r="BU591" s="49">
        <f t="shared" si="640"/>
        <v>45.639999000000003</v>
      </c>
      <c r="BV591" s="49">
        <f t="shared" si="624"/>
        <v>0</v>
      </c>
      <c r="BW591" s="18">
        <f t="shared" si="656"/>
        <v>3842</v>
      </c>
      <c r="BX591" s="19">
        <f t="shared" si="625"/>
        <v>0.11880733944954129</v>
      </c>
      <c r="BY591" s="49">
        <f t="shared" si="626"/>
        <v>0</v>
      </c>
      <c r="BZ591" s="19">
        <f t="shared" si="627"/>
        <v>0</v>
      </c>
      <c r="CA591" s="19">
        <f t="shared" si="628"/>
        <v>0</v>
      </c>
      <c r="CB591" s="19">
        <f t="shared" si="629"/>
        <v>0</v>
      </c>
      <c r="CC591" s="19">
        <f t="shared" si="630"/>
        <v>0</v>
      </c>
      <c r="CD591" s="19">
        <f t="shared" si="631"/>
        <v>0</v>
      </c>
      <c r="CE591" s="19">
        <f t="shared" si="632"/>
        <v>0</v>
      </c>
      <c r="CF591" s="49">
        <f t="shared" si="633"/>
        <v>0</v>
      </c>
      <c r="CG591" s="49">
        <f t="shared" si="634"/>
        <v>0</v>
      </c>
      <c r="CH591" s="49">
        <f t="shared" si="635"/>
        <v>0</v>
      </c>
      <c r="CI591" s="49">
        <f t="shared" si="636"/>
        <v>0</v>
      </c>
      <c r="CJ591" s="49">
        <f t="shared" si="637"/>
        <v>0</v>
      </c>
      <c r="CK591" s="49">
        <f t="shared" si="638"/>
        <v>0</v>
      </c>
    </row>
    <row r="592" spans="2:89" ht="12.75" customHeight="1" x14ac:dyDescent="0.2">
      <c r="B592" s="77">
        <v>43142</v>
      </c>
      <c r="C592" s="79">
        <v>140.11000100000001</v>
      </c>
      <c r="D592" s="79">
        <v>107.55999799999999</v>
      </c>
      <c r="E592" s="79">
        <v>112.370003</v>
      </c>
      <c r="F592" s="79">
        <v>131.66999799999999</v>
      </c>
      <c r="G592" s="79">
        <v>45.389999000000003</v>
      </c>
      <c r="H592" s="79">
        <v>48.299999</v>
      </c>
      <c r="I592" s="79"/>
      <c r="J592" s="78">
        <f>IF(inter=Weekly_2,J591+$C$5,IF(inter=Bi_weekly_2,J590+$C$5,IF(inter=Monthly_2,0,IF(inter=Quarterly_2,0,IF(inter=Yearly_2,0,IF(inter=None_2,0,0))))))</f>
        <v>185000</v>
      </c>
      <c r="K592" s="79">
        <f t="shared" si="657"/>
        <v>-753.54371867918235</v>
      </c>
      <c r="L592" s="79">
        <f t="shared" si="658"/>
        <v>-295.26004833207844</v>
      </c>
      <c r="M592" s="79">
        <f t="shared" si="659"/>
        <v>-135.43639781107231</v>
      </c>
      <c r="N592" s="79">
        <f t="shared" si="660"/>
        <v>-148.94341357405028</v>
      </c>
      <c r="O592" s="79">
        <f t="shared" si="661"/>
        <v>-850.15287697982421</v>
      </c>
      <c r="P592" s="79">
        <f t="shared" si="662"/>
        <v>-67.073607421203633</v>
      </c>
      <c r="Q592" s="79"/>
      <c r="R592" s="80">
        <f t="shared" si="641"/>
        <v>5.3782293433798651</v>
      </c>
      <c r="S592" s="80">
        <f t="shared" si="642"/>
        <v>2.7450730180571261</v>
      </c>
      <c r="T592" s="80">
        <f t="shared" si="643"/>
        <v>1.2052718180587065</v>
      </c>
      <c r="U592" s="80">
        <f t="shared" si="644"/>
        <v>1.1311871788290777</v>
      </c>
      <c r="V592" s="80">
        <f t="shared" si="645"/>
        <v>18.729960249169078</v>
      </c>
      <c r="W592" s="80">
        <f t="shared" si="646"/>
        <v>1.3886875529998175</v>
      </c>
      <c r="X592" s="80">
        <f t="shared" si="598"/>
        <v>462.13688914326673</v>
      </c>
      <c r="Y592" s="80">
        <f t="shared" si="599"/>
        <v>171.99702811448546</v>
      </c>
      <c r="Z592" s="80">
        <f t="shared" si="600"/>
        <v>131.7077476628705</v>
      </c>
      <c r="AA592" s="80">
        <f t="shared" si="601"/>
        <v>98.351941951119372</v>
      </c>
      <c r="AB592" s="80">
        <f t="shared" si="602"/>
        <v>1018.9469270532479</v>
      </c>
      <c r="AC592" s="80">
        <f t="shared" si="603"/>
        <v>574.53417338580073</v>
      </c>
      <c r="AD592" s="80"/>
      <c r="AE592" s="80"/>
      <c r="AF592" s="80"/>
      <c r="AG592" s="80"/>
      <c r="AH592" s="80"/>
      <c r="AI592" s="80"/>
      <c r="AJ592" s="45">
        <f t="shared" si="590"/>
        <v>0</v>
      </c>
      <c r="AK592" s="45">
        <f t="shared" si="591"/>
        <v>0</v>
      </c>
      <c r="AL592" s="45">
        <f t="shared" si="592"/>
        <v>0</v>
      </c>
      <c r="AM592" s="45">
        <f t="shared" si="593"/>
        <v>0</v>
      </c>
      <c r="AN592" s="45">
        <f t="shared" si="594"/>
        <v>0</v>
      </c>
      <c r="AO592" s="45">
        <f t="shared" si="595"/>
        <v>0</v>
      </c>
      <c r="AP592" s="80">
        <f t="shared" si="647"/>
        <v>0</v>
      </c>
      <c r="AQ592" s="80">
        <f t="shared" si="648"/>
        <v>0</v>
      </c>
      <c r="AR592" s="80">
        <f t="shared" si="649"/>
        <v>0</v>
      </c>
      <c r="AS592" s="80">
        <f t="shared" si="650"/>
        <v>0</v>
      </c>
      <c r="AT592" s="80">
        <f t="shared" si="651"/>
        <v>0</v>
      </c>
      <c r="AU592" s="80">
        <f t="shared" si="652"/>
        <v>0</v>
      </c>
      <c r="AV592" s="80">
        <f t="shared" si="604"/>
        <v>86.594515030468841</v>
      </c>
      <c r="AW592" s="80">
        <f t="shared" si="605"/>
        <v>40.270638023590074</v>
      </c>
      <c r="AX592" s="80">
        <f t="shared" si="606"/>
        <v>24.821030711402344</v>
      </c>
      <c r="AY592" s="80">
        <f t="shared" si="607"/>
        <v>19.514720110118887</v>
      </c>
      <c r="AZ592" s="80">
        <f t="shared" si="608"/>
        <v>226.13081885643456</v>
      </c>
      <c r="BA592" s="80">
        <f t="shared" si="609"/>
        <v>111.48922215157411</v>
      </c>
      <c r="BB592" s="80">
        <f t="shared" si="610"/>
        <v>548.73140417373554</v>
      </c>
      <c r="BC592" s="80">
        <f t="shared" si="611"/>
        <v>212.26766613807553</v>
      </c>
      <c r="BD592" s="80">
        <f t="shared" si="612"/>
        <v>156.52877837427286</v>
      </c>
      <c r="BE592" s="80">
        <f t="shared" si="613"/>
        <v>117.86666206123826</v>
      </c>
      <c r="BF592" s="80">
        <f t="shared" si="614"/>
        <v>1245.0777459096826</v>
      </c>
      <c r="BG592" s="80">
        <f t="shared" si="615"/>
        <v>686.02339553737488</v>
      </c>
      <c r="BH592" s="49">
        <f t="shared" si="616"/>
        <v>0</v>
      </c>
      <c r="BI592" s="79">
        <f t="shared" si="617"/>
        <v>-94564.187506935923</v>
      </c>
      <c r="BJ592" s="79">
        <f t="shared" si="653"/>
        <v>185000</v>
      </c>
      <c r="BK592" s="44">
        <f t="shared" si="618"/>
        <v>0.95634314508789031</v>
      </c>
      <c r="BL592" s="79">
        <f t="shared" si="619"/>
        <v>25825.36887580128</v>
      </c>
      <c r="BM592" s="49">
        <f t="shared" si="620"/>
        <v>210825.36887580127</v>
      </c>
      <c r="BN592" s="44">
        <f t="shared" si="621"/>
        <v>1.2294419741124307</v>
      </c>
      <c r="BO592" s="49">
        <f t="shared" si="654"/>
        <v>37471.916746357419</v>
      </c>
      <c r="BP592" s="49">
        <f t="shared" si="655"/>
        <v>222471.91674635746</v>
      </c>
      <c r="BQ592" s="44">
        <f t="shared" si="622"/>
        <v>1.3526022124394608</v>
      </c>
      <c r="BS592" s="49">
        <f t="shared" si="623"/>
        <v>94564.187506935923</v>
      </c>
      <c r="BT592" s="49">
        <f t="shared" si="639"/>
        <v>140.11000100000001</v>
      </c>
      <c r="BU592" s="49">
        <f t="shared" si="640"/>
        <v>48.299999</v>
      </c>
      <c r="BV592" s="49">
        <f t="shared" si="624"/>
        <v>2250.4100627974112</v>
      </c>
      <c r="BW592" s="18">
        <f t="shared" si="656"/>
        <v>3849</v>
      </c>
      <c r="BX592" s="19">
        <f t="shared" si="625"/>
        <v>0.11720183486238532</v>
      </c>
      <c r="BY592" s="49">
        <f t="shared" si="626"/>
        <v>263.75218855263239</v>
      </c>
      <c r="BZ592" s="19">
        <f t="shared" si="627"/>
        <v>5.3782293433798651</v>
      </c>
      <c r="CA592" s="19">
        <f t="shared" si="628"/>
        <v>2.7450730180571261</v>
      </c>
      <c r="CB592" s="19">
        <f t="shared" si="629"/>
        <v>1.2052718180587065</v>
      </c>
      <c r="CC592" s="19">
        <f t="shared" si="630"/>
        <v>1.1311871788290777</v>
      </c>
      <c r="CD592" s="19">
        <f t="shared" si="631"/>
        <v>18.729960249169078</v>
      </c>
      <c r="CE592" s="19">
        <f t="shared" si="632"/>
        <v>1.3886875529998175</v>
      </c>
      <c r="CF592" s="49">
        <f t="shared" si="633"/>
        <v>-753.54371867918235</v>
      </c>
      <c r="CG592" s="49">
        <f t="shared" si="634"/>
        <v>-295.26004833207844</v>
      </c>
      <c r="CH592" s="49">
        <f t="shared" si="635"/>
        <v>-135.43639781107231</v>
      </c>
      <c r="CI592" s="49">
        <f t="shared" si="636"/>
        <v>-148.94341357405028</v>
      </c>
      <c r="CJ592" s="49">
        <f t="shared" si="637"/>
        <v>-850.15287697982421</v>
      </c>
      <c r="CK592" s="49">
        <f t="shared" si="638"/>
        <v>-67.073607421203633</v>
      </c>
    </row>
    <row r="593" spans="2:89" ht="12.75" customHeight="1" x14ac:dyDescent="0.2">
      <c r="B593" s="77">
        <v>43149</v>
      </c>
      <c r="C593" s="79">
        <v>140.86000100000001</v>
      </c>
      <c r="D593" s="79">
        <v>107.620003</v>
      </c>
      <c r="E593" s="79">
        <v>112.58000199999999</v>
      </c>
      <c r="F593" s="79">
        <v>131.83000200000001</v>
      </c>
      <c r="G593" s="79">
        <v>45.400002000000001</v>
      </c>
      <c r="H593" s="79">
        <v>48.650002000000001</v>
      </c>
      <c r="I593" s="79"/>
      <c r="J593" s="78">
        <f>IF(inter=Weekly_2,J592+$C$5,IF(inter=Bi_weekly_2,0,IF(inter=Monthly_2,0,IF(inter=Quarterly_2,0,IF(inter=Yearly_2,0,IF(inter=None_2,0,0))))))</f>
        <v>0</v>
      </c>
      <c r="K593" s="79">
        <f t="shared" si="657"/>
        <v>0</v>
      </c>
      <c r="L593" s="79">
        <f t="shared" si="658"/>
        <v>0</v>
      </c>
      <c r="M593" s="79">
        <f t="shared" si="659"/>
        <v>0</v>
      </c>
      <c r="N593" s="79">
        <f t="shared" si="660"/>
        <v>0</v>
      </c>
      <c r="O593" s="79">
        <f t="shared" si="661"/>
        <v>0</v>
      </c>
      <c r="P593" s="79">
        <f t="shared" si="662"/>
        <v>0</v>
      </c>
      <c r="Q593" s="79"/>
      <c r="R593" s="80">
        <f t="shared" si="641"/>
        <v>0</v>
      </c>
      <c r="S593" s="80">
        <f t="shared" si="642"/>
        <v>0</v>
      </c>
      <c r="T593" s="80">
        <f t="shared" si="643"/>
        <v>0</v>
      </c>
      <c r="U593" s="80">
        <f t="shared" si="644"/>
        <v>0</v>
      </c>
      <c r="V593" s="80">
        <f t="shared" si="645"/>
        <v>0</v>
      </c>
      <c r="W593" s="80">
        <f t="shared" si="646"/>
        <v>0</v>
      </c>
      <c r="X593" s="80">
        <f t="shared" si="598"/>
        <v>462.13688914326673</v>
      </c>
      <c r="Y593" s="80">
        <f t="shared" si="599"/>
        <v>171.99702811448546</v>
      </c>
      <c r="Z593" s="80">
        <f t="shared" si="600"/>
        <v>131.7077476628705</v>
      </c>
      <c r="AA593" s="80">
        <f t="shared" si="601"/>
        <v>98.351941951119372</v>
      </c>
      <c r="AB593" s="80">
        <f t="shared" si="602"/>
        <v>1018.9469270532479</v>
      </c>
      <c r="AC593" s="80">
        <f t="shared" si="603"/>
        <v>574.53417338580073</v>
      </c>
      <c r="AD593" s="80"/>
      <c r="AE593" s="80"/>
      <c r="AF593" s="80"/>
      <c r="AG593" s="80"/>
      <c r="AH593" s="80"/>
      <c r="AI593" s="80"/>
      <c r="AJ593" s="45">
        <f t="shared" si="590"/>
        <v>0</v>
      </c>
      <c r="AK593" s="45">
        <f t="shared" si="591"/>
        <v>0</v>
      </c>
      <c r="AL593" s="45">
        <f t="shared" si="592"/>
        <v>0</v>
      </c>
      <c r="AM593" s="45">
        <f t="shared" si="593"/>
        <v>0</v>
      </c>
      <c r="AN593" s="45">
        <f t="shared" si="594"/>
        <v>0</v>
      </c>
      <c r="AO593" s="45">
        <f t="shared" si="595"/>
        <v>0</v>
      </c>
      <c r="AP593" s="80">
        <f t="shared" si="647"/>
        <v>0</v>
      </c>
      <c r="AQ593" s="80">
        <f t="shared" si="648"/>
        <v>0</v>
      </c>
      <c r="AR593" s="80">
        <f t="shared" si="649"/>
        <v>0</v>
      </c>
      <c r="AS593" s="80">
        <f t="shared" si="650"/>
        <v>0</v>
      </c>
      <c r="AT593" s="80">
        <f t="shared" si="651"/>
        <v>0</v>
      </c>
      <c r="AU593" s="80">
        <f t="shared" si="652"/>
        <v>0</v>
      </c>
      <c r="AV593" s="80">
        <f t="shared" si="604"/>
        <v>86.594515030468841</v>
      </c>
      <c r="AW593" s="80">
        <f t="shared" si="605"/>
        <v>40.270638023590074</v>
      </c>
      <c r="AX593" s="80">
        <f t="shared" si="606"/>
        <v>24.821030711402344</v>
      </c>
      <c r="AY593" s="80">
        <f t="shared" si="607"/>
        <v>19.514720110118887</v>
      </c>
      <c r="AZ593" s="80">
        <f t="shared" si="608"/>
        <v>226.13081885643456</v>
      </c>
      <c r="BA593" s="80">
        <f t="shared" si="609"/>
        <v>111.48922215157411</v>
      </c>
      <c r="BB593" s="80">
        <f t="shared" si="610"/>
        <v>548.73140417373554</v>
      </c>
      <c r="BC593" s="80">
        <f t="shared" si="611"/>
        <v>212.26766613807553</v>
      </c>
      <c r="BD593" s="80">
        <f t="shared" si="612"/>
        <v>156.52877837427286</v>
      </c>
      <c r="BE593" s="80">
        <f t="shared" si="613"/>
        <v>117.86666206123826</v>
      </c>
      <c r="BF593" s="80">
        <f t="shared" si="614"/>
        <v>1245.0777459096826</v>
      </c>
      <c r="BG593" s="80">
        <f t="shared" si="615"/>
        <v>686.02339553737488</v>
      </c>
      <c r="BH593" s="49">
        <f t="shared" si="616"/>
        <v>0</v>
      </c>
      <c r="BI593" s="79">
        <f t="shared" si="617"/>
        <v>-94564.187506935923</v>
      </c>
      <c r="BJ593" s="79">
        <f t="shared" si="653"/>
        <v>185611.59975834974</v>
      </c>
      <c r="BK593" s="44">
        <f t="shared" si="618"/>
        <v>0.96281070722186279</v>
      </c>
      <c r="BL593" s="79">
        <f t="shared" si="619"/>
        <v>25825.36887580128</v>
      </c>
      <c r="BM593" s="49">
        <f t="shared" si="620"/>
        <v>211436.96863415101</v>
      </c>
      <c r="BN593" s="44">
        <f t="shared" si="621"/>
        <v>1.2359095362464032</v>
      </c>
      <c r="BO593" s="49">
        <f t="shared" si="654"/>
        <v>37588.897445971481</v>
      </c>
      <c r="BP593" s="49">
        <f t="shared" si="655"/>
        <v>223200.4972043212</v>
      </c>
      <c r="BQ593" s="44">
        <f t="shared" si="622"/>
        <v>1.3603068253290953</v>
      </c>
      <c r="BS593" s="49">
        <f t="shared" si="623"/>
        <v>94564.187506935923</v>
      </c>
      <c r="BT593" s="49">
        <f t="shared" si="639"/>
        <v>140.86000100000001</v>
      </c>
      <c r="BU593" s="49">
        <f t="shared" si="640"/>
        <v>48.650002000000001</v>
      </c>
      <c r="BV593" s="49">
        <f t="shared" si="624"/>
        <v>0</v>
      </c>
      <c r="BW593" s="18">
        <f t="shared" si="656"/>
        <v>3856</v>
      </c>
      <c r="BX593" s="19">
        <f t="shared" si="625"/>
        <v>0.11559633027522936</v>
      </c>
      <c r="BY593" s="49">
        <f t="shared" si="626"/>
        <v>0</v>
      </c>
      <c r="BZ593" s="19">
        <f t="shared" si="627"/>
        <v>0</v>
      </c>
      <c r="CA593" s="19">
        <f t="shared" si="628"/>
        <v>0</v>
      </c>
      <c r="CB593" s="19">
        <f t="shared" si="629"/>
        <v>0</v>
      </c>
      <c r="CC593" s="19">
        <f t="shared" si="630"/>
        <v>0</v>
      </c>
      <c r="CD593" s="19">
        <f t="shared" si="631"/>
        <v>0</v>
      </c>
      <c r="CE593" s="19">
        <f t="shared" si="632"/>
        <v>0</v>
      </c>
      <c r="CF593" s="49">
        <f t="shared" si="633"/>
        <v>0</v>
      </c>
      <c r="CG593" s="49">
        <f t="shared" si="634"/>
        <v>0</v>
      </c>
      <c r="CH593" s="49">
        <f t="shared" si="635"/>
        <v>0</v>
      </c>
      <c r="CI593" s="49">
        <f t="shared" si="636"/>
        <v>0</v>
      </c>
      <c r="CJ593" s="49">
        <f t="shared" si="637"/>
        <v>0</v>
      </c>
      <c r="CK593" s="49">
        <f t="shared" si="638"/>
        <v>0</v>
      </c>
    </row>
    <row r="594" spans="2:89" ht="12.75" customHeight="1" x14ac:dyDescent="0.2">
      <c r="B594" s="77">
        <v>43156</v>
      </c>
      <c r="C594" s="79">
        <v>138.240005</v>
      </c>
      <c r="D594" s="79">
        <v>105.449997</v>
      </c>
      <c r="E594" s="79">
        <v>110.139999</v>
      </c>
      <c r="F594" s="79">
        <v>129.770004</v>
      </c>
      <c r="G594" s="79">
        <v>44.139999000000003</v>
      </c>
      <c r="H594" s="79">
        <v>47.279998999999997</v>
      </c>
      <c r="I594" s="79"/>
      <c r="J594" s="78">
        <f>IF(inter=Weekly_2,J593+$C$5,IF(inter=Bi_weekly_2,J592+$C$5,IF(inter=Monthly_2,J590+$C$5,IF(inter=Quarterly_2,0,IF(inter=Yearly_2,0,IF(inter=None_2,0,0))))))</f>
        <v>185600</v>
      </c>
      <c r="K594" s="79">
        <f t="shared" si="657"/>
        <v>-1074.1941341503552</v>
      </c>
      <c r="L594" s="79">
        <f t="shared" si="658"/>
        <v>-422.91390131859225</v>
      </c>
      <c r="M594" s="79">
        <f t="shared" si="659"/>
        <v>-341.70880411919097</v>
      </c>
      <c r="N594" s="79">
        <f t="shared" si="660"/>
        <v>-228.86809959547281</v>
      </c>
      <c r="O594" s="79">
        <f t="shared" si="661"/>
        <v>-1423.6836588165606</v>
      </c>
      <c r="P594" s="79">
        <f t="shared" si="662"/>
        <v>-676.02485685351712</v>
      </c>
      <c r="Q594" s="79"/>
      <c r="R594" s="80">
        <f t="shared" si="641"/>
        <v>7.77050126806893</v>
      </c>
      <c r="S594" s="80">
        <f t="shared" si="642"/>
        <v>4.010563426745211</v>
      </c>
      <c r="T594" s="80">
        <f t="shared" si="643"/>
        <v>3.102495071923788</v>
      </c>
      <c r="U594" s="80">
        <f t="shared" si="644"/>
        <v>1.7636440821522423</v>
      </c>
      <c r="V594" s="80">
        <f t="shared" si="645"/>
        <v>32.253821727919849</v>
      </c>
      <c r="W594" s="80">
        <f t="shared" si="646"/>
        <v>14.298326378000075</v>
      </c>
      <c r="X594" s="80">
        <f t="shared" si="598"/>
        <v>469.90739041133565</v>
      </c>
      <c r="Y594" s="80">
        <f t="shared" si="599"/>
        <v>176.00759154123068</v>
      </c>
      <c r="Z594" s="80">
        <f t="shared" si="600"/>
        <v>134.81024273479429</v>
      </c>
      <c r="AA594" s="80">
        <f t="shared" si="601"/>
        <v>100.11558603327161</v>
      </c>
      <c r="AB594" s="80">
        <f t="shared" si="602"/>
        <v>1051.2007487811677</v>
      </c>
      <c r="AC594" s="80">
        <f t="shared" si="603"/>
        <v>588.8324997638008</v>
      </c>
      <c r="AD594" s="80"/>
      <c r="AE594" s="80"/>
      <c r="AF594" s="80"/>
      <c r="AG594" s="80"/>
      <c r="AH594" s="80"/>
      <c r="AI594" s="80"/>
      <c r="AJ594" s="45">
        <f t="shared" si="590"/>
        <v>0</v>
      </c>
      <c r="AK594" s="45">
        <f t="shared" si="591"/>
        <v>0</v>
      </c>
      <c r="AL594" s="45">
        <f t="shared" si="592"/>
        <v>0</v>
      </c>
      <c r="AM594" s="45">
        <f t="shared" si="593"/>
        <v>0</v>
      </c>
      <c r="AN594" s="45">
        <f t="shared" si="594"/>
        <v>0</v>
      </c>
      <c r="AO594" s="45">
        <f t="shared" si="595"/>
        <v>0</v>
      </c>
      <c r="AP594" s="80">
        <f t="shared" si="647"/>
        <v>0</v>
      </c>
      <c r="AQ594" s="80">
        <f t="shared" si="648"/>
        <v>0</v>
      </c>
      <c r="AR594" s="80">
        <f t="shared" si="649"/>
        <v>0</v>
      </c>
      <c r="AS594" s="80">
        <f t="shared" si="650"/>
        <v>0</v>
      </c>
      <c r="AT594" s="80">
        <f t="shared" si="651"/>
        <v>0</v>
      </c>
      <c r="AU594" s="80">
        <f t="shared" si="652"/>
        <v>0</v>
      </c>
      <c r="AV594" s="80">
        <f t="shared" si="604"/>
        <v>86.594515030468841</v>
      </c>
      <c r="AW594" s="80">
        <f t="shared" si="605"/>
        <v>40.270638023590074</v>
      </c>
      <c r="AX594" s="80">
        <f t="shared" si="606"/>
        <v>24.821030711402344</v>
      </c>
      <c r="AY594" s="80">
        <f t="shared" si="607"/>
        <v>19.514720110118887</v>
      </c>
      <c r="AZ594" s="80">
        <f t="shared" si="608"/>
        <v>226.13081885643456</v>
      </c>
      <c r="BA594" s="80">
        <f t="shared" si="609"/>
        <v>111.48922215157411</v>
      </c>
      <c r="BB594" s="80">
        <f t="shared" si="610"/>
        <v>556.50190544180452</v>
      </c>
      <c r="BC594" s="80">
        <f t="shared" si="611"/>
        <v>216.27822956482075</v>
      </c>
      <c r="BD594" s="80">
        <f t="shared" si="612"/>
        <v>159.63127344619664</v>
      </c>
      <c r="BE594" s="80">
        <f t="shared" si="613"/>
        <v>119.6303061433905</v>
      </c>
      <c r="BF594" s="80">
        <f t="shared" si="614"/>
        <v>1277.3315676376023</v>
      </c>
      <c r="BG594" s="80">
        <f t="shared" si="615"/>
        <v>700.32172191537495</v>
      </c>
      <c r="BH594" s="49">
        <f t="shared" si="616"/>
        <v>0</v>
      </c>
      <c r="BI594" s="79">
        <f t="shared" si="617"/>
        <v>-98731.580961789616</v>
      </c>
      <c r="BJ594" s="79">
        <f t="shared" si="653"/>
        <v>185600</v>
      </c>
      <c r="BK594" s="44">
        <f t="shared" si="618"/>
        <v>0.8798443030283245</v>
      </c>
      <c r="BL594" s="79">
        <f t="shared" si="619"/>
        <v>25825.36887580128</v>
      </c>
      <c r="BM594" s="49">
        <f t="shared" si="620"/>
        <v>211425.36887580127</v>
      </c>
      <c r="BN594" s="44">
        <f t="shared" si="621"/>
        <v>1.1414158146381306</v>
      </c>
      <c r="BO594" s="49">
        <f t="shared" si="654"/>
        <v>36736.202884071485</v>
      </c>
      <c r="BP594" s="49">
        <f t="shared" si="655"/>
        <v>222336.20288407151</v>
      </c>
      <c r="BQ594" s="44">
        <f t="shared" si="622"/>
        <v>1.2519258854987694</v>
      </c>
      <c r="BS594" s="49">
        <f t="shared" si="623"/>
        <v>98731.580961789616</v>
      </c>
      <c r="BT594" s="49">
        <f t="shared" si="639"/>
        <v>138.240005</v>
      </c>
      <c r="BU594" s="49">
        <f t="shared" si="640"/>
        <v>47.279998999999997</v>
      </c>
      <c r="BV594" s="49">
        <f t="shared" si="624"/>
        <v>4167.393454853689</v>
      </c>
      <c r="BW594" s="18">
        <f t="shared" si="656"/>
        <v>3863</v>
      </c>
      <c r="BX594" s="19">
        <f t="shared" si="625"/>
        <v>0.11399082568807339</v>
      </c>
      <c r="BY594" s="49">
        <f t="shared" si="626"/>
        <v>475.04462088584484</v>
      </c>
      <c r="BZ594" s="19">
        <f t="shared" si="627"/>
        <v>7.77050126806893</v>
      </c>
      <c r="CA594" s="19">
        <f t="shared" si="628"/>
        <v>4.010563426745211</v>
      </c>
      <c r="CB594" s="19">
        <f t="shared" si="629"/>
        <v>3.102495071923788</v>
      </c>
      <c r="CC594" s="19">
        <f t="shared" si="630"/>
        <v>1.7636440821522423</v>
      </c>
      <c r="CD594" s="19">
        <f t="shared" si="631"/>
        <v>32.253821727919849</v>
      </c>
      <c r="CE594" s="19">
        <f t="shared" si="632"/>
        <v>14.298326378000075</v>
      </c>
      <c r="CF594" s="49">
        <f t="shared" si="633"/>
        <v>-1074.1941341503552</v>
      </c>
      <c r="CG594" s="49">
        <f t="shared" si="634"/>
        <v>-422.91390131859225</v>
      </c>
      <c r="CH594" s="49">
        <f t="shared" si="635"/>
        <v>-341.70880411919097</v>
      </c>
      <c r="CI594" s="49">
        <f t="shared" si="636"/>
        <v>-228.86809959547281</v>
      </c>
      <c r="CJ594" s="49">
        <f t="shared" si="637"/>
        <v>-1423.6836588165606</v>
      </c>
      <c r="CK594" s="49">
        <f t="shared" si="638"/>
        <v>-676.02485685351712</v>
      </c>
    </row>
    <row r="595" spans="2:89" ht="12.75" customHeight="1" x14ac:dyDescent="0.2">
      <c r="B595" s="77">
        <v>43163</v>
      </c>
      <c r="C595" s="79">
        <v>143.300003</v>
      </c>
      <c r="D595" s="79">
        <v>108.760002</v>
      </c>
      <c r="E595" s="79">
        <v>113.91999800000001</v>
      </c>
      <c r="F595" s="79">
        <v>134.41000399999999</v>
      </c>
      <c r="G595" s="79">
        <v>45.099997999999999</v>
      </c>
      <c r="H595" s="79">
        <v>48.43</v>
      </c>
      <c r="I595" s="79"/>
      <c r="J595" s="78">
        <f>IF(inter=Weekly_2,J594+$C$5,IF(inter=Bi_weekly_2,0,IF(inter=Monthly_2,0,IF(inter=Quarterly_2,0,IF(inter=Yearly_2,0,IF(inter=None_2,0,0))))))</f>
        <v>0</v>
      </c>
      <c r="K595" s="79">
        <f t="shared" si="657"/>
        <v>0</v>
      </c>
      <c r="L595" s="79">
        <f t="shared" si="658"/>
        <v>0</v>
      </c>
      <c r="M595" s="79">
        <f t="shared" si="659"/>
        <v>0</v>
      </c>
      <c r="N595" s="79">
        <f t="shared" si="660"/>
        <v>0</v>
      </c>
      <c r="O595" s="79">
        <f t="shared" si="661"/>
        <v>0</v>
      </c>
      <c r="P595" s="79">
        <f t="shared" si="662"/>
        <v>0</v>
      </c>
      <c r="Q595" s="79"/>
      <c r="R595" s="80">
        <f t="shared" si="641"/>
        <v>0</v>
      </c>
      <c r="S595" s="80">
        <f t="shared" si="642"/>
        <v>0</v>
      </c>
      <c r="T595" s="80">
        <f t="shared" si="643"/>
        <v>0</v>
      </c>
      <c r="U595" s="80">
        <f t="shared" si="644"/>
        <v>0</v>
      </c>
      <c r="V595" s="80">
        <f t="shared" si="645"/>
        <v>0</v>
      </c>
      <c r="W595" s="80">
        <f t="shared" si="646"/>
        <v>0</v>
      </c>
      <c r="X595" s="80">
        <f t="shared" si="598"/>
        <v>469.90739041133565</v>
      </c>
      <c r="Y595" s="80">
        <f t="shared" si="599"/>
        <v>176.00759154123068</v>
      </c>
      <c r="Z595" s="80">
        <f t="shared" si="600"/>
        <v>134.81024273479429</v>
      </c>
      <c r="AA595" s="80">
        <f t="shared" si="601"/>
        <v>100.11558603327161</v>
      </c>
      <c r="AB595" s="80">
        <f t="shared" si="602"/>
        <v>1051.2007487811677</v>
      </c>
      <c r="AC595" s="80">
        <f t="shared" si="603"/>
        <v>588.8324997638008</v>
      </c>
      <c r="AD595" s="80"/>
      <c r="AE595" s="80"/>
      <c r="AF595" s="80"/>
      <c r="AG595" s="80"/>
      <c r="AH595" s="80"/>
      <c r="AI595" s="80"/>
      <c r="AJ595" s="45">
        <f t="shared" si="590"/>
        <v>0</v>
      </c>
      <c r="AK595" s="45">
        <f t="shared" si="591"/>
        <v>0</v>
      </c>
      <c r="AL595" s="45">
        <f t="shared" si="592"/>
        <v>0</v>
      </c>
      <c r="AM595" s="45">
        <f t="shared" si="593"/>
        <v>0</v>
      </c>
      <c r="AN595" s="45">
        <f t="shared" si="594"/>
        <v>0</v>
      </c>
      <c r="AO595" s="45">
        <f t="shared" si="595"/>
        <v>0</v>
      </c>
      <c r="AP595" s="80">
        <f t="shared" si="647"/>
        <v>0</v>
      </c>
      <c r="AQ595" s="80">
        <f t="shared" si="648"/>
        <v>0</v>
      </c>
      <c r="AR595" s="80">
        <f t="shared" si="649"/>
        <v>0</v>
      </c>
      <c r="AS595" s="80">
        <f t="shared" si="650"/>
        <v>0</v>
      </c>
      <c r="AT595" s="80">
        <f t="shared" si="651"/>
        <v>0</v>
      </c>
      <c r="AU595" s="80">
        <f t="shared" si="652"/>
        <v>0</v>
      </c>
      <c r="AV595" s="80">
        <f t="shared" si="604"/>
        <v>86.594515030468841</v>
      </c>
      <c r="AW595" s="80">
        <f t="shared" si="605"/>
        <v>40.270638023590074</v>
      </c>
      <c r="AX595" s="80">
        <f t="shared" si="606"/>
        <v>24.821030711402344</v>
      </c>
      <c r="AY595" s="80">
        <f t="shared" si="607"/>
        <v>19.514720110118887</v>
      </c>
      <c r="AZ595" s="80">
        <f t="shared" si="608"/>
        <v>226.13081885643456</v>
      </c>
      <c r="BA595" s="80">
        <f t="shared" si="609"/>
        <v>111.48922215157411</v>
      </c>
      <c r="BB595" s="80">
        <f t="shared" si="610"/>
        <v>556.50190544180452</v>
      </c>
      <c r="BC595" s="80">
        <f t="shared" si="611"/>
        <v>216.27822956482075</v>
      </c>
      <c r="BD595" s="80">
        <f t="shared" si="612"/>
        <v>159.63127344619664</v>
      </c>
      <c r="BE595" s="80">
        <f t="shared" si="613"/>
        <v>119.6303061433905</v>
      </c>
      <c r="BF595" s="80">
        <f t="shared" si="614"/>
        <v>1277.3315676376023</v>
      </c>
      <c r="BG595" s="80">
        <f t="shared" si="615"/>
        <v>700.32172191537495</v>
      </c>
      <c r="BH595" s="49">
        <f t="shared" si="616"/>
        <v>0</v>
      </c>
      <c r="BI595" s="79">
        <f t="shared" si="617"/>
        <v>-98731.580961789616</v>
      </c>
      <c r="BJ595" s="79">
        <f t="shared" si="653"/>
        <v>191220.7449968177</v>
      </c>
      <c r="BK595" s="44">
        <f t="shared" si="618"/>
        <v>0.93677385831411497</v>
      </c>
      <c r="BL595" s="79">
        <f t="shared" si="619"/>
        <v>25825.36887580128</v>
      </c>
      <c r="BM595" s="49">
        <f t="shared" si="620"/>
        <v>217046.11387261897</v>
      </c>
      <c r="BN595" s="44">
        <f t="shared" si="621"/>
        <v>1.198345369923921</v>
      </c>
      <c r="BO595" s="49">
        <f t="shared" si="654"/>
        <v>37837.33681966181</v>
      </c>
      <c r="BP595" s="49">
        <f t="shared" si="655"/>
        <v>229058.08181647953</v>
      </c>
      <c r="BQ595" s="44">
        <f t="shared" si="622"/>
        <v>1.3200082444251344</v>
      </c>
      <c r="BS595" s="49">
        <f t="shared" si="623"/>
        <v>98731.580961789616</v>
      </c>
      <c r="BT595" s="49">
        <f t="shared" si="639"/>
        <v>143.300003</v>
      </c>
      <c r="BU595" s="49">
        <f t="shared" si="640"/>
        <v>48.43</v>
      </c>
      <c r="BV595" s="49">
        <f t="shared" si="624"/>
        <v>0</v>
      </c>
      <c r="BW595" s="18">
        <f t="shared" si="656"/>
        <v>3870</v>
      </c>
      <c r="BX595" s="19">
        <f t="shared" si="625"/>
        <v>0.11238532110091744</v>
      </c>
      <c r="BY595" s="49">
        <f t="shared" si="626"/>
        <v>0</v>
      </c>
      <c r="BZ595" s="19">
        <f t="shared" si="627"/>
        <v>0</v>
      </c>
      <c r="CA595" s="19">
        <f t="shared" si="628"/>
        <v>0</v>
      </c>
      <c r="CB595" s="19">
        <f t="shared" si="629"/>
        <v>0</v>
      </c>
      <c r="CC595" s="19">
        <f t="shared" si="630"/>
        <v>0</v>
      </c>
      <c r="CD595" s="19">
        <f t="shared" si="631"/>
        <v>0</v>
      </c>
      <c r="CE595" s="19">
        <f t="shared" si="632"/>
        <v>0</v>
      </c>
      <c r="CF595" s="49">
        <f t="shared" si="633"/>
        <v>0</v>
      </c>
      <c r="CG595" s="49">
        <f t="shared" si="634"/>
        <v>0</v>
      </c>
      <c r="CH595" s="49">
        <f t="shared" si="635"/>
        <v>0</v>
      </c>
      <c r="CI595" s="49">
        <f t="shared" si="636"/>
        <v>0</v>
      </c>
      <c r="CJ595" s="49">
        <f t="shared" si="637"/>
        <v>0</v>
      </c>
      <c r="CK595" s="49">
        <f t="shared" si="638"/>
        <v>0</v>
      </c>
    </row>
    <row r="596" spans="2:89" ht="12.75" customHeight="1" x14ac:dyDescent="0.2">
      <c r="B596" s="77">
        <v>43170</v>
      </c>
      <c r="C596" s="79">
        <v>141.66000399999999</v>
      </c>
      <c r="D596" s="79">
        <v>107.220001</v>
      </c>
      <c r="E596" s="79">
        <v>112.80999799999999</v>
      </c>
      <c r="F596" s="79">
        <v>133.58000200000001</v>
      </c>
      <c r="G596" s="79">
        <v>44.889999000000003</v>
      </c>
      <c r="H596" s="79">
        <v>47.849997999999999</v>
      </c>
      <c r="I596" s="79"/>
      <c r="J596" s="78">
        <f>IF(inter=Weekly_2,J595+$C$5,IF(inter=Bi_weekly_2,J594+$C$5,IF(inter=Monthly_2,0,IF(inter=Quarterly_2,0,IF(inter=Yearly_2,0,IF(inter=None_2,0,0))))))</f>
        <v>186200</v>
      </c>
      <c r="K596" s="79">
        <f t="shared" si="657"/>
        <v>1397.0828052993675</v>
      </c>
      <c r="L596" s="79">
        <f t="shared" si="658"/>
        <v>251.53414105834599</v>
      </c>
      <c r="M596" s="79">
        <f t="shared" si="659"/>
        <v>311.94321329165723</v>
      </c>
      <c r="N596" s="79">
        <f t="shared" si="660"/>
        <v>339.4401825555924</v>
      </c>
      <c r="O596" s="79">
        <f t="shared" si="661"/>
        <v>638.40056158586958</v>
      </c>
      <c r="P596" s="79">
        <f t="shared" si="662"/>
        <v>245.6339360328675</v>
      </c>
      <c r="Q596" s="79"/>
      <c r="R596" s="80">
        <f t="shared" si="641"/>
        <v>-9.8622248048176502</v>
      </c>
      <c r="S596" s="80">
        <f t="shared" si="642"/>
        <v>-2.3459628680505795</v>
      </c>
      <c r="T596" s="80">
        <f t="shared" si="643"/>
        <v>-2.7652089249363985</v>
      </c>
      <c r="U596" s="80">
        <f t="shared" si="644"/>
        <v>-2.5411002955037563</v>
      </c>
      <c r="V596" s="80">
        <f t="shared" si="645"/>
        <v>-14.221442989692861</v>
      </c>
      <c r="W596" s="80">
        <f t="shared" si="646"/>
        <v>-5.1334158056363455</v>
      </c>
      <c r="X596" s="80">
        <f t="shared" si="598"/>
        <v>460.04516560651803</v>
      </c>
      <c r="Y596" s="80">
        <f t="shared" si="599"/>
        <v>173.6616286731801</v>
      </c>
      <c r="Z596" s="80">
        <f t="shared" si="600"/>
        <v>132.0450338098579</v>
      </c>
      <c r="AA596" s="80">
        <f t="shared" si="601"/>
        <v>97.574485737767858</v>
      </c>
      <c r="AB596" s="80">
        <f t="shared" si="602"/>
        <v>1036.9793057914749</v>
      </c>
      <c r="AC596" s="80">
        <f t="shared" si="603"/>
        <v>583.69908395816447</v>
      </c>
      <c r="AD596" s="80"/>
      <c r="AE596" s="80"/>
      <c r="AF596" s="80"/>
      <c r="AG596" s="80"/>
      <c r="AH596" s="80"/>
      <c r="AI596" s="80"/>
      <c r="AJ596" s="45">
        <f t="shared" si="590"/>
        <v>0</v>
      </c>
      <c r="AK596" s="45">
        <f t="shared" si="591"/>
        <v>0</v>
      </c>
      <c r="AL596" s="45">
        <f t="shared" si="592"/>
        <v>0</v>
      </c>
      <c r="AM596" s="45">
        <f t="shared" si="593"/>
        <v>0</v>
      </c>
      <c r="AN596" s="45">
        <f t="shared" si="594"/>
        <v>0</v>
      </c>
      <c r="AO596" s="45">
        <f t="shared" si="595"/>
        <v>0</v>
      </c>
      <c r="AP596" s="80">
        <f t="shared" si="647"/>
        <v>0</v>
      </c>
      <c r="AQ596" s="80">
        <f t="shared" si="648"/>
        <v>0</v>
      </c>
      <c r="AR596" s="80">
        <f t="shared" si="649"/>
        <v>0</v>
      </c>
      <c r="AS596" s="80">
        <f t="shared" si="650"/>
        <v>0</v>
      </c>
      <c r="AT596" s="80">
        <f t="shared" si="651"/>
        <v>0</v>
      </c>
      <c r="AU596" s="80">
        <f t="shared" si="652"/>
        <v>0</v>
      </c>
      <c r="AV596" s="80">
        <f t="shared" si="604"/>
        <v>86.594515030468841</v>
      </c>
      <c r="AW596" s="80">
        <f t="shared" si="605"/>
        <v>40.270638023590074</v>
      </c>
      <c r="AX596" s="80">
        <f t="shared" si="606"/>
        <v>24.821030711402344</v>
      </c>
      <c r="AY596" s="80">
        <f t="shared" si="607"/>
        <v>19.514720110118887</v>
      </c>
      <c r="AZ596" s="80">
        <f t="shared" si="608"/>
        <v>226.13081885643456</v>
      </c>
      <c r="BA596" s="80">
        <f t="shared" si="609"/>
        <v>111.48922215157411</v>
      </c>
      <c r="BB596" s="80">
        <f t="shared" si="610"/>
        <v>546.6396806369869</v>
      </c>
      <c r="BC596" s="80">
        <f t="shared" si="611"/>
        <v>213.93226669677017</v>
      </c>
      <c r="BD596" s="80">
        <f t="shared" si="612"/>
        <v>156.86606452126023</v>
      </c>
      <c r="BE596" s="80">
        <f t="shared" si="613"/>
        <v>117.08920584788675</v>
      </c>
      <c r="BF596" s="80">
        <f t="shared" si="614"/>
        <v>1263.1101246479095</v>
      </c>
      <c r="BG596" s="80">
        <f t="shared" si="615"/>
        <v>695.18830610973862</v>
      </c>
      <c r="BH596" s="49">
        <f t="shared" si="616"/>
        <v>0</v>
      </c>
      <c r="BI596" s="79">
        <f t="shared" si="617"/>
        <v>-95547.546121965905</v>
      </c>
      <c r="BJ596" s="79">
        <f t="shared" si="653"/>
        <v>186200</v>
      </c>
      <c r="BK596" s="44">
        <f t="shared" si="618"/>
        <v>0.94876799622165864</v>
      </c>
      <c r="BL596" s="79">
        <f t="shared" si="619"/>
        <v>25825.36887580128</v>
      </c>
      <c r="BM596" s="49">
        <f t="shared" si="620"/>
        <v>212025.36887580127</v>
      </c>
      <c r="BN596" s="44">
        <f t="shared" si="621"/>
        <v>1.2190561399154309</v>
      </c>
      <c r="BO596" s="49">
        <f t="shared" si="654"/>
        <v>37477.405260313506</v>
      </c>
      <c r="BP596" s="49">
        <f t="shared" si="655"/>
        <v>223677.40526031351</v>
      </c>
      <c r="BQ596" s="44">
        <f t="shared" si="622"/>
        <v>1.3410062773856124</v>
      </c>
      <c r="BS596" s="49">
        <f t="shared" si="623"/>
        <v>95547.546121965905</v>
      </c>
      <c r="BT596" s="49">
        <f t="shared" si="639"/>
        <v>141.66000399999999</v>
      </c>
      <c r="BU596" s="49">
        <f t="shared" si="640"/>
        <v>47.849997999999999</v>
      </c>
      <c r="BV596" s="49">
        <f t="shared" si="624"/>
        <v>-3184.0348398237002</v>
      </c>
      <c r="BW596" s="18">
        <f t="shared" si="656"/>
        <v>3877</v>
      </c>
      <c r="BX596" s="19">
        <f t="shared" si="625"/>
        <v>0.11077981651376147</v>
      </c>
      <c r="BY596" s="49">
        <f t="shared" si="626"/>
        <v>-352.72679532909336</v>
      </c>
      <c r="BZ596" s="19">
        <f t="shared" si="627"/>
        <v>0</v>
      </c>
      <c r="CA596" s="19">
        <f t="shared" si="628"/>
        <v>0</v>
      </c>
      <c r="CB596" s="19">
        <f t="shared" si="629"/>
        <v>0</v>
      </c>
      <c r="CC596" s="19">
        <f t="shared" si="630"/>
        <v>0</v>
      </c>
      <c r="CD596" s="19">
        <f t="shared" si="631"/>
        <v>0</v>
      </c>
      <c r="CE596" s="19">
        <f t="shared" si="632"/>
        <v>0</v>
      </c>
      <c r="CF596" s="49">
        <f t="shared" si="633"/>
        <v>0</v>
      </c>
      <c r="CG596" s="49">
        <f t="shared" si="634"/>
        <v>0</v>
      </c>
      <c r="CH596" s="49">
        <f t="shared" si="635"/>
        <v>0</v>
      </c>
      <c r="CI596" s="49">
        <f t="shared" si="636"/>
        <v>0</v>
      </c>
      <c r="CJ596" s="49">
        <f t="shared" si="637"/>
        <v>0</v>
      </c>
      <c r="CK596" s="49">
        <f t="shared" si="638"/>
        <v>0</v>
      </c>
    </row>
    <row r="597" spans="2:89" ht="12.75" customHeight="1" x14ac:dyDescent="0.2">
      <c r="B597" s="77">
        <v>43177</v>
      </c>
      <c r="C597" s="79">
        <v>133.10000600000001</v>
      </c>
      <c r="D597" s="79">
        <v>100.470001</v>
      </c>
      <c r="E597" s="79">
        <v>106.900002</v>
      </c>
      <c r="F597" s="79">
        <v>126.730003</v>
      </c>
      <c r="G597" s="79">
        <v>43.310001</v>
      </c>
      <c r="H597" s="79">
        <v>45.869999</v>
      </c>
      <c r="I597" s="79"/>
      <c r="J597" s="78">
        <f>IF(inter=Weekly_2,J596+$C$5,IF(inter=Bi_weekly_2,0,IF(inter=Monthly_2,0,IF(inter=Quarterly_2,0,IF(inter=Yearly_2,0,IF(inter=None_2,0,0))))))</f>
        <v>0</v>
      </c>
      <c r="K597" s="79">
        <f t="shared" si="657"/>
        <v>0</v>
      </c>
      <c r="L597" s="79">
        <f t="shared" si="658"/>
        <v>0</v>
      </c>
      <c r="M597" s="79">
        <f t="shared" si="659"/>
        <v>0</v>
      </c>
      <c r="N597" s="79">
        <f t="shared" si="660"/>
        <v>0</v>
      </c>
      <c r="O597" s="79">
        <f t="shared" si="661"/>
        <v>0</v>
      </c>
      <c r="P597" s="79">
        <f t="shared" si="662"/>
        <v>0</v>
      </c>
      <c r="Q597" s="79"/>
      <c r="R597" s="80">
        <f t="shared" si="641"/>
        <v>0</v>
      </c>
      <c r="S597" s="80">
        <f t="shared" si="642"/>
        <v>0</v>
      </c>
      <c r="T597" s="80">
        <f t="shared" si="643"/>
        <v>0</v>
      </c>
      <c r="U597" s="80">
        <f t="shared" si="644"/>
        <v>0</v>
      </c>
      <c r="V597" s="80">
        <f t="shared" si="645"/>
        <v>0</v>
      </c>
      <c r="W597" s="80">
        <f t="shared" si="646"/>
        <v>0</v>
      </c>
      <c r="X597" s="80">
        <f t="shared" si="598"/>
        <v>460.04516560651803</v>
      </c>
      <c r="Y597" s="80">
        <f t="shared" si="599"/>
        <v>173.6616286731801</v>
      </c>
      <c r="Z597" s="80">
        <f t="shared" si="600"/>
        <v>132.0450338098579</v>
      </c>
      <c r="AA597" s="80">
        <f t="shared" si="601"/>
        <v>97.574485737767858</v>
      </c>
      <c r="AB597" s="80">
        <f t="shared" si="602"/>
        <v>1036.9793057914749</v>
      </c>
      <c r="AC597" s="80">
        <f t="shared" si="603"/>
        <v>583.69908395816447</v>
      </c>
      <c r="AD597" s="80">
        <v>0.56599999999999995</v>
      </c>
      <c r="AE597" s="80">
        <v>0.60299999999999998</v>
      </c>
      <c r="AF597" s="80">
        <v>0.51600000000000001</v>
      </c>
      <c r="AG597" s="80">
        <v>0.56599999999999995</v>
      </c>
      <c r="AH597" s="80">
        <v>0.16200000000000001</v>
      </c>
      <c r="AI597" s="80">
        <v>8.8999999999999996E-2</v>
      </c>
      <c r="AJ597" s="45">
        <f t="shared" ref="AJ597:AJ660" si="663">(X597*AD597)</f>
        <v>260.38556373328919</v>
      </c>
      <c r="AK597" s="45">
        <f t="shared" ref="AK597:AK660" si="664">(Y597*AE597)</f>
        <v>104.7179620899276</v>
      </c>
      <c r="AL597" s="45">
        <f t="shared" ref="AL597:AL660" si="665">(Z597*AF597)</f>
        <v>68.135237445886673</v>
      </c>
      <c r="AM597" s="45">
        <f t="shared" ref="AM597:AM660" si="666">(AA597*AG597)</f>
        <v>55.227158927576603</v>
      </c>
      <c r="AN597" s="45">
        <f t="shared" ref="AN597:AN660" si="667">(AB597*AH597)</f>
        <v>167.99064753821892</v>
      </c>
      <c r="AO597" s="45">
        <f t="shared" ref="AO597:AO660" si="668">(AC597*AI597)</f>
        <v>51.949218472276634</v>
      </c>
      <c r="AP597" s="80">
        <f t="shared" si="647"/>
        <v>1.9563151915506989</v>
      </c>
      <c r="AQ597" s="80">
        <f t="shared" si="648"/>
        <v>1.0422808902920941</v>
      </c>
      <c r="AR597" s="80">
        <f t="shared" si="649"/>
        <v>0.63737358438858283</v>
      </c>
      <c r="AS597" s="80">
        <f t="shared" si="650"/>
        <v>0.43578598295761584</v>
      </c>
      <c r="AT597" s="80">
        <f t="shared" si="651"/>
        <v>3.8787957436948322</v>
      </c>
      <c r="AU597" s="80">
        <f t="shared" si="652"/>
        <v>1.1325314934555946</v>
      </c>
      <c r="AV597" s="80">
        <f t="shared" si="604"/>
        <v>88.550830222019542</v>
      </c>
      <c r="AW597" s="80">
        <f t="shared" si="605"/>
        <v>41.312918913882172</v>
      </c>
      <c r="AX597" s="80">
        <f t="shared" si="606"/>
        <v>25.458404295790928</v>
      </c>
      <c r="AY597" s="80">
        <f t="shared" si="607"/>
        <v>19.950506093076502</v>
      </c>
      <c r="AZ597" s="80">
        <f t="shared" si="608"/>
        <v>230.0096146001294</v>
      </c>
      <c r="BA597" s="80">
        <f t="shared" si="609"/>
        <v>112.6217536450297</v>
      </c>
      <c r="BB597" s="80">
        <f t="shared" si="610"/>
        <v>548.59599582853753</v>
      </c>
      <c r="BC597" s="80">
        <f t="shared" si="611"/>
        <v>214.97454758706226</v>
      </c>
      <c r="BD597" s="80">
        <f t="shared" si="612"/>
        <v>157.50343810564883</v>
      </c>
      <c r="BE597" s="80">
        <f t="shared" si="613"/>
        <v>117.52499183084436</v>
      </c>
      <c r="BF597" s="80">
        <f t="shared" si="614"/>
        <v>1266.9889203916043</v>
      </c>
      <c r="BG597" s="80">
        <f t="shared" si="615"/>
        <v>696.32083760319415</v>
      </c>
      <c r="BH597" s="49">
        <f t="shared" si="616"/>
        <v>708.40578820717553</v>
      </c>
      <c r="BI597" s="79">
        <f t="shared" si="617"/>
        <v>-95547.546121965905</v>
      </c>
      <c r="BJ597" s="79">
        <f t="shared" si="653"/>
        <v>176846.87872585922</v>
      </c>
      <c r="BK597" s="44">
        <f t="shared" si="618"/>
        <v>0.85087828943419619</v>
      </c>
      <c r="BL597" s="79">
        <f t="shared" si="619"/>
        <v>26533.774664008455</v>
      </c>
      <c r="BM597" s="49">
        <f t="shared" si="620"/>
        <v>203380.65338986769</v>
      </c>
      <c r="BN597" s="44">
        <f t="shared" si="621"/>
        <v>1.1285806035275194</v>
      </c>
      <c r="BO597" s="49">
        <f t="shared" si="654"/>
        <v>36314.332571027386</v>
      </c>
      <c r="BP597" s="49">
        <f t="shared" si="655"/>
        <v>213161.21129688664</v>
      </c>
      <c r="BQ597" s="44">
        <f t="shared" si="622"/>
        <v>1.2309438593513176</v>
      </c>
      <c r="BS597" s="49">
        <f t="shared" si="623"/>
        <v>95547.546121965905</v>
      </c>
      <c r="BT597" s="49">
        <f t="shared" si="639"/>
        <v>133.10000600000001</v>
      </c>
      <c r="BU597" s="49">
        <f t="shared" si="640"/>
        <v>45.869999</v>
      </c>
      <c r="BV597" s="49">
        <f t="shared" si="624"/>
        <v>-708.40578820717553</v>
      </c>
      <c r="BW597" s="18">
        <f t="shared" si="656"/>
        <v>3884</v>
      </c>
      <c r="BX597" s="19">
        <f t="shared" si="625"/>
        <v>0.10917431192660551</v>
      </c>
      <c r="BY597" s="49">
        <f t="shared" si="626"/>
        <v>-77.33971449234302</v>
      </c>
      <c r="BZ597" s="19">
        <f t="shared" si="627"/>
        <v>0</v>
      </c>
      <c r="CA597" s="19">
        <f t="shared" si="628"/>
        <v>0</v>
      </c>
      <c r="CB597" s="19">
        <f t="shared" si="629"/>
        <v>0</v>
      </c>
      <c r="CC597" s="19">
        <f t="shared" si="630"/>
        <v>0</v>
      </c>
      <c r="CD597" s="19">
        <f t="shared" si="631"/>
        <v>0</v>
      </c>
      <c r="CE597" s="19">
        <f t="shared" si="632"/>
        <v>0</v>
      </c>
      <c r="CF597" s="49">
        <f t="shared" si="633"/>
        <v>0</v>
      </c>
      <c r="CG597" s="49">
        <f t="shared" si="634"/>
        <v>0</v>
      </c>
      <c r="CH597" s="49">
        <f t="shared" si="635"/>
        <v>0</v>
      </c>
      <c r="CI597" s="49">
        <f t="shared" si="636"/>
        <v>0</v>
      </c>
      <c r="CJ597" s="49">
        <f t="shared" si="637"/>
        <v>0</v>
      </c>
      <c r="CK597" s="49">
        <f t="shared" si="638"/>
        <v>0</v>
      </c>
    </row>
    <row r="598" spans="2:89" ht="12.75" customHeight="1" x14ac:dyDescent="0.2">
      <c r="B598" s="77">
        <v>43184</v>
      </c>
      <c r="C598" s="79">
        <v>135.720001</v>
      </c>
      <c r="D598" s="79">
        <v>103.18</v>
      </c>
      <c r="E598" s="79">
        <v>109.389999</v>
      </c>
      <c r="F598" s="79">
        <v>129.41999799999999</v>
      </c>
      <c r="G598" s="79">
        <v>44.25</v>
      </c>
      <c r="H598" s="79">
        <v>46.98</v>
      </c>
      <c r="I598" s="79"/>
      <c r="J598" s="78">
        <f>IF(inter=Weekly_2,J597+$C$5,IF(inter=Bi_weekly_2,J596+$C$5,IF(inter=Monthly_2,J594+$C$5,IF(inter=Quarterly_2,0,IF(inter=Yearly_2,0,IF(inter=None_2,0,0))))))</f>
        <v>186800</v>
      </c>
      <c r="K598" s="79">
        <f t="shared" si="657"/>
        <v>-2942.6696638382055</v>
      </c>
      <c r="L598" s="79">
        <f t="shared" si="658"/>
        <v>-761.59315350127508</v>
      </c>
      <c r="M598" s="79">
        <f t="shared" si="659"/>
        <v>-499.59388358467731</v>
      </c>
      <c r="N598" s="79">
        <f t="shared" si="660"/>
        <v>-447.91025096705744</v>
      </c>
      <c r="O598" s="79">
        <f t="shared" si="661"/>
        <v>-813.6657187272358</v>
      </c>
      <c r="P598" s="79">
        <f t="shared" si="662"/>
        <v>-597.81703564543568</v>
      </c>
      <c r="Q598" s="79"/>
      <c r="R598" s="80">
        <f t="shared" si="641"/>
        <v>21.681916019424474</v>
      </c>
      <c r="S598" s="80">
        <f t="shared" si="642"/>
        <v>7.3812090860755477</v>
      </c>
      <c r="T598" s="80">
        <f t="shared" si="643"/>
        <v>4.5670892051537297</v>
      </c>
      <c r="U598" s="80">
        <f t="shared" si="644"/>
        <v>3.4609044806742886</v>
      </c>
      <c r="V598" s="80">
        <f t="shared" si="645"/>
        <v>18.387925846943183</v>
      </c>
      <c r="W598" s="80">
        <f t="shared" si="646"/>
        <v>12.72492625894925</v>
      </c>
      <c r="X598" s="80">
        <f t="shared" ref="X598:X661" si="669">X597+R598</f>
        <v>481.7270816259425</v>
      </c>
      <c r="Y598" s="80">
        <f t="shared" ref="Y598:Y661" si="670">Y597+S598</f>
        <v>181.04283775925566</v>
      </c>
      <c r="Z598" s="80">
        <f t="shared" ref="Z598:Z661" si="671">Z597+T598</f>
        <v>136.61212301501163</v>
      </c>
      <c r="AA598" s="80">
        <f t="shared" ref="AA598:AA661" si="672">AA597+U598</f>
        <v>101.03539021844215</v>
      </c>
      <c r="AB598" s="80">
        <f t="shared" ref="AB598:AB661" si="673">AB597+V598</f>
        <v>1055.3672316384182</v>
      </c>
      <c r="AC598" s="80">
        <f t="shared" ref="AC598:AC661" si="674">AC597+W598</f>
        <v>596.42401021711373</v>
      </c>
      <c r="AD598" s="80"/>
      <c r="AE598" s="80"/>
      <c r="AF598" s="80"/>
      <c r="AG598" s="80"/>
      <c r="AH598" s="80"/>
      <c r="AI598" s="80"/>
      <c r="AJ598" s="45">
        <f t="shared" si="663"/>
        <v>0</v>
      </c>
      <c r="AK598" s="45">
        <f t="shared" si="664"/>
        <v>0</v>
      </c>
      <c r="AL598" s="45">
        <f t="shared" si="665"/>
        <v>0</v>
      </c>
      <c r="AM598" s="45">
        <f t="shared" si="666"/>
        <v>0</v>
      </c>
      <c r="AN598" s="45">
        <f t="shared" si="667"/>
        <v>0</v>
      </c>
      <c r="AO598" s="45">
        <f t="shared" si="668"/>
        <v>0</v>
      </c>
      <c r="AP598" s="80">
        <f t="shared" si="647"/>
        <v>0</v>
      </c>
      <c r="AQ598" s="80">
        <f t="shared" si="648"/>
        <v>0</v>
      </c>
      <c r="AR598" s="80">
        <f t="shared" si="649"/>
        <v>0</v>
      </c>
      <c r="AS598" s="80">
        <f t="shared" si="650"/>
        <v>0</v>
      </c>
      <c r="AT598" s="80">
        <f t="shared" si="651"/>
        <v>0</v>
      </c>
      <c r="AU598" s="80">
        <f t="shared" si="652"/>
        <v>0</v>
      </c>
      <c r="AV598" s="80">
        <f t="shared" ref="AV598:AV661" si="675">AP598+AV597+IF(AP598&lt;0,AP598,0)</f>
        <v>88.550830222019542</v>
      </c>
      <c r="AW598" s="80">
        <f t="shared" ref="AW598:AW661" si="676">AQ598+AW597+IF(AQ598&lt;0,AQ598,0)</f>
        <v>41.312918913882172</v>
      </c>
      <c r="AX598" s="80">
        <f t="shared" ref="AX598:AX661" si="677">AR598+AX597+IF(AR598&lt;0,AR598,0)</f>
        <v>25.458404295790928</v>
      </c>
      <c r="AY598" s="80">
        <f t="shared" ref="AY598:AY661" si="678">AS598+AY597+IF(AS598&lt;0,AS598,0)</f>
        <v>19.950506093076502</v>
      </c>
      <c r="AZ598" s="80">
        <f t="shared" ref="AZ598:AZ661" si="679">AT598+AZ597+IF(AT598&lt;0,AT598,0)</f>
        <v>230.0096146001294</v>
      </c>
      <c r="BA598" s="80">
        <f t="shared" ref="BA598:BA661" si="680">AU598+BA597+IF(AU598&lt;0,AU598,0)</f>
        <v>112.6217536450297</v>
      </c>
      <c r="BB598" s="80">
        <f t="shared" ref="BB598:BB661" si="681">X598+AV598</f>
        <v>570.27791184796206</v>
      </c>
      <c r="BC598" s="80">
        <f t="shared" ref="BC598:BC661" si="682">Y598+AW598</f>
        <v>222.35575667313782</v>
      </c>
      <c r="BD598" s="80">
        <f t="shared" ref="BD598:BD661" si="683">Z598+AX598</f>
        <v>162.07052731080256</v>
      </c>
      <c r="BE598" s="80">
        <f t="shared" ref="BE598:BE661" si="684">AA598+AY598</f>
        <v>120.98589631151864</v>
      </c>
      <c r="BF598" s="80">
        <f t="shared" ref="BF598:BF661" si="685">AB598+AZ598</f>
        <v>1285.3768462385476</v>
      </c>
      <c r="BG598" s="80">
        <f t="shared" ref="BG598:BG661" si="686">AC598+BA598</f>
        <v>709.04576386214342</v>
      </c>
      <c r="BH598" s="49">
        <f t="shared" ref="BH598:BH661" si="687">(AJ598+AK598+AL598+AM598+AN598+AO598)</f>
        <v>0</v>
      </c>
      <c r="BI598" s="79">
        <f t="shared" ref="BI598:BI661" si="688">BI597+K598+L598+M598+N598+O598+P598</f>
        <v>-101610.79582822981</v>
      </c>
      <c r="BJ598" s="79">
        <f t="shared" si="653"/>
        <v>186800</v>
      </c>
      <c r="BK598" s="44">
        <f t="shared" ref="BK598:BK661" si="689">BJ598/ABS(BI598)-1</f>
        <v>0.83838733352487615</v>
      </c>
      <c r="BL598" s="79">
        <f t="shared" ref="BL598:BL661" si="690">BL597+BH598</f>
        <v>26533.774664008455</v>
      </c>
      <c r="BM598" s="49">
        <f t="shared" ref="BM598:BM661" si="691">BJ598+BL598</f>
        <v>213333.77466400847</v>
      </c>
      <c r="BN598" s="44">
        <f t="shared" ref="BN598:BN661" si="692">BM598/ABS(BI598)-1</f>
        <v>1.0995187856282831</v>
      </c>
      <c r="BO598" s="49">
        <f t="shared" si="654"/>
        <v>37116.570451240019</v>
      </c>
      <c r="BP598" s="49">
        <f t="shared" si="655"/>
        <v>223916.57045124003</v>
      </c>
      <c r="BQ598" s="44">
        <f t="shared" ref="BQ598:BQ661" si="693">(BP598/ABS(BI598))-1</f>
        <v>1.2036690946675064</v>
      </c>
      <c r="BS598" s="49">
        <f t="shared" ref="BS598:BS661" si="694">ABS(BI598)</f>
        <v>101610.79582822981</v>
      </c>
      <c r="BT598" s="49">
        <f t="shared" si="639"/>
        <v>135.720001</v>
      </c>
      <c r="BU598" s="49">
        <f t="shared" si="640"/>
        <v>46.98</v>
      </c>
      <c r="BV598" s="49">
        <f t="shared" ref="BV598:BV661" si="695">-(K598+L598+M598+N598+O598+P598+BH598)</f>
        <v>6063.2497062638868</v>
      </c>
      <c r="BW598" s="18">
        <f t="shared" si="656"/>
        <v>3891</v>
      </c>
      <c r="BX598" s="19">
        <f t="shared" ref="BX598:BX661" si="696">($BW$40-BW598)/$BW$40</f>
        <v>0.10756880733944954</v>
      </c>
      <c r="BY598" s="49">
        <f t="shared" ref="BY598:BY661" si="697">BX598*BV598</f>
        <v>652.21653950407403</v>
      </c>
      <c r="BZ598" s="19">
        <f t="shared" ref="BZ598:BZ661" si="698">IF(R598&gt;0,R598,0)</f>
        <v>21.681916019424474</v>
      </c>
      <c r="CA598" s="19">
        <f t="shared" ref="CA598:CA661" si="699">IF(S598&gt;0,S598,0)</f>
        <v>7.3812090860755477</v>
      </c>
      <c r="CB598" s="19">
        <f t="shared" ref="CB598:CB661" si="700">IF(T598&gt;0,T598,0)</f>
        <v>4.5670892051537297</v>
      </c>
      <c r="CC598" s="19">
        <f t="shared" ref="CC598:CC661" si="701">IF(U598&gt;0,U598,0)</f>
        <v>3.4609044806742886</v>
      </c>
      <c r="CD598" s="19">
        <f t="shared" ref="CD598:CD661" si="702">IF(V598&gt;0,V598,0)</f>
        <v>18.387925846943183</v>
      </c>
      <c r="CE598" s="19">
        <f t="shared" ref="CE598:CE661" si="703">IF(W598&gt;0,W598,0)</f>
        <v>12.72492625894925</v>
      </c>
      <c r="CF598" s="49">
        <f t="shared" ref="CF598:CF661" si="704">IF(K598&lt;0,K598,0)</f>
        <v>-2942.6696638382055</v>
      </c>
      <c r="CG598" s="49">
        <f t="shared" ref="CG598:CG661" si="705">IF(L598&lt;0,L598,0)</f>
        <v>-761.59315350127508</v>
      </c>
      <c r="CH598" s="49">
        <f t="shared" ref="CH598:CH661" si="706">IF(M598&lt;0,M598,0)</f>
        <v>-499.59388358467731</v>
      </c>
      <c r="CI598" s="49">
        <f t="shared" ref="CI598:CI661" si="707">IF(N598&lt;0,N598,0)</f>
        <v>-447.91025096705744</v>
      </c>
      <c r="CJ598" s="49">
        <f t="shared" ref="CJ598:CJ661" si="708">IF(O598&lt;0,O598,0)</f>
        <v>-813.6657187272358</v>
      </c>
      <c r="CK598" s="49">
        <f t="shared" ref="CK598:CK661" si="709">IF(P598&lt;0,P598,0)</f>
        <v>-597.81703564543568</v>
      </c>
    </row>
    <row r="599" spans="2:89" ht="12.75" customHeight="1" x14ac:dyDescent="0.2">
      <c r="B599" s="77">
        <v>43191</v>
      </c>
      <c r="C599" s="79">
        <v>133.86999499999999</v>
      </c>
      <c r="D599" s="79">
        <v>102.050003</v>
      </c>
      <c r="E599" s="79">
        <v>108.370003</v>
      </c>
      <c r="F599" s="79">
        <v>128.240005</v>
      </c>
      <c r="G599" s="79">
        <v>44</v>
      </c>
      <c r="H599" s="79">
        <v>46.16</v>
      </c>
      <c r="I599" s="79"/>
      <c r="J599" s="78">
        <f>IF(inter=Weekly_2,J598+$C$5,IF(inter=Bi_weekly_2,0,IF(inter=Monthly_2,0,IF(inter=Quarterly_2,0,IF(inter=Yearly_2,0,IF(inter=None_2,0,0))))))</f>
        <v>0</v>
      </c>
      <c r="K599" s="79">
        <f t="shared" si="657"/>
        <v>0</v>
      </c>
      <c r="L599" s="79">
        <f t="shared" si="658"/>
        <v>0</v>
      </c>
      <c r="M599" s="79">
        <f t="shared" si="659"/>
        <v>0</v>
      </c>
      <c r="N599" s="79">
        <f t="shared" si="660"/>
        <v>0</v>
      </c>
      <c r="O599" s="79">
        <f t="shared" si="661"/>
        <v>0</v>
      </c>
      <c r="P599" s="79">
        <f t="shared" si="662"/>
        <v>0</v>
      </c>
      <c r="Q599" s="79"/>
      <c r="R599" s="80">
        <f t="shared" si="641"/>
        <v>0</v>
      </c>
      <c r="S599" s="80">
        <f t="shared" si="642"/>
        <v>0</v>
      </c>
      <c r="T599" s="80">
        <f t="shared" si="643"/>
        <v>0</v>
      </c>
      <c r="U599" s="80">
        <f t="shared" si="644"/>
        <v>0</v>
      </c>
      <c r="V599" s="80">
        <f t="shared" si="645"/>
        <v>0</v>
      </c>
      <c r="W599" s="80">
        <f t="shared" si="646"/>
        <v>0</v>
      </c>
      <c r="X599" s="80">
        <f t="shared" si="669"/>
        <v>481.7270816259425</v>
      </c>
      <c r="Y599" s="80">
        <f t="shared" si="670"/>
        <v>181.04283775925566</v>
      </c>
      <c r="Z599" s="80">
        <f t="shared" si="671"/>
        <v>136.61212301501163</v>
      </c>
      <c r="AA599" s="80">
        <f t="shared" si="672"/>
        <v>101.03539021844215</v>
      </c>
      <c r="AB599" s="80">
        <f t="shared" si="673"/>
        <v>1055.3672316384182</v>
      </c>
      <c r="AC599" s="80">
        <f t="shared" si="674"/>
        <v>596.42401021711373</v>
      </c>
      <c r="AD599" s="80"/>
      <c r="AE599" s="80"/>
      <c r="AF599" s="80"/>
      <c r="AG599" s="80"/>
      <c r="AH599" s="80"/>
      <c r="AI599" s="80"/>
      <c r="AJ599" s="45">
        <f t="shared" si="663"/>
        <v>0</v>
      </c>
      <c r="AK599" s="45">
        <f t="shared" si="664"/>
        <v>0</v>
      </c>
      <c r="AL599" s="45">
        <f t="shared" si="665"/>
        <v>0</v>
      </c>
      <c r="AM599" s="45">
        <f t="shared" si="666"/>
        <v>0</v>
      </c>
      <c r="AN599" s="45">
        <f t="shared" si="667"/>
        <v>0</v>
      </c>
      <c r="AO599" s="45">
        <f t="shared" si="668"/>
        <v>0</v>
      </c>
      <c r="AP599" s="80">
        <f t="shared" si="647"/>
        <v>0</v>
      </c>
      <c r="AQ599" s="80">
        <f t="shared" si="648"/>
        <v>0</v>
      </c>
      <c r="AR599" s="80">
        <f t="shared" si="649"/>
        <v>0</v>
      </c>
      <c r="AS599" s="80">
        <f t="shared" si="650"/>
        <v>0</v>
      </c>
      <c r="AT599" s="80">
        <f t="shared" si="651"/>
        <v>0</v>
      </c>
      <c r="AU599" s="80">
        <f t="shared" si="652"/>
        <v>0</v>
      </c>
      <c r="AV599" s="80">
        <f t="shared" si="675"/>
        <v>88.550830222019542</v>
      </c>
      <c r="AW599" s="80">
        <f t="shared" si="676"/>
        <v>41.312918913882172</v>
      </c>
      <c r="AX599" s="80">
        <f t="shared" si="677"/>
        <v>25.458404295790928</v>
      </c>
      <c r="AY599" s="80">
        <f t="shared" si="678"/>
        <v>19.950506093076502</v>
      </c>
      <c r="AZ599" s="80">
        <f t="shared" si="679"/>
        <v>230.0096146001294</v>
      </c>
      <c r="BA599" s="80">
        <f t="shared" si="680"/>
        <v>112.6217536450297</v>
      </c>
      <c r="BB599" s="80">
        <f t="shared" si="681"/>
        <v>570.27791184796206</v>
      </c>
      <c r="BC599" s="80">
        <f t="shared" si="682"/>
        <v>222.35575667313782</v>
      </c>
      <c r="BD599" s="80">
        <f t="shared" si="683"/>
        <v>162.07052731080256</v>
      </c>
      <c r="BE599" s="80">
        <f t="shared" si="684"/>
        <v>120.98589631151864</v>
      </c>
      <c r="BF599" s="80">
        <f t="shared" si="685"/>
        <v>1285.3768462385476</v>
      </c>
      <c r="BG599" s="80">
        <f t="shared" si="686"/>
        <v>709.04576386214342</v>
      </c>
      <c r="BH599" s="49">
        <f t="shared" si="687"/>
        <v>0</v>
      </c>
      <c r="BI599" s="79">
        <f t="shared" si="688"/>
        <v>-101610.79582822981</v>
      </c>
      <c r="BJ599" s="79">
        <f t="shared" si="653"/>
        <v>184692.74977656559</v>
      </c>
      <c r="BK599" s="44">
        <f t="shared" si="689"/>
        <v>0.81764888534859503</v>
      </c>
      <c r="BL599" s="79">
        <f t="shared" si="690"/>
        <v>26533.774664008455</v>
      </c>
      <c r="BM599" s="49">
        <f t="shared" si="691"/>
        <v>211226.52444057405</v>
      </c>
      <c r="BN599" s="44">
        <f t="shared" si="692"/>
        <v>1.078780337452002</v>
      </c>
      <c r="BO599" s="49">
        <f t="shared" si="654"/>
        <v>36706.706239867039</v>
      </c>
      <c r="BP599" s="49">
        <f t="shared" si="655"/>
        <v>221399.45601643261</v>
      </c>
      <c r="BQ599" s="44">
        <f t="shared" si="693"/>
        <v>1.1788969785326961</v>
      </c>
      <c r="BS599" s="49">
        <f t="shared" si="694"/>
        <v>101610.79582822981</v>
      </c>
      <c r="BT599" s="49">
        <f t="shared" si="639"/>
        <v>133.86999499999999</v>
      </c>
      <c r="BU599" s="49">
        <f t="shared" si="640"/>
        <v>46.16</v>
      </c>
      <c r="BV599" s="49">
        <f t="shared" si="695"/>
        <v>0</v>
      </c>
      <c r="BW599" s="18">
        <f t="shared" si="656"/>
        <v>3898</v>
      </c>
      <c r="BX599" s="19">
        <f t="shared" si="696"/>
        <v>0.10596330275229358</v>
      </c>
      <c r="BY599" s="49">
        <f t="shared" si="697"/>
        <v>0</v>
      </c>
      <c r="BZ599" s="19">
        <f t="shared" si="698"/>
        <v>0</v>
      </c>
      <c r="CA599" s="19">
        <f t="shared" si="699"/>
        <v>0</v>
      </c>
      <c r="CB599" s="19">
        <f t="shared" si="700"/>
        <v>0</v>
      </c>
      <c r="CC599" s="19">
        <f t="shared" si="701"/>
        <v>0</v>
      </c>
      <c r="CD599" s="19">
        <f t="shared" si="702"/>
        <v>0</v>
      </c>
      <c r="CE599" s="19">
        <f t="shared" si="703"/>
        <v>0</v>
      </c>
      <c r="CF599" s="49">
        <f t="shared" si="704"/>
        <v>0</v>
      </c>
      <c r="CG599" s="49">
        <f t="shared" si="705"/>
        <v>0</v>
      </c>
      <c r="CH599" s="49">
        <f t="shared" si="706"/>
        <v>0</v>
      </c>
      <c r="CI599" s="49">
        <f t="shared" si="707"/>
        <v>0</v>
      </c>
      <c r="CJ599" s="49">
        <f t="shared" si="708"/>
        <v>0</v>
      </c>
      <c r="CK599" s="49">
        <f t="shared" si="709"/>
        <v>0</v>
      </c>
    </row>
    <row r="600" spans="2:89" ht="12.75" customHeight="1" x14ac:dyDescent="0.2">
      <c r="B600" s="77">
        <v>43198</v>
      </c>
      <c r="C600" s="79">
        <v>136.58000200000001</v>
      </c>
      <c r="D600" s="79">
        <v>103.959999</v>
      </c>
      <c r="E600" s="79">
        <v>109.83000199999999</v>
      </c>
      <c r="F600" s="79">
        <v>130.229996</v>
      </c>
      <c r="G600" s="79">
        <v>44.869999</v>
      </c>
      <c r="H600" s="79">
        <v>46.540000999999997</v>
      </c>
      <c r="I600" s="79"/>
      <c r="J600" s="78">
        <f>IF(inter=Weekly_2,J599+$C$5,IF(inter=Bi_weekly_2,J598+$C$5,IF(inter=Monthly_2,0,IF(inter=Quarterly_2,0,IF(inter=Yearly_2,0,IF(inter=None_2,0,0))))))</f>
        <v>187400</v>
      </c>
      <c r="K600" s="79">
        <f t="shared" si="657"/>
        <v>204.28577192539524</v>
      </c>
      <c r="L600" s="79">
        <f t="shared" si="658"/>
        <v>81.213232409379998</v>
      </c>
      <c r="M600" s="79">
        <f t="shared" si="659"/>
        <v>12.109743962972061</v>
      </c>
      <c r="N600" s="79">
        <f t="shared" si="660"/>
        <v>39.838464006157665</v>
      </c>
      <c r="O600" s="79">
        <f t="shared" si="661"/>
        <v>504.3266282485929</v>
      </c>
      <c r="P600" s="79">
        <f t="shared" si="662"/>
        <v>-352.42596807151858</v>
      </c>
      <c r="Q600" s="79"/>
      <c r="R600" s="80">
        <f t="shared" si="641"/>
        <v>-1.4957224259331554</v>
      </c>
      <c r="S600" s="80">
        <f t="shared" si="642"/>
        <v>-0.78119693334529561</v>
      </c>
      <c r="T600" s="80">
        <f t="shared" si="643"/>
        <v>-0.11025897971823821</v>
      </c>
      <c r="U600" s="80">
        <f t="shared" si="644"/>
        <v>-0.30590850978877143</v>
      </c>
      <c r="V600" s="80">
        <f t="shared" si="645"/>
        <v>-11.239728983470512</v>
      </c>
      <c r="W600" s="80">
        <f t="shared" si="646"/>
        <v>7.5725389019978451</v>
      </c>
      <c r="X600" s="80">
        <f t="shared" si="669"/>
        <v>480.23135920000936</v>
      </c>
      <c r="Y600" s="80">
        <f t="shared" si="670"/>
        <v>180.26164082591038</v>
      </c>
      <c r="Z600" s="80">
        <f t="shared" si="671"/>
        <v>136.50186403529341</v>
      </c>
      <c r="AA600" s="80">
        <f t="shared" si="672"/>
        <v>100.72948170865338</v>
      </c>
      <c r="AB600" s="80">
        <f t="shared" si="673"/>
        <v>1044.1275026549476</v>
      </c>
      <c r="AC600" s="80">
        <f t="shared" si="674"/>
        <v>603.99654911911159</v>
      </c>
      <c r="AD600" s="80"/>
      <c r="AE600" s="80"/>
      <c r="AF600" s="80"/>
      <c r="AG600" s="80"/>
      <c r="AH600" s="80"/>
      <c r="AI600" s="80"/>
      <c r="AJ600" s="45">
        <f t="shared" si="663"/>
        <v>0</v>
      </c>
      <c r="AK600" s="45">
        <f t="shared" si="664"/>
        <v>0</v>
      </c>
      <c r="AL600" s="45">
        <f t="shared" si="665"/>
        <v>0</v>
      </c>
      <c r="AM600" s="45">
        <f t="shared" si="666"/>
        <v>0</v>
      </c>
      <c r="AN600" s="45">
        <f t="shared" si="667"/>
        <v>0</v>
      </c>
      <c r="AO600" s="45">
        <f t="shared" si="668"/>
        <v>0</v>
      </c>
      <c r="AP600" s="80">
        <f t="shared" si="647"/>
        <v>0</v>
      </c>
      <c r="AQ600" s="80">
        <f t="shared" si="648"/>
        <v>0</v>
      </c>
      <c r="AR600" s="80">
        <f t="shared" si="649"/>
        <v>0</v>
      </c>
      <c r="AS600" s="80">
        <f t="shared" si="650"/>
        <v>0</v>
      </c>
      <c r="AT600" s="80">
        <f t="shared" si="651"/>
        <v>0</v>
      </c>
      <c r="AU600" s="80">
        <f t="shared" si="652"/>
        <v>0</v>
      </c>
      <c r="AV600" s="80">
        <f t="shared" si="675"/>
        <v>88.550830222019542</v>
      </c>
      <c r="AW600" s="80">
        <f t="shared" si="676"/>
        <v>41.312918913882172</v>
      </c>
      <c r="AX600" s="80">
        <f t="shared" si="677"/>
        <v>25.458404295790928</v>
      </c>
      <c r="AY600" s="80">
        <f t="shared" si="678"/>
        <v>19.950506093076502</v>
      </c>
      <c r="AZ600" s="80">
        <f t="shared" si="679"/>
        <v>230.0096146001294</v>
      </c>
      <c r="BA600" s="80">
        <f t="shared" si="680"/>
        <v>112.6217536450297</v>
      </c>
      <c r="BB600" s="80">
        <f t="shared" si="681"/>
        <v>568.78218942202886</v>
      </c>
      <c r="BC600" s="80">
        <f t="shared" si="682"/>
        <v>221.57455973979256</v>
      </c>
      <c r="BD600" s="80">
        <f t="shared" si="683"/>
        <v>161.96026833108434</v>
      </c>
      <c r="BE600" s="80">
        <f t="shared" si="684"/>
        <v>120.67998780172988</v>
      </c>
      <c r="BF600" s="80">
        <f t="shared" si="685"/>
        <v>1274.1371172550771</v>
      </c>
      <c r="BG600" s="80">
        <f t="shared" si="686"/>
        <v>716.61830276414128</v>
      </c>
      <c r="BH600" s="49">
        <f t="shared" si="687"/>
        <v>0</v>
      </c>
      <c r="BI600" s="79">
        <f t="shared" si="688"/>
        <v>-101121.44795574884</v>
      </c>
      <c r="BJ600" s="79">
        <f t="shared" si="653"/>
        <v>187400</v>
      </c>
      <c r="BK600" s="44">
        <f t="shared" si="689"/>
        <v>0.85321713433145274</v>
      </c>
      <c r="BL600" s="79">
        <f t="shared" si="690"/>
        <v>26533.774664008455</v>
      </c>
      <c r="BM600" s="49">
        <f t="shared" si="691"/>
        <v>213933.77466400847</v>
      </c>
      <c r="BN600" s="44">
        <f t="shared" si="692"/>
        <v>1.1156122562408992</v>
      </c>
      <c r="BO600" s="49">
        <f t="shared" si="654"/>
        <v>37345.362205581841</v>
      </c>
      <c r="BP600" s="49">
        <f t="shared" si="655"/>
        <v>224745.36220558183</v>
      </c>
      <c r="BQ600" s="44">
        <f t="shared" si="693"/>
        <v>1.2225291147327253</v>
      </c>
      <c r="BS600" s="49">
        <f t="shared" si="694"/>
        <v>101121.44795574884</v>
      </c>
      <c r="BT600" s="49">
        <f t="shared" ref="BT600:BT665" si="710">C600</f>
        <v>136.58000200000001</v>
      </c>
      <c r="BU600" s="49">
        <f t="shared" ref="BU600:BU665" si="711">H600</f>
        <v>46.540000999999997</v>
      </c>
      <c r="BV600" s="49">
        <f t="shared" si="695"/>
        <v>-489.34787248097928</v>
      </c>
      <c r="BW600" s="18">
        <f t="shared" si="656"/>
        <v>3905</v>
      </c>
      <c r="BX600" s="19">
        <f t="shared" si="696"/>
        <v>0.10435779816513761</v>
      </c>
      <c r="BY600" s="49">
        <f t="shared" si="697"/>
        <v>-51.067266508909533</v>
      </c>
      <c r="BZ600" s="19">
        <f t="shared" si="698"/>
        <v>0</v>
      </c>
      <c r="CA600" s="19">
        <f t="shared" si="699"/>
        <v>0</v>
      </c>
      <c r="CB600" s="19">
        <f t="shared" si="700"/>
        <v>0</v>
      </c>
      <c r="CC600" s="19">
        <f t="shared" si="701"/>
        <v>0</v>
      </c>
      <c r="CD600" s="19">
        <f t="shared" si="702"/>
        <v>0</v>
      </c>
      <c r="CE600" s="19">
        <f t="shared" si="703"/>
        <v>7.5725389019978451</v>
      </c>
      <c r="CF600" s="49">
        <f t="shared" si="704"/>
        <v>0</v>
      </c>
      <c r="CG600" s="49">
        <f t="shared" si="705"/>
        <v>0</v>
      </c>
      <c r="CH600" s="49">
        <f t="shared" si="706"/>
        <v>0</v>
      </c>
      <c r="CI600" s="49">
        <f t="shared" si="707"/>
        <v>0</v>
      </c>
      <c r="CJ600" s="49">
        <f t="shared" si="708"/>
        <v>0</v>
      </c>
      <c r="CK600" s="49">
        <f t="shared" si="709"/>
        <v>-352.42596807151858</v>
      </c>
    </row>
    <row r="601" spans="2:89" ht="12.75" customHeight="1" x14ac:dyDescent="0.2">
      <c r="B601" s="77">
        <v>43205</v>
      </c>
      <c r="C601" s="79">
        <v>137.5</v>
      </c>
      <c r="D601" s="79">
        <v>104.730003</v>
      </c>
      <c r="E601" s="79">
        <v>110.589996</v>
      </c>
      <c r="F601" s="79">
        <v>131.509995</v>
      </c>
      <c r="G601" s="79">
        <v>45.02</v>
      </c>
      <c r="H601" s="79">
        <v>46.139999000000003</v>
      </c>
      <c r="I601" s="79"/>
      <c r="J601" s="78">
        <f>IF(inter=Weekly_2,J600+$C$5,IF(inter=Bi_weekly_2,0,IF(inter=Monthly_2,0,IF(inter=Quarterly_2,J588+$C$5,IF(inter=Yearly_2,0,IF(inter=None_2,0,0))))))</f>
        <v>0</v>
      </c>
      <c r="K601" s="79">
        <f t="shared" si="657"/>
        <v>0</v>
      </c>
      <c r="L601" s="79">
        <f t="shared" si="658"/>
        <v>0</v>
      </c>
      <c r="M601" s="79">
        <f t="shared" si="659"/>
        <v>0</v>
      </c>
      <c r="N601" s="79">
        <f t="shared" si="660"/>
        <v>0</v>
      </c>
      <c r="O601" s="79">
        <f t="shared" si="661"/>
        <v>0</v>
      </c>
      <c r="P601" s="79">
        <f t="shared" si="662"/>
        <v>0</v>
      </c>
      <c r="Q601" s="79"/>
      <c r="R601" s="80">
        <f t="shared" si="641"/>
        <v>0</v>
      </c>
      <c r="S601" s="80">
        <f t="shared" si="642"/>
        <v>0</v>
      </c>
      <c r="T601" s="80">
        <f t="shared" si="643"/>
        <v>0</v>
      </c>
      <c r="U601" s="80">
        <f t="shared" si="644"/>
        <v>0</v>
      </c>
      <c r="V601" s="80">
        <f t="shared" si="645"/>
        <v>0</v>
      </c>
      <c r="W601" s="80">
        <f t="shared" si="646"/>
        <v>0</v>
      </c>
      <c r="X601" s="80">
        <f t="shared" si="669"/>
        <v>480.23135920000936</v>
      </c>
      <c r="Y601" s="80">
        <f t="shared" si="670"/>
        <v>180.26164082591038</v>
      </c>
      <c r="Z601" s="80">
        <f t="shared" si="671"/>
        <v>136.50186403529341</v>
      </c>
      <c r="AA601" s="80">
        <f t="shared" si="672"/>
        <v>100.72948170865338</v>
      </c>
      <c r="AB601" s="80">
        <f t="shared" si="673"/>
        <v>1044.1275026549476</v>
      </c>
      <c r="AC601" s="80">
        <f t="shared" si="674"/>
        <v>603.99654911911159</v>
      </c>
      <c r="AD601" s="80"/>
      <c r="AE601" s="80"/>
      <c r="AF601" s="80"/>
      <c r="AG601" s="80"/>
      <c r="AH601" s="80"/>
      <c r="AI601" s="80"/>
      <c r="AJ601" s="45">
        <f t="shared" si="663"/>
        <v>0</v>
      </c>
      <c r="AK601" s="45">
        <f t="shared" si="664"/>
        <v>0</v>
      </c>
      <c r="AL601" s="45">
        <f t="shared" si="665"/>
        <v>0</v>
      </c>
      <c r="AM601" s="45">
        <f t="shared" si="666"/>
        <v>0</v>
      </c>
      <c r="AN601" s="45">
        <f t="shared" si="667"/>
        <v>0</v>
      </c>
      <c r="AO601" s="45">
        <f t="shared" si="668"/>
        <v>0</v>
      </c>
      <c r="AP601" s="80">
        <f t="shared" si="647"/>
        <v>0</v>
      </c>
      <c r="AQ601" s="80">
        <f t="shared" si="648"/>
        <v>0</v>
      </c>
      <c r="AR601" s="80">
        <f t="shared" si="649"/>
        <v>0</v>
      </c>
      <c r="AS601" s="80">
        <f t="shared" si="650"/>
        <v>0</v>
      </c>
      <c r="AT601" s="80">
        <f t="shared" si="651"/>
        <v>0</v>
      </c>
      <c r="AU601" s="80">
        <f t="shared" si="652"/>
        <v>0</v>
      </c>
      <c r="AV601" s="80">
        <f t="shared" si="675"/>
        <v>88.550830222019542</v>
      </c>
      <c r="AW601" s="80">
        <f t="shared" si="676"/>
        <v>41.312918913882172</v>
      </c>
      <c r="AX601" s="80">
        <f t="shared" si="677"/>
        <v>25.458404295790928</v>
      </c>
      <c r="AY601" s="80">
        <f t="shared" si="678"/>
        <v>19.950506093076502</v>
      </c>
      <c r="AZ601" s="80">
        <f t="shared" si="679"/>
        <v>230.0096146001294</v>
      </c>
      <c r="BA601" s="80">
        <f t="shared" si="680"/>
        <v>112.6217536450297</v>
      </c>
      <c r="BB601" s="80">
        <f t="shared" si="681"/>
        <v>568.78218942202886</v>
      </c>
      <c r="BC601" s="80">
        <f t="shared" si="682"/>
        <v>221.57455973979256</v>
      </c>
      <c r="BD601" s="80">
        <f t="shared" si="683"/>
        <v>161.96026833108434</v>
      </c>
      <c r="BE601" s="80">
        <f t="shared" si="684"/>
        <v>120.67998780172988</v>
      </c>
      <c r="BF601" s="80">
        <f t="shared" si="685"/>
        <v>1274.1371172550771</v>
      </c>
      <c r="BG601" s="80">
        <f t="shared" si="686"/>
        <v>716.61830276414128</v>
      </c>
      <c r="BH601" s="49">
        <f t="shared" si="687"/>
        <v>0</v>
      </c>
      <c r="BI601" s="79">
        <f t="shared" si="688"/>
        <v>-101121.44795574884</v>
      </c>
      <c r="BJ601" s="79">
        <f t="shared" si="653"/>
        <v>188128.30864988203</v>
      </c>
      <c r="BK601" s="44">
        <f t="shared" si="689"/>
        <v>0.86041945060169378</v>
      </c>
      <c r="BL601" s="79">
        <f t="shared" si="690"/>
        <v>26533.774664008455</v>
      </c>
      <c r="BM601" s="49">
        <f t="shared" si="691"/>
        <v>214662.0833138905</v>
      </c>
      <c r="BN601" s="44">
        <f t="shared" si="692"/>
        <v>1.1228145725111403</v>
      </c>
      <c r="BO601" s="49">
        <f t="shared" si="654"/>
        <v>37492.977512960933</v>
      </c>
      <c r="BP601" s="49">
        <f t="shared" si="655"/>
        <v>225621.28616284297</v>
      </c>
      <c r="BQ601" s="44">
        <f t="shared" si="693"/>
        <v>1.2311912133771639</v>
      </c>
      <c r="BS601" s="49">
        <f t="shared" si="694"/>
        <v>101121.44795574884</v>
      </c>
      <c r="BT601" s="49">
        <f t="shared" si="710"/>
        <v>137.5</v>
      </c>
      <c r="BU601" s="49">
        <f t="shared" si="711"/>
        <v>46.139999000000003</v>
      </c>
      <c r="BV601" s="49">
        <f t="shared" si="695"/>
        <v>0</v>
      </c>
      <c r="BW601" s="18">
        <f t="shared" si="656"/>
        <v>3912</v>
      </c>
      <c r="BX601" s="19">
        <f t="shared" si="696"/>
        <v>0.10275229357798166</v>
      </c>
      <c r="BY601" s="49">
        <f t="shared" si="697"/>
        <v>0</v>
      </c>
      <c r="BZ601" s="19">
        <f t="shared" si="698"/>
        <v>0</v>
      </c>
      <c r="CA601" s="19">
        <f t="shared" si="699"/>
        <v>0</v>
      </c>
      <c r="CB601" s="19">
        <f t="shared" si="700"/>
        <v>0</v>
      </c>
      <c r="CC601" s="19">
        <f t="shared" si="701"/>
        <v>0</v>
      </c>
      <c r="CD601" s="19">
        <f t="shared" si="702"/>
        <v>0</v>
      </c>
      <c r="CE601" s="19">
        <f t="shared" si="703"/>
        <v>0</v>
      </c>
      <c r="CF601" s="49">
        <f t="shared" si="704"/>
        <v>0</v>
      </c>
      <c r="CG601" s="49">
        <f t="shared" si="705"/>
        <v>0</v>
      </c>
      <c r="CH601" s="49">
        <f t="shared" si="706"/>
        <v>0</v>
      </c>
      <c r="CI601" s="49">
        <f t="shared" si="707"/>
        <v>0</v>
      </c>
      <c r="CJ601" s="49">
        <f t="shared" si="708"/>
        <v>0</v>
      </c>
      <c r="CK601" s="49">
        <f t="shared" si="709"/>
        <v>0</v>
      </c>
    </row>
    <row r="602" spans="2:89" ht="12.75" customHeight="1" x14ac:dyDescent="0.2">
      <c r="B602" s="77">
        <v>43212</v>
      </c>
      <c r="C602" s="79">
        <v>137.33000200000001</v>
      </c>
      <c r="D602" s="79">
        <v>104.75</v>
      </c>
      <c r="E602" s="79">
        <v>110.839996</v>
      </c>
      <c r="F602" s="79">
        <v>131.30999800000001</v>
      </c>
      <c r="G602" s="79">
        <v>45.049999</v>
      </c>
      <c r="H602" s="79">
        <v>45.990001999999997</v>
      </c>
      <c r="I602" s="79"/>
      <c r="J602" s="78">
        <f>IF(inter=Weekly_2,J601+$C$5,IF(inter=Bi_weekly_2,J600+$C$5,IF(inter=Monthly_2,J598+$C$5,IF(inter=Quarterly_2,0,IF(inter=Yearly_2,0,IF(inter=None_2,0,0))))))</f>
        <v>188000</v>
      </c>
      <c r="K602" s="79">
        <f t="shared" si="657"/>
        <v>150.17351940000663</v>
      </c>
      <c r="L602" s="79">
        <f t="shared" si="658"/>
        <v>82.40687651411281</v>
      </c>
      <c r="M602" s="79">
        <f t="shared" si="659"/>
        <v>89.866063664465401</v>
      </c>
      <c r="N602" s="79">
        <f t="shared" si="660"/>
        <v>66.788041704310672</v>
      </c>
      <c r="O602" s="79">
        <f t="shared" si="661"/>
        <v>37.942950477889099</v>
      </c>
      <c r="P602" s="79">
        <f t="shared" si="662"/>
        <v>-422.19749801896251</v>
      </c>
      <c r="Q602" s="79"/>
      <c r="R602" s="80">
        <f t="shared" si="641"/>
        <v>-1.0935230263814211</v>
      </c>
      <c r="S602" s="80">
        <f t="shared" si="642"/>
        <v>-0.78670049178150658</v>
      </c>
      <c r="T602" s="80">
        <f t="shared" si="643"/>
        <v>-0.81077288801476866</v>
      </c>
      <c r="U602" s="80">
        <f t="shared" si="644"/>
        <v>-0.50862876187318706</v>
      </c>
      <c r="V602" s="80">
        <f t="shared" si="645"/>
        <v>-0.84224087281087623</v>
      </c>
      <c r="W602" s="80">
        <f t="shared" si="646"/>
        <v>9.1802017755720584</v>
      </c>
      <c r="X602" s="80">
        <f t="shared" si="669"/>
        <v>479.13783617362793</v>
      </c>
      <c r="Y602" s="80">
        <f t="shared" si="670"/>
        <v>179.47494033412886</v>
      </c>
      <c r="Z602" s="80">
        <f t="shared" si="671"/>
        <v>135.69109114727863</v>
      </c>
      <c r="AA602" s="80">
        <f t="shared" si="672"/>
        <v>100.2208529467802</v>
      </c>
      <c r="AB602" s="80">
        <f t="shared" si="673"/>
        <v>1043.2852617821368</v>
      </c>
      <c r="AC602" s="80">
        <f t="shared" si="674"/>
        <v>613.17675089468366</v>
      </c>
      <c r="AD602" s="80"/>
      <c r="AE602" s="80"/>
      <c r="AF602" s="80"/>
      <c r="AG602" s="80"/>
      <c r="AH602" s="80"/>
      <c r="AI602" s="80"/>
      <c r="AJ602" s="45">
        <f t="shared" si="663"/>
        <v>0</v>
      </c>
      <c r="AK602" s="45">
        <f t="shared" si="664"/>
        <v>0</v>
      </c>
      <c r="AL602" s="45">
        <f t="shared" si="665"/>
        <v>0</v>
      </c>
      <c r="AM602" s="45">
        <f t="shared" si="666"/>
        <v>0</v>
      </c>
      <c r="AN602" s="45">
        <f t="shared" si="667"/>
        <v>0</v>
      </c>
      <c r="AO602" s="45">
        <f t="shared" si="668"/>
        <v>0</v>
      </c>
      <c r="AP602" s="80">
        <f t="shared" si="647"/>
        <v>0</v>
      </c>
      <c r="AQ602" s="80">
        <f t="shared" si="648"/>
        <v>0</v>
      </c>
      <c r="AR602" s="80">
        <f t="shared" si="649"/>
        <v>0</v>
      </c>
      <c r="AS602" s="80">
        <f t="shared" si="650"/>
        <v>0</v>
      </c>
      <c r="AT602" s="80">
        <f t="shared" si="651"/>
        <v>0</v>
      </c>
      <c r="AU602" s="80">
        <f t="shared" si="652"/>
        <v>0</v>
      </c>
      <c r="AV602" s="80">
        <f t="shared" si="675"/>
        <v>88.550830222019542</v>
      </c>
      <c r="AW602" s="80">
        <f t="shared" si="676"/>
        <v>41.312918913882172</v>
      </c>
      <c r="AX602" s="80">
        <f t="shared" si="677"/>
        <v>25.458404295790928</v>
      </c>
      <c r="AY602" s="80">
        <f t="shared" si="678"/>
        <v>19.950506093076502</v>
      </c>
      <c r="AZ602" s="80">
        <f t="shared" si="679"/>
        <v>230.0096146001294</v>
      </c>
      <c r="BA602" s="80">
        <f t="shared" si="680"/>
        <v>112.6217536450297</v>
      </c>
      <c r="BB602" s="80">
        <f t="shared" si="681"/>
        <v>567.68866639564749</v>
      </c>
      <c r="BC602" s="80">
        <f t="shared" si="682"/>
        <v>220.78785924801105</v>
      </c>
      <c r="BD602" s="80">
        <f t="shared" si="683"/>
        <v>161.14949544306955</v>
      </c>
      <c r="BE602" s="80">
        <f t="shared" si="684"/>
        <v>120.1713590398567</v>
      </c>
      <c r="BF602" s="80">
        <f t="shared" si="685"/>
        <v>1273.2948763822662</v>
      </c>
      <c r="BG602" s="80">
        <f t="shared" si="686"/>
        <v>725.79850453971335</v>
      </c>
      <c r="BH602" s="49">
        <f t="shared" si="687"/>
        <v>0</v>
      </c>
      <c r="BI602" s="79">
        <f t="shared" si="688"/>
        <v>-101116.46800200702</v>
      </c>
      <c r="BJ602" s="79">
        <f t="shared" si="653"/>
        <v>188000</v>
      </c>
      <c r="BK602" s="44">
        <f t="shared" si="689"/>
        <v>0.85924215624569134</v>
      </c>
      <c r="BL602" s="79">
        <f t="shared" si="690"/>
        <v>26533.774664008455</v>
      </c>
      <c r="BM602" s="49">
        <f t="shared" si="691"/>
        <v>214533.77466400847</v>
      </c>
      <c r="BN602" s="44">
        <f t="shared" si="692"/>
        <v>1.1216502010310552</v>
      </c>
      <c r="BO602" s="49">
        <f t="shared" si="654"/>
        <v>37471.131876318112</v>
      </c>
      <c r="BP602" s="49">
        <f t="shared" si="655"/>
        <v>225471.1318763181</v>
      </c>
      <c r="BQ602" s="44">
        <f t="shared" si="693"/>
        <v>1.2298161351110761</v>
      </c>
      <c r="BS602" s="49">
        <f t="shared" si="694"/>
        <v>101116.46800200702</v>
      </c>
      <c r="BT602" s="49">
        <f t="shared" si="710"/>
        <v>137.33000200000001</v>
      </c>
      <c r="BU602" s="49">
        <f t="shared" si="711"/>
        <v>45.990001999999997</v>
      </c>
      <c r="BV602" s="49">
        <f t="shared" si="695"/>
        <v>-4.9799537418221007</v>
      </c>
      <c r="BW602" s="18">
        <f t="shared" si="656"/>
        <v>3919</v>
      </c>
      <c r="BX602" s="19">
        <f t="shared" si="696"/>
        <v>0.10114678899082569</v>
      </c>
      <c r="BY602" s="49">
        <f t="shared" si="697"/>
        <v>-0.50370633030815282</v>
      </c>
      <c r="BZ602" s="19">
        <f t="shared" si="698"/>
        <v>0</v>
      </c>
      <c r="CA602" s="19">
        <f t="shared" si="699"/>
        <v>0</v>
      </c>
      <c r="CB602" s="19">
        <f t="shared" si="700"/>
        <v>0</v>
      </c>
      <c r="CC602" s="19">
        <f t="shared" si="701"/>
        <v>0</v>
      </c>
      <c r="CD602" s="19">
        <f t="shared" si="702"/>
        <v>0</v>
      </c>
      <c r="CE602" s="19">
        <f t="shared" si="703"/>
        <v>9.1802017755720584</v>
      </c>
      <c r="CF602" s="49">
        <f t="shared" si="704"/>
        <v>0</v>
      </c>
      <c r="CG602" s="49">
        <f t="shared" si="705"/>
        <v>0</v>
      </c>
      <c r="CH602" s="49">
        <f t="shared" si="706"/>
        <v>0</v>
      </c>
      <c r="CI602" s="49">
        <f t="shared" si="707"/>
        <v>0</v>
      </c>
      <c r="CJ602" s="49">
        <f t="shared" si="708"/>
        <v>0</v>
      </c>
      <c r="CK602" s="49">
        <f t="shared" si="709"/>
        <v>-422.19749801896251</v>
      </c>
    </row>
    <row r="603" spans="2:89" ht="12.75" customHeight="1" x14ac:dyDescent="0.2">
      <c r="B603" s="77">
        <v>43219</v>
      </c>
      <c r="C603" s="79">
        <v>137.13000500000001</v>
      </c>
      <c r="D603" s="79">
        <v>103.089996</v>
      </c>
      <c r="E603" s="79">
        <v>109.629997</v>
      </c>
      <c r="F603" s="79">
        <v>131.179993</v>
      </c>
      <c r="G603" s="79">
        <v>44.970001000000003</v>
      </c>
      <c r="H603" s="79">
        <v>45.200001</v>
      </c>
      <c r="I603" s="79"/>
      <c r="J603" s="78">
        <f>IF(inter=Weekly_2,J602+$C$5,IF(inter=Bi_weekly_2,0,IF(inter=Monthly_2,0,IF(inter=Quarterly_2,0,IF(inter=Yearly_2,0,IF(inter=None_2,0,0))))))</f>
        <v>0</v>
      </c>
      <c r="K603" s="79">
        <f t="shared" si="657"/>
        <v>0</v>
      </c>
      <c r="L603" s="79">
        <f t="shared" si="658"/>
        <v>0</v>
      </c>
      <c r="M603" s="79">
        <f t="shared" si="659"/>
        <v>0</v>
      </c>
      <c r="N603" s="79">
        <f t="shared" si="660"/>
        <v>0</v>
      </c>
      <c r="O603" s="79">
        <f t="shared" si="661"/>
        <v>0</v>
      </c>
      <c r="P603" s="79">
        <f t="shared" si="662"/>
        <v>0</v>
      </c>
      <c r="Q603" s="79"/>
      <c r="R603" s="80">
        <f t="shared" si="641"/>
        <v>0</v>
      </c>
      <c r="S603" s="80">
        <f t="shared" si="642"/>
        <v>0</v>
      </c>
      <c r="T603" s="80">
        <f t="shared" si="643"/>
        <v>0</v>
      </c>
      <c r="U603" s="80">
        <f t="shared" si="644"/>
        <v>0</v>
      </c>
      <c r="V603" s="80">
        <f t="shared" si="645"/>
        <v>0</v>
      </c>
      <c r="W603" s="80">
        <f t="shared" si="646"/>
        <v>0</v>
      </c>
      <c r="X603" s="80">
        <f t="shared" si="669"/>
        <v>479.13783617362793</v>
      </c>
      <c r="Y603" s="80">
        <f t="shared" si="670"/>
        <v>179.47494033412886</v>
      </c>
      <c r="Z603" s="80">
        <f t="shared" si="671"/>
        <v>135.69109114727863</v>
      </c>
      <c r="AA603" s="80">
        <f t="shared" si="672"/>
        <v>100.2208529467802</v>
      </c>
      <c r="AB603" s="80">
        <f t="shared" si="673"/>
        <v>1043.2852617821368</v>
      </c>
      <c r="AC603" s="80">
        <f t="shared" si="674"/>
        <v>613.17675089468366</v>
      </c>
      <c r="AD603" s="80"/>
      <c r="AE603" s="80"/>
      <c r="AF603" s="80"/>
      <c r="AG603" s="80"/>
      <c r="AH603" s="80"/>
      <c r="AI603" s="80"/>
      <c r="AJ603" s="45">
        <f t="shared" si="663"/>
        <v>0</v>
      </c>
      <c r="AK603" s="45">
        <f t="shared" si="664"/>
        <v>0</v>
      </c>
      <c r="AL603" s="45">
        <f t="shared" si="665"/>
        <v>0</v>
      </c>
      <c r="AM603" s="45">
        <f t="shared" si="666"/>
        <v>0</v>
      </c>
      <c r="AN603" s="45">
        <f t="shared" si="667"/>
        <v>0</v>
      </c>
      <c r="AO603" s="45">
        <f t="shared" si="668"/>
        <v>0</v>
      </c>
      <c r="AP603" s="80">
        <f t="shared" si="647"/>
        <v>0</v>
      </c>
      <c r="AQ603" s="80">
        <f t="shared" si="648"/>
        <v>0</v>
      </c>
      <c r="AR603" s="80">
        <f t="shared" si="649"/>
        <v>0</v>
      </c>
      <c r="AS603" s="80">
        <f t="shared" si="650"/>
        <v>0</v>
      </c>
      <c r="AT603" s="80">
        <f t="shared" si="651"/>
        <v>0</v>
      </c>
      <c r="AU603" s="80">
        <f t="shared" si="652"/>
        <v>0</v>
      </c>
      <c r="AV603" s="80">
        <f t="shared" si="675"/>
        <v>88.550830222019542</v>
      </c>
      <c r="AW603" s="80">
        <f t="shared" si="676"/>
        <v>41.312918913882172</v>
      </c>
      <c r="AX603" s="80">
        <f t="shared" si="677"/>
        <v>25.458404295790928</v>
      </c>
      <c r="AY603" s="80">
        <f t="shared" si="678"/>
        <v>19.950506093076502</v>
      </c>
      <c r="AZ603" s="80">
        <f t="shared" si="679"/>
        <v>230.0096146001294</v>
      </c>
      <c r="BA603" s="80">
        <f t="shared" si="680"/>
        <v>112.6217536450297</v>
      </c>
      <c r="BB603" s="80">
        <f t="shared" si="681"/>
        <v>567.68866639564749</v>
      </c>
      <c r="BC603" s="80">
        <f t="shared" si="682"/>
        <v>220.78785924801105</v>
      </c>
      <c r="BD603" s="80">
        <f t="shared" si="683"/>
        <v>161.14949544306955</v>
      </c>
      <c r="BE603" s="80">
        <f t="shared" si="684"/>
        <v>120.1713590398567</v>
      </c>
      <c r="BF603" s="80">
        <f t="shared" si="685"/>
        <v>1273.2948763822662</v>
      </c>
      <c r="BG603" s="80">
        <f t="shared" si="686"/>
        <v>725.79850453971335</v>
      </c>
      <c r="BH603" s="49">
        <f t="shared" si="687"/>
        <v>0</v>
      </c>
      <c r="BI603" s="79">
        <f t="shared" si="688"/>
        <v>-101116.46800200702</v>
      </c>
      <c r="BJ603" s="79">
        <f t="shared" si="653"/>
        <v>186861.15847398431</v>
      </c>
      <c r="BK603" s="44">
        <f t="shared" si="689"/>
        <v>0.84797948510499177</v>
      </c>
      <c r="BL603" s="79">
        <f t="shared" si="690"/>
        <v>26533.774664008455</v>
      </c>
      <c r="BM603" s="49">
        <f t="shared" si="691"/>
        <v>213394.93313799278</v>
      </c>
      <c r="BN603" s="44">
        <f t="shared" si="692"/>
        <v>1.1103875298903554</v>
      </c>
      <c r="BO603" s="49">
        <f t="shared" si="654"/>
        <v>37244.072448843239</v>
      </c>
      <c r="BP603" s="49">
        <f t="shared" si="655"/>
        <v>224105.23092282756</v>
      </c>
      <c r="BQ603" s="44">
        <f t="shared" si="693"/>
        <v>1.2163079402494494</v>
      </c>
      <c r="BS603" s="49">
        <f t="shared" si="694"/>
        <v>101116.46800200702</v>
      </c>
      <c r="BT603" s="49">
        <f t="shared" si="710"/>
        <v>137.13000500000001</v>
      </c>
      <c r="BU603" s="49">
        <f t="shared" si="711"/>
        <v>45.200001</v>
      </c>
      <c r="BV603" s="49">
        <f t="shared" si="695"/>
        <v>0</v>
      </c>
      <c r="BW603" s="18">
        <f t="shared" si="656"/>
        <v>3926</v>
      </c>
      <c r="BX603" s="19">
        <f t="shared" si="696"/>
        <v>9.954128440366973E-2</v>
      </c>
      <c r="BY603" s="49">
        <f t="shared" si="697"/>
        <v>0</v>
      </c>
      <c r="BZ603" s="19">
        <f t="shared" si="698"/>
        <v>0</v>
      </c>
      <c r="CA603" s="19">
        <f t="shared" si="699"/>
        <v>0</v>
      </c>
      <c r="CB603" s="19">
        <f t="shared" si="700"/>
        <v>0</v>
      </c>
      <c r="CC603" s="19">
        <f t="shared" si="701"/>
        <v>0</v>
      </c>
      <c r="CD603" s="19">
        <f t="shared" si="702"/>
        <v>0</v>
      </c>
      <c r="CE603" s="19">
        <f t="shared" si="703"/>
        <v>0</v>
      </c>
      <c r="CF603" s="49">
        <f t="shared" si="704"/>
        <v>0</v>
      </c>
      <c r="CG603" s="49">
        <f t="shared" si="705"/>
        <v>0</v>
      </c>
      <c r="CH603" s="49">
        <f t="shared" si="706"/>
        <v>0</v>
      </c>
      <c r="CI603" s="49">
        <f t="shared" si="707"/>
        <v>0</v>
      </c>
      <c r="CJ603" s="49">
        <f t="shared" si="708"/>
        <v>0</v>
      </c>
      <c r="CK603" s="49">
        <f t="shared" si="709"/>
        <v>0</v>
      </c>
    </row>
    <row r="604" spans="2:89" ht="12.75" customHeight="1" x14ac:dyDescent="0.2">
      <c r="B604" s="77">
        <v>43226</v>
      </c>
      <c r="C604" s="79">
        <v>140.570007</v>
      </c>
      <c r="D604" s="79">
        <v>105.449997</v>
      </c>
      <c r="E604" s="79">
        <v>110.730003</v>
      </c>
      <c r="F604" s="79">
        <v>134.13000500000001</v>
      </c>
      <c r="G604" s="79">
        <v>45.509998000000003</v>
      </c>
      <c r="H604" s="79">
        <v>46.110000999999997</v>
      </c>
      <c r="I604" s="79"/>
      <c r="J604" s="78">
        <f>IF(inter=Weekly_2,J603+$C$5,IF(inter=Bi_weekly_2,J602+$C$5,IF(inter=Monthly_2,0,IF(inter=Quarterly_2,0,IF(inter=Yearly_2,0,IF(inter=None_2,0,0))))))</f>
        <v>188600</v>
      </c>
      <c r="K604" s="79">
        <f t="shared" si="657"/>
        <v>1342.4089848917356</v>
      </c>
      <c r="L604" s="79">
        <f t="shared" si="658"/>
        <v>65.631919809067767</v>
      </c>
      <c r="M604" s="79">
        <f t="shared" si="659"/>
        <v>-62.92507018856486</v>
      </c>
      <c r="N604" s="79">
        <f t="shared" si="660"/>
        <v>240.62350685589263</v>
      </c>
      <c r="O604" s="79">
        <f t="shared" si="661"/>
        <v>329.91017713452311</v>
      </c>
      <c r="P604" s="79">
        <f t="shared" si="662"/>
        <v>-16.419403069387045</v>
      </c>
      <c r="Q604" s="79"/>
      <c r="R604" s="80">
        <f t="shared" si="641"/>
        <v>-9.5497539876464224</v>
      </c>
      <c r="S604" s="80">
        <f t="shared" si="642"/>
        <v>-0.62239849858950469</v>
      </c>
      <c r="T604" s="80">
        <f t="shared" si="643"/>
        <v>0.56827479891393895</v>
      </c>
      <c r="U604" s="80">
        <f t="shared" si="644"/>
        <v>-1.7939573390450005</v>
      </c>
      <c r="V604" s="80">
        <f t="shared" si="645"/>
        <v>-7.2491802160598446</v>
      </c>
      <c r="W604" s="80">
        <f t="shared" si="646"/>
        <v>0.3560920128669493</v>
      </c>
      <c r="X604" s="80">
        <f t="shared" si="669"/>
        <v>469.58808218598153</v>
      </c>
      <c r="Y604" s="80">
        <f t="shared" si="670"/>
        <v>178.85254183553934</v>
      </c>
      <c r="Z604" s="80">
        <f t="shared" si="671"/>
        <v>136.25936594619256</v>
      </c>
      <c r="AA604" s="80">
        <f t="shared" si="672"/>
        <v>98.426895607735204</v>
      </c>
      <c r="AB604" s="80">
        <f t="shared" si="673"/>
        <v>1036.036081566077</v>
      </c>
      <c r="AC604" s="80">
        <f t="shared" si="674"/>
        <v>613.53284290755062</v>
      </c>
      <c r="AD604" s="80"/>
      <c r="AE604" s="80"/>
      <c r="AF604" s="80"/>
      <c r="AG604" s="80"/>
      <c r="AH604" s="80"/>
      <c r="AI604" s="80"/>
      <c r="AJ604" s="45">
        <f t="shared" si="663"/>
        <v>0</v>
      </c>
      <c r="AK604" s="45">
        <f t="shared" si="664"/>
        <v>0</v>
      </c>
      <c r="AL604" s="45">
        <f t="shared" si="665"/>
        <v>0</v>
      </c>
      <c r="AM604" s="45">
        <f t="shared" si="666"/>
        <v>0</v>
      </c>
      <c r="AN604" s="45">
        <f t="shared" si="667"/>
        <v>0</v>
      </c>
      <c r="AO604" s="45">
        <f t="shared" si="668"/>
        <v>0</v>
      </c>
      <c r="AP604" s="80">
        <f t="shared" si="647"/>
        <v>0</v>
      </c>
      <c r="AQ604" s="80">
        <f t="shared" si="648"/>
        <v>0</v>
      </c>
      <c r="AR604" s="80">
        <f t="shared" si="649"/>
        <v>0</v>
      </c>
      <c r="AS604" s="80">
        <f t="shared" si="650"/>
        <v>0</v>
      </c>
      <c r="AT604" s="80">
        <f t="shared" si="651"/>
        <v>0</v>
      </c>
      <c r="AU604" s="80">
        <f t="shared" si="652"/>
        <v>0</v>
      </c>
      <c r="AV604" s="80">
        <f t="shared" si="675"/>
        <v>88.550830222019542</v>
      </c>
      <c r="AW604" s="80">
        <f t="shared" si="676"/>
        <v>41.312918913882172</v>
      </c>
      <c r="AX604" s="80">
        <f t="shared" si="677"/>
        <v>25.458404295790928</v>
      </c>
      <c r="AY604" s="80">
        <f t="shared" si="678"/>
        <v>19.950506093076502</v>
      </c>
      <c r="AZ604" s="80">
        <f t="shared" si="679"/>
        <v>230.0096146001294</v>
      </c>
      <c r="BA604" s="80">
        <f t="shared" si="680"/>
        <v>112.6217536450297</v>
      </c>
      <c r="BB604" s="80">
        <f t="shared" si="681"/>
        <v>558.13891240800103</v>
      </c>
      <c r="BC604" s="80">
        <f t="shared" si="682"/>
        <v>220.16546074942153</v>
      </c>
      <c r="BD604" s="80">
        <f t="shared" si="683"/>
        <v>161.71777024198349</v>
      </c>
      <c r="BE604" s="80">
        <f t="shared" si="684"/>
        <v>118.3774017008117</v>
      </c>
      <c r="BF604" s="80">
        <f t="shared" si="685"/>
        <v>1266.0456961662064</v>
      </c>
      <c r="BG604" s="80">
        <f t="shared" si="686"/>
        <v>726.1545965525803</v>
      </c>
      <c r="BH604" s="49">
        <f t="shared" si="687"/>
        <v>0</v>
      </c>
      <c r="BI604" s="79">
        <f t="shared" si="688"/>
        <v>-99217.23788657377</v>
      </c>
      <c r="BJ604" s="79">
        <f t="shared" si="653"/>
        <v>188600</v>
      </c>
      <c r="BK604" s="44">
        <f t="shared" si="689"/>
        <v>0.90087936347925335</v>
      </c>
      <c r="BL604" s="79">
        <f t="shared" si="690"/>
        <v>26533.774664008455</v>
      </c>
      <c r="BM604" s="49">
        <f t="shared" si="691"/>
        <v>215133.77466400847</v>
      </c>
      <c r="BN604" s="44">
        <f t="shared" si="692"/>
        <v>1.1683104594178659</v>
      </c>
      <c r="BO604" s="49">
        <f t="shared" si="654"/>
        <v>37959.734939386974</v>
      </c>
      <c r="BP604" s="49">
        <f t="shared" si="655"/>
        <v>226559.73493938698</v>
      </c>
      <c r="BQ604" s="44">
        <f t="shared" si="693"/>
        <v>1.2834714991601817</v>
      </c>
      <c r="BS604" s="49">
        <f t="shared" si="694"/>
        <v>99217.23788657377</v>
      </c>
      <c r="BT604" s="49">
        <f t="shared" si="710"/>
        <v>140.570007</v>
      </c>
      <c r="BU604" s="49">
        <f t="shared" si="711"/>
        <v>46.110000999999997</v>
      </c>
      <c r="BV604" s="49">
        <f t="shared" si="695"/>
        <v>-1899.2301154332672</v>
      </c>
      <c r="BW604" s="18">
        <f t="shared" si="656"/>
        <v>3933</v>
      </c>
      <c r="BX604" s="19">
        <f t="shared" si="696"/>
        <v>9.793577981651376E-2</v>
      </c>
      <c r="BY604" s="49">
        <f t="shared" si="697"/>
        <v>-186.00258240596446</v>
      </c>
      <c r="BZ604" s="19">
        <f t="shared" si="698"/>
        <v>0</v>
      </c>
      <c r="CA604" s="19">
        <f t="shared" si="699"/>
        <v>0</v>
      </c>
      <c r="CB604" s="19">
        <f t="shared" si="700"/>
        <v>0.56827479891393895</v>
      </c>
      <c r="CC604" s="19">
        <f t="shared" si="701"/>
        <v>0</v>
      </c>
      <c r="CD604" s="19">
        <f t="shared" si="702"/>
        <v>0</v>
      </c>
      <c r="CE604" s="19">
        <f t="shared" si="703"/>
        <v>0.3560920128669493</v>
      </c>
      <c r="CF604" s="49">
        <f t="shared" si="704"/>
        <v>0</v>
      </c>
      <c r="CG604" s="49">
        <f t="shared" si="705"/>
        <v>0</v>
      </c>
      <c r="CH604" s="49">
        <f t="shared" si="706"/>
        <v>-62.92507018856486</v>
      </c>
      <c r="CI604" s="49">
        <f t="shared" si="707"/>
        <v>0</v>
      </c>
      <c r="CJ604" s="49">
        <f t="shared" si="708"/>
        <v>0</v>
      </c>
      <c r="CK604" s="49">
        <f t="shared" si="709"/>
        <v>-16.419403069387045</v>
      </c>
    </row>
    <row r="605" spans="2:89" ht="12.75" customHeight="1" x14ac:dyDescent="0.2">
      <c r="B605" s="77">
        <v>43233</v>
      </c>
      <c r="C605" s="79">
        <v>140.199997</v>
      </c>
      <c r="D605" s="79">
        <v>105.120003</v>
      </c>
      <c r="E605" s="79">
        <v>111.050003</v>
      </c>
      <c r="F605" s="79">
        <v>135.35000600000001</v>
      </c>
      <c r="G605" s="79">
        <v>45.25</v>
      </c>
      <c r="H605" s="79">
        <v>44.950001</v>
      </c>
      <c r="I605" s="79"/>
      <c r="J605" s="78">
        <f>IF(inter=Weekly_2,J604+$C$5,IF(inter=Bi_weekly_2,0,IF(inter=Monthly_2,0,IF(inter=Quarterly_2,0,IF(inter=Yearly_2,0,IF(inter=None_2,0,0))))))</f>
        <v>0</v>
      </c>
      <c r="K605" s="79">
        <f t="shared" si="657"/>
        <v>0</v>
      </c>
      <c r="L605" s="79">
        <f t="shared" si="658"/>
        <v>0</v>
      </c>
      <c r="M605" s="79">
        <f t="shared" si="659"/>
        <v>0</v>
      </c>
      <c r="N605" s="79">
        <f t="shared" si="660"/>
        <v>0</v>
      </c>
      <c r="O605" s="79">
        <f t="shared" si="661"/>
        <v>0</v>
      </c>
      <c r="P605" s="79">
        <f t="shared" si="662"/>
        <v>0</v>
      </c>
      <c r="Q605" s="79"/>
      <c r="R605" s="80">
        <f t="shared" si="641"/>
        <v>0</v>
      </c>
      <c r="S605" s="80">
        <f t="shared" si="642"/>
        <v>0</v>
      </c>
      <c r="T605" s="80">
        <f t="shared" si="643"/>
        <v>0</v>
      </c>
      <c r="U605" s="80">
        <f t="shared" si="644"/>
        <v>0</v>
      </c>
      <c r="V605" s="80">
        <f t="shared" si="645"/>
        <v>0</v>
      </c>
      <c r="W605" s="80">
        <f t="shared" si="646"/>
        <v>0</v>
      </c>
      <c r="X605" s="80">
        <f t="shared" si="669"/>
        <v>469.58808218598153</v>
      </c>
      <c r="Y605" s="80">
        <f t="shared" si="670"/>
        <v>178.85254183553934</v>
      </c>
      <c r="Z605" s="80">
        <f t="shared" si="671"/>
        <v>136.25936594619256</v>
      </c>
      <c r="AA605" s="80">
        <f t="shared" si="672"/>
        <v>98.426895607735204</v>
      </c>
      <c r="AB605" s="80">
        <f t="shared" si="673"/>
        <v>1036.036081566077</v>
      </c>
      <c r="AC605" s="80">
        <f t="shared" si="674"/>
        <v>613.53284290755062</v>
      </c>
      <c r="AD605" s="80"/>
      <c r="AE605" s="80"/>
      <c r="AF605" s="80"/>
      <c r="AG605" s="80"/>
      <c r="AH605" s="80"/>
      <c r="AI605" s="80"/>
      <c r="AJ605" s="45">
        <f t="shared" si="663"/>
        <v>0</v>
      </c>
      <c r="AK605" s="45">
        <f t="shared" si="664"/>
        <v>0</v>
      </c>
      <c r="AL605" s="45">
        <f t="shared" si="665"/>
        <v>0</v>
      </c>
      <c r="AM605" s="45">
        <f t="shared" si="666"/>
        <v>0</v>
      </c>
      <c r="AN605" s="45">
        <f t="shared" si="667"/>
        <v>0</v>
      </c>
      <c r="AO605" s="45">
        <f t="shared" si="668"/>
        <v>0</v>
      </c>
      <c r="AP605" s="80">
        <f t="shared" si="647"/>
        <v>0</v>
      </c>
      <c r="AQ605" s="80">
        <f t="shared" si="648"/>
        <v>0</v>
      </c>
      <c r="AR605" s="80">
        <f t="shared" si="649"/>
        <v>0</v>
      </c>
      <c r="AS605" s="80">
        <f t="shared" si="650"/>
        <v>0</v>
      </c>
      <c r="AT605" s="80">
        <f t="shared" si="651"/>
        <v>0</v>
      </c>
      <c r="AU605" s="80">
        <f t="shared" si="652"/>
        <v>0</v>
      </c>
      <c r="AV605" s="80">
        <f t="shared" si="675"/>
        <v>88.550830222019542</v>
      </c>
      <c r="AW605" s="80">
        <f t="shared" si="676"/>
        <v>41.312918913882172</v>
      </c>
      <c r="AX605" s="80">
        <f t="shared" si="677"/>
        <v>25.458404295790928</v>
      </c>
      <c r="AY605" s="80">
        <f t="shared" si="678"/>
        <v>19.950506093076502</v>
      </c>
      <c r="AZ605" s="80">
        <f t="shared" si="679"/>
        <v>230.0096146001294</v>
      </c>
      <c r="BA605" s="80">
        <f t="shared" si="680"/>
        <v>112.6217536450297</v>
      </c>
      <c r="BB605" s="80">
        <f t="shared" si="681"/>
        <v>558.13891240800103</v>
      </c>
      <c r="BC605" s="80">
        <f t="shared" si="682"/>
        <v>220.16546074942153</v>
      </c>
      <c r="BD605" s="80">
        <f t="shared" si="683"/>
        <v>161.71777024198349</v>
      </c>
      <c r="BE605" s="80">
        <f t="shared" si="684"/>
        <v>118.3774017008117</v>
      </c>
      <c r="BF605" s="80">
        <f t="shared" si="685"/>
        <v>1266.0456961662064</v>
      </c>
      <c r="BG605" s="80">
        <f t="shared" si="686"/>
        <v>726.1545965525803</v>
      </c>
      <c r="BH605" s="49">
        <f t="shared" si="687"/>
        <v>0</v>
      </c>
      <c r="BI605" s="79">
        <f t="shared" si="688"/>
        <v>-99217.23788657377</v>
      </c>
      <c r="BJ605" s="79">
        <f t="shared" si="653"/>
        <v>187549.84594928322</v>
      </c>
      <c r="BK605" s="44">
        <f t="shared" si="689"/>
        <v>0.89029497236853383</v>
      </c>
      <c r="BL605" s="79">
        <f t="shared" si="690"/>
        <v>26533.774664008455</v>
      </c>
      <c r="BM605" s="49">
        <f t="shared" si="691"/>
        <v>214083.62061329169</v>
      </c>
      <c r="BN605" s="44">
        <f t="shared" si="692"/>
        <v>1.1577260683071464</v>
      </c>
      <c r="BO605" s="49">
        <f t="shared" si="654"/>
        <v>37755.380284086132</v>
      </c>
      <c r="BP605" s="49">
        <f t="shared" si="655"/>
        <v>225305.22623336935</v>
      </c>
      <c r="BQ605" s="44">
        <f t="shared" si="693"/>
        <v>1.2708274391889516</v>
      </c>
      <c r="BS605" s="49">
        <f t="shared" si="694"/>
        <v>99217.23788657377</v>
      </c>
      <c r="BT605" s="49">
        <f t="shared" si="710"/>
        <v>140.199997</v>
      </c>
      <c r="BU605" s="49">
        <f t="shared" si="711"/>
        <v>44.950001</v>
      </c>
      <c r="BV605" s="49">
        <f t="shared" si="695"/>
        <v>0</v>
      </c>
      <c r="BW605" s="18">
        <f t="shared" si="656"/>
        <v>3940</v>
      </c>
      <c r="BX605" s="19">
        <f t="shared" si="696"/>
        <v>9.6330275229357804E-2</v>
      </c>
      <c r="BY605" s="49">
        <f t="shared" si="697"/>
        <v>0</v>
      </c>
      <c r="BZ605" s="19">
        <f t="shared" si="698"/>
        <v>0</v>
      </c>
      <c r="CA605" s="19">
        <f t="shared" si="699"/>
        <v>0</v>
      </c>
      <c r="CB605" s="19">
        <f t="shared" si="700"/>
        <v>0</v>
      </c>
      <c r="CC605" s="19">
        <f t="shared" si="701"/>
        <v>0</v>
      </c>
      <c r="CD605" s="19">
        <f t="shared" si="702"/>
        <v>0</v>
      </c>
      <c r="CE605" s="19">
        <f t="shared" si="703"/>
        <v>0</v>
      </c>
      <c r="CF605" s="49">
        <f t="shared" si="704"/>
        <v>0</v>
      </c>
      <c r="CG605" s="49">
        <f t="shared" si="705"/>
        <v>0</v>
      </c>
      <c r="CH605" s="49">
        <f t="shared" si="706"/>
        <v>0</v>
      </c>
      <c r="CI605" s="49">
        <f t="shared" si="707"/>
        <v>0</v>
      </c>
      <c r="CJ605" s="49">
        <f t="shared" si="708"/>
        <v>0</v>
      </c>
      <c r="CK605" s="49">
        <f t="shared" si="709"/>
        <v>0</v>
      </c>
    </row>
    <row r="606" spans="2:89" ht="12.75" customHeight="1" x14ac:dyDescent="0.2">
      <c r="B606" s="77">
        <v>43240</v>
      </c>
      <c r="C606" s="79">
        <v>140.60000600000001</v>
      </c>
      <c r="D606" s="79">
        <v>105.160004</v>
      </c>
      <c r="E606" s="79">
        <v>111.089996</v>
      </c>
      <c r="F606" s="79">
        <v>135.71000699999999</v>
      </c>
      <c r="G606" s="79">
        <v>44.68</v>
      </c>
      <c r="H606" s="79">
        <v>45.169998</v>
      </c>
      <c r="I606" s="79"/>
      <c r="J606" s="78">
        <f>IF(inter=Weekly_2,J605+$C$5,IF(inter=Bi_weekly_2,J604+$C$5,IF(inter=Monthly_2,J602+$C$5,IF(inter=Quarterly_2,0,IF(inter=Yearly_2,0,IF(inter=None_2,0,0))))))</f>
        <v>189200</v>
      </c>
      <c r="K606" s="79">
        <f t="shared" si="657"/>
        <v>-195.9128271225054</v>
      </c>
      <c r="L606" s="79">
        <f t="shared" si="658"/>
        <v>-111.86598516451704</v>
      </c>
      <c r="M606" s="79">
        <f t="shared" si="659"/>
        <v>1.0524179250678571</v>
      </c>
      <c r="N606" s="79">
        <f t="shared" si="660"/>
        <v>113.51469191401156</v>
      </c>
      <c r="O606" s="79">
        <f t="shared" si="661"/>
        <v>-1009.9078756276795</v>
      </c>
      <c r="P606" s="79">
        <f t="shared" si="662"/>
        <v>-666.72271293162339</v>
      </c>
      <c r="Q606" s="79"/>
      <c r="R606" s="80">
        <f t="shared" si="641"/>
        <v>1.3934055388483084</v>
      </c>
      <c r="S606" s="80">
        <f t="shared" si="642"/>
        <v>1.0637693125659926</v>
      </c>
      <c r="T606" s="80">
        <f t="shared" si="643"/>
        <v>-9.4735616433711742E-3</v>
      </c>
      <c r="U606" s="80">
        <f t="shared" si="644"/>
        <v>-0.83645041676264575</v>
      </c>
      <c r="V606" s="80">
        <f t="shared" si="645"/>
        <v>22.603130609393006</v>
      </c>
      <c r="W606" s="80">
        <f t="shared" si="646"/>
        <v>14.760299810764291</v>
      </c>
      <c r="X606" s="80">
        <f t="shared" si="669"/>
        <v>470.98148772482983</v>
      </c>
      <c r="Y606" s="80">
        <f t="shared" si="670"/>
        <v>179.91631114810534</v>
      </c>
      <c r="Z606" s="80">
        <f t="shared" si="671"/>
        <v>136.24989238454918</v>
      </c>
      <c r="AA606" s="80">
        <f t="shared" si="672"/>
        <v>97.590445190972559</v>
      </c>
      <c r="AB606" s="80">
        <f t="shared" si="673"/>
        <v>1058.63921217547</v>
      </c>
      <c r="AC606" s="80">
        <f t="shared" si="674"/>
        <v>628.29314271831493</v>
      </c>
      <c r="AD606" s="80"/>
      <c r="AE606" s="80"/>
      <c r="AF606" s="80"/>
      <c r="AG606" s="80"/>
      <c r="AH606" s="80"/>
      <c r="AI606" s="80"/>
      <c r="AJ606" s="45">
        <f t="shared" si="663"/>
        <v>0</v>
      </c>
      <c r="AK606" s="45">
        <f t="shared" si="664"/>
        <v>0</v>
      </c>
      <c r="AL606" s="45">
        <f t="shared" si="665"/>
        <v>0</v>
      </c>
      <c r="AM606" s="45">
        <f t="shared" si="666"/>
        <v>0</v>
      </c>
      <c r="AN606" s="45">
        <f t="shared" si="667"/>
        <v>0</v>
      </c>
      <c r="AO606" s="45">
        <f t="shared" si="668"/>
        <v>0</v>
      </c>
      <c r="AP606" s="80">
        <f t="shared" si="647"/>
        <v>0</v>
      </c>
      <c r="AQ606" s="80">
        <f t="shared" si="648"/>
        <v>0</v>
      </c>
      <c r="AR606" s="80">
        <f t="shared" si="649"/>
        <v>0</v>
      </c>
      <c r="AS606" s="80">
        <f t="shared" si="650"/>
        <v>0</v>
      </c>
      <c r="AT606" s="80">
        <f t="shared" si="651"/>
        <v>0</v>
      </c>
      <c r="AU606" s="80">
        <f t="shared" si="652"/>
        <v>0</v>
      </c>
      <c r="AV606" s="80">
        <f t="shared" si="675"/>
        <v>88.550830222019542</v>
      </c>
      <c r="AW606" s="80">
        <f t="shared" si="676"/>
        <v>41.312918913882172</v>
      </c>
      <c r="AX606" s="80">
        <f t="shared" si="677"/>
        <v>25.458404295790928</v>
      </c>
      <c r="AY606" s="80">
        <f t="shared" si="678"/>
        <v>19.950506093076502</v>
      </c>
      <c r="AZ606" s="80">
        <f t="shared" si="679"/>
        <v>230.0096146001294</v>
      </c>
      <c r="BA606" s="80">
        <f t="shared" si="680"/>
        <v>112.6217536450297</v>
      </c>
      <c r="BB606" s="80">
        <f t="shared" si="681"/>
        <v>559.53231794684939</v>
      </c>
      <c r="BC606" s="80">
        <f t="shared" si="682"/>
        <v>221.22923006198749</v>
      </c>
      <c r="BD606" s="80">
        <f t="shared" si="683"/>
        <v>161.70829668034011</v>
      </c>
      <c r="BE606" s="80">
        <f t="shared" si="684"/>
        <v>117.54095128404906</v>
      </c>
      <c r="BF606" s="80">
        <f t="shared" si="685"/>
        <v>1288.6488267755994</v>
      </c>
      <c r="BG606" s="80">
        <f t="shared" si="686"/>
        <v>740.91489636334461</v>
      </c>
      <c r="BH606" s="49">
        <f t="shared" si="687"/>
        <v>0</v>
      </c>
      <c r="BI606" s="79">
        <f t="shared" si="688"/>
        <v>-101087.08017758103</v>
      </c>
      <c r="BJ606" s="79">
        <f t="shared" si="653"/>
        <v>189200</v>
      </c>
      <c r="BK606" s="44">
        <f t="shared" si="689"/>
        <v>0.87165362445556682</v>
      </c>
      <c r="BL606" s="79">
        <f t="shared" si="690"/>
        <v>26533.774664008455</v>
      </c>
      <c r="BM606" s="49">
        <f t="shared" si="691"/>
        <v>215733.77466400847</v>
      </c>
      <c r="BN606" s="44">
        <f t="shared" si="692"/>
        <v>1.1341379559586255</v>
      </c>
      <c r="BO606" s="49">
        <f t="shared" si="654"/>
        <v>37694.325298923468</v>
      </c>
      <c r="BP606" s="49">
        <f t="shared" si="655"/>
        <v>226894.32529892348</v>
      </c>
      <c r="BQ606" s="44">
        <f t="shared" si="693"/>
        <v>1.2445432680450872</v>
      </c>
      <c r="BS606" s="49">
        <f t="shared" si="694"/>
        <v>101087.08017758103</v>
      </c>
      <c r="BT606" s="49">
        <f t="shared" si="710"/>
        <v>140.60000600000001</v>
      </c>
      <c r="BU606" s="49">
        <f t="shared" si="711"/>
        <v>45.169998</v>
      </c>
      <c r="BV606" s="49">
        <f t="shared" si="695"/>
        <v>1869.8422910072459</v>
      </c>
      <c r="BW606" s="18">
        <f t="shared" si="656"/>
        <v>3947</v>
      </c>
      <c r="BX606" s="19">
        <f t="shared" si="696"/>
        <v>9.4724770642201833E-2</v>
      </c>
      <c r="BY606" s="49">
        <f t="shared" si="697"/>
        <v>177.12038215275058</v>
      </c>
      <c r="BZ606" s="19">
        <f t="shared" si="698"/>
        <v>1.3934055388483084</v>
      </c>
      <c r="CA606" s="19">
        <f t="shared" si="699"/>
        <v>1.0637693125659926</v>
      </c>
      <c r="CB606" s="19">
        <f t="shared" si="700"/>
        <v>0</v>
      </c>
      <c r="CC606" s="19">
        <f t="shared" si="701"/>
        <v>0</v>
      </c>
      <c r="CD606" s="19">
        <f t="shared" si="702"/>
        <v>22.603130609393006</v>
      </c>
      <c r="CE606" s="19">
        <f t="shared" si="703"/>
        <v>14.760299810764291</v>
      </c>
      <c r="CF606" s="49">
        <f t="shared" si="704"/>
        <v>-195.9128271225054</v>
      </c>
      <c r="CG606" s="49">
        <f t="shared" si="705"/>
        <v>-111.86598516451704</v>
      </c>
      <c r="CH606" s="49">
        <f t="shared" si="706"/>
        <v>0</v>
      </c>
      <c r="CI606" s="49">
        <f t="shared" si="707"/>
        <v>0</v>
      </c>
      <c r="CJ606" s="49">
        <f t="shared" si="708"/>
        <v>-1009.9078756276795</v>
      </c>
      <c r="CK606" s="49">
        <f t="shared" si="709"/>
        <v>-666.72271293162339</v>
      </c>
    </row>
    <row r="607" spans="2:89" ht="12.75" customHeight="1" x14ac:dyDescent="0.2">
      <c r="B607" s="77">
        <v>43247</v>
      </c>
      <c r="C607" s="79">
        <v>141.5</v>
      </c>
      <c r="D607" s="79">
        <v>105.230003</v>
      </c>
      <c r="E607" s="79">
        <v>110.699997</v>
      </c>
      <c r="F607" s="79">
        <v>136.60000600000001</v>
      </c>
      <c r="G607" s="79">
        <v>44.5</v>
      </c>
      <c r="H607" s="79">
        <v>45.110000999999997</v>
      </c>
      <c r="I607" s="79"/>
      <c r="J607" s="78">
        <f>IF(inter=Weekly_2,J606+$C$5,IF(inter=Bi_weekly_2,0,IF(inter=Monthly_2,0,IF(inter=Quarterly_2,0,IF(inter=Yearly_2,0,IF(inter=None_2,0,0))))))</f>
        <v>0</v>
      </c>
      <c r="K607" s="79">
        <f t="shared" si="657"/>
        <v>0</v>
      </c>
      <c r="L607" s="79">
        <f t="shared" si="658"/>
        <v>0</v>
      </c>
      <c r="M607" s="79">
        <f t="shared" si="659"/>
        <v>0</v>
      </c>
      <c r="N607" s="79">
        <f t="shared" si="660"/>
        <v>0</v>
      </c>
      <c r="O607" s="79">
        <f t="shared" si="661"/>
        <v>0</v>
      </c>
      <c r="P607" s="79">
        <f t="shared" si="662"/>
        <v>0</v>
      </c>
      <c r="Q607" s="79"/>
      <c r="R607" s="80">
        <f t="shared" si="641"/>
        <v>0</v>
      </c>
      <c r="S607" s="80">
        <f t="shared" si="642"/>
        <v>0</v>
      </c>
      <c r="T607" s="80">
        <f t="shared" si="643"/>
        <v>0</v>
      </c>
      <c r="U607" s="80">
        <f t="shared" si="644"/>
        <v>0</v>
      </c>
      <c r="V607" s="80">
        <f t="shared" si="645"/>
        <v>0</v>
      </c>
      <c r="W607" s="80">
        <f t="shared" si="646"/>
        <v>0</v>
      </c>
      <c r="X607" s="80">
        <f t="shared" si="669"/>
        <v>470.98148772482983</v>
      </c>
      <c r="Y607" s="80">
        <f t="shared" si="670"/>
        <v>179.91631114810534</v>
      </c>
      <c r="Z607" s="80">
        <f t="shared" si="671"/>
        <v>136.24989238454918</v>
      </c>
      <c r="AA607" s="80">
        <f t="shared" si="672"/>
        <v>97.590445190972559</v>
      </c>
      <c r="AB607" s="80">
        <f t="shared" si="673"/>
        <v>1058.63921217547</v>
      </c>
      <c r="AC607" s="80">
        <f t="shared" si="674"/>
        <v>628.29314271831493</v>
      </c>
      <c r="AD607" s="80"/>
      <c r="AE607" s="80"/>
      <c r="AF607" s="80"/>
      <c r="AG607" s="80"/>
      <c r="AH607" s="80"/>
      <c r="AI607" s="80"/>
      <c r="AJ607" s="45">
        <f t="shared" si="663"/>
        <v>0</v>
      </c>
      <c r="AK607" s="45">
        <f t="shared" si="664"/>
        <v>0</v>
      </c>
      <c r="AL607" s="45">
        <f t="shared" si="665"/>
        <v>0</v>
      </c>
      <c r="AM607" s="45">
        <f t="shared" si="666"/>
        <v>0</v>
      </c>
      <c r="AN607" s="45">
        <f t="shared" si="667"/>
        <v>0</v>
      </c>
      <c r="AO607" s="45">
        <f t="shared" si="668"/>
        <v>0</v>
      </c>
      <c r="AP607" s="80">
        <f t="shared" si="647"/>
        <v>0</v>
      </c>
      <c r="AQ607" s="80">
        <f t="shared" si="648"/>
        <v>0</v>
      </c>
      <c r="AR607" s="80">
        <f t="shared" si="649"/>
        <v>0</v>
      </c>
      <c r="AS607" s="80">
        <f t="shared" si="650"/>
        <v>0</v>
      </c>
      <c r="AT607" s="80">
        <f t="shared" si="651"/>
        <v>0</v>
      </c>
      <c r="AU607" s="80">
        <f t="shared" si="652"/>
        <v>0</v>
      </c>
      <c r="AV607" s="80">
        <f t="shared" si="675"/>
        <v>88.550830222019542</v>
      </c>
      <c r="AW607" s="80">
        <f t="shared" si="676"/>
        <v>41.312918913882172</v>
      </c>
      <c r="AX607" s="80">
        <f t="shared" si="677"/>
        <v>25.458404295790928</v>
      </c>
      <c r="AY607" s="80">
        <f t="shared" si="678"/>
        <v>19.950506093076502</v>
      </c>
      <c r="AZ607" s="80">
        <f t="shared" si="679"/>
        <v>230.0096146001294</v>
      </c>
      <c r="BA607" s="80">
        <f t="shared" si="680"/>
        <v>112.6217536450297</v>
      </c>
      <c r="BB607" s="80">
        <f t="shared" si="681"/>
        <v>559.53231794684939</v>
      </c>
      <c r="BC607" s="80">
        <f t="shared" si="682"/>
        <v>221.22923006198749</v>
      </c>
      <c r="BD607" s="80">
        <f t="shared" si="683"/>
        <v>161.70829668034011</v>
      </c>
      <c r="BE607" s="80">
        <f t="shared" si="684"/>
        <v>117.54095128404906</v>
      </c>
      <c r="BF607" s="80">
        <f t="shared" si="685"/>
        <v>1288.6488267755994</v>
      </c>
      <c r="BG607" s="80">
        <f t="shared" si="686"/>
        <v>740.91489636334461</v>
      </c>
      <c r="BH607" s="49">
        <f t="shared" si="687"/>
        <v>0</v>
      </c>
      <c r="BI607" s="79">
        <f t="shared" si="688"/>
        <v>-101087.08017758103</v>
      </c>
      <c r="BJ607" s="79">
        <f t="shared" si="653"/>
        <v>189441.94178990164</v>
      </c>
      <c r="BK607" s="44">
        <f t="shared" si="689"/>
        <v>0.87404702418060198</v>
      </c>
      <c r="BL607" s="79">
        <f t="shared" si="690"/>
        <v>26533.774664008455</v>
      </c>
      <c r="BM607" s="49">
        <f t="shared" si="691"/>
        <v>215975.71645391011</v>
      </c>
      <c r="BN607" s="44">
        <f t="shared" si="692"/>
        <v>1.1365313556836609</v>
      </c>
      <c r="BO607" s="49">
        <f t="shared" si="654"/>
        <v>37736.580858103276</v>
      </c>
      <c r="BP607" s="49">
        <f t="shared" si="655"/>
        <v>227178.52264800493</v>
      </c>
      <c r="BQ607" s="44">
        <f t="shared" si="693"/>
        <v>1.2473546792420693</v>
      </c>
      <c r="BS607" s="49">
        <f t="shared" si="694"/>
        <v>101087.08017758103</v>
      </c>
      <c r="BT607" s="49">
        <f t="shared" si="710"/>
        <v>141.5</v>
      </c>
      <c r="BU607" s="49">
        <f t="shared" si="711"/>
        <v>45.110000999999997</v>
      </c>
      <c r="BV607" s="49">
        <f t="shared" si="695"/>
        <v>0</v>
      </c>
      <c r="BW607" s="18">
        <f t="shared" si="656"/>
        <v>3954</v>
      </c>
      <c r="BX607" s="19">
        <f t="shared" si="696"/>
        <v>9.3119266055045877E-2</v>
      </c>
      <c r="BY607" s="49">
        <f t="shared" si="697"/>
        <v>0</v>
      </c>
      <c r="BZ607" s="19">
        <f t="shared" si="698"/>
        <v>0</v>
      </c>
      <c r="CA607" s="19">
        <f t="shared" si="699"/>
        <v>0</v>
      </c>
      <c r="CB607" s="19">
        <f t="shared" si="700"/>
        <v>0</v>
      </c>
      <c r="CC607" s="19">
        <f t="shared" si="701"/>
        <v>0</v>
      </c>
      <c r="CD607" s="19">
        <f t="shared" si="702"/>
        <v>0</v>
      </c>
      <c r="CE607" s="19">
        <f t="shared" si="703"/>
        <v>0</v>
      </c>
      <c r="CF607" s="49">
        <f t="shared" si="704"/>
        <v>0</v>
      </c>
      <c r="CG607" s="49">
        <f t="shared" si="705"/>
        <v>0</v>
      </c>
      <c r="CH607" s="49">
        <f t="shared" si="706"/>
        <v>0</v>
      </c>
      <c r="CI607" s="49">
        <f t="shared" si="707"/>
        <v>0</v>
      </c>
      <c r="CJ607" s="49">
        <f t="shared" si="708"/>
        <v>0</v>
      </c>
      <c r="CK607" s="49">
        <f t="shared" si="709"/>
        <v>0</v>
      </c>
    </row>
    <row r="608" spans="2:89" ht="12.75" customHeight="1" x14ac:dyDescent="0.2">
      <c r="B608" s="77">
        <v>43254</v>
      </c>
      <c r="C608" s="79">
        <v>143.91000399999999</v>
      </c>
      <c r="D608" s="79">
        <v>107.089996</v>
      </c>
      <c r="E608" s="79">
        <v>112.58000199999999</v>
      </c>
      <c r="F608" s="79">
        <v>139.46000699999999</v>
      </c>
      <c r="G608" s="79">
        <v>44.849997999999999</v>
      </c>
      <c r="H608" s="79">
        <v>45.099997999999999</v>
      </c>
      <c r="I608" s="79"/>
      <c r="J608" s="78">
        <f>IF(inter=Weekly_2,J607+$C$5,IF(inter=Bi_weekly_2,J606+$C$5,IF(inter=Monthly_2,0,IF(inter=Quarterly_2,0,IF(inter=Yearly_2,0,IF(inter=None_2,0,0))))))</f>
        <v>189800</v>
      </c>
      <c r="K608" s="79">
        <f t="shared" si="657"/>
        <v>1348.9477824062051</v>
      </c>
      <c r="L608" s="79">
        <f t="shared" si="658"/>
        <v>287.23704118535534</v>
      </c>
      <c r="M608" s="79">
        <f t="shared" si="659"/>
        <v>155.01315715233068</v>
      </c>
      <c r="N608" s="79">
        <f t="shared" si="660"/>
        <v>323.9641694661459</v>
      </c>
      <c r="O608" s="79">
        <f t="shared" si="661"/>
        <v>29.966548791402602</v>
      </c>
      <c r="P608" s="79">
        <f t="shared" si="662"/>
        <v>-133.98051999028394</v>
      </c>
      <c r="Q608" s="79"/>
      <c r="R608" s="80">
        <f t="shared" si="641"/>
        <v>-9.373551142464045</v>
      </c>
      <c r="S608" s="80">
        <f t="shared" si="642"/>
        <v>-2.6822023710352489</v>
      </c>
      <c r="T608" s="80">
        <f t="shared" si="643"/>
        <v>-1.3769155658065335</v>
      </c>
      <c r="U608" s="80">
        <f t="shared" si="644"/>
        <v>-2.3229897691468344</v>
      </c>
      <c r="V608" s="80">
        <f t="shared" si="645"/>
        <v>-0.66815050451959002</v>
      </c>
      <c r="W608" s="80">
        <f t="shared" si="646"/>
        <v>2.9707433687754032</v>
      </c>
      <c r="X608" s="80">
        <f t="shared" si="669"/>
        <v>461.60793658236577</v>
      </c>
      <c r="Y608" s="80">
        <f t="shared" si="670"/>
        <v>177.23410877707008</v>
      </c>
      <c r="Z608" s="80">
        <f t="shared" si="671"/>
        <v>134.87297681874264</v>
      </c>
      <c r="AA608" s="80">
        <f t="shared" si="672"/>
        <v>95.26745542182573</v>
      </c>
      <c r="AB608" s="80">
        <f t="shared" si="673"/>
        <v>1057.9710616709503</v>
      </c>
      <c r="AC608" s="80">
        <f t="shared" si="674"/>
        <v>631.26388608709033</v>
      </c>
      <c r="AD608" s="80"/>
      <c r="AE608" s="80"/>
      <c r="AF608" s="80"/>
      <c r="AG608" s="80"/>
      <c r="AH608" s="80"/>
      <c r="AI608" s="80"/>
      <c r="AJ608" s="45">
        <f t="shared" si="663"/>
        <v>0</v>
      </c>
      <c r="AK608" s="45">
        <f t="shared" si="664"/>
        <v>0</v>
      </c>
      <c r="AL608" s="45">
        <f t="shared" si="665"/>
        <v>0</v>
      </c>
      <c r="AM608" s="45">
        <f t="shared" si="666"/>
        <v>0</v>
      </c>
      <c r="AN608" s="45">
        <f t="shared" si="667"/>
        <v>0</v>
      </c>
      <c r="AO608" s="45">
        <f t="shared" si="668"/>
        <v>0</v>
      </c>
      <c r="AP608" s="80">
        <f t="shared" si="647"/>
        <v>0</v>
      </c>
      <c r="AQ608" s="80">
        <f t="shared" si="648"/>
        <v>0</v>
      </c>
      <c r="AR608" s="80">
        <f t="shared" si="649"/>
        <v>0</v>
      </c>
      <c r="AS608" s="80">
        <f t="shared" si="650"/>
        <v>0</v>
      </c>
      <c r="AT608" s="80">
        <f t="shared" si="651"/>
        <v>0</v>
      </c>
      <c r="AU608" s="80">
        <f t="shared" si="652"/>
        <v>0</v>
      </c>
      <c r="AV608" s="80">
        <f t="shared" si="675"/>
        <v>88.550830222019542</v>
      </c>
      <c r="AW608" s="80">
        <f t="shared" si="676"/>
        <v>41.312918913882172</v>
      </c>
      <c r="AX608" s="80">
        <f t="shared" si="677"/>
        <v>25.458404295790928</v>
      </c>
      <c r="AY608" s="80">
        <f t="shared" si="678"/>
        <v>19.950506093076502</v>
      </c>
      <c r="AZ608" s="80">
        <f t="shared" si="679"/>
        <v>230.0096146001294</v>
      </c>
      <c r="BA608" s="80">
        <f t="shared" si="680"/>
        <v>112.6217536450297</v>
      </c>
      <c r="BB608" s="80">
        <f t="shared" si="681"/>
        <v>550.15876680438532</v>
      </c>
      <c r="BC608" s="80">
        <f t="shared" si="682"/>
        <v>218.54702769095223</v>
      </c>
      <c r="BD608" s="80">
        <f t="shared" si="683"/>
        <v>160.33138111453357</v>
      </c>
      <c r="BE608" s="80">
        <f t="shared" si="684"/>
        <v>115.21796151490223</v>
      </c>
      <c r="BF608" s="80">
        <f t="shared" si="685"/>
        <v>1287.9806762710798</v>
      </c>
      <c r="BG608" s="80">
        <f t="shared" si="686"/>
        <v>743.88563973212001</v>
      </c>
      <c r="BH608" s="49">
        <f t="shared" si="687"/>
        <v>0</v>
      </c>
      <c r="BI608" s="79">
        <f t="shared" si="688"/>
        <v>-99075.931998569868</v>
      </c>
      <c r="BJ608" s="79">
        <f t="shared" si="653"/>
        <v>189800</v>
      </c>
      <c r="BK608" s="44">
        <f t="shared" si="689"/>
        <v>0.91570239281463128</v>
      </c>
      <c r="BL608" s="79">
        <f t="shared" si="690"/>
        <v>26533.774664008455</v>
      </c>
      <c r="BM608" s="49">
        <f t="shared" si="691"/>
        <v>216333.77466400847</v>
      </c>
      <c r="BN608" s="44">
        <f t="shared" si="692"/>
        <v>1.1835149092226676</v>
      </c>
      <c r="BO608" s="49">
        <f t="shared" si="654"/>
        <v>38211.127197564965</v>
      </c>
      <c r="BP608" s="49">
        <f t="shared" si="655"/>
        <v>228011.12719756499</v>
      </c>
      <c r="BQ608" s="44">
        <f t="shared" si="693"/>
        <v>1.3013775656519311</v>
      </c>
      <c r="BS608" s="49">
        <f t="shared" si="694"/>
        <v>99075.931998569868</v>
      </c>
      <c r="BT608" s="49">
        <f t="shared" si="710"/>
        <v>143.91000399999999</v>
      </c>
      <c r="BU608" s="49">
        <f t="shared" si="711"/>
        <v>45.099997999999999</v>
      </c>
      <c r="BV608" s="49">
        <f t="shared" si="695"/>
        <v>-2011.1481790111557</v>
      </c>
      <c r="BW608" s="18">
        <f t="shared" si="656"/>
        <v>3961</v>
      </c>
      <c r="BX608" s="19">
        <f t="shared" si="696"/>
        <v>9.1513761467889906E-2</v>
      </c>
      <c r="BY608" s="49">
        <f t="shared" si="697"/>
        <v>-184.04773473060806</v>
      </c>
      <c r="BZ608" s="19">
        <f t="shared" si="698"/>
        <v>0</v>
      </c>
      <c r="CA608" s="19">
        <f t="shared" si="699"/>
        <v>0</v>
      </c>
      <c r="CB608" s="19">
        <f t="shared" si="700"/>
        <v>0</v>
      </c>
      <c r="CC608" s="19">
        <f t="shared" si="701"/>
        <v>0</v>
      </c>
      <c r="CD608" s="19">
        <f t="shared" si="702"/>
        <v>0</v>
      </c>
      <c r="CE608" s="19">
        <f t="shared" si="703"/>
        <v>2.9707433687754032</v>
      </c>
      <c r="CF608" s="49">
        <f t="shared" si="704"/>
        <v>0</v>
      </c>
      <c r="CG608" s="49">
        <f t="shared" si="705"/>
        <v>0</v>
      </c>
      <c r="CH608" s="49">
        <f t="shared" si="706"/>
        <v>0</v>
      </c>
      <c r="CI608" s="49">
        <f t="shared" si="707"/>
        <v>0</v>
      </c>
      <c r="CJ608" s="49">
        <f t="shared" si="708"/>
        <v>0</v>
      </c>
      <c r="CK608" s="49">
        <f t="shared" si="709"/>
        <v>-133.98051999028394</v>
      </c>
    </row>
    <row r="609" spans="2:89" ht="12.75" customHeight="1" x14ac:dyDescent="0.2">
      <c r="B609" s="77">
        <v>43261</v>
      </c>
      <c r="C609" s="79">
        <v>144.14999399999999</v>
      </c>
      <c r="D609" s="79">
        <v>106.470001</v>
      </c>
      <c r="E609" s="79">
        <v>112.489998</v>
      </c>
      <c r="F609" s="79">
        <v>138.61999499999999</v>
      </c>
      <c r="G609" s="79">
        <v>44.459999000000003</v>
      </c>
      <c r="H609" s="79">
        <v>44.200001</v>
      </c>
      <c r="I609" s="79"/>
      <c r="J609" s="78">
        <f>IF(inter=Weekly_2,J608+$C$5,IF(inter=Bi_weekly_2,0,IF(inter=Monthly_2,0,IF(inter=Quarterly_2,0,IF(inter=Yearly_2,0,IF(inter=None_2,0,0))))))</f>
        <v>0</v>
      </c>
      <c r="K609" s="79">
        <f t="shared" si="657"/>
        <v>0</v>
      </c>
      <c r="L609" s="79">
        <f t="shared" si="658"/>
        <v>0</v>
      </c>
      <c r="M609" s="79">
        <f t="shared" si="659"/>
        <v>0</v>
      </c>
      <c r="N609" s="79">
        <f t="shared" si="660"/>
        <v>0</v>
      </c>
      <c r="O609" s="79">
        <f t="shared" si="661"/>
        <v>0</v>
      </c>
      <c r="P609" s="79">
        <f t="shared" si="662"/>
        <v>0</v>
      </c>
      <c r="Q609" s="79"/>
      <c r="R609" s="80">
        <f t="shared" si="641"/>
        <v>0</v>
      </c>
      <c r="S609" s="80">
        <f t="shared" si="642"/>
        <v>0</v>
      </c>
      <c r="T609" s="80">
        <f t="shared" si="643"/>
        <v>0</v>
      </c>
      <c r="U609" s="80">
        <f t="shared" si="644"/>
        <v>0</v>
      </c>
      <c r="V609" s="80">
        <f t="shared" si="645"/>
        <v>0</v>
      </c>
      <c r="W609" s="80">
        <f t="shared" si="646"/>
        <v>0</v>
      </c>
      <c r="X609" s="80">
        <f t="shared" si="669"/>
        <v>461.60793658236577</v>
      </c>
      <c r="Y609" s="80">
        <f t="shared" si="670"/>
        <v>177.23410877707008</v>
      </c>
      <c r="Z609" s="80">
        <f t="shared" si="671"/>
        <v>134.87297681874264</v>
      </c>
      <c r="AA609" s="80">
        <f t="shared" si="672"/>
        <v>95.26745542182573</v>
      </c>
      <c r="AB609" s="80">
        <f t="shared" si="673"/>
        <v>1057.9710616709503</v>
      </c>
      <c r="AC609" s="80">
        <f t="shared" si="674"/>
        <v>631.26388608709033</v>
      </c>
      <c r="AD609" s="80"/>
      <c r="AE609" s="80"/>
      <c r="AF609" s="80"/>
      <c r="AG609" s="80"/>
      <c r="AH609" s="80"/>
      <c r="AI609" s="80"/>
      <c r="AJ609" s="45">
        <f t="shared" si="663"/>
        <v>0</v>
      </c>
      <c r="AK609" s="45">
        <f t="shared" si="664"/>
        <v>0</v>
      </c>
      <c r="AL609" s="45">
        <f t="shared" si="665"/>
        <v>0</v>
      </c>
      <c r="AM609" s="45">
        <f t="shared" si="666"/>
        <v>0</v>
      </c>
      <c r="AN609" s="45">
        <f t="shared" si="667"/>
        <v>0</v>
      </c>
      <c r="AO609" s="45">
        <f t="shared" si="668"/>
        <v>0</v>
      </c>
      <c r="AP609" s="80">
        <f t="shared" si="647"/>
        <v>0</v>
      </c>
      <c r="AQ609" s="80">
        <f t="shared" si="648"/>
        <v>0</v>
      </c>
      <c r="AR609" s="80">
        <f t="shared" si="649"/>
        <v>0</v>
      </c>
      <c r="AS609" s="80">
        <f t="shared" si="650"/>
        <v>0</v>
      </c>
      <c r="AT609" s="80">
        <f t="shared" si="651"/>
        <v>0</v>
      </c>
      <c r="AU609" s="80">
        <f t="shared" si="652"/>
        <v>0</v>
      </c>
      <c r="AV609" s="80">
        <f t="shared" si="675"/>
        <v>88.550830222019542</v>
      </c>
      <c r="AW609" s="80">
        <f t="shared" si="676"/>
        <v>41.312918913882172</v>
      </c>
      <c r="AX609" s="80">
        <f t="shared" si="677"/>
        <v>25.458404295790928</v>
      </c>
      <c r="AY609" s="80">
        <f t="shared" si="678"/>
        <v>19.950506093076502</v>
      </c>
      <c r="AZ609" s="80">
        <f t="shared" si="679"/>
        <v>230.0096146001294</v>
      </c>
      <c r="BA609" s="80">
        <f t="shared" si="680"/>
        <v>112.6217536450297</v>
      </c>
      <c r="BB609" s="80">
        <f t="shared" si="681"/>
        <v>550.15876680438532</v>
      </c>
      <c r="BC609" s="80">
        <f t="shared" si="682"/>
        <v>218.54702769095223</v>
      </c>
      <c r="BD609" s="80">
        <f t="shared" si="683"/>
        <v>160.33138111453357</v>
      </c>
      <c r="BE609" s="80">
        <f t="shared" si="684"/>
        <v>115.21796151490223</v>
      </c>
      <c r="BF609" s="80">
        <f t="shared" si="685"/>
        <v>1287.9806762710798</v>
      </c>
      <c r="BG609" s="80">
        <f t="shared" si="686"/>
        <v>743.88563973212001</v>
      </c>
      <c r="BH609" s="49">
        <f t="shared" si="687"/>
        <v>0</v>
      </c>
      <c r="BI609" s="79">
        <f t="shared" si="688"/>
        <v>-99075.931998569868</v>
      </c>
      <c r="BJ609" s="79">
        <f t="shared" si="653"/>
        <v>188727.98885449243</v>
      </c>
      <c r="BK609" s="44">
        <f t="shared" si="689"/>
        <v>0.90488229631003292</v>
      </c>
      <c r="BL609" s="79">
        <f t="shared" si="690"/>
        <v>26533.774664008455</v>
      </c>
      <c r="BM609" s="49">
        <f t="shared" si="691"/>
        <v>215261.7635185009</v>
      </c>
      <c r="BN609" s="44">
        <f t="shared" si="692"/>
        <v>1.1726948127180692</v>
      </c>
      <c r="BO609" s="49">
        <f t="shared" si="654"/>
        <v>37996.651925303733</v>
      </c>
      <c r="BP609" s="49">
        <f t="shared" si="655"/>
        <v>226724.6407797962</v>
      </c>
      <c r="BQ609" s="44">
        <f t="shared" si="693"/>
        <v>1.2883927126021777</v>
      </c>
      <c r="BS609" s="49">
        <f t="shared" si="694"/>
        <v>99075.931998569868</v>
      </c>
      <c r="BT609" s="49">
        <f t="shared" si="710"/>
        <v>144.14999399999999</v>
      </c>
      <c r="BU609" s="49">
        <f t="shared" si="711"/>
        <v>44.200001</v>
      </c>
      <c r="BV609" s="49">
        <f t="shared" si="695"/>
        <v>0</v>
      </c>
      <c r="BW609" s="18">
        <f t="shared" si="656"/>
        <v>3968</v>
      </c>
      <c r="BX609" s="19">
        <f t="shared" si="696"/>
        <v>8.990825688073395E-2</v>
      </c>
      <c r="BY609" s="49">
        <f t="shared" si="697"/>
        <v>0</v>
      </c>
      <c r="BZ609" s="19">
        <f t="shared" si="698"/>
        <v>0</v>
      </c>
      <c r="CA609" s="19">
        <f t="shared" si="699"/>
        <v>0</v>
      </c>
      <c r="CB609" s="19">
        <f t="shared" si="700"/>
        <v>0</v>
      </c>
      <c r="CC609" s="19">
        <f t="shared" si="701"/>
        <v>0</v>
      </c>
      <c r="CD609" s="19">
        <f t="shared" si="702"/>
        <v>0</v>
      </c>
      <c r="CE609" s="19">
        <f t="shared" si="703"/>
        <v>0</v>
      </c>
      <c r="CF609" s="49">
        <f t="shared" si="704"/>
        <v>0</v>
      </c>
      <c r="CG609" s="49">
        <f t="shared" si="705"/>
        <v>0</v>
      </c>
      <c r="CH609" s="49">
        <f t="shared" si="706"/>
        <v>0</v>
      </c>
      <c r="CI609" s="49">
        <f t="shared" si="707"/>
        <v>0</v>
      </c>
      <c r="CJ609" s="49">
        <f t="shared" si="708"/>
        <v>0</v>
      </c>
      <c r="CK609" s="49">
        <f t="shared" si="709"/>
        <v>0</v>
      </c>
    </row>
    <row r="610" spans="2:89" ht="12.75" customHeight="1" x14ac:dyDescent="0.2">
      <c r="B610" s="77">
        <v>43268</v>
      </c>
      <c r="C610" s="79">
        <v>142.449997</v>
      </c>
      <c r="D610" s="79">
        <v>104.910004</v>
      </c>
      <c r="E610" s="79">
        <v>111.75</v>
      </c>
      <c r="F610" s="79">
        <v>138.429993</v>
      </c>
      <c r="G610" s="79">
        <v>43.380001</v>
      </c>
      <c r="H610" s="79">
        <v>42.790000999999997</v>
      </c>
      <c r="I610" s="79"/>
      <c r="J610" s="78">
        <f>IF(inter=Weekly_2,J609+$C$5,IF(inter=Bi_weekly_2,J608+$C$5,IF(inter=Monthly_2,J606+$C$5,IF(inter=Quarterly_2,0,IF(inter=Yearly_2,0,IF(inter=None_2,0,0))))))</f>
        <v>190400</v>
      </c>
      <c r="K610" s="79">
        <f t="shared" si="657"/>
        <v>-883.95081866580585</v>
      </c>
      <c r="L610" s="79">
        <f t="shared" si="658"/>
        <v>-446.36893926114135</v>
      </c>
      <c r="M610" s="79">
        <f t="shared" si="659"/>
        <v>-159.94484050551</v>
      </c>
      <c r="N610" s="79">
        <f t="shared" si="660"/>
        <v>-140.12681282885387</v>
      </c>
      <c r="O610" s="79">
        <f t="shared" si="661"/>
        <v>-1705.2142867431103</v>
      </c>
      <c r="P610" s="79">
        <f t="shared" si="662"/>
        <v>-1548.2176830695207</v>
      </c>
      <c r="Q610" s="79"/>
      <c r="R610" s="80">
        <f t="shared" si="641"/>
        <v>6.2053410830595235</v>
      </c>
      <c r="S610" s="80">
        <f t="shared" si="642"/>
        <v>4.2547795466783258</v>
      </c>
      <c r="T610" s="80">
        <f t="shared" si="643"/>
        <v>1.4312737405414766</v>
      </c>
      <c r="U610" s="80">
        <f t="shared" si="644"/>
        <v>1.0122576025042049</v>
      </c>
      <c r="V610" s="80">
        <f t="shared" si="645"/>
        <v>39.308765501022243</v>
      </c>
      <c r="W610" s="80">
        <f t="shared" si="646"/>
        <v>36.18176318971156</v>
      </c>
      <c r="X610" s="80">
        <f t="shared" si="669"/>
        <v>467.81327766542529</v>
      </c>
      <c r="Y610" s="80">
        <f t="shared" si="670"/>
        <v>181.4888883237484</v>
      </c>
      <c r="Z610" s="80">
        <f t="shared" si="671"/>
        <v>136.30425055928413</v>
      </c>
      <c r="AA610" s="80">
        <f t="shared" si="672"/>
        <v>96.279713024329936</v>
      </c>
      <c r="AB610" s="80">
        <f t="shared" si="673"/>
        <v>1097.2798271719726</v>
      </c>
      <c r="AC610" s="80">
        <f t="shared" si="674"/>
        <v>667.44564927680187</v>
      </c>
      <c r="AD610" s="80">
        <v>0.60299999999999998</v>
      </c>
      <c r="AE610" s="80">
        <v>0.628</v>
      </c>
      <c r="AF610" s="80">
        <v>0.52600000000000002</v>
      </c>
      <c r="AG610" s="80">
        <v>0.51300000000000001</v>
      </c>
      <c r="AH610" s="80">
        <v>0.54</v>
      </c>
      <c r="AI610" s="80">
        <v>0.27500000000000002</v>
      </c>
      <c r="AJ610" s="45">
        <f t="shared" si="663"/>
        <v>282.09140643225146</v>
      </c>
      <c r="AK610" s="45">
        <f t="shared" si="664"/>
        <v>113.975021867314</v>
      </c>
      <c r="AL610" s="45">
        <f t="shared" si="665"/>
        <v>71.696035794183459</v>
      </c>
      <c r="AM610" s="45">
        <f t="shared" si="666"/>
        <v>49.391492781481261</v>
      </c>
      <c r="AN610" s="45">
        <f t="shared" si="667"/>
        <v>592.53110667286523</v>
      </c>
      <c r="AO610" s="45">
        <f t="shared" si="668"/>
        <v>183.54755355112053</v>
      </c>
      <c r="AP610" s="80">
        <f t="shared" si="647"/>
        <v>1.9802836951428751</v>
      </c>
      <c r="AQ610" s="80">
        <f t="shared" si="648"/>
        <v>1.086407563832654</v>
      </c>
      <c r="AR610" s="80">
        <f t="shared" si="649"/>
        <v>0.64157526437748058</v>
      </c>
      <c r="AS610" s="80">
        <f t="shared" si="650"/>
        <v>0.35679762536346632</v>
      </c>
      <c r="AT610" s="80">
        <f t="shared" si="651"/>
        <v>13.659084670672673</v>
      </c>
      <c r="AU610" s="80">
        <f t="shared" si="652"/>
        <v>4.289496360402528</v>
      </c>
      <c r="AV610" s="80">
        <f t="shared" si="675"/>
        <v>90.531113917162415</v>
      </c>
      <c r="AW610" s="80">
        <f t="shared" si="676"/>
        <v>42.399326477714823</v>
      </c>
      <c r="AX610" s="80">
        <f t="shared" si="677"/>
        <v>26.099979560168407</v>
      </c>
      <c r="AY610" s="80">
        <f t="shared" si="678"/>
        <v>20.307303718439968</v>
      </c>
      <c r="AZ610" s="80">
        <f t="shared" si="679"/>
        <v>243.66869927080208</v>
      </c>
      <c r="BA610" s="80">
        <f t="shared" si="680"/>
        <v>116.91125000543222</v>
      </c>
      <c r="BB610" s="80">
        <f t="shared" si="681"/>
        <v>558.34439158258772</v>
      </c>
      <c r="BC610" s="80">
        <f t="shared" si="682"/>
        <v>223.88821480146322</v>
      </c>
      <c r="BD610" s="80">
        <f t="shared" si="683"/>
        <v>162.40423011945254</v>
      </c>
      <c r="BE610" s="80">
        <f t="shared" si="684"/>
        <v>116.5870167427699</v>
      </c>
      <c r="BF610" s="80">
        <f t="shared" si="685"/>
        <v>1340.9485264427747</v>
      </c>
      <c r="BG610" s="80">
        <f t="shared" si="686"/>
        <v>784.35689928223405</v>
      </c>
      <c r="BH610" s="49">
        <f t="shared" si="687"/>
        <v>1293.232617099216</v>
      </c>
      <c r="BI610" s="79">
        <f t="shared" si="688"/>
        <v>-103959.75537964382</v>
      </c>
      <c r="BJ610" s="79">
        <f t="shared" si="653"/>
        <v>190400</v>
      </c>
      <c r="BK610" s="44">
        <f t="shared" si="689"/>
        <v>0.83147795322036622</v>
      </c>
      <c r="BL610" s="79">
        <f t="shared" si="690"/>
        <v>27827.007281107672</v>
      </c>
      <c r="BM610" s="49">
        <f t="shared" si="691"/>
        <v>218227.00728110768</v>
      </c>
      <c r="BN610" s="44">
        <f t="shared" si="692"/>
        <v>1.0991489108855514</v>
      </c>
      <c r="BO610" s="49">
        <f t="shared" si="654"/>
        <v>38645.06396640194</v>
      </c>
      <c r="BP610" s="49">
        <f t="shared" si="655"/>
        <v>229045.06396640194</v>
      </c>
      <c r="BQ610" s="44">
        <f t="shared" si="693"/>
        <v>1.2032089545609961</v>
      </c>
      <c r="BS610" s="49">
        <f t="shared" si="694"/>
        <v>103959.75537964382</v>
      </c>
      <c r="BT610" s="49">
        <f t="shared" si="710"/>
        <v>142.449997</v>
      </c>
      <c r="BU610" s="49">
        <f t="shared" si="711"/>
        <v>42.790000999999997</v>
      </c>
      <c r="BV610" s="49">
        <f t="shared" si="695"/>
        <v>3590.5907639747261</v>
      </c>
      <c r="BW610" s="18">
        <f t="shared" si="656"/>
        <v>3975</v>
      </c>
      <c r="BX610" s="19">
        <f t="shared" si="696"/>
        <v>8.830275229357798E-2</v>
      </c>
      <c r="BY610" s="49">
        <f t="shared" si="697"/>
        <v>317.05904681886915</v>
      </c>
      <c r="BZ610" s="19">
        <f t="shared" si="698"/>
        <v>6.2053410830595235</v>
      </c>
      <c r="CA610" s="19">
        <f t="shared" si="699"/>
        <v>4.2547795466783258</v>
      </c>
      <c r="CB610" s="19">
        <f t="shared" si="700"/>
        <v>1.4312737405414766</v>
      </c>
      <c r="CC610" s="19">
        <f t="shared" si="701"/>
        <v>1.0122576025042049</v>
      </c>
      <c r="CD610" s="19">
        <f t="shared" si="702"/>
        <v>39.308765501022243</v>
      </c>
      <c r="CE610" s="19">
        <f t="shared" si="703"/>
        <v>36.18176318971156</v>
      </c>
      <c r="CF610" s="49">
        <f t="shared" si="704"/>
        <v>-883.95081866580585</v>
      </c>
      <c r="CG610" s="49">
        <f t="shared" si="705"/>
        <v>-446.36893926114135</v>
      </c>
      <c r="CH610" s="49">
        <f t="shared" si="706"/>
        <v>-159.94484050551</v>
      </c>
      <c r="CI610" s="49">
        <f t="shared" si="707"/>
        <v>-140.12681282885387</v>
      </c>
      <c r="CJ610" s="49">
        <f t="shared" si="708"/>
        <v>-1705.2142867431103</v>
      </c>
      <c r="CK610" s="49">
        <f t="shared" si="709"/>
        <v>-1548.2176830695207</v>
      </c>
    </row>
    <row r="611" spans="2:89" ht="12.75" customHeight="1" x14ac:dyDescent="0.2">
      <c r="B611" s="77">
        <v>43275</v>
      </c>
      <c r="C611" s="79">
        <v>140.429993</v>
      </c>
      <c r="D611" s="79">
        <v>103.83000199999999</v>
      </c>
      <c r="E611" s="79">
        <v>110.459999</v>
      </c>
      <c r="F611" s="79">
        <v>135.78999300000001</v>
      </c>
      <c r="G611" s="79">
        <v>42.900002000000001</v>
      </c>
      <c r="H611" s="79">
        <v>42.200001</v>
      </c>
      <c r="I611" s="79"/>
      <c r="J611" s="78">
        <f>IF(inter=Weekly_2,J610+$C$5,IF(inter=Bi_weekly_2,0,IF(inter=Monthly_2,0,IF(inter=Quarterly_2,0,IF(inter=Yearly_2,0,IF(inter=None_2,0,0))))))</f>
        <v>0</v>
      </c>
      <c r="K611" s="79">
        <f t="shared" si="657"/>
        <v>0</v>
      </c>
      <c r="L611" s="79">
        <f t="shared" si="658"/>
        <v>0</v>
      </c>
      <c r="M611" s="79">
        <f t="shared" si="659"/>
        <v>0</v>
      </c>
      <c r="N611" s="79">
        <f t="shared" si="660"/>
        <v>0</v>
      </c>
      <c r="O611" s="79">
        <f t="shared" si="661"/>
        <v>0</v>
      </c>
      <c r="P611" s="79">
        <f t="shared" si="662"/>
        <v>0</v>
      </c>
      <c r="Q611" s="79"/>
      <c r="R611" s="80">
        <f t="shared" si="641"/>
        <v>0</v>
      </c>
      <c r="S611" s="80">
        <f t="shared" si="642"/>
        <v>0</v>
      </c>
      <c r="T611" s="80">
        <f t="shared" si="643"/>
        <v>0</v>
      </c>
      <c r="U611" s="80">
        <f t="shared" si="644"/>
        <v>0</v>
      </c>
      <c r="V611" s="80">
        <f t="shared" si="645"/>
        <v>0</v>
      </c>
      <c r="W611" s="80">
        <f t="shared" si="646"/>
        <v>0</v>
      </c>
      <c r="X611" s="80">
        <f t="shared" si="669"/>
        <v>467.81327766542529</v>
      </c>
      <c r="Y611" s="80">
        <f t="shared" si="670"/>
        <v>181.4888883237484</v>
      </c>
      <c r="Z611" s="80">
        <f t="shared" si="671"/>
        <v>136.30425055928413</v>
      </c>
      <c r="AA611" s="80">
        <f t="shared" si="672"/>
        <v>96.279713024329936</v>
      </c>
      <c r="AB611" s="80">
        <f t="shared" si="673"/>
        <v>1097.2798271719726</v>
      </c>
      <c r="AC611" s="80">
        <f t="shared" si="674"/>
        <v>667.44564927680187</v>
      </c>
      <c r="AD611" s="80"/>
      <c r="AE611" s="80"/>
      <c r="AF611" s="80"/>
      <c r="AG611" s="80"/>
      <c r="AH611" s="80"/>
      <c r="AI611" s="80"/>
      <c r="AJ611" s="45">
        <f t="shared" si="663"/>
        <v>0</v>
      </c>
      <c r="AK611" s="45">
        <f t="shared" si="664"/>
        <v>0</v>
      </c>
      <c r="AL611" s="45">
        <f t="shared" si="665"/>
        <v>0</v>
      </c>
      <c r="AM611" s="45">
        <f t="shared" si="666"/>
        <v>0</v>
      </c>
      <c r="AN611" s="45">
        <f t="shared" si="667"/>
        <v>0</v>
      </c>
      <c r="AO611" s="45">
        <f t="shared" si="668"/>
        <v>0</v>
      </c>
      <c r="AP611" s="80">
        <f t="shared" si="647"/>
        <v>0</v>
      </c>
      <c r="AQ611" s="80">
        <f t="shared" si="648"/>
        <v>0</v>
      </c>
      <c r="AR611" s="80">
        <f t="shared" si="649"/>
        <v>0</v>
      </c>
      <c r="AS611" s="80">
        <f t="shared" si="650"/>
        <v>0</v>
      </c>
      <c r="AT611" s="80">
        <f t="shared" si="651"/>
        <v>0</v>
      </c>
      <c r="AU611" s="80">
        <f t="shared" si="652"/>
        <v>0</v>
      </c>
      <c r="AV611" s="80">
        <f t="shared" si="675"/>
        <v>90.531113917162415</v>
      </c>
      <c r="AW611" s="80">
        <f t="shared" si="676"/>
        <v>42.399326477714823</v>
      </c>
      <c r="AX611" s="80">
        <f t="shared" si="677"/>
        <v>26.099979560168407</v>
      </c>
      <c r="AY611" s="80">
        <f t="shared" si="678"/>
        <v>20.307303718439968</v>
      </c>
      <c r="AZ611" s="80">
        <f t="shared" si="679"/>
        <v>243.66869927080208</v>
      </c>
      <c r="BA611" s="80">
        <f t="shared" si="680"/>
        <v>116.91125000543222</v>
      </c>
      <c r="BB611" s="80">
        <f t="shared" si="681"/>
        <v>558.34439158258772</v>
      </c>
      <c r="BC611" s="80">
        <f t="shared" si="682"/>
        <v>223.88821480146322</v>
      </c>
      <c r="BD611" s="80">
        <f t="shared" si="683"/>
        <v>162.40423011945254</v>
      </c>
      <c r="BE611" s="80">
        <f t="shared" si="684"/>
        <v>116.5870167427699</v>
      </c>
      <c r="BF611" s="80">
        <f t="shared" si="685"/>
        <v>1340.9485264427747</v>
      </c>
      <c r="BG611" s="80">
        <f t="shared" si="686"/>
        <v>784.35689928223405</v>
      </c>
      <c r="BH611" s="49">
        <f t="shared" si="687"/>
        <v>0</v>
      </c>
      <c r="BI611" s="79">
        <f t="shared" si="688"/>
        <v>-103959.75537964382</v>
      </c>
      <c r="BJ611" s="79">
        <f t="shared" si="653"/>
        <v>187908.50973074933</v>
      </c>
      <c r="BK611" s="44">
        <f t="shared" si="689"/>
        <v>0.80751204198719551</v>
      </c>
      <c r="BL611" s="79">
        <f t="shared" si="690"/>
        <v>27827.007281107672</v>
      </c>
      <c r="BM611" s="49">
        <f t="shared" si="691"/>
        <v>215735.51701185701</v>
      </c>
      <c r="BN611" s="44">
        <f t="shared" si="692"/>
        <v>1.0751829996523812</v>
      </c>
      <c r="BO611" s="49">
        <f t="shared" si="654"/>
        <v>38143.180745736463</v>
      </c>
      <c r="BP611" s="49">
        <f t="shared" si="655"/>
        <v>226051.69047648579</v>
      </c>
      <c r="BQ611" s="44">
        <f t="shared" si="693"/>
        <v>1.1744153749783504</v>
      </c>
      <c r="BS611" s="49">
        <f t="shared" si="694"/>
        <v>103959.75537964382</v>
      </c>
      <c r="BT611" s="49">
        <f t="shared" si="710"/>
        <v>140.429993</v>
      </c>
      <c r="BU611" s="49">
        <f t="shared" si="711"/>
        <v>42.200001</v>
      </c>
      <c r="BV611" s="49">
        <f t="shared" si="695"/>
        <v>0</v>
      </c>
      <c r="BW611" s="18">
        <f t="shared" si="656"/>
        <v>3982</v>
      </c>
      <c r="BX611" s="19">
        <f t="shared" si="696"/>
        <v>8.6697247706422023E-2</v>
      </c>
      <c r="BY611" s="49">
        <f t="shared" si="697"/>
        <v>0</v>
      </c>
      <c r="BZ611" s="19">
        <f t="shared" si="698"/>
        <v>0</v>
      </c>
      <c r="CA611" s="19">
        <f t="shared" si="699"/>
        <v>0</v>
      </c>
      <c r="CB611" s="19">
        <f t="shared" si="700"/>
        <v>0</v>
      </c>
      <c r="CC611" s="19">
        <f t="shared" si="701"/>
        <v>0</v>
      </c>
      <c r="CD611" s="19">
        <f t="shared" si="702"/>
        <v>0</v>
      </c>
      <c r="CE611" s="19">
        <f t="shared" si="703"/>
        <v>0</v>
      </c>
      <c r="CF611" s="49">
        <f t="shared" si="704"/>
        <v>0</v>
      </c>
      <c r="CG611" s="49">
        <f t="shared" si="705"/>
        <v>0</v>
      </c>
      <c r="CH611" s="49">
        <f t="shared" si="706"/>
        <v>0</v>
      </c>
      <c r="CI611" s="49">
        <f t="shared" si="707"/>
        <v>0</v>
      </c>
      <c r="CJ611" s="49">
        <f t="shared" si="708"/>
        <v>0</v>
      </c>
      <c r="CK611" s="49">
        <f t="shared" si="709"/>
        <v>0</v>
      </c>
    </row>
    <row r="612" spans="2:89" ht="12.75" customHeight="1" x14ac:dyDescent="0.2">
      <c r="B612" s="77">
        <v>43282</v>
      </c>
      <c r="C612" s="79">
        <v>142.78999300000001</v>
      </c>
      <c r="D612" s="79">
        <v>105.19000200000001</v>
      </c>
      <c r="E612" s="79">
        <v>112.029999</v>
      </c>
      <c r="F612" s="79">
        <v>138.679993</v>
      </c>
      <c r="G612" s="79">
        <v>43.09</v>
      </c>
      <c r="H612" s="79">
        <v>42.25</v>
      </c>
      <c r="I612" s="79"/>
      <c r="J612" s="78">
        <f>IF(inter=Weekly_2,J611+$C$5,IF(inter=Bi_weekly_2,J610+$C$5,IF(inter=Monthly_2,0,IF(inter=Quarterly_2,0,IF(inter=Yearly_2,0,IF(inter=None_2,0,0))))))</f>
        <v>191000</v>
      </c>
      <c r="K612" s="79">
        <f t="shared" si="657"/>
        <v>-50.945356846859795</v>
      </c>
      <c r="L612" s="79">
        <f t="shared" si="658"/>
        <v>-9.1834742471291975</v>
      </c>
      <c r="M612" s="79">
        <f t="shared" si="659"/>
        <v>-9.8349461476500437</v>
      </c>
      <c r="N612" s="79">
        <f t="shared" si="660"/>
        <v>-17.930071743918234</v>
      </c>
      <c r="O612" s="79">
        <f t="shared" si="661"/>
        <v>-468.21224715969583</v>
      </c>
      <c r="P612" s="79">
        <f t="shared" si="662"/>
        <v>-450.42131805511963</v>
      </c>
      <c r="Q612" s="79"/>
      <c r="R612" s="80">
        <f t="shared" si="641"/>
        <v>0.35678520445658818</v>
      </c>
      <c r="S612" s="80">
        <f t="shared" si="642"/>
        <v>8.7303679746381188E-2</v>
      </c>
      <c r="T612" s="80">
        <f t="shared" si="643"/>
        <v>8.7788505181099249E-2</v>
      </c>
      <c r="U612" s="80">
        <f t="shared" si="644"/>
        <v>0.12929097670143547</v>
      </c>
      <c r="V612" s="80">
        <f t="shared" si="645"/>
        <v>10.865914299366345</v>
      </c>
      <c r="W612" s="80">
        <f t="shared" si="646"/>
        <v>10.660859598937742</v>
      </c>
      <c r="X612" s="80">
        <f t="shared" si="669"/>
        <v>468.17006286988186</v>
      </c>
      <c r="Y612" s="80">
        <f t="shared" si="670"/>
        <v>181.57619200349478</v>
      </c>
      <c r="Z612" s="80">
        <f t="shared" si="671"/>
        <v>136.39203906446522</v>
      </c>
      <c r="AA612" s="80">
        <f t="shared" si="672"/>
        <v>96.409004001031377</v>
      </c>
      <c r="AB612" s="80">
        <f t="shared" si="673"/>
        <v>1108.1457414713389</v>
      </c>
      <c r="AC612" s="80">
        <f t="shared" si="674"/>
        <v>678.10650887573956</v>
      </c>
      <c r="AD612" s="80"/>
      <c r="AE612" s="80"/>
      <c r="AF612" s="80"/>
      <c r="AG612" s="80"/>
      <c r="AH612" s="80"/>
      <c r="AI612" s="80"/>
      <c r="AJ612" s="45">
        <f t="shared" si="663"/>
        <v>0</v>
      </c>
      <c r="AK612" s="45">
        <f t="shared" si="664"/>
        <v>0</v>
      </c>
      <c r="AL612" s="45">
        <f t="shared" si="665"/>
        <v>0</v>
      </c>
      <c r="AM612" s="45">
        <f t="shared" si="666"/>
        <v>0</v>
      </c>
      <c r="AN612" s="45">
        <f t="shared" si="667"/>
        <v>0</v>
      </c>
      <c r="AO612" s="45">
        <f t="shared" si="668"/>
        <v>0</v>
      </c>
      <c r="AP612" s="80">
        <f t="shared" si="647"/>
        <v>0</v>
      </c>
      <c r="AQ612" s="80">
        <f t="shared" si="648"/>
        <v>0</v>
      </c>
      <c r="AR612" s="80">
        <f t="shared" si="649"/>
        <v>0</v>
      </c>
      <c r="AS612" s="80">
        <f t="shared" si="650"/>
        <v>0</v>
      </c>
      <c r="AT612" s="80">
        <f t="shared" si="651"/>
        <v>0</v>
      </c>
      <c r="AU612" s="80">
        <f t="shared" si="652"/>
        <v>0</v>
      </c>
      <c r="AV612" s="80">
        <f t="shared" si="675"/>
        <v>90.531113917162415</v>
      </c>
      <c r="AW612" s="80">
        <f t="shared" si="676"/>
        <v>42.399326477714823</v>
      </c>
      <c r="AX612" s="80">
        <f t="shared" si="677"/>
        <v>26.099979560168407</v>
      </c>
      <c r="AY612" s="80">
        <f t="shared" si="678"/>
        <v>20.307303718439968</v>
      </c>
      <c r="AZ612" s="80">
        <f t="shared" si="679"/>
        <v>243.66869927080208</v>
      </c>
      <c r="BA612" s="80">
        <f t="shared" si="680"/>
        <v>116.91125000543222</v>
      </c>
      <c r="BB612" s="80">
        <f t="shared" si="681"/>
        <v>558.70117678704423</v>
      </c>
      <c r="BC612" s="80">
        <f t="shared" si="682"/>
        <v>223.9755184812096</v>
      </c>
      <c r="BD612" s="80">
        <f t="shared" si="683"/>
        <v>162.49201862463363</v>
      </c>
      <c r="BE612" s="80">
        <f t="shared" si="684"/>
        <v>116.71630771947135</v>
      </c>
      <c r="BF612" s="80">
        <f t="shared" si="685"/>
        <v>1351.814440742141</v>
      </c>
      <c r="BG612" s="80">
        <f t="shared" si="686"/>
        <v>795.01775888117174</v>
      </c>
      <c r="BH612" s="49">
        <f t="shared" si="687"/>
        <v>0</v>
      </c>
      <c r="BI612" s="79">
        <f t="shared" si="688"/>
        <v>-104966.28279384418</v>
      </c>
      <c r="BJ612" s="79">
        <f t="shared" si="653"/>
        <v>191000</v>
      </c>
      <c r="BK612" s="44">
        <f t="shared" si="689"/>
        <v>0.81963193242850862</v>
      </c>
      <c r="BL612" s="79">
        <f t="shared" si="690"/>
        <v>27827.007281107672</v>
      </c>
      <c r="BM612" s="49">
        <f t="shared" si="691"/>
        <v>218827.00728110768</v>
      </c>
      <c r="BN612" s="44">
        <f t="shared" si="692"/>
        <v>1.0847361786726144</v>
      </c>
      <c r="BO612" s="49">
        <f t="shared" si="654"/>
        <v>38566.304345359495</v>
      </c>
      <c r="BP612" s="49">
        <f t="shared" si="655"/>
        <v>229566.3043453595</v>
      </c>
      <c r="BQ612" s="44">
        <f t="shared" si="693"/>
        <v>1.1870480523372651</v>
      </c>
      <c r="BS612" s="49">
        <f t="shared" si="694"/>
        <v>104966.28279384418</v>
      </c>
      <c r="BT612" s="49">
        <f t="shared" si="710"/>
        <v>142.78999300000001</v>
      </c>
      <c r="BU612" s="49">
        <f t="shared" si="711"/>
        <v>42.25</v>
      </c>
      <c r="BV612" s="49">
        <f t="shared" si="695"/>
        <v>1006.5274142003727</v>
      </c>
      <c r="BW612" s="18">
        <f t="shared" si="656"/>
        <v>3989</v>
      </c>
      <c r="BX612" s="19">
        <f t="shared" si="696"/>
        <v>8.5091743119266053E-2</v>
      </c>
      <c r="BY612" s="49">
        <f t="shared" si="697"/>
        <v>85.647172171637223</v>
      </c>
      <c r="BZ612" s="19">
        <f t="shared" si="698"/>
        <v>0.35678520445658818</v>
      </c>
      <c r="CA612" s="19">
        <f t="shared" si="699"/>
        <v>8.7303679746381188E-2</v>
      </c>
      <c r="CB612" s="19">
        <f t="shared" si="700"/>
        <v>8.7788505181099249E-2</v>
      </c>
      <c r="CC612" s="19">
        <f t="shared" si="701"/>
        <v>0.12929097670143547</v>
      </c>
      <c r="CD612" s="19">
        <f t="shared" si="702"/>
        <v>10.865914299366345</v>
      </c>
      <c r="CE612" s="19">
        <f t="shared" si="703"/>
        <v>10.660859598937742</v>
      </c>
      <c r="CF612" s="49">
        <f t="shared" si="704"/>
        <v>-50.945356846859795</v>
      </c>
      <c r="CG612" s="49">
        <f t="shared" si="705"/>
        <v>-9.1834742471291975</v>
      </c>
      <c r="CH612" s="49">
        <f t="shared" si="706"/>
        <v>-9.8349461476500437</v>
      </c>
      <c r="CI612" s="49">
        <f t="shared" si="707"/>
        <v>-17.930071743918234</v>
      </c>
      <c r="CJ612" s="49">
        <f t="shared" si="708"/>
        <v>-468.21224715969583</v>
      </c>
      <c r="CK612" s="49">
        <f t="shared" si="709"/>
        <v>-450.42131805511963</v>
      </c>
    </row>
    <row r="613" spans="2:89" ht="12.75" customHeight="1" x14ac:dyDescent="0.2">
      <c r="B613" s="77">
        <v>43289</v>
      </c>
      <c r="C613" s="79">
        <v>144.699997</v>
      </c>
      <c r="D613" s="79">
        <v>106.449997</v>
      </c>
      <c r="E613" s="79">
        <v>112.5</v>
      </c>
      <c r="F613" s="79">
        <v>138.570007</v>
      </c>
      <c r="G613" s="79">
        <v>43.25</v>
      </c>
      <c r="H613" s="79">
        <v>42.799999</v>
      </c>
      <c r="I613" s="79"/>
      <c r="J613" s="78">
        <f>IF(inter=Weekly_2,J612+$C$5,IF(inter=Bi_weekly_2,0,IF(inter=Monthly_2,0,IF(inter=Quarterly_2,0,IF(inter=Yearly_2,0,IF(inter=None_2,0,0))))))</f>
        <v>0</v>
      </c>
      <c r="K613" s="79">
        <f t="shared" si="657"/>
        <v>0</v>
      </c>
      <c r="L613" s="79">
        <f t="shared" si="658"/>
        <v>0</v>
      </c>
      <c r="M613" s="79">
        <f t="shared" si="659"/>
        <v>0</v>
      </c>
      <c r="N613" s="79">
        <f t="shared" si="660"/>
        <v>0</v>
      </c>
      <c r="O613" s="79">
        <f t="shared" si="661"/>
        <v>0</v>
      </c>
      <c r="P613" s="79">
        <f t="shared" si="662"/>
        <v>0</v>
      </c>
      <c r="Q613" s="79"/>
      <c r="R613" s="80">
        <f t="shared" si="641"/>
        <v>0</v>
      </c>
      <c r="S613" s="80">
        <f t="shared" si="642"/>
        <v>0</v>
      </c>
      <c r="T613" s="80">
        <f t="shared" si="643"/>
        <v>0</v>
      </c>
      <c r="U613" s="80">
        <f t="shared" si="644"/>
        <v>0</v>
      </c>
      <c r="V613" s="80">
        <f t="shared" si="645"/>
        <v>0</v>
      </c>
      <c r="W613" s="80">
        <f t="shared" si="646"/>
        <v>0</v>
      </c>
      <c r="X613" s="80">
        <f t="shared" si="669"/>
        <v>468.17006286988186</v>
      </c>
      <c r="Y613" s="80">
        <f t="shared" si="670"/>
        <v>181.57619200349478</v>
      </c>
      <c r="Z613" s="80">
        <f t="shared" si="671"/>
        <v>136.39203906446522</v>
      </c>
      <c r="AA613" s="80">
        <f t="shared" si="672"/>
        <v>96.409004001031377</v>
      </c>
      <c r="AB613" s="80">
        <f t="shared" si="673"/>
        <v>1108.1457414713389</v>
      </c>
      <c r="AC613" s="80">
        <f t="shared" si="674"/>
        <v>678.10650887573956</v>
      </c>
      <c r="AD613" s="80"/>
      <c r="AE613" s="80"/>
      <c r="AF613" s="80"/>
      <c r="AG613" s="80"/>
      <c r="AH613" s="80"/>
      <c r="AI613" s="80"/>
      <c r="AJ613" s="45">
        <f t="shared" si="663"/>
        <v>0</v>
      </c>
      <c r="AK613" s="45">
        <f t="shared" si="664"/>
        <v>0</v>
      </c>
      <c r="AL613" s="45">
        <f t="shared" si="665"/>
        <v>0</v>
      </c>
      <c r="AM613" s="45">
        <f t="shared" si="666"/>
        <v>0</v>
      </c>
      <c r="AN613" s="45">
        <f t="shared" si="667"/>
        <v>0</v>
      </c>
      <c r="AO613" s="45">
        <f t="shared" si="668"/>
        <v>0</v>
      </c>
      <c r="AP613" s="80">
        <f t="shared" si="647"/>
        <v>0</v>
      </c>
      <c r="AQ613" s="80">
        <f t="shared" si="648"/>
        <v>0</v>
      </c>
      <c r="AR613" s="80">
        <f t="shared" si="649"/>
        <v>0</v>
      </c>
      <c r="AS613" s="80">
        <f t="shared" si="650"/>
        <v>0</v>
      </c>
      <c r="AT613" s="80">
        <f t="shared" si="651"/>
        <v>0</v>
      </c>
      <c r="AU613" s="80">
        <f t="shared" si="652"/>
        <v>0</v>
      </c>
      <c r="AV613" s="80">
        <f t="shared" si="675"/>
        <v>90.531113917162415</v>
      </c>
      <c r="AW613" s="80">
        <f t="shared" si="676"/>
        <v>42.399326477714823</v>
      </c>
      <c r="AX613" s="80">
        <f t="shared" si="677"/>
        <v>26.099979560168407</v>
      </c>
      <c r="AY613" s="80">
        <f t="shared" si="678"/>
        <v>20.307303718439968</v>
      </c>
      <c r="AZ613" s="80">
        <f t="shared" si="679"/>
        <v>243.66869927080208</v>
      </c>
      <c r="BA613" s="80">
        <f t="shared" si="680"/>
        <v>116.91125000543222</v>
      </c>
      <c r="BB613" s="80">
        <f t="shared" si="681"/>
        <v>558.70117678704423</v>
      </c>
      <c r="BC613" s="80">
        <f t="shared" si="682"/>
        <v>223.9755184812096</v>
      </c>
      <c r="BD613" s="80">
        <f t="shared" si="683"/>
        <v>162.49201862463363</v>
      </c>
      <c r="BE613" s="80">
        <f t="shared" si="684"/>
        <v>116.71630771947135</v>
      </c>
      <c r="BF613" s="80">
        <f t="shared" si="685"/>
        <v>1351.814440742141</v>
      </c>
      <c r="BG613" s="80">
        <f t="shared" si="686"/>
        <v>795.01775888117174</v>
      </c>
      <c r="BH613" s="49">
        <f t="shared" si="687"/>
        <v>0</v>
      </c>
      <c r="BI613" s="79">
        <f t="shared" si="688"/>
        <v>-104966.28279384418</v>
      </c>
      <c r="BJ613" s="79">
        <f t="shared" si="653"/>
        <v>192726.75376125399</v>
      </c>
      <c r="BK613" s="44">
        <f t="shared" si="689"/>
        <v>0.83608248888619863</v>
      </c>
      <c r="BL613" s="79">
        <f t="shared" si="690"/>
        <v>27827.007281107672</v>
      </c>
      <c r="BM613" s="49">
        <f t="shared" si="691"/>
        <v>220553.76104236167</v>
      </c>
      <c r="BN613" s="44">
        <f t="shared" si="692"/>
        <v>1.1011867351303044</v>
      </c>
      <c r="BO613" s="49">
        <f t="shared" si="654"/>
        <v>38905.963634292559</v>
      </c>
      <c r="BP613" s="49">
        <f t="shared" si="655"/>
        <v>231632.71739554656</v>
      </c>
      <c r="BQ613" s="44">
        <f t="shared" si="693"/>
        <v>1.2067344982624348</v>
      </c>
      <c r="BS613" s="49">
        <f t="shared" si="694"/>
        <v>104966.28279384418</v>
      </c>
      <c r="BT613" s="49">
        <f t="shared" si="710"/>
        <v>144.699997</v>
      </c>
      <c r="BU613" s="49">
        <f t="shared" si="711"/>
        <v>42.799999</v>
      </c>
      <c r="BV613" s="49">
        <f t="shared" si="695"/>
        <v>0</v>
      </c>
      <c r="BW613" s="18">
        <f t="shared" si="656"/>
        <v>3996</v>
      </c>
      <c r="BX613" s="19">
        <f t="shared" si="696"/>
        <v>8.3486238532110096E-2</v>
      </c>
      <c r="BY613" s="49">
        <f t="shared" si="697"/>
        <v>0</v>
      </c>
      <c r="BZ613" s="19">
        <f t="shared" si="698"/>
        <v>0</v>
      </c>
      <c r="CA613" s="19">
        <f t="shared" si="699"/>
        <v>0</v>
      </c>
      <c r="CB613" s="19">
        <f t="shared" si="700"/>
        <v>0</v>
      </c>
      <c r="CC613" s="19">
        <f t="shared" si="701"/>
        <v>0</v>
      </c>
      <c r="CD613" s="19">
        <f t="shared" si="702"/>
        <v>0</v>
      </c>
      <c r="CE613" s="19">
        <f t="shared" si="703"/>
        <v>0</v>
      </c>
      <c r="CF613" s="49">
        <f t="shared" si="704"/>
        <v>0</v>
      </c>
      <c r="CG613" s="49">
        <f t="shared" si="705"/>
        <v>0</v>
      </c>
      <c r="CH613" s="49">
        <f t="shared" si="706"/>
        <v>0</v>
      </c>
      <c r="CI613" s="49">
        <f t="shared" si="707"/>
        <v>0</v>
      </c>
      <c r="CJ613" s="49">
        <f t="shared" si="708"/>
        <v>0</v>
      </c>
      <c r="CK613" s="49">
        <f t="shared" si="709"/>
        <v>0</v>
      </c>
    </row>
    <row r="614" spans="2:89" ht="12.75" customHeight="1" x14ac:dyDescent="0.2">
      <c r="B614" s="77">
        <v>43296</v>
      </c>
      <c r="C614" s="79">
        <v>144.83999600000001</v>
      </c>
      <c r="D614" s="79">
        <v>106.650002</v>
      </c>
      <c r="E614" s="79">
        <v>112.589996</v>
      </c>
      <c r="F614" s="79">
        <v>139.14999399999999</v>
      </c>
      <c r="G614" s="79">
        <v>43.41</v>
      </c>
      <c r="H614" s="79">
        <v>42.91</v>
      </c>
      <c r="I614" s="79"/>
      <c r="J614" s="78">
        <f>IF(inter=Weekly_2,J613+$C$5,IF(inter=Bi_weekly_2,J612+$C$5,IF(inter=Monthly_2,J610+$C$5,IF(inter=Quarterly_2,J601+$C$5,IF(inter=Yearly_2,J562+$C$5,IF(inter=None_2,0,0))))))</f>
        <v>191600</v>
      </c>
      <c r="K614" s="79">
        <f t="shared" si="657"/>
        <v>749.75003339344403</v>
      </c>
      <c r="L614" s="79">
        <f t="shared" si="658"/>
        <v>205.1012403251043</v>
      </c>
      <c r="M614" s="79">
        <f t="shared" si="659"/>
        <v>28.379132699983529</v>
      </c>
      <c r="N614" s="79">
        <f t="shared" si="660"/>
        <v>3.3123282894903241</v>
      </c>
      <c r="O614" s="79">
        <f t="shared" si="661"/>
        <v>204.60663727081555</v>
      </c>
      <c r="P614" s="79">
        <f t="shared" si="662"/>
        <v>357.55029585798184</v>
      </c>
      <c r="Q614" s="79"/>
      <c r="R614" s="80">
        <f t="shared" si="641"/>
        <v>-5.1764019200431628</v>
      </c>
      <c r="S614" s="80">
        <f t="shared" si="642"/>
        <v>-1.9231245802049239</v>
      </c>
      <c r="T614" s="80">
        <f t="shared" si="643"/>
        <v>-0.25205732043887391</v>
      </c>
      <c r="U614" s="80">
        <f t="shared" si="644"/>
        <v>-2.3804013167908037E-2</v>
      </c>
      <c r="V614" s="80">
        <f t="shared" si="645"/>
        <v>-4.7133526208434819</v>
      </c>
      <c r="W614" s="80">
        <f t="shared" si="646"/>
        <v>-8.3325634084824483</v>
      </c>
      <c r="X614" s="80">
        <f t="shared" si="669"/>
        <v>462.99366094983867</v>
      </c>
      <c r="Y614" s="80">
        <f t="shared" si="670"/>
        <v>179.65306742328985</v>
      </c>
      <c r="Z614" s="80">
        <f t="shared" si="671"/>
        <v>136.13998174402636</v>
      </c>
      <c r="AA614" s="80">
        <f t="shared" si="672"/>
        <v>96.385199987863473</v>
      </c>
      <c r="AB614" s="80">
        <f t="shared" si="673"/>
        <v>1103.4323888504953</v>
      </c>
      <c r="AC614" s="80">
        <f t="shared" si="674"/>
        <v>669.77394546725714</v>
      </c>
      <c r="AD614" s="80"/>
      <c r="AE614" s="80"/>
      <c r="AF614" s="80"/>
      <c r="AG614" s="80"/>
      <c r="AH614" s="80"/>
      <c r="AI614" s="80"/>
      <c r="AJ614" s="45">
        <f t="shared" si="663"/>
        <v>0</v>
      </c>
      <c r="AK614" s="45">
        <f t="shared" si="664"/>
        <v>0</v>
      </c>
      <c r="AL614" s="45">
        <f t="shared" si="665"/>
        <v>0</v>
      </c>
      <c r="AM614" s="45">
        <f t="shared" si="666"/>
        <v>0</v>
      </c>
      <c r="AN614" s="45">
        <f t="shared" si="667"/>
        <v>0</v>
      </c>
      <c r="AO614" s="45">
        <f t="shared" si="668"/>
        <v>0</v>
      </c>
      <c r="AP614" s="80">
        <f t="shared" si="647"/>
        <v>0</v>
      </c>
      <c r="AQ614" s="80">
        <f t="shared" si="648"/>
        <v>0</v>
      </c>
      <c r="AR614" s="80">
        <f t="shared" si="649"/>
        <v>0</v>
      </c>
      <c r="AS614" s="80">
        <f t="shared" si="650"/>
        <v>0</v>
      </c>
      <c r="AT614" s="80">
        <f t="shared" si="651"/>
        <v>0</v>
      </c>
      <c r="AU614" s="80">
        <f t="shared" si="652"/>
        <v>0</v>
      </c>
      <c r="AV614" s="80">
        <f t="shared" si="675"/>
        <v>90.531113917162415</v>
      </c>
      <c r="AW614" s="80">
        <f t="shared" si="676"/>
        <v>42.399326477714823</v>
      </c>
      <c r="AX614" s="80">
        <f t="shared" si="677"/>
        <v>26.099979560168407</v>
      </c>
      <c r="AY614" s="80">
        <f t="shared" si="678"/>
        <v>20.307303718439968</v>
      </c>
      <c r="AZ614" s="80">
        <f t="shared" si="679"/>
        <v>243.66869927080208</v>
      </c>
      <c r="BA614" s="80">
        <f t="shared" si="680"/>
        <v>116.91125000543222</v>
      </c>
      <c r="BB614" s="80">
        <f t="shared" si="681"/>
        <v>553.52477486700104</v>
      </c>
      <c r="BC614" s="80">
        <f t="shared" si="682"/>
        <v>222.05239390100468</v>
      </c>
      <c r="BD614" s="80">
        <f t="shared" si="683"/>
        <v>162.23996130419476</v>
      </c>
      <c r="BE614" s="80">
        <f t="shared" si="684"/>
        <v>116.69250370630344</v>
      </c>
      <c r="BF614" s="80">
        <f t="shared" si="685"/>
        <v>1347.1010881212974</v>
      </c>
      <c r="BG614" s="80">
        <f t="shared" si="686"/>
        <v>786.68519547268932</v>
      </c>
      <c r="BH614" s="49">
        <f t="shared" si="687"/>
        <v>0</v>
      </c>
      <c r="BI614" s="79">
        <f t="shared" si="688"/>
        <v>-103417.58312600735</v>
      </c>
      <c r="BJ614" s="79">
        <f t="shared" si="653"/>
        <v>191600</v>
      </c>
      <c r="BK614" s="44">
        <f t="shared" si="689"/>
        <v>0.85268301780508948</v>
      </c>
      <c r="BL614" s="79">
        <f t="shared" si="690"/>
        <v>27827.007281107672</v>
      </c>
      <c r="BM614" s="49">
        <f t="shared" si="691"/>
        <v>219427.00728110768</v>
      </c>
      <c r="BN614" s="44">
        <f t="shared" si="692"/>
        <v>1.1217572548930166</v>
      </c>
      <c r="BO614" s="49">
        <f t="shared" si="654"/>
        <v>38993.092189219446</v>
      </c>
      <c r="BP614" s="49">
        <f t="shared" si="655"/>
        <v>230593.09218921943</v>
      </c>
      <c r="BQ614" s="44">
        <f t="shared" si="693"/>
        <v>1.2297281102407633</v>
      </c>
      <c r="BS614" s="49">
        <f t="shared" si="694"/>
        <v>103417.58312600735</v>
      </c>
      <c r="BT614" s="49">
        <f t="shared" si="710"/>
        <v>144.83999600000001</v>
      </c>
      <c r="BU614" s="49">
        <f t="shared" si="711"/>
        <v>42.91</v>
      </c>
      <c r="BV614" s="49">
        <f t="shared" si="695"/>
        <v>-1548.6996678368196</v>
      </c>
      <c r="BW614" s="18">
        <f t="shared" si="656"/>
        <v>4003</v>
      </c>
      <c r="BX614" s="19">
        <f t="shared" si="696"/>
        <v>8.1880733944954126E-2</v>
      </c>
      <c r="BY614" s="49">
        <f t="shared" si="697"/>
        <v>-126.80866546278546</v>
      </c>
      <c r="BZ614" s="19">
        <f t="shared" si="698"/>
        <v>0</v>
      </c>
      <c r="CA614" s="19">
        <f t="shared" si="699"/>
        <v>0</v>
      </c>
      <c r="CB614" s="19">
        <f t="shared" si="700"/>
        <v>0</v>
      </c>
      <c r="CC614" s="19">
        <f t="shared" si="701"/>
        <v>0</v>
      </c>
      <c r="CD614" s="19">
        <f t="shared" si="702"/>
        <v>0</v>
      </c>
      <c r="CE614" s="19">
        <f t="shared" si="703"/>
        <v>0</v>
      </c>
      <c r="CF614" s="49">
        <f t="shared" si="704"/>
        <v>0</v>
      </c>
      <c r="CG614" s="49">
        <f t="shared" si="705"/>
        <v>0</v>
      </c>
      <c r="CH614" s="49">
        <f t="shared" si="706"/>
        <v>0</v>
      </c>
      <c r="CI614" s="49">
        <f t="shared" si="707"/>
        <v>0</v>
      </c>
      <c r="CJ614" s="49">
        <f t="shared" si="708"/>
        <v>0</v>
      </c>
      <c r="CK614" s="49">
        <f t="shared" si="709"/>
        <v>0</v>
      </c>
    </row>
    <row r="615" spans="2:89" ht="12.75" customHeight="1" x14ac:dyDescent="0.2">
      <c r="B615" s="77">
        <v>43303</v>
      </c>
      <c r="C615" s="79">
        <v>145.220001</v>
      </c>
      <c r="D615" s="79">
        <v>108.30999799999999</v>
      </c>
      <c r="E615" s="79">
        <v>113.199997</v>
      </c>
      <c r="F615" s="79">
        <v>138.179993</v>
      </c>
      <c r="G615" s="79">
        <v>43.869999</v>
      </c>
      <c r="H615" s="79">
        <v>43.740001999999997</v>
      </c>
      <c r="I615" s="79"/>
      <c r="J615" s="78">
        <f>IF(inter=Weekly_2,J614+$C$5,IF(inter=Bi_weekly_2,0,IF(inter=Monthly_2,0,IF(inter=Quarterly_2,0,IF(inter=Yearly_2,0,IF(inter=None_2,0,0))))))</f>
        <v>0</v>
      </c>
      <c r="K615" s="79">
        <f t="shared" si="657"/>
        <v>0</v>
      </c>
      <c r="L615" s="79">
        <f t="shared" si="658"/>
        <v>0</v>
      </c>
      <c r="M615" s="79">
        <f t="shared" si="659"/>
        <v>0</v>
      </c>
      <c r="N615" s="79">
        <f t="shared" si="660"/>
        <v>0</v>
      </c>
      <c r="O615" s="79">
        <f t="shared" si="661"/>
        <v>0</v>
      </c>
      <c r="P615" s="79">
        <f t="shared" si="662"/>
        <v>0</v>
      </c>
      <c r="Q615" s="79"/>
      <c r="R615" s="80">
        <f t="shared" si="641"/>
        <v>0</v>
      </c>
      <c r="S615" s="80">
        <f t="shared" si="642"/>
        <v>0</v>
      </c>
      <c r="T615" s="80">
        <f t="shared" si="643"/>
        <v>0</v>
      </c>
      <c r="U615" s="80">
        <f t="shared" si="644"/>
        <v>0</v>
      </c>
      <c r="V615" s="80">
        <f t="shared" si="645"/>
        <v>0</v>
      </c>
      <c r="W615" s="80">
        <f t="shared" si="646"/>
        <v>0</v>
      </c>
      <c r="X615" s="80">
        <f t="shared" si="669"/>
        <v>462.99366094983867</v>
      </c>
      <c r="Y615" s="80">
        <f t="shared" si="670"/>
        <v>179.65306742328985</v>
      </c>
      <c r="Z615" s="80">
        <f t="shared" si="671"/>
        <v>136.13998174402636</v>
      </c>
      <c r="AA615" s="80">
        <f t="shared" si="672"/>
        <v>96.385199987863473</v>
      </c>
      <c r="AB615" s="80">
        <f t="shared" si="673"/>
        <v>1103.4323888504953</v>
      </c>
      <c r="AC615" s="80">
        <f t="shared" si="674"/>
        <v>669.77394546725714</v>
      </c>
      <c r="AD615" s="80"/>
      <c r="AE615" s="80"/>
      <c r="AF615" s="80"/>
      <c r="AG615" s="80"/>
      <c r="AH615" s="80"/>
      <c r="AI615" s="80"/>
      <c r="AJ615" s="45">
        <f t="shared" si="663"/>
        <v>0</v>
      </c>
      <c r="AK615" s="45">
        <f t="shared" si="664"/>
        <v>0</v>
      </c>
      <c r="AL615" s="45">
        <f t="shared" si="665"/>
        <v>0</v>
      </c>
      <c r="AM615" s="45">
        <f t="shared" si="666"/>
        <v>0</v>
      </c>
      <c r="AN615" s="45">
        <f t="shared" si="667"/>
        <v>0</v>
      </c>
      <c r="AO615" s="45">
        <f t="shared" si="668"/>
        <v>0</v>
      </c>
      <c r="AP615" s="80">
        <f t="shared" si="647"/>
        <v>0</v>
      </c>
      <c r="AQ615" s="80">
        <f t="shared" si="648"/>
        <v>0</v>
      </c>
      <c r="AR615" s="80">
        <f t="shared" si="649"/>
        <v>0</v>
      </c>
      <c r="AS615" s="80">
        <f t="shared" si="650"/>
        <v>0</v>
      </c>
      <c r="AT615" s="80">
        <f t="shared" si="651"/>
        <v>0</v>
      </c>
      <c r="AU615" s="80">
        <f t="shared" si="652"/>
        <v>0</v>
      </c>
      <c r="AV615" s="80">
        <f t="shared" si="675"/>
        <v>90.531113917162415</v>
      </c>
      <c r="AW615" s="80">
        <f t="shared" si="676"/>
        <v>42.399326477714823</v>
      </c>
      <c r="AX615" s="80">
        <f t="shared" si="677"/>
        <v>26.099979560168407</v>
      </c>
      <c r="AY615" s="80">
        <f t="shared" si="678"/>
        <v>20.307303718439968</v>
      </c>
      <c r="AZ615" s="80">
        <f t="shared" si="679"/>
        <v>243.66869927080208</v>
      </c>
      <c r="BA615" s="80">
        <f t="shared" si="680"/>
        <v>116.91125000543222</v>
      </c>
      <c r="BB615" s="80">
        <f t="shared" si="681"/>
        <v>553.52477486700104</v>
      </c>
      <c r="BC615" s="80">
        <f t="shared" si="682"/>
        <v>222.05239390100468</v>
      </c>
      <c r="BD615" s="80">
        <f t="shared" si="683"/>
        <v>162.23996130419476</v>
      </c>
      <c r="BE615" s="80">
        <f t="shared" si="684"/>
        <v>116.69250370630344</v>
      </c>
      <c r="BF615" s="80">
        <f t="shared" si="685"/>
        <v>1347.1010881212974</v>
      </c>
      <c r="BG615" s="80">
        <f t="shared" si="686"/>
        <v>786.68519547268932</v>
      </c>
      <c r="BH615" s="49">
        <f t="shared" si="687"/>
        <v>0</v>
      </c>
      <c r="BI615" s="79">
        <f t="shared" si="688"/>
        <v>-103417.58312600735</v>
      </c>
      <c r="BJ615" s="79">
        <f t="shared" si="653"/>
        <v>193127.2065737946</v>
      </c>
      <c r="BK615" s="44">
        <f t="shared" si="689"/>
        <v>0.86745039611380337</v>
      </c>
      <c r="BL615" s="79">
        <f t="shared" si="690"/>
        <v>27827.007281107672</v>
      </c>
      <c r="BM615" s="49">
        <f t="shared" si="691"/>
        <v>220954.21385490228</v>
      </c>
      <c r="BN615" s="44">
        <f t="shared" si="692"/>
        <v>1.1365246332017302</v>
      </c>
      <c r="BO615" s="49">
        <f t="shared" si="654"/>
        <v>39303.224015559608</v>
      </c>
      <c r="BP615" s="49">
        <f t="shared" si="655"/>
        <v>232430.43058935419</v>
      </c>
      <c r="BQ615" s="44">
        <f t="shared" si="693"/>
        <v>1.2474943192798595</v>
      </c>
      <c r="BS615" s="49">
        <f t="shared" si="694"/>
        <v>103417.58312600735</v>
      </c>
      <c r="BT615" s="49">
        <f t="shared" si="710"/>
        <v>145.220001</v>
      </c>
      <c r="BU615" s="49">
        <f t="shared" si="711"/>
        <v>43.740001999999997</v>
      </c>
      <c r="BV615" s="49">
        <f t="shared" si="695"/>
        <v>0</v>
      </c>
      <c r="BW615" s="18">
        <f t="shared" si="656"/>
        <v>4010</v>
      </c>
      <c r="BX615" s="19">
        <f t="shared" si="696"/>
        <v>8.027522935779817E-2</v>
      </c>
      <c r="BY615" s="49">
        <f t="shared" si="697"/>
        <v>0</v>
      </c>
      <c r="BZ615" s="19">
        <f t="shared" si="698"/>
        <v>0</v>
      </c>
      <c r="CA615" s="19">
        <f t="shared" si="699"/>
        <v>0</v>
      </c>
      <c r="CB615" s="19">
        <f t="shared" si="700"/>
        <v>0</v>
      </c>
      <c r="CC615" s="19">
        <f t="shared" si="701"/>
        <v>0</v>
      </c>
      <c r="CD615" s="19">
        <f t="shared" si="702"/>
        <v>0</v>
      </c>
      <c r="CE615" s="19">
        <f t="shared" si="703"/>
        <v>0</v>
      </c>
      <c r="CF615" s="49">
        <f t="shared" si="704"/>
        <v>0</v>
      </c>
      <c r="CG615" s="49">
        <f t="shared" si="705"/>
        <v>0</v>
      </c>
      <c r="CH615" s="49">
        <f t="shared" si="706"/>
        <v>0</v>
      </c>
      <c r="CI615" s="49">
        <f t="shared" si="707"/>
        <v>0</v>
      </c>
      <c r="CJ615" s="49">
        <f t="shared" si="708"/>
        <v>0</v>
      </c>
      <c r="CK615" s="49">
        <f t="shared" si="709"/>
        <v>0</v>
      </c>
    </row>
    <row r="616" spans="2:89" ht="12.75" customHeight="1" x14ac:dyDescent="0.2">
      <c r="B616" s="77">
        <v>43310</v>
      </c>
      <c r="C616" s="79">
        <v>146.270004</v>
      </c>
      <c r="D616" s="79">
        <v>109.129997</v>
      </c>
      <c r="E616" s="79">
        <v>113.82</v>
      </c>
      <c r="F616" s="79">
        <v>139.63000500000001</v>
      </c>
      <c r="G616" s="79">
        <v>43.459999000000003</v>
      </c>
      <c r="H616" s="79">
        <v>43.32</v>
      </c>
      <c r="I616" s="79"/>
      <c r="J616" s="78">
        <f>IF(inter=Weekly_2,J615+$C$5,IF(inter=Bi_weekly_2,J614+$C$5,IF(inter=Monthly_2,0,IF(inter=Quarterly_2,0,IF(inter=Yearly_2,0,IF(inter=None_2,0,0))))))</f>
        <v>192200</v>
      </c>
      <c r="K616" s="79">
        <f t="shared" si="657"/>
        <v>452.08463910754654</v>
      </c>
      <c r="L616" s="79">
        <f t="shared" si="658"/>
        <v>385.53870894441934</v>
      </c>
      <c r="M616" s="79">
        <f t="shared" si="659"/>
        <v>119.45272210507937</v>
      </c>
      <c r="N616" s="79">
        <f t="shared" si="660"/>
        <v>4.2659562313765491</v>
      </c>
      <c r="O616" s="79">
        <f t="shared" si="661"/>
        <v>-94.829483989859</v>
      </c>
      <c r="P616" s="79">
        <f t="shared" si="662"/>
        <v>184.60731764157754</v>
      </c>
      <c r="Q616" s="79"/>
      <c r="R616" s="80">
        <f t="shared" si="641"/>
        <v>-3.0907542677550386</v>
      </c>
      <c r="S616" s="80">
        <f t="shared" si="642"/>
        <v>-3.5328389951703136</v>
      </c>
      <c r="T616" s="80">
        <f t="shared" si="643"/>
        <v>-1.049487981945874</v>
      </c>
      <c r="U616" s="80">
        <f t="shared" si="644"/>
        <v>-3.0551859046173843E-2</v>
      </c>
      <c r="V616" s="80">
        <f t="shared" si="645"/>
        <v>2.1819946196929041</v>
      </c>
      <c r="W616" s="80">
        <f t="shared" si="646"/>
        <v>-4.2614800932958801</v>
      </c>
      <c r="X616" s="80">
        <f t="shared" si="669"/>
        <v>459.90290668208365</v>
      </c>
      <c r="Y616" s="80">
        <f t="shared" si="670"/>
        <v>176.12022842811953</v>
      </c>
      <c r="Z616" s="80">
        <f t="shared" si="671"/>
        <v>135.09049376208048</v>
      </c>
      <c r="AA616" s="80">
        <f t="shared" si="672"/>
        <v>96.354648128817303</v>
      </c>
      <c r="AB616" s="80">
        <f t="shared" si="673"/>
        <v>1105.6143834701882</v>
      </c>
      <c r="AC616" s="80">
        <f t="shared" si="674"/>
        <v>665.51246537396128</v>
      </c>
      <c r="AD616" s="80"/>
      <c r="AE616" s="80"/>
      <c r="AF616" s="80"/>
      <c r="AG616" s="80"/>
      <c r="AH616" s="80"/>
      <c r="AI616" s="80"/>
      <c r="AJ616" s="45">
        <f t="shared" si="663"/>
        <v>0</v>
      </c>
      <c r="AK616" s="45">
        <f t="shared" si="664"/>
        <v>0</v>
      </c>
      <c r="AL616" s="45">
        <f t="shared" si="665"/>
        <v>0</v>
      </c>
      <c r="AM616" s="45">
        <f t="shared" si="666"/>
        <v>0</v>
      </c>
      <c r="AN616" s="45">
        <f t="shared" si="667"/>
        <v>0</v>
      </c>
      <c r="AO616" s="45">
        <f t="shared" si="668"/>
        <v>0</v>
      </c>
      <c r="AP616" s="80">
        <f t="shared" si="647"/>
        <v>0</v>
      </c>
      <c r="AQ616" s="80">
        <f t="shared" si="648"/>
        <v>0</v>
      </c>
      <c r="AR616" s="80">
        <f t="shared" si="649"/>
        <v>0</v>
      </c>
      <c r="AS616" s="80">
        <f t="shared" si="650"/>
        <v>0</v>
      </c>
      <c r="AT616" s="80">
        <f t="shared" si="651"/>
        <v>0</v>
      </c>
      <c r="AU616" s="80">
        <f t="shared" si="652"/>
        <v>0</v>
      </c>
      <c r="AV616" s="80">
        <f t="shared" si="675"/>
        <v>90.531113917162415</v>
      </c>
      <c r="AW616" s="80">
        <f t="shared" si="676"/>
        <v>42.399326477714823</v>
      </c>
      <c r="AX616" s="80">
        <f t="shared" si="677"/>
        <v>26.099979560168407</v>
      </c>
      <c r="AY616" s="80">
        <f t="shared" si="678"/>
        <v>20.307303718439968</v>
      </c>
      <c r="AZ616" s="80">
        <f t="shared" si="679"/>
        <v>243.66869927080208</v>
      </c>
      <c r="BA616" s="80">
        <f t="shared" si="680"/>
        <v>116.91125000543222</v>
      </c>
      <c r="BB616" s="80">
        <f t="shared" si="681"/>
        <v>550.43402059924608</v>
      </c>
      <c r="BC616" s="80">
        <f t="shared" si="682"/>
        <v>218.51955490583435</v>
      </c>
      <c r="BD616" s="80">
        <f t="shared" si="683"/>
        <v>161.19047332224889</v>
      </c>
      <c r="BE616" s="80">
        <f t="shared" si="684"/>
        <v>116.66195184725727</v>
      </c>
      <c r="BF616" s="80">
        <f t="shared" si="685"/>
        <v>1349.2830827409903</v>
      </c>
      <c r="BG616" s="80">
        <f t="shared" si="686"/>
        <v>782.42371537939346</v>
      </c>
      <c r="BH616" s="49">
        <f t="shared" si="687"/>
        <v>0</v>
      </c>
      <c r="BI616" s="79">
        <f t="shared" si="688"/>
        <v>-102366.46326596719</v>
      </c>
      <c r="BJ616" s="79">
        <f t="shared" si="653"/>
        <v>192200</v>
      </c>
      <c r="BK616" s="44">
        <f t="shared" si="689"/>
        <v>0.87756804199270322</v>
      </c>
      <c r="BL616" s="79">
        <f t="shared" si="690"/>
        <v>27827.007281107672</v>
      </c>
      <c r="BM616" s="49">
        <f t="shared" si="691"/>
        <v>220027.00728110768</v>
      </c>
      <c r="BN616" s="44">
        <f t="shared" si="692"/>
        <v>1.1494051885863872</v>
      </c>
      <c r="BO616" s="49">
        <f t="shared" si="654"/>
        <v>39329.670136259185</v>
      </c>
      <c r="BP616" s="49">
        <f t="shared" si="655"/>
        <v>231529.6701362592</v>
      </c>
      <c r="BQ616" s="44">
        <f t="shared" si="693"/>
        <v>1.2617726816907004</v>
      </c>
      <c r="BS616" s="49">
        <f t="shared" si="694"/>
        <v>102366.46326596719</v>
      </c>
      <c r="BT616" s="49">
        <f t="shared" si="710"/>
        <v>146.270004</v>
      </c>
      <c r="BU616" s="49">
        <f t="shared" si="711"/>
        <v>43.32</v>
      </c>
      <c r="BV616" s="49">
        <f t="shared" si="695"/>
        <v>-1051.1198600401403</v>
      </c>
      <c r="BW616" s="18">
        <f t="shared" si="656"/>
        <v>4017</v>
      </c>
      <c r="BX616" s="19">
        <f t="shared" si="696"/>
        <v>7.8669724770642199E-2</v>
      </c>
      <c r="BY616" s="49">
        <f t="shared" si="697"/>
        <v>-82.691310090313792</v>
      </c>
      <c r="BZ616" s="19">
        <f t="shared" si="698"/>
        <v>0</v>
      </c>
      <c r="CA616" s="19">
        <f t="shared" si="699"/>
        <v>0</v>
      </c>
      <c r="CB616" s="19">
        <f t="shared" si="700"/>
        <v>0</v>
      </c>
      <c r="CC616" s="19">
        <f t="shared" si="701"/>
        <v>0</v>
      </c>
      <c r="CD616" s="19">
        <f t="shared" si="702"/>
        <v>2.1819946196929041</v>
      </c>
      <c r="CE616" s="19">
        <f t="shared" si="703"/>
        <v>0</v>
      </c>
      <c r="CF616" s="49">
        <f t="shared" si="704"/>
        <v>0</v>
      </c>
      <c r="CG616" s="49">
        <f t="shared" si="705"/>
        <v>0</v>
      </c>
      <c r="CH616" s="49">
        <f t="shared" si="706"/>
        <v>0</v>
      </c>
      <c r="CI616" s="49">
        <f t="shared" si="707"/>
        <v>0</v>
      </c>
      <c r="CJ616" s="49">
        <f t="shared" si="708"/>
        <v>-94.829483989859</v>
      </c>
      <c r="CK616" s="49">
        <f t="shared" si="709"/>
        <v>0</v>
      </c>
    </row>
    <row r="617" spans="2:89" ht="12.75" customHeight="1" x14ac:dyDescent="0.2">
      <c r="B617" s="77">
        <v>43317</v>
      </c>
      <c r="C617" s="79">
        <v>146.25</v>
      </c>
      <c r="D617" s="79">
        <v>108.779999</v>
      </c>
      <c r="E617" s="79">
        <v>113</v>
      </c>
      <c r="F617" s="79">
        <v>139.60000600000001</v>
      </c>
      <c r="G617" s="79">
        <v>42.610000999999997</v>
      </c>
      <c r="H617" s="79">
        <v>42.360000999999997</v>
      </c>
      <c r="I617" s="79"/>
      <c r="J617" s="78">
        <f>IF(inter=Weekly_2,J616+$C$5,IF(inter=Bi_weekly_2,0,IF(inter=Monthly_2,0,IF(inter=Quarterly_2,0,IF(inter=Yearly_2,0,IF(inter=None_2,0,0))))))</f>
        <v>0</v>
      </c>
      <c r="K617" s="79">
        <f t="shared" si="657"/>
        <v>0</v>
      </c>
      <c r="L617" s="79">
        <f t="shared" si="658"/>
        <v>0</v>
      </c>
      <c r="M617" s="79">
        <f t="shared" si="659"/>
        <v>0</v>
      </c>
      <c r="N617" s="79">
        <f t="shared" si="660"/>
        <v>0</v>
      </c>
      <c r="O617" s="79">
        <f t="shared" si="661"/>
        <v>0</v>
      </c>
      <c r="P617" s="79">
        <f t="shared" si="662"/>
        <v>0</v>
      </c>
      <c r="Q617" s="79"/>
      <c r="R617" s="80">
        <f t="shared" si="641"/>
        <v>0</v>
      </c>
      <c r="S617" s="80">
        <f t="shared" si="642"/>
        <v>0</v>
      </c>
      <c r="T617" s="80">
        <f t="shared" si="643"/>
        <v>0</v>
      </c>
      <c r="U617" s="80">
        <f t="shared" si="644"/>
        <v>0</v>
      </c>
      <c r="V617" s="80">
        <f t="shared" si="645"/>
        <v>0</v>
      </c>
      <c r="W617" s="80">
        <f t="shared" si="646"/>
        <v>0</v>
      </c>
      <c r="X617" s="80">
        <f t="shared" si="669"/>
        <v>459.90290668208365</v>
      </c>
      <c r="Y617" s="80">
        <f t="shared" si="670"/>
        <v>176.12022842811953</v>
      </c>
      <c r="Z617" s="80">
        <f t="shared" si="671"/>
        <v>135.09049376208048</v>
      </c>
      <c r="AA617" s="80">
        <f t="shared" si="672"/>
        <v>96.354648128817303</v>
      </c>
      <c r="AB617" s="80">
        <f t="shared" si="673"/>
        <v>1105.6143834701882</v>
      </c>
      <c r="AC617" s="80">
        <f t="shared" si="674"/>
        <v>665.51246537396128</v>
      </c>
      <c r="AD617" s="80"/>
      <c r="AE617" s="80"/>
      <c r="AF617" s="80"/>
      <c r="AG617" s="80"/>
      <c r="AH617" s="80"/>
      <c r="AI617" s="80"/>
      <c r="AJ617" s="45">
        <f t="shared" si="663"/>
        <v>0</v>
      </c>
      <c r="AK617" s="45">
        <f t="shared" si="664"/>
        <v>0</v>
      </c>
      <c r="AL617" s="45">
        <f t="shared" si="665"/>
        <v>0</v>
      </c>
      <c r="AM617" s="45">
        <f t="shared" si="666"/>
        <v>0</v>
      </c>
      <c r="AN617" s="45">
        <f t="shared" si="667"/>
        <v>0</v>
      </c>
      <c r="AO617" s="45">
        <f t="shared" si="668"/>
        <v>0</v>
      </c>
      <c r="AP617" s="80">
        <f t="shared" si="647"/>
        <v>0</v>
      </c>
      <c r="AQ617" s="80">
        <f t="shared" si="648"/>
        <v>0</v>
      </c>
      <c r="AR617" s="80">
        <f t="shared" si="649"/>
        <v>0</v>
      </c>
      <c r="AS617" s="80">
        <f t="shared" si="650"/>
        <v>0</v>
      </c>
      <c r="AT617" s="80">
        <f t="shared" si="651"/>
        <v>0</v>
      </c>
      <c r="AU617" s="80">
        <f t="shared" si="652"/>
        <v>0</v>
      </c>
      <c r="AV617" s="80">
        <f t="shared" si="675"/>
        <v>90.531113917162415</v>
      </c>
      <c r="AW617" s="80">
        <f t="shared" si="676"/>
        <v>42.399326477714823</v>
      </c>
      <c r="AX617" s="80">
        <f t="shared" si="677"/>
        <v>26.099979560168407</v>
      </c>
      <c r="AY617" s="80">
        <f t="shared" si="678"/>
        <v>20.307303718439968</v>
      </c>
      <c r="AZ617" s="80">
        <f t="shared" si="679"/>
        <v>243.66869927080208</v>
      </c>
      <c r="BA617" s="80">
        <f t="shared" si="680"/>
        <v>116.91125000543222</v>
      </c>
      <c r="BB617" s="80">
        <f t="shared" si="681"/>
        <v>550.43402059924608</v>
      </c>
      <c r="BC617" s="80">
        <f t="shared" si="682"/>
        <v>218.51955490583435</v>
      </c>
      <c r="BD617" s="80">
        <f t="shared" si="683"/>
        <v>161.19047332224889</v>
      </c>
      <c r="BE617" s="80">
        <f t="shared" si="684"/>
        <v>116.66195184725727</v>
      </c>
      <c r="BF617" s="80">
        <f t="shared" si="685"/>
        <v>1349.2830827409903</v>
      </c>
      <c r="BG617" s="80">
        <f t="shared" si="686"/>
        <v>782.42371537939346</v>
      </c>
      <c r="BH617" s="49">
        <f t="shared" si="687"/>
        <v>0</v>
      </c>
      <c r="BI617" s="79">
        <f t="shared" si="688"/>
        <v>-102366.46326596719</v>
      </c>
      <c r="BJ617" s="79">
        <f t="shared" si="653"/>
        <v>190436.83231060379</v>
      </c>
      <c r="BK617" s="44">
        <f t="shared" si="689"/>
        <v>0.86034396651775813</v>
      </c>
      <c r="BL617" s="79">
        <f t="shared" si="690"/>
        <v>27827.007281107672</v>
      </c>
      <c r="BM617" s="49">
        <f t="shared" si="691"/>
        <v>218263.83959171147</v>
      </c>
      <c r="BN617" s="44">
        <f t="shared" si="692"/>
        <v>1.1321811131114421</v>
      </c>
      <c r="BO617" s="49">
        <f t="shared" si="654"/>
        <v>38971.655700207499</v>
      </c>
      <c r="BP617" s="49">
        <f t="shared" si="655"/>
        <v>229408.48801081127</v>
      </c>
      <c r="BQ617" s="44">
        <f t="shared" si="693"/>
        <v>1.2410512260716207</v>
      </c>
      <c r="BS617" s="49">
        <f t="shared" si="694"/>
        <v>102366.46326596719</v>
      </c>
      <c r="BT617" s="49">
        <f t="shared" si="710"/>
        <v>146.25</v>
      </c>
      <c r="BU617" s="49">
        <f t="shared" si="711"/>
        <v>42.360000999999997</v>
      </c>
      <c r="BV617" s="49">
        <f t="shared" si="695"/>
        <v>0</v>
      </c>
      <c r="BW617" s="18">
        <f t="shared" si="656"/>
        <v>4024</v>
      </c>
      <c r="BX617" s="19">
        <f t="shared" si="696"/>
        <v>7.7064220183486243E-2</v>
      </c>
      <c r="BY617" s="49">
        <f t="shared" si="697"/>
        <v>0</v>
      </c>
      <c r="BZ617" s="19">
        <f t="shared" si="698"/>
        <v>0</v>
      </c>
      <c r="CA617" s="19">
        <f t="shared" si="699"/>
        <v>0</v>
      </c>
      <c r="CB617" s="19">
        <f t="shared" si="700"/>
        <v>0</v>
      </c>
      <c r="CC617" s="19">
        <f t="shared" si="701"/>
        <v>0</v>
      </c>
      <c r="CD617" s="19">
        <f t="shared" si="702"/>
        <v>0</v>
      </c>
      <c r="CE617" s="19">
        <f t="shared" si="703"/>
        <v>0</v>
      </c>
      <c r="CF617" s="49">
        <f t="shared" si="704"/>
        <v>0</v>
      </c>
      <c r="CG617" s="49">
        <f t="shared" si="705"/>
        <v>0</v>
      </c>
      <c r="CH617" s="49">
        <f t="shared" si="706"/>
        <v>0</v>
      </c>
      <c r="CI617" s="49">
        <f t="shared" si="707"/>
        <v>0</v>
      </c>
      <c r="CJ617" s="49">
        <f t="shared" si="708"/>
        <v>0</v>
      </c>
      <c r="CK617" s="49">
        <f t="shared" si="709"/>
        <v>0</v>
      </c>
    </row>
    <row r="618" spans="2:89" ht="12.75" customHeight="1" x14ac:dyDescent="0.2">
      <c r="B618" s="77">
        <v>43324</v>
      </c>
      <c r="C618" s="79">
        <v>147.16999799999999</v>
      </c>
      <c r="D618" s="79">
        <v>109.889999</v>
      </c>
      <c r="E618" s="79">
        <v>113.779999</v>
      </c>
      <c r="F618" s="79">
        <v>140.91999799999999</v>
      </c>
      <c r="G618" s="79">
        <v>42.380001</v>
      </c>
      <c r="H618" s="79">
        <v>41.34</v>
      </c>
      <c r="I618" s="79"/>
      <c r="J618" s="78">
        <f>IF(inter=Weekly_2,J617+$C$5,IF(inter=Bi_weekly_2,J616+$C$5,IF(inter=Monthly_2,J614+$C$5,IF(inter=Quarterly_2,0,IF(inter=Yearly_2,0,IF(inter=None_2,0,0))))))</f>
        <v>192800</v>
      </c>
      <c r="K618" s="79">
        <f t="shared" si="657"/>
        <v>203.90985659643775</v>
      </c>
      <c r="L618" s="79">
        <f t="shared" si="658"/>
        <v>73.851725845826877</v>
      </c>
      <c r="M618" s="79">
        <f t="shared" si="659"/>
        <v>-53.403754840976035</v>
      </c>
      <c r="N618" s="79">
        <f t="shared" si="660"/>
        <v>82.296821603635181</v>
      </c>
      <c r="O618" s="79">
        <f t="shared" si="661"/>
        <v>-1344.0613229190421</v>
      </c>
      <c r="P618" s="79">
        <f t="shared" si="662"/>
        <v>-1407.7146814404368</v>
      </c>
      <c r="Q618" s="79"/>
      <c r="R618" s="80">
        <f t="shared" ref="R618:R665" si="712">-((K618)/C618)</f>
        <v>-1.3855395757798254</v>
      </c>
      <c r="S618" s="80">
        <f t="shared" ref="S618:S665" si="713">-((L618)/D618)</f>
        <v>-0.67205138336407555</v>
      </c>
      <c r="T618" s="80">
        <f t="shared" ref="T618:T665" si="714">-(M618)/E618</f>
        <v>0.46935977597412382</v>
      </c>
      <c r="U618" s="80">
        <f t="shared" ref="U618:U665" si="715">-(N618)/F618</f>
        <v>-0.58399675540468843</v>
      </c>
      <c r="V618" s="80">
        <f t="shared" ref="V618:V665" si="716">-(O618)/G618</f>
        <v>31.71451843332996</v>
      </c>
      <c r="W618" s="80">
        <f t="shared" ref="W618:W665" si="717">-(P618)/H618</f>
        <v>34.052120983077813</v>
      </c>
      <c r="X618" s="80">
        <f t="shared" si="669"/>
        <v>458.51736710630382</v>
      </c>
      <c r="Y618" s="80">
        <f t="shared" si="670"/>
        <v>175.44817704475545</v>
      </c>
      <c r="Z618" s="80">
        <f t="shared" si="671"/>
        <v>135.5598535380546</v>
      </c>
      <c r="AA618" s="80">
        <f t="shared" si="672"/>
        <v>95.770651373412619</v>
      </c>
      <c r="AB618" s="80">
        <f t="shared" si="673"/>
        <v>1137.328901903518</v>
      </c>
      <c r="AC618" s="80">
        <f t="shared" si="674"/>
        <v>699.56458635703905</v>
      </c>
      <c r="AD618" s="80"/>
      <c r="AE618" s="80"/>
      <c r="AF618" s="80"/>
      <c r="AG618" s="80"/>
      <c r="AH618" s="80"/>
      <c r="AI618" s="80"/>
      <c r="AJ618" s="45">
        <f t="shared" si="663"/>
        <v>0</v>
      </c>
      <c r="AK618" s="45">
        <f t="shared" si="664"/>
        <v>0</v>
      </c>
      <c r="AL618" s="45">
        <f t="shared" si="665"/>
        <v>0</v>
      </c>
      <c r="AM618" s="45">
        <f t="shared" si="666"/>
        <v>0</v>
      </c>
      <c r="AN618" s="45">
        <f t="shared" si="667"/>
        <v>0</v>
      </c>
      <c r="AO618" s="45">
        <f t="shared" si="668"/>
        <v>0</v>
      </c>
      <c r="AP618" s="80">
        <f t="shared" ref="AP618:AP665" si="718">IF(AJ618&gt;0,AJ618/C618,0)</f>
        <v>0</v>
      </c>
      <c r="AQ618" s="80">
        <f t="shared" ref="AQ618:AQ665" si="719">IF(AK618&gt;0,AK618/D618,0)</f>
        <v>0</v>
      </c>
      <c r="AR618" s="80">
        <f t="shared" ref="AR618:AR665" si="720">IF(AL618&gt;0,AL618/E618,0)</f>
        <v>0</v>
      </c>
      <c r="AS618" s="80">
        <f t="shared" ref="AS618:AS665" si="721">IF(AM618&gt;0,AM618/F618,0)</f>
        <v>0</v>
      </c>
      <c r="AT618" s="80">
        <f t="shared" ref="AT618:AT665" si="722">IF(AN618&gt;0,AN618/G618,0)</f>
        <v>0</v>
      </c>
      <c r="AU618" s="80">
        <f t="shared" ref="AU618:AU665" si="723">IF(AO618&gt;0,AO618/H618,0)</f>
        <v>0</v>
      </c>
      <c r="AV618" s="80">
        <f t="shared" si="675"/>
        <v>90.531113917162415</v>
      </c>
      <c r="AW618" s="80">
        <f t="shared" si="676"/>
        <v>42.399326477714823</v>
      </c>
      <c r="AX618" s="80">
        <f t="shared" si="677"/>
        <v>26.099979560168407</v>
      </c>
      <c r="AY618" s="80">
        <f t="shared" si="678"/>
        <v>20.307303718439968</v>
      </c>
      <c r="AZ618" s="80">
        <f t="shared" si="679"/>
        <v>243.66869927080208</v>
      </c>
      <c r="BA618" s="80">
        <f t="shared" si="680"/>
        <v>116.91125000543222</v>
      </c>
      <c r="BB618" s="80">
        <f t="shared" si="681"/>
        <v>549.04848102346625</v>
      </c>
      <c r="BC618" s="80">
        <f t="shared" si="682"/>
        <v>217.84750352247028</v>
      </c>
      <c r="BD618" s="80">
        <f t="shared" si="683"/>
        <v>161.659833098223</v>
      </c>
      <c r="BE618" s="80">
        <f t="shared" si="684"/>
        <v>116.07795509185259</v>
      </c>
      <c r="BF618" s="80">
        <f t="shared" si="685"/>
        <v>1380.9976011743202</v>
      </c>
      <c r="BG618" s="80">
        <f t="shared" si="686"/>
        <v>816.47583636247123</v>
      </c>
      <c r="BH618" s="49">
        <f t="shared" si="687"/>
        <v>0</v>
      </c>
      <c r="BI618" s="79">
        <f t="shared" si="688"/>
        <v>-104811.58462112173</v>
      </c>
      <c r="BJ618" s="79">
        <f t="shared" ref="BJ618:BJ665" si="724">(X618*C618)+(Y618*D618)+(Z618*E618)+(AA618*F618)+(AB618*G618)+(AC618*H618)</f>
        <v>192800</v>
      </c>
      <c r="BK618" s="44">
        <f t="shared" si="689"/>
        <v>0.83949131860703452</v>
      </c>
      <c r="BL618" s="79">
        <f t="shared" si="690"/>
        <v>27827.007281107672</v>
      </c>
      <c r="BM618" s="49">
        <f t="shared" si="691"/>
        <v>220627.00728110768</v>
      </c>
      <c r="BN618" s="44">
        <f t="shared" si="692"/>
        <v>1.1049868492938204</v>
      </c>
      <c r="BO618" s="49">
        <f t="shared" ref="BO618:BO665" si="725">(C618*AV618)+(D618*AW618)+(E618*AX618)+(F618*AY618)+(G618*AZ618)+(H618*BA618)</f>
        <v>38973.877439997115</v>
      </c>
      <c r="BP618" s="49">
        <f t="shared" ref="BP618:BP665" si="726">(C618*BB618)+(D618*BC618)+(E618*BD618)+(F618*BE618)+(G618*BF618)+(H618*BG618)</f>
        <v>231773.8774399971</v>
      </c>
      <c r="BQ618" s="44">
        <f t="shared" si="693"/>
        <v>1.2113383580433896</v>
      </c>
      <c r="BS618" s="49">
        <f t="shared" si="694"/>
        <v>104811.58462112173</v>
      </c>
      <c r="BT618" s="49">
        <f t="shared" si="710"/>
        <v>147.16999799999999</v>
      </c>
      <c r="BU618" s="49">
        <f t="shared" si="711"/>
        <v>41.34</v>
      </c>
      <c r="BV618" s="49">
        <f t="shared" si="695"/>
        <v>2445.1213551545552</v>
      </c>
      <c r="BW618" s="18">
        <f t="shared" ref="BW618:BW665" si="727">DATEDIF($B$42,B618,"d")</f>
        <v>4031</v>
      </c>
      <c r="BX618" s="19">
        <f t="shared" si="696"/>
        <v>7.5458715596330272E-2</v>
      </c>
      <c r="BY618" s="49">
        <f t="shared" si="697"/>
        <v>184.50571693712124</v>
      </c>
      <c r="BZ618" s="19">
        <f t="shared" si="698"/>
        <v>0</v>
      </c>
      <c r="CA618" s="19">
        <f t="shared" si="699"/>
        <v>0</v>
      </c>
      <c r="CB618" s="19">
        <f t="shared" si="700"/>
        <v>0.46935977597412382</v>
      </c>
      <c r="CC618" s="19">
        <f t="shared" si="701"/>
        <v>0</v>
      </c>
      <c r="CD618" s="19">
        <f t="shared" si="702"/>
        <v>31.71451843332996</v>
      </c>
      <c r="CE618" s="19">
        <f t="shared" si="703"/>
        <v>34.052120983077813</v>
      </c>
      <c r="CF618" s="49">
        <f t="shared" si="704"/>
        <v>0</v>
      </c>
      <c r="CG618" s="49">
        <f t="shared" si="705"/>
        <v>0</v>
      </c>
      <c r="CH618" s="49">
        <f t="shared" si="706"/>
        <v>-53.403754840976035</v>
      </c>
      <c r="CI618" s="49">
        <f t="shared" si="707"/>
        <v>0</v>
      </c>
      <c r="CJ618" s="49">
        <f t="shared" si="708"/>
        <v>-1344.0613229190421</v>
      </c>
      <c r="CK618" s="49">
        <f t="shared" si="709"/>
        <v>-1407.7146814404368</v>
      </c>
    </row>
    <row r="619" spans="2:89" ht="12.75" customHeight="1" x14ac:dyDescent="0.2">
      <c r="B619" s="77">
        <v>43331</v>
      </c>
      <c r="C619" s="79">
        <v>148.679993</v>
      </c>
      <c r="D619" s="79">
        <v>110.33000199999999</v>
      </c>
      <c r="E619" s="79">
        <v>114.55999799999999</v>
      </c>
      <c r="F619" s="79">
        <v>142.39999399999999</v>
      </c>
      <c r="G619" s="79">
        <v>43.049999</v>
      </c>
      <c r="H619" s="79">
        <v>42.18</v>
      </c>
      <c r="I619" s="79"/>
      <c r="J619" s="78">
        <f>IF(inter=Weekly_2,J618+$C$5,IF(inter=Bi_weekly_2,0,IF(inter=Monthly_2,0,IF(inter=Quarterly_2,0,IF(inter=Yearly_2,0,IF(inter=None_2,0,0))))))</f>
        <v>0</v>
      </c>
      <c r="K619" s="79">
        <f t="shared" ref="K619:K665" si="728">IF(J619=0,0,-((J619*$C$36)-(X618*C619)))</f>
        <v>0</v>
      </c>
      <c r="L619" s="79">
        <f t="shared" ref="L619:L665" si="729">IF(J619=0,0,-((J619*$D$36)-(Y618*D619)))</f>
        <v>0</v>
      </c>
      <c r="M619" s="79">
        <f t="shared" ref="M619:M665" si="730">IF(J619=0,0,-((J619*$E$36)-(Z618*E619)))</f>
        <v>0</v>
      </c>
      <c r="N619" s="79">
        <f t="shared" ref="N619:N665" si="731">IF(J619=0,0,-((J619*$F$36)-(AA618*F619)))</f>
        <v>0</v>
      </c>
      <c r="O619" s="79">
        <f t="shared" ref="O619:O665" si="732">IF(J619=0,0,-((J619*$G$36)-(AB618*G619)))</f>
        <v>0</v>
      </c>
      <c r="P619" s="79">
        <f t="shared" ref="P619:P665" si="733">IF(J619=0,0,-((J619*$H$36)-(AC618*H619)))</f>
        <v>0</v>
      </c>
      <c r="Q619" s="79"/>
      <c r="R619" s="80">
        <f t="shared" si="712"/>
        <v>0</v>
      </c>
      <c r="S619" s="80">
        <f t="shared" si="713"/>
        <v>0</v>
      </c>
      <c r="T619" s="80">
        <f t="shared" si="714"/>
        <v>0</v>
      </c>
      <c r="U619" s="80">
        <f t="shared" si="715"/>
        <v>0</v>
      </c>
      <c r="V619" s="80">
        <f t="shared" si="716"/>
        <v>0</v>
      </c>
      <c r="W619" s="80">
        <f t="shared" si="717"/>
        <v>0</v>
      </c>
      <c r="X619" s="80">
        <f t="shared" si="669"/>
        <v>458.51736710630382</v>
      </c>
      <c r="Y619" s="80">
        <f t="shared" si="670"/>
        <v>175.44817704475545</v>
      </c>
      <c r="Z619" s="80">
        <f t="shared" si="671"/>
        <v>135.5598535380546</v>
      </c>
      <c r="AA619" s="80">
        <f t="shared" si="672"/>
        <v>95.770651373412619</v>
      </c>
      <c r="AB619" s="80">
        <f t="shared" si="673"/>
        <v>1137.328901903518</v>
      </c>
      <c r="AC619" s="80">
        <f t="shared" si="674"/>
        <v>699.56458635703905</v>
      </c>
      <c r="AD619" s="80"/>
      <c r="AE619" s="80"/>
      <c r="AF619" s="80"/>
      <c r="AG619" s="80"/>
      <c r="AH619" s="80"/>
      <c r="AI619" s="80"/>
      <c r="AJ619" s="45">
        <f t="shared" si="663"/>
        <v>0</v>
      </c>
      <c r="AK619" s="45">
        <f t="shared" si="664"/>
        <v>0</v>
      </c>
      <c r="AL619" s="45">
        <f t="shared" si="665"/>
        <v>0</v>
      </c>
      <c r="AM619" s="45">
        <f t="shared" si="666"/>
        <v>0</v>
      </c>
      <c r="AN619" s="45">
        <f t="shared" si="667"/>
        <v>0</v>
      </c>
      <c r="AO619" s="45">
        <f t="shared" si="668"/>
        <v>0</v>
      </c>
      <c r="AP619" s="80">
        <f t="shared" si="718"/>
        <v>0</v>
      </c>
      <c r="AQ619" s="80">
        <f t="shared" si="719"/>
        <v>0</v>
      </c>
      <c r="AR619" s="80">
        <f t="shared" si="720"/>
        <v>0</v>
      </c>
      <c r="AS619" s="80">
        <f t="shared" si="721"/>
        <v>0</v>
      </c>
      <c r="AT619" s="80">
        <f t="shared" si="722"/>
        <v>0</v>
      </c>
      <c r="AU619" s="80">
        <f t="shared" si="723"/>
        <v>0</v>
      </c>
      <c r="AV619" s="80">
        <f t="shared" si="675"/>
        <v>90.531113917162415</v>
      </c>
      <c r="AW619" s="80">
        <f t="shared" si="676"/>
        <v>42.399326477714823</v>
      </c>
      <c r="AX619" s="80">
        <f t="shared" si="677"/>
        <v>26.099979560168407</v>
      </c>
      <c r="AY619" s="80">
        <f t="shared" si="678"/>
        <v>20.307303718439968</v>
      </c>
      <c r="AZ619" s="80">
        <f t="shared" si="679"/>
        <v>243.66869927080208</v>
      </c>
      <c r="BA619" s="80">
        <f t="shared" si="680"/>
        <v>116.91125000543222</v>
      </c>
      <c r="BB619" s="80">
        <f t="shared" si="681"/>
        <v>549.04848102346625</v>
      </c>
      <c r="BC619" s="80">
        <f t="shared" si="682"/>
        <v>217.84750352247028</v>
      </c>
      <c r="BD619" s="80">
        <f t="shared" si="683"/>
        <v>161.659833098223</v>
      </c>
      <c r="BE619" s="80">
        <f t="shared" si="684"/>
        <v>116.07795509185259</v>
      </c>
      <c r="BF619" s="80">
        <f t="shared" si="685"/>
        <v>1380.9976011743202</v>
      </c>
      <c r="BG619" s="80">
        <f t="shared" si="686"/>
        <v>816.47583636247123</v>
      </c>
      <c r="BH619" s="49">
        <f t="shared" si="687"/>
        <v>0</v>
      </c>
      <c r="BI619" s="79">
        <f t="shared" si="688"/>
        <v>-104811.58462112173</v>
      </c>
      <c r="BJ619" s="79">
        <f t="shared" si="724"/>
        <v>195166.67572929524</v>
      </c>
      <c r="BK619" s="44">
        <f t="shared" si="689"/>
        <v>0.8620716062522451</v>
      </c>
      <c r="BL619" s="79">
        <f t="shared" si="690"/>
        <v>27827.007281107672</v>
      </c>
      <c r="BM619" s="49">
        <f t="shared" si="691"/>
        <v>222993.68301040292</v>
      </c>
      <c r="BN619" s="44">
        <f t="shared" si="692"/>
        <v>1.1275671369390308</v>
      </c>
      <c r="BO619" s="49">
        <f t="shared" si="725"/>
        <v>39441.11047761426</v>
      </c>
      <c r="BP619" s="49">
        <f t="shared" si="726"/>
        <v>234607.78620690948</v>
      </c>
      <c r="BQ619" s="44">
        <f t="shared" si="693"/>
        <v>1.2383764834295912</v>
      </c>
      <c r="BS619" s="49">
        <f t="shared" si="694"/>
        <v>104811.58462112173</v>
      </c>
      <c r="BT619" s="49">
        <f t="shared" si="710"/>
        <v>148.679993</v>
      </c>
      <c r="BU619" s="49">
        <f t="shared" si="711"/>
        <v>42.18</v>
      </c>
      <c r="BV619" s="49">
        <f t="shared" si="695"/>
        <v>0</v>
      </c>
      <c r="BW619" s="18">
        <f t="shared" si="727"/>
        <v>4038</v>
      </c>
      <c r="BX619" s="19">
        <f t="shared" si="696"/>
        <v>7.3853211009174316E-2</v>
      </c>
      <c r="BY619" s="49">
        <f t="shared" si="697"/>
        <v>0</v>
      </c>
      <c r="BZ619" s="19">
        <f t="shared" si="698"/>
        <v>0</v>
      </c>
      <c r="CA619" s="19">
        <f t="shared" si="699"/>
        <v>0</v>
      </c>
      <c r="CB619" s="19">
        <f t="shared" si="700"/>
        <v>0</v>
      </c>
      <c r="CC619" s="19">
        <f t="shared" si="701"/>
        <v>0</v>
      </c>
      <c r="CD619" s="19">
        <f t="shared" si="702"/>
        <v>0</v>
      </c>
      <c r="CE619" s="19">
        <f t="shared" si="703"/>
        <v>0</v>
      </c>
      <c r="CF619" s="49">
        <f t="shared" si="704"/>
        <v>0</v>
      </c>
      <c r="CG619" s="49">
        <f t="shared" si="705"/>
        <v>0</v>
      </c>
      <c r="CH619" s="49">
        <f t="shared" si="706"/>
        <v>0</v>
      </c>
      <c r="CI619" s="49">
        <f t="shared" si="707"/>
        <v>0</v>
      </c>
      <c r="CJ619" s="49">
        <f t="shared" si="708"/>
        <v>0</v>
      </c>
      <c r="CK619" s="49">
        <f t="shared" si="709"/>
        <v>0</v>
      </c>
    </row>
    <row r="620" spans="2:89" ht="12.75" customHeight="1" x14ac:dyDescent="0.2">
      <c r="B620" s="77">
        <v>43338</v>
      </c>
      <c r="C620" s="79">
        <v>150.070007</v>
      </c>
      <c r="D620" s="79">
        <v>110.720001</v>
      </c>
      <c r="E620" s="79">
        <v>114.629997</v>
      </c>
      <c r="F620" s="79">
        <v>142.529999</v>
      </c>
      <c r="G620" s="79">
        <v>43.119999</v>
      </c>
      <c r="H620" s="79">
        <v>42.040000999999997</v>
      </c>
      <c r="I620" s="79"/>
      <c r="J620" s="78">
        <f>IF(inter=Weekly_2,J619+$C$5,IF(inter=Bi_weekly_2,J618+$C$5,IF(inter=Monthly_2,0,IF(inter=Quarterly_2,0,IF(inter=Yearly_2,0,IF(inter=None_2,0,0))))))</f>
        <v>193400</v>
      </c>
      <c r="K620" s="79">
        <f t="shared" si="728"/>
        <v>1119.7044912645797</v>
      </c>
      <c r="L620" s="79">
        <f t="shared" si="729"/>
        <v>85.622337843498826</v>
      </c>
      <c r="M620" s="79">
        <f t="shared" si="730"/>
        <v>67.225604387638668</v>
      </c>
      <c r="N620" s="79">
        <f t="shared" si="731"/>
        <v>112.19084448184731</v>
      </c>
      <c r="O620" s="79">
        <f t="shared" si="732"/>
        <v>691.62111275079951</v>
      </c>
      <c r="P620" s="79">
        <f t="shared" si="733"/>
        <v>399.69591001450681</v>
      </c>
      <c r="Q620" s="79"/>
      <c r="R620" s="80">
        <f t="shared" si="712"/>
        <v>-7.4612143602057648</v>
      </c>
      <c r="S620" s="80">
        <f t="shared" si="713"/>
        <v>-0.77332313105288741</v>
      </c>
      <c r="T620" s="80">
        <f t="shared" si="714"/>
        <v>-0.58645735101640684</v>
      </c>
      <c r="U620" s="80">
        <f t="shared" si="715"/>
        <v>-0.78713846396538112</v>
      </c>
      <c r="V620" s="80">
        <f t="shared" si="716"/>
        <v>-16.039451038734938</v>
      </c>
      <c r="W620" s="80">
        <f t="shared" si="717"/>
        <v>-9.5075142841815552</v>
      </c>
      <c r="X620" s="80">
        <f t="shared" si="669"/>
        <v>451.05615274609806</v>
      </c>
      <c r="Y620" s="80">
        <f t="shared" si="670"/>
        <v>174.67485391370258</v>
      </c>
      <c r="Z620" s="80">
        <f t="shared" si="671"/>
        <v>134.97339618703819</v>
      </c>
      <c r="AA620" s="80">
        <f t="shared" si="672"/>
        <v>94.983512909447242</v>
      </c>
      <c r="AB620" s="80">
        <f t="shared" si="673"/>
        <v>1121.289450864783</v>
      </c>
      <c r="AC620" s="80">
        <f t="shared" si="674"/>
        <v>690.05707207285752</v>
      </c>
      <c r="AD620" s="80"/>
      <c r="AE620" s="80"/>
      <c r="AF620" s="80"/>
      <c r="AG620" s="80"/>
      <c r="AH620" s="80"/>
      <c r="AI620" s="80"/>
      <c r="AJ620" s="45">
        <f t="shared" si="663"/>
        <v>0</v>
      </c>
      <c r="AK620" s="45">
        <f t="shared" si="664"/>
        <v>0</v>
      </c>
      <c r="AL620" s="45">
        <f t="shared" si="665"/>
        <v>0</v>
      </c>
      <c r="AM620" s="45">
        <f t="shared" si="666"/>
        <v>0</v>
      </c>
      <c r="AN620" s="45">
        <f t="shared" si="667"/>
        <v>0</v>
      </c>
      <c r="AO620" s="45">
        <f t="shared" si="668"/>
        <v>0</v>
      </c>
      <c r="AP620" s="80">
        <f t="shared" si="718"/>
        <v>0</v>
      </c>
      <c r="AQ620" s="80">
        <f t="shared" si="719"/>
        <v>0</v>
      </c>
      <c r="AR620" s="80">
        <f t="shared" si="720"/>
        <v>0</v>
      </c>
      <c r="AS620" s="80">
        <f t="shared" si="721"/>
        <v>0</v>
      </c>
      <c r="AT620" s="80">
        <f t="shared" si="722"/>
        <v>0</v>
      </c>
      <c r="AU620" s="80">
        <f t="shared" si="723"/>
        <v>0</v>
      </c>
      <c r="AV620" s="80">
        <f t="shared" si="675"/>
        <v>90.531113917162415</v>
      </c>
      <c r="AW620" s="80">
        <f t="shared" si="676"/>
        <v>42.399326477714823</v>
      </c>
      <c r="AX620" s="80">
        <f t="shared" si="677"/>
        <v>26.099979560168407</v>
      </c>
      <c r="AY620" s="80">
        <f t="shared" si="678"/>
        <v>20.307303718439968</v>
      </c>
      <c r="AZ620" s="80">
        <f t="shared" si="679"/>
        <v>243.66869927080208</v>
      </c>
      <c r="BA620" s="80">
        <f t="shared" si="680"/>
        <v>116.91125000543222</v>
      </c>
      <c r="BB620" s="80">
        <f t="shared" si="681"/>
        <v>541.58726666326049</v>
      </c>
      <c r="BC620" s="80">
        <f t="shared" si="682"/>
        <v>217.0741803914174</v>
      </c>
      <c r="BD620" s="80">
        <f t="shared" si="683"/>
        <v>161.0733757472066</v>
      </c>
      <c r="BE620" s="80">
        <f t="shared" si="684"/>
        <v>115.29081662788721</v>
      </c>
      <c r="BF620" s="80">
        <f t="shared" si="685"/>
        <v>1364.9581501355851</v>
      </c>
      <c r="BG620" s="80">
        <f t="shared" si="686"/>
        <v>806.9683220782897</v>
      </c>
      <c r="BH620" s="49">
        <f t="shared" si="687"/>
        <v>0</v>
      </c>
      <c r="BI620" s="79">
        <f t="shared" si="688"/>
        <v>-102335.52432037886</v>
      </c>
      <c r="BJ620" s="79">
        <f t="shared" si="724"/>
        <v>193400</v>
      </c>
      <c r="BK620" s="44">
        <f t="shared" si="689"/>
        <v>0.88986181762774996</v>
      </c>
      <c r="BL620" s="79">
        <f t="shared" si="690"/>
        <v>27827.007281107672</v>
      </c>
      <c r="BM620" s="49">
        <f t="shared" si="691"/>
        <v>221227.00728110768</v>
      </c>
      <c r="BN620" s="44">
        <f t="shared" si="692"/>
        <v>1.1617811483382714</v>
      </c>
      <c r="BO620" s="49">
        <f t="shared" si="725"/>
        <v>39588.642062670289</v>
      </c>
      <c r="BP620" s="49">
        <f t="shared" si="726"/>
        <v>232988.64206267029</v>
      </c>
      <c r="BQ620" s="44">
        <f t="shared" si="693"/>
        <v>1.2767132294476697</v>
      </c>
      <c r="BS620" s="49">
        <f t="shared" si="694"/>
        <v>102335.52432037886</v>
      </c>
      <c r="BT620" s="49">
        <f t="shared" si="710"/>
        <v>150.070007</v>
      </c>
      <c r="BU620" s="49">
        <f t="shared" si="711"/>
        <v>42.040000999999997</v>
      </c>
      <c r="BV620" s="49">
        <f t="shared" si="695"/>
        <v>-2476.0603007428708</v>
      </c>
      <c r="BW620" s="18">
        <f t="shared" si="727"/>
        <v>4045</v>
      </c>
      <c r="BX620" s="19">
        <f t="shared" si="696"/>
        <v>7.2247706422018346E-2</v>
      </c>
      <c r="BY620" s="49">
        <f t="shared" si="697"/>
        <v>-178.88967769128539</v>
      </c>
      <c r="BZ620" s="19">
        <f t="shared" si="698"/>
        <v>0</v>
      </c>
      <c r="CA620" s="19">
        <f t="shared" si="699"/>
        <v>0</v>
      </c>
      <c r="CB620" s="19">
        <f t="shared" si="700"/>
        <v>0</v>
      </c>
      <c r="CC620" s="19">
        <f t="shared" si="701"/>
        <v>0</v>
      </c>
      <c r="CD620" s="19">
        <f t="shared" si="702"/>
        <v>0</v>
      </c>
      <c r="CE620" s="19">
        <f t="shared" si="703"/>
        <v>0</v>
      </c>
      <c r="CF620" s="49">
        <f t="shared" si="704"/>
        <v>0</v>
      </c>
      <c r="CG620" s="49">
        <f t="shared" si="705"/>
        <v>0</v>
      </c>
      <c r="CH620" s="49">
        <f t="shared" si="706"/>
        <v>0</v>
      </c>
      <c r="CI620" s="49">
        <f t="shared" si="707"/>
        <v>0</v>
      </c>
      <c r="CJ620" s="49">
        <f t="shared" si="708"/>
        <v>0</v>
      </c>
      <c r="CK620" s="49">
        <f t="shared" si="709"/>
        <v>0</v>
      </c>
    </row>
    <row r="621" spans="2:89" ht="12.75" customHeight="1" x14ac:dyDescent="0.2">
      <c r="B621" s="77">
        <v>43345</v>
      </c>
      <c r="C621" s="79">
        <v>148.58000200000001</v>
      </c>
      <c r="D621" s="79">
        <v>110.389999</v>
      </c>
      <c r="E621" s="79">
        <v>113.510002</v>
      </c>
      <c r="F621" s="79">
        <v>141.03999300000001</v>
      </c>
      <c r="G621" s="79">
        <v>41.880001</v>
      </c>
      <c r="H621" s="79">
        <v>40.459999000000003</v>
      </c>
      <c r="I621" s="79"/>
      <c r="J621" s="78">
        <f>IF(inter=Weekly_2,J620+$C$5,IF(inter=Bi_weekly_2,0,IF(inter=Monthly_2,0,IF(inter=Quarterly_2,0,IF(inter=Yearly_2,0,IF(inter=None_2,0,0))))))</f>
        <v>0</v>
      </c>
      <c r="K621" s="79">
        <f t="shared" si="728"/>
        <v>0</v>
      </c>
      <c r="L621" s="79">
        <f t="shared" si="729"/>
        <v>0</v>
      </c>
      <c r="M621" s="79">
        <f t="shared" si="730"/>
        <v>0</v>
      </c>
      <c r="N621" s="79">
        <f t="shared" si="731"/>
        <v>0</v>
      </c>
      <c r="O621" s="79">
        <f t="shared" si="732"/>
        <v>0</v>
      </c>
      <c r="P621" s="79">
        <f t="shared" si="733"/>
        <v>0</v>
      </c>
      <c r="Q621" s="79"/>
      <c r="R621" s="80">
        <f t="shared" si="712"/>
        <v>0</v>
      </c>
      <c r="S621" s="80">
        <f t="shared" si="713"/>
        <v>0</v>
      </c>
      <c r="T621" s="80">
        <f t="shared" si="714"/>
        <v>0</v>
      </c>
      <c r="U621" s="80">
        <f t="shared" si="715"/>
        <v>0</v>
      </c>
      <c r="V621" s="80">
        <f t="shared" si="716"/>
        <v>0</v>
      </c>
      <c r="W621" s="80">
        <f t="shared" si="717"/>
        <v>0</v>
      </c>
      <c r="X621" s="80">
        <f t="shared" si="669"/>
        <v>451.05615274609806</v>
      </c>
      <c r="Y621" s="80">
        <f t="shared" si="670"/>
        <v>174.67485391370258</v>
      </c>
      <c r="Z621" s="80">
        <f t="shared" si="671"/>
        <v>134.97339618703819</v>
      </c>
      <c r="AA621" s="80">
        <f t="shared" si="672"/>
        <v>94.983512909447242</v>
      </c>
      <c r="AB621" s="80">
        <f t="shared" si="673"/>
        <v>1121.289450864783</v>
      </c>
      <c r="AC621" s="80">
        <f t="shared" si="674"/>
        <v>690.05707207285752</v>
      </c>
      <c r="AD621" s="80"/>
      <c r="AE621" s="80"/>
      <c r="AF621" s="80"/>
      <c r="AG621" s="80"/>
      <c r="AH621" s="80"/>
      <c r="AI621" s="80"/>
      <c r="AJ621" s="45">
        <f t="shared" si="663"/>
        <v>0</v>
      </c>
      <c r="AK621" s="45">
        <f t="shared" si="664"/>
        <v>0</v>
      </c>
      <c r="AL621" s="45">
        <f t="shared" si="665"/>
        <v>0</v>
      </c>
      <c r="AM621" s="45">
        <f t="shared" si="666"/>
        <v>0</v>
      </c>
      <c r="AN621" s="45">
        <f t="shared" si="667"/>
        <v>0</v>
      </c>
      <c r="AO621" s="45">
        <f t="shared" si="668"/>
        <v>0</v>
      </c>
      <c r="AP621" s="80">
        <f t="shared" si="718"/>
        <v>0</v>
      </c>
      <c r="AQ621" s="80">
        <f t="shared" si="719"/>
        <v>0</v>
      </c>
      <c r="AR621" s="80">
        <f t="shared" si="720"/>
        <v>0</v>
      </c>
      <c r="AS621" s="80">
        <f t="shared" si="721"/>
        <v>0</v>
      </c>
      <c r="AT621" s="80">
        <f t="shared" si="722"/>
        <v>0</v>
      </c>
      <c r="AU621" s="80">
        <f t="shared" si="723"/>
        <v>0</v>
      </c>
      <c r="AV621" s="80">
        <f t="shared" si="675"/>
        <v>90.531113917162415</v>
      </c>
      <c r="AW621" s="80">
        <f t="shared" si="676"/>
        <v>42.399326477714823</v>
      </c>
      <c r="AX621" s="80">
        <f t="shared" si="677"/>
        <v>26.099979560168407</v>
      </c>
      <c r="AY621" s="80">
        <f t="shared" si="678"/>
        <v>20.307303718439968</v>
      </c>
      <c r="AZ621" s="80">
        <f t="shared" si="679"/>
        <v>243.66869927080208</v>
      </c>
      <c r="BA621" s="80">
        <f t="shared" si="680"/>
        <v>116.91125000543222</v>
      </c>
      <c r="BB621" s="80">
        <f t="shared" si="681"/>
        <v>541.58726666326049</v>
      </c>
      <c r="BC621" s="80">
        <f t="shared" si="682"/>
        <v>217.0741803914174</v>
      </c>
      <c r="BD621" s="80">
        <f t="shared" si="683"/>
        <v>161.0733757472066</v>
      </c>
      <c r="BE621" s="80">
        <f t="shared" si="684"/>
        <v>115.29081662788721</v>
      </c>
      <c r="BF621" s="80">
        <f t="shared" si="685"/>
        <v>1364.9581501355851</v>
      </c>
      <c r="BG621" s="80">
        <f t="shared" si="686"/>
        <v>806.9683220782897</v>
      </c>
      <c r="BH621" s="49">
        <f t="shared" si="687"/>
        <v>0</v>
      </c>
      <c r="BI621" s="79">
        <f t="shared" si="688"/>
        <v>-102335.52432037886</v>
      </c>
      <c r="BJ621" s="79">
        <f t="shared" si="724"/>
        <v>189896.89726250499</v>
      </c>
      <c r="BK621" s="44">
        <f t="shared" si="689"/>
        <v>0.85563027622744459</v>
      </c>
      <c r="BL621" s="79">
        <f t="shared" si="690"/>
        <v>27827.007281107672</v>
      </c>
      <c r="BM621" s="49">
        <f t="shared" si="691"/>
        <v>217723.90454361268</v>
      </c>
      <c r="BN621" s="44">
        <f t="shared" si="692"/>
        <v>1.1275496069379658</v>
      </c>
      <c r="BO621" s="49">
        <f t="shared" si="725"/>
        <v>38893.399828160589</v>
      </c>
      <c r="BP621" s="49">
        <f t="shared" si="726"/>
        <v>228790.29709066555</v>
      </c>
      <c r="BQ621" s="44">
        <f t="shared" si="693"/>
        <v>1.235687935446526</v>
      </c>
      <c r="BS621" s="49">
        <f t="shared" si="694"/>
        <v>102335.52432037886</v>
      </c>
      <c r="BT621" s="49">
        <f t="shared" si="710"/>
        <v>148.58000200000001</v>
      </c>
      <c r="BU621" s="49">
        <f t="shared" si="711"/>
        <v>40.459999000000003</v>
      </c>
      <c r="BV621" s="49">
        <f t="shared" si="695"/>
        <v>0</v>
      </c>
      <c r="BW621" s="18">
        <f t="shared" si="727"/>
        <v>4052</v>
      </c>
      <c r="BX621" s="19">
        <f t="shared" si="696"/>
        <v>7.0642201834862389E-2</v>
      </c>
      <c r="BY621" s="49">
        <f t="shared" si="697"/>
        <v>0</v>
      </c>
      <c r="BZ621" s="19">
        <f t="shared" si="698"/>
        <v>0</v>
      </c>
      <c r="CA621" s="19">
        <f t="shared" si="699"/>
        <v>0</v>
      </c>
      <c r="CB621" s="19">
        <f t="shared" si="700"/>
        <v>0</v>
      </c>
      <c r="CC621" s="19">
        <f t="shared" si="701"/>
        <v>0</v>
      </c>
      <c r="CD621" s="19">
        <f t="shared" si="702"/>
        <v>0</v>
      </c>
      <c r="CE621" s="19">
        <f t="shared" si="703"/>
        <v>0</v>
      </c>
      <c r="CF621" s="49">
        <f t="shared" si="704"/>
        <v>0</v>
      </c>
      <c r="CG621" s="49">
        <f t="shared" si="705"/>
        <v>0</v>
      </c>
      <c r="CH621" s="49">
        <f t="shared" si="706"/>
        <v>0</v>
      </c>
      <c r="CI621" s="49">
        <f t="shared" si="707"/>
        <v>0</v>
      </c>
      <c r="CJ621" s="49">
        <f t="shared" si="708"/>
        <v>0</v>
      </c>
      <c r="CK621" s="49">
        <f t="shared" si="709"/>
        <v>0</v>
      </c>
    </row>
    <row r="622" spans="2:89" ht="12.75" customHeight="1" x14ac:dyDescent="0.2">
      <c r="B622" s="77">
        <v>43352</v>
      </c>
      <c r="C622" s="79">
        <v>150.279999</v>
      </c>
      <c r="D622" s="79">
        <v>111.610001</v>
      </c>
      <c r="E622" s="79">
        <v>115</v>
      </c>
      <c r="F622" s="79">
        <v>141.979996</v>
      </c>
      <c r="G622" s="79">
        <v>42.709999000000003</v>
      </c>
      <c r="H622" s="79">
        <v>40.740001999999997</v>
      </c>
      <c r="I622" s="79"/>
      <c r="J622" s="78">
        <f>IF(inter=Weekly_2,J621+$C$5,IF(inter=Bi_weekly_2,J620+$C$5,IF(inter=Monthly_2,J618+$C$5,IF(inter=Quarterly_2,0,IF(inter=Yearly_2,0,IF(inter=None_2,0,0))))))</f>
        <v>194000</v>
      </c>
      <c r="K622" s="79">
        <f t="shared" si="728"/>
        <v>-115.28181637253147</v>
      </c>
      <c r="L622" s="79">
        <f t="shared" si="729"/>
        <v>95.46061998319783</v>
      </c>
      <c r="M622" s="79">
        <f t="shared" si="730"/>
        <v>1.9405615093910455</v>
      </c>
      <c r="N622" s="79">
        <f t="shared" si="731"/>
        <v>-94.241217050734122</v>
      </c>
      <c r="O622" s="79">
        <f t="shared" si="732"/>
        <v>-609.72867485456663</v>
      </c>
      <c r="P622" s="79">
        <f t="shared" si="733"/>
        <v>-987.07350363764272</v>
      </c>
      <c r="Q622" s="79"/>
      <c r="R622" s="80">
        <f t="shared" si="712"/>
        <v>0.76711350239316589</v>
      </c>
      <c r="S622" s="80">
        <f t="shared" si="713"/>
        <v>-0.8553052515714773</v>
      </c>
      <c r="T622" s="80">
        <f t="shared" si="714"/>
        <v>-1.6874447907748221E-2</v>
      </c>
      <c r="U622" s="80">
        <f t="shared" si="715"/>
        <v>0.66376404920263643</v>
      </c>
      <c r="V622" s="80">
        <f t="shared" si="716"/>
        <v>14.27601707165965</v>
      </c>
      <c r="W622" s="80">
        <f t="shared" si="717"/>
        <v>24.228607147285924</v>
      </c>
      <c r="X622" s="80">
        <f t="shared" si="669"/>
        <v>451.82326624849122</v>
      </c>
      <c r="Y622" s="80">
        <f t="shared" si="670"/>
        <v>173.8195486621311</v>
      </c>
      <c r="Z622" s="80">
        <f t="shared" si="671"/>
        <v>134.95652173913044</v>
      </c>
      <c r="AA622" s="80">
        <f t="shared" si="672"/>
        <v>95.647276958649883</v>
      </c>
      <c r="AB622" s="80">
        <f t="shared" si="673"/>
        <v>1135.5654679364427</v>
      </c>
      <c r="AC622" s="80">
        <f t="shared" si="674"/>
        <v>714.28567922014349</v>
      </c>
      <c r="AD622" s="80"/>
      <c r="AE622" s="80"/>
      <c r="AF622" s="80"/>
      <c r="AG622" s="80"/>
      <c r="AH622" s="80"/>
      <c r="AI622" s="80"/>
      <c r="AJ622" s="45">
        <f t="shared" si="663"/>
        <v>0</v>
      </c>
      <c r="AK622" s="45">
        <f t="shared" si="664"/>
        <v>0</v>
      </c>
      <c r="AL622" s="45">
        <f t="shared" si="665"/>
        <v>0</v>
      </c>
      <c r="AM622" s="45">
        <f t="shared" si="666"/>
        <v>0</v>
      </c>
      <c r="AN622" s="45">
        <f t="shared" si="667"/>
        <v>0</v>
      </c>
      <c r="AO622" s="45">
        <f t="shared" si="668"/>
        <v>0</v>
      </c>
      <c r="AP622" s="80">
        <f t="shared" si="718"/>
        <v>0</v>
      </c>
      <c r="AQ622" s="80">
        <f t="shared" si="719"/>
        <v>0</v>
      </c>
      <c r="AR622" s="80">
        <f t="shared" si="720"/>
        <v>0</v>
      </c>
      <c r="AS622" s="80">
        <f t="shared" si="721"/>
        <v>0</v>
      </c>
      <c r="AT622" s="80">
        <f t="shared" si="722"/>
        <v>0</v>
      </c>
      <c r="AU622" s="80">
        <f t="shared" si="723"/>
        <v>0</v>
      </c>
      <c r="AV622" s="80">
        <f t="shared" si="675"/>
        <v>90.531113917162415</v>
      </c>
      <c r="AW622" s="80">
        <f t="shared" si="676"/>
        <v>42.399326477714823</v>
      </c>
      <c r="AX622" s="80">
        <f t="shared" si="677"/>
        <v>26.099979560168407</v>
      </c>
      <c r="AY622" s="80">
        <f t="shared" si="678"/>
        <v>20.307303718439968</v>
      </c>
      <c r="AZ622" s="80">
        <f t="shared" si="679"/>
        <v>243.66869927080208</v>
      </c>
      <c r="BA622" s="80">
        <f t="shared" si="680"/>
        <v>116.91125000543222</v>
      </c>
      <c r="BB622" s="80">
        <f t="shared" si="681"/>
        <v>542.35438016565365</v>
      </c>
      <c r="BC622" s="80">
        <f t="shared" si="682"/>
        <v>216.21887513984592</v>
      </c>
      <c r="BD622" s="80">
        <f t="shared" si="683"/>
        <v>161.05650129929884</v>
      </c>
      <c r="BE622" s="80">
        <f t="shared" si="684"/>
        <v>115.95458067708985</v>
      </c>
      <c r="BF622" s="80">
        <f t="shared" si="685"/>
        <v>1379.2341672072448</v>
      </c>
      <c r="BG622" s="80">
        <f t="shared" si="686"/>
        <v>831.19692922557567</v>
      </c>
      <c r="BH622" s="49">
        <f t="shared" si="687"/>
        <v>0</v>
      </c>
      <c r="BI622" s="79">
        <f t="shared" si="688"/>
        <v>-104044.44835080176</v>
      </c>
      <c r="BJ622" s="79">
        <f t="shared" si="724"/>
        <v>194000</v>
      </c>
      <c r="BK622" s="44">
        <f t="shared" si="689"/>
        <v>0.86458771299261783</v>
      </c>
      <c r="BL622" s="79">
        <f t="shared" si="690"/>
        <v>27827.007281107672</v>
      </c>
      <c r="BM622" s="49">
        <f t="shared" si="691"/>
        <v>221827.00728110768</v>
      </c>
      <c r="BN622" s="44">
        <f t="shared" si="692"/>
        <v>1.1320407844653473</v>
      </c>
      <c r="BO622" s="49">
        <f t="shared" si="725"/>
        <v>39391.987590882454</v>
      </c>
      <c r="BP622" s="49">
        <f t="shared" si="726"/>
        <v>233391.98759088246</v>
      </c>
      <c r="BQ622" s="44">
        <f t="shared" si="693"/>
        <v>1.2431950122313657</v>
      </c>
      <c r="BS622" s="49">
        <f t="shared" si="694"/>
        <v>104044.44835080176</v>
      </c>
      <c r="BT622" s="49">
        <f t="shared" si="710"/>
        <v>150.279999</v>
      </c>
      <c r="BU622" s="49">
        <f t="shared" si="711"/>
        <v>40.740001999999997</v>
      </c>
      <c r="BV622" s="49">
        <f t="shared" si="695"/>
        <v>1708.9240304228861</v>
      </c>
      <c r="BW622" s="18">
        <f t="shared" si="727"/>
        <v>4059</v>
      </c>
      <c r="BX622" s="19">
        <f t="shared" si="696"/>
        <v>6.9036697247706419E-2</v>
      </c>
      <c r="BY622" s="49">
        <f t="shared" si="697"/>
        <v>117.97847090763501</v>
      </c>
      <c r="BZ622" s="19">
        <f t="shared" si="698"/>
        <v>0.76711350239316589</v>
      </c>
      <c r="CA622" s="19">
        <f t="shared" si="699"/>
        <v>0</v>
      </c>
      <c r="CB622" s="19">
        <f t="shared" si="700"/>
        <v>0</v>
      </c>
      <c r="CC622" s="19">
        <f t="shared" si="701"/>
        <v>0.66376404920263643</v>
      </c>
      <c r="CD622" s="19">
        <f t="shared" si="702"/>
        <v>14.27601707165965</v>
      </c>
      <c r="CE622" s="19">
        <f t="shared" si="703"/>
        <v>24.228607147285924</v>
      </c>
      <c r="CF622" s="49">
        <f t="shared" si="704"/>
        <v>-115.28181637253147</v>
      </c>
      <c r="CG622" s="49">
        <f t="shared" si="705"/>
        <v>0</v>
      </c>
      <c r="CH622" s="49">
        <f t="shared" si="706"/>
        <v>0</v>
      </c>
      <c r="CI622" s="49">
        <f t="shared" si="707"/>
        <v>-94.241217050734122</v>
      </c>
      <c r="CJ622" s="49">
        <f t="shared" si="708"/>
        <v>-609.72867485456663</v>
      </c>
      <c r="CK622" s="49">
        <f t="shared" si="709"/>
        <v>-987.07350363764272</v>
      </c>
    </row>
    <row r="623" spans="2:89" ht="12.75" customHeight="1" x14ac:dyDescent="0.2">
      <c r="B623" s="77">
        <v>43359</v>
      </c>
      <c r="C623" s="79">
        <v>151.16000399999999</v>
      </c>
      <c r="D623" s="79">
        <v>113.260002</v>
      </c>
      <c r="E623" s="79">
        <v>115.970001</v>
      </c>
      <c r="F623" s="79">
        <v>142.05999800000001</v>
      </c>
      <c r="G623" s="79">
        <v>43.82</v>
      </c>
      <c r="H623" s="79">
        <v>41.799999</v>
      </c>
      <c r="I623" s="79"/>
      <c r="J623" s="78">
        <f>IF(inter=Weekly_2,J622+$C$5,IF(inter=Bi_weekly_2,0,IF(inter=Monthly_2,0,IF(inter=Quarterly_2,0,IF(inter=Yearly_2,0,IF(inter=None_2,0,0))))))</f>
        <v>0</v>
      </c>
      <c r="K623" s="79">
        <f t="shared" si="728"/>
        <v>0</v>
      </c>
      <c r="L623" s="79">
        <f t="shared" si="729"/>
        <v>0</v>
      </c>
      <c r="M623" s="79">
        <f t="shared" si="730"/>
        <v>0</v>
      </c>
      <c r="N623" s="79">
        <f t="shared" si="731"/>
        <v>0</v>
      </c>
      <c r="O623" s="79">
        <f t="shared" si="732"/>
        <v>0</v>
      </c>
      <c r="P623" s="79">
        <f t="shared" si="733"/>
        <v>0</v>
      </c>
      <c r="Q623" s="79"/>
      <c r="R623" s="80">
        <f t="shared" si="712"/>
        <v>0</v>
      </c>
      <c r="S623" s="80">
        <f t="shared" si="713"/>
        <v>0</v>
      </c>
      <c r="T623" s="80">
        <f t="shared" si="714"/>
        <v>0</v>
      </c>
      <c r="U623" s="80">
        <f t="shared" si="715"/>
        <v>0</v>
      </c>
      <c r="V623" s="80">
        <f t="shared" si="716"/>
        <v>0</v>
      </c>
      <c r="W623" s="80">
        <f t="shared" si="717"/>
        <v>0</v>
      </c>
      <c r="X623" s="80">
        <f t="shared" si="669"/>
        <v>451.82326624849122</v>
      </c>
      <c r="Y623" s="80">
        <f t="shared" si="670"/>
        <v>173.8195486621311</v>
      </c>
      <c r="Z623" s="80">
        <f t="shared" si="671"/>
        <v>134.95652173913044</v>
      </c>
      <c r="AA623" s="80">
        <f t="shared" si="672"/>
        <v>95.647276958649883</v>
      </c>
      <c r="AB623" s="80">
        <f t="shared" si="673"/>
        <v>1135.5654679364427</v>
      </c>
      <c r="AC623" s="80">
        <f t="shared" si="674"/>
        <v>714.28567922014349</v>
      </c>
      <c r="AD623" s="80"/>
      <c r="AE623" s="80"/>
      <c r="AF623" s="80"/>
      <c r="AG623" s="80"/>
      <c r="AH623" s="80"/>
      <c r="AI623" s="80"/>
      <c r="AJ623" s="45">
        <f t="shared" si="663"/>
        <v>0</v>
      </c>
      <c r="AK623" s="45">
        <f t="shared" si="664"/>
        <v>0</v>
      </c>
      <c r="AL623" s="45">
        <f t="shared" si="665"/>
        <v>0</v>
      </c>
      <c r="AM623" s="45">
        <f t="shared" si="666"/>
        <v>0</v>
      </c>
      <c r="AN623" s="45">
        <f t="shared" si="667"/>
        <v>0</v>
      </c>
      <c r="AO623" s="45">
        <f t="shared" si="668"/>
        <v>0</v>
      </c>
      <c r="AP623" s="80">
        <f t="shared" si="718"/>
        <v>0</v>
      </c>
      <c r="AQ623" s="80">
        <f t="shared" si="719"/>
        <v>0</v>
      </c>
      <c r="AR623" s="80">
        <f t="shared" si="720"/>
        <v>0</v>
      </c>
      <c r="AS623" s="80">
        <f t="shared" si="721"/>
        <v>0</v>
      </c>
      <c r="AT623" s="80">
        <f t="shared" si="722"/>
        <v>0</v>
      </c>
      <c r="AU623" s="80">
        <f t="shared" si="723"/>
        <v>0</v>
      </c>
      <c r="AV623" s="80">
        <f t="shared" si="675"/>
        <v>90.531113917162415</v>
      </c>
      <c r="AW623" s="80">
        <f t="shared" si="676"/>
        <v>42.399326477714823</v>
      </c>
      <c r="AX623" s="80">
        <f t="shared" si="677"/>
        <v>26.099979560168407</v>
      </c>
      <c r="AY623" s="80">
        <f t="shared" si="678"/>
        <v>20.307303718439968</v>
      </c>
      <c r="AZ623" s="80">
        <f t="shared" si="679"/>
        <v>243.66869927080208</v>
      </c>
      <c r="BA623" s="80">
        <f t="shared" si="680"/>
        <v>116.91125000543222</v>
      </c>
      <c r="BB623" s="80">
        <f t="shared" si="681"/>
        <v>542.35438016565365</v>
      </c>
      <c r="BC623" s="80">
        <f t="shared" si="682"/>
        <v>216.21887513984592</v>
      </c>
      <c r="BD623" s="80">
        <f t="shared" si="683"/>
        <v>161.05650129929884</v>
      </c>
      <c r="BE623" s="80">
        <f t="shared" si="684"/>
        <v>115.95458067708985</v>
      </c>
      <c r="BF623" s="80">
        <f t="shared" si="685"/>
        <v>1379.2341672072448</v>
      </c>
      <c r="BG623" s="80">
        <f t="shared" si="686"/>
        <v>831.19692922557567</v>
      </c>
      <c r="BH623" s="49">
        <f t="shared" si="687"/>
        <v>0</v>
      </c>
      <c r="BI623" s="79">
        <f t="shared" si="688"/>
        <v>-104044.44835080176</v>
      </c>
      <c r="BJ623" s="79">
        <f t="shared" si="724"/>
        <v>196840.58857911304</v>
      </c>
      <c r="BK623" s="44">
        <f t="shared" si="689"/>
        <v>0.89188939630334629</v>
      </c>
      <c r="BL623" s="79">
        <f t="shared" si="690"/>
        <v>27827.007281107672</v>
      </c>
      <c r="BM623" s="49">
        <f t="shared" si="691"/>
        <v>224667.59586022072</v>
      </c>
      <c r="BN623" s="44">
        <f t="shared" si="692"/>
        <v>1.1593424677760757</v>
      </c>
      <c r="BO623" s="49">
        <f t="shared" si="725"/>
        <v>39962.954060189404</v>
      </c>
      <c r="BP623" s="49">
        <f t="shared" si="726"/>
        <v>236803.54263930241</v>
      </c>
      <c r="BQ623" s="44">
        <f t="shared" si="693"/>
        <v>1.2759844123627153</v>
      </c>
      <c r="BS623" s="49">
        <f t="shared" si="694"/>
        <v>104044.44835080176</v>
      </c>
      <c r="BT623" s="49">
        <f t="shared" si="710"/>
        <v>151.16000399999999</v>
      </c>
      <c r="BU623" s="49">
        <f t="shared" si="711"/>
        <v>41.799999</v>
      </c>
      <c r="BV623" s="49">
        <f t="shared" si="695"/>
        <v>0</v>
      </c>
      <c r="BW623" s="18">
        <f t="shared" si="727"/>
        <v>4066</v>
      </c>
      <c r="BX623" s="19">
        <f t="shared" si="696"/>
        <v>6.7431192660550462E-2</v>
      </c>
      <c r="BY623" s="49">
        <f t="shared" si="697"/>
        <v>0</v>
      </c>
      <c r="BZ623" s="19">
        <f t="shared" si="698"/>
        <v>0</v>
      </c>
      <c r="CA623" s="19">
        <f t="shared" si="699"/>
        <v>0</v>
      </c>
      <c r="CB623" s="19">
        <f t="shared" si="700"/>
        <v>0</v>
      </c>
      <c r="CC623" s="19">
        <f t="shared" si="701"/>
        <v>0</v>
      </c>
      <c r="CD623" s="19">
        <f t="shared" si="702"/>
        <v>0</v>
      </c>
      <c r="CE623" s="19">
        <f t="shared" si="703"/>
        <v>0</v>
      </c>
      <c r="CF623" s="49">
        <f t="shared" si="704"/>
        <v>0</v>
      </c>
      <c r="CG623" s="49">
        <f t="shared" si="705"/>
        <v>0</v>
      </c>
      <c r="CH623" s="49">
        <f t="shared" si="706"/>
        <v>0</v>
      </c>
      <c r="CI623" s="49">
        <f t="shared" si="707"/>
        <v>0</v>
      </c>
      <c r="CJ623" s="49">
        <f t="shared" si="708"/>
        <v>0</v>
      </c>
      <c r="CK623" s="49">
        <f t="shared" si="709"/>
        <v>0</v>
      </c>
    </row>
    <row r="624" spans="2:89" ht="12.75" customHeight="1" x14ac:dyDescent="0.2">
      <c r="B624" s="77">
        <v>43366</v>
      </c>
      <c r="C624" s="79">
        <v>149.64999399999999</v>
      </c>
      <c r="D624" s="79">
        <v>110.68</v>
      </c>
      <c r="E624" s="79">
        <v>113.07</v>
      </c>
      <c r="F624" s="79">
        <v>139.36000100000001</v>
      </c>
      <c r="G624" s="79">
        <v>43.27</v>
      </c>
      <c r="H624" s="79">
        <v>41</v>
      </c>
      <c r="I624" s="79"/>
      <c r="J624" s="78">
        <f>IF(inter=Weekly_2,J623+$C$5,IF(inter=Bi_weekly_2,J622+$C$5,IF(inter=Monthly_2,0,IF(inter=Quarterly_2,0,IF(inter=Yearly_2,0,IF(inter=None_2,0,0))))))</f>
        <v>194600</v>
      </c>
      <c r="K624" s="79">
        <f t="shared" si="728"/>
        <v>-494.65091685288644</v>
      </c>
      <c r="L624" s="79">
        <f t="shared" si="729"/>
        <v>-221.65235407532964</v>
      </c>
      <c r="M624" s="79">
        <f t="shared" si="730"/>
        <v>-308.46608695652321</v>
      </c>
      <c r="N624" s="79">
        <f t="shared" si="731"/>
        <v>-292.5953873952767</v>
      </c>
      <c r="O624" s="79">
        <f t="shared" si="732"/>
        <v>485.91779760987993</v>
      </c>
      <c r="P624" s="79">
        <f t="shared" si="733"/>
        <v>95.712848025883432</v>
      </c>
      <c r="Q624" s="79"/>
      <c r="R624" s="80">
        <f t="shared" si="712"/>
        <v>3.3053854773484752</v>
      </c>
      <c r="S624" s="80">
        <f t="shared" si="713"/>
        <v>2.0026414354475031</v>
      </c>
      <c r="T624" s="80">
        <f t="shared" si="714"/>
        <v>2.728098407681288</v>
      </c>
      <c r="U624" s="80">
        <f t="shared" si="715"/>
        <v>2.0995650494812832</v>
      </c>
      <c r="V624" s="80">
        <f t="shared" si="716"/>
        <v>-11.229900568751557</v>
      </c>
      <c r="W624" s="80">
        <f t="shared" si="717"/>
        <v>-2.3344597079483762</v>
      </c>
      <c r="X624" s="80">
        <f t="shared" si="669"/>
        <v>455.12865172583969</v>
      </c>
      <c r="Y624" s="80">
        <f t="shared" si="670"/>
        <v>175.82219009757861</v>
      </c>
      <c r="Z624" s="80">
        <f t="shared" si="671"/>
        <v>137.68462014681174</v>
      </c>
      <c r="AA624" s="80">
        <f t="shared" si="672"/>
        <v>97.746842008131168</v>
      </c>
      <c r="AB624" s="80">
        <f t="shared" si="673"/>
        <v>1124.3355673676911</v>
      </c>
      <c r="AC624" s="80">
        <f t="shared" si="674"/>
        <v>711.95121951219517</v>
      </c>
      <c r="AD624" s="80">
        <v>0.71399999999999997</v>
      </c>
      <c r="AE624" s="80">
        <v>0.73099999999999998</v>
      </c>
      <c r="AF624" s="80">
        <v>0.78100000000000003</v>
      </c>
      <c r="AG624" s="80">
        <v>0.78300000000000003</v>
      </c>
      <c r="AH624" s="80">
        <v>0.158</v>
      </c>
      <c r="AI624" s="80">
        <v>0.47499999999999998</v>
      </c>
      <c r="AJ624" s="45">
        <f t="shared" si="663"/>
        <v>324.96185733224951</v>
      </c>
      <c r="AK624" s="45">
        <f t="shared" si="664"/>
        <v>128.52602096132998</v>
      </c>
      <c r="AL624" s="45">
        <f t="shared" si="665"/>
        <v>107.53168833465998</v>
      </c>
      <c r="AM624" s="45">
        <f t="shared" si="666"/>
        <v>76.535777292366703</v>
      </c>
      <c r="AN624" s="45">
        <f t="shared" si="667"/>
        <v>177.64501964409519</v>
      </c>
      <c r="AO624" s="45">
        <f t="shared" si="668"/>
        <v>338.17682926829269</v>
      </c>
      <c r="AP624" s="80">
        <f t="shared" si="718"/>
        <v>2.1714792540001673</v>
      </c>
      <c r="AQ624" s="80">
        <f t="shared" si="719"/>
        <v>1.1612397990723704</v>
      </c>
      <c r="AR624" s="80">
        <f t="shared" si="720"/>
        <v>0.95101873471884657</v>
      </c>
      <c r="AS624" s="80">
        <f t="shared" si="721"/>
        <v>0.5491947240468712</v>
      </c>
      <c r="AT624" s="80">
        <f t="shared" si="722"/>
        <v>4.105500800649299</v>
      </c>
      <c r="AU624" s="80">
        <f t="shared" si="723"/>
        <v>8.2482153480071396</v>
      </c>
      <c r="AV624" s="80">
        <f t="shared" si="675"/>
        <v>92.702593171162576</v>
      </c>
      <c r="AW624" s="80">
        <f t="shared" si="676"/>
        <v>43.560566276787192</v>
      </c>
      <c r="AX624" s="80">
        <f t="shared" si="677"/>
        <v>27.050998294887254</v>
      </c>
      <c r="AY624" s="80">
        <f t="shared" si="678"/>
        <v>20.856498442486838</v>
      </c>
      <c r="AZ624" s="80">
        <f t="shared" si="679"/>
        <v>247.77420007145139</v>
      </c>
      <c r="BA624" s="80">
        <f t="shared" si="680"/>
        <v>125.15946535343936</v>
      </c>
      <c r="BB624" s="80">
        <f t="shared" si="681"/>
        <v>547.83124489700231</v>
      </c>
      <c r="BC624" s="80">
        <f t="shared" si="682"/>
        <v>219.38275637436581</v>
      </c>
      <c r="BD624" s="80">
        <f t="shared" si="683"/>
        <v>164.73561844169899</v>
      </c>
      <c r="BE624" s="80">
        <f t="shared" si="684"/>
        <v>118.60334045061801</v>
      </c>
      <c r="BF624" s="80">
        <f t="shared" si="685"/>
        <v>1372.1097674391424</v>
      </c>
      <c r="BG624" s="80">
        <f t="shared" si="686"/>
        <v>837.11068486563454</v>
      </c>
      <c r="BH624" s="49">
        <f t="shared" si="687"/>
        <v>1153.3771928329941</v>
      </c>
      <c r="BI624" s="79">
        <f t="shared" si="688"/>
        <v>-104780.18245044602</v>
      </c>
      <c r="BJ624" s="79">
        <f t="shared" si="724"/>
        <v>194600</v>
      </c>
      <c r="BK624" s="44">
        <f t="shared" si="689"/>
        <v>0.85722142726782047</v>
      </c>
      <c r="BL624" s="79">
        <f t="shared" si="690"/>
        <v>28980.384473940667</v>
      </c>
      <c r="BM624" s="49">
        <f t="shared" si="691"/>
        <v>223580.38447394068</v>
      </c>
      <c r="BN624" s="44">
        <f t="shared" si="692"/>
        <v>1.1338041149115115</v>
      </c>
      <c r="BO624" s="49">
        <f t="shared" si="725"/>
        <v>40512.171724950807</v>
      </c>
      <c r="BP624" s="49">
        <f t="shared" si="726"/>
        <v>235112.17172495078</v>
      </c>
      <c r="BQ624" s="44">
        <f t="shared" si="693"/>
        <v>1.243861064434995</v>
      </c>
      <c r="BS624" s="49">
        <f t="shared" si="694"/>
        <v>104780.18245044602</v>
      </c>
      <c r="BT624" s="49">
        <f t="shared" si="710"/>
        <v>149.64999399999999</v>
      </c>
      <c r="BU624" s="49">
        <f t="shared" si="711"/>
        <v>41</v>
      </c>
      <c r="BV624" s="49">
        <f t="shared" si="695"/>
        <v>-417.64309318874143</v>
      </c>
      <c r="BW624" s="18">
        <f t="shared" si="727"/>
        <v>4073</v>
      </c>
      <c r="BX624" s="19">
        <f t="shared" si="696"/>
        <v>6.5825688073394492E-2</v>
      </c>
      <c r="BY624" s="49">
        <f t="shared" si="697"/>
        <v>-27.491643978249723</v>
      </c>
      <c r="BZ624" s="19">
        <f t="shared" si="698"/>
        <v>3.3053854773484752</v>
      </c>
      <c r="CA624" s="19">
        <f t="shared" si="699"/>
        <v>2.0026414354475031</v>
      </c>
      <c r="CB624" s="19">
        <f t="shared" si="700"/>
        <v>2.728098407681288</v>
      </c>
      <c r="CC624" s="19">
        <f t="shared" si="701"/>
        <v>2.0995650494812832</v>
      </c>
      <c r="CD624" s="19">
        <f t="shared" si="702"/>
        <v>0</v>
      </c>
      <c r="CE624" s="19">
        <f t="shared" si="703"/>
        <v>0</v>
      </c>
      <c r="CF624" s="49">
        <f t="shared" si="704"/>
        <v>-494.65091685288644</v>
      </c>
      <c r="CG624" s="49">
        <f t="shared" si="705"/>
        <v>-221.65235407532964</v>
      </c>
      <c r="CH624" s="49">
        <f t="shared" si="706"/>
        <v>-308.46608695652321</v>
      </c>
      <c r="CI624" s="49">
        <f t="shared" si="707"/>
        <v>-292.5953873952767</v>
      </c>
      <c r="CJ624" s="49">
        <f t="shared" si="708"/>
        <v>0</v>
      </c>
      <c r="CK624" s="49">
        <f t="shared" si="709"/>
        <v>0</v>
      </c>
    </row>
    <row r="625" spans="2:89" ht="12.75" customHeight="1" x14ac:dyDescent="0.2">
      <c r="B625" s="77">
        <v>43373</v>
      </c>
      <c r="C625" s="79">
        <v>147.63000500000001</v>
      </c>
      <c r="D625" s="79">
        <v>110.980003</v>
      </c>
      <c r="E625" s="79">
        <v>111.870003</v>
      </c>
      <c r="F625" s="79">
        <v>136.020004</v>
      </c>
      <c r="G625" s="79">
        <v>42.27</v>
      </c>
      <c r="H625" s="79">
        <v>39.220001000000003</v>
      </c>
      <c r="I625" s="79"/>
      <c r="J625" s="78">
        <f>IF(inter=Weekly_2,J624+$C$5,IF(inter=Bi_weekly_2,0,IF(inter=Monthly_2,0,IF(inter=Quarterly_2,0,IF(inter=Yearly_2,0,IF(inter=None_2,0,0))))))</f>
        <v>0</v>
      </c>
      <c r="K625" s="79">
        <f t="shared" si="728"/>
        <v>0</v>
      </c>
      <c r="L625" s="79">
        <f t="shared" si="729"/>
        <v>0</v>
      </c>
      <c r="M625" s="79">
        <f t="shared" si="730"/>
        <v>0</v>
      </c>
      <c r="N625" s="79">
        <f t="shared" si="731"/>
        <v>0</v>
      </c>
      <c r="O625" s="79">
        <f t="shared" si="732"/>
        <v>0</v>
      </c>
      <c r="P625" s="79">
        <f t="shared" si="733"/>
        <v>0</v>
      </c>
      <c r="Q625" s="79"/>
      <c r="R625" s="80">
        <f t="shared" si="712"/>
        <v>0</v>
      </c>
      <c r="S625" s="80">
        <f t="shared" si="713"/>
        <v>0</v>
      </c>
      <c r="T625" s="80">
        <f t="shared" si="714"/>
        <v>0</v>
      </c>
      <c r="U625" s="80">
        <f t="shared" si="715"/>
        <v>0</v>
      </c>
      <c r="V625" s="80">
        <f t="shared" si="716"/>
        <v>0</v>
      </c>
      <c r="W625" s="80">
        <f t="shared" si="717"/>
        <v>0</v>
      </c>
      <c r="X625" s="80">
        <f t="shared" si="669"/>
        <v>455.12865172583969</v>
      </c>
      <c r="Y625" s="80">
        <f t="shared" si="670"/>
        <v>175.82219009757861</v>
      </c>
      <c r="Z625" s="80">
        <f t="shared" si="671"/>
        <v>137.68462014681174</v>
      </c>
      <c r="AA625" s="80">
        <f t="shared" si="672"/>
        <v>97.746842008131168</v>
      </c>
      <c r="AB625" s="80">
        <f t="shared" si="673"/>
        <v>1124.3355673676911</v>
      </c>
      <c r="AC625" s="80">
        <f t="shared" si="674"/>
        <v>711.95121951219517</v>
      </c>
      <c r="AD625" s="80"/>
      <c r="AE625" s="80"/>
      <c r="AF625" s="80"/>
      <c r="AG625" s="80"/>
      <c r="AH625" s="80"/>
      <c r="AI625" s="80"/>
      <c r="AJ625" s="45">
        <f t="shared" si="663"/>
        <v>0</v>
      </c>
      <c r="AK625" s="45">
        <f t="shared" si="664"/>
        <v>0</v>
      </c>
      <c r="AL625" s="45">
        <f t="shared" si="665"/>
        <v>0</v>
      </c>
      <c r="AM625" s="45">
        <f t="shared" si="666"/>
        <v>0</v>
      </c>
      <c r="AN625" s="45">
        <f t="shared" si="667"/>
        <v>0</v>
      </c>
      <c r="AO625" s="45">
        <f t="shared" si="668"/>
        <v>0</v>
      </c>
      <c r="AP625" s="80">
        <f t="shared" si="718"/>
        <v>0</v>
      </c>
      <c r="AQ625" s="80">
        <f t="shared" si="719"/>
        <v>0</v>
      </c>
      <c r="AR625" s="80">
        <f t="shared" si="720"/>
        <v>0</v>
      </c>
      <c r="AS625" s="80">
        <f t="shared" si="721"/>
        <v>0</v>
      </c>
      <c r="AT625" s="80">
        <f t="shared" si="722"/>
        <v>0</v>
      </c>
      <c r="AU625" s="80">
        <f t="shared" si="723"/>
        <v>0</v>
      </c>
      <c r="AV625" s="80">
        <f t="shared" si="675"/>
        <v>92.702593171162576</v>
      </c>
      <c r="AW625" s="80">
        <f t="shared" si="676"/>
        <v>43.560566276787192</v>
      </c>
      <c r="AX625" s="80">
        <f t="shared" si="677"/>
        <v>27.050998294887254</v>
      </c>
      <c r="AY625" s="80">
        <f t="shared" si="678"/>
        <v>20.856498442486838</v>
      </c>
      <c r="AZ625" s="80">
        <f t="shared" si="679"/>
        <v>247.77420007145139</v>
      </c>
      <c r="BA625" s="80">
        <f t="shared" si="680"/>
        <v>125.15946535343936</v>
      </c>
      <c r="BB625" s="80">
        <f t="shared" si="681"/>
        <v>547.83124489700231</v>
      </c>
      <c r="BC625" s="80">
        <f t="shared" si="682"/>
        <v>219.38275637436581</v>
      </c>
      <c r="BD625" s="80">
        <f t="shared" si="683"/>
        <v>164.73561844169899</v>
      </c>
      <c r="BE625" s="80">
        <f t="shared" si="684"/>
        <v>118.60334045061801</v>
      </c>
      <c r="BF625" s="80">
        <f t="shared" si="685"/>
        <v>1372.1097674391424</v>
      </c>
      <c r="BG625" s="80">
        <f t="shared" si="686"/>
        <v>837.11068486563454</v>
      </c>
      <c r="BH625" s="49">
        <f t="shared" si="687"/>
        <v>0</v>
      </c>
      <c r="BI625" s="79">
        <f t="shared" si="688"/>
        <v>-104780.18245044602</v>
      </c>
      <c r="BJ625" s="79">
        <f t="shared" si="724"/>
        <v>190850.08899808768</v>
      </c>
      <c r="BK625" s="44">
        <f t="shared" si="689"/>
        <v>0.8214330662035918</v>
      </c>
      <c r="BL625" s="79">
        <f t="shared" si="690"/>
        <v>28980.384473940667</v>
      </c>
      <c r="BM625" s="49">
        <f t="shared" si="691"/>
        <v>219830.47347202836</v>
      </c>
      <c r="BN625" s="44">
        <f t="shared" si="692"/>
        <v>1.098015753847283</v>
      </c>
      <c r="BO625" s="49">
        <f t="shared" si="725"/>
        <v>39765.302124767928</v>
      </c>
      <c r="BP625" s="49">
        <f t="shared" si="726"/>
        <v>230615.39112285565</v>
      </c>
      <c r="BQ625" s="44">
        <f t="shared" si="693"/>
        <v>1.2009447371588728</v>
      </c>
      <c r="BS625" s="49">
        <f t="shared" si="694"/>
        <v>104780.18245044602</v>
      </c>
      <c r="BT625" s="49">
        <f t="shared" si="710"/>
        <v>147.63000500000001</v>
      </c>
      <c r="BU625" s="49">
        <f t="shared" si="711"/>
        <v>39.220001000000003</v>
      </c>
      <c r="BV625" s="49">
        <f t="shared" si="695"/>
        <v>0</v>
      </c>
      <c r="BW625" s="18">
        <f t="shared" si="727"/>
        <v>4080</v>
      </c>
      <c r="BX625" s="19">
        <f t="shared" si="696"/>
        <v>6.4220183486238536E-2</v>
      </c>
      <c r="BY625" s="49">
        <f t="shared" si="697"/>
        <v>0</v>
      </c>
      <c r="BZ625" s="19">
        <f t="shared" si="698"/>
        <v>0</v>
      </c>
      <c r="CA625" s="19">
        <f t="shared" si="699"/>
        <v>0</v>
      </c>
      <c r="CB625" s="19">
        <f t="shared" si="700"/>
        <v>0</v>
      </c>
      <c r="CC625" s="19">
        <f t="shared" si="701"/>
        <v>0</v>
      </c>
      <c r="CD625" s="19">
        <f t="shared" si="702"/>
        <v>0</v>
      </c>
      <c r="CE625" s="19">
        <f t="shared" si="703"/>
        <v>0</v>
      </c>
      <c r="CF625" s="49">
        <f t="shared" si="704"/>
        <v>0</v>
      </c>
      <c r="CG625" s="49">
        <f t="shared" si="705"/>
        <v>0</v>
      </c>
      <c r="CH625" s="49">
        <f t="shared" si="706"/>
        <v>0</v>
      </c>
      <c r="CI625" s="49">
        <f t="shared" si="707"/>
        <v>0</v>
      </c>
      <c r="CJ625" s="49">
        <f t="shared" si="708"/>
        <v>0</v>
      </c>
      <c r="CK625" s="49">
        <f t="shared" si="709"/>
        <v>0</v>
      </c>
    </row>
    <row r="626" spans="2:89" ht="12.75" customHeight="1" x14ac:dyDescent="0.2">
      <c r="B626" s="77">
        <v>43380</v>
      </c>
      <c r="C626" s="79">
        <v>141.36999499999999</v>
      </c>
      <c r="D626" s="79">
        <v>106.199997</v>
      </c>
      <c r="E626" s="79">
        <v>106.800003</v>
      </c>
      <c r="F626" s="79">
        <v>129.300003</v>
      </c>
      <c r="G626" s="79">
        <v>40.57</v>
      </c>
      <c r="H626" s="79">
        <v>38.720001000000003</v>
      </c>
      <c r="I626" s="79"/>
      <c r="J626" s="78">
        <f>IF(inter=Weekly_2,J625+$C$5,IF(inter=Bi_weekly_2,J624+$C$5,IF(inter=Monthly_2,J622+$C$5,IF(inter=Quarterly_2,0,IF(inter=Yearly_2,0,IF(inter=None_2,0,0))))))</f>
        <v>195200</v>
      </c>
      <c r="K626" s="79">
        <f t="shared" si="728"/>
        <v>-3978.4647811613104</v>
      </c>
      <c r="L626" s="79">
        <f t="shared" si="729"/>
        <v>-847.68393910372106</v>
      </c>
      <c r="M626" s="79">
        <f t="shared" si="730"/>
        <v>-911.28215526664462</v>
      </c>
      <c r="N626" s="79">
        <f t="shared" si="731"/>
        <v>-1025.3330351081149</v>
      </c>
      <c r="O626" s="79">
        <f t="shared" si="732"/>
        <v>-3185.7060318927761</v>
      </c>
      <c r="P626" s="79">
        <f t="shared" si="733"/>
        <v>-1713.2480685365808</v>
      </c>
      <c r="Q626" s="79"/>
      <c r="R626" s="80">
        <f t="shared" si="712"/>
        <v>28.142214910323162</v>
      </c>
      <c r="S626" s="80">
        <f t="shared" si="713"/>
        <v>7.9819582208059865</v>
      </c>
      <c r="T626" s="80">
        <f t="shared" si="714"/>
        <v>8.5326042103823223</v>
      </c>
      <c r="U626" s="80">
        <f t="shared" si="715"/>
        <v>7.9298763443038354</v>
      </c>
      <c r="V626" s="80">
        <f t="shared" si="716"/>
        <v>78.523688239900821</v>
      </c>
      <c r="W626" s="80">
        <f t="shared" si="717"/>
        <v>44.247108065327289</v>
      </c>
      <c r="X626" s="80">
        <f t="shared" si="669"/>
        <v>483.27086663616285</v>
      </c>
      <c r="Y626" s="80">
        <f t="shared" si="670"/>
        <v>183.80414831838459</v>
      </c>
      <c r="Z626" s="80">
        <f t="shared" si="671"/>
        <v>146.21722435719406</v>
      </c>
      <c r="AA626" s="80">
        <f t="shared" si="672"/>
        <v>105.676718352435</v>
      </c>
      <c r="AB626" s="80">
        <f t="shared" si="673"/>
        <v>1202.8592556075919</v>
      </c>
      <c r="AC626" s="80">
        <f t="shared" si="674"/>
        <v>756.19832757752249</v>
      </c>
      <c r="AD626" s="80"/>
      <c r="AE626" s="80"/>
      <c r="AF626" s="80"/>
      <c r="AG626" s="80"/>
      <c r="AH626" s="80"/>
      <c r="AI626" s="80"/>
      <c r="AJ626" s="45">
        <f t="shared" si="663"/>
        <v>0</v>
      </c>
      <c r="AK626" s="45">
        <f t="shared" si="664"/>
        <v>0</v>
      </c>
      <c r="AL626" s="45">
        <f t="shared" si="665"/>
        <v>0</v>
      </c>
      <c r="AM626" s="45">
        <f t="shared" si="666"/>
        <v>0</v>
      </c>
      <c r="AN626" s="45">
        <f t="shared" si="667"/>
        <v>0</v>
      </c>
      <c r="AO626" s="45">
        <f t="shared" si="668"/>
        <v>0</v>
      </c>
      <c r="AP626" s="80">
        <f t="shared" si="718"/>
        <v>0</v>
      </c>
      <c r="AQ626" s="80">
        <f t="shared" si="719"/>
        <v>0</v>
      </c>
      <c r="AR626" s="80">
        <f t="shared" si="720"/>
        <v>0</v>
      </c>
      <c r="AS626" s="80">
        <f t="shared" si="721"/>
        <v>0</v>
      </c>
      <c r="AT626" s="80">
        <f t="shared" si="722"/>
        <v>0</v>
      </c>
      <c r="AU626" s="80">
        <f t="shared" si="723"/>
        <v>0</v>
      </c>
      <c r="AV626" s="80">
        <f t="shared" si="675"/>
        <v>92.702593171162576</v>
      </c>
      <c r="AW626" s="80">
        <f t="shared" si="676"/>
        <v>43.560566276787192</v>
      </c>
      <c r="AX626" s="80">
        <f t="shared" si="677"/>
        <v>27.050998294887254</v>
      </c>
      <c r="AY626" s="80">
        <f t="shared" si="678"/>
        <v>20.856498442486838</v>
      </c>
      <c r="AZ626" s="80">
        <f t="shared" si="679"/>
        <v>247.77420007145139</v>
      </c>
      <c r="BA626" s="80">
        <f t="shared" si="680"/>
        <v>125.15946535343936</v>
      </c>
      <c r="BB626" s="80">
        <f t="shared" si="681"/>
        <v>575.97345980732541</v>
      </c>
      <c r="BC626" s="80">
        <f t="shared" si="682"/>
        <v>227.36471459517179</v>
      </c>
      <c r="BD626" s="80">
        <f t="shared" si="683"/>
        <v>173.26822265208131</v>
      </c>
      <c r="BE626" s="80">
        <f t="shared" si="684"/>
        <v>126.53321679492184</v>
      </c>
      <c r="BF626" s="80">
        <f t="shared" si="685"/>
        <v>1450.6334556790432</v>
      </c>
      <c r="BG626" s="80">
        <f t="shared" si="686"/>
        <v>881.35779293096186</v>
      </c>
      <c r="BH626" s="49">
        <f t="shared" si="687"/>
        <v>0</v>
      </c>
      <c r="BI626" s="79">
        <f t="shared" si="688"/>
        <v>-116441.90046151515</v>
      </c>
      <c r="BJ626" s="79">
        <f t="shared" si="724"/>
        <v>195200</v>
      </c>
      <c r="BK626" s="44">
        <f t="shared" si="689"/>
        <v>0.67637250187714804</v>
      </c>
      <c r="BL626" s="79">
        <f t="shared" si="690"/>
        <v>28980.384473940667</v>
      </c>
      <c r="BM626" s="49">
        <f t="shared" si="691"/>
        <v>224180.38447394068</v>
      </c>
      <c r="BN626" s="44">
        <f t="shared" si="692"/>
        <v>0.92525528684611125</v>
      </c>
      <c r="BO626" s="49">
        <f t="shared" si="725"/>
        <v>38215.6630717808</v>
      </c>
      <c r="BP626" s="49">
        <f t="shared" si="726"/>
        <v>233415.66307178081</v>
      </c>
      <c r="BQ626" s="44">
        <f t="shared" si="693"/>
        <v>1.0045676182425956</v>
      </c>
      <c r="BS626" s="49">
        <f t="shared" si="694"/>
        <v>116441.90046151515</v>
      </c>
      <c r="BT626" s="49">
        <f t="shared" si="710"/>
        <v>141.36999499999999</v>
      </c>
      <c r="BU626" s="49">
        <f t="shared" si="711"/>
        <v>38.720001000000003</v>
      </c>
      <c r="BV626" s="49">
        <f t="shared" si="695"/>
        <v>11661.718011069148</v>
      </c>
      <c r="BW626" s="18">
        <f t="shared" si="727"/>
        <v>4087</v>
      </c>
      <c r="BX626" s="19">
        <f t="shared" si="696"/>
        <v>6.2614678899082565E-2</v>
      </c>
      <c r="BY626" s="49">
        <f t="shared" si="697"/>
        <v>730.19472867474246</v>
      </c>
      <c r="BZ626" s="19">
        <f t="shared" si="698"/>
        <v>28.142214910323162</v>
      </c>
      <c r="CA626" s="19">
        <f t="shared" si="699"/>
        <v>7.9819582208059865</v>
      </c>
      <c r="CB626" s="19">
        <f t="shared" si="700"/>
        <v>8.5326042103823223</v>
      </c>
      <c r="CC626" s="19">
        <f t="shared" si="701"/>
        <v>7.9298763443038354</v>
      </c>
      <c r="CD626" s="19">
        <f t="shared" si="702"/>
        <v>78.523688239900821</v>
      </c>
      <c r="CE626" s="19">
        <f t="shared" si="703"/>
        <v>44.247108065327289</v>
      </c>
      <c r="CF626" s="49">
        <f t="shared" si="704"/>
        <v>-3978.4647811613104</v>
      </c>
      <c r="CG626" s="49">
        <f t="shared" si="705"/>
        <v>-847.68393910372106</v>
      </c>
      <c r="CH626" s="49">
        <f t="shared" si="706"/>
        <v>-911.28215526664462</v>
      </c>
      <c r="CI626" s="49">
        <f t="shared" si="707"/>
        <v>-1025.3330351081149</v>
      </c>
      <c r="CJ626" s="49">
        <f t="shared" si="708"/>
        <v>-3185.7060318927761</v>
      </c>
      <c r="CK626" s="49">
        <f t="shared" si="709"/>
        <v>-1713.2480685365808</v>
      </c>
    </row>
    <row r="627" spans="2:89" ht="12.75" customHeight="1" x14ac:dyDescent="0.2">
      <c r="B627" s="77">
        <v>43387</v>
      </c>
      <c r="C627" s="79">
        <v>141.35000600000001</v>
      </c>
      <c r="D627" s="79">
        <v>106.980003</v>
      </c>
      <c r="E627" s="79">
        <v>107.459999</v>
      </c>
      <c r="F627" s="79">
        <v>129.470001</v>
      </c>
      <c r="G627" s="79">
        <v>40.509998000000003</v>
      </c>
      <c r="H627" s="79">
        <v>38.090000000000003</v>
      </c>
      <c r="I627" s="79"/>
      <c r="J627" s="78">
        <f>IF(inter=Weekly_2,J626+$C$5,IF(inter=Bi_weekly_2,0,IF(inter=Monthly_2,0,IF(inter=Quarterly_2,J614+$C$5,IF(inter=Yearly_2,0,IF(inter=None_2,0,0))))))</f>
        <v>0</v>
      </c>
      <c r="K627" s="79">
        <f t="shared" si="728"/>
        <v>0</v>
      </c>
      <c r="L627" s="79">
        <f t="shared" si="729"/>
        <v>0</v>
      </c>
      <c r="M627" s="79">
        <f t="shared" si="730"/>
        <v>0</v>
      </c>
      <c r="N627" s="79">
        <f t="shared" si="731"/>
        <v>0</v>
      </c>
      <c r="O627" s="79">
        <f t="shared" si="732"/>
        <v>0</v>
      </c>
      <c r="P627" s="79">
        <f t="shared" si="733"/>
        <v>0</v>
      </c>
      <c r="Q627" s="79"/>
      <c r="R627" s="80">
        <f t="shared" si="712"/>
        <v>0</v>
      </c>
      <c r="S627" s="80">
        <f t="shared" si="713"/>
        <v>0</v>
      </c>
      <c r="T627" s="80">
        <f t="shared" si="714"/>
        <v>0</v>
      </c>
      <c r="U627" s="80">
        <f t="shared" si="715"/>
        <v>0</v>
      </c>
      <c r="V627" s="80">
        <f t="shared" si="716"/>
        <v>0</v>
      </c>
      <c r="W627" s="80">
        <f t="shared" si="717"/>
        <v>0</v>
      </c>
      <c r="X627" s="80">
        <f t="shared" si="669"/>
        <v>483.27086663616285</v>
      </c>
      <c r="Y627" s="80">
        <f t="shared" si="670"/>
        <v>183.80414831838459</v>
      </c>
      <c r="Z627" s="80">
        <f t="shared" si="671"/>
        <v>146.21722435719406</v>
      </c>
      <c r="AA627" s="80">
        <f t="shared" si="672"/>
        <v>105.676718352435</v>
      </c>
      <c r="AB627" s="80">
        <f t="shared" si="673"/>
        <v>1202.8592556075919</v>
      </c>
      <c r="AC627" s="80">
        <f t="shared" si="674"/>
        <v>756.19832757752249</v>
      </c>
      <c r="AD627" s="80"/>
      <c r="AE627" s="80"/>
      <c r="AF627" s="80"/>
      <c r="AG627" s="80"/>
      <c r="AH627" s="80"/>
      <c r="AI627" s="80"/>
      <c r="AJ627" s="45">
        <f t="shared" si="663"/>
        <v>0</v>
      </c>
      <c r="AK627" s="45">
        <f t="shared" si="664"/>
        <v>0</v>
      </c>
      <c r="AL627" s="45">
        <f t="shared" si="665"/>
        <v>0</v>
      </c>
      <c r="AM627" s="45">
        <f t="shared" si="666"/>
        <v>0</v>
      </c>
      <c r="AN627" s="45">
        <f t="shared" si="667"/>
        <v>0</v>
      </c>
      <c r="AO627" s="45">
        <f t="shared" si="668"/>
        <v>0</v>
      </c>
      <c r="AP627" s="80">
        <f t="shared" si="718"/>
        <v>0</v>
      </c>
      <c r="AQ627" s="80">
        <f t="shared" si="719"/>
        <v>0</v>
      </c>
      <c r="AR627" s="80">
        <f t="shared" si="720"/>
        <v>0</v>
      </c>
      <c r="AS627" s="80">
        <f t="shared" si="721"/>
        <v>0</v>
      </c>
      <c r="AT627" s="80">
        <f t="shared" si="722"/>
        <v>0</v>
      </c>
      <c r="AU627" s="80">
        <f t="shared" si="723"/>
        <v>0</v>
      </c>
      <c r="AV627" s="80">
        <f t="shared" si="675"/>
        <v>92.702593171162576</v>
      </c>
      <c r="AW627" s="80">
        <f t="shared" si="676"/>
        <v>43.560566276787192</v>
      </c>
      <c r="AX627" s="80">
        <f t="shared" si="677"/>
        <v>27.050998294887254</v>
      </c>
      <c r="AY627" s="80">
        <f t="shared" si="678"/>
        <v>20.856498442486838</v>
      </c>
      <c r="AZ627" s="80">
        <f t="shared" si="679"/>
        <v>247.77420007145139</v>
      </c>
      <c r="BA627" s="80">
        <f t="shared" si="680"/>
        <v>125.15946535343936</v>
      </c>
      <c r="BB627" s="80">
        <f t="shared" si="681"/>
        <v>575.97345980732541</v>
      </c>
      <c r="BC627" s="80">
        <f t="shared" si="682"/>
        <v>227.36471459517179</v>
      </c>
      <c r="BD627" s="80">
        <f t="shared" si="683"/>
        <v>173.26822265208131</v>
      </c>
      <c r="BE627" s="80">
        <f t="shared" si="684"/>
        <v>126.53321679492184</v>
      </c>
      <c r="BF627" s="80">
        <f t="shared" si="685"/>
        <v>1450.6334556790432</v>
      </c>
      <c r="BG627" s="80">
        <f t="shared" si="686"/>
        <v>881.35779293096186</v>
      </c>
      <c r="BH627" s="49">
        <f t="shared" si="687"/>
        <v>0</v>
      </c>
      <c r="BI627" s="79">
        <f t="shared" si="688"/>
        <v>-116441.90046151515</v>
      </c>
      <c r="BJ627" s="79">
        <f t="shared" si="724"/>
        <v>194899.59618750625</v>
      </c>
      <c r="BK627" s="44">
        <f t="shared" si="689"/>
        <v>0.67379264178122811</v>
      </c>
      <c r="BL627" s="79">
        <f t="shared" si="690"/>
        <v>28980.384473940667</v>
      </c>
      <c r="BM627" s="49">
        <f t="shared" si="691"/>
        <v>223879.98066144693</v>
      </c>
      <c r="BN627" s="44">
        <f t="shared" si="692"/>
        <v>0.9226754267501911</v>
      </c>
      <c r="BO627" s="49">
        <f t="shared" si="725"/>
        <v>38175.46912051324</v>
      </c>
      <c r="BP627" s="49">
        <f t="shared" si="726"/>
        <v>233075.06530801949</v>
      </c>
      <c r="BQ627" s="44">
        <f t="shared" si="693"/>
        <v>1.0016425735429526</v>
      </c>
      <c r="BS627" s="49">
        <f t="shared" si="694"/>
        <v>116441.90046151515</v>
      </c>
      <c r="BT627" s="49">
        <f t="shared" si="710"/>
        <v>141.35000600000001</v>
      </c>
      <c r="BU627" s="49">
        <f t="shared" si="711"/>
        <v>38.090000000000003</v>
      </c>
      <c r="BV627" s="49">
        <f t="shared" si="695"/>
        <v>0</v>
      </c>
      <c r="BW627" s="18">
        <f t="shared" si="727"/>
        <v>4094</v>
      </c>
      <c r="BX627" s="19">
        <f t="shared" si="696"/>
        <v>6.1009174311926609E-2</v>
      </c>
      <c r="BY627" s="49">
        <f t="shared" si="697"/>
        <v>0</v>
      </c>
      <c r="BZ627" s="19">
        <f t="shared" si="698"/>
        <v>0</v>
      </c>
      <c r="CA627" s="19">
        <f t="shared" si="699"/>
        <v>0</v>
      </c>
      <c r="CB627" s="19">
        <f t="shared" si="700"/>
        <v>0</v>
      </c>
      <c r="CC627" s="19">
        <f t="shared" si="701"/>
        <v>0</v>
      </c>
      <c r="CD627" s="19">
        <f t="shared" si="702"/>
        <v>0</v>
      </c>
      <c r="CE627" s="19">
        <f t="shared" si="703"/>
        <v>0</v>
      </c>
      <c r="CF627" s="49">
        <f t="shared" si="704"/>
        <v>0</v>
      </c>
      <c r="CG627" s="49">
        <f t="shared" si="705"/>
        <v>0</v>
      </c>
      <c r="CH627" s="49">
        <f t="shared" si="706"/>
        <v>0</v>
      </c>
      <c r="CI627" s="49">
        <f t="shared" si="707"/>
        <v>0</v>
      </c>
      <c r="CJ627" s="49">
        <f t="shared" si="708"/>
        <v>0</v>
      </c>
      <c r="CK627" s="49">
        <f t="shared" si="709"/>
        <v>0</v>
      </c>
    </row>
    <row r="628" spans="2:89" ht="12.75" customHeight="1" x14ac:dyDescent="0.2">
      <c r="B628" s="77">
        <v>43394</v>
      </c>
      <c r="C628" s="79">
        <v>135.770004</v>
      </c>
      <c r="D628" s="79">
        <v>102.80999799999999</v>
      </c>
      <c r="E628" s="79">
        <v>102.529999</v>
      </c>
      <c r="F628" s="79">
        <v>124.400002</v>
      </c>
      <c r="G628" s="79">
        <v>38.909999999999997</v>
      </c>
      <c r="H628" s="79">
        <v>37.409999999999997</v>
      </c>
      <c r="I628" s="79"/>
      <c r="J628" s="78">
        <f>IF(inter=Weekly_2,J627+$C$5,IF(inter=Bi_weekly_2,J626+$C$5,IF(inter=Monthly_2,0,IF(inter=Quarterly_2,0,IF(inter=Yearly_2,0,IF(inter=None_2,0,0))))))</f>
        <v>195800</v>
      </c>
      <c r="K628" s="79">
        <f t="shared" si="728"/>
        <v>-2916.3125037247082</v>
      </c>
      <c r="L628" s="79">
        <f t="shared" si="729"/>
        <v>-683.09587899517646</v>
      </c>
      <c r="M628" s="79">
        <f t="shared" si="730"/>
        <v>-672.34813287411816</v>
      </c>
      <c r="N628" s="79">
        <f t="shared" si="731"/>
        <v>-559.8160256036499</v>
      </c>
      <c r="O628" s="79">
        <f t="shared" si="732"/>
        <v>-2146.7463643086012</v>
      </c>
      <c r="P628" s="79">
        <f t="shared" si="733"/>
        <v>-1080.6205653248871</v>
      </c>
      <c r="Q628" s="79"/>
      <c r="R628" s="80">
        <f t="shared" si="712"/>
        <v>21.479799792336372</v>
      </c>
      <c r="S628" s="80">
        <f t="shared" si="713"/>
        <v>6.6442553475701507</v>
      </c>
      <c r="T628" s="80">
        <f t="shared" si="714"/>
        <v>6.5575747530644</v>
      </c>
      <c r="U628" s="80">
        <f t="shared" si="715"/>
        <v>4.500128750831129</v>
      </c>
      <c r="V628" s="80">
        <f t="shared" si="716"/>
        <v>55.172098800015455</v>
      </c>
      <c r="W628" s="80">
        <f t="shared" si="717"/>
        <v>28.885874507481617</v>
      </c>
      <c r="X628" s="80">
        <f t="shared" si="669"/>
        <v>504.75066642849924</v>
      </c>
      <c r="Y628" s="80">
        <f t="shared" si="670"/>
        <v>190.44840366595474</v>
      </c>
      <c r="Z628" s="80">
        <f t="shared" si="671"/>
        <v>152.77479911025844</v>
      </c>
      <c r="AA628" s="80">
        <f t="shared" si="672"/>
        <v>110.17684710326613</v>
      </c>
      <c r="AB628" s="80">
        <f t="shared" si="673"/>
        <v>1258.0313544076073</v>
      </c>
      <c r="AC628" s="80">
        <f t="shared" si="674"/>
        <v>785.08420208500411</v>
      </c>
      <c r="AD628" s="80"/>
      <c r="AE628" s="80"/>
      <c r="AF628" s="80"/>
      <c r="AG628" s="80"/>
      <c r="AH628" s="80"/>
      <c r="AI628" s="80"/>
      <c r="AJ628" s="45">
        <f t="shared" si="663"/>
        <v>0</v>
      </c>
      <c r="AK628" s="45">
        <f t="shared" si="664"/>
        <v>0</v>
      </c>
      <c r="AL628" s="45">
        <f t="shared" si="665"/>
        <v>0</v>
      </c>
      <c r="AM628" s="45">
        <f t="shared" si="666"/>
        <v>0</v>
      </c>
      <c r="AN628" s="45">
        <f t="shared" si="667"/>
        <v>0</v>
      </c>
      <c r="AO628" s="45">
        <f t="shared" si="668"/>
        <v>0</v>
      </c>
      <c r="AP628" s="80">
        <f t="shared" si="718"/>
        <v>0</v>
      </c>
      <c r="AQ628" s="80">
        <f t="shared" si="719"/>
        <v>0</v>
      </c>
      <c r="AR628" s="80">
        <f t="shared" si="720"/>
        <v>0</v>
      </c>
      <c r="AS628" s="80">
        <f t="shared" si="721"/>
        <v>0</v>
      </c>
      <c r="AT628" s="80">
        <f t="shared" si="722"/>
        <v>0</v>
      </c>
      <c r="AU628" s="80">
        <f t="shared" si="723"/>
        <v>0</v>
      </c>
      <c r="AV628" s="80">
        <f t="shared" si="675"/>
        <v>92.702593171162576</v>
      </c>
      <c r="AW628" s="80">
        <f t="shared" si="676"/>
        <v>43.560566276787192</v>
      </c>
      <c r="AX628" s="80">
        <f t="shared" si="677"/>
        <v>27.050998294887254</v>
      </c>
      <c r="AY628" s="80">
        <f t="shared" si="678"/>
        <v>20.856498442486838</v>
      </c>
      <c r="AZ628" s="80">
        <f t="shared" si="679"/>
        <v>247.77420007145139</v>
      </c>
      <c r="BA628" s="80">
        <f t="shared" si="680"/>
        <v>125.15946535343936</v>
      </c>
      <c r="BB628" s="80">
        <f t="shared" si="681"/>
        <v>597.45325959966181</v>
      </c>
      <c r="BC628" s="80">
        <f t="shared" si="682"/>
        <v>234.00896994274194</v>
      </c>
      <c r="BD628" s="80">
        <f t="shared" si="683"/>
        <v>179.82579740514569</v>
      </c>
      <c r="BE628" s="80">
        <f t="shared" si="684"/>
        <v>131.03334554575298</v>
      </c>
      <c r="BF628" s="80">
        <f t="shared" si="685"/>
        <v>1505.8055544790586</v>
      </c>
      <c r="BG628" s="80">
        <f t="shared" si="686"/>
        <v>910.24366743844348</v>
      </c>
      <c r="BH628" s="49">
        <f t="shared" si="687"/>
        <v>0</v>
      </c>
      <c r="BI628" s="79">
        <f t="shared" si="688"/>
        <v>-124500.83993234629</v>
      </c>
      <c r="BJ628" s="79">
        <f t="shared" si="724"/>
        <v>195800</v>
      </c>
      <c r="BK628" s="44">
        <f t="shared" si="689"/>
        <v>0.57268015305276365</v>
      </c>
      <c r="BL628" s="79">
        <f t="shared" si="690"/>
        <v>28980.384473940667</v>
      </c>
      <c r="BM628" s="49">
        <f t="shared" si="691"/>
        <v>224780.38447394068</v>
      </c>
      <c r="BN628" s="44">
        <f t="shared" si="692"/>
        <v>0.80545275514676251</v>
      </c>
      <c r="BO628" s="49">
        <f t="shared" si="725"/>
        <v>36755.890177188958</v>
      </c>
      <c r="BP628" s="49">
        <f t="shared" si="726"/>
        <v>232555.89017718897</v>
      </c>
      <c r="BQ628" s="44">
        <f t="shared" si="693"/>
        <v>0.86790619487836174</v>
      </c>
      <c r="BS628" s="49">
        <f t="shared" si="694"/>
        <v>124500.83993234629</v>
      </c>
      <c r="BT628" s="49">
        <f t="shared" si="710"/>
        <v>135.770004</v>
      </c>
      <c r="BU628" s="49">
        <f t="shared" si="711"/>
        <v>37.409999999999997</v>
      </c>
      <c r="BV628" s="49">
        <f t="shared" si="695"/>
        <v>8058.9394708311411</v>
      </c>
      <c r="BW628" s="18">
        <f t="shared" si="727"/>
        <v>4101</v>
      </c>
      <c r="BX628" s="19">
        <f t="shared" si="696"/>
        <v>5.9403669724770645E-2</v>
      </c>
      <c r="BY628" s="49">
        <f t="shared" si="697"/>
        <v>478.73057865717101</v>
      </c>
      <c r="BZ628" s="19">
        <f t="shared" si="698"/>
        <v>21.479799792336372</v>
      </c>
      <c r="CA628" s="19">
        <f t="shared" si="699"/>
        <v>6.6442553475701507</v>
      </c>
      <c r="CB628" s="19">
        <f t="shared" si="700"/>
        <v>6.5575747530644</v>
      </c>
      <c r="CC628" s="19">
        <f t="shared" si="701"/>
        <v>4.500128750831129</v>
      </c>
      <c r="CD628" s="19">
        <f t="shared" si="702"/>
        <v>55.172098800015455</v>
      </c>
      <c r="CE628" s="19">
        <f t="shared" si="703"/>
        <v>28.885874507481617</v>
      </c>
      <c r="CF628" s="49">
        <f t="shared" si="704"/>
        <v>-2916.3125037247082</v>
      </c>
      <c r="CG628" s="49">
        <f t="shared" si="705"/>
        <v>-683.09587899517646</v>
      </c>
      <c r="CH628" s="49">
        <f t="shared" si="706"/>
        <v>-672.34813287411816</v>
      </c>
      <c r="CI628" s="49">
        <f t="shared" si="707"/>
        <v>-559.8160256036499</v>
      </c>
      <c r="CJ628" s="49">
        <f t="shared" si="708"/>
        <v>-2146.7463643086012</v>
      </c>
      <c r="CK628" s="49">
        <f t="shared" si="709"/>
        <v>-1080.6205653248871</v>
      </c>
    </row>
    <row r="629" spans="2:89" ht="12.75" customHeight="1" x14ac:dyDescent="0.2">
      <c r="B629" s="77">
        <v>43401</v>
      </c>
      <c r="C629" s="79">
        <v>139.55999800000001</v>
      </c>
      <c r="D629" s="79">
        <v>105.66999800000001</v>
      </c>
      <c r="E629" s="79">
        <v>106.510002</v>
      </c>
      <c r="F629" s="79">
        <v>129.13999899999999</v>
      </c>
      <c r="G629" s="79">
        <v>40.18</v>
      </c>
      <c r="H629" s="79">
        <v>39.360000999999997</v>
      </c>
      <c r="I629" s="79"/>
      <c r="J629" s="78">
        <f>IF(inter=Weekly_2,J628+$C$5,IF(inter=Bi_weekly_2,0,IF(inter=Monthly_2,0,IF(inter=Quarterly_2,0,IF(inter=Yearly_2,0,IF(inter=None_2,0,0))))))</f>
        <v>0</v>
      </c>
      <c r="K629" s="79">
        <f t="shared" si="728"/>
        <v>0</v>
      </c>
      <c r="L629" s="79">
        <f t="shared" si="729"/>
        <v>0</v>
      </c>
      <c r="M629" s="79">
        <f t="shared" si="730"/>
        <v>0</v>
      </c>
      <c r="N629" s="79">
        <f t="shared" si="731"/>
        <v>0</v>
      </c>
      <c r="O629" s="79">
        <f t="shared" si="732"/>
        <v>0</v>
      </c>
      <c r="P629" s="79">
        <f t="shared" si="733"/>
        <v>0</v>
      </c>
      <c r="Q629" s="79"/>
      <c r="R629" s="80">
        <f t="shared" si="712"/>
        <v>0</v>
      </c>
      <c r="S629" s="80">
        <f t="shared" si="713"/>
        <v>0</v>
      </c>
      <c r="T629" s="80">
        <f t="shared" si="714"/>
        <v>0</v>
      </c>
      <c r="U629" s="80">
        <f t="shared" si="715"/>
        <v>0</v>
      </c>
      <c r="V629" s="80">
        <f t="shared" si="716"/>
        <v>0</v>
      </c>
      <c r="W629" s="80">
        <f t="shared" si="717"/>
        <v>0</v>
      </c>
      <c r="X629" s="80">
        <f t="shared" si="669"/>
        <v>504.75066642849924</v>
      </c>
      <c r="Y629" s="80">
        <f t="shared" si="670"/>
        <v>190.44840366595474</v>
      </c>
      <c r="Z629" s="80">
        <f t="shared" si="671"/>
        <v>152.77479911025844</v>
      </c>
      <c r="AA629" s="80">
        <f t="shared" si="672"/>
        <v>110.17684710326613</v>
      </c>
      <c r="AB629" s="80">
        <f t="shared" si="673"/>
        <v>1258.0313544076073</v>
      </c>
      <c r="AC629" s="80">
        <f t="shared" si="674"/>
        <v>785.08420208500411</v>
      </c>
      <c r="AD629" s="80"/>
      <c r="AE629" s="80"/>
      <c r="AF629" s="80"/>
      <c r="AG629" s="80"/>
      <c r="AH629" s="80"/>
      <c r="AI629" s="80"/>
      <c r="AJ629" s="45">
        <f t="shared" si="663"/>
        <v>0</v>
      </c>
      <c r="AK629" s="45">
        <f t="shared" si="664"/>
        <v>0</v>
      </c>
      <c r="AL629" s="45">
        <f t="shared" si="665"/>
        <v>0</v>
      </c>
      <c r="AM629" s="45">
        <f t="shared" si="666"/>
        <v>0</v>
      </c>
      <c r="AN629" s="45">
        <f t="shared" si="667"/>
        <v>0</v>
      </c>
      <c r="AO629" s="45">
        <f t="shared" si="668"/>
        <v>0</v>
      </c>
      <c r="AP629" s="80">
        <f t="shared" si="718"/>
        <v>0</v>
      </c>
      <c r="AQ629" s="80">
        <f t="shared" si="719"/>
        <v>0</v>
      </c>
      <c r="AR629" s="80">
        <f t="shared" si="720"/>
        <v>0</v>
      </c>
      <c r="AS629" s="80">
        <f t="shared" si="721"/>
        <v>0</v>
      </c>
      <c r="AT629" s="80">
        <f t="shared" si="722"/>
        <v>0</v>
      </c>
      <c r="AU629" s="80">
        <f t="shared" si="723"/>
        <v>0</v>
      </c>
      <c r="AV629" s="80">
        <f t="shared" si="675"/>
        <v>92.702593171162576</v>
      </c>
      <c r="AW629" s="80">
        <f t="shared" si="676"/>
        <v>43.560566276787192</v>
      </c>
      <c r="AX629" s="80">
        <f t="shared" si="677"/>
        <v>27.050998294887254</v>
      </c>
      <c r="AY629" s="80">
        <f t="shared" si="678"/>
        <v>20.856498442486838</v>
      </c>
      <c r="AZ629" s="80">
        <f t="shared" si="679"/>
        <v>247.77420007145139</v>
      </c>
      <c r="BA629" s="80">
        <f t="shared" si="680"/>
        <v>125.15946535343936</v>
      </c>
      <c r="BB629" s="80">
        <f t="shared" si="681"/>
        <v>597.45325959966181</v>
      </c>
      <c r="BC629" s="80">
        <f t="shared" si="682"/>
        <v>234.00896994274194</v>
      </c>
      <c r="BD629" s="80">
        <f t="shared" si="683"/>
        <v>179.82579740514569</v>
      </c>
      <c r="BE629" s="80">
        <f t="shared" si="684"/>
        <v>131.03334554575298</v>
      </c>
      <c r="BF629" s="80">
        <f t="shared" si="685"/>
        <v>1505.8055544790586</v>
      </c>
      <c r="BG629" s="80">
        <f t="shared" si="686"/>
        <v>910.24366743844348</v>
      </c>
      <c r="BH629" s="49">
        <f t="shared" si="687"/>
        <v>0</v>
      </c>
      <c r="BI629" s="79">
        <f t="shared" si="688"/>
        <v>-124500.83993234629</v>
      </c>
      <c r="BJ629" s="79">
        <f t="shared" si="724"/>
        <v>202516.58131451442</v>
      </c>
      <c r="BK629" s="44">
        <f t="shared" si="689"/>
        <v>0.62662823338831974</v>
      </c>
      <c r="BL629" s="79">
        <f t="shared" si="690"/>
        <v>28980.384473940667</v>
      </c>
      <c r="BM629" s="49">
        <f t="shared" si="691"/>
        <v>231496.9657884551</v>
      </c>
      <c r="BN629" s="44">
        <f t="shared" si="692"/>
        <v>0.85940083548231838</v>
      </c>
      <c r="BO629" s="49">
        <f t="shared" si="725"/>
        <v>37997.072779747679</v>
      </c>
      <c r="BP629" s="49">
        <f t="shared" si="726"/>
        <v>240513.65409426214</v>
      </c>
      <c r="BQ629" s="44">
        <f t="shared" si="693"/>
        <v>0.93182354612994711</v>
      </c>
      <c r="BS629" s="49">
        <f t="shared" si="694"/>
        <v>124500.83993234629</v>
      </c>
      <c r="BT629" s="49">
        <f t="shared" si="710"/>
        <v>139.55999800000001</v>
      </c>
      <c r="BU629" s="49">
        <f t="shared" si="711"/>
        <v>39.360000999999997</v>
      </c>
      <c r="BV629" s="49">
        <f t="shared" si="695"/>
        <v>0</v>
      </c>
      <c r="BW629" s="18">
        <f t="shared" si="727"/>
        <v>4108</v>
      </c>
      <c r="BX629" s="19">
        <f t="shared" si="696"/>
        <v>5.7798165137614682E-2</v>
      </c>
      <c r="BY629" s="49">
        <f t="shared" si="697"/>
        <v>0</v>
      </c>
      <c r="BZ629" s="19">
        <f t="shared" si="698"/>
        <v>0</v>
      </c>
      <c r="CA629" s="19">
        <f t="shared" si="699"/>
        <v>0</v>
      </c>
      <c r="CB629" s="19">
        <f t="shared" si="700"/>
        <v>0</v>
      </c>
      <c r="CC629" s="19">
        <f t="shared" si="701"/>
        <v>0</v>
      </c>
      <c r="CD629" s="19">
        <f t="shared" si="702"/>
        <v>0</v>
      </c>
      <c r="CE629" s="19">
        <f t="shared" si="703"/>
        <v>0</v>
      </c>
      <c r="CF629" s="49">
        <f t="shared" si="704"/>
        <v>0</v>
      </c>
      <c r="CG629" s="49">
        <f t="shared" si="705"/>
        <v>0</v>
      </c>
      <c r="CH629" s="49">
        <f t="shared" si="706"/>
        <v>0</v>
      </c>
      <c r="CI629" s="49">
        <f t="shared" si="707"/>
        <v>0</v>
      </c>
      <c r="CJ629" s="49">
        <f t="shared" si="708"/>
        <v>0</v>
      </c>
      <c r="CK629" s="49">
        <f t="shared" si="709"/>
        <v>0</v>
      </c>
    </row>
    <row r="630" spans="2:89" ht="12.75" customHeight="1" x14ac:dyDescent="0.2">
      <c r="B630" s="77">
        <v>43408</v>
      </c>
      <c r="C630" s="79">
        <v>142.16999799999999</v>
      </c>
      <c r="D630" s="79">
        <v>108.379997</v>
      </c>
      <c r="E630" s="79">
        <v>108.44000200000001</v>
      </c>
      <c r="F630" s="79">
        <v>130.570007</v>
      </c>
      <c r="G630" s="79">
        <v>40.169998</v>
      </c>
      <c r="H630" s="79">
        <v>38.450001</v>
      </c>
      <c r="I630" s="79"/>
      <c r="J630" s="78">
        <f>IF(inter=Weekly_2,J629+$C$5,IF(inter=Bi_weekly_2,J628+$C$5,IF(inter=Monthly_2,J626+$C$5,IF(inter=Quarterly_2,0,IF(inter=Yearly_2,0,IF(inter=None_2,0,0))))))</f>
        <v>196400</v>
      </c>
      <c r="K630" s="79">
        <f t="shared" si="728"/>
        <v>3020.4012366383977</v>
      </c>
      <c r="L630" s="79">
        <f t="shared" si="729"/>
        <v>1000.7974179709636</v>
      </c>
      <c r="M630" s="79">
        <f t="shared" si="730"/>
        <v>854.89952106602505</v>
      </c>
      <c r="N630" s="79">
        <f t="shared" si="731"/>
        <v>637.79169751138579</v>
      </c>
      <c r="O630" s="79">
        <f t="shared" si="732"/>
        <v>1435.1169904908747</v>
      </c>
      <c r="P630" s="79">
        <f t="shared" si="733"/>
        <v>726.48835525261165</v>
      </c>
      <c r="Q630" s="79"/>
      <c r="R630" s="80">
        <f t="shared" si="712"/>
        <v>-21.244997391351149</v>
      </c>
      <c r="S630" s="80">
        <f t="shared" si="713"/>
        <v>-9.2341524789944724</v>
      </c>
      <c r="T630" s="80">
        <f t="shared" si="714"/>
        <v>-7.8836177176207078</v>
      </c>
      <c r="U630" s="80">
        <f t="shared" si="715"/>
        <v>-4.8846723084834158</v>
      </c>
      <c r="V630" s="80">
        <f t="shared" si="716"/>
        <v>-35.726090663257558</v>
      </c>
      <c r="W630" s="80">
        <f t="shared" si="717"/>
        <v>-18.89436505483086</v>
      </c>
      <c r="X630" s="80">
        <f t="shared" si="669"/>
        <v>483.5056690371481</v>
      </c>
      <c r="Y630" s="80">
        <f t="shared" si="670"/>
        <v>181.21425118696027</v>
      </c>
      <c r="Z630" s="80">
        <f t="shared" si="671"/>
        <v>144.89118139263775</v>
      </c>
      <c r="AA630" s="80">
        <f t="shared" si="672"/>
        <v>105.29217479478271</v>
      </c>
      <c r="AB630" s="80">
        <f t="shared" si="673"/>
        <v>1222.3052637443498</v>
      </c>
      <c r="AC630" s="80">
        <f t="shared" si="674"/>
        <v>766.18983703017329</v>
      </c>
      <c r="AD630" s="80"/>
      <c r="AE630" s="80"/>
      <c r="AF630" s="80"/>
      <c r="AG630" s="80"/>
      <c r="AH630" s="80"/>
      <c r="AI630" s="80"/>
      <c r="AJ630" s="45">
        <f t="shared" si="663"/>
        <v>0</v>
      </c>
      <c r="AK630" s="45">
        <f t="shared" si="664"/>
        <v>0</v>
      </c>
      <c r="AL630" s="45">
        <f t="shared" si="665"/>
        <v>0</v>
      </c>
      <c r="AM630" s="45">
        <f t="shared" si="666"/>
        <v>0</v>
      </c>
      <c r="AN630" s="45">
        <f t="shared" si="667"/>
        <v>0</v>
      </c>
      <c r="AO630" s="45">
        <f t="shared" si="668"/>
        <v>0</v>
      </c>
      <c r="AP630" s="80">
        <f t="shared" si="718"/>
        <v>0</v>
      </c>
      <c r="AQ630" s="80">
        <f t="shared" si="719"/>
        <v>0</v>
      </c>
      <c r="AR630" s="80">
        <f t="shared" si="720"/>
        <v>0</v>
      </c>
      <c r="AS630" s="80">
        <f t="shared" si="721"/>
        <v>0</v>
      </c>
      <c r="AT630" s="80">
        <f t="shared" si="722"/>
        <v>0</v>
      </c>
      <c r="AU630" s="80">
        <f t="shared" si="723"/>
        <v>0</v>
      </c>
      <c r="AV630" s="80">
        <f t="shared" si="675"/>
        <v>92.702593171162576</v>
      </c>
      <c r="AW630" s="80">
        <f t="shared" si="676"/>
        <v>43.560566276787192</v>
      </c>
      <c r="AX630" s="80">
        <f t="shared" si="677"/>
        <v>27.050998294887254</v>
      </c>
      <c r="AY630" s="80">
        <f t="shared" si="678"/>
        <v>20.856498442486838</v>
      </c>
      <c r="AZ630" s="80">
        <f t="shared" si="679"/>
        <v>247.77420007145139</v>
      </c>
      <c r="BA630" s="80">
        <f t="shared" si="680"/>
        <v>125.15946535343936</v>
      </c>
      <c r="BB630" s="80">
        <f t="shared" si="681"/>
        <v>576.20826220831066</v>
      </c>
      <c r="BC630" s="80">
        <f t="shared" si="682"/>
        <v>224.77481746374747</v>
      </c>
      <c r="BD630" s="80">
        <f t="shared" si="683"/>
        <v>171.942179687525</v>
      </c>
      <c r="BE630" s="80">
        <f t="shared" si="684"/>
        <v>126.14867323726955</v>
      </c>
      <c r="BF630" s="80">
        <f t="shared" si="685"/>
        <v>1470.0794638158011</v>
      </c>
      <c r="BG630" s="80">
        <f t="shared" si="686"/>
        <v>891.34930238361267</v>
      </c>
      <c r="BH630" s="49">
        <f t="shared" si="687"/>
        <v>0</v>
      </c>
      <c r="BI630" s="79">
        <f t="shared" si="688"/>
        <v>-116825.34471341602</v>
      </c>
      <c r="BJ630" s="79">
        <f t="shared" si="724"/>
        <v>196400</v>
      </c>
      <c r="BK630" s="44">
        <f t="shared" si="689"/>
        <v>0.68114205425020047</v>
      </c>
      <c r="BL630" s="79">
        <f t="shared" si="690"/>
        <v>28980.384473940667</v>
      </c>
      <c r="BM630" s="49">
        <f t="shared" si="691"/>
        <v>225380.38447394068</v>
      </c>
      <c r="BN630" s="44">
        <f t="shared" si="692"/>
        <v>0.92920795591762007</v>
      </c>
      <c r="BO630" s="49">
        <f t="shared" si="725"/>
        <v>38322.735674287076</v>
      </c>
      <c r="BP630" s="49">
        <f t="shared" si="726"/>
        <v>234722.73567428708</v>
      </c>
      <c r="BQ630" s="44">
        <f t="shared" si="693"/>
        <v>1.0091764869180131</v>
      </c>
      <c r="BS630" s="49">
        <f t="shared" si="694"/>
        <v>116825.34471341602</v>
      </c>
      <c r="BT630" s="49">
        <f t="shared" si="710"/>
        <v>142.16999799999999</v>
      </c>
      <c r="BU630" s="49">
        <f t="shared" si="711"/>
        <v>38.450001</v>
      </c>
      <c r="BV630" s="49">
        <f t="shared" si="695"/>
        <v>-7675.4952189302585</v>
      </c>
      <c r="BW630" s="18">
        <f t="shared" si="727"/>
        <v>4115</v>
      </c>
      <c r="BX630" s="19">
        <f t="shared" si="696"/>
        <v>5.6192660550458719E-2</v>
      </c>
      <c r="BY630" s="49">
        <f t="shared" si="697"/>
        <v>-431.30649739401684</v>
      </c>
      <c r="BZ630" s="19">
        <f t="shared" si="698"/>
        <v>0</v>
      </c>
      <c r="CA630" s="19">
        <f t="shared" si="699"/>
        <v>0</v>
      </c>
      <c r="CB630" s="19">
        <f t="shared" si="700"/>
        <v>0</v>
      </c>
      <c r="CC630" s="19">
        <f t="shared" si="701"/>
        <v>0</v>
      </c>
      <c r="CD630" s="19">
        <f t="shared" si="702"/>
        <v>0</v>
      </c>
      <c r="CE630" s="19">
        <f t="shared" si="703"/>
        <v>0</v>
      </c>
      <c r="CF630" s="49">
        <f t="shared" si="704"/>
        <v>0</v>
      </c>
      <c r="CG630" s="49">
        <f t="shared" si="705"/>
        <v>0</v>
      </c>
      <c r="CH630" s="49">
        <f t="shared" si="706"/>
        <v>0</v>
      </c>
      <c r="CI630" s="49">
        <f t="shared" si="707"/>
        <v>0</v>
      </c>
      <c r="CJ630" s="49">
        <f t="shared" si="708"/>
        <v>0</v>
      </c>
      <c r="CK630" s="49">
        <f t="shared" si="709"/>
        <v>0</v>
      </c>
    </row>
    <row r="631" spans="2:89" ht="12.75" customHeight="1" x14ac:dyDescent="0.2">
      <c r="B631" s="77">
        <v>43415</v>
      </c>
      <c r="C631" s="79">
        <v>140.08000200000001</v>
      </c>
      <c r="D631" s="79">
        <v>107.550003</v>
      </c>
      <c r="E631" s="79">
        <v>107.5</v>
      </c>
      <c r="F631" s="79">
        <v>129.38000500000001</v>
      </c>
      <c r="G631" s="79">
        <v>39.840000000000003</v>
      </c>
      <c r="H631" s="79">
        <v>39.590000000000003</v>
      </c>
      <c r="I631" s="79"/>
      <c r="J631" s="78">
        <f>IF(inter=Weekly_2,J630+$C$5,IF(inter=Bi_weekly_2,0,IF(inter=Monthly_2,0,IF(inter=Quarterly_2,0,IF(inter=Yearly_2,0,IF(inter=None_2,0,0))))))</f>
        <v>0</v>
      </c>
      <c r="K631" s="79">
        <f t="shared" si="728"/>
        <v>0</v>
      </c>
      <c r="L631" s="79">
        <f t="shared" si="729"/>
        <v>0</v>
      </c>
      <c r="M631" s="79">
        <f t="shared" si="730"/>
        <v>0</v>
      </c>
      <c r="N631" s="79">
        <f t="shared" si="731"/>
        <v>0</v>
      </c>
      <c r="O631" s="79">
        <f t="shared" si="732"/>
        <v>0</v>
      </c>
      <c r="P631" s="79">
        <f t="shared" si="733"/>
        <v>0</v>
      </c>
      <c r="Q631" s="79"/>
      <c r="R631" s="80">
        <f t="shared" si="712"/>
        <v>0</v>
      </c>
      <c r="S631" s="80">
        <f t="shared" si="713"/>
        <v>0</v>
      </c>
      <c r="T631" s="80">
        <f t="shared" si="714"/>
        <v>0</v>
      </c>
      <c r="U631" s="80">
        <f t="shared" si="715"/>
        <v>0</v>
      </c>
      <c r="V631" s="80">
        <f t="shared" si="716"/>
        <v>0</v>
      </c>
      <c r="W631" s="80">
        <f t="shared" si="717"/>
        <v>0</v>
      </c>
      <c r="X631" s="80">
        <f t="shared" si="669"/>
        <v>483.5056690371481</v>
      </c>
      <c r="Y631" s="80">
        <f t="shared" si="670"/>
        <v>181.21425118696027</v>
      </c>
      <c r="Z631" s="80">
        <f t="shared" si="671"/>
        <v>144.89118139263775</v>
      </c>
      <c r="AA631" s="80">
        <f t="shared" si="672"/>
        <v>105.29217479478271</v>
      </c>
      <c r="AB631" s="80">
        <f t="shared" si="673"/>
        <v>1222.3052637443498</v>
      </c>
      <c r="AC631" s="80">
        <f t="shared" si="674"/>
        <v>766.18983703017329</v>
      </c>
      <c r="AD631" s="80"/>
      <c r="AE631" s="80"/>
      <c r="AF631" s="80"/>
      <c r="AG631" s="80"/>
      <c r="AH631" s="80"/>
      <c r="AI631" s="80"/>
      <c r="AJ631" s="45">
        <f t="shared" si="663"/>
        <v>0</v>
      </c>
      <c r="AK631" s="45">
        <f t="shared" si="664"/>
        <v>0</v>
      </c>
      <c r="AL631" s="45">
        <f t="shared" si="665"/>
        <v>0</v>
      </c>
      <c r="AM631" s="45">
        <f t="shared" si="666"/>
        <v>0</v>
      </c>
      <c r="AN631" s="45">
        <f t="shared" si="667"/>
        <v>0</v>
      </c>
      <c r="AO631" s="45">
        <f t="shared" si="668"/>
        <v>0</v>
      </c>
      <c r="AP631" s="80">
        <f t="shared" si="718"/>
        <v>0</v>
      </c>
      <c r="AQ631" s="80">
        <f t="shared" si="719"/>
        <v>0</v>
      </c>
      <c r="AR631" s="80">
        <f t="shared" si="720"/>
        <v>0</v>
      </c>
      <c r="AS631" s="80">
        <f t="shared" si="721"/>
        <v>0</v>
      </c>
      <c r="AT631" s="80">
        <f t="shared" si="722"/>
        <v>0</v>
      </c>
      <c r="AU631" s="80">
        <f t="shared" si="723"/>
        <v>0</v>
      </c>
      <c r="AV631" s="80">
        <f t="shared" si="675"/>
        <v>92.702593171162576</v>
      </c>
      <c r="AW631" s="80">
        <f t="shared" si="676"/>
        <v>43.560566276787192</v>
      </c>
      <c r="AX631" s="80">
        <f t="shared" si="677"/>
        <v>27.050998294887254</v>
      </c>
      <c r="AY631" s="80">
        <f t="shared" si="678"/>
        <v>20.856498442486838</v>
      </c>
      <c r="AZ631" s="80">
        <f t="shared" si="679"/>
        <v>247.77420007145139</v>
      </c>
      <c r="BA631" s="80">
        <f t="shared" si="680"/>
        <v>125.15946535343936</v>
      </c>
      <c r="BB631" s="80">
        <f t="shared" si="681"/>
        <v>576.20826220831066</v>
      </c>
      <c r="BC631" s="80">
        <f t="shared" si="682"/>
        <v>224.77481746374747</v>
      </c>
      <c r="BD631" s="80">
        <f t="shared" si="683"/>
        <v>171.942179687525</v>
      </c>
      <c r="BE631" s="80">
        <f t="shared" si="684"/>
        <v>126.14867323726955</v>
      </c>
      <c r="BF631" s="80">
        <f t="shared" si="685"/>
        <v>1470.0794638158011</v>
      </c>
      <c r="BG631" s="80">
        <f t="shared" si="686"/>
        <v>891.34930238361267</v>
      </c>
      <c r="BH631" s="49">
        <f t="shared" si="687"/>
        <v>0</v>
      </c>
      <c r="BI631" s="79">
        <f t="shared" si="688"/>
        <v>-116825.34471341602</v>
      </c>
      <c r="BJ631" s="79">
        <f t="shared" si="724"/>
        <v>195447.66980125327</v>
      </c>
      <c r="BK631" s="44">
        <f t="shared" si="689"/>
        <v>0.67299031114100694</v>
      </c>
      <c r="BL631" s="79">
        <f t="shared" si="690"/>
        <v>28980.384473940667</v>
      </c>
      <c r="BM631" s="49">
        <f t="shared" si="691"/>
        <v>224428.05427519395</v>
      </c>
      <c r="BN631" s="44">
        <f t="shared" si="692"/>
        <v>0.92105621280842676</v>
      </c>
      <c r="BO631" s="49">
        <f t="shared" si="725"/>
        <v>38103.502024232905</v>
      </c>
      <c r="BP631" s="49">
        <f t="shared" si="726"/>
        <v>233551.17182548618</v>
      </c>
      <c r="BQ631" s="44">
        <f t="shared" si="693"/>
        <v>0.99914815058675832</v>
      </c>
      <c r="BS631" s="49">
        <f t="shared" si="694"/>
        <v>116825.34471341602</v>
      </c>
      <c r="BT631" s="49">
        <f t="shared" si="710"/>
        <v>140.08000200000001</v>
      </c>
      <c r="BU631" s="49">
        <f t="shared" si="711"/>
        <v>39.590000000000003</v>
      </c>
      <c r="BV631" s="49">
        <f t="shared" si="695"/>
        <v>0</v>
      </c>
      <c r="BW631" s="18">
        <f t="shared" si="727"/>
        <v>4122</v>
      </c>
      <c r="BX631" s="19">
        <f t="shared" si="696"/>
        <v>5.4587155963302755E-2</v>
      </c>
      <c r="BY631" s="49">
        <f t="shared" si="697"/>
        <v>0</v>
      </c>
      <c r="BZ631" s="19">
        <f t="shared" si="698"/>
        <v>0</v>
      </c>
      <c r="CA631" s="19">
        <f t="shared" si="699"/>
        <v>0</v>
      </c>
      <c r="CB631" s="19">
        <f t="shared" si="700"/>
        <v>0</v>
      </c>
      <c r="CC631" s="19">
        <f t="shared" si="701"/>
        <v>0</v>
      </c>
      <c r="CD631" s="19">
        <f t="shared" si="702"/>
        <v>0</v>
      </c>
      <c r="CE631" s="19">
        <f t="shared" si="703"/>
        <v>0</v>
      </c>
      <c r="CF631" s="49">
        <f t="shared" si="704"/>
        <v>0</v>
      </c>
      <c r="CG631" s="49">
        <f t="shared" si="705"/>
        <v>0</v>
      </c>
      <c r="CH631" s="49">
        <f t="shared" si="706"/>
        <v>0</v>
      </c>
      <c r="CI631" s="49">
        <f t="shared" si="707"/>
        <v>0</v>
      </c>
      <c r="CJ631" s="49">
        <f t="shared" si="708"/>
        <v>0</v>
      </c>
      <c r="CK631" s="49">
        <f t="shared" si="709"/>
        <v>0</v>
      </c>
    </row>
    <row r="632" spans="2:89" ht="12.75" customHeight="1" x14ac:dyDescent="0.2">
      <c r="B632" s="77">
        <v>43422</v>
      </c>
      <c r="C632" s="79">
        <v>135.13000500000001</v>
      </c>
      <c r="D632" s="79">
        <v>104.30999799999999</v>
      </c>
      <c r="E632" s="79">
        <v>105.029999</v>
      </c>
      <c r="F632" s="79">
        <v>126.730003</v>
      </c>
      <c r="G632" s="79">
        <v>39.090000000000003</v>
      </c>
      <c r="H632" s="79">
        <v>38.590000000000003</v>
      </c>
      <c r="I632" s="79"/>
      <c r="J632" s="78">
        <f>IF(inter=Weekly_2,J631+$C$5,IF(inter=Bi_weekly_2,J630+$C$5,IF(inter=Monthly_2,0,IF(inter=Quarterly_2,0,IF(inter=Yearly_2,0,IF(inter=None_2,0,0))))))</f>
        <v>197000</v>
      </c>
      <c r="K632" s="79">
        <f t="shared" si="728"/>
        <v>-3613.8765254818281</v>
      </c>
      <c r="L632" s="79">
        <f t="shared" si="729"/>
        <v>-797.54182111667978</v>
      </c>
      <c r="M632" s="79">
        <f t="shared" si="730"/>
        <v>-542.07936322243768</v>
      </c>
      <c r="N632" s="79">
        <f t="shared" si="731"/>
        <v>-446.32237238066409</v>
      </c>
      <c r="O632" s="79">
        <f t="shared" si="732"/>
        <v>-1470.0872402333625</v>
      </c>
      <c r="P632" s="79">
        <f t="shared" si="733"/>
        <v>17.265810994391359</v>
      </c>
      <c r="Q632" s="79"/>
      <c r="R632" s="80">
        <f t="shared" si="712"/>
        <v>26.743701559707837</v>
      </c>
      <c r="S632" s="80">
        <f t="shared" si="713"/>
        <v>7.6458808974062089</v>
      </c>
      <c r="T632" s="80">
        <f t="shared" si="714"/>
        <v>5.1611860266935512</v>
      </c>
      <c r="U632" s="80">
        <f t="shared" si="715"/>
        <v>3.521836674940062</v>
      </c>
      <c r="V632" s="80">
        <f t="shared" si="716"/>
        <v>37.607757488702035</v>
      </c>
      <c r="W632" s="80">
        <f t="shared" si="717"/>
        <v>-0.44741671402931738</v>
      </c>
      <c r="X632" s="80">
        <f t="shared" si="669"/>
        <v>510.24937059685595</v>
      </c>
      <c r="Y632" s="80">
        <f t="shared" si="670"/>
        <v>188.86013208436648</v>
      </c>
      <c r="Z632" s="80">
        <f t="shared" si="671"/>
        <v>150.05236741933129</v>
      </c>
      <c r="AA632" s="80">
        <f t="shared" si="672"/>
        <v>108.81401146972277</v>
      </c>
      <c r="AB632" s="80">
        <f t="shared" si="673"/>
        <v>1259.9130212330517</v>
      </c>
      <c r="AC632" s="80">
        <f t="shared" si="674"/>
        <v>765.74242031614392</v>
      </c>
      <c r="AD632" s="80"/>
      <c r="AE632" s="80"/>
      <c r="AF632" s="80"/>
      <c r="AG632" s="80"/>
      <c r="AH632" s="80"/>
      <c r="AI632" s="80"/>
      <c r="AJ632" s="45">
        <f t="shared" si="663"/>
        <v>0</v>
      </c>
      <c r="AK632" s="45">
        <f t="shared" si="664"/>
        <v>0</v>
      </c>
      <c r="AL632" s="45">
        <f t="shared" si="665"/>
        <v>0</v>
      </c>
      <c r="AM632" s="45">
        <f t="shared" si="666"/>
        <v>0</v>
      </c>
      <c r="AN632" s="45">
        <f t="shared" si="667"/>
        <v>0</v>
      </c>
      <c r="AO632" s="45">
        <f t="shared" si="668"/>
        <v>0</v>
      </c>
      <c r="AP632" s="80">
        <f t="shared" si="718"/>
        <v>0</v>
      </c>
      <c r="AQ632" s="80">
        <f t="shared" si="719"/>
        <v>0</v>
      </c>
      <c r="AR632" s="80">
        <f t="shared" si="720"/>
        <v>0</v>
      </c>
      <c r="AS632" s="80">
        <f t="shared" si="721"/>
        <v>0</v>
      </c>
      <c r="AT632" s="80">
        <f t="shared" si="722"/>
        <v>0</v>
      </c>
      <c r="AU632" s="80">
        <f t="shared" si="723"/>
        <v>0</v>
      </c>
      <c r="AV632" s="80">
        <f t="shared" si="675"/>
        <v>92.702593171162576</v>
      </c>
      <c r="AW632" s="80">
        <f t="shared" si="676"/>
        <v>43.560566276787192</v>
      </c>
      <c r="AX632" s="80">
        <f t="shared" si="677"/>
        <v>27.050998294887254</v>
      </c>
      <c r="AY632" s="80">
        <f t="shared" si="678"/>
        <v>20.856498442486838</v>
      </c>
      <c r="AZ632" s="80">
        <f t="shared" si="679"/>
        <v>247.77420007145139</v>
      </c>
      <c r="BA632" s="80">
        <f t="shared" si="680"/>
        <v>125.15946535343936</v>
      </c>
      <c r="BB632" s="80">
        <f t="shared" si="681"/>
        <v>602.95196376801857</v>
      </c>
      <c r="BC632" s="80">
        <f t="shared" si="682"/>
        <v>232.42069836115368</v>
      </c>
      <c r="BD632" s="80">
        <f t="shared" si="683"/>
        <v>177.10336571421854</v>
      </c>
      <c r="BE632" s="80">
        <f t="shared" si="684"/>
        <v>129.67050991220961</v>
      </c>
      <c r="BF632" s="80">
        <f t="shared" si="685"/>
        <v>1507.6872213045031</v>
      </c>
      <c r="BG632" s="80">
        <f t="shared" si="686"/>
        <v>890.90188566958329</v>
      </c>
      <c r="BH632" s="49">
        <f t="shared" si="687"/>
        <v>0</v>
      </c>
      <c r="BI632" s="79">
        <f t="shared" si="688"/>
        <v>-123677.98622485661</v>
      </c>
      <c r="BJ632" s="79">
        <f t="shared" si="724"/>
        <v>197000</v>
      </c>
      <c r="BK632" s="44">
        <f t="shared" si="689"/>
        <v>0.59284611605688675</v>
      </c>
      <c r="BL632" s="79">
        <f t="shared" si="690"/>
        <v>28980.384473940667</v>
      </c>
      <c r="BM632" s="49">
        <f t="shared" si="691"/>
        <v>225980.38447394068</v>
      </c>
      <c r="BN632" s="44">
        <f t="shared" si="692"/>
        <v>0.8271673995652713</v>
      </c>
      <c r="BO632" s="49">
        <f t="shared" si="725"/>
        <v>37070.412142771827</v>
      </c>
      <c r="BP632" s="49">
        <f t="shared" si="726"/>
        <v>234070.41214277182</v>
      </c>
      <c r="BQ632" s="44">
        <f t="shared" si="693"/>
        <v>0.89257942571293847</v>
      </c>
      <c r="BS632" s="49">
        <f t="shared" si="694"/>
        <v>123677.98622485661</v>
      </c>
      <c r="BT632" s="49">
        <f t="shared" si="710"/>
        <v>135.13000500000001</v>
      </c>
      <c r="BU632" s="49">
        <f t="shared" si="711"/>
        <v>38.590000000000003</v>
      </c>
      <c r="BV632" s="49">
        <f t="shared" si="695"/>
        <v>6852.6415114405809</v>
      </c>
      <c r="BW632" s="18">
        <f t="shared" si="727"/>
        <v>4129</v>
      </c>
      <c r="BX632" s="19">
        <f t="shared" si="696"/>
        <v>5.2981651376146792E-2</v>
      </c>
      <c r="BY632" s="49">
        <f t="shared" si="697"/>
        <v>363.0642635648565</v>
      </c>
      <c r="BZ632" s="19">
        <f t="shared" si="698"/>
        <v>26.743701559707837</v>
      </c>
      <c r="CA632" s="19">
        <f t="shared" si="699"/>
        <v>7.6458808974062089</v>
      </c>
      <c r="CB632" s="19">
        <f t="shared" si="700"/>
        <v>5.1611860266935512</v>
      </c>
      <c r="CC632" s="19">
        <f t="shared" si="701"/>
        <v>3.521836674940062</v>
      </c>
      <c r="CD632" s="19">
        <f t="shared" si="702"/>
        <v>37.607757488702035</v>
      </c>
      <c r="CE632" s="19">
        <f t="shared" si="703"/>
        <v>0</v>
      </c>
      <c r="CF632" s="49">
        <f t="shared" si="704"/>
        <v>-3613.8765254818281</v>
      </c>
      <c r="CG632" s="49">
        <f t="shared" si="705"/>
        <v>-797.54182111667978</v>
      </c>
      <c r="CH632" s="49">
        <f t="shared" si="706"/>
        <v>-542.07936322243768</v>
      </c>
      <c r="CI632" s="49">
        <f t="shared" si="707"/>
        <v>-446.32237238066409</v>
      </c>
      <c r="CJ632" s="49">
        <f t="shared" si="708"/>
        <v>-1470.0872402333625</v>
      </c>
      <c r="CK632" s="49">
        <f t="shared" si="709"/>
        <v>0</v>
      </c>
    </row>
    <row r="633" spans="2:89" ht="12.75" customHeight="1" x14ac:dyDescent="0.2">
      <c r="B633" s="77">
        <v>43429</v>
      </c>
      <c r="C633" s="79">
        <v>141.35000600000001</v>
      </c>
      <c r="D633" s="79">
        <v>108.610001</v>
      </c>
      <c r="E633" s="79">
        <v>107.519997</v>
      </c>
      <c r="F633" s="79">
        <v>129.729996</v>
      </c>
      <c r="G633" s="79">
        <v>39.75</v>
      </c>
      <c r="H633" s="79">
        <v>39.689999</v>
      </c>
      <c r="I633" s="79"/>
      <c r="J633" s="78">
        <f>IF(inter=Weekly_2,J632+$C$5,IF(inter=Bi_weekly_2,0,IF(inter=Monthly_2,0,IF(inter=Quarterly_2,0,IF(inter=Yearly_2,0,IF(inter=None_2,0,0))))))</f>
        <v>0</v>
      </c>
      <c r="K633" s="79">
        <f t="shared" si="728"/>
        <v>0</v>
      </c>
      <c r="L633" s="79">
        <f t="shared" si="729"/>
        <v>0</v>
      </c>
      <c r="M633" s="79">
        <f t="shared" si="730"/>
        <v>0</v>
      </c>
      <c r="N633" s="79">
        <f t="shared" si="731"/>
        <v>0</v>
      </c>
      <c r="O633" s="79">
        <f t="shared" si="732"/>
        <v>0</v>
      </c>
      <c r="P633" s="79">
        <f t="shared" si="733"/>
        <v>0</v>
      </c>
      <c r="Q633" s="79"/>
      <c r="R633" s="80">
        <f t="shared" si="712"/>
        <v>0</v>
      </c>
      <c r="S633" s="80">
        <f t="shared" si="713"/>
        <v>0</v>
      </c>
      <c r="T633" s="80">
        <f t="shared" si="714"/>
        <v>0</v>
      </c>
      <c r="U633" s="80">
        <f t="shared" si="715"/>
        <v>0</v>
      </c>
      <c r="V633" s="80">
        <f t="shared" si="716"/>
        <v>0</v>
      </c>
      <c r="W633" s="80">
        <f t="shared" si="717"/>
        <v>0</v>
      </c>
      <c r="X633" s="80">
        <f t="shared" si="669"/>
        <v>510.24937059685595</v>
      </c>
      <c r="Y633" s="80">
        <f t="shared" si="670"/>
        <v>188.86013208436648</v>
      </c>
      <c r="Z633" s="80">
        <f t="shared" si="671"/>
        <v>150.05236741933129</v>
      </c>
      <c r="AA633" s="80">
        <f t="shared" si="672"/>
        <v>108.81401146972277</v>
      </c>
      <c r="AB633" s="80">
        <f t="shared" si="673"/>
        <v>1259.9130212330517</v>
      </c>
      <c r="AC633" s="80">
        <f t="shared" si="674"/>
        <v>765.74242031614392</v>
      </c>
      <c r="AD633" s="80"/>
      <c r="AE633" s="80"/>
      <c r="AF633" s="80"/>
      <c r="AG633" s="80"/>
      <c r="AH633" s="80"/>
      <c r="AI633" s="80"/>
      <c r="AJ633" s="45">
        <f t="shared" si="663"/>
        <v>0</v>
      </c>
      <c r="AK633" s="45">
        <f t="shared" si="664"/>
        <v>0</v>
      </c>
      <c r="AL633" s="45">
        <f t="shared" si="665"/>
        <v>0</v>
      </c>
      <c r="AM633" s="45">
        <f t="shared" si="666"/>
        <v>0</v>
      </c>
      <c r="AN633" s="45">
        <f t="shared" si="667"/>
        <v>0</v>
      </c>
      <c r="AO633" s="45">
        <f t="shared" si="668"/>
        <v>0</v>
      </c>
      <c r="AP633" s="80">
        <f t="shared" si="718"/>
        <v>0</v>
      </c>
      <c r="AQ633" s="80">
        <f t="shared" si="719"/>
        <v>0</v>
      </c>
      <c r="AR633" s="80">
        <f t="shared" si="720"/>
        <v>0</v>
      </c>
      <c r="AS633" s="80">
        <f t="shared" si="721"/>
        <v>0</v>
      </c>
      <c r="AT633" s="80">
        <f t="shared" si="722"/>
        <v>0</v>
      </c>
      <c r="AU633" s="80">
        <f t="shared" si="723"/>
        <v>0</v>
      </c>
      <c r="AV633" s="80">
        <f t="shared" si="675"/>
        <v>92.702593171162576</v>
      </c>
      <c r="AW633" s="80">
        <f t="shared" si="676"/>
        <v>43.560566276787192</v>
      </c>
      <c r="AX633" s="80">
        <f t="shared" si="677"/>
        <v>27.050998294887254</v>
      </c>
      <c r="AY633" s="80">
        <f t="shared" si="678"/>
        <v>20.856498442486838</v>
      </c>
      <c r="AZ633" s="80">
        <f t="shared" si="679"/>
        <v>247.77420007145139</v>
      </c>
      <c r="BA633" s="80">
        <f t="shared" si="680"/>
        <v>125.15946535343936</v>
      </c>
      <c r="BB633" s="80">
        <f t="shared" si="681"/>
        <v>602.95196376801857</v>
      </c>
      <c r="BC633" s="80">
        <f t="shared" si="682"/>
        <v>232.42069836115368</v>
      </c>
      <c r="BD633" s="80">
        <f t="shared" si="683"/>
        <v>177.10336571421854</v>
      </c>
      <c r="BE633" s="80">
        <f t="shared" si="684"/>
        <v>129.67050991220961</v>
      </c>
      <c r="BF633" s="80">
        <f t="shared" si="685"/>
        <v>1507.6872213045031</v>
      </c>
      <c r="BG633" s="80">
        <f t="shared" si="686"/>
        <v>890.90188566958329</v>
      </c>
      <c r="BH633" s="49">
        <f t="shared" si="687"/>
        <v>0</v>
      </c>
      <c r="BI633" s="79">
        <f t="shared" si="688"/>
        <v>-123677.98622485661</v>
      </c>
      <c r="BJ633" s="79">
        <f t="shared" si="724"/>
        <v>203359.78058800462</v>
      </c>
      <c r="BK633" s="44">
        <f t="shared" si="689"/>
        <v>0.64426820645575567</v>
      </c>
      <c r="BL633" s="79">
        <f t="shared" si="690"/>
        <v>28980.384473940667</v>
      </c>
      <c r="BM633" s="49">
        <f t="shared" si="691"/>
        <v>232340.1650619453</v>
      </c>
      <c r="BN633" s="44">
        <f t="shared" si="692"/>
        <v>0.87858948996413999</v>
      </c>
      <c r="BO633" s="49">
        <f t="shared" si="725"/>
        <v>38265.465470431664</v>
      </c>
      <c r="BP633" s="49">
        <f t="shared" si="726"/>
        <v>241625.24605843629</v>
      </c>
      <c r="BQ633" s="44">
        <f t="shared" si="693"/>
        <v>0.95366413566228347</v>
      </c>
      <c r="BS633" s="49">
        <f t="shared" si="694"/>
        <v>123677.98622485661</v>
      </c>
      <c r="BT633" s="49">
        <f t="shared" si="710"/>
        <v>141.35000600000001</v>
      </c>
      <c r="BU633" s="49">
        <f t="shared" si="711"/>
        <v>39.689999</v>
      </c>
      <c r="BV633" s="49">
        <f t="shared" si="695"/>
        <v>0</v>
      </c>
      <c r="BW633" s="18">
        <f t="shared" si="727"/>
        <v>4136</v>
      </c>
      <c r="BX633" s="19">
        <f t="shared" si="696"/>
        <v>5.1376146788990829E-2</v>
      </c>
      <c r="BY633" s="49">
        <f t="shared" si="697"/>
        <v>0</v>
      </c>
      <c r="BZ633" s="19">
        <f t="shared" si="698"/>
        <v>0</v>
      </c>
      <c r="CA633" s="19">
        <f t="shared" si="699"/>
        <v>0</v>
      </c>
      <c r="CB633" s="19">
        <f t="shared" si="700"/>
        <v>0</v>
      </c>
      <c r="CC633" s="19">
        <f t="shared" si="701"/>
        <v>0</v>
      </c>
      <c r="CD633" s="19">
        <f t="shared" si="702"/>
        <v>0</v>
      </c>
      <c r="CE633" s="19">
        <f t="shared" si="703"/>
        <v>0</v>
      </c>
      <c r="CF633" s="49">
        <f t="shared" si="704"/>
        <v>0</v>
      </c>
      <c r="CG633" s="49">
        <f t="shared" si="705"/>
        <v>0</v>
      </c>
      <c r="CH633" s="49">
        <f t="shared" si="706"/>
        <v>0</v>
      </c>
      <c r="CI633" s="49">
        <f t="shared" si="707"/>
        <v>0</v>
      </c>
      <c r="CJ633" s="49">
        <f t="shared" si="708"/>
        <v>0</v>
      </c>
      <c r="CK633" s="49">
        <f t="shared" si="709"/>
        <v>0</v>
      </c>
    </row>
    <row r="634" spans="2:89" ht="12.75" customHeight="1" x14ac:dyDescent="0.2">
      <c r="B634" s="77">
        <v>43436</v>
      </c>
      <c r="C634" s="79">
        <v>134.89999399999999</v>
      </c>
      <c r="D634" s="79">
        <v>103.69000200000001</v>
      </c>
      <c r="E634" s="79">
        <v>103.110001</v>
      </c>
      <c r="F634" s="79">
        <v>123.510002</v>
      </c>
      <c r="G634" s="79">
        <v>38.479999999999997</v>
      </c>
      <c r="H634" s="79">
        <v>38.619999</v>
      </c>
      <c r="I634" s="79"/>
      <c r="J634" s="78">
        <f>IF(inter=Weekly_2,J633+$C$5,IF(inter=Bi_weekly_2,J632+$C$5,IF(inter=Monthly_2,J630+$C$5,IF(inter=Quarterly_2,0,IF(inter=Yearly_2,0,IF(inter=None_2,0,0))))))</f>
        <v>197600</v>
      </c>
      <c r="K634" s="79">
        <f t="shared" si="728"/>
        <v>-327.36296798035619</v>
      </c>
      <c r="L634" s="79">
        <f t="shared" si="729"/>
        <v>-177.09252645177548</v>
      </c>
      <c r="M634" s="79">
        <f t="shared" si="730"/>
        <v>-336.10024534038348</v>
      </c>
      <c r="N634" s="79">
        <f t="shared" si="731"/>
        <v>-392.3812257465197</v>
      </c>
      <c r="O634" s="79">
        <f t="shared" si="732"/>
        <v>-918.54694295217632</v>
      </c>
      <c r="P634" s="79">
        <f t="shared" si="733"/>
        <v>-67.028493132940639</v>
      </c>
      <c r="Q634" s="79"/>
      <c r="R634" s="80">
        <f t="shared" si="712"/>
        <v>2.426708543666475</v>
      </c>
      <c r="S634" s="80">
        <f t="shared" si="713"/>
        <v>1.707903587963818</v>
      </c>
      <c r="T634" s="80">
        <f t="shared" si="714"/>
        <v>3.2596279903089469</v>
      </c>
      <c r="U634" s="80">
        <f t="shared" si="715"/>
        <v>3.1769186251532866</v>
      </c>
      <c r="V634" s="80">
        <f t="shared" si="716"/>
        <v>23.870762550732234</v>
      </c>
      <c r="W634" s="80">
        <f t="shared" si="717"/>
        <v>1.7355902348143675</v>
      </c>
      <c r="X634" s="80">
        <f t="shared" si="669"/>
        <v>512.67607914052246</v>
      </c>
      <c r="Y634" s="80">
        <f t="shared" si="670"/>
        <v>190.5680356723303</v>
      </c>
      <c r="Z634" s="80">
        <f t="shared" si="671"/>
        <v>153.31199540964025</v>
      </c>
      <c r="AA634" s="80">
        <f t="shared" si="672"/>
        <v>111.99093009487606</v>
      </c>
      <c r="AB634" s="80">
        <f t="shared" si="673"/>
        <v>1283.783783783784</v>
      </c>
      <c r="AC634" s="80">
        <f t="shared" si="674"/>
        <v>767.47801055095829</v>
      </c>
      <c r="AD634" s="80"/>
      <c r="AE634" s="80"/>
      <c r="AF634" s="80"/>
      <c r="AG634" s="80"/>
      <c r="AH634" s="80"/>
      <c r="AI634" s="80"/>
      <c r="AJ634" s="45">
        <f t="shared" si="663"/>
        <v>0</v>
      </c>
      <c r="AK634" s="45">
        <f t="shared" si="664"/>
        <v>0</v>
      </c>
      <c r="AL634" s="45">
        <f t="shared" si="665"/>
        <v>0</v>
      </c>
      <c r="AM634" s="45">
        <f t="shared" si="666"/>
        <v>0</v>
      </c>
      <c r="AN634" s="45">
        <f t="shared" si="667"/>
        <v>0</v>
      </c>
      <c r="AO634" s="45">
        <f t="shared" si="668"/>
        <v>0</v>
      </c>
      <c r="AP634" s="80">
        <f t="shared" si="718"/>
        <v>0</v>
      </c>
      <c r="AQ634" s="80">
        <f t="shared" si="719"/>
        <v>0</v>
      </c>
      <c r="AR634" s="80">
        <f t="shared" si="720"/>
        <v>0</v>
      </c>
      <c r="AS634" s="80">
        <f t="shared" si="721"/>
        <v>0</v>
      </c>
      <c r="AT634" s="80">
        <f t="shared" si="722"/>
        <v>0</v>
      </c>
      <c r="AU634" s="80">
        <f t="shared" si="723"/>
        <v>0</v>
      </c>
      <c r="AV634" s="80">
        <f t="shared" si="675"/>
        <v>92.702593171162576</v>
      </c>
      <c r="AW634" s="80">
        <f t="shared" si="676"/>
        <v>43.560566276787192</v>
      </c>
      <c r="AX634" s="80">
        <f t="shared" si="677"/>
        <v>27.050998294887254</v>
      </c>
      <c r="AY634" s="80">
        <f t="shared" si="678"/>
        <v>20.856498442486838</v>
      </c>
      <c r="AZ634" s="80">
        <f t="shared" si="679"/>
        <v>247.77420007145139</v>
      </c>
      <c r="BA634" s="80">
        <f t="shared" si="680"/>
        <v>125.15946535343936</v>
      </c>
      <c r="BB634" s="80">
        <f t="shared" si="681"/>
        <v>605.37867231168502</v>
      </c>
      <c r="BC634" s="80">
        <f t="shared" si="682"/>
        <v>234.1286019491175</v>
      </c>
      <c r="BD634" s="80">
        <f t="shared" si="683"/>
        <v>180.3629937045275</v>
      </c>
      <c r="BE634" s="80">
        <f t="shared" si="684"/>
        <v>132.8474285373629</v>
      </c>
      <c r="BF634" s="80">
        <f t="shared" si="685"/>
        <v>1531.5579838552353</v>
      </c>
      <c r="BG634" s="80">
        <f t="shared" si="686"/>
        <v>892.63747590439766</v>
      </c>
      <c r="BH634" s="49">
        <f t="shared" si="687"/>
        <v>0</v>
      </c>
      <c r="BI634" s="79">
        <f t="shared" si="688"/>
        <v>-125896.49862646074</v>
      </c>
      <c r="BJ634" s="79">
        <f t="shared" si="724"/>
        <v>197600</v>
      </c>
      <c r="BK634" s="44">
        <f t="shared" si="689"/>
        <v>0.56954325303586106</v>
      </c>
      <c r="BL634" s="79">
        <f t="shared" si="690"/>
        <v>28980.384473940667</v>
      </c>
      <c r="BM634" s="49">
        <f t="shared" si="691"/>
        <v>226580.38447394068</v>
      </c>
      <c r="BN634" s="44">
        <f t="shared" si="692"/>
        <v>0.79973539332664445</v>
      </c>
      <c r="BO634" s="49">
        <f t="shared" si="725"/>
        <v>36755.598738056651</v>
      </c>
      <c r="BP634" s="49">
        <f t="shared" si="726"/>
        <v>234355.59873805667</v>
      </c>
      <c r="BQ634" s="44">
        <f t="shared" si="693"/>
        <v>0.86149417414218821</v>
      </c>
      <c r="BS634" s="49">
        <f t="shared" si="694"/>
        <v>125896.49862646074</v>
      </c>
      <c r="BT634" s="49">
        <f t="shared" si="710"/>
        <v>134.89999399999999</v>
      </c>
      <c r="BU634" s="49">
        <f t="shared" si="711"/>
        <v>38.619999</v>
      </c>
      <c r="BV634" s="49">
        <f t="shared" si="695"/>
        <v>2218.5124016041518</v>
      </c>
      <c r="BW634" s="18">
        <f t="shared" si="727"/>
        <v>4143</v>
      </c>
      <c r="BX634" s="19">
        <f t="shared" si="696"/>
        <v>4.9770642201834865E-2</v>
      </c>
      <c r="BY634" s="49">
        <f t="shared" si="697"/>
        <v>110.41678696057362</v>
      </c>
      <c r="BZ634" s="19">
        <f t="shared" si="698"/>
        <v>2.426708543666475</v>
      </c>
      <c r="CA634" s="19">
        <f t="shared" si="699"/>
        <v>1.707903587963818</v>
      </c>
      <c r="CB634" s="19">
        <f t="shared" si="700"/>
        <v>3.2596279903089469</v>
      </c>
      <c r="CC634" s="19">
        <f t="shared" si="701"/>
        <v>3.1769186251532866</v>
      </c>
      <c r="CD634" s="19">
        <f t="shared" si="702"/>
        <v>23.870762550732234</v>
      </c>
      <c r="CE634" s="19">
        <f t="shared" si="703"/>
        <v>1.7355902348143675</v>
      </c>
      <c r="CF634" s="49">
        <f t="shared" si="704"/>
        <v>-327.36296798035619</v>
      </c>
      <c r="CG634" s="49">
        <f t="shared" si="705"/>
        <v>-177.09252645177548</v>
      </c>
      <c r="CH634" s="49">
        <f t="shared" si="706"/>
        <v>-336.10024534038348</v>
      </c>
      <c r="CI634" s="49">
        <f t="shared" si="707"/>
        <v>-392.3812257465197</v>
      </c>
      <c r="CJ634" s="49">
        <f t="shared" si="708"/>
        <v>-918.54694295217632</v>
      </c>
      <c r="CK634" s="49">
        <f t="shared" si="709"/>
        <v>-67.028493132940639</v>
      </c>
    </row>
    <row r="635" spans="2:89" ht="12.75" customHeight="1" x14ac:dyDescent="0.2">
      <c r="B635" s="77">
        <v>43443</v>
      </c>
      <c r="C635" s="79">
        <v>133.11999499999999</v>
      </c>
      <c r="D635" s="79">
        <v>102.089996</v>
      </c>
      <c r="E635" s="79">
        <v>100.68</v>
      </c>
      <c r="F635" s="79">
        <v>120.18</v>
      </c>
      <c r="G635" s="79">
        <v>38.189999</v>
      </c>
      <c r="H635" s="79">
        <v>38.709999000000003</v>
      </c>
      <c r="I635" s="79"/>
      <c r="J635" s="78">
        <f>IF(inter=Weekly_2,J634+$C$5,IF(inter=Bi_weekly_2,0,IF(inter=Monthly_2,0,IF(inter=Quarterly_2,0,IF(inter=Yearly_2,0,IF(inter=None_2,0,0))))))</f>
        <v>0</v>
      </c>
      <c r="K635" s="79">
        <f t="shared" si="728"/>
        <v>0</v>
      </c>
      <c r="L635" s="79">
        <f t="shared" si="729"/>
        <v>0</v>
      </c>
      <c r="M635" s="79">
        <f t="shared" si="730"/>
        <v>0</v>
      </c>
      <c r="N635" s="79">
        <f t="shared" si="731"/>
        <v>0</v>
      </c>
      <c r="O635" s="79">
        <f t="shared" si="732"/>
        <v>0</v>
      </c>
      <c r="P635" s="79">
        <f t="shared" si="733"/>
        <v>0</v>
      </c>
      <c r="Q635" s="79"/>
      <c r="R635" s="80">
        <f t="shared" si="712"/>
        <v>0</v>
      </c>
      <c r="S635" s="80">
        <f t="shared" si="713"/>
        <v>0</v>
      </c>
      <c r="T635" s="80">
        <f t="shared" si="714"/>
        <v>0</v>
      </c>
      <c r="U635" s="80">
        <f t="shared" si="715"/>
        <v>0</v>
      </c>
      <c r="V635" s="80">
        <f t="shared" si="716"/>
        <v>0</v>
      </c>
      <c r="W635" s="80">
        <f t="shared" si="717"/>
        <v>0</v>
      </c>
      <c r="X635" s="80">
        <f t="shared" si="669"/>
        <v>512.67607914052246</v>
      </c>
      <c r="Y635" s="80">
        <f t="shared" si="670"/>
        <v>190.5680356723303</v>
      </c>
      <c r="Z635" s="80">
        <f t="shared" si="671"/>
        <v>153.31199540964025</v>
      </c>
      <c r="AA635" s="80">
        <f t="shared" si="672"/>
        <v>111.99093009487606</v>
      </c>
      <c r="AB635" s="80">
        <f t="shared" si="673"/>
        <v>1283.783783783784</v>
      </c>
      <c r="AC635" s="80">
        <f t="shared" si="674"/>
        <v>767.47801055095829</v>
      </c>
      <c r="AD635" s="80"/>
      <c r="AE635" s="80"/>
      <c r="AF635" s="80"/>
      <c r="AG635" s="80"/>
      <c r="AH635" s="80"/>
      <c r="AI635" s="80"/>
      <c r="AJ635" s="45">
        <f t="shared" si="663"/>
        <v>0</v>
      </c>
      <c r="AK635" s="45">
        <f t="shared" si="664"/>
        <v>0</v>
      </c>
      <c r="AL635" s="45">
        <f t="shared" si="665"/>
        <v>0</v>
      </c>
      <c r="AM635" s="45">
        <f t="shared" si="666"/>
        <v>0</v>
      </c>
      <c r="AN635" s="45">
        <f t="shared" si="667"/>
        <v>0</v>
      </c>
      <c r="AO635" s="45">
        <f t="shared" si="668"/>
        <v>0</v>
      </c>
      <c r="AP635" s="80">
        <f t="shared" si="718"/>
        <v>0</v>
      </c>
      <c r="AQ635" s="80">
        <f t="shared" si="719"/>
        <v>0</v>
      </c>
      <c r="AR635" s="80">
        <f t="shared" si="720"/>
        <v>0</v>
      </c>
      <c r="AS635" s="80">
        <f t="shared" si="721"/>
        <v>0</v>
      </c>
      <c r="AT635" s="80">
        <f t="shared" si="722"/>
        <v>0</v>
      </c>
      <c r="AU635" s="80">
        <f t="shared" si="723"/>
        <v>0</v>
      </c>
      <c r="AV635" s="80">
        <f t="shared" si="675"/>
        <v>92.702593171162576</v>
      </c>
      <c r="AW635" s="80">
        <f t="shared" si="676"/>
        <v>43.560566276787192</v>
      </c>
      <c r="AX635" s="80">
        <f t="shared" si="677"/>
        <v>27.050998294887254</v>
      </c>
      <c r="AY635" s="80">
        <f t="shared" si="678"/>
        <v>20.856498442486838</v>
      </c>
      <c r="AZ635" s="80">
        <f t="shared" si="679"/>
        <v>247.77420007145139</v>
      </c>
      <c r="BA635" s="80">
        <f t="shared" si="680"/>
        <v>125.15946535343936</v>
      </c>
      <c r="BB635" s="80">
        <f t="shared" si="681"/>
        <v>605.37867231168502</v>
      </c>
      <c r="BC635" s="80">
        <f t="shared" si="682"/>
        <v>234.1286019491175</v>
      </c>
      <c r="BD635" s="80">
        <f t="shared" si="683"/>
        <v>180.3629937045275</v>
      </c>
      <c r="BE635" s="80">
        <f t="shared" si="684"/>
        <v>132.8474285373629</v>
      </c>
      <c r="BF635" s="80">
        <f t="shared" si="685"/>
        <v>1531.5579838552353</v>
      </c>
      <c r="BG635" s="80">
        <f t="shared" si="686"/>
        <v>892.63747590439766</v>
      </c>
      <c r="BH635" s="49">
        <f t="shared" si="687"/>
        <v>0</v>
      </c>
      <c r="BI635" s="79">
        <f t="shared" si="688"/>
        <v>-125896.49862646074</v>
      </c>
      <c r="BJ635" s="79">
        <f t="shared" si="724"/>
        <v>195333.82320783529</v>
      </c>
      <c r="BK635" s="44">
        <f t="shared" si="689"/>
        <v>0.55154293676901589</v>
      </c>
      <c r="BL635" s="79">
        <f t="shared" si="690"/>
        <v>28980.384473940667</v>
      </c>
      <c r="BM635" s="49">
        <f t="shared" si="691"/>
        <v>224314.20768177597</v>
      </c>
      <c r="BN635" s="44">
        <f t="shared" si="692"/>
        <v>0.7817350770597995</v>
      </c>
      <c r="BO635" s="49">
        <f t="shared" si="725"/>
        <v>36325.114499161151</v>
      </c>
      <c r="BP635" s="49">
        <f t="shared" si="726"/>
        <v>231658.93770699645</v>
      </c>
      <c r="BQ635" s="44">
        <f t="shared" si="693"/>
        <v>0.84007450750744472</v>
      </c>
      <c r="BS635" s="49">
        <f t="shared" si="694"/>
        <v>125896.49862646074</v>
      </c>
      <c r="BT635" s="49">
        <f t="shared" si="710"/>
        <v>133.11999499999999</v>
      </c>
      <c r="BU635" s="49">
        <f t="shared" si="711"/>
        <v>38.709999000000003</v>
      </c>
      <c r="BV635" s="49">
        <f t="shared" si="695"/>
        <v>0</v>
      </c>
      <c r="BW635" s="18">
        <f t="shared" si="727"/>
        <v>4150</v>
      </c>
      <c r="BX635" s="19">
        <f t="shared" si="696"/>
        <v>4.8165137614678902E-2</v>
      </c>
      <c r="BY635" s="49">
        <f t="shared" si="697"/>
        <v>0</v>
      </c>
      <c r="BZ635" s="19">
        <f t="shared" si="698"/>
        <v>0</v>
      </c>
      <c r="CA635" s="19">
        <f t="shared" si="699"/>
        <v>0</v>
      </c>
      <c r="CB635" s="19">
        <f t="shared" si="700"/>
        <v>0</v>
      </c>
      <c r="CC635" s="19">
        <f t="shared" si="701"/>
        <v>0</v>
      </c>
      <c r="CD635" s="19">
        <f t="shared" si="702"/>
        <v>0</v>
      </c>
      <c r="CE635" s="19">
        <f t="shared" si="703"/>
        <v>0</v>
      </c>
      <c r="CF635" s="49">
        <f t="shared" si="704"/>
        <v>0</v>
      </c>
      <c r="CG635" s="49">
        <f t="shared" si="705"/>
        <v>0</v>
      </c>
      <c r="CH635" s="49">
        <f t="shared" si="706"/>
        <v>0</v>
      </c>
      <c r="CI635" s="49">
        <f t="shared" si="707"/>
        <v>0</v>
      </c>
      <c r="CJ635" s="49">
        <f t="shared" si="708"/>
        <v>0</v>
      </c>
      <c r="CK635" s="49">
        <f t="shared" si="709"/>
        <v>0</v>
      </c>
    </row>
    <row r="636" spans="2:89" ht="12.75" customHeight="1" x14ac:dyDescent="0.2">
      <c r="B636" s="77">
        <v>43450</v>
      </c>
      <c r="C636" s="79">
        <v>123.489998</v>
      </c>
      <c r="D636" s="79">
        <v>95.720000999999996</v>
      </c>
      <c r="E636" s="79">
        <v>93.690002000000007</v>
      </c>
      <c r="F636" s="79">
        <v>111.519997</v>
      </c>
      <c r="G636" s="79">
        <v>36.619999</v>
      </c>
      <c r="H636" s="79">
        <v>37.869999</v>
      </c>
      <c r="I636" s="79"/>
      <c r="J636" s="78">
        <f>IF(inter=Weekly_2,J635+$C$5,IF(inter=Bi_weekly_2,J634+$C$5,IF(inter=Monthly_2,0,IF(inter=Quarterly_2,0,IF(inter=Yearly_2,0,IF(inter=None_2,0,0))))))</f>
        <v>198200</v>
      </c>
      <c r="K636" s="79">
        <f t="shared" si="728"/>
        <v>-6059.6320122890393</v>
      </c>
      <c r="L636" s="79">
        <f t="shared" si="729"/>
        <v>-1578.8274348765081</v>
      </c>
      <c r="M636" s="79">
        <f t="shared" si="730"/>
        <v>-1492.198843446813</v>
      </c>
      <c r="N636" s="79">
        <f t="shared" si="731"/>
        <v>-1384.7718117922122</v>
      </c>
      <c r="O636" s="79">
        <f t="shared" si="732"/>
        <v>-2537.8391216216114</v>
      </c>
      <c r="P636" s="79">
        <f t="shared" si="733"/>
        <v>-665.60850791322082</v>
      </c>
      <c r="Q636" s="79"/>
      <c r="R636" s="80">
        <f t="shared" si="712"/>
        <v>49.069820312808162</v>
      </c>
      <c r="S636" s="80">
        <f t="shared" si="713"/>
        <v>16.494227103868376</v>
      </c>
      <c r="T636" s="80">
        <f t="shared" si="714"/>
        <v>15.926980591235477</v>
      </c>
      <c r="U636" s="80">
        <f t="shared" si="715"/>
        <v>12.417251157137425</v>
      </c>
      <c r="V636" s="80">
        <f t="shared" si="716"/>
        <v>69.301998659847357</v>
      </c>
      <c r="W636" s="80">
        <f t="shared" si="717"/>
        <v>17.57614273803442</v>
      </c>
      <c r="X636" s="80">
        <f t="shared" si="669"/>
        <v>561.74589945333059</v>
      </c>
      <c r="Y636" s="80">
        <f t="shared" si="670"/>
        <v>207.06226277619868</v>
      </c>
      <c r="Z636" s="80">
        <f t="shared" si="671"/>
        <v>169.23897600087571</v>
      </c>
      <c r="AA636" s="80">
        <f t="shared" si="672"/>
        <v>124.40818125201349</v>
      </c>
      <c r="AB636" s="80">
        <f t="shared" si="673"/>
        <v>1353.0857824436314</v>
      </c>
      <c r="AC636" s="80">
        <f t="shared" si="674"/>
        <v>785.05415328899267</v>
      </c>
      <c r="AD636" s="80"/>
      <c r="AE636" s="80"/>
      <c r="AF636" s="80"/>
      <c r="AG636" s="80"/>
      <c r="AH636" s="80"/>
      <c r="AI636" s="80"/>
      <c r="AJ636" s="45">
        <f t="shared" si="663"/>
        <v>0</v>
      </c>
      <c r="AK636" s="45">
        <f t="shared" si="664"/>
        <v>0</v>
      </c>
      <c r="AL636" s="45">
        <f t="shared" si="665"/>
        <v>0</v>
      </c>
      <c r="AM636" s="45">
        <f t="shared" si="666"/>
        <v>0</v>
      </c>
      <c r="AN636" s="45">
        <f t="shared" si="667"/>
        <v>0</v>
      </c>
      <c r="AO636" s="45">
        <f t="shared" si="668"/>
        <v>0</v>
      </c>
      <c r="AP636" s="80">
        <f t="shared" si="718"/>
        <v>0</v>
      </c>
      <c r="AQ636" s="80">
        <f t="shared" si="719"/>
        <v>0</v>
      </c>
      <c r="AR636" s="80">
        <f t="shared" si="720"/>
        <v>0</v>
      </c>
      <c r="AS636" s="80">
        <f t="shared" si="721"/>
        <v>0</v>
      </c>
      <c r="AT636" s="80">
        <f t="shared" si="722"/>
        <v>0</v>
      </c>
      <c r="AU636" s="80">
        <f t="shared" si="723"/>
        <v>0</v>
      </c>
      <c r="AV636" s="80">
        <f t="shared" si="675"/>
        <v>92.702593171162576</v>
      </c>
      <c r="AW636" s="80">
        <f t="shared" si="676"/>
        <v>43.560566276787192</v>
      </c>
      <c r="AX636" s="80">
        <f t="shared" si="677"/>
        <v>27.050998294887254</v>
      </c>
      <c r="AY636" s="80">
        <f t="shared" si="678"/>
        <v>20.856498442486838</v>
      </c>
      <c r="AZ636" s="80">
        <f t="shared" si="679"/>
        <v>247.77420007145139</v>
      </c>
      <c r="BA636" s="80">
        <f t="shared" si="680"/>
        <v>125.15946535343936</v>
      </c>
      <c r="BB636" s="80">
        <f t="shared" si="681"/>
        <v>654.44849262449316</v>
      </c>
      <c r="BC636" s="80">
        <f t="shared" si="682"/>
        <v>250.62282905298588</v>
      </c>
      <c r="BD636" s="80">
        <f t="shared" si="683"/>
        <v>196.28997429576296</v>
      </c>
      <c r="BE636" s="80">
        <f t="shared" si="684"/>
        <v>145.26467969450033</v>
      </c>
      <c r="BF636" s="80">
        <f t="shared" si="685"/>
        <v>1600.8599825150827</v>
      </c>
      <c r="BG636" s="80">
        <f t="shared" si="686"/>
        <v>910.21361864243204</v>
      </c>
      <c r="BH636" s="49">
        <f t="shared" si="687"/>
        <v>0</v>
      </c>
      <c r="BI636" s="79">
        <f t="shared" si="688"/>
        <v>-139615.37635840013</v>
      </c>
      <c r="BJ636" s="79">
        <f t="shared" si="724"/>
        <v>198200</v>
      </c>
      <c r="BK636" s="44">
        <f t="shared" si="689"/>
        <v>0.41961440902619507</v>
      </c>
      <c r="BL636" s="79">
        <f t="shared" si="690"/>
        <v>28980.384473940667</v>
      </c>
      <c r="BM636" s="49">
        <f t="shared" si="691"/>
        <v>227180.38447394068</v>
      </c>
      <c r="BN636" s="44">
        <f t="shared" si="692"/>
        <v>0.62718742304398112</v>
      </c>
      <c r="BO636" s="49">
        <f t="shared" si="725"/>
        <v>34291.065007580575</v>
      </c>
      <c r="BP636" s="49">
        <f t="shared" si="726"/>
        <v>232491.06500758056</v>
      </c>
      <c r="BQ636" s="44">
        <f t="shared" si="693"/>
        <v>0.66522535749044986</v>
      </c>
      <c r="BS636" s="49">
        <f t="shared" si="694"/>
        <v>139615.37635840013</v>
      </c>
      <c r="BT636" s="49">
        <f t="shared" si="710"/>
        <v>123.489998</v>
      </c>
      <c r="BU636" s="49">
        <f t="shared" si="711"/>
        <v>37.869999</v>
      </c>
      <c r="BV636" s="49">
        <f t="shared" si="695"/>
        <v>13718.877731939405</v>
      </c>
      <c r="BW636" s="18">
        <f t="shared" si="727"/>
        <v>4157</v>
      </c>
      <c r="BX636" s="19">
        <f t="shared" si="696"/>
        <v>4.6559633027522938E-2</v>
      </c>
      <c r="BY636" s="49">
        <f t="shared" si="697"/>
        <v>638.74591274855493</v>
      </c>
      <c r="BZ636" s="19">
        <f t="shared" si="698"/>
        <v>49.069820312808162</v>
      </c>
      <c r="CA636" s="19">
        <f t="shared" si="699"/>
        <v>16.494227103868376</v>
      </c>
      <c r="CB636" s="19">
        <f t="shared" si="700"/>
        <v>15.926980591235477</v>
      </c>
      <c r="CC636" s="19">
        <f t="shared" si="701"/>
        <v>12.417251157137425</v>
      </c>
      <c r="CD636" s="19">
        <f t="shared" si="702"/>
        <v>69.301998659847357</v>
      </c>
      <c r="CE636" s="19">
        <f t="shared" si="703"/>
        <v>17.57614273803442</v>
      </c>
      <c r="CF636" s="49">
        <f t="shared" si="704"/>
        <v>-6059.6320122890393</v>
      </c>
      <c r="CG636" s="49">
        <f t="shared" si="705"/>
        <v>-1578.8274348765081</v>
      </c>
      <c r="CH636" s="49">
        <f t="shared" si="706"/>
        <v>-1492.198843446813</v>
      </c>
      <c r="CI636" s="49">
        <f t="shared" si="707"/>
        <v>-1384.7718117922122</v>
      </c>
      <c r="CJ636" s="49">
        <f t="shared" si="708"/>
        <v>-2537.8391216216114</v>
      </c>
      <c r="CK636" s="49">
        <f t="shared" si="709"/>
        <v>-665.60850791322082</v>
      </c>
    </row>
    <row r="637" spans="2:89" ht="12.75" customHeight="1" x14ac:dyDescent="0.2">
      <c r="B637" s="77">
        <v>43457</v>
      </c>
      <c r="C637" s="79">
        <v>126.43</v>
      </c>
      <c r="D637" s="79">
        <v>96.989998</v>
      </c>
      <c r="E637" s="79">
        <v>94.440002000000007</v>
      </c>
      <c r="F637" s="79">
        <v>113.220001</v>
      </c>
      <c r="G637" s="79">
        <v>37.020000000000003</v>
      </c>
      <c r="H637" s="79">
        <v>38.169998</v>
      </c>
      <c r="I637" s="79"/>
      <c r="J637" s="78">
        <f>IF(inter=Weekly_2,J636+$C$5,IF(inter=Bi_weekly_2,0,IF(inter=Monthly_2,0,IF(inter=Quarterly_2,0,IF(inter=Yearly_2,0,IF(inter=None_2,0,0))))))</f>
        <v>0</v>
      </c>
      <c r="K637" s="79">
        <f t="shared" si="728"/>
        <v>0</v>
      </c>
      <c r="L637" s="79">
        <f t="shared" si="729"/>
        <v>0</v>
      </c>
      <c r="M637" s="79">
        <f t="shared" si="730"/>
        <v>0</v>
      </c>
      <c r="N637" s="79">
        <f t="shared" si="731"/>
        <v>0</v>
      </c>
      <c r="O637" s="79">
        <f t="shared" si="732"/>
        <v>0</v>
      </c>
      <c r="P637" s="79">
        <f t="shared" si="733"/>
        <v>0</v>
      </c>
      <c r="Q637" s="79"/>
      <c r="R637" s="80">
        <f t="shared" si="712"/>
        <v>0</v>
      </c>
      <c r="S637" s="80">
        <f t="shared" si="713"/>
        <v>0</v>
      </c>
      <c r="T637" s="80">
        <f t="shared" si="714"/>
        <v>0</v>
      </c>
      <c r="U637" s="80">
        <f t="shared" si="715"/>
        <v>0</v>
      </c>
      <c r="V637" s="80">
        <f t="shared" si="716"/>
        <v>0</v>
      </c>
      <c r="W637" s="80">
        <f t="shared" si="717"/>
        <v>0</v>
      </c>
      <c r="X637" s="80">
        <f t="shared" si="669"/>
        <v>561.74589945333059</v>
      </c>
      <c r="Y637" s="80">
        <f t="shared" si="670"/>
        <v>207.06226277619868</v>
      </c>
      <c r="Z637" s="80">
        <f t="shared" si="671"/>
        <v>169.23897600087571</v>
      </c>
      <c r="AA637" s="80">
        <f t="shared" si="672"/>
        <v>124.40818125201349</v>
      </c>
      <c r="AB637" s="80">
        <f t="shared" si="673"/>
        <v>1353.0857824436314</v>
      </c>
      <c r="AC637" s="80">
        <f t="shared" si="674"/>
        <v>785.05415328899267</v>
      </c>
      <c r="AD637" s="80">
        <v>0.72099999999999997</v>
      </c>
      <c r="AE637" s="80">
        <v>0.70799999999999996</v>
      </c>
      <c r="AF637" s="80">
        <v>0.79400000000000004</v>
      </c>
      <c r="AG637" s="80">
        <v>0.81699999999999995</v>
      </c>
      <c r="AH637" s="80">
        <v>0.38400000000000001</v>
      </c>
      <c r="AI637" s="80">
        <v>0.25900000000000001</v>
      </c>
      <c r="AJ637" s="45">
        <f t="shared" si="663"/>
        <v>405.01879350585136</v>
      </c>
      <c r="AK637" s="45">
        <f t="shared" si="664"/>
        <v>146.60008204554865</v>
      </c>
      <c r="AL637" s="45">
        <f t="shared" si="665"/>
        <v>134.37574694469532</v>
      </c>
      <c r="AM637" s="45">
        <f t="shared" si="666"/>
        <v>101.64148408289502</v>
      </c>
      <c r="AN637" s="45">
        <f t="shared" si="667"/>
        <v>519.58494045835448</v>
      </c>
      <c r="AO637" s="45">
        <f t="shared" si="668"/>
        <v>203.3290257018491</v>
      </c>
      <c r="AP637" s="80">
        <f t="shared" si="718"/>
        <v>3.2035022819414012</v>
      </c>
      <c r="AQ637" s="80">
        <f t="shared" si="719"/>
        <v>1.5114969076043145</v>
      </c>
      <c r="AR637" s="80">
        <f t="shared" si="720"/>
        <v>1.4228689548809552</v>
      </c>
      <c r="AS637" s="80">
        <f t="shared" si="721"/>
        <v>0.89773435069034335</v>
      </c>
      <c r="AT637" s="80">
        <f t="shared" si="722"/>
        <v>14.03524960719488</v>
      </c>
      <c r="AU637" s="80">
        <f t="shared" si="723"/>
        <v>5.3269330981324421</v>
      </c>
      <c r="AV637" s="80">
        <f t="shared" si="675"/>
        <v>95.906095453103973</v>
      </c>
      <c r="AW637" s="80">
        <f t="shared" si="676"/>
        <v>45.07206318439151</v>
      </c>
      <c r="AX637" s="80">
        <f t="shared" si="677"/>
        <v>28.473867249768208</v>
      </c>
      <c r="AY637" s="80">
        <f t="shared" si="678"/>
        <v>21.754232793177181</v>
      </c>
      <c r="AZ637" s="80">
        <f t="shared" si="679"/>
        <v>261.80944967864627</v>
      </c>
      <c r="BA637" s="80">
        <f t="shared" si="680"/>
        <v>130.4863984515718</v>
      </c>
      <c r="BB637" s="80">
        <f t="shared" si="681"/>
        <v>657.65199490643454</v>
      </c>
      <c r="BC637" s="80">
        <f t="shared" si="682"/>
        <v>252.13432596059019</v>
      </c>
      <c r="BD637" s="80">
        <f t="shared" si="683"/>
        <v>197.71284325064391</v>
      </c>
      <c r="BE637" s="80">
        <f t="shared" si="684"/>
        <v>146.16241404519067</v>
      </c>
      <c r="BF637" s="80">
        <f t="shared" si="685"/>
        <v>1614.8952321222778</v>
      </c>
      <c r="BG637" s="80">
        <f t="shared" si="686"/>
        <v>915.54055174056452</v>
      </c>
      <c r="BH637" s="49">
        <f t="shared" si="687"/>
        <v>1510.5500727391939</v>
      </c>
      <c r="BI637" s="79">
        <f t="shared" si="688"/>
        <v>-139615.37635840013</v>
      </c>
      <c r="BJ637" s="79">
        <f t="shared" si="724"/>
        <v>201229.67728518115</v>
      </c>
      <c r="BK637" s="44">
        <f t="shared" si="689"/>
        <v>0.44131457819240349</v>
      </c>
      <c r="BL637" s="79">
        <f t="shared" si="690"/>
        <v>30490.934546679862</v>
      </c>
      <c r="BM637" s="49">
        <f t="shared" si="691"/>
        <v>231720.61183186102</v>
      </c>
      <c r="BN637" s="44">
        <f t="shared" si="692"/>
        <v>0.6597069597622387</v>
      </c>
      <c r="BO637" s="49">
        <f t="shared" si="725"/>
        <v>36321.884699886723</v>
      </c>
      <c r="BP637" s="49">
        <f t="shared" si="726"/>
        <v>237551.56198506785</v>
      </c>
      <c r="BQ637" s="44">
        <f t="shared" si="693"/>
        <v>0.70147134349486184</v>
      </c>
      <c r="BS637" s="49">
        <f t="shared" si="694"/>
        <v>139615.37635840013</v>
      </c>
      <c r="BT637" s="49">
        <f t="shared" si="710"/>
        <v>126.43</v>
      </c>
      <c r="BU637" s="49">
        <f t="shared" si="711"/>
        <v>38.169998</v>
      </c>
      <c r="BV637" s="49">
        <f t="shared" si="695"/>
        <v>-1510.5500727391939</v>
      </c>
      <c r="BW637" s="18">
        <f t="shared" si="727"/>
        <v>4164</v>
      </c>
      <c r="BX637" s="19">
        <f t="shared" si="696"/>
        <v>4.4954128440366975E-2</v>
      </c>
      <c r="BY637" s="49">
        <f t="shared" si="697"/>
        <v>-67.905461985523402</v>
      </c>
      <c r="BZ637" s="19">
        <f t="shared" si="698"/>
        <v>0</v>
      </c>
      <c r="CA637" s="19">
        <f t="shared" si="699"/>
        <v>0</v>
      </c>
      <c r="CB637" s="19">
        <f t="shared" si="700"/>
        <v>0</v>
      </c>
      <c r="CC637" s="19">
        <f t="shared" si="701"/>
        <v>0</v>
      </c>
      <c r="CD637" s="19">
        <f t="shared" si="702"/>
        <v>0</v>
      </c>
      <c r="CE637" s="19">
        <f t="shared" si="703"/>
        <v>0</v>
      </c>
      <c r="CF637" s="49">
        <f t="shared" si="704"/>
        <v>0</v>
      </c>
      <c r="CG637" s="49">
        <f t="shared" si="705"/>
        <v>0</v>
      </c>
      <c r="CH637" s="49">
        <f t="shared" si="706"/>
        <v>0</v>
      </c>
      <c r="CI637" s="49">
        <f t="shared" si="707"/>
        <v>0</v>
      </c>
      <c r="CJ637" s="49">
        <f t="shared" si="708"/>
        <v>0</v>
      </c>
      <c r="CK637" s="49">
        <f t="shared" si="709"/>
        <v>0</v>
      </c>
    </row>
    <row r="638" spans="2:89" ht="12.75" customHeight="1" x14ac:dyDescent="0.2">
      <c r="B638" s="77">
        <v>43464</v>
      </c>
      <c r="C638" s="79">
        <v>128.89999399999999</v>
      </c>
      <c r="D638" s="79">
        <v>98.959998999999996</v>
      </c>
      <c r="E638" s="79">
        <v>96.669998000000007</v>
      </c>
      <c r="F638" s="79">
        <v>116.650002</v>
      </c>
      <c r="G638" s="79">
        <v>37.880001</v>
      </c>
      <c r="H638" s="79">
        <v>38.860000999999997</v>
      </c>
      <c r="I638" s="79"/>
      <c r="J638" s="78">
        <f>IF(inter=Weekly_2,J637+$C$5,IF(inter=Bi_weekly_2,J636+$C$5,IF(inter=Monthly_2,J634+$C$5,IF(inter=Quarterly_2,0,IF(inter=Yearly_2,0,IF(inter=None_2,0,0))))))</f>
        <v>198800</v>
      </c>
      <c r="K638" s="79">
        <f t="shared" si="728"/>
        <v>2829.0430690589128</v>
      </c>
      <c r="L638" s="79">
        <f t="shared" si="729"/>
        <v>610.88131727035943</v>
      </c>
      <c r="M638" s="79">
        <f t="shared" si="730"/>
        <v>456.33147152670426</v>
      </c>
      <c r="N638" s="79">
        <f t="shared" si="731"/>
        <v>596.21459186373431</v>
      </c>
      <c r="O638" s="79">
        <f t="shared" si="732"/>
        <v>1554.8907920505371</v>
      </c>
      <c r="P638" s="79">
        <f t="shared" si="733"/>
        <v>687.20518186440677</v>
      </c>
      <c r="Q638" s="79"/>
      <c r="R638" s="80">
        <f t="shared" si="712"/>
        <v>-21.947581076372376</v>
      </c>
      <c r="S638" s="80">
        <f t="shared" si="713"/>
        <v>-6.1730125651108736</v>
      </c>
      <c r="T638" s="80">
        <f t="shared" si="714"/>
        <v>-4.7205077166413538</v>
      </c>
      <c r="U638" s="80">
        <f t="shared" si="715"/>
        <v>-5.111140862764274</v>
      </c>
      <c r="V638" s="80">
        <f t="shared" si="716"/>
        <v>-41.0478022967987</v>
      </c>
      <c r="W638" s="80">
        <f t="shared" si="717"/>
        <v>-17.684126715910452</v>
      </c>
      <c r="X638" s="80">
        <f t="shared" si="669"/>
        <v>539.79831837695826</v>
      </c>
      <c r="Y638" s="80">
        <f t="shared" si="670"/>
        <v>200.88925021108781</v>
      </c>
      <c r="Z638" s="80">
        <f t="shared" si="671"/>
        <v>164.51846828423436</v>
      </c>
      <c r="AA638" s="80">
        <f t="shared" si="672"/>
        <v>119.29704038924922</v>
      </c>
      <c r="AB638" s="80">
        <f t="shared" si="673"/>
        <v>1312.0379801468328</v>
      </c>
      <c r="AC638" s="80">
        <f t="shared" si="674"/>
        <v>767.37002657308221</v>
      </c>
      <c r="AD638" s="80"/>
      <c r="AE638" s="80"/>
      <c r="AF638" s="80"/>
      <c r="AG638" s="80"/>
      <c r="AH638" s="80"/>
      <c r="AI638" s="80"/>
      <c r="AJ638" s="45">
        <f t="shared" si="663"/>
        <v>0</v>
      </c>
      <c r="AK638" s="45">
        <f t="shared" si="664"/>
        <v>0</v>
      </c>
      <c r="AL638" s="45">
        <f t="shared" si="665"/>
        <v>0</v>
      </c>
      <c r="AM638" s="45">
        <f t="shared" si="666"/>
        <v>0</v>
      </c>
      <c r="AN638" s="45">
        <f t="shared" si="667"/>
        <v>0</v>
      </c>
      <c r="AO638" s="45">
        <f t="shared" si="668"/>
        <v>0</v>
      </c>
      <c r="AP638" s="80">
        <f t="shared" si="718"/>
        <v>0</v>
      </c>
      <c r="AQ638" s="80">
        <f t="shared" si="719"/>
        <v>0</v>
      </c>
      <c r="AR638" s="80">
        <f t="shared" si="720"/>
        <v>0</v>
      </c>
      <c r="AS638" s="80">
        <f t="shared" si="721"/>
        <v>0</v>
      </c>
      <c r="AT638" s="80">
        <f t="shared" si="722"/>
        <v>0</v>
      </c>
      <c r="AU638" s="80">
        <f t="shared" si="723"/>
        <v>0</v>
      </c>
      <c r="AV638" s="80">
        <f t="shared" si="675"/>
        <v>95.906095453103973</v>
      </c>
      <c r="AW638" s="80">
        <f t="shared" si="676"/>
        <v>45.07206318439151</v>
      </c>
      <c r="AX638" s="80">
        <f t="shared" si="677"/>
        <v>28.473867249768208</v>
      </c>
      <c r="AY638" s="80">
        <f t="shared" si="678"/>
        <v>21.754232793177181</v>
      </c>
      <c r="AZ638" s="80">
        <f t="shared" si="679"/>
        <v>261.80944967864627</v>
      </c>
      <c r="BA638" s="80">
        <f t="shared" si="680"/>
        <v>130.4863984515718</v>
      </c>
      <c r="BB638" s="80">
        <f t="shared" si="681"/>
        <v>635.70441383006221</v>
      </c>
      <c r="BC638" s="80">
        <f t="shared" si="682"/>
        <v>245.96131339547932</v>
      </c>
      <c r="BD638" s="80">
        <f t="shared" si="683"/>
        <v>192.99233553400256</v>
      </c>
      <c r="BE638" s="80">
        <f t="shared" si="684"/>
        <v>141.0512731824264</v>
      </c>
      <c r="BF638" s="80">
        <f t="shared" si="685"/>
        <v>1573.8474298254791</v>
      </c>
      <c r="BG638" s="80">
        <f t="shared" si="686"/>
        <v>897.85642502465407</v>
      </c>
      <c r="BH638" s="49">
        <f t="shared" si="687"/>
        <v>0</v>
      </c>
      <c r="BI638" s="79">
        <f t="shared" si="688"/>
        <v>-132880.80993476545</v>
      </c>
      <c r="BJ638" s="79">
        <f t="shared" si="724"/>
        <v>198800</v>
      </c>
      <c r="BK638" s="44">
        <f t="shared" si="689"/>
        <v>0.49607757581847944</v>
      </c>
      <c r="BL638" s="79">
        <f t="shared" si="690"/>
        <v>30490.934546679862</v>
      </c>
      <c r="BM638" s="49">
        <f t="shared" si="691"/>
        <v>229290.93454667987</v>
      </c>
      <c r="BN638" s="44">
        <f t="shared" si="692"/>
        <v>0.72553835771504249</v>
      </c>
      <c r="BO638" s="49">
        <f t="shared" si="725"/>
        <v>37100.870234994843</v>
      </c>
      <c r="BP638" s="49">
        <f t="shared" si="726"/>
        <v>235900.87023499483</v>
      </c>
      <c r="BQ638" s="44">
        <f t="shared" si="693"/>
        <v>0.77528170057666368</v>
      </c>
      <c r="BS638" s="49">
        <f t="shared" si="694"/>
        <v>132880.80993476545</v>
      </c>
      <c r="BT638" s="49">
        <f t="shared" si="710"/>
        <v>128.89999399999999</v>
      </c>
      <c r="BU638" s="49">
        <f t="shared" si="711"/>
        <v>38.860000999999997</v>
      </c>
      <c r="BV638" s="49">
        <f t="shared" si="695"/>
        <v>-6734.5664236346547</v>
      </c>
      <c r="BW638" s="18">
        <f t="shared" si="727"/>
        <v>4171</v>
      </c>
      <c r="BX638" s="19">
        <f t="shared" si="696"/>
        <v>4.3348623853211012E-2</v>
      </c>
      <c r="BY638" s="49">
        <f t="shared" si="697"/>
        <v>-291.93418671260315</v>
      </c>
      <c r="BZ638" s="19">
        <f t="shared" si="698"/>
        <v>0</v>
      </c>
      <c r="CA638" s="19">
        <f t="shared" si="699"/>
        <v>0</v>
      </c>
      <c r="CB638" s="19">
        <f t="shared" si="700"/>
        <v>0</v>
      </c>
      <c r="CC638" s="19">
        <f t="shared" si="701"/>
        <v>0</v>
      </c>
      <c r="CD638" s="19">
        <f t="shared" si="702"/>
        <v>0</v>
      </c>
      <c r="CE638" s="19">
        <f t="shared" si="703"/>
        <v>0</v>
      </c>
      <c r="CF638" s="49">
        <f t="shared" si="704"/>
        <v>0</v>
      </c>
      <c r="CG638" s="49">
        <f t="shared" si="705"/>
        <v>0</v>
      </c>
      <c r="CH638" s="49">
        <f t="shared" si="706"/>
        <v>0</v>
      </c>
      <c r="CI638" s="49">
        <f t="shared" si="707"/>
        <v>0</v>
      </c>
      <c r="CJ638" s="49">
        <f t="shared" si="708"/>
        <v>0</v>
      </c>
      <c r="CK638" s="49">
        <f t="shared" si="709"/>
        <v>0</v>
      </c>
    </row>
    <row r="639" spans="2:89" ht="12.75" customHeight="1" x14ac:dyDescent="0.2">
      <c r="B639" s="77">
        <v>43471</v>
      </c>
      <c r="C639" s="79">
        <v>132.83999600000001</v>
      </c>
      <c r="D639" s="79">
        <v>101</v>
      </c>
      <c r="E639" s="79">
        <v>100.05999799999999</v>
      </c>
      <c r="F639" s="79">
        <v>121.720001</v>
      </c>
      <c r="G639" s="79">
        <v>38.659999999999997</v>
      </c>
      <c r="H639" s="79">
        <v>39.779998999999997</v>
      </c>
      <c r="I639" s="79"/>
      <c r="J639" s="78">
        <f>IF(inter=Weekly_2,J638+$C$5,IF(inter=Bi_weekly_2,0,IF(inter=Monthly_2,0,IF(inter=Quarterly_2,0,IF(inter=Yearly_2,0,IF(inter=None_2,0,0))))))</f>
        <v>0</v>
      </c>
      <c r="K639" s="79">
        <f t="shared" si="728"/>
        <v>0</v>
      </c>
      <c r="L639" s="79">
        <f t="shared" si="729"/>
        <v>0</v>
      </c>
      <c r="M639" s="79">
        <f t="shared" si="730"/>
        <v>0</v>
      </c>
      <c r="N639" s="79">
        <f t="shared" si="731"/>
        <v>0</v>
      </c>
      <c r="O639" s="79">
        <f t="shared" si="732"/>
        <v>0</v>
      </c>
      <c r="P639" s="79">
        <f t="shared" si="733"/>
        <v>0</v>
      </c>
      <c r="Q639" s="79"/>
      <c r="R639" s="80">
        <f t="shared" si="712"/>
        <v>0</v>
      </c>
      <c r="S639" s="80">
        <f t="shared" si="713"/>
        <v>0</v>
      </c>
      <c r="T639" s="80">
        <f t="shared" si="714"/>
        <v>0</v>
      </c>
      <c r="U639" s="80">
        <f t="shared" si="715"/>
        <v>0</v>
      </c>
      <c r="V639" s="80">
        <f t="shared" si="716"/>
        <v>0</v>
      </c>
      <c r="W639" s="80">
        <f t="shared" si="717"/>
        <v>0</v>
      </c>
      <c r="X639" s="80">
        <f t="shared" si="669"/>
        <v>539.79831837695826</v>
      </c>
      <c r="Y639" s="80">
        <f t="shared" si="670"/>
        <v>200.88925021108781</v>
      </c>
      <c r="Z639" s="80">
        <f t="shared" si="671"/>
        <v>164.51846828423436</v>
      </c>
      <c r="AA639" s="80">
        <f t="shared" si="672"/>
        <v>119.29704038924922</v>
      </c>
      <c r="AB639" s="80">
        <f t="shared" si="673"/>
        <v>1312.0379801468328</v>
      </c>
      <c r="AC639" s="80">
        <f t="shared" si="674"/>
        <v>767.37002657308221</v>
      </c>
      <c r="AD639" s="80"/>
      <c r="AE639" s="80"/>
      <c r="AF639" s="80"/>
      <c r="AG639" s="80"/>
      <c r="AH639" s="80"/>
      <c r="AI639" s="80"/>
      <c r="AJ639" s="45">
        <f t="shared" si="663"/>
        <v>0</v>
      </c>
      <c r="AK639" s="45">
        <f t="shared" si="664"/>
        <v>0</v>
      </c>
      <c r="AL639" s="45">
        <f t="shared" si="665"/>
        <v>0</v>
      </c>
      <c r="AM639" s="45">
        <f t="shared" si="666"/>
        <v>0</v>
      </c>
      <c r="AN639" s="45">
        <f t="shared" si="667"/>
        <v>0</v>
      </c>
      <c r="AO639" s="45">
        <f t="shared" si="668"/>
        <v>0</v>
      </c>
      <c r="AP639" s="80">
        <f t="shared" si="718"/>
        <v>0</v>
      </c>
      <c r="AQ639" s="80">
        <f t="shared" si="719"/>
        <v>0</v>
      </c>
      <c r="AR639" s="80">
        <f t="shared" si="720"/>
        <v>0</v>
      </c>
      <c r="AS639" s="80">
        <f t="shared" si="721"/>
        <v>0</v>
      </c>
      <c r="AT639" s="80">
        <f t="shared" si="722"/>
        <v>0</v>
      </c>
      <c r="AU639" s="80">
        <f t="shared" si="723"/>
        <v>0</v>
      </c>
      <c r="AV639" s="80">
        <f t="shared" si="675"/>
        <v>95.906095453103973</v>
      </c>
      <c r="AW639" s="80">
        <f t="shared" si="676"/>
        <v>45.07206318439151</v>
      </c>
      <c r="AX639" s="80">
        <f t="shared" si="677"/>
        <v>28.473867249768208</v>
      </c>
      <c r="AY639" s="80">
        <f t="shared" si="678"/>
        <v>21.754232793177181</v>
      </c>
      <c r="AZ639" s="80">
        <f t="shared" si="679"/>
        <v>261.80944967864627</v>
      </c>
      <c r="BA639" s="80">
        <f t="shared" si="680"/>
        <v>130.4863984515718</v>
      </c>
      <c r="BB639" s="80">
        <f t="shared" si="681"/>
        <v>635.70441383006221</v>
      </c>
      <c r="BC639" s="80">
        <f t="shared" si="682"/>
        <v>245.96131339547932</v>
      </c>
      <c r="BD639" s="80">
        <f t="shared" si="683"/>
        <v>192.99233553400256</v>
      </c>
      <c r="BE639" s="80">
        <f t="shared" si="684"/>
        <v>141.0512731824264</v>
      </c>
      <c r="BF639" s="80">
        <f t="shared" si="685"/>
        <v>1573.8474298254791</v>
      </c>
      <c r="BG639" s="80">
        <f t="shared" si="686"/>
        <v>897.85642502465407</v>
      </c>
      <c r="BH639" s="49">
        <f t="shared" si="687"/>
        <v>0</v>
      </c>
      <c r="BI639" s="79">
        <f t="shared" si="688"/>
        <v>-132880.80993476545</v>
      </c>
      <c r="BJ639" s="79">
        <f t="shared" si="724"/>
        <v>204228.54141046546</v>
      </c>
      <c r="BK639" s="44">
        <f t="shared" si="689"/>
        <v>0.53693028745630333</v>
      </c>
      <c r="BL639" s="79">
        <f t="shared" si="690"/>
        <v>30490.934546679862</v>
      </c>
      <c r="BM639" s="49">
        <f t="shared" si="691"/>
        <v>234719.47595714533</v>
      </c>
      <c r="BN639" s="44">
        <f t="shared" si="692"/>
        <v>0.76639106935286638</v>
      </c>
      <c r="BO639" s="49">
        <f t="shared" si="725"/>
        <v>38101.766179886916</v>
      </c>
      <c r="BP639" s="49">
        <f t="shared" si="726"/>
        <v>242330.30759035237</v>
      </c>
      <c r="BQ639" s="44">
        <f t="shared" si="693"/>
        <v>0.82366669581046681</v>
      </c>
      <c r="BS639" s="49">
        <f t="shared" si="694"/>
        <v>132880.80993476545</v>
      </c>
      <c r="BT639" s="49">
        <f t="shared" si="710"/>
        <v>132.83999600000001</v>
      </c>
      <c r="BU639" s="49">
        <f t="shared" si="711"/>
        <v>39.779998999999997</v>
      </c>
      <c r="BV639" s="49">
        <f t="shared" si="695"/>
        <v>0</v>
      </c>
      <c r="BW639" s="18">
        <f t="shared" si="727"/>
        <v>4178</v>
      </c>
      <c r="BX639" s="19">
        <f t="shared" si="696"/>
        <v>4.1743119266055048E-2</v>
      </c>
      <c r="BY639" s="49">
        <f t="shared" si="697"/>
        <v>0</v>
      </c>
      <c r="BZ639" s="19">
        <f t="shared" si="698"/>
        <v>0</v>
      </c>
      <c r="CA639" s="19">
        <f t="shared" si="699"/>
        <v>0</v>
      </c>
      <c r="CB639" s="19">
        <f t="shared" si="700"/>
        <v>0</v>
      </c>
      <c r="CC639" s="19">
        <f t="shared" si="701"/>
        <v>0</v>
      </c>
      <c r="CD639" s="19">
        <f t="shared" si="702"/>
        <v>0</v>
      </c>
      <c r="CE639" s="19">
        <f t="shared" si="703"/>
        <v>0</v>
      </c>
      <c r="CF639" s="49">
        <f t="shared" si="704"/>
        <v>0</v>
      </c>
      <c r="CG639" s="49">
        <f t="shared" si="705"/>
        <v>0</v>
      </c>
      <c r="CH639" s="49">
        <f t="shared" si="706"/>
        <v>0</v>
      </c>
      <c r="CI639" s="49">
        <f t="shared" si="707"/>
        <v>0</v>
      </c>
      <c r="CJ639" s="49">
        <f t="shared" si="708"/>
        <v>0</v>
      </c>
      <c r="CK639" s="49">
        <f t="shared" si="709"/>
        <v>0</v>
      </c>
    </row>
    <row r="640" spans="2:89" ht="12.75" customHeight="1" x14ac:dyDescent="0.2">
      <c r="B640" s="77">
        <v>43478</v>
      </c>
      <c r="C640" s="79">
        <v>136.64999399999999</v>
      </c>
      <c r="D640" s="79">
        <v>103.959999</v>
      </c>
      <c r="E640" s="79">
        <v>102.779999</v>
      </c>
      <c r="F640" s="79">
        <v>125.239998</v>
      </c>
      <c r="G640" s="79">
        <v>39.369999</v>
      </c>
      <c r="H640" s="79">
        <v>40.549999</v>
      </c>
      <c r="I640" s="79"/>
      <c r="J640" s="78">
        <f>IF(inter=Weekly_2,J639+$C$5,IF(inter=Bi_weekly_2,J638+$C$5,IF(inter=Monthly_2,0,IF(inter=Quarterly_2,J627+$C$5,IF(inter=Yearly_2,0,IF(inter=None_2,0,0))))))</f>
        <v>199400</v>
      </c>
      <c r="K640" s="79">
        <f t="shared" si="728"/>
        <v>3973.4369674214395</v>
      </c>
      <c r="L640" s="79">
        <f t="shared" si="729"/>
        <v>944.44625105543673</v>
      </c>
      <c r="M640" s="79">
        <f t="shared" si="730"/>
        <v>957.20800573514134</v>
      </c>
      <c r="N640" s="79">
        <f t="shared" si="731"/>
        <v>982.76109975548934</v>
      </c>
      <c r="O640" s="79">
        <f t="shared" si="732"/>
        <v>1804.9339663428254</v>
      </c>
      <c r="P640" s="79">
        <f t="shared" si="733"/>
        <v>1206.8538101684571</v>
      </c>
      <c r="Q640" s="79"/>
      <c r="R640" s="80">
        <f t="shared" si="712"/>
        <v>-29.077476340185129</v>
      </c>
      <c r="S640" s="80">
        <f t="shared" si="713"/>
        <v>-9.0847081583315212</v>
      </c>
      <c r="T640" s="80">
        <f t="shared" si="714"/>
        <v>-9.3131739156286759</v>
      </c>
      <c r="U640" s="80">
        <f t="shared" si="715"/>
        <v>-7.8470226401272329</v>
      </c>
      <c r="V640" s="80">
        <f t="shared" si="716"/>
        <v>-45.845415600412522</v>
      </c>
      <c r="W640" s="80">
        <f t="shared" si="717"/>
        <v>-29.762116891012923</v>
      </c>
      <c r="X640" s="80">
        <f t="shared" si="669"/>
        <v>510.72084203677315</v>
      </c>
      <c r="Y640" s="80">
        <f t="shared" si="670"/>
        <v>191.80454205275629</v>
      </c>
      <c r="Z640" s="80">
        <f t="shared" si="671"/>
        <v>155.20529436860568</v>
      </c>
      <c r="AA640" s="80">
        <f t="shared" si="672"/>
        <v>111.45001774912198</v>
      </c>
      <c r="AB640" s="80">
        <f t="shared" si="673"/>
        <v>1266.1925645464203</v>
      </c>
      <c r="AC640" s="80">
        <f t="shared" si="674"/>
        <v>737.60790968206925</v>
      </c>
      <c r="AD640" s="80"/>
      <c r="AE640" s="80"/>
      <c r="AF640" s="80"/>
      <c r="AG640" s="80"/>
      <c r="AH640" s="80"/>
      <c r="AI640" s="80"/>
      <c r="AJ640" s="45">
        <f t="shared" si="663"/>
        <v>0</v>
      </c>
      <c r="AK640" s="45">
        <f t="shared" si="664"/>
        <v>0</v>
      </c>
      <c r="AL640" s="45">
        <f t="shared" si="665"/>
        <v>0</v>
      </c>
      <c r="AM640" s="45">
        <f t="shared" si="666"/>
        <v>0</v>
      </c>
      <c r="AN640" s="45">
        <f t="shared" si="667"/>
        <v>0</v>
      </c>
      <c r="AO640" s="45">
        <f t="shared" si="668"/>
        <v>0</v>
      </c>
      <c r="AP640" s="80">
        <f t="shared" si="718"/>
        <v>0</v>
      </c>
      <c r="AQ640" s="80">
        <f t="shared" si="719"/>
        <v>0</v>
      </c>
      <c r="AR640" s="80">
        <f t="shared" si="720"/>
        <v>0</v>
      </c>
      <c r="AS640" s="80">
        <f t="shared" si="721"/>
        <v>0</v>
      </c>
      <c r="AT640" s="80">
        <f t="shared" si="722"/>
        <v>0</v>
      </c>
      <c r="AU640" s="80">
        <f t="shared" si="723"/>
        <v>0</v>
      </c>
      <c r="AV640" s="80">
        <f t="shared" si="675"/>
        <v>95.906095453103973</v>
      </c>
      <c r="AW640" s="80">
        <f t="shared" si="676"/>
        <v>45.07206318439151</v>
      </c>
      <c r="AX640" s="80">
        <f t="shared" si="677"/>
        <v>28.473867249768208</v>
      </c>
      <c r="AY640" s="80">
        <f t="shared" si="678"/>
        <v>21.754232793177181</v>
      </c>
      <c r="AZ640" s="80">
        <f t="shared" si="679"/>
        <v>261.80944967864627</v>
      </c>
      <c r="BA640" s="80">
        <f t="shared" si="680"/>
        <v>130.4863984515718</v>
      </c>
      <c r="BB640" s="80">
        <f t="shared" si="681"/>
        <v>606.62693748987715</v>
      </c>
      <c r="BC640" s="80">
        <f t="shared" si="682"/>
        <v>236.8766052371478</v>
      </c>
      <c r="BD640" s="80">
        <f t="shared" si="683"/>
        <v>183.67916161837388</v>
      </c>
      <c r="BE640" s="80">
        <f t="shared" si="684"/>
        <v>133.20425054229918</v>
      </c>
      <c r="BF640" s="80">
        <f t="shared" si="685"/>
        <v>1528.0020142250664</v>
      </c>
      <c r="BG640" s="80">
        <f t="shared" si="686"/>
        <v>868.09430813364111</v>
      </c>
      <c r="BH640" s="49">
        <f t="shared" si="687"/>
        <v>0</v>
      </c>
      <c r="BI640" s="79">
        <f t="shared" si="688"/>
        <v>-123011.16983428667</v>
      </c>
      <c r="BJ640" s="79">
        <f t="shared" si="724"/>
        <v>199400</v>
      </c>
      <c r="BK640" s="44">
        <f t="shared" si="689"/>
        <v>0.62099100649656291</v>
      </c>
      <c r="BL640" s="79">
        <f t="shared" si="690"/>
        <v>30490.934546679862</v>
      </c>
      <c r="BM640" s="49">
        <f t="shared" si="691"/>
        <v>229890.93454667987</v>
      </c>
      <c r="BN640" s="44">
        <f t="shared" si="692"/>
        <v>0.86886227369738256</v>
      </c>
      <c r="BO640" s="49">
        <f t="shared" si="725"/>
        <v>39040.964229537407</v>
      </c>
      <c r="BP640" s="49">
        <f t="shared" si="726"/>
        <v>238440.96422953741</v>
      </c>
      <c r="BQ640" s="44">
        <f t="shared" si="693"/>
        <v>0.93836839817677431</v>
      </c>
      <c r="BS640" s="49">
        <f t="shared" si="694"/>
        <v>123011.16983428667</v>
      </c>
      <c r="BT640" s="49">
        <f t="shared" si="710"/>
        <v>136.64999399999999</v>
      </c>
      <c r="BU640" s="49">
        <f t="shared" si="711"/>
        <v>40.549999</v>
      </c>
      <c r="BV640" s="49">
        <f t="shared" si="695"/>
        <v>-9869.6401004787895</v>
      </c>
      <c r="BW640" s="18">
        <f t="shared" si="727"/>
        <v>4185</v>
      </c>
      <c r="BX640" s="19">
        <f t="shared" si="696"/>
        <v>4.0137614678899085E-2</v>
      </c>
      <c r="BY640" s="49">
        <f t="shared" si="697"/>
        <v>-396.1438113724285</v>
      </c>
      <c r="BZ640" s="19">
        <f t="shared" si="698"/>
        <v>0</v>
      </c>
      <c r="CA640" s="19">
        <f t="shared" si="699"/>
        <v>0</v>
      </c>
      <c r="CB640" s="19">
        <f t="shared" si="700"/>
        <v>0</v>
      </c>
      <c r="CC640" s="19">
        <f t="shared" si="701"/>
        <v>0</v>
      </c>
      <c r="CD640" s="19">
        <f t="shared" si="702"/>
        <v>0</v>
      </c>
      <c r="CE640" s="19">
        <f t="shared" si="703"/>
        <v>0</v>
      </c>
      <c r="CF640" s="49">
        <f t="shared" si="704"/>
        <v>0</v>
      </c>
      <c r="CG640" s="49">
        <f t="shared" si="705"/>
        <v>0</v>
      </c>
      <c r="CH640" s="49">
        <f t="shared" si="706"/>
        <v>0</v>
      </c>
      <c r="CI640" s="49">
        <f t="shared" si="707"/>
        <v>0</v>
      </c>
      <c r="CJ640" s="49">
        <f t="shared" si="708"/>
        <v>0</v>
      </c>
      <c r="CK640" s="49">
        <f t="shared" si="709"/>
        <v>0</v>
      </c>
    </row>
    <row r="641" spans="2:89" ht="12.75" customHeight="1" x14ac:dyDescent="0.2">
      <c r="B641" s="77">
        <v>43485</v>
      </c>
      <c r="C641" s="79">
        <v>136.470001</v>
      </c>
      <c r="D641" s="79">
        <v>103.599998</v>
      </c>
      <c r="E641" s="79">
        <v>103.050003</v>
      </c>
      <c r="F641" s="79">
        <v>125.349998</v>
      </c>
      <c r="G641" s="79">
        <v>39.5</v>
      </c>
      <c r="H641" s="79">
        <v>41</v>
      </c>
      <c r="I641" s="79"/>
      <c r="J641" s="78">
        <f>IF(inter=Weekly_2,J640+$C$5,IF(inter=Bi_weekly_2,0,IF(inter=Monthly_2,0,IF(inter=Quarterly_2,0,IF(inter=Yearly_2,0,IF(inter=None_2,0,0))))))</f>
        <v>0</v>
      </c>
      <c r="K641" s="79">
        <f t="shared" si="728"/>
        <v>0</v>
      </c>
      <c r="L641" s="79">
        <f t="shared" si="729"/>
        <v>0</v>
      </c>
      <c r="M641" s="79">
        <f t="shared" si="730"/>
        <v>0</v>
      </c>
      <c r="N641" s="79">
        <f t="shared" si="731"/>
        <v>0</v>
      </c>
      <c r="O641" s="79">
        <f t="shared" si="732"/>
        <v>0</v>
      </c>
      <c r="P641" s="79">
        <f t="shared" si="733"/>
        <v>0</v>
      </c>
      <c r="Q641" s="79"/>
      <c r="R641" s="80">
        <f t="shared" si="712"/>
        <v>0</v>
      </c>
      <c r="S641" s="80">
        <f t="shared" si="713"/>
        <v>0</v>
      </c>
      <c r="T641" s="80">
        <f t="shared" si="714"/>
        <v>0</v>
      </c>
      <c r="U641" s="80">
        <f t="shared" si="715"/>
        <v>0</v>
      </c>
      <c r="V641" s="80">
        <f t="shared" si="716"/>
        <v>0</v>
      </c>
      <c r="W641" s="80">
        <f t="shared" si="717"/>
        <v>0</v>
      </c>
      <c r="X641" s="80">
        <f t="shared" si="669"/>
        <v>510.72084203677315</v>
      </c>
      <c r="Y641" s="80">
        <f t="shared" si="670"/>
        <v>191.80454205275629</v>
      </c>
      <c r="Z641" s="80">
        <f t="shared" si="671"/>
        <v>155.20529436860568</v>
      </c>
      <c r="AA641" s="80">
        <f t="shared" si="672"/>
        <v>111.45001774912198</v>
      </c>
      <c r="AB641" s="80">
        <f t="shared" si="673"/>
        <v>1266.1925645464203</v>
      </c>
      <c r="AC641" s="80">
        <f t="shared" si="674"/>
        <v>737.60790968206925</v>
      </c>
      <c r="AD641" s="80"/>
      <c r="AE641" s="80"/>
      <c r="AF641" s="80"/>
      <c r="AG641" s="80"/>
      <c r="AH641" s="80"/>
      <c r="AI641" s="80"/>
      <c r="AJ641" s="45">
        <f t="shared" si="663"/>
        <v>0</v>
      </c>
      <c r="AK641" s="45">
        <f t="shared" si="664"/>
        <v>0</v>
      </c>
      <c r="AL641" s="45">
        <f t="shared" si="665"/>
        <v>0</v>
      </c>
      <c r="AM641" s="45">
        <f t="shared" si="666"/>
        <v>0</v>
      </c>
      <c r="AN641" s="45">
        <f t="shared" si="667"/>
        <v>0</v>
      </c>
      <c r="AO641" s="45">
        <f t="shared" si="668"/>
        <v>0</v>
      </c>
      <c r="AP641" s="80">
        <f t="shared" si="718"/>
        <v>0</v>
      </c>
      <c r="AQ641" s="80">
        <f t="shared" si="719"/>
        <v>0</v>
      </c>
      <c r="AR641" s="80">
        <f t="shared" si="720"/>
        <v>0</v>
      </c>
      <c r="AS641" s="80">
        <f t="shared" si="721"/>
        <v>0</v>
      </c>
      <c r="AT641" s="80">
        <f t="shared" si="722"/>
        <v>0</v>
      </c>
      <c r="AU641" s="80">
        <f t="shared" si="723"/>
        <v>0</v>
      </c>
      <c r="AV641" s="80">
        <f t="shared" si="675"/>
        <v>95.906095453103973</v>
      </c>
      <c r="AW641" s="80">
        <f t="shared" si="676"/>
        <v>45.07206318439151</v>
      </c>
      <c r="AX641" s="80">
        <f t="shared" si="677"/>
        <v>28.473867249768208</v>
      </c>
      <c r="AY641" s="80">
        <f t="shared" si="678"/>
        <v>21.754232793177181</v>
      </c>
      <c r="AZ641" s="80">
        <f t="shared" si="679"/>
        <v>261.80944967864627</v>
      </c>
      <c r="BA641" s="80">
        <f t="shared" si="680"/>
        <v>130.4863984515718</v>
      </c>
      <c r="BB641" s="80">
        <f t="shared" si="681"/>
        <v>606.62693748987715</v>
      </c>
      <c r="BC641" s="80">
        <f t="shared" si="682"/>
        <v>236.8766052371478</v>
      </c>
      <c r="BD641" s="80">
        <f t="shared" si="683"/>
        <v>183.67916161837388</v>
      </c>
      <c r="BE641" s="80">
        <f t="shared" si="684"/>
        <v>133.20425054229918</v>
      </c>
      <c r="BF641" s="80">
        <f t="shared" si="685"/>
        <v>1528.0020142250664</v>
      </c>
      <c r="BG641" s="80">
        <f t="shared" si="686"/>
        <v>868.09430813364111</v>
      </c>
      <c r="BH641" s="49">
        <f t="shared" si="687"/>
        <v>0</v>
      </c>
      <c r="BI641" s="79">
        <f t="shared" si="688"/>
        <v>-123011.16983428667</v>
      </c>
      <c r="BJ641" s="79">
        <f t="shared" si="724"/>
        <v>199789.72014533728</v>
      </c>
      <c r="BK641" s="44">
        <f t="shared" si="689"/>
        <v>0.62415917525605269</v>
      </c>
      <c r="BL641" s="79">
        <f t="shared" si="690"/>
        <v>30490.934546679862</v>
      </c>
      <c r="BM641" s="49">
        <f t="shared" si="691"/>
        <v>230280.65469201715</v>
      </c>
      <c r="BN641" s="44">
        <f t="shared" si="692"/>
        <v>0.87203044245687233</v>
      </c>
      <c r="BO641" s="49">
        <f t="shared" si="725"/>
        <v>39110.311339597509</v>
      </c>
      <c r="BP641" s="49">
        <f t="shared" si="726"/>
        <v>238900.03148493479</v>
      </c>
      <c r="BQ641" s="44">
        <f t="shared" si="693"/>
        <v>0.94210031338427802</v>
      </c>
      <c r="BS641" s="49">
        <f t="shared" si="694"/>
        <v>123011.16983428667</v>
      </c>
      <c r="BT641" s="49">
        <f t="shared" si="710"/>
        <v>136.470001</v>
      </c>
      <c r="BU641" s="49">
        <f t="shared" si="711"/>
        <v>41</v>
      </c>
      <c r="BV641" s="49">
        <f t="shared" si="695"/>
        <v>0</v>
      </c>
      <c r="BW641" s="18">
        <f t="shared" si="727"/>
        <v>4192</v>
      </c>
      <c r="BX641" s="19">
        <f t="shared" si="696"/>
        <v>3.8532110091743121E-2</v>
      </c>
      <c r="BY641" s="49">
        <f t="shared" si="697"/>
        <v>0</v>
      </c>
      <c r="BZ641" s="19">
        <f t="shared" si="698"/>
        <v>0</v>
      </c>
      <c r="CA641" s="19">
        <f t="shared" si="699"/>
        <v>0</v>
      </c>
      <c r="CB641" s="19">
        <f t="shared" si="700"/>
        <v>0</v>
      </c>
      <c r="CC641" s="19">
        <f t="shared" si="701"/>
        <v>0</v>
      </c>
      <c r="CD641" s="19">
        <f t="shared" si="702"/>
        <v>0</v>
      </c>
      <c r="CE641" s="19">
        <f t="shared" si="703"/>
        <v>0</v>
      </c>
      <c r="CF641" s="49">
        <f t="shared" si="704"/>
        <v>0</v>
      </c>
      <c r="CG641" s="49">
        <f t="shared" si="705"/>
        <v>0</v>
      </c>
      <c r="CH641" s="49">
        <f t="shared" si="706"/>
        <v>0</v>
      </c>
      <c r="CI641" s="49">
        <f t="shared" si="707"/>
        <v>0</v>
      </c>
      <c r="CJ641" s="49">
        <f t="shared" si="708"/>
        <v>0</v>
      </c>
      <c r="CK641" s="49">
        <f t="shared" si="709"/>
        <v>0</v>
      </c>
    </row>
    <row r="642" spans="2:89" ht="12.75" customHeight="1" x14ac:dyDescent="0.2">
      <c r="B642" s="77">
        <v>43492</v>
      </c>
      <c r="C642" s="79">
        <v>138.729996</v>
      </c>
      <c r="D642" s="79">
        <v>105.029999</v>
      </c>
      <c r="E642" s="79">
        <v>104.870003</v>
      </c>
      <c r="F642" s="79">
        <v>127.199997</v>
      </c>
      <c r="G642" s="79">
        <v>39.849997999999999</v>
      </c>
      <c r="H642" s="79">
        <v>41.470001000000003</v>
      </c>
      <c r="I642" s="79"/>
      <c r="J642" s="78">
        <f>IF(inter=Weekly_2,J641+$C$5,IF(inter=Bi_weekly_2,J640+$C$5,IF(inter=Monthly_2,J638+$C$5,IF(inter=Quarterly_2,0,IF(inter=Yearly_2,0,IF(inter=None_2,0,0))))))</f>
        <v>200000</v>
      </c>
      <c r="K642" s="79">
        <f t="shared" si="728"/>
        <v>852.30037287817686</v>
      </c>
      <c r="L642" s="79">
        <f t="shared" si="729"/>
        <v>145.23085999645264</v>
      </c>
      <c r="M642" s="79">
        <f t="shared" si="730"/>
        <v>276.37968605155947</v>
      </c>
      <c r="N642" s="79">
        <f t="shared" si="731"/>
        <v>176.4419233382614</v>
      </c>
      <c r="O642" s="79">
        <f t="shared" si="732"/>
        <v>457.77116478971584</v>
      </c>
      <c r="P642" s="79">
        <f t="shared" si="733"/>
        <v>588.60075212332231</v>
      </c>
      <c r="Q642" s="79"/>
      <c r="R642" s="80">
        <f t="shared" si="712"/>
        <v>-6.1435911299109156</v>
      </c>
      <c r="S642" s="80">
        <f t="shared" si="713"/>
        <v>-1.3827559876150493</v>
      </c>
      <c r="T642" s="80">
        <f t="shared" si="714"/>
        <v>-2.6354503494346186</v>
      </c>
      <c r="U642" s="80">
        <f t="shared" si="715"/>
        <v>-1.3871220715379531</v>
      </c>
      <c r="V642" s="80">
        <f t="shared" si="716"/>
        <v>-11.487357283925482</v>
      </c>
      <c r="W642" s="80">
        <f t="shared" si="717"/>
        <v>-14.193410608389478</v>
      </c>
      <c r="X642" s="80">
        <f t="shared" si="669"/>
        <v>504.57725090686222</v>
      </c>
      <c r="Y642" s="80">
        <f t="shared" si="670"/>
        <v>190.42178606514125</v>
      </c>
      <c r="Z642" s="80">
        <f t="shared" si="671"/>
        <v>152.56984401917106</v>
      </c>
      <c r="AA642" s="80">
        <f t="shared" si="672"/>
        <v>110.06289567758402</v>
      </c>
      <c r="AB642" s="80">
        <f t="shared" si="673"/>
        <v>1254.7052072624947</v>
      </c>
      <c r="AC642" s="80">
        <f t="shared" si="674"/>
        <v>723.41449907367974</v>
      </c>
      <c r="AD642" s="80"/>
      <c r="AE642" s="80"/>
      <c r="AF642" s="80"/>
      <c r="AG642" s="80"/>
      <c r="AH642" s="80"/>
      <c r="AI642" s="80"/>
      <c r="AJ642" s="45">
        <f t="shared" si="663"/>
        <v>0</v>
      </c>
      <c r="AK642" s="45">
        <f t="shared" si="664"/>
        <v>0</v>
      </c>
      <c r="AL642" s="45">
        <f t="shared" si="665"/>
        <v>0</v>
      </c>
      <c r="AM642" s="45">
        <f t="shared" si="666"/>
        <v>0</v>
      </c>
      <c r="AN642" s="45">
        <f t="shared" si="667"/>
        <v>0</v>
      </c>
      <c r="AO642" s="45">
        <f t="shared" si="668"/>
        <v>0</v>
      </c>
      <c r="AP642" s="80">
        <f t="shared" si="718"/>
        <v>0</v>
      </c>
      <c r="AQ642" s="80">
        <f t="shared" si="719"/>
        <v>0</v>
      </c>
      <c r="AR642" s="80">
        <f t="shared" si="720"/>
        <v>0</v>
      </c>
      <c r="AS642" s="80">
        <f t="shared" si="721"/>
        <v>0</v>
      </c>
      <c r="AT642" s="80">
        <f t="shared" si="722"/>
        <v>0</v>
      </c>
      <c r="AU642" s="80">
        <f t="shared" si="723"/>
        <v>0</v>
      </c>
      <c r="AV642" s="80">
        <f t="shared" si="675"/>
        <v>95.906095453103973</v>
      </c>
      <c r="AW642" s="80">
        <f t="shared" si="676"/>
        <v>45.07206318439151</v>
      </c>
      <c r="AX642" s="80">
        <f t="shared" si="677"/>
        <v>28.473867249768208</v>
      </c>
      <c r="AY642" s="80">
        <f t="shared" si="678"/>
        <v>21.754232793177181</v>
      </c>
      <c r="AZ642" s="80">
        <f t="shared" si="679"/>
        <v>261.80944967864627</v>
      </c>
      <c r="BA642" s="80">
        <f t="shared" si="680"/>
        <v>130.4863984515718</v>
      </c>
      <c r="BB642" s="80">
        <f t="shared" si="681"/>
        <v>600.48334635996616</v>
      </c>
      <c r="BC642" s="80">
        <f t="shared" si="682"/>
        <v>235.49384924953276</v>
      </c>
      <c r="BD642" s="80">
        <f t="shared" si="683"/>
        <v>181.04371126893926</v>
      </c>
      <c r="BE642" s="80">
        <f t="shared" si="684"/>
        <v>131.81712847076119</v>
      </c>
      <c r="BF642" s="80">
        <f t="shared" si="685"/>
        <v>1516.5146569411409</v>
      </c>
      <c r="BG642" s="80">
        <f t="shared" si="686"/>
        <v>853.90089752525159</v>
      </c>
      <c r="BH642" s="49">
        <f t="shared" si="687"/>
        <v>0</v>
      </c>
      <c r="BI642" s="79">
        <f t="shared" si="688"/>
        <v>-120514.44507510918</v>
      </c>
      <c r="BJ642" s="79">
        <f t="shared" si="724"/>
        <v>200000</v>
      </c>
      <c r="BK642" s="44">
        <f t="shared" si="689"/>
        <v>0.65955209664162995</v>
      </c>
      <c r="BL642" s="79">
        <f t="shared" si="690"/>
        <v>30490.934546679862</v>
      </c>
      <c r="BM642" s="49">
        <f t="shared" si="691"/>
        <v>230490.93454667987</v>
      </c>
      <c r="BN642" s="44">
        <f t="shared" si="692"/>
        <v>0.91255856841915639</v>
      </c>
      <c r="BO642" s="49">
        <f t="shared" si="725"/>
        <v>39636.541000051773</v>
      </c>
      <c r="BP642" s="49">
        <f t="shared" si="726"/>
        <v>239636.54100005177</v>
      </c>
      <c r="BQ642" s="44">
        <f t="shared" si="693"/>
        <v>0.98844662024291918</v>
      </c>
      <c r="BS642" s="49">
        <f t="shared" si="694"/>
        <v>120514.44507510918</v>
      </c>
      <c r="BT642" s="49">
        <f t="shared" si="710"/>
        <v>138.729996</v>
      </c>
      <c r="BU642" s="49">
        <f t="shared" si="711"/>
        <v>41.470001000000003</v>
      </c>
      <c r="BV642" s="49">
        <f t="shared" si="695"/>
        <v>-2496.7247591774885</v>
      </c>
      <c r="BW642" s="18">
        <f t="shared" si="727"/>
        <v>4199</v>
      </c>
      <c r="BX642" s="19">
        <f t="shared" si="696"/>
        <v>3.6926605504587158E-2</v>
      </c>
      <c r="BY642" s="49">
        <f t="shared" si="697"/>
        <v>-92.195570235682496</v>
      </c>
      <c r="BZ642" s="19">
        <f t="shared" si="698"/>
        <v>0</v>
      </c>
      <c r="CA642" s="19">
        <f t="shared" si="699"/>
        <v>0</v>
      </c>
      <c r="CB642" s="19">
        <f t="shared" si="700"/>
        <v>0</v>
      </c>
      <c r="CC642" s="19">
        <f t="shared" si="701"/>
        <v>0</v>
      </c>
      <c r="CD642" s="19">
        <f t="shared" si="702"/>
        <v>0</v>
      </c>
      <c r="CE642" s="19">
        <f t="shared" si="703"/>
        <v>0</v>
      </c>
      <c r="CF642" s="49">
        <f t="shared" si="704"/>
        <v>0</v>
      </c>
      <c r="CG642" s="49">
        <f t="shared" si="705"/>
        <v>0</v>
      </c>
      <c r="CH642" s="49">
        <f t="shared" si="706"/>
        <v>0</v>
      </c>
      <c r="CI642" s="49">
        <f t="shared" si="707"/>
        <v>0</v>
      </c>
      <c r="CJ642" s="49">
        <f t="shared" si="708"/>
        <v>0</v>
      </c>
      <c r="CK642" s="49">
        <f t="shared" si="709"/>
        <v>0</v>
      </c>
    </row>
    <row r="643" spans="2:89" ht="12.75" customHeight="1" x14ac:dyDescent="0.2">
      <c r="B643" s="77">
        <v>43499</v>
      </c>
      <c r="C643" s="79">
        <v>138.970001</v>
      </c>
      <c r="D643" s="79">
        <v>104.68</v>
      </c>
      <c r="E643" s="79">
        <v>105.30999799999999</v>
      </c>
      <c r="F643" s="79">
        <v>127.730003</v>
      </c>
      <c r="G643" s="79">
        <v>39.400002000000001</v>
      </c>
      <c r="H643" s="79">
        <v>40.98</v>
      </c>
      <c r="I643" s="79"/>
      <c r="J643" s="78">
        <f>IF(inter=Weekly_2,J642+$C$5,IF(inter=Bi_weekly_2,0,IF(inter=Monthly_2,0,IF(inter=Quarterly_2,0,IF(inter=Yearly_2,0,IF(inter=None_2,0,0))))))</f>
        <v>0</v>
      </c>
      <c r="K643" s="79">
        <f t="shared" si="728"/>
        <v>0</v>
      </c>
      <c r="L643" s="79">
        <f t="shared" si="729"/>
        <v>0</v>
      </c>
      <c r="M643" s="79">
        <f t="shared" si="730"/>
        <v>0</v>
      </c>
      <c r="N643" s="79">
        <f t="shared" si="731"/>
        <v>0</v>
      </c>
      <c r="O643" s="79">
        <f t="shared" si="732"/>
        <v>0</v>
      </c>
      <c r="P643" s="79">
        <f t="shared" si="733"/>
        <v>0</v>
      </c>
      <c r="Q643" s="79"/>
      <c r="R643" s="80">
        <f t="shared" si="712"/>
        <v>0</v>
      </c>
      <c r="S643" s="80">
        <f t="shared" si="713"/>
        <v>0</v>
      </c>
      <c r="T643" s="80">
        <f t="shared" si="714"/>
        <v>0</v>
      </c>
      <c r="U643" s="80">
        <f t="shared" si="715"/>
        <v>0</v>
      </c>
      <c r="V643" s="80">
        <f t="shared" si="716"/>
        <v>0</v>
      </c>
      <c r="W643" s="80">
        <f t="shared" si="717"/>
        <v>0</v>
      </c>
      <c r="X643" s="80">
        <f t="shared" si="669"/>
        <v>504.57725090686222</v>
      </c>
      <c r="Y643" s="80">
        <f t="shared" si="670"/>
        <v>190.42178606514125</v>
      </c>
      <c r="Z643" s="80">
        <f t="shared" si="671"/>
        <v>152.56984401917106</v>
      </c>
      <c r="AA643" s="80">
        <f t="shared" si="672"/>
        <v>110.06289567758402</v>
      </c>
      <c r="AB643" s="80">
        <f t="shared" si="673"/>
        <v>1254.7052072624947</v>
      </c>
      <c r="AC643" s="80">
        <f t="shared" si="674"/>
        <v>723.41449907367974</v>
      </c>
      <c r="AD643" s="80"/>
      <c r="AE643" s="80"/>
      <c r="AF643" s="80"/>
      <c r="AG643" s="80"/>
      <c r="AH643" s="80"/>
      <c r="AI643" s="80"/>
      <c r="AJ643" s="45">
        <f t="shared" si="663"/>
        <v>0</v>
      </c>
      <c r="AK643" s="45">
        <f t="shared" si="664"/>
        <v>0</v>
      </c>
      <c r="AL643" s="45">
        <f t="shared" si="665"/>
        <v>0</v>
      </c>
      <c r="AM643" s="45">
        <f t="shared" si="666"/>
        <v>0</v>
      </c>
      <c r="AN643" s="45">
        <f t="shared" si="667"/>
        <v>0</v>
      </c>
      <c r="AO643" s="45">
        <f t="shared" si="668"/>
        <v>0</v>
      </c>
      <c r="AP643" s="80">
        <f t="shared" si="718"/>
        <v>0</v>
      </c>
      <c r="AQ643" s="80">
        <f t="shared" si="719"/>
        <v>0</v>
      </c>
      <c r="AR643" s="80">
        <f t="shared" si="720"/>
        <v>0</v>
      </c>
      <c r="AS643" s="80">
        <f t="shared" si="721"/>
        <v>0</v>
      </c>
      <c r="AT643" s="80">
        <f t="shared" si="722"/>
        <v>0</v>
      </c>
      <c r="AU643" s="80">
        <f t="shared" si="723"/>
        <v>0</v>
      </c>
      <c r="AV643" s="80">
        <f t="shared" si="675"/>
        <v>95.906095453103973</v>
      </c>
      <c r="AW643" s="80">
        <f t="shared" si="676"/>
        <v>45.07206318439151</v>
      </c>
      <c r="AX643" s="80">
        <f t="shared" si="677"/>
        <v>28.473867249768208</v>
      </c>
      <c r="AY643" s="80">
        <f t="shared" si="678"/>
        <v>21.754232793177181</v>
      </c>
      <c r="AZ643" s="80">
        <f t="shared" si="679"/>
        <v>261.80944967864627</v>
      </c>
      <c r="BA643" s="80">
        <f t="shared" si="680"/>
        <v>130.4863984515718</v>
      </c>
      <c r="BB643" s="80">
        <f t="shared" si="681"/>
        <v>600.48334635996616</v>
      </c>
      <c r="BC643" s="80">
        <f t="shared" si="682"/>
        <v>235.49384924953276</v>
      </c>
      <c r="BD643" s="80">
        <f t="shared" si="683"/>
        <v>181.04371126893926</v>
      </c>
      <c r="BE643" s="80">
        <f t="shared" si="684"/>
        <v>131.81712847076119</v>
      </c>
      <c r="BF643" s="80">
        <f t="shared" si="685"/>
        <v>1516.5146569411409</v>
      </c>
      <c r="BG643" s="80">
        <f t="shared" si="686"/>
        <v>853.90089752525159</v>
      </c>
      <c r="BH643" s="49">
        <f t="shared" si="687"/>
        <v>0</v>
      </c>
      <c r="BI643" s="79">
        <f t="shared" si="688"/>
        <v>-120514.44507510918</v>
      </c>
      <c r="BJ643" s="79">
        <f t="shared" si="724"/>
        <v>199260.8314396007</v>
      </c>
      <c r="BK643" s="44">
        <f t="shared" si="689"/>
        <v>0.65341865297071888</v>
      </c>
      <c r="BL643" s="79">
        <f t="shared" si="690"/>
        <v>30490.934546679862</v>
      </c>
      <c r="BM643" s="49">
        <f t="shared" si="691"/>
        <v>229751.76598628057</v>
      </c>
      <c r="BN643" s="44">
        <f t="shared" si="692"/>
        <v>0.90642512474824533</v>
      </c>
      <c r="BO643" s="49">
        <f t="shared" si="725"/>
        <v>39486.090327729602</v>
      </c>
      <c r="BP643" s="49">
        <f t="shared" si="726"/>
        <v>238746.92176733032</v>
      </c>
      <c r="BQ643" s="44">
        <f t="shared" si="693"/>
        <v>0.98106477292854133</v>
      </c>
      <c r="BS643" s="49">
        <f t="shared" si="694"/>
        <v>120514.44507510918</v>
      </c>
      <c r="BT643" s="49">
        <f t="shared" si="710"/>
        <v>138.970001</v>
      </c>
      <c r="BU643" s="49">
        <f t="shared" si="711"/>
        <v>40.98</v>
      </c>
      <c r="BV643" s="49">
        <f t="shared" si="695"/>
        <v>0</v>
      </c>
      <c r="BW643" s="18">
        <f t="shared" si="727"/>
        <v>4206</v>
      </c>
      <c r="BX643" s="19">
        <f t="shared" si="696"/>
        <v>3.5321100917431195E-2</v>
      </c>
      <c r="BY643" s="49">
        <f t="shared" si="697"/>
        <v>0</v>
      </c>
      <c r="BZ643" s="19">
        <f t="shared" si="698"/>
        <v>0</v>
      </c>
      <c r="CA643" s="19">
        <f t="shared" si="699"/>
        <v>0</v>
      </c>
      <c r="CB643" s="19">
        <f t="shared" si="700"/>
        <v>0</v>
      </c>
      <c r="CC643" s="19">
        <f t="shared" si="701"/>
        <v>0</v>
      </c>
      <c r="CD643" s="19">
        <f t="shared" si="702"/>
        <v>0</v>
      </c>
      <c r="CE643" s="19">
        <f t="shared" si="703"/>
        <v>0</v>
      </c>
      <c r="CF643" s="49">
        <f t="shared" si="704"/>
        <v>0</v>
      </c>
      <c r="CG643" s="49">
        <f t="shared" si="705"/>
        <v>0</v>
      </c>
      <c r="CH643" s="49">
        <f t="shared" si="706"/>
        <v>0</v>
      </c>
      <c r="CI643" s="49">
        <f t="shared" si="707"/>
        <v>0</v>
      </c>
      <c r="CJ643" s="49">
        <f t="shared" si="708"/>
        <v>0</v>
      </c>
      <c r="CK643" s="49">
        <f t="shared" si="709"/>
        <v>0</v>
      </c>
    </row>
    <row r="644" spans="2:89" ht="12.75" customHeight="1" x14ac:dyDescent="0.2">
      <c r="B644" s="77">
        <v>43506</v>
      </c>
      <c r="C644" s="79">
        <v>142.740005</v>
      </c>
      <c r="D644" s="79">
        <v>107.459999</v>
      </c>
      <c r="E644" s="79">
        <v>107.790001</v>
      </c>
      <c r="F644" s="79">
        <v>131.770004</v>
      </c>
      <c r="G644" s="79">
        <v>40.389999000000003</v>
      </c>
      <c r="H644" s="79">
        <v>40.860000999999997</v>
      </c>
      <c r="I644" s="79"/>
      <c r="J644" s="78">
        <f>IF(inter=Weekly_2,J643+$C$5,IF(inter=Bi_weekly_2,J642+$C$5,IF(inter=Monthly_2,0,IF(inter=Quarterly_2,0,IF(inter=Yearly_2,0,IF(inter=None_2,0,0))))))</f>
        <v>200600</v>
      </c>
      <c r="K644" s="79">
        <f t="shared" si="728"/>
        <v>1813.359317331764</v>
      </c>
      <c r="L644" s="79">
        <f t="shared" si="729"/>
        <v>402.72494013829055</v>
      </c>
      <c r="M644" s="79">
        <f t="shared" si="730"/>
        <v>397.5036393962946</v>
      </c>
      <c r="N644" s="79">
        <f t="shared" si="731"/>
        <v>460.98820368682755</v>
      </c>
      <c r="O644" s="79">
        <f t="shared" si="732"/>
        <v>527.54206662695651</v>
      </c>
      <c r="P644" s="79">
        <f t="shared" si="733"/>
        <v>-531.28284443495068</v>
      </c>
      <c r="Q644" s="79"/>
      <c r="R644" s="80">
        <f t="shared" si="712"/>
        <v>-12.703932000925487</v>
      </c>
      <c r="S644" s="80">
        <f t="shared" si="713"/>
        <v>-3.7476730307645969</v>
      </c>
      <c r="T644" s="80">
        <f t="shared" si="714"/>
        <v>-3.6877598637028921</v>
      </c>
      <c r="U644" s="80">
        <f t="shared" si="715"/>
        <v>-3.4984305205517603</v>
      </c>
      <c r="V644" s="80">
        <f t="shared" si="716"/>
        <v>-13.061205241103286</v>
      </c>
      <c r="W644" s="80">
        <f t="shared" si="717"/>
        <v>13.002516677249977</v>
      </c>
      <c r="X644" s="80">
        <f t="shared" si="669"/>
        <v>491.87331890593674</v>
      </c>
      <c r="Y644" s="80">
        <f t="shared" si="670"/>
        <v>186.67411303437666</v>
      </c>
      <c r="Z644" s="80">
        <f t="shared" si="671"/>
        <v>148.88208415546816</v>
      </c>
      <c r="AA644" s="80">
        <f t="shared" si="672"/>
        <v>106.56446515703226</v>
      </c>
      <c r="AB644" s="80">
        <f t="shared" si="673"/>
        <v>1241.6440020213913</v>
      </c>
      <c r="AC644" s="80">
        <f t="shared" si="674"/>
        <v>736.41701575092975</v>
      </c>
      <c r="AD644" s="80"/>
      <c r="AE644" s="80"/>
      <c r="AF644" s="80"/>
      <c r="AG644" s="80"/>
      <c r="AH644" s="80"/>
      <c r="AI644" s="80"/>
      <c r="AJ644" s="45">
        <f t="shared" si="663"/>
        <v>0</v>
      </c>
      <c r="AK644" s="45">
        <f t="shared" si="664"/>
        <v>0</v>
      </c>
      <c r="AL644" s="45">
        <f t="shared" si="665"/>
        <v>0</v>
      </c>
      <c r="AM644" s="45">
        <f t="shared" si="666"/>
        <v>0</v>
      </c>
      <c r="AN644" s="45">
        <f t="shared" si="667"/>
        <v>0</v>
      </c>
      <c r="AO644" s="45">
        <f t="shared" si="668"/>
        <v>0</v>
      </c>
      <c r="AP644" s="80">
        <f t="shared" si="718"/>
        <v>0</v>
      </c>
      <c r="AQ644" s="80">
        <f t="shared" si="719"/>
        <v>0</v>
      </c>
      <c r="AR644" s="80">
        <f t="shared" si="720"/>
        <v>0</v>
      </c>
      <c r="AS644" s="80">
        <f t="shared" si="721"/>
        <v>0</v>
      </c>
      <c r="AT644" s="80">
        <f t="shared" si="722"/>
        <v>0</v>
      </c>
      <c r="AU644" s="80">
        <f t="shared" si="723"/>
        <v>0</v>
      </c>
      <c r="AV644" s="80">
        <f t="shared" si="675"/>
        <v>95.906095453103973</v>
      </c>
      <c r="AW644" s="80">
        <f t="shared" si="676"/>
        <v>45.07206318439151</v>
      </c>
      <c r="AX644" s="80">
        <f t="shared" si="677"/>
        <v>28.473867249768208</v>
      </c>
      <c r="AY644" s="80">
        <f t="shared" si="678"/>
        <v>21.754232793177181</v>
      </c>
      <c r="AZ644" s="80">
        <f t="shared" si="679"/>
        <v>261.80944967864627</v>
      </c>
      <c r="BA644" s="80">
        <f t="shared" si="680"/>
        <v>130.4863984515718</v>
      </c>
      <c r="BB644" s="80">
        <f t="shared" si="681"/>
        <v>587.77941435904074</v>
      </c>
      <c r="BC644" s="80">
        <f t="shared" si="682"/>
        <v>231.74617621876817</v>
      </c>
      <c r="BD644" s="80">
        <f t="shared" si="683"/>
        <v>177.35595140523637</v>
      </c>
      <c r="BE644" s="80">
        <f t="shared" si="684"/>
        <v>128.31869795020944</v>
      </c>
      <c r="BF644" s="80">
        <f t="shared" si="685"/>
        <v>1503.4534517000375</v>
      </c>
      <c r="BG644" s="80">
        <f t="shared" si="686"/>
        <v>866.90341420250161</v>
      </c>
      <c r="BH644" s="49">
        <f t="shared" si="687"/>
        <v>0</v>
      </c>
      <c r="BI644" s="79">
        <f t="shared" si="688"/>
        <v>-117443.60975236402</v>
      </c>
      <c r="BJ644" s="79">
        <f t="shared" si="724"/>
        <v>200600</v>
      </c>
      <c r="BK644" s="44">
        <f t="shared" si="689"/>
        <v>0.7080537665946709</v>
      </c>
      <c r="BL644" s="79">
        <f t="shared" si="690"/>
        <v>30490.934546679862</v>
      </c>
      <c r="BM644" s="49">
        <f t="shared" si="691"/>
        <v>231090.93454667987</v>
      </c>
      <c r="BN644" s="44">
        <f t="shared" si="692"/>
        <v>0.96767567885513017</v>
      </c>
      <c r="BO644" s="49">
        <f t="shared" si="725"/>
        <v>40374.991712658157</v>
      </c>
      <c r="BP644" s="49">
        <f t="shared" si="726"/>
        <v>240974.99171265814</v>
      </c>
      <c r="BQ644" s="44">
        <f t="shared" si="693"/>
        <v>1.0518357041372153</v>
      </c>
      <c r="BS644" s="49">
        <f t="shared" si="694"/>
        <v>117443.60975236402</v>
      </c>
      <c r="BT644" s="49">
        <f t="shared" si="710"/>
        <v>142.740005</v>
      </c>
      <c r="BU644" s="49">
        <f t="shared" si="711"/>
        <v>40.860000999999997</v>
      </c>
      <c r="BV644" s="49">
        <f t="shared" si="695"/>
        <v>-3070.8353227451826</v>
      </c>
      <c r="BW644" s="18">
        <f t="shared" si="727"/>
        <v>4213</v>
      </c>
      <c r="BX644" s="19">
        <f t="shared" si="696"/>
        <v>3.3715596330275231E-2</v>
      </c>
      <c r="BY644" s="49">
        <f t="shared" si="697"/>
        <v>-103.53504413842704</v>
      </c>
      <c r="BZ644" s="19">
        <f t="shared" si="698"/>
        <v>0</v>
      </c>
      <c r="CA644" s="19">
        <f t="shared" si="699"/>
        <v>0</v>
      </c>
      <c r="CB644" s="19">
        <f t="shared" si="700"/>
        <v>0</v>
      </c>
      <c r="CC644" s="19">
        <f t="shared" si="701"/>
        <v>0</v>
      </c>
      <c r="CD644" s="19">
        <f t="shared" si="702"/>
        <v>0</v>
      </c>
      <c r="CE644" s="19">
        <f t="shared" si="703"/>
        <v>13.002516677249977</v>
      </c>
      <c r="CF644" s="49">
        <f t="shared" si="704"/>
        <v>0</v>
      </c>
      <c r="CG644" s="49">
        <f t="shared" si="705"/>
        <v>0</v>
      </c>
      <c r="CH644" s="49">
        <f t="shared" si="706"/>
        <v>0</v>
      </c>
      <c r="CI644" s="49">
        <f t="shared" si="707"/>
        <v>0</v>
      </c>
      <c r="CJ644" s="49">
        <f t="shared" si="708"/>
        <v>0</v>
      </c>
      <c r="CK644" s="49">
        <f t="shared" si="709"/>
        <v>-531.28284443495068</v>
      </c>
    </row>
    <row r="645" spans="2:89" ht="12.75" customHeight="1" x14ac:dyDescent="0.2">
      <c r="B645" s="77">
        <v>43513</v>
      </c>
      <c r="C645" s="79">
        <v>143.770004</v>
      </c>
      <c r="D645" s="79">
        <v>108.230003</v>
      </c>
      <c r="E645" s="79">
        <v>109.019997</v>
      </c>
      <c r="F645" s="79">
        <v>133.449997</v>
      </c>
      <c r="G645" s="79">
        <v>40.799999</v>
      </c>
      <c r="H645" s="79">
        <v>41.84</v>
      </c>
      <c r="I645" s="79"/>
      <c r="J645" s="78">
        <f>IF(inter=Weekly_2,J644+$C$5,IF(inter=Bi_weekly_2,0,IF(inter=Monthly_2,0,IF(inter=Quarterly_2,0,IF(inter=Yearly_2,0,IF(inter=None_2,0,0))))))</f>
        <v>0</v>
      </c>
      <c r="K645" s="79">
        <f t="shared" si="728"/>
        <v>0</v>
      </c>
      <c r="L645" s="79">
        <f t="shared" si="729"/>
        <v>0</v>
      </c>
      <c r="M645" s="79">
        <f t="shared" si="730"/>
        <v>0</v>
      </c>
      <c r="N645" s="79">
        <f t="shared" si="731"/>
        <v>0</v>
      </c>
      <c r="O645" s="79">
        <f t="shared" si="732"/>
        <v>0</v>
      </c>
      <c r="P645" s="79">
        <f t="shared" si="733"/>
        <v>0</v>
      </c>
      <c r="Q645" s="79"/>
      <c r="R645" s="80">
        <f t="shared" si="712"/>
        <v>0</v>
      </c>
      <c r="S645" s="80">
        <f t="shared" si="713"/>
        <v>0</v>
      </c>
      <c r="T645" s="80">
        <f t="shared" si="714"/>
        <v>0</v>
      </c>
      <c r="U645" s="80">
        <f t="shared" si="715"/>
        <v>0</v>
      </c>
      <c r="V645" s="80">
        <f t="shared" si="716"/>
        <v>0</v>
      </c>
      <c r="W645" s="80">
        <f t="shared" si="717"/>
        <v>0</v>
      </c>
      <c r="X645" s="80">
        <f t="shared" si="669"/>
        <v>491.87331890593674</v>
      </c>
      <c r="Y645" s="80">
        <f t="shared" si="670"/>
        <v>186.67411303437666</v>
      </c>
      <c r="Z645" s="80">
        <f t="shared" si="671"/>
        <v>148.88208415546816</v>
      </c>
      <c r="AA645" s="80">
        <f t="shared" si="672"/>
        <v>106.56446515703226</v>
      </c>
      <c r="AB645" s="80">
        <f t="shared" si="673"/>
        <v>1241.6440020213913</v>
      </c>
      <c r="AC645" s="80">
        <f t="shared" si="674"/>
        <v>736.41701575092975</v>
      </c>
      <c r="AD645" s="80"/>
      <c r="AE645" s="80"/>
      <c r="AF645" s="80"/>
      <c r="AG645" s="80"/>
      <c r="AH645" s="80"/>
      <c r="AI645" s="80"/>
      <c r="AJ645" s="45">
        <f t="shared" si="663"/>
        <v>0</v>
      </c>
      <c r="AK645" s="45">
        <f t="shared" si="664"/>
        <v>0</v>
      </c>
      <c r="AL645" s="45">
        <f t="shared" si="665"/>
        <v>0</v>
      </c>
      <c r="AM645" s="45">
        <f t="shared" si="666"/>
        <v>0</v>
      </c>
      <c r="AN645" s="45">
        <f t="shared" si="667"/>
        <v>0</v>
      </c>
      <c r="AO645" s="45">
        <f t="shared" si="668"/>
        <v>0</v>
      </c>
      <c r="AP645" s="80">
        <f t="shared" si="718"/>
        <v>0</v>
      </c>
      <c r="AQ645" s="80">
        <f t="shared" si="719"/>
        <v>0</v>
      </c>
      <c r="AR645" s="80">
        <f t="shared" si="720"/>
        <v>0</v>
      </c>
      <c r="AS645" s="80">
        <f t="shared" si="721"/>
        <v>0</v>
      </c>
      <c r="AT645" s="80">
        <f t="shared" si="722"/>
        <v>0</v>
      </c>
      <c r="AU645" s="80">
        <f t="shared" si="723"/>
        <v>0</v>
      </c>
      <c r="AV645" s="80">
        <f t="shared" si="675"/>
        <v>95.906095453103973</v>
      </c>
      <c r="AW645" s="80">
        <f t="shared" si="676"/>
        <v>45.07206318439151</v>
      </c>
      <c r="AX645" s="80">
        <f t="shared" si="677"/>
        <v>28.473867249768208</v>
      </c>
      <c r="AY645" s="80">
        <f t="shared" si="678"/>
        <v>21.754232793177181</v>
      </c>
      <c r="AZ645" s="80">
        <f t="shared" si="679"/>
        <v>261.80944967864627</v>
      </c>
      <c r="BA645" s="80">
        <f t="shared" si="680"/>
        <v>130.4863984515718</v>
      </c>
      <c r="BB645" s="80">
        <f t="shared" si="681"/>
        <v>587.77941435904074</v>
      </c>
      <c r="BC645" s="80">
        <f t="shared" si="682"/>
        <v>231.74617621876817</v>
      </c>
      <c r="BD645" s="80">
        <f t="shared" si="683"/>
        <v>177.35595140523637</v>
      </c>
      <c r="BE645" s="80">
        <f t="shared" si="684"/>
        <v>128.31869795020944</v>
      </c>
      <c r="BF645" s="80">
        <f t="shared" si="685"/>
        <v>1503.4534517000375</v>
      </c>
      <c r="BG645" s="80">
        <f t="shared" si="686"/>
        <v>866.90341420250161</v>
      </c>
      <c r="BH645" s="49">
        <f t="shared" si="687"/>
        <v>0</v>
      </c>
      <c r="BI645" s="79">
        <f t="shared" si="688"/>
        <v>-117443.60975236402</v>
      </c>
      <c r="BJ645" s="79">
        <f t="shared" si="724"/>
        <v>202843.28274367584</v>
      </c>
      <c r="BK645" s="44">
        <f t="shared" si="689"/>
        <v>0.72715470148934869</v>
      </c>
      <c r="BL645" s="79">
        <f t="shared" si="690"/>
        <v>30490.934546679862</v>
      </c>
      <c r="BM645" s="49">
        <f t="shared" si="691"/>
        <v>233334.21729035571</v>
      </c>
      <c r="BN645" s="44">
        <f t="shared" si="692"/>
        <v>0.98677661374980796</v>
      </c>
      <c r="BO645" s="49">
        <f t="shared" si="725"/>
        <v>40815.268680008026</v>
      </c>
      <c r="BP645" s="49">
        <f t="shared" si="726"/>
        <v>243658.55142368388</v>
      </c>
      <c r="BQ645" s="44">
        <f t="shared" si="693"/>
        <v>1.0746854761825753</v>
      </c>
      <c r="BS645" s="49">
        <f t="shared" si="694"/>
        <v>117443.60975236402</v>
      </c>
      <c r="BT645" s="49">
        <f t="shared" si="710"/>
        <v>143.770004</v>
      </c>
      <c r="BU645" s="49">
        <f t="shared" si="711"/>
        <v>41.84</v>
      </c>
      <c r="BV645" s="49">
        <f t="shared" si="695"/>
        <v>0</v>
      </c>
      <c r="BW645" s="18">
        <f t="shared" si="727"/>
        <v>4220</v>
      </c>
      <c r="BX645" s="19">
        <f t="shared" si="696"/>
        <v>3.2110091743119268E-2</v>
      </c>
      <c r="BY645" s="49">
        <f t="shared" si="697"/>
        <v>0</v>
      </c>
      <c r="BZ645" s="19">
        <f t="shared" si="698"/>
        <v>0</v>
      </c>
      <c r="CA645" s="19">
        <f t="shared" si="699"/>
        <v>0</v>
      </c>
      <c r="CB645" s="19">
        <f t="shared" si="700"/>
        <v>0</v>
      </c>
      <c r="CC645" s="19">
        <f t="shared" si="701"/>
        <v>0</v>
      </c>
      <c r="CD645" s="19">
        <f t="shared" si="702"/>
        <v>0</v>
      </c>
      <c r="CE645" s="19">
        <f t="shared" si="703"/>
        <v>0</v>
      </c>
      <c r="CF645" s="49">
        <f t="shared" si="704"/>
        <v>0</v>
      </c>
      <c r="CG645" s="49">
        <f t="shared" si="705"/>
        <v>0</v>
      </c>
      <c r="CH645" s="49">
        <f t="shared" si="706"/>
        <v>0</v>
      </c>
      <c r="CI645" s="49">
        <f t="shared" si="707"/>
        <v>0</v>
      </c>
      <c r="CJ645" s="49">
        <f t="shared" si="708"/>
        <v>0</v>
      </c>
      <c r="CK645" s="49">
        <f t="shared" si="709"/>
        <v>0</v>
      </c>
    </row>
    <row r="646" spans="2:89" ht="12.75" customHeight="1" x14ac:dyDescent="0.2">
      <c r="B646" s="77">
        <v>43520</v>
      </c>
      <c r="C646" s="79">
        <v>144.41999799999999</v>
      </c>
      <c r="D646" s="79">
        <v>108.30999799999999</v>
      </c>
      <c r="E646" s="79">
        <v>108.949997</v>
      </c>
      <c r="F646" s="79">
        <v>132.78999300000001</v>
      </c>
      <c r="G646" s="79">
        <v>41.049999</v>
      </c>
      <c r="H646" s="79">
        <v>41.669998</v>
      </c>
      <c r="I646" s="79"/>
      <c r="J646" s="78">
        <f>IF(inter=Weekly_2,J645+$C$5,IF(inter=Bi_weekly_2,J644+$C$5,IF(inter=Monthly_2,J642+$C$5,IF(inter=Quarterly_2,0,IF(inter=Yearly_2,0,IF(inter=None_2,0,0))))))</f>
        <v>201200</v>
      </c>
      <c r="K646" s="79">
        <f t="shared" si="728"/>
        <v>616.34373264874739</v>
      </c>
      <c r="L646" s="79">
        <f t="shared" si="729"/>
        <v>98.672809405110456</v>
      </c>
      <c r="M646" s="79">
        <f t="shared" si="730"/>
        <v>124.70262209200337</v>
      </c>
      <c r="N646" s="79">
        <f t="shared" si="731"/>
        <v>66.694582251057</v>
      </c>
      <c r="O646" s="79">
        <f t="shared" si="732"/>
        <v>669.48504133411188</v>
      </c>
      <c r="P646" s="79">
        <f t="shared" si="733"/>
        <v>506.49557350721079</v>
      </c>
      <c r="Q646" s="79"/>
      <c r="R646" s="80">
        <f t="shared" si="712"/>
        <v>-4.2677173603668619</v>
      </c>
      <c r="S646" s="80">
        <f t="shared" si="713"/>
        <v>-0.91102216994880258</v>
      </c>
      <c r="T646" s="80">
        <f t="shared" si="714"/>
        <v>-1.1445858240088191</v>
      </c>
      <c r="U646" s="80">
        <f t="shared" si="715"/>
        <v>-0.50225608680510281</v>
      </c>
      <c r="V646" s="80">
        <f t="shared" si="716"/>
        <v>-16.309014802512223</v>
      </c>
      <c r="W646" s="80">
        <f t="shared" si="717"/>
        <v>-12.154921953853005</v>
      </c>
      <c r="X646" s="80">
        <f t="shared" si="669"/>
        <v>487.60560154556987</v>
      </c>
      <c r="Y646" s="80">
        <f t="shared" si="670"/>
        <v>185.76309086442785</v>
      </c>
      <c r="Z646" s="80">
        <f t="shared" si="671"/>
        <v>147.73749833145934</v>
      </c>
      <c r="AA646" s="80">
        <f t="shared" si="672"/>
        <v>106.06220907022715</v>
      </c>
      <c r="AB646" s="80">
        <f t="shared" si="673"/>
        <v>1225.3349872188792</v>
      </c>
      <c r="AC646" s="80">
        <f t="shared" si="674"/>
        <v>724.26209379707677</v>
      </c>
      <c r="AD646" s="80"/>
      <c r="AE646" s="80"/>
      <c r="AF646" s="80"/>
      <c r="AG646" s="80"/>
      <c r="AH646" s="80"/>
      <c r="AI646" s="80"/>
      <c r="AJ646" s="45">
        <f t="shared" si="663"/>
        <v>0</v>
      </c>
      <c r="AK646" s="45">
        <f t="shared" si="664"/>
        <v>0</v>
      </c>
      <c r="AL646" s="45">
        <f t="shared" si="665"/>
        <v>0</v>
      </c>
      <c r="AM646" s="45">
        <f t="shared" si="666"/>
        <v>0</v>
      </c>
      <c r="AN646" s="45">
        <f t="shared" si="667"/>
        <v>0</v>
      </c>
      <c r="AO646" s="45">
        <f t="shared" si="668"/>
        <v>0</v>
      </c>
      <c r="AP646" s="80">
        <f t="shared" si="718"/>
        <v>0</v>
      </c>
      <c r="AQ646" s="80">
        <f t="shared" si="719"/>
        <v>0</v>
      </c>
      <c r="AR646" s="80">
        <f t="shared" si="720"/>
        <v>0</v>
      </c>
      <c r="AS646" s="80">
        <f t="shared" si="721"/>
        <v>0</v>
      </c>
      <c r="AT646" s="80">
        <f t="shared" si="722"/>
        <v>0</v>
      </c>
      <c r="AU646" s="80">
        <f t="shared" si="723"/>
        <v>0</v>
      </c>
      <c r="AV646" s="80">
        <f t="shared" si="675"/>
        <v>95.906095453103973</v>
      </c>
      <c r="AW646" s="80">
        <f t="shared" si="676"/>
        <v>45.07206318439151</v>
      </c>
      <c r="AX646" s="80">
        <f t="shared" si="677"/>
        <v>28.473867249768208</v>
      </c>
      <c r="AY646" s="80">
        <f t="shared" si="678"/>
        <v>21.754232793177181</v>
      </c>
      <c r="AZ646" s="80">
        <f t="shared" si="679"/>
        <v>261.80944967864627</v>
      </c>
      <c r="BA646" s="80">
        <f t="shared" si="680"/>
        <v>130.4863984515718</v>
      </c>
      <c r="BB646" s="80">
        <f t="shared" si="681"/>
        <v>583.51169699867387</v>
      </c>
      <c r="BC646" s="80">
        <f t="shared" si="682"/>
        <v>230.83515404881936</v>
      </c>
      <c r="BD646" s="80">
        <f t="shared" si="683"/>
        <v>176.21136558122754</v>
      </c>
      <c r="BE646" s="80">
        <f t="shared" si="684"/>
        <v>127.81644186340434</v>
      </c>
      <c r="BF646" s="80">
        <f t="shared" si="685"/>
        <v>1487.1444368975253</v>
      </c>
      <c r="BG646" s="80">
        <f t="shared" si="686"/>
        <v>854.74849224864852</v>
      </c>
      <c r="BH646" s="49">
        <f t="shared" si="687"/>
        <v>0</v>
      </c>
      <c r="BI646" s="79">
        <f t="shared" si="688"/>
        <v>-115361.21539112576</v>
      </c>
      <c r="BJ646" s="79">
        <f t="shared" si="724"/>
        <v>201200</v>
      </c>
      <c r="BK646" s="44">
        <f t="shared" si="689"/>
        <v>0.74408703408543886</v>
      </c>
      <c r="BL646" s="79">
        <f t="shared" si="690"/>
        <v>30490.934546679862</v>
      </c>
      <c r="BM646" s="49">
        <f t="shared" si="691"/>
        <v>231690.93454667987</v>
      </c>
      <c r="BN646" s="44">
        <f t="shared" si="692"/>
        <v>1.0083954018787398</v>
      </c>
      <c r="BO646" s="49">
        <f t="shared" si="725"/>
        <v>40908.130968652593</v>
      </c>
      <c r="BP646" s="49">
        <f t="shared" si="726"/>
        <v>242108.13096865261</v>
      </c>
      <c r="BQ646" s="44">
        <f t="shared" si="693"/>
        <v>1.0986960838423774</v>
      </c>
      <c r="BS646" s="49">
        <f t="shared" si="694"/>
        <v>115361.21539112576</v>
      </c>
      <c r="BT646" s="49">
        <f t="shared" si="710"/>
        <v>144.41999799999999</v>
      </c>
      <c r="BU646" s="49">
        <f t="shared" si="711"/>
        <v>41.669998</v>
      </c>
      <c r="BV646" s="49">
        <f t="shared" si="695"/>
        <v>-2082.3943612382409</v>
      </c>
      <c r="BW646" s="18">
        <f t="shared" si="727"/>
        <v>4227</v>
      </c>
      <c r="BX646" s="19">
        <f t="shared" si="696"/>
        <v>3.0504587155963304E-2</v>
      </c>
      <c r="BY646" s="49">
        <f t="shared" si="697"/>
        <v>-63.522580285478455</v>
      </c>
      <c r="BZ646" s="19">
        <f t="shared" si="698"/>
        <v>0</v>
      </c>
      <c r="CA646" s="19">
        <f t="shared" si="699"/>
        <v>0</v>
      </c>
      <c r="CB646" s="19">
        <f t="shared" si="700"/>
        <v>0</v>
      </c>
      <c r="CC646" s="19">
        <f t="shared" si="701"/>
        <v>0</v>
      </c>
      <c r="CD646" s="19">
        <f t="shared" si="702"/>
        <v>0</v>
      </c>
      <c r="CE646" s="19">
        <f t="shared" si="703"/>
        <v>0</v>
      </c>
      <c r="CF646" s="49">
        <f t="shared" si="704"/>
        <v>0</v>
      </c>
      <c r="CG646" s="49">
        <f t="shared" si="705"/>
        <v>0</v>
      </c>
      <c r="CH646" s="49">
        <f t="shared" si="706"/>
        <v>0</v>
      </c>
      <c r="CI646" s="49">
        <f t="shared" si="707"/>
        <v>0</v>
      </c>
      <c r="CJ646" s="49">
        <f t="shared" si="708"/>
        <v>0</v>
      </c>
      <c r="CK646" s="49">
        <f t="shared" si="709"/>
        <v>0</v>
      </c>
    </row>
    <row r="647" spans="2:89" ht="12.75" customHeight="1" x14ac:dyDescent="0.2">
      <c r="B647" s="77">
        <v>43527</v>
      </c>
      <c r="C647" s="79">
        <v>140.990005</v>
      </c>
      <c r="D647" s="79">
        <v>105.989998</v>
      </c>
      <c r="E647" s="79">
        <v>105.980003</v>
      </c>
      <c r="F647" s="79">
        <v>128.21000699999999</v>
      </c>
      <c r="G647" s="79">
        <v>40.229999999999997</v>
      </c>
      <c r="H647" s="79">
        <v>41.119999</v>
      </c>
      <c r="I647" s="79"/>
      <c r="J647" s="78">
        <f>IF(inter=Weekly_2,J646+$C$5,IF(inter=Bi_weekly_2,0,IF(inter=Monthly_2,0,IF(inter=Quarterly_2,0,IF(inter=Yearly_2,0,IF(inter=None_2,0,0))))))</f>
        <v>0</v>
      </c>
      <c r="K647" s="79">
        <f t="shared" si="728"/>
        <v>0</v>
      </c>
      <c r="L647" s="79">
        <f t="shared" si="729"/>
        <v>0</v>
      </c>
      <c r="M647" s="79">
        <f t="shared" si="730"/>
        <v>0</v>
      </c>
      <c r="N647" s="79">
        <f t="shared" si="731"/>
        <v>0</v>
      </c>
      <c r="O647" s="79">
        <f t="shared" si="732"/>
        <v>0</v>
      </c>
      <c r="P647" s="79">
        <f t="shared" si="733"/>
        <v>0</v>
      </c>
      <c r="Q647" s="79"/>
      <c r="R647" s="80">
        <f t="shared" si="712"/>
        <v>0</v>
      </c>
      <c r="S647" s="80">
        <f t="shared" si="713"/>
        <v>0</v>
      </c>
      <c r="T647" s="80">
        <f t="shared" si="714"/>
        <v>0</v>
      </c>
      <c r="U647" s="80">
        <f t="shared" si="715"/>
        <v>0</v>
      </c>
      <c r="V647" s="80">
        <f t="shared" si="716"/>
        <v>0</v>
      </c>
      <c r="W647" s="80">
        <f t="shared" si="717"/>
        <v>0</v>
      </c>
      <c r="X647" s="80">
        <f t="shared" si="669"/>
        <v>487.60560154556987</v>
      </c>
      <c r="Y647" s="80">
        <f t="shared" si="670"/>
        <v>185.76309086442785</v>
      </c>
      <c r="Z647" s="80">
        <f t="shared" si="671"/>
        <v>147.73749833145934</v>
      </c>
      <c r="AA647" s="80">
        <f t="shared" si="672"/>
        <v>106.06220907022715</v>
      </c>
      <c r="AB647" s="80">
        <f t="shared" si="673"/>
        <v>1225.3349872188792</v>
      </c>
      <c r="AC647" s="80">
        <f t="shared" si="674"/>
        <v>724.26209379707677</v>
      </c>
      <c r="AD647" s="80"/>
      <c r="AE647" s="80"/>
      <c r="AF647" s="80"/>
      <c r="AG647" s="80"/>
      <c r="AH647" s="80"/>
      <c r="AI647" s="80"/>
      <c r="AJ647" s="45">
        <f t="shared" si="663"/>
        <v>0</v>
      </c>
      <c r="AK647" s="45">
        <f t="shared" si="664"/>
        <v>0</v>
      </c>
      <c r="AL647" s="45">
        <f t="shared" si="665"/>
        <v>0</v>
      </c>
      <c r="AM647" s="45">
        <f t="shared" si="666"/>
        <v>0</v>
      </c>
      <c r="AN647" s="45">
        <f t="shared" si="667"/>
        <v>0</v>
      </c>
      <c r="AO647" s="45">
        <f t="shared" si="668"/>
        <v>0</v>
      </c>
      <c r="AP647" s="80">
        <f t="shared" si="718"/>
        <v>0</v>
      </c>
      <c r="AQ647" s="80">
        <f t="shared" si="719"/>
        <v>0</v>
      </c>
      <c r="AR647" s="80">
        <f t="shared" si="720"/>
        <v>0</v>
      </c>
      <c r="AS647" s="80">
        <f t="shared" si="721"/>
        <v>0</v>
      </c>
      <c r="AT647" s="80">
        <f t="shared" si="722"/>
        <v>0</v>
      </c>
      <c r="AU647" s="80">
        <f t="shared" si="723"/>
        <v>0</v>
      </c>
      <c r="AV647" s="80">
        <f t="shared" si="675"/>
        <v>95.906095453103973</v>
      </c>
      <c r="AW647" s="80">
        <f t="shared" si="676"/>
        <v>45.07206318439151</v>
      </c>
      <c r="AX647" s="80">
        <f t="shared" si="677"/>
        <v>28.473867249768208</v>
      </c>
      <c r="AY647" s="80">
        <f t="shared" si="678"/>
        <v>21.754232793177181</v>
      </c>
      <c r="AZ647" s="80">
        <f t="shared" si="679"/>
        <v>261.80944967864627</v>
      </c>
      <c r="BA647" s="80">
        <f t="shared" si="680"/>
        <v>130.4863984515718</v>
      </c>
      <c r="BB647" s="80">
        <f t="shared" si="681"/>
        <v>583.51169699867387</v>
      </c>
      <c r="BC647" s="80">
        <f t="shared" si="682"/>
        <v>230.83515404881936</v>
      </c>
      <c r="BD647" s="80">
        <f t="shared" si="683"/>
        <v>176.21136558122754</v>
      </c>
      <c r="BE647" s="80">
        <f t="shared" si="684"/>
        <v>127.81644186340434</v>
      </c>
      <c r="BF647" s="80">
        <f t="shared" si="685"/>
        <v>1487.1444368975253</v>
      </c>
      <c r="BG647" s="80">
        <f t="shared" si="686"/>
        <v>854.74849224864852</v>
      </c>
      <c r="BH647" s="49">
        <f t="shared" si="687"/>
        <v>0</v>
      </c>
      <c r="BI647" s="79">
        <f t="shared" si="688"/>
        <v>-115361.21539112576</v>
      </c>
      <c r="BJ647" s="79">
        <f t="shared" si="724"/>
        <v>196768.88602133148</v>
      </c>
      <c r="BK647" s="44">
        <f t="shared" si="689"/>
        <v>0.705676256566798</v>
      </c>
      <c r="BL647" s="79">
        <f t="shared" si="690"/>
        <v>30490.934546679862</v>
      </c>
      <c r="BM647" s="49">
        <f t="shared" si="691"/>
        <v>227259.82056801135</v>
      </c>
      <c r="BN647" s="44">
        <f t="shared" si="692"/>
        <v>0.96998462436009891</v>
      </c>
      <c r="BO647" s="49">
        <f t="shared" si="725"/>
        <v>40003.954373892215</v>
      </c>
      <c r="BP647" s="49">
        <f t="shared" si="726"/>
        <v>236772.8403952237</v>
      </c>
      <c r="BQ647" s="44">
        <f t="shared" si="693"/>
        <v>1.0524475196664547</v>
      </c>
      <c r="BS647" s="49">
        <f t="shared" si="694"/>
        <v>115361.21539112576</v>
      </c>
      <c r="BT647" s="49">
        <f t="shared" si="710"/>
        <v>140.990005</v>
      </c>
      <c r="BU647" s="49">
        <f t="shared" si="711"/>
        <v>41.119999</v>
      </c>
      <c r="BV647" s="49">
        <f t="shared" si="695"/>
        <v>0</v>
      </c>
      <c r="BW647" s="18">
        <f t="shared" si="727"/>
        <v>4234</v>
      </c>
      <c r="BX647" s="19">
        <f t="shared" si="696"/>
        <v>2.8899082568807341E-2</v>
      </c>
      <c r="BY647" s="49">
        <f t="shared" si="697"/>
        <v>0</v>
      </c>
      <c r="BZ647" s="19">
        <f t="shared" si="698"/>
        <v>0</v>
      </c>
      <c r="CA647" s="19">
        <f t="shared" si="699"/>
        <v>0</v>
      </c>
      <c r="CB647" s="19">
        <f t="shared" si="700"/>
        <v>0</v>
      </c>
      <c r="CC647" s="19">
        <f t="shared" si="701"/>
        <v>0</v>
      </c>
      <c r="CD647" s="19">
        <f t="shared" si="702"/>
        <v>0</v>
      </c>
      <c r="CE647" s="19">
        <f t="shared" si="703"/>
        <v>0</v>
      </c>
      <c r="CF647" s="49">
        <f t="shared" si="704"/>
        <v>0</v>
      </c>
      <c r="CG647" s="49">
        <f t="shared" si="705"/>
        <v>0</v>
      </c>
      <c r="CH647" s="49">
        <f t="shared" si="706"/>
        <v>0</v>
      </c>
      <c r="CI647" s="49">
        <f t="shared" si="707"/>
        <v>0</v>
      </c>
      <c r="CJ647" s="49">
        <f t="shared" si="708"/>
        <v>0</v>
      </c>
      <c r="CK647" s="49">
        <f t="shared" si="709"/>
        <v>0</v>
      </c>
    </row>
    <row r="648" spans="2:89" ht="12.75" customHeight="1" x14ac:dyDescent="0.2">
      <c r="B648" s="77">
        <v>43534</v>
      </c>
      <c r="C648" s="79">
        <v>145.009995</v>
      </c>
      <c r="D648" s="79">
        <v>108.730003</v>
      </c>
      <c r="E648" s="79">
        <v>108.339996</v>
      </c>
      <c r="F648" s="79">
        <v>130.16000399999999</v>
      </c>
      <c r="G648" s="79">
        <v>41.290000999999997</v>
      </c>
      <c r="H648" s="79">
        <v>42.57</v>
      </c>
      <c r="I648" s="79"/>
      <c r="J648" s="78">
        <f>IF(inter=Weekly_2,J647+$C$5,IF(inter=Bi_weekly_2,J646+$C$5,IF(inter=Monthly_2,0,IF(inter=Quarterly_2,0,IF(inter=Yearly_2,0,IF(inter=None_2,0,0))))))</f>
        <v>201800</v>
      </c>
      <c r="K648" s="79">
        <f t="shared" si="728"/>
        <v>77.685842095073895</v>
      </c>
      <c r="L648" s="79">
        <f t="shared" si="729"/>
        <v>18.021426978513773</v>
      </c>
      <c r="M648" s="79">
        <f t="shared" si="730"/>
        <v>-138.12002171968925</v>
      </c>
      <c r="N648" s="79">
        <f t="shared" si="731"/>
        <v>-320.94244317040102</v>
      </c>
      <c r="O648" s="79">
        <f t="shared" si="732"/>
        <v>144.08284760250535</v>
      </c>
      <c r="P648" s="79">
        <f t="shared" si="733"/>
        <v>561.837332941559</v>
      </c>
      <c r="Q648" s="79"/>
      <c r="R648" s="80">
        <f t="shared" si="712"/>
        <v>-0.53572749999111369</v>
      </c>
      <c r="S648" s="80">
        <f t="shared" si="713"/>
        <v>-0.16574474828731287</v>
      </c>
      <c r="T648" s="80">
        <f t="shared" si="714"/>
        <v>1.2748756398300887</v>
      </c>
      <c r="U648" s="80">
        <f t="shared" si="715"/>
        <v>2.4657531753794433</v>
      </c>
      <c r="V648" s="80">
        <f t="shared" si="716"/>
        <v>-3.4895336428426185</v>
      </c>
      <c r="W648" s="80">
        <f t="shared" si="717"/>
        <v>-13.197964128295959</v>
      </c>
      <c r="X648" s="80">
        <f t="shared" si="669"/>
        <v>487.06987404557873</v>
      </c>
      <c r="Y648" s="80">
        <f t="shared" si="670"/>
        <v>185.59734611614053</v>
      </c>
      <c r="Z648" s="80">
        <f t="shared" si="671"/>
        <v>149.01237397128943</v>
      </c>
      <c r="AA648" s="80">
        <f t="shared" si="672"/>
        <v>108.5279622456066</v>
      </c>
      <c r="AB648" s="80">
        <f t="shared" si="673"/>
        <v>1221.8454535760366</v>
      </c>
      <c r="AC648" s="80">
        <f t="shared" si="674"/>
        <v>711.06412966878077</v>
      </c>
      <c r="AD648" s="80"/>
      <c r="AE648" s="80"/>
      <c r="AF648" s="80"/>
      <c r="AG648" s="80"/>
      <c r="AH648" s="80"/>
      <c r="AI648" s="80"/>
      <c r="AJ648" s="45">
        <f t="shared" si="663"/>
        <v>0</v>
      </c>
      <c r="AK648" s="45">
        <f t="shared" si="664"/>
        <v>0</v>
      </c>
      <c r="AL648" s="45">
        <f t="shared" si="665"/>
        <v>0</v>
      </c>
      <c r="AM648" s="45">
        <f t="shared" si="666"/>
        <v>0</v>
      </c>
      <c r="AN648" s="45">
        <f t="shared" si="667"/>
        <v>0</v>
      </c>
      <c r="AO648" s="45">
        <f t="shared" si="668"/>
        <v>0</v>
      </c>
      <c r="AP648" s="80">
        <f t="shared" si="718"/>
        <v>0</v>
      </c>
      <c r="AQ648" s="80">
        <f t="shared" si="719"/>
        <v>0</v>
      </c>
      <c r="AR648" s="80">
        <f t="shared" si="720"/>
        <v>0</v>
      </c>
      <c r="AS648" s="80">
        <f t="shared" si="721"/>
        <v>0</v>
      </c>
      <c r="AT648" s="80">
        <f t="shared" si="722"/>
        <v>0</v>
      </c>
      <c r="AU648" s="80">
        <f t="shared" si="723"/>
        <v>0</v>
      </c>
      <c r="AV648" s="80">
        <f t="shared" si="675"/>
        <v>95.906095453103973</v>
      </c>
      <c r="AW648" s="80">
        <f t="shared" si="676"/>
        <v>45.07206318439151</v>
      </c>
      <c r="AX648" s="80">
        <f t="shared" si="677"/>
        <v>28.473867249768208</v>
      </c>
      <c r="AY648" s="80">
        <f t="shared" si="678"/>
        <v>21.754232793177181</v>
      </c>
      <c r="AZ648" s="80">
        <f t="shared" si="679"/>
        <v>261.80944967864627</v>
      </c>
      <c r="BA648" s="80">
        <f t="shared" si="680"/>
        <v>130.4863984515718</v>
      </c>
      <c r="BB648" s="80">
        <f t="shared" si="681"/>
        <v>582.97596949868273</v>
      </c>
      <c r="BC648" s="80">
        <f t="shared" si="682"/>
        <v>230.66940930053204</v>
      </c>
      <c r="BD648" s="80">
        <f t="shared" si="683"/>
        <v>177.48624122105764</v>
      </c>
      <c r="BE648" s="80">
        <f t="shared" si="684"/>
        <v>130.28219503878378</v>
      </c>
      <c r="BF648" s="80">
        <f t="shared" si="685"/>
        <v>1483.6549032546827</v>
      </c>
      <c r="BG648" s="80">
        <f t="shared" si="686"/>
        <v>841.55052812035251</v>
      </c>
      <c r="BH648" s="49">
        <f t="shared" si="687"/>
        <v>0</v>
      </c>
      <c r="BI648" s="79">
        <f t="shared" si="688"/>
        <v>-115018.6504063982</v>
      </c>
      <c r="BJ648" s="79">
        <f t="shared" si="724"/>
        <v>201800</v>
      </c>
      <c r="BK648" s="44">
        <f t="shared" si="689"/>
        <v>0.75449806867821123</v>
      </c>
      <c r="BL648" s="79">
        <f t="shared" si="690"/>
        <v>30490.934546679862</v>
      </c>
      <c r="BM648" s="49">
        <f t="shared" si="691"/>
        <v>232290.93454667987</v>
      </c>
      <c r="BN648" s="44">
        <f t="shared" si="692"/>
        <v>1.0195936374311527</v>
      </c>
      <c r="BO648" s="49">
        <f t="shared" si="725"/>
        <v>41089.336099824664</v>
      </c>
      <c r="BP648" s="49">
        <f t="shared" si="726"/>
        <v>242889.33609982466</v>
      </c>
      <c r="BQ648" s="44">
        <f t="shared" si="693"/>
        <v>1.1117387070846152</v>
      </c>
      <c r="BS648" s="49">
        <f t="shared" si="694"/>
        <v>115018.6504063982</v>
      </c>
      <c r="BT648" s="49">
        <f t="shared" si="710"/>
        <v>145.009995</v>
      </c>
      <c r="BU648" s="49">
        <f t="shared" si="711"/>
        <v>42.57</v>
      </c>
      <c r="BV648" s="49">
        <f t="shared" si="695"/>
        <v>-342.56498472756175</v>
      </c>
      <c r="BW648" s="18">
        <f t="shared" si="727"/>
        <v>4241</v>
      </c>
      <c r="BX648" s="19">
        <f t="shared" si="696"/>
        <v>2.7293577981651378E-2</v>
      </c>
      <c r="BY648" s="49">
        <f t="shared" si="697"/>
        <v>-9.3498241244449201</v>
      </c>
      <c r="BZ648" s="19">
        <f t="shared" si="698"/>
        <v>0</v>
      </c>
      <c r="CA648" s="19">
        <f t="shared" si="699"/>
        <v>0</v>
      </c>
      <c r="CB648" s="19">
        <f t="shared" si="700"/>
        <v>1.2748756398300887</v>
      </c>
      <c r="CC648" s="19">
        <f t="shared" si="701"/>
        <v>2.4657531753794433</v>
      </c>
      <c r="CD648" s="19">
        <f t="shared" si="702"/>
        <v>0</v>
      </c>
      <c r="CE648" s="19">
        <f t="shared" si="703"/>
        <v>0</v>
      </c>
      <c r="CF648" s="49">
        <f t="shared" si="704"/>
        <v>0</v>
      </c>
      <c r="CG648" s="49">
        <f t="shared" si="705"/>
        <v>0</v>
      </c>
      <c r="CH648" s="49">
        <f t="shared" si="706"/>
        <v>-138.12002171968925</v>
      </c>
      <c r="CI648" s="49">
        <f t="shared" si="707"/>
        <v>-320.94244317040102</v>
      </c>
      <c r="CJ648" s="49">
        <f t="shared" si="708"/>
        <v>0</v>
      </c>
      <c r="CK648" s="49">
        <f t="shared" si="709"/>
        <v>0</v>
      </c>
    </row>
    <row r="649" spans="2:89" ht="12.75" customHeight="1" x14ac:dyDescent="0.2">
      <c r="B649" s="77">
        <v>43541</v>
      </c>
      <c r="C649" s="79">
        <v>143.55999800000001</v>
      </c>
      <c r="D649" s="79">
        <v>107.209999</v>
      </c>
      <c r="E649" s="79">
        <v>106.739998</v>
      </c>
      <c r="F649" s="79">
        <v>126.43</v>
      </c>
      <c r="G649" s="79">
        <v>40.740001999999997</v>
      </c>
      <c r="H649" s="79">
        <v>41.849997999999999</v>
      </c>
      <c r="I649" s="79"/>
      <c r="J649" s="78">
        <f>IF(inter=Weekly_2,J648+$C$5,IF(inter=Bi_weekly_2,0,IF(inter=Monthly_2,0,IF(inter=Quarterly_2,0,IF(inter=Yearly_2,0,IF(inter=None_2,0,0))))))</f>
        <v>0</v>
      </c>
      <c r="K649" s="79">
        <f t="shared" si="728"/>
        <v>0</v>
      </c>
      <c r="L649" s="79">
        <f t="shared" si="729"/>
        <v>0</v>
      </c>
      <c r="M649" s="79">
        <f t="shared" si="730"/>
        <v>0</v>
      </c>
      <c r="N649" s="79">
        <f t="shared" si="731"/>
        <v>0</v>
      </c>
      <c r="O649" s="79">
        <f t="shared" si="732"/>
        <v>0</v>
      </c>
      <c r="P649" s="79">
        <f t="shared" si="733"/>
        <v>0</v>
      </c>
      <c r="Q649" s="79"/>
      <c r="R649" s="80">
        <f t="shared" si="712"/>
        <v>0</v>
      </c>
      <c r="S649" s="80">
        <f t="shared" si="713"/>
        <v>0</v>
      </c>
      <c r="T649" s="80">
        <f t="shared" si="714"/>
        <v>0</v>
      </c>
      <c r="U649" s="80">
        <f t="shared" si="715"/>
        <v>0</v>
      </c>
      <c r="V649" s="80">
        <f t="shared" si="716"/>
        <v>0</v>
      </c>
      <c r="W649" s="80">
        <f t="shared" si="717"/>
        <v>0</v>
      </c>
      <c r="X649" s="80">
        <f t="shared" si="669"/>
        <v>487.06987404557873</v>
      </c>
      <c r="Y649" s="80">
        <f t="shared" si="670"/>
        <v>185.59734611614053</v>
      </c>
      <c r="Z649" s="80">
        <f t="shared" si="671"/>
        <v>149.01237397128943</v>
      </c>
      <c r="AA649" s="80">
        <f t="shared" si="672"/>
        <v>108.5279622456066</v>
      </c>
      <c r="AB649" s="80">
        <f t="shared" si="673"/>
        <v>1221.8454535760366</v>
      </c>
      <c r="AC649" s="80">
        <f t="shared" si="674"/>
        <v>711.06412966878077</v>
      </c>
      <c r="AD649" s="80"/>
      <c r="AE649" s="80"/>
      <c r="AF649" s="80"/>
      <c r="AG649" s="80"/>
      <c r="AH649" s="80"/>
      <c r="AI649" s="80"/>
      <c r="AJ649" s="45">
        <f t="shared" si="663"/>
        <v>0</v>
      </c>
      <c r="AK649" s="45">
        <f t="shared" si="664"/>
        <v>0</v>
      </c>
      <c r="AL649" s="45">
        <f t="shared" si="665"/>
        <v>0</v>
      </c>
      <c r="AM649" s="45">
        <f t="shared" si="666"/>
        <v>0</v>
      </c>
      <c r="AN649" s="45">
        <f t="shared" si="667"/>
        <v>0</v>
      </c>
      <c r="AO649" s="45">
        <f t="shared" si="668"/>
        <v>0</v>
      </c>
      <c r="AP649" s="80">
        <f t="shared" si="718"/>
        <v>0</v>
      </c>
      <c r="AQ649" s="80">
        <f t="shared" si="719"/>
        <v>0</v>
      </c>
      <c r="AR649" s="80">
        <f t="shared" si="720"/>
        <v>0</v>
      </c>
      <c r="AS649" s="80">
        <f t="shared" si="721"/>
        <v>0</v>
      </c>
      <c r="AT649" s="80">
        <f t="shared" si="722"/>
        <v>0</v>
      </c>
      <c r="AU649" s="80">
        <f t="shared" si="723"/>
        <v>0</v>
      </c>
      <c r="AV649" s="80">
        <f t="shared" si="675"/>
        <v>95.906095453103973</v>
      </c>
      <c r="AW649" s="80">
        <f t="shared" si="676"/>
        <v>45.07206318439151</v>
      </c>
      <c r="AX649" s="80">
        <f t="shared" si="677"/>
        <v>28.473867249768208</v>
      </c>
      <c r="AY649" s="80">
        <f t="shared" si="678"/>
        <v>21.754232793177181</v>
      </c>
      <c r="AZ649" s="80">
        <f t="shared" si="679"/>
        <v>261.80944967864627</v>
      </c>
      <c r="BA649" s="80">
        <f t="shared" si="680"/>
        <v>130.4863984515718</v>
      </c>
      <c r="BB649" s="80">
        <f t="shared" si="681"/>
        <v>582.97596949868273</v>
      </c>
      <c r="BC649" s="80">
        <f t="shared" si="682"/>
        <v>230.66940930053204</v>
      </c>
      <c r="BD649" s="80">
        <f t="shared" si="683"/>
        <v>177.48624122105764</v>
      </c>
      <c r="BE649" s="80">
        <f t="shared" si="684"/>
        <v>130.28219503878378</v>
      </c>
      <c r="BF649" s="80">
        <f t="shared" si="685"/>
        <v>1483.6549032546827</v>
      </c>
      <c r="BG649" s="80">
        <f t="shared" si="686"/>
        <v>841.55052812035251</v>
      </c>
      <c r="BH649" s="49">
        <f t="shared" si="687"/>
        <v>0</v>
      </c>
      <c r="BI649" s="79">
        <f t="shared" si="688"/>
        <v>-115018.6504063982</v>
      </c>
      <c r="BJ649" s="79">
        <f t="shared" si="724"/>
        <v>198984.43082862921</v>
      </c>
      <c r="BK649" s="44">
        <f t="shared" si="689"/>
        <v>0.73001882847305777</v>
      </c>
      <c r="BL649" s="79">
        <f t="shared" si="690"/>
        <v>30490.934546679862</v>
      </c>
      <c r="BM649" s="49">
        <f t="shared" si="691"/>
        <v>229475.36537530908</v>
      </c>
      <c r="BN649" s="44">
        <f t="shared" si="692"/>
        <v>0.99511439722599926</v>
      </c>
      <c r="BO649" s="49">
        <f t="shared" si="725"/>
        <v>40517.115923448313</v>
      </c>
      <c r="BP649" s="49">
        <f t="shared" si="726"/>
        <v>239501.54675207747</v>
      </c>
      <c r="BQ649" s="44">
        <f t="shared" si="693"/>
        <v>1.0822844460949663</v>
      </c>
      <c r="BS649" s="49">
        <f t="shared" si="694"/>
        <v>115018.6504063982</v>
      </c>
      <c r="BT649" s="49">
        <f t="shared" si="710"/>
        <v>143.55999800000001</v>
      </c>
      <c r="BU649" s="49">
        <f t="shared" si="711"/>
        <v>41.849997999999999</v>
      </c>
      <c r="BV649" s="49">
        <f t="shared" si="695"/>
        <v>0</v>
      </c>
      <c r="BW649" s="18">
        <f t="shared" si="727"/>
        <v>4248</v>
      </c>
      <c r="BX649" s="19">
        <f t="shared" si="696"/>
        <v>2.5688073394495414E-2</v>
      </c>
      <c r="BY649" s="49">
        <f t="shared" si="697"/>
        <v>0</v>
      </c>
      <c r="BZ649" s="19">
        <f t="shared" si="698"/>
        <v>0</v>
      </c>
      <c r="CA649" s="19">
        <f t="shared" si="699"/>
        <v>0</v>
      </c>
      <c r="CB649" s="19">
        <f t="shared" si="700"/>
        <v>0</v>
      </c>
      <c r="CC649" s="19">
        <f t="shared" si="701"/>
        <v>0</v>
      </c>
      <c r="CD649" s="19">
        <f t="shared" si="702"/>
        <v>0</v>
      </c>
      <c r="CE649" s="19">
        <f t="shared" si="703"/>
        <v>0</v>
      </c>
      <c r="CF649" s="49">
        <f t="shared" si="704"/>
        <v>0</v>
      </c>
      <c r="CG649" s="49">
        <f t="shared" si="705"/>
        <v>0</v>
      </c>
      <c r="CH649" s="49">
        <f t="shared" si="706"/>
        <v>0</v>
      </c>
      <c r="CI649" s="49">
        <f t="shared" si="707"/>
        <v>0</v>
      </c>
      <c r="CJ649" s="49">
        <f t="shared" si="708"/>
        <v>0</v>
      </c>
      <c r="CK649" s="49">
        <f t="shared" si="709"/>
        <v>0</v>
      </c>
    </row>
    <row r="650" spans="2:89" ht="12.75" customHeight="1" x14ac:dyDescent="0.2">
      <c r="B650" s="77">
        <v>43548</v>
      </c>
      <c r="C650" s="79">
        <v>144.71000699999999</v>
      </c>
      <c r="D650" s="79">
        <v>107.629997</v>
      </c>
      <c r="E650" s="79">
        <v>107.879997</v>
      </c>
      <c r="F650" s="79">
        <v>128.729996</v>
      </c>
      <c r="G650" s="79">
        <v>40.869999</v>
      </c>
      <c r="H650" s="79">
        <v>42.5</v>
      </c>
      <c r="I650" s="79"/>
      <c r="J650" s="78">
        <f>IF(inter=Weekly_2,J649+$C$5,IF(inter=Bi_weekly_2,J648+$C$5,IF(inter=Monthly_2,J646+$C$5,IF(inter=Quarterly_2,0,IF(inter=Yearly_2,0,IF(inter=None_2,0,0))))))</f>
        <v>202400</v>
      </c>
      <c r="K650" s="79">
        <f t="shared" si="728"/>
        <v>-356.11511737518595</v>
      </c>
      <c r="L650" s="79">
        <f t="shared" si="729"/>
        <v>-264.15819431183263</v>
      </c>
      <c r="M650" s="79">
        <f t="shared" si="730"/>
        <v>-116.54554301441749</v>
      </c>
      <c r="N650" s="79">
        <f t="shared" si="731"/>
        <v>-197.19585423491299</v>
      </c>
      <c r="O650" s="79">
        <f t="shared" si="732"/>
        <v>-663.1775341928369</v>
      </c>
      <c r="P650" s="79">
        <f t="shared" si="733"/>
        <v>-139.77448907681901</v>
      </c>
      <c r="Q650" s="79"/>
      <c r="R650" s="80">
        <f t="shared" si="712"/>
        <v>2.4608879838917148</v>
      </c>
      <c r="S650" s="80">
        <f t="shared" si="713"/>
        <v>2.454317585011478</v>
      </c>
      <c r="T650" s="80">
        <f t="shared" si="714"/>
        <v>1.0803257902798931</v>
      </c>
      <c r="U650" s="80">
        <f t="shared" si="715"/>
        <v>1.5318562911701867</v>
      </c>
      <c r="V650" s="80">
        <f t="shared" si="716"/>
        <v>16.226512121833839</v>
      </c>
      <c r="W650" s="80">
        <f t="shared" si="717"/>
        <v>3.288811507689859</v>
      </c>
      <c r="X650" s="80">
        <f t="shared" si="669"/>
        <v>489.53076202947045</v>
      </c>
      <c r="Y650" s="80">
        <f t="shared" si="670"/>
        <v>188.05166370115199</v>
      </c>
      <c r="Z650" s="80">
        <f t="shared" si="671"/>
        <v>150.09269976156932</v>
      </c>
      <c r="AA650" s="80">
        <f t="shared" si="672"/>
        <v>110.05981853677679</v>
      </c>
      <c r="AB650" s="80">
        <f t="shared" si="673"/>
        <v>1238.0719656978704</v>
      </c>
      <c r="AC650" s="80">
        <f t="shared" si="674"/>
        <v>714.35294117647061</v>
      </c>
      <c r="AD650" s="80">
        <v>0.77200000000000002</v>
      </c>
      <c r="AE650" s="80">
        <v>0.73499999999999999</v>
      </c>
      <c r="AF650" s="80">
        <v>0.52200000000000002</v>
      </c>
      <c r="AG650" s="80">
        <v>0.59</v>
      </c>
      <c r="AH650" s="80">
        <v>0.17499999999999999</v>
      </c>
      <c r="AI650" s="80">
        <v>8.2000000000000003E-2</v>
      </c>
      <c r="AJ650" s="45">
        <f t="shared" si="663"/>
        <v>377.91774828675119</v>
      </c>
      <c r="AK650" s="45">
        <f t="shared" si="664"/>
        <v>138.21797282034672</v>
      </c>
      <c r="AL650" s="45">
        <f t="shared" si="665"/>
        <v>78.348389275539191</v>
      </c>
      <c r="AM650" s="45">
        <f t="shared" si="666"/>
        <v>64.935292936698303</v>
      </c>
      <c r="AN650" s="45">
        <f t="shared" si="667"/>
        <v>216.66259399712732</v>
      </c>
      <c r="AO650" s="45">
        <f t="shared" si="668"/>
        <v>58.576941176470591</v>
      </c>
      <c r="AP650" s="80">
        <f t="shared" si="718"/>
        <v>2.6115522770083981</v>
      </c>
      <c r="AQ650" s="80">
        <f t="shared" si="719"/>
        <v>1.2841956394400598</v>
      </c>
      <c r="AR650" s="80">
        <f t="shared" si="720"/>
        <v>0.7262550190424939</v>
      </c>
      <c r="AS650" s="80">
        <f t="shared" si="721"/>
        <v>0.50443016355487424</v>
      </c>
      <c r="AT650" s="80">
        <f t="shared" si="722"/>
        <v>5.3012625225933405</v>
      </c>
      <c r="AU650" s="80">
        <f t="shared" si="723"/>
        <v>1.3782809688581315</v>
      </c>
      <c r="AV650" s="80">
        <f t="shared" si="675"/>
        <v>98.517647730112373</v>
      </c>
      <c r="AW650" s="80">
        <f t="shared" si="676"/>
        <v>46.356258823831567</v>
      </c>
      <c r="AX650" s="80">
        <f t="shared" si="677"/>
        <v>29.200122268810702</v>
      </c>
      <c r="AY650" s="80">
        <f t="shared" si="678"/>
        <v>22.258662956732056</v>
      </c>
      <c r="AZ650" s="80">
        <f t="shared" si="679"/>
        <v>267.11071220123961</v>
      </c>
      <c r="BA650" s="80">
        <f t="shared" si="680"/>
        <v>131.86467942042992</v>
      </c>
      <c r="BB650" s="80">
        <f t="shared" si="681"/>
        <v>588.0484097595828</v>
      </c>
      <c r="BC650" s="80">
        <f t="shared" si="682"/>
        <v>234.40792252498358</v>
      </c>
      <c r="BD650" s="80">
        <f t="shared" si="683"/>
        <v>179.29282203038002</v>
      </c>
      <c r="BE650" s="80">
        <f t="shared" si="684"/>
        <v>132.31848149350884</v>
      </c>
      <c r="BF650" s="80">
        <f t="shared" si="685"/>
        <v>1505.1826778991099</v>
      </c>
      <c r="BG650" s="80">
        <f t="shared" si="686"/>
        <v>846.21762059690059</v>
      </c>
      <c r="BH650" s="49">
        <f t="shared" si="687"/>
        <v>934.65893849293309</v>
      </c>
      <c r="BI650" s="79">
        <f t="shared" si="688"/>
        <v>-116755.61713860421</v>
      </c>
      <c r="BJ650" s="79">
        <f t="shared" si="724"/>
        <v>202400</v>
      </c>
      <c r="BK650" s="44">
        <f t="shared" si="689"/>
        <v>0.73353543889648321</v>
      </c>
      <c r="BL650" s="79">
        <f t="shared" si="690"/>
        <v>31425.593485172794</v>
      </c>
      <c r="BM650" s="49">
        <f t="shared" si="691"/>
        <v>233825.59348517278</v>
      </c>
      <c r="BN650" s="44">
        <f t="shared" si="692"/>
        <v>1.0026924546815694</v>
      </c>
      <c r="BO650" s="49">
        <f t="shared" si="725"/>
        <v>41782.343602854926</v>
      </c>
      <c r="BP650" s="49">
        <f t="shared" si="726"/>
        <v>244182.34360285493</v>
      </c>
      <c r="BQ650" s="44">
        <f t="shared" si="693"/>
        <v>1.09139696733373</v>
      </c>
      <c r="BS650" s="49">
        <f t="shared" si="694"/>
        <v>116755.61713860421</v>
      </c>
      <c r="BT650" s="49">
        <f t="shared" si="710"/>
        <v>144.71000699999999</v>
      </c>
      <c r="BU650" s="49">
        <f t="shared" si="711"/>
        <v>42.5</v>
      </c>
      <c r="BV650" s="49">
        <f t="shared" si="695"/>
        <v>802.30779371307187</v>
      </c>
      <c r="BW650" s="18">
        <f t="shared" si="727"/>
        <v>4255</v>
      </c>
      <c r="BX650" s="19">
        <f t="shared" si="696"/>
        <v>2.4082568807339451E-2</v>
      </c>
      <c r="BY650" s="49">
        <f t="shared" si="697"/>
        <v>19.32163264675976</v>
      </c>
      <c r="BZ650" s="19">
        <f t="shared" si="698"/>
        <v>2.4608879838917148</v>
      </c>
      <c r="CA650" s="19">
        <f t="shared" si="699"/>
        <v>2.454317585011478</v>
      </c>
      <c r="CB650" s="19">
        <f t="shared" si="700"/>
        <v>1.0803257902798931</v>
      </c>
      <c r="CC650" s="19">
        <f t="shared" si="701"/>
        <v>1.5318562911701867</v>
      </c>
      <c r="CD650" s="19">
        <f t="shared" si="702"/>
        <v>16.226512121833839</v>
      </c>
      <c r="CE650" s="19">
        <f t="shared" si="703"/>
        <v>3.288811507689859</v>
      </c>
      <c r="CF650" s="49">
        <f t="shared" si="704"/>
        <v>-356.11511737518595</v>
      </c>
      <c r="CG650" s="49">
        <f t="shared" si="705"/>
        <v>-264.15819431183263</v>
      </c>
      <c r="CH650" s="49">
        <f t="shared" si="706"/>
        <v>-116.54554301441749</v>
      </c>
      <c r="CI650" s="49">
        <f t="shared" si="707"/>
        <v>-197.19585423491299</v>
      </c>
      <c r="CJ650" s="49">
        <f t="shared" si="708"/>
        <v>-663.1775341928369</v>
      </c>
      <c r="CK650" s="49">
        <f t="shared" si="709"/>
        <v>-139.77448907681901</v>
      </c>
    </row>
    <row r="651" spans="2:89" ht="12.75" customHeight="1" x14ac:dyDescent="0.2">
      <c r="B651" s="77">
        <v>43555</v>
      </c>
      <c r="C651" s="79">
        <v>147.779999</v>
      </c>
      <c r="D651" s="79">
        <v>109.599998</v>
      </c>
      <c r="E651" s="79">
        <v>110.800003</v>
      </c>
      <c r="F651" s="79">
        <v>132.679993</v>
      </c>
      <c r="G651" s="79">
        <v>41.759998000000003</v>
      </c>
      <c r="H651" s="79">
        <v>43.849997999999999</v>
      </c>
      <c r="I651" s="79"/>
      <c r="J651" s="78">
        <f>IF(inter=Weekly_2,J650+$C$5,IF(inter=Bi_weekly_2,0,IF(inter=Monthly_2,0,IF(inter=Quarterly_2,0,IF(inter=Yearly_2,0,IF(inter=None_2,0,0))))))</f>
        <v>0</v>
      </c>
      <c r="K651" s="79">
        <f t="shared" si="728"/>
        <v>0</v>
      </c>
      <c r="L651" s="79">
        <f t="shared" si="729"/>
        <v>0</v>
      </c>
      <c r="M651" s="79">
        <f t="shared" si="730"/>
        <v>0</v>
      </c>
      <c r="N651" s="79">
        <f t="shared" si="731"/>
        <v>0</v>
      </c>
      <c r="O651" s="79">
        <f t="shared" si="732"/>
        <v>0</v>
      </c>
      <c r="P651" s="79">
        <f t="shared" si="733"/>
        <v>0</v>
      </c>
      <c r="Q651" s="79"/>
      <c r="R651" s="80">
        <f t="shared" si="712"/>
        <v>0</v>
      </c>
      <c r="S651" s="80">
        <f t="shared" si="713"/>
        <v>0</v>
      </c>
      <c r="T651" s="80">
        <f t="shared" si="714"/>
        <v>0</v>
      </c>
      <c r="U651" s="80">
        <f t="shared" si="715"/>
        <v>0</v>
      </c>
      <c r="V651" s="80">
        <f t="shared" si="716"/>
        <v>0</v>
      </c>
      <c r="W651" s="80">
        <f t="shared" si="717"/>
        <v>0</v>
      </c>
      <c r="X651" s="80">
        <f t="shared" si="669"/>
        <v>489.53076202947045</v>
      </c>
      <c r="Y651" s="80">
        <f t="shared" si="670"/>
        <v>188.05166370115199</v>
      </c>
      <c r="Z651" s="80">
        <f t="shared" si="671"/>
        <v>150.09269976156932</v>
      </c>
      <c r="AA651" s="80">
        <f t="shared" si="672"/>
        <v>110.05981853677679</v>
      </c>
      <c r="AB651" s="80">
        <f t="shared" si="673"/>
        <v>1238.0719656978704</v>
      </c>
      <c r="AC651" s="80">
        <f t="shared" si="674"/>
        <v>714.35294117647061</v>
      </c>
      <c r="AD651" s="80"/>
      <c r="AE651" s="80"/>
      <c r="AF651" s="80"/>
      <c r="AG651" s="80"/>
      <c r="AH651" s="80"/>
      <c r="AI651" s="80"/>
      <c r="AJ651" s="45">
        <f t="shared" si="663"/>
        <v>0</v>
      </c>
      <c r="AK651" s="45">
        <f t="shared" si="664"/>
        <v>0</v>
      </c>
      <c r="AL651" s="45">
        <f t="shared" si="665"/>
        <v>0</v>
      </c>
      <c r="AM651" s="45">
        <f t="shared" si="666"/>
        <v>0</v>
      </c>
      <c r="AN651" s="45">
        <f t="shared" si="667"/>
        <v>0</v>
      </c>
      <c r="AO651" s="45">
        <f t="shared" si="668"/>
        <v>0</v>
      </c>
      <c r="AP651" s="80">
        <f t="shared" si="718"/>
        <v>0</v>
      </c>
      <c r="AQ651" s="80">
        <f t="shared" si="719"/>
        <v>0</v>
      </c>
      <c r="AR651" s="80">
        <f t="shared" si="720"/>
        <v>0</v>
      </c>
      <c r="AS651" s="80">
        <f t="shared" si="721"/>
        <v>0</v>
      </c>
      <c r="AT651" s="80">
        <f t="shared" si="722"/>
        <v>0</v>
      </c>
      <c r="AU651" s="80">
        <f t="shared" si="723"/>
        <v>0</v>
      </c>
      <c r="AV651" s="80">
        <f t="shared" si="675"/>
        <v>98.517647730112373</v>
      </c>
      <c r="AW651" s="80">
        <f t="shared" si="676"/>
        <v>46.356258823831567</v>
      </c>
      <c r="AX651" s="80">
        <f t="shared" si="677"/>
        <v>29.200122268810702</v>
      </c>
      <c r="AY651" s="80">
        <f t="shared" si="678"/>
        <v>22.258662956732056</v>
      </c>
      <c r="AZ651" s="80">
        <f t="shared" si="679"/>
        <v>267.11071220123961</v>
      </c>
      <c r="BA651" s="80">
        <f t="shared" si="680"/>
        <v>131.86467942042992</v>
      </c>
      <c r="BB651" s="80">
        <f t="shared" si="681"/>
        <v>588.0484097595828</v>
      </c>
      <c r="BC651" s="80">
        <f t="shared" si="682"/>
        <v>234.40792252498358</v>
      </c>
      <c r="BD651" s="80">
        <f t="shared" si="683"/>
        <v>179.29282203038002</v>
      </c>
      <c r="BE651" s="80">
        <f t="shared" si="684"/>
        <v>132.31848149350884</v>
      </c>
      <c r="BF651" s="80">
        <f t="shared" si="685"/>
        <v>1505.1826778991099</v>
      </c>
      <c r="BG651" s="80">
        <f t="shared" si="686"/>
        <v>846.21762059690059</v>
      </c>
      <c r="BH651" s="49">
        <f t="shared" si="687"/>
        <v>0</v>
      </c>
      <c r="BI651" s="79">
        <f t="shared" si="688"/>
        <v>-116755.61713860421</v>
      </c>
      <c r="BJ651" s="79">
        <f t="shared" si="724"/>
        <v>207212.5828789096</v>
      </c>
      <c r="BK651" s="44">
        <f t="shared" si="689"/>
        <v>0.7747547223609903</v>
      </c>
      <c r="BL651" s="79">
        <f t="shared" si="690"/>
        <v>31425.593485172794</v>
      </c>
      <c r="BM651" s="49">
        <f t="shared" si="691"/>
        <v>238638.17636408238</v>
      </c>
      <c r="BN651" s="44">
        <f t="shared" si="692"/>
        <v>1.0439117381460767</v>
      </c>
      <c r="BO651" s="49">
        <f t="shared" si="725"/>
        <v>42765.045373849774</v>
      </c>
      <c r="BP651" s="49">
        <f t="shared" si="726"/>
        <v>249977.6282527594</v>
      </c>
      <c r="BQ651" s="44">
        <f t="shared" si="693"/>
        <v>1.1410329916375948</v>
      </c>
      <c r="BS651" s="49">
        <f t="shared" si="694"/>
        <v>116755.61713860421</v>
      </c>
      <c r="BT651" s="49">
        <f t="shared" si="710"/>
        <v>147.779999</v>
      </c>
      <c r="BU651" s="49">
        <f t="shared" si="711"/>
        <v>43.849997999999999</v>
      </c>
      <c r="BV651" s="49">
        <f t="shared" si="695"/>
        <v>0</v>
      </c>
      <c r="BW651" s="18">
        <f t="shared" si="727"/>
        <v>4262</v>
      </c>
      <c r="BX651" s="19">
        <f t="shared" si="696"/>
        <v>2.2477064220183487E-2</v>
      </c>
      <c r="BY651" s="49">
        <f t="shared" si="697"/>
        <v>0</v>
      </c>
      <c r="BZ651" s="19">
        <f t="shared" si="698"/>
        <v>0</v>
      </c>
      <c r="CA651" s="19">
        <f t="shared" si="699"/>
        <v>0</v>
      </c>
      <c r="CB651" s="19">
        <f t="shared" si="700"/>
        <v>0</v>
      </c>
      <c r="CC651" s="19">
        <f t="shared" si="701"/>
        <v>0</v>
      </c>
      <c r="CD651" s="19">
        <f t="shared" si="702"/>
        <v>0</v>
      </c>
      <c r="CE651" s="19">
        <f t="shared" si="703"/>
        <v>0</v>
      </c>
      <c r="CF651" s="49">
        <f t="shared" si="704"/>
        <v>0</v>
      </c>
      <c r="CG651" s="49">
        <f t="shared" si="705"/>
        <v>0</v>
      </c>
      <c r="CH651" s="49">
        <f t="shared" si="706"/>
        <v>0</v>
      </c>
      <c r="CI651" s="49">
        <f t="shared" si="707"/>
        <v>0</v>
      </c>
      <c r="CJ651" s="49">
        <f t="shared" si="708"/>
        <v>0</v>
      </c>
      <c r="CK651" s="49">
        <f t="shared" si="709"/>
        <v>0</v>
      </c>
    </row>
    <row r="652" spans="2:89" ht="12.75" customHeight="1" x14ac:dyDescent="0.2">
      <c r="B652" s="77">
        <v>43562</v>
      </c>
      <c r="C652" s="79">
        <v>148.679993</v>
      </c>
      <c r="D652" s="79">
        <v>109.980003</v>
      </c>
      <c r="E652" s="79">
        <v>111.870003</v>
      </c>
      <c r="F652" s="79">
        <v>133.38999899999999</v>
      </c>
      <c r="G652" s="79">
        <v>41.939999</v>
      </c>
      <c r="H652" s="79">
        <v>43.73</v>
      </c>
      <c r="I652" s="79"/>
      <c r="J652" s="78">
        <f>IF(inter=Weekly_2,J651+$C$5,IF(inter=Bi_weekly_2,J650+$C$5,IF(inter=Monthly_2,0,IF(inter=Quarterly_2,0,IF(inter=Yearly_2,0,IF(inter=None_2,0,0))))))</f>
        <v>203000</v>
      </c>
      <c r="K652" s="79">
        <f t="shared" si="728"/>
        <v>1733.4302718263352</v>
      </c>
      <c r="L652" s="79">
        <f t="shared" si="729"/>
        <v>381.92253800768594</v>
      </c>
      <c r="M652" s="79">
        <f t="shared" si="730"/>
        <v>550.87077260485967</v>
      </c>
      <c r="N652" s="79">
        <f t="shared" si="731"/>
        <v>470.8790845608346</v>
      </c>
      <c r="O652" s="79">
        <f t="shared" si="732"/>
        <v>1174.7370032967156</v>
      </c>
      <c r="P652" s="79">
        <f t="shared" si="733"/>
        <v>788.65411764705641</v>
      </c>
      <c r="Q652" s="79"/>
      <c r="R652" s="80">
        <f t="shared" si="712"/>
        <v>-11.658799794443999</v>
      </c>
      <c r="S652" s="80">
        <f t="shared" si="713"/>
        <v>-3.472654369791988</v>
      </c>
      <c r="T652" s="80">
        <f t="shared" si="714"/>
        <v>-4.9242045037297411</v>
      </c>
      <c r="U652" s="80">
        <f t="shared" si="715"/>
        <v>-3.5300928712116915</v>
      </c>
      <c r="V652" s="80">
        <f t="shared" si="716"/>
        <v>-28.009943521856439</v>
      </c>
      <c r="W652" s="80">
        <f t="shared" si="717"/>
        <v>-18.034624231581443</v>
      </c>
      <c r="X652" s="80">
        <f t="shared" si="669"/>
        <v>477.87196223502644</v>
      </c>
      <c r="Y652" s="80">
        <f t="shared" si="670"/>
        <v>184.57900933136</v>
      </c>
      <c r="Z652" s="80">
        <f t="shared" si="671"/>
        <v>145.16849525783957</v>
      </c>
      <c r="AA652" s="80">
        <f t="shared" si="672"/>
        <v>106.5297256655651</v>
      </c>
      <c r="AB652" s="80">
        <f t="shared" si="673"/>
        <v>1210.0620221760139</v>
      </c>
      <c r="AC652" s="80">
        <f t="shared" si="674"/>
        <v>696.31831694488915</v>
      </c>
      <c r="AD652" s="80"/>
      <c r="AE652" s="80"/>
      <c r="AF652" s="80"/>
      <c r="AG652" s="80"/>
      <c r="AH652" s="80"/>
      <c r="AI652" s="80"/>
      <c r="AJ652" s="45">
        <f t="shared" si="663"/>
        <v>0</v>
      </c>
      <c r="AK652" s="45">
        <f t="shared" si="664"/>
        <v>0</v>
      </c>
      <c r="AL652" s="45">
        <f t="shared" si="665"/>
        <v>0</v>
      </c>
      <c r="AM652" s="45">
        <f t="shared" si="666"/>
        <v>0</v>
      </c>
      <c r="AN652" s="45">
        <f t="shared" si="667"/>
        <v>0</v>
      </c>
      <c r="AO652" s="45">
        <f t="shared" si="668"/>
        <v>0</v>
      </c>
      <c r="AP652" s="80">
        <f t="shared" si="718"/>
        <v>0</v>
      </c>
      <c r="AQ652" s="80">
        <f t="shared" si="719"/>
        <v>0</v>
      </c>
      <c r="AR652" s="80">
        <f t="shared" si="720"/>
        <v>0</v>
      </c>
      <c r="AS652" s="80">
        <f t="shared" si="721"/>
        <v>0</v>
      </c>
      <c r="AT652" s="80">
        <f t="shared" si="722"/>
        <v>0</v>
      </c>
      <c r="AU652" s="80">
        <f t="shared" si="723"/>
        <v>0</v>
      </c>
      <c r="AV652" s="80">
        <f t="shared" si="675"/>
        <v>98.517647730112373</v>
      </c>
      <c r="AW652" s="80">
        <f t="shared" si="676"/>
        <v>46.356258823831567</v>
      </c>
      <c r="AX652" s="80">
        <f t="shared" si="677"/>
        <v>29.200122268810702</v>
      </c>
      <c r="AY652" s="80">
        <f t="shared" si="678"/>
        <v>22.258662956732056</v>
      </c>
      <c r="AZ652" s="80">
        <f t="shared" si="679"/>
        <v>267.11071220123961</v>
      </c>
      <c r="BA652" s="80">
        <f t="shared" si="680"/>
        <v>131.86467942042992</v>
      </c>
      <c r="BB652" s="80">
        <f t="shared" si="681"/>
        <v>576.38960996513879</v>
      </c>
      <c r="BC652" s="80">
        <f t="shared" si="682"/>
        <v>230.93526815519158</v>
      </c>
      <c r="BD652" s="80">
        <f t="shared" si="683"/>
        <v>174.36861752665027</v>
      </c>
      <c r="BE652" s="80">
        <f t="shared" si="684"/>
        <v>128.78838862229716</v>
      </c>
      <c r="BF652" s="80">
        <f t="shared" si="685"/>
        <v>1477.1727343772536</v>
      </c>
      <c r="BG652" s="80">
        <f t="shared" si="686"/>
        <v>828.18299636531901</v>
      </c>
      <c r="BH652" s="49">
        <f t="shared" si="687"/>
        <v>0</v>
      </c>
      <c r="BI652" s="79">
        <f t="shared" si="688"/>
        <v>-111655.12335066072</v>
      </c>
      <c r="BJ652" s="79">
        <f t="shared" si="724"/>
        <v>203000</v>
      </c>
      <c r="BK652" s="44">
        <f t="shared" si="689"/>
        <v>0.81809839000817108</v>
      </c>
      <c r="BL652" s="79">
        <f t="shared" si="690"/>
        <v>31425.593485172794</v>
      </c>
      <c r="BM652" s="49">
        <f t="shared" si="691"/>
        <v>234425.59348517278</v>
      </c>
      <c r="BN652" s="44">
        <f t="shared" si="692"/>
        <v>1.0995507098133133</v>
      </c>
      <c r="BO652" s="49">
        <f t="shared" si="725"/>
        <v>42950.63088842007</v>
      </c>
      <c r="BP652" s="49">
        <f t="shared" si="726"/>
        <v>245950.63088842007</v>
      </c>
      <c r="BQ652" s="44">
        <f t="shared" si="693"/>
        <v>1.2027706701464553</v>
      </c>
      <c r="BS652" s="49">
        <f t="shared" si="694"/>
        <v>111655.12335066072</v>
      </c>
      <c r="BT652" s="49">
        <f t="shared" si="710"/>
        <v>148.679993</v>
      </c>
      <c r="BU652" s="49">
        <f t="shared" si="711"/>
        <v>43.73</v>
      </c>
      <c r="BV652" s="49">
        <f t="shared" si="695"/>
        <v>-5100.4937879434874</v>
      </c>
      <c r="BW652" s="18">
        <f t="shared" si="727"/>
        <v>4269</v>
      </c>
      <c r="BX652" s="19">
        <f t="shared" si="696"/>
        <v>2.0871559633027524E-2</v>
      </c>
      <c r="BY652" s="49">
        <f t="shared" si="697"/>
        <v>-106.45526025294895</v>
      </c>
      <c r="BZ652" s="19">
        <f t="shared" si="698"/>
        <v>0</v>
      </c>
      <c r="CA652" s="19">
        <f t="shared" si="699"/>
        <v>0</v>
      </c>
      <c r="CB652" s="19">
        <f t="shared" si="700"/>
        <v>0</v>
      </c>
      <c r="CC652" s="19">
        <f t="shared" si="701"/>
        <v>0</v>
      </c>
      <c r="CD652" s="19">
        <f t="shared" si="702"/>
        <v>0</v>
      </c>
      <c r="CE652" s="19">
        <f t="shared" si="703"/>
        <v>0</v>
      </c>
      <c r="CF652" s="49">
        <f t="shared" si="704"/>
        <v>0</v>
      </c>
      <c r="CG652" s="49">
        <f t="shared" si="705"/>
        <v>0</v>
      </c>
      <c r="CH652" s="49">
        <f t="shared" si="706"/>
        <v>0</v>
      </c>
      <c r="CI652" s="49">
        <f t="shared" si="707"/>
        <v>0</v>
      </c>
      <c r="CJ652" s="49">
        <f t="shared" si="708"/>
        <v>0</v>
      </c>
      <c r="CK652" s="49">
        <f t="shared" si="709"/>
        <v>0</v>
      </c>
    </row>
    <row r="653" spans="2:89" ht="12.75" customHeight="1" x14ac:dyDescent="0.2">
      <c r="B653" s="77">
        <v>43569</v>
      </c>
      <c r="C653" s="79">
        <v>148.270004</v>
      </c>
      <c r="D653" s="79">
        <v>109.860001</v>
      </c>
      <c r="E653" s="79">
        <v>111.19000200000001</v>
      </c>
      <c r="F653" s="79">
        <v>132.35000600000001</v>
      </c>
      <c r="G653" s="79">
        <v>42.02</v>
      </c>
      <c r="H653" s="79">
        <v>44.009998000000003</v>
      </c>
      <c r="I653" s="79"/>
      <c r="J653" s="78">
        <f>IF(inter=Weekly_2,J652+$C$5,IF(inter=Bi_weekly_2,0,IF(inter=Monthly_2,0,IF(inter=Quarterly_2,J640+$C$5,IF(inter=Yearly_2,0,IF(inter=None_2,0,0))))))</f>
        <v>0</v>
      </c>
      <c r="K653" s="79">
        <f t="shared" si="728"/>
        <v>0</v>
      </c>
      <c r="L653" s="79">
        <f t="shared" si="729"/>
        <v>0</v>
      </c>
      <c r="M653" s="79">
        <f t="shared" si="730"/>
        <v>0</v>
      </c>
      <c r="N653" s="79">
        <f t="shared" si="731"/>
        <v>0</v>
      </c>
      <c r="O653" s="79">
        <f t="shared" si="732"/>
        <v>0</v>
      </c>
      <c r="P653" s="79">
        <f t="shared" si="733"/>
        <v>0</v>
      </c>
      <c r="Q653" s="79"/>
      <c r="R653" s="80">
        <f t="shared" si="712"/>
        <v>0</v>
      </c>
      <c r="S653" s="80">
        <f t="shared" si="713"/>
        <v>0</v>
      </c>
      <c r="T653" s="80">
        <f t="shared" si="714"/>
        <v>0</v>
      </c>
      <c r="U653" s="80">
        <f t="shared" si="715"/>
        <v>0</v>
      </c>
      <c r="V653" s="80">
        <f t="shared" si="716"/>
        <v>0</v>
      </c>
      <c r="W653" s="80">
        <f t="shared" si="717"/>
        <v>0</v>
      </c>
      <c r="X653" s="80">
        <f t="shared" si="669"/>
        <v>477.87196223502644</v>
      </c>
      <c r="Y653" s="80">
        <f t="shared" si="670"/>
        <v>184.57900933136</v>
      </c>
      <c r="Z653" s="80">
        <f t="shared" si="671"/>
        <v>145.16849525783957</v>
      </c>
      <c r="AA653" s="80">
        <f t="shared" si="672"/>
        <v>106.5297256655651</v>
      </c>
      <c r="AB653" s="80">
        <f t="shared" si="673"/>
        <v>1210.0620221760139</v>
      </c>
      <c r="AC653" s="80">
        <f t="shared" si="674"/>
        <v>696.31831694488915</v>
      </c>
      <c r="AD653" s="80"/>
      <c r="AE653" s="80"/>
      <c r="AF653" s="80"/>
      <c r="AG653" s="80"/>
      <c r="AH653" s="80"/>
      <c r="AI653" s="80"/>
      <c r="AJ653" s="45">
        <f t="shared" si="663"/>
        <v>0</v>
      </c>
      <c r="AK653" s="45">
        <f t="shared" si="664"/>
        <v>0</v>
      </c>
      <c r="AL653" s="45">
        <f t="shared" si="665"/>
        <v>0</v>
      </c>
      <c r="AM653" s="45">
        <f t="shared" si="666"/>
        <v>0</v>
      </c>
      <c r="AN653" s="45">
        <f t="shared" si="667"/>
        <v>0</v>
      </c>
      <c r="AO653" s="45">
        <f t="shared" si="668"/>
        <v>0</v>
      </c>
      <c r="AP653" s="80">
        <f t="shared" si="718"/>
        <v>0</v>
      </c>
      <c r="AQ653" s="80">
        <f t="shared" si="719"/>
        <v>0</v>
      </c>
      <c r="AR653" s="80">
        <f t="shared" si="720"/>
        <v>0</v>
      </c>
      <c r="AS653" s="80">
        <f t="shared" si="721"/>
        <v>0</v>
      </c>
      <c r="AT653" s="80">
        <f t="shared" si="722"/>
        <v>0</v>
      </c>
      <c r="AU653" s="80">
        <f t="shared" si="723"/>
        <v>0</v>
      </c>
      <c r="AV653" s="80">
        <f t="shared" si="675"/>
        <v>98.517647730112373</v>
      </c>
      <c r="AW653" s="80">
        <f t="shared" si="676"/>
        <v>46.356258823831567</v>
      </c>
      <c r="AX653" s="80">
        <f t="shared" si="677"/>
        <v>29.200122268810702</v>
      </c>
      <c r="AY653" s="80">
        <f t="shared" si="678"/>
        <v>22.258662956732056</v>
      </c>
      <c r="AZ653" s="80">
        <f t="shared" si="679"/>
        <v>267.11071220123961</v>
      </c>
      <c r="BA653" s="80">
        <f t="shared" si="680"/>
        <v>131.86467942042992</v>
      </c>
      <c r="BB653" s="80">
        <f t="shared" si="681"/>
        <v>576.38960996513879</v>
      </c>
      <c r="BC653" s="80">
        <f t="shared" si="682"/>
        <v>230.93526815519158</v>
      </c>
      <c r="BD653" s="80">
        <f t="shared" si="683"/>
        <v>174.36861752665027</v>
      </c>
      <c r="BE653" s="80">
        <f t="shared" si="684"/>
        <v>128.78838862229716</v>
      </c>
      <c r="BF653" s="80">
        <f t="shared" si="685"/>
        <v>1477.1727343772536</v>
      </c>
      <c r="BG653" s="80">
        <f t="shared" si="686"/>
        <v>828.18299636531901</v>
      </c>
      <c r="BH653" s="49">
        <f t="shared" si="687"/>
        <v>0</v>
      </c>
      <c r="BI653" s="79">
        <f t="shared" si="688"/>
        <v>-111655.12335066072</v>
      </c>
      <c r="BJ653" s="79">
        <f t="shared" si="724"/>
        <v>202864.19691881354</v>
      </c>
      <c r="BK653" s="44">
        <f t="shared" si="689"/>
        <v>0.8168821172827363</v>
      </c>
      <c r="BL653" s="79">
        <f t="shared" si="690"/>
        <v>31425.593485172794</v>
      </c>
      <c r="BM653" s="49">
        <f t="shared" si="691"/>
        <v>234289.79040398635</v>
      </c>
      <c r="BN653" s="44">
        <f t="shared" si="692"/>
        <v>1.0983344370878787</v>
      </c>
      <c r="BO653" s="49">
        <f t="shared" si="725"/>
        <v>42919.962897361373</v>
      </c>
      <c r="BP653" s="49">
        <f t="shared" si="726"/>
        <v>245784.15981617491</v>
      </c>
      <c r="BQ653" s="44">
        <f t="shared" si="693"/>
        <v>1.2012797303019638</v>
      </c>
      <c r="BS653" s="49">
        <f t="shared" si="694"/>
        <v>111655.12335066072</v>
      </c>
      <c r="BT653" s="49">
        <f t="shared" si="710"/>
        <v>148.270004</v>
      </c>
      <c r="BU653" s="49">
        <f t="shared" si="711"/>
        <v>44.009998000000003</v>
      </c>
      <c r="BV653" s="49">
        <f t="shared" si="695"/>
        <v>0</v>
      </c>
      <c r="BW653" s="18">
        <f t="shared" si="727"/>
        <v>4276</v>
      </c>
      <c r="BX653" s="19">
        <f t="shared" si="696"/>
        <v>1.9266055045871561E-2</v>
      </c>
      <c r="BY653" s="49">
        <f t="shared" si="697"/>
        <v>0</v>
      </c>
      <c r="BZ653" s="19">
        <f t="shared" si="698"/>
        <v>0</v>
      </c>
      <c r="CA653" s="19">
        <f t="shared" si="699"/>
        <v>0</v>
      </c>
      <c r="CB653" s="19">
        <f t="shared" si="700"/>
        <v>0</v>
      </c>
      <c r="CC653" s="19">
        <f t="shared" si="701"/>
        <v>0</v>
      </c>
      <c r="CD653" s="19">
        <f t="shared" si="702"/>
        <v>0</v>
      </c>
      <c r="CE653" s="19">
        <f t="shared" si="703"/>
        <v>0</v>
      </c>
      <c r="CF653" s="49">
        <f t="shared" si="704"/>
        <v>0</v>
      </c>
      <c r="CG653" s="49">
        <f t="shared" si="705"/>
        <v>0</v>
      </c>
      <c r="CH653" s="49">
        <f t="shared" si="706"/>
        <v>0</v>
      </c>
      <c r="CI653" s="49">
        <f t="shared" si="707"/>
        <v>0</v>
      </c>
      <c r="CJ653" s="49">
        <f t="shared" si="708"/>
        <v>0</v>
      </c>
      <c r="CK653" s="49">
        <f t="shared" si="709"/>
        <v>0</v>
      </c>
    </row>
    <row r="654" spans="2:89" ht="12.75" customHeight="1" x14ac:dyDescent="0.2">
      <c r="B654" s="77">
        <v>43576</v>
      </c>
      <c r="C654" s="79">
        <v>150.16000399999999</v>
      </c>
      <c r="D654" s="79">
        <v>110.5</v>
      </c>
      <c r="E654" s="79">
        <v>111.589996</v>
      </c>
      <c r="F654" s="79">
        <v>133.570007</v>
      </c>
      <c r="G654" s="79">
        <v>41.84</v>
      </c>
      <c r="H654" s="79">
        <v>43.459999000000003</v>
      </c>
      <c r="I654" s="79"/>
      <c r="J654" s="78">
        <f>IF(inter=Weekly_2,J653+$C$5,IF(inter=Bi_weekly_2,J652+$C$5,IF(inter=Monthly_2,J650+$C$5,IF(inter=Quarterly_2,0,IF(inter=Yearly_2,0,IF(inter=None_2,0,0))))))</f>
        <v>203600</v>
      </c>
      <c r="K654" s="79">
        <f t="shared" si="728"/>
        <v>497.25576069940871</v>
      </c>
      <c r="L654" s="79">
        <f t="shared" si="729"/>
        <v>35.980531115281337</v>
      </c>
      <c r="M654" s="79">
        <f t="shared" si="730"/>
        <v>-88.648194851662993</v>
      </c>
      <c r="N654" s="79">
        <f t="shared" si="731"/>
        <v>-22.823797142391413</v>
      </c>
      <c r="O654" s="79">
        <f t="shared" si="732"/>
        <v>-271.00499215557647</v>
      </c>
      <c r="P654" s="79">
        <f t="shared" si="733"/>
        <v>-278.00664189343297</v>
      </c>
      <c r="Q654" s="79"/>
      <c r="R654" s="80">
        <f t="shared" si="712"/>
        <v>-3.3115060432431047</v>
      </c>
      <c r="S654" s="80">
        <f t="shared" si="713"/>
        <v>-0.32561566620164106</v>
      </c>
      <c r="T654" s="80">
        <f t="shared" si="714"/>
        <v>0.79440987569945776</v>
      </c>
      <c r="U654" s="80">
        <f t="shared" si="715"/>
        <v>0.17087516617702514</v>
      </c>
      <c r="V654" s="80">
        <f t="shared" si="716"/>
        <v>6.4771747647126299</v>
      </c>
      <c r="W654" s="80">
        <f t="shared" si="717"/>
        <v>6.3968395833012544</v>
      </c>
      <c r="X654" s="80">
        <f t="shared" si="669"/>
        <v>474.56045619178332</v>
      </c>
      <c r="Y654" s="80">
        <f t="shared" si="670"/>
        <v>184.25339366515837</v>
      </c>
      <c r="Z654" s="80">
        <f t="shared" si="671"/>
        <v>145.96290513353904</v>
      </c>
      <c r="AA654" s="80">
        <f t="shared" si="672"/>
        <v>106.70060083174212</v>
      </c>
      <c r="AB654" s="80">
        <f t="shared" si="673"/>
        <v>1216.5391969407265</v>
      </c>
      <c r="AC654" s="80">
        <f t="shared" si="674"/>
        <v>702.71515652819039</v>
      </c>
      <c r="AD654" s="80"/>
      <c r="AE654" s="80"/>
      <c r="AF654" s="80"/>
      <c r="AG654" s="80"/>
      <c r="AH654" s="80"/>
      <c r="AI654" s="80"/>
      <c r="AJ654" s="45">
        <f t="shared" si="663"/>
        <v>0</v>
      </c>
      <c r="AK654" s="45">
        <f t="shared" si="664"/>
        <v>0</v>
      </c>
      <c r="AL654" s="45">
        <f t="shared" si="665"/>
        <v>0</v>
      </c>
      <c r="AM654" s="45">
        <f t="shared" si="666"/>
        <v>0</v>
      </c>
      <c r="AN654" s="45">
        <f t="shared" si="667"/>
        <v>0</v>
      </c>
      <c r="AO654" s="45">
        <f t="shared" si="668"/>
        <v>0</v>
      </c>
      <c r="AP654" s="80">
        <f t="shared" si="718"/>
        <v>0</v>
      </c>
      <c r="AQ654" s="80">
        <f t="shared" si="719"/>
        <v>0</v>
      </c>
      <c r="AR654" s="80">
        <f t="shared" si="720"/>
        <v>0</v>
      </c>
      <c r="AS654" s="80">
        <f t="shared" si="721"/>
        <v>0</v>
      </c>
      <c r="AT654" s="80">
        <f t="shared" si="722"/>
        <v>0</v>
      </c>
      <c r="AU654" s="80">
        <f t="shared" si="723"/>
        <v>0</v>
      </c>
      <c r="AV654" s="80">
        <f t="shared" si="675"/>
        <v>98.517647730112373</v>
      </c>
      <c r="AW654" s="80">
        <f t="shared" si="676"/>
        <v>46.356258823831567</v>
      </c>
      <c r="AX654" s="80">
        <f t="shared" si="677"/>
        <v>29.200122268810702</v>
      </c>
      <c r="AY654" s="80">
        <f t="shared" si="678"/>
        <v>22.258662956732056</v>
      </c>
      <c r="AZ654" s="80">
        <f t="shared" si="679"/>
        <v>267.11071220123961</v>
      </c>
      <c r="BA654" s="80">
        <f t="shared" si="680"/>
        <v>131.86467942042992</v>
      </c>
      <c r="BB654" s="80">
        <f t="shared" si="681"/>
        <v>573.07810392189572</v>
      </c>
      <c r="BC654" s="80">
        <f t="shared" si="682"/>
        <v>230.60965248898992</v>
      </c>
      <c r="BD654" s="80">
        <f t="shared" si="683"/>
        <v>175.16302740234974</v>
      </c>
      <c r="BE654" s="80">
        <f t="shared" si="684"/>
        <v>128.95926378847417</v>
      </c>
      <c r="BF654" s="80">
        <f t="shared" si="685"/>
        <v>1483.649909141966</v>
      </c>
      <c r="BG654" s="80">
        <f t="shared" si="686"/>
        <v>834.57983594862026</v>
      </c>
      <c r="BH654" s="49">
        <f t="shared" si="687"/>
        <v>0</v>
      </c>
      <c r="BI654" s="79">
        <f t="shared" si="688"/>
        <v>-111782.3706848891</v>
      </c>
      <c r="BJ654" s="79">
        <f t="shared" si="724"/>
        <v>203600</v>
      </c>
      <c r="BK654" s="44">
        <f t="shared" si="689"/>
        <v>0.82139633246768251</v>
      </c>
      <c r="BL654" s="79">
        <f t="shared" si="690"/>
        <v>31425.593485172794</v>
      </c>
      <c r="BM654" s="49">
        <f t="shared" si="691"/>
        <v>235025.59348517278</v>
      </c>
      <c r="BN654" s="44">
        <f t="shared" si="692"/>
        <v>1.1025282613454528</v>
      </c>
      <c r="BO654" s="49">
        <f t="shared" si="725"/>
        <v>43054.059305622162</v>
      </c>
      <c r="BP654" s="49">
        <f t="shared" si="726"/>
        <v>246654.05930562218</v>
      </c>
      <c r="BQ654" s="44">
        <f t="shared" si="693"/>
        <v>1.2065559872668294</v>
      </c>
      <c r="BS654" s="49">
        <f t="shared" si="694"/>
        <v>111782.3706848891</v>
      </c>
      <c r="BT654" s="49">
        <f t="shared" si="710"/>
        <v>150.16000399999999</v>
      </c>
      <c r="BU654" s="49">
        <f t="shared" si="711"/>
        <v>43.459999000000003</v>
      </c>
      <c r="BV654" s="49">
        <f t="shared" si="695"/>
        <v>127.2473342283738</v>
      </c>
      <c r="BW654" s="18">
        <f t="shared" si="727"/>
        <v>4283</v>
      </c>
      <c r="BX654" s="19">
        <f t="shared" si="696"/>
        <v>1.7660550458715597E-2</v>
      </c>
      <c r="BY654" s="49">
        <f t="shared" si="697"/>
        <v>2.2472579668772439</v>
      </c>
      <c r="BZ654" s="19">
        <f t="shared" si="698"/>
        <v>0</v>
      </c>
      <c r="CA654" s="19">
        <f t="shared" si="699"/>
        <v>0</v>
      </c>
      <c r="CB654" s="19">
        <f t="shared" si="700"/>
        <v>0.79440987569945776</v>
      </c>
      <c r="CC654" s="19">
        <f t="shared" si="701"/>
        <v>0.17087516617702514</v>
      </c>
      <c r="CD654" s="19">
        <f t="shared" si="702"/>
        <v>6.4771747647126299</v>
      </c>
      <c r="CE654" s="19">
        <f t="shared" si="703"/>
        <v>6.3968395833012544</v>
      </c>
      <c r="CF654" s="49">
        <f t="shared" si="704"/>
        <v>0</v>
      </c>
      <c r="CG654" s="49">
        <f t="shared" si="705"/>
        <v>0</v>
      </c>
      <c r="CH654" s="49">
        <f t="shared" si="706"/>
        <v>-88.648194851662993</v>
      </c>
      <c r="CI654" s="49">
        <f t="shared" si="707"/>
        <v>-22.823797142391413</v>
      </c>
      <c r="CJ654" s="49">
        <f t="shared" si="708"/>
        <v>-271.00499215557647</v>
      </c>
      <c r="CK654" s="49">
        <f t="shared" si="709"/>
        <v>-278.00664189343297</v>
      </c>
    </row>
    <row r="655" spans="2:89" ht="12.75" customHeight="1" x14ac:dyDescent="0.2">
      <c r="B655" s="77">
        <v>43583</v>
      </c>
      <c r="C655" s="79">
        <v>150.63000500000001</v>
      </c>
      <c r="D655" s="79">
        <v>111</v>
      </c>
      <c r="E655" s="79">
        <v>111.83000199999999</v>
      </c>
      <c r="F655" s="79">
        <v>134.699997</v>
      </c>
      <c r="G655" s="79">
        <v>42.080002</v>
      </c>
      <c r="H655" s="79">
        <v>43.790000999999997</v>
      </c>
      <c r="I655" s="79"/>
      <c r="J655" s="78">
        <f>IF(inter=Weekly_2,J654+$C$5,IF(inter=Bi_weekly_2,0,IF(inter=Monthly_2,0,IF(inter=Quarterly_2,0,IF(inter=Yearly_2,0,IF(inter=None_2,0,0))))))</f>
        <v>0</v>
      </c>
      <c r="K655" s="79">
        <f t="shared" si="728"/>
        <v>0</v>
      </c>
      <c r="L655" s="79">
        <f t="shared" si="729"/>
        <v>0</v>
      </c>
      <c r="M655" s="79">
        <f t="shared" si="730"/>
        <v>0</v>
      </c>
      <c r="N655" s="79">
        <f t="shared" si="731"/>
        <v>0</v>
      </c>
      <c r="O655" s="79">
        <f t="shared" si="732"/>
        <v>0</v>
      </c>
      <c r="P655" s="79">
        <f t="shared" si="733"/>
        <v>0</v>
      </c>
      <c r="Q655" s="79"/>
      <c r="R655" s="80">
        <f t="shared" si="712"/>
        <v>0</v>
      </c>
      <c r="S655" s="80">
        <f t="shared" si="713"/>
        <v>0</v>
      </c>
      <c r="T655" s="80">
        <f t="shared" si="714"/>
        <v>0</v>
      </c>
      <c r="U655" s="80">
        <f t="shared" si="715"/>
        <v>0</v>
      </c>
      <c r="V655" s="80">
        <f t="shared" si="716"/>
        <v>0</v>
      </c>
      <c r="W655" s="80">
        <f t="shared" si="717"/>
        <v>0</v>
      </c>
      <c r="X655" s="80">
        <f t="shared" si="669"/>
        <v>474.56045619178332</v>
      </c>
      <c r="Y655" s="80">
        <f t="shared" si="670"/>
        <v>184.25339366515837</v>
      </c>
      <c r="Z655" s="80">
        <f t="shared" si="671"/>
        <v>145.96290513353904</v>
      </c>
      <c r="AA655" s="80">
        <f t="shared" si="672"/>
        <v>106.70060083174212</v>
      </c>
      <c r="AB655" s="80">
        <f t="shared" si="673"/>
        <v>1216.5391969407265</v>
      </c>
      <c r="AC655" s="80">
        <f t="shared" si="674"/>
        <v>702.71515652819039</v>
      </c>
      <c r="AD655" s="80"/>
      <c r="AE655" s="80"/>
      <c r="AF655" s="80"/>
      <c r="AG655" s="80"/>
      <c r="AH655" s="80"/>
      <c r="AI655" s="80"/>
      <c r="AJ655" s="45">
        <f t="shared" si="663"/>
        <v>0</v>
      </c>
      <c r="AK655" s="45">
        <f t="shared" si="664"/>
        <v>0</v>
      </c>
      <c r="AL655" s="45">
        <f t="shared" si="665"/>
        <v>0</v>
      </c>
      <c r="AM655" s="45">
        <f t="shared" si="666"/>
        <v>0</v>
      </c>
      <c r="AN655" s="45">
        <f t="shared" si="667"/>
        <v>0</v>
      </c>
      <c r="AO655" s="45">
        <f t="shared" si="668"/>
        <v>0</v>
      </c>
      <c r="AP655" s="80">
        <f t="shared" si="718"/>
        <v>0</v>
      </c>
      <c r="AQ655" s="80">
        <f t="shared" si="719"/>
        <v>0</v>
      </c>
      <c r="AR655" s="80">
        <f t="shared" si="720"/>
        <v>0</v>
      </c>
      <c r="AS655" s="80">
        <f t="shared" si="721"/>
        <v>0</v>
      </c>
      <c r="AT655" s="80">
        <f t="shared" si="722"/>
        <v>0</v>
      </c>
      <c r="AU655" s="80">
        <f t="shared" si="723"/>
        <v>0</v>
      </c>
      <c r="AV655" s="80">
        <f t="shared" si="675"/>
        <v>98.517647730112373</v>
      </c>
      <c r="AW655" s="80">
        <f t="shared" si="676"/>
        <v>46.356258823831567</v>
      </c>
      <c r="AX655" s="80">
        <f t="shared" si="677"/>
        <v>29.200122268810702</v>
      </c>
      <c r="AY655" s="80">
        <f t="shared" si="678"/>
        <v>22.258662956732056</v>
      </c>
      <c r="AZ655" s="80">
        <f t="shared" si="679"/>
        <v>267.11071220123961</v>
      </c>
      <c r="BA655" s="80">
        <f t="shared" si="680"/>
        <v>131.86467942042992</v>
      </c>
      <c r="BB655" s="80">
        <f t="shared" si="681"/>
        <v>573.07810392189572</v>
      </c>
      <c r="BC655" s="80">
        <f t="shared" si="682"/>
        <v>230.60965248898992</v>
      </c>
      <c r="BD655" s="80">
        <f t="shared" si="683"/>
        <v>175.16302740234974</v>
      </c>
      <c r="BE655" s="80">
        <f t="shared" si="684"/>
        <v>128.95926378847417</v>
      </c>
      <c r="BF655" s="80">
        <f t="shared" si="685"/>
        <v>1483.649909141966</v>
      </c>
      <c r="BG655" s="80">
        <f t="shared" si="686"/>
        <v>834.57983594862026</v>
      </c>
      <c r="BH655" s="49">
        <f t="shared" si="687"/>
        <v>0</v>
      </c>
      <c r="BI655" s="79">
        <f t="shared" si="688"/>
        <v>-111782.3706848891</v>
      </c>
      <c r="BJ655" s="79">
        <f t="shared" si="724"/>
        <v>204594.64241817532</v>
      </c>
      <c r="BK655" s="44">
        <f t="shared" si="689"/>
        <v>0.83029435826621545</v>
      </c>
      <c r="BL655" s="79">
        <f t="shared" si="690"/>
        <v>31425.593485172794</v>
      </c>
      <c r="BM655" s="49">
        <f t="shared" si="691"/>
        <v>236020.23590334813</v>
      </c>
      <c r="BN655" s="44">
        <f t="shared" si="692"/>
        <v>1.1114262871439862</v>
      </c>
      <c r="BO655" s="49">
        <f t="shared" si="725"/>
        <v>43263.323812172435</v>
      </c>
      <c r="BP655" s="49">
        <f t="shared" si="726"/>
        <v>247857.96623034772</v>
      </c>
      <c r="BQ655" s="44">
        <f t="shared" si="693"/>
        <v>1.2173260838155895</v>
      </c>
      <c r="BS655" s="49">
        <f t="shared" si="694"/>
        <v>111782.3706848891</v>
      </c>
      <c r="BT655" s="49">
        <f t="shared" si="710"/>
        <v>150.63000500000001</v>
      </c>
      <c r="BU655" s="49">
        <f t="shared" si="711"/>
        <v>43.790000999999997</v>
      </c>
      <c r="BV655" s="49">
        <f t="shared" si="695"/>
        <v>0</v>
      </c>
      <c r="BW655" s="18">
        <f t="shared" si="727"/>
        <v>4290</v>
      </c>
      <c r="BX655" s="19">
        <f t="shared" si="696"/>
        <v>1.6055045871559634E-2</v>
      </c>
      <c r="BY655" s="49">
        <f t="shared" si="697"/>
        <v>0</v>
      </c>
      <c r="BZ655" s="19">
        <f t="shared" si="698"/>
        <v>0</v>
      </c>
      <c r="CA655" s="19">
        <f t="shared" si="699"/>
        <v>0</v>
      </c>
      <c r="CB655" s="19">
        <f t="shared" si="700"/>
        <v>0</v>
      </c>
      <c r="CC655" s="19">
        <f t="shared" si="701"/>
        <v>0</v>
      </c>
      <c r="CD655" s="19">
        <f t="shared" si="702"/>
        <v>0</v>
      </c>
      <c r="CE655" s="19">
        <f t="shared" si="703"/>
        <v>0</v>
      </c>
      <c r="CF655" s="49">
        <f t="shared" si="704"/>
        <v>0</v>
      </c>
      <c r="CG655" s="49">
        <f t="shared" si="705"/>
        <v>0</v>
      </c>
      <c r="CH655" s="49">
        <f t="shared" si="706"/>
        <v>0</v>
      </c>
      <c r="CI655" s="49">
        <f t="shared" si="707"/>
        <v>0</v>
      </c>
      <c r="CJ655" s="49">
        <f t="shared" si="708"/>
        <v>0</v>
      </c>
      <c r="CK655" s="49">
        <f t="shared" si="709"/>
        <v>0</v>
      </c>
    </row>
    <row r="656" spans="2:89" ht="12.75" customHeight="1" x14ac:dyDescent="0.2">
      <c r="B656" s="77">
        <v>43590</v>
      </c>
      <c r="C656" s="79">
        <v>147.529999</v>
      </c>
      <c r="D656" s="79">
        <v>109.07</v>
      </c>
      <c r="E656" s="79">
        <v>109.650002</v>
      </c>
      <c r="F656" s="79">
        <v>131.88000500000001</v>
      </c>
      <c r="G656" s="79">
        <v>41.009998000000003</v>
      </c>
      <c r="H656" s="79">
        <v>41.689999</v>
      </c>
      <c r="I656" s="79"/>
      <c r="J656" s="78">
        <f>IF(inter=Weekly_2,J655+$C$5,IF(inter=Bi_weekly_2,J654+$C$5,IF(inter=Monthly_2,0,IF(inter=Quarterly_2,0,IF(inter=Yearly_2,0,IF(inter=None_2,0,0))))))</f>
        <v>204200</v>
      </c>
      <c r="K656" s="79">
        <f t="shared" si="728"/>
        <v>-1458.0963725866604</v>
      </c>
      <c r="L656" s="79">
        <f t="shared" si="729"/>
        <v>-323.48235294117694</v>
      </c>
      <c r="M656" s="79">
        <f t="shared" si="730"/>
        <v>-331.16716018163424</v>
      </c>
      <c r="N656" s="79">
        <f t="shared" si="731"/>
        <v>-222.32422880684499</v>
      </c>
      <c r="O656" s="79">
        <f t="shared" si="732"/>
        <v>-1159.7299665391984</v>
      </c>
      <c r="P656" s="79">
        <f t="shared" si="733"/>
        <v>-1333.8058270548972</v>
      </c>
      <c r="Q656" s="79"/>
      <c r="R656" s="80">
        <f t="shared" si="712"/>
        <v>9.8833890223686662</v>
      </c>
      <c r="S656" s="80">
        <f t="shared" si="713"/>
        <v>2.9658233514364807</v>
      </c>
      <c r="T656" s="80">
        <f t="shared" si="714"/>
        <v>3.0202202840054144</v>
      </c>
      <c r="U656" s="80">
        <f t="shared" si="715"/>
        <v>1.6858069485730227</v>
      </c>
      <c r="V656" s="80">
        <f t="shared" si="716"/>
        <v>28.279200758293094</v>
      </c>
      <c r="W656" s="80">
        <f t="shared" si="717"/>
        <v>31.993424299551968</v>
      </c>
      <c r="X656" s="80">
        <f t="shared" si="669"/>
        <v>484.44384521415196</v>
      </c>
      <c r="Y656" s="80">
        <f t="shared" si="670"/>
        <v>187.21921701659485</v>
      </c>
      <c r="Z656" s="80">
        <f t="shared" si="671"/>
        <v>148.98312541754444</v>
      </c>
      <c r="AA656" s="80">
        <f t="shared" si="672"/>
        <v>108.38640778031514</v>
      </c>
      <c r="AB656" s="80">
        <f t="shared" si="673"/>
        <v>1244.8183976990197</v>
      </c>
      <c r="AC656" s="80">
        <f t="shared" si="674"/>
        <v>734.70858082774237</v>
      </c>
      <c r="AD656" s="80"/>
      <c r="AE656" s="80"/>
      <c r="AF656" s="80"/>
      <c r="AG656" s="80"/>
      <c r="AH656" s="80"/>
      <c r="AI656" s="80"/>
      <c r="AJ656" s="45">
        <f t="shared" si="663"/>
        <v>0</v>
      </c>
      <c r="AK656" s="45">
        <f t="shared" si="664"/>
        <v>0</v>
      </c>
      <c r="AL656" s="45">
        <f t="shared" si="665"/>
        <v>0</v>
      </c>
      <c r="AM656" s="45">
        <f t="shared" si="666"/>
        <v>0</v>
      </c>
      <c r="AN656" s="45">
        <f t="shared" si="667"/>
        <v>0</v>
      </c>
      <c r="AO656" s="45">
        <f t="shared" si="668"/>
        <v>0</v>
      </c>
      <c r="AP656" s="80">
        <f t="shared" si="718"/>
        <v>0</v>
      </c>
      <c r="AQ656" s="80">
        <f t="shared" si="719"/>
        <v>0</v>
      </c>
      <c r="AR656" s="80">
        <f t="shared" si="720"/>
        <v>0</v>
      </c>
      <c r="AS656" s="80">
        <f t="shared" si="721"/>
        <v>0</v>
      </c>
      <c r="AT656" s="80">
        <f t="shared" si="722"/>
        <v>0</v>
      </c>
      <c r="AU656" s="80">
        <f t="shared" si="723"/>
        <v>0</v>
      </c>
      <c r="AV656" s="80">
        <f t="shared" si="675"/>
        <v>98.517647730112373</v>
      </c>
      <c r="AW656" s="80">
        <f t="shared" si="676"/>
        <v>46.356258823831567</v>
      </c>
      <c r="AX656" s="80">
        <f t="shared" si="677"/>
        <v>29.200122268810702</v>
      </c>
      <c r="AY656" s="80">
        <f t="shared" si="678"/>
        <v>22.258662956732056</v>
      </c>
      <c r="AZ656" s="80">
        <f t="shared" si="679"/>
        <v>267.11071220123961</v>
      </c>
      <c r="BA656" s="80">
        <f t="shared" si="680"/>
        <v>131.86467942042992</v>
      </c>
      <c r="BB656" s="80">
        <f t="shared" si="681"/>
        <v>582.96149294426436</v>
      </c>
      <c r="BC656" s="80">
        <f t="shared" si="682"/>
        <v>233.57547584042641</v>
      </c>
      <c r="BD656" s="80">
        <f t="shared" si="683"/>
        <v>178.18324768635514</v>
      </c>
      <c r="BE656" s="80">
        <f t="shared" si="684"/>
        <v>130.64507073704721</v>
      </c>
      <c r="BF656" s="80">
        <f t="shared" si="685"/>
        <v>1511.9291099002594</v>
      </c>
      <c r="BG656" s="80">
        <f t="shared" si="686"/>
        <v>866.57326024817235</v>
      </c>
      <c r="BH656" s="49">
        <f t="shared" si="687"/>
        <v>0</v>
      </c>
      <c r="BI656" s="79">
        <f t="shared" si="688"/>
        <v>-116610.9765929995</v>
      </c>
      <c r="BJ656" s="79">
        <f t="shared" si="724"/>
        <v>204200</v>
      </c>
      <c r="BK656" s="44">
        <f t="shared" si="689"/>
        <v>0.7511216007795507</v>
      </c>
      <c r="BL656" s="79">
        <f t="shared" si="690"/>
        <v>31425.593485172794</v>
      </c>
      <c r="BM656" s="49">
        <f t="shared" si="691"/>
        <v>235625.59348517278</v>
      </c>
      <c r="BN656" s="44">
        <f t="shared" si="692"/>
        <v>1.0206124703642869</v>
      </c>
      <c r="BO656" s="49">
        <f t="shared" si="725"/>
        <v>42179.299794548067</v>
      </c>
      <c r="BP656" s="49">
        <f t="shared" si="726"/>
        <v>246379.29979454807</v>
      </c>
      <c r="BQ656" s="44">
        <f t="shared" si="693"/>
        <v>1.1128311158431625</v>
      </c>
      <c r="BS656" s="49">
        <f t="shared" si="694"/>
        <v>116610.9765929995</v>
      </c>
      <c r="BT656" s="49">
        <f t="shared" si="710"/>
        <v>147.529999</v>
      </c>
      <c r="BU656" s="49">
        <f t="shared" si="711"/>
        <v>41.689999</v>
      </c>
      <c r="BV656" s="49">
        <f t="shared" si="695"/>
        <v>4828.6059081104122</v>
      </c>
      <c r="BW656" s="18">
        <f t="shared" si="727"/>
        <v>4297</v>
      </c>
      <c r="BX656" s="19">
        <f t="shared" si="696"/>
        <v>1.4449541284403671E-2</v>
      </c>
      <c r="BY656" s="49">
        <f t="shared" si="697"/>
        <v>69.771140415356882</v>
      </c>
      <c r="BZ656" s="19">
        <f t="shared" si="698"/>
        <v>9.8833890223686662</v>
      </c>
      <c r="CA656" s="19">
        <f t="shared" si="699"/>
        <v>2.9658233514364807</v>
      </c>
      <c r="CB656" s="19">
        <f t="shared" si="700"/>
        <v>3.0202202840054144</v>
      </c>
      <c r="CC656" s="19">
        <f t="shared" si="701"/>
        <v>1.6858069485730227</v>
      </c>
      <c r="CD656" s="19">
        <f t="shared" si="702"/>
        <v>28.279200758293094</v>
      </c>
      <c r="CE656" s="19">
        <f t="shared" si="703"/>
        <v>31.993424299551968</v>
      </c>
      <c r="CF656" s="49">
        <f t="shared" si="704"/>
        <v>-1458.0963725866604</v>
      </c>
      <c r="CG656" s="49">
        <f t="shared" si="705"/>
        <v>-323.48235294117694</v>
      </c>
      <c r="CH656" s="49">
        <f t="shared" si="706"/>
        <v>-331.16716018163424</v>
      </c>
      <c r="CI656" s="49">
        <f t="shared" si="707"/>
        <v>-222.32422880684499</v>
      </c>
      <c r="CJ656" s="49">
        <f t="shared" si="708"/>
        <v>-1159.7299665391984</v>
      </c>
      <c r="CK656" s="49">
        <f t="shared" si="709"/>
        <v>-1333.8058270548972</v>
      </c>
    </row>
    <row r="657" spans="2:89" ht="12.75" customHeight="1" x14ac:dyDescent="0.2">
      <c r="B657" s="77">
        <v>43597</v>
      </c>
      <c r="C657" s="79">
        <v>146.240005</v>
      </c>
      <c r="D657" s="79">
        <v>108.239998</v>
      </c>
      <c r="E657" s="79">
        <v>108.16999800000001</v>
      </c>
      <c r="F657" s="79">
        <v>128.91999799999999</v>
      </c>
      <c r="G657" s="79">
        <v>40.669998</v>
      </c>
      <c r="H657" s="79">
        <v>40.07</v>
      </c>
      <c r="I657" s="79"/>
      <c r="J657" s="78">
        <f>IF(inter=Weekly_2,J656+$C$5,IF(inter=Bi_weekly_2,0,IF(inter=Monthly_2,0,IF(inter=Quarterly_2,0,IF(inter=Yearly_2,0,IF(inter=None_2,0,0))))))</f>
        <v>0</v>
      </c>
      <c r="K657" s="79">
        <f t="shared" si="728"/>
        <v>0</v>
      </c>
      <c r="L657" s="79">
        <f t="shared" si="729"/>
        <v>0</v>
      </c>
      <c r="M657" s="79">
        <f t="shared" si="730"/>
        <v>0</v>
      </c>
      <c r="N657" s="79">
        <f t="shared" si="731"/>
        <v>0</v>
      </c>
      <c r="O657" s="79">
        <f t="shared" si="732"/>
        <v>0</v>
      </c>
      <c r="P657" s="79">
        <f t="shared" si="733"/>
        <v>0</v>
      </c>
      <c r="Q657" s="79"/>
      <c r="R657" s="80">
        <f t="shared" si="712"/>
        <v>0</v>
      </c>
      <c r="S657" s="80">
        <f t="shared" si="713"/>
        <v>0</v>
      </c>
      <c r="T657" s="80">
        <f t="shared" si="714"/>
        <v>0</v>
      </c>
      <c r="U657" s="80">
        <f t="shared" si="715"/>
        <v>0</v>
      </c>
      <c r="V657" s="80">
        <f t="shared" si="716"/>
        <v>0</v>
      </c>
      <c r="W657" s="80">
        <f t="shared" si="717"/>
        <v>0</v>
      </c>
      <c r="X657" s="80">
        <f t="shared" si="669"/>
        <v>484.44384521415196</v>
      </c>
      <c r="Y657" s="80">
        <f t="shared" si="670"/>
        <v>187.21921701659485</v>
      </c>
      <c r="Z657" s="80">
        <f t="shared" si="671"/>
        <v>148.98312541754444</v>
      </c>
      <c r="AA657" s="80">
        <f t="shared" si="672"/>
        <v>108.38640778031514</v>
      </c>
      <c r="AB657" s="80">
        <f t="shared" si="673"/>
        <v>1244.8183976990197</v>
      </c>
      <c r="AC657" s="80">
        <f t="shared" si="674"/>
        <v>734.70858082774237</v>
      </c>
      <c r="AD657" s="80"/>
      <c r="AE657" s="80"/>
      <c r="AF657" s="80"/>
      <c r="AG657" s="80"/>
      <c r="AH657" s="80"/>
      <c r="AI657" s="80"/>
      <c r="AJ657" s="45">
        <f t="shared" si="663"/>
        <v>0</v>
      </c>
      <c r="AK657" s="45">
        <f t="shared" si="664"/>
        <v>0</v>
      </c>
      <c r="AL657" s="45">
        <f t="shared" si="665"/>
        <v>0</v>
      </c>
      <c r="AM657" s="45">
        <f t="shared" si="666"/>
        <v>0</v>
      </c>
      <c r="AN657" s="45">
        <f t="shared" si="667"/>
        <v>0</v>
      </c>
      <c r="AO657" s="45">
        <f t="shared" si="668"/>
        <v>0</v>
      </c>
      <c r="AP657" s="80">
        <f t="shared" si="718"/>
        <v>0</v>
      </c>
      <c r="AQ657" s="80">
        <f t="shared" si="719"/>
        <v>0</v>
      </c>
      <c r="AR657" s="80">
        <f t="shared" si="720"/>
        <v>0</v>
      </c>
      <c r="AS657" s="80">
        <f t="shared" si="721"/>
        <v>0</v>
      </c>
      <c r="AT657" s="80">
        <f t="shared" si="722"/>
        <v>0</v>
      </c>
      <c r="AU657" s="80">
        <f t="shared" si="723"/>
        <v>0</v>
      </c>
      <c r="AV657" s="80">
        <f t="shared" si="675"/>
        <v>98.517647730112373</v>
      </c>
      <c r="AW657" s="80">
        <f t="shared" si="676"/>
        <v>46.356258823831567</v>
      </c>
      <c r="AX657" s="80">
        <f t="shared" si="677"/>
        <v>29.200122268810702</v>
      </c>
      <c r="AY657" s="80">
        <f t="shared" si="678"/>
        <v>22.258662956732056</v>
      </c>
      <c r="AZ657" s="80">
        <f t="shared" si="679"/>
        <v>267.11071220123961</v>
      </c>
      <c r="BA657" s="80">
        <f t="shared" si="680"/>
        <v>131.86467942042992</v>
      </c>
      <c r="BB657" s="80">
        <f t="shared" si="681"/>
        <v>582.96149294426436</v>
      </c>
      <c r="BC657" s="80">
        <f t="shared" si="682"/>
        <v>233.57547584042641</v>
      </c>
      <c r="BD657" s="80">
        <f t="shared" si="683"/>
        <v>178.18324768635514</v>
      </c>
      <c r="BE657" s="80">
        <f t="shared" si="684"/>
        <v>130.64507073704721</v>
      </c>
      <c r="BF657" s="80">
        <f t="shared" si="685"/>
        <v>1511.9291099002594</v>
      </c>
      <c r="BG657" s="80">
        <f t="shared" si="686"/>
        <v>866.57326024817235</v>
      </c>
      <c r="BH657" s="49">
        <f t="shared" si="687"/>
        <v>0</v>
      </c>
      <c r="BI657" s="79">
        <f t="shared" si="688"/>
        <v>-116610.9765929995</v>
      </c>
      <c r="BJ657" s="79">
        <f t="shared" si="724"/>
        <v>201264.89245303953</v>
      </c>
      <c r="BK657" s="44">
        <f t="shared" si="689"/>
        <v>0.72595152131778007</v>
      </c>
      <c r="BL657" s="79">
        <f t="shared" si="690"/>
        <v>31425.593485172794</v>
      </c>
      <c r="BM657" s="49">
        <f t="shared" si="691"/>
        <v>232690.48593821231</v>
      </c>
      <c r="BN657" s="44">
        <f t="shared" si="692"/>
        <v>0.99544239090251652</v>
      </c>
      <c r="BO657" s="49">
        <f t="shared" si="725"/>
        <v>41600.196445680085</v>
      </c>
      <c r="BP657" s="49">
        <f t="shared" si="726"/>
        <v>242865.08889871961</v>
      </c>
      <c r="BQ657" s="44">
        <f t="shared" si="693"/>
        <v>1.0826949228491367</v>
      </c>
      <c r="BS657" s="49">
        <f t="shared" si="694"/>
        <v>116610.9765929995</v>
      </c>
      <c r="BT657" s="49">
        <f t="shared" si="710"/>
        <v>146.240005</v>
      </c>
      <c r="BU657" s="49">
        <f t="shared" si="711"/>
        <v>40.07</v>
      </c>
      <c r="BV657" s="49">
        <f t="shared" si="695"/>
        <v>0</v>
      </c>
      <c r="BW657" s="18">
        <f t="shared" si="727"/>
        <v>4304</v>
      </c>
      <c r="BX657" s="19">
        <f t="shared" si="696"/>
        <v>1.2844036697247707E-2</v>
      </c>
      <c r="BY657" s="49">
        <f t="shared" si="697"/>
        <v>0</v>
      </c>
      <c r="BZ657" s="19">
        <f t="shared" si="698"/>
        <v>0</v>
      </c>
      <c r="CA657" s="19">
        <f t="shared" si="699"/>
        <v>0</v>
      </c>
      <c r="CB657" s="19">
        <f t="shared" si="700"/>
        <v>0</v>
      </c>
      <c r="CC657" s="19">
        <f t="shared" si="701"/>
        <v>0</v>
      </c>
      <c r="CD657" s="19">
        <f t="shared" si="702"/>
        <v>0</v>
      </c>
      <c r="CE657" s="19">
        <f t="shared" si="703"/>
        <v>0</v>
      </c>
      <c r="CF657" s="49">
        <f t="shared" si="704"/>
        <v>0</v>
      </c>
      <c r="CG657" s="49">
        <f t="shared" si="705"/>
        <v>0</v>
      </c>
      <c r="CH657" s="49">
        <f t="shared" si="706"/>
        <v>0</v>
      </c>
      <c r="CI657" s="49">
        <f t="shared" si="707"/>
        <v>0</v>
      </c>
      <c r="CJ657" s="49">
        <f t="shared" si="708"/>
        <v>0</v>
      </c>
      <c r="CK657" s="49">
        <f t="shared" si="709"/>
        <v>0</v>
      </c>
    </row>
    <row r="658" spans="2:89" ht="12.75" customHeight="1" x14ac:dyDescent="0.2">
      <c r="B658" s="77">
        <v>43604</v>
      </c>
      <c r="C658" s="79">
        <v>144.58000200000001</v>
      </c>
      <c r="D658" s="79">
        <v>107.66999800000001</v>
      </c>
      <c r="E658" s="79">
        <v>106.959999</v>
      </c>
      <c r="F658" s="79">
        <v>126.949997</v>
      </c>
      <c r="G658" s="79">
        <v>40.619999</v>
      </c>
      <c r="H658" s="79">
        <v>39.849997999999999</v>
      </c>
      <c r="I658" s="79"/>
      <c r="J658" s="78">
        <f>IF(inter=Weekly_2,J657+$C$5,IF(inter=Bi_weekly_2,J656+$C$5,IF(inter=Monthly_2,J654+$C$5,IF(inter=Quarterly_2,0,IF(inter=Yearly_2,0,IF(inter=None_2,0,0))))))</f>
        <v>204800</v>
      </c>
      <c r="K658" s="79">
        <f t="shared" si="728"/>
        <v>-1639.107890050218</v>
      </c>
      <c r="L658" s="79">
        <f t="shared" si="729"/>
        <v>-322.10727826166476</v>
      </c>
      <c r="M658" s="79">
        <f t="shared" si="730"/>
        <v>-448.76505432257181</v>
      </c>
      <c r="N658" s="79">
        <f t="shared" si="731"/>
        <v>-576.34585744821925</v>
      </c>
      <c r="O658" s="79">
        <f t="shared" si="732"/>
        <v>-635.47793028422166</v>
      </c>
      <c r="P658" s="79">
        <f t="shared" si="733"/>
        <v>-1441.8645234316282</v>
      </c>
      <c r="Q658" s="79"/>
      <c r="R658" s="80">
        <f t="shared" si="712"/>
        <v>11.337030483996106</v>
      </c>
      <c r="S658" s="80">
        <f t="shared" si="713"/>
        <v>2.9916159027110294</v>
      </c>
      <c r="T658" s="80">
        <f t="shared" si="714"/>
        <v>4.1956344289286296</v>
      </c>
      <c r="U658" s="80">
        <f t="shared" si="715"/>
        <v>4.5399438445691276</v>
      </c>
      <c r="V658" s="80">
        <f t="shared" si="716"/>
        <v>15.644459525570683</v>
      </c>
      <c r="W658" s="80">
        <f t="shared" si="717"/>
        <v>36.182298514334384</v>
      </c>
      <c r="X658" s="80">
        <f t="shared" si="669"/>
        <v>495.78087569814807</v>
      </c>
      <c r="Y658" s="80">
        <f t="shared" si="670"/>
        <v>190.21083291930589</v>
      </c>
      <c r="Z658" s="80">
        <f t="shared" si="671"/>
        <v>153.17875984647307</v>
      </c>
      <c r="AA658" s="80">
        <f t="shared" si="672"/>
        <v>112.92635162488426</v>
      </c>
      <c r="AB658" s="80">
        <f t="shared" si="673"/>
        <v>1260.4628572245904</v>
      </c>
      <c r="AC658" s="80">
        <f t="shared" si="674"/>
        <v>770.8908793420768</v>
      </c>
      <c r="AD658" s="80"/>
      <c r="AE658" s="80"/>
      <c r="AF658" s="80"/>
      <c r="AG658" s="80"/>
      <c r="AH658" s="80"/>
      <c r="AI658" s="80"/>
      <c r="AJ658" s="45">
        <f t="shared" si="663"/>
        <v>0</v>
      </c>
      <c r="AK658" s="45">
        <f t="shared" si="664"/>
        <v>0</v>
      </c>
      <c r="AL658" s="45">
        <f t="shared" si="665"/>
        <v>0</v>
      </c>
      <c r="AM658" s="45">
        <f t="shared" si="666"/>
        <v>0</v>
      </c>
      <c r="AN658" s="45">
        <f t="shared" si="667"/>
        <v>0</v>
      </c>
      <c r="AO658" s="45">
        <f t="shared" si="668"/>
        <v>0</v>
      </c>
      <c r="AP658" s="80">
        <f t="shared" si="718"/>
        <v>0</v>
      </c>
      <c r="AQ658" s="80">
        <f t="shared" si="719"/>
        <v>0</v>
      </c>
      <c r="AR658" s="80">
        <f t="shared" si="720"/>
        <v>0</v>
      </c>
      <c r="AS658" s="80">
        <f t="shared" si="721"/>
        <v>0</v>
      </c>
      <c r="AT658" s="80">
        <f t="shared" si="722"/>
        <v>0</v>
      </c>
      <c r="AU658" s="80">
        <f t="shared" si="723"/>
        <v>0</v>
      </c>
      <c r="AV658" s="80">
        <f t="shared" si="675"/>
        <v>98.517647730112373</v>
      </c>
      <c r="AW658" s="80">
        <f t="shared" si="676"/>
        <v>46.356258823831567</v>
      </c>
      <c r="AX658" s="80">
        <f t="shared" si="677"/>
        <v>29.200122268810702</v>
      </c>
      <c r="AY658" s="80">
        <f t="shared" si="678"/>
        <v>22.258662956732056</v>
      </c>
      <c r="AZ658" s="80">
        <f t="shared" si="679"/>
        <v>267.11071220123961</v>
      </c>
      <c r="BA658" s="80">
        <f t="shared" si="680"/>
        <v>131.86467942042992</v>
      </c>
      <c r="BB658" s="80">
        <f t="shared" si="681"/>
        <v>594.29852342826041</v>
      </c>
      <c r="BC658" s="80">
        <f t="shared" si="682"/>
        <v>236.56709174313744</v>
      </c>
      <c r="BD658" s="80">
        <f t="shared" si="683"/>
        <v>182.37888211528377</v>
      </c>
      <c r="BE658" s="80">
        <f t="shared" si="684"/>
        <v>135.18501458161631</v>
      </c>
      <c r="BF658" s="80">
        <f t="shared" si="685"/>
        <v>1527.5735694258301</v>
      </c>
      <c r="BG658" s="80">
        <f t="shared" si="686"/>
        <v>902.75555876250678</v>
      </c>
      <c r="BH658" s="49">
        <f t="shared" si="687"/>
        <v>0</v>
      </c>
      <c r="BI658" s="79">
        <f t="shared" si="688"/>
        <v>-121674.64512679804</v>
      </c>
      <c r="BJ658" s="79">
        <f t="shared" si="724"/>
        <v>204800</v>
      </c>
      <c r="BK658" s="44">
        <f t="shared" si="689"/>
        <v>0.68317729455118936</v>
      </c>
      <c r="BL658" s="79">
        <f t="shared" si="690"/>
        <v>31425.593485172794</v>
      </c>
      <c r="BM658" s="49">
        <f t="shared" si="691"/>
        <v>236225.59348517278</v>
      </c>
      <c r="BN658" s="44">
        <f t="shared" si="692"/>
        <v>0.94145290696348738</v>
      </c>
      <c r="BO658" s="49">
        <f t="shared" si="725"/>
        <v>41288.686318635802</v>
      </c>
      <c r="BP658" s="49">
        <f t="shared" si="726"/>
        <v>246088.6863186358</v>
      </c>
      <c r="BQ658" s="44">
        <f t="shared" si="693"/>
        <v>1.0225141077024302</v>
      </c>
      <c r="BS658" s="49">
        <f t="shared" si="694"/>
        <v>121674.64512679804</v>
      </c>
      <c r="BT658" s="49">
        <f t="shared" si="710"/>
        <v>144.58000200000001</v>
      </c>
      <c r="BU658" s="49">
        <f t="shared" si="711"/>
        <v>39.849997999999999</v>
      </c>
      <c r="BV658" s="49">
        <f t="shared" si="695"/>
        <v>5063.6685337985236</v>
      </c>
      <c r="BW658" s="18">
        <f t="shared" si="727"/>
        <v>4311</v>
      </c>
      <c r="BX658" s="19">
        <f t="shared" si="696"/>
        <v>1.1238532110091744E-2</v>
      </c>
      <c r="BY658" s="49">
        <f t="shared" si="697"/>
        <v>56.908201411955886</v>
      </c>
      <c r="BZ658" s="19">
        <f t="shared" si="698"/>
        <v>11.337030483996106</v>
      </c>
      <c r="CA658" s="19">
        <f t="shared" si="699"/>
        <v>2.9916159027110294</v>
      </c>
      <c r="CB658" s="19">
        <f t="shared" si="700"/>
        <v>4.1956344289286296</v>
      </c>
      <c r="CC658" s="19">
        <f t="shared" si="701"/>
        <v>4.5399438445691276</v>
      </c>
      <c r="CD658" s="19">
        <f t="shared" si="702"/>
        <v>15.644459525570683</v>
      </c>
      <c r="CE658" s="19">
        <f t="shared" si="703"/>
        <v>36.182298514334384</v>
      </c>
      <c r="CF658" s="49">
        <f t="shared" si="704"/>
        <v>-1639.107890050218</v>
      </c>
      <c r="CG658" s="49">
        <f t="shared" si="705"/>
        <v>-322.10727826166476</v>
      </c>
      <c r="CH658" s="49">
        <f t="shared" si="706"/>
        <v>-448.76505432257181</v>
      </c>
      <c r="CI658" s="49">
        <f t="shared" si="707"/>
        <v>-576.34585744821925</v>
      </c>
      <c r="CJ658" s="49">
        <f t="shared" si="708"/>
        <v>-635.47793028422166</v>
      </c>
      <c r="CK658" s="49">
        <f t="shared" si="709"/>
        <v>-1441.8645234316282</v>
      </c>
    </row>
    <row r="659" spans="2:89" ht="12.75" customHeight="1" x14ac:dyDescent="0.2">
      <c r="B659" s="77">
        <v>43611</v>
      </c>
      <c r="C659" s="79">
        <v>140.69000199999999</v>
      </c>
      <c r="D659" s="79">
        <v>104.209999</v>
      </c>
      <c r="E659" s="79">
        <v>103.83000199999999</v>
      </c>
      <c r="F659" s="79">
        <v>122.879997</v>
      </c>
      <c r="G659" s="79">
        <v>39.840000000000003</v>
      </c>
      <c r="H659" s="79">
        <v>40.639999000000003</v>
      </c>
      <c r="I659" s="79"/>
      <c r="J659" s="78">
        <f>IF(inter=Weekly_2,J658+$C$5,IF(inter=Bi_weekly_2,0,IF(inter=Monthly_2,0,IF(inter=Quarterly_2,0,IF(inter=Yearly_2,0,IF(inter=None_2,0,0))))))</f>
        <v>0</v>
      </c>
      <c r="K659" s="79">
        <f t="shared" si="728"/>
        <v>0</v>
      </c>
      <c r="L659" s="79">
        <f t="shared" si="729"/>
        <v>0</v>
      </c>
      <c r="M659" s="79">
        <f t="shared" si="730"/>
        <v>0</v>
      </c>
      <c r="N659" s="79">
        <f t="shared" si="731"/>
        <v>0</v>
      </c>
      <c r="O659" s="79">
        <f t="shared" si="732"/>
        <v>0</v>
      </c>
      <c r="P659" s="79">
        <f t="shared" si="733"/>
        <v>0</v>
      </c>
      <c r="Q659" s="79"/>
      <c r="R659" s="80">
        <f t="shared" si="712"/>
        <v>0</v>
      </c>
      <c r="S659" s="80">
        <f t="shared" si="713"/>
        <v>0</v>
      </c>
      <c r="T659" s="80">
        <f t="shared" si="714"/>
        <v>0</v>
      </c>
      <c r="U659" s="80">
        <f t="shared" si="715"/>
        <v>0</v>
      </c>
      <c r="V659" s="80">
        <f t="shared" si="716"/>
        <v>0</v>
      </c>
      <c r="W659" s="80">
        <f t="shared" si="717"/>
        <v>0</v>
      </c>
      <c r="X659" s="80">
        <f t="shared" si="669"/>
        <v>495.78087569814807</v>
      </c>
      <c r="Y659" s="80">
        <f t="shared" si="670"/>
        <v>190.21083291930589</v>
      </c>
      <c r="Z659" s="80">
        <f t="shared" si="671"/>
        <v>153.17875984647307</v>
      </c>
      <c r="AA659" s="80">
        <f t="shared" si="672"/>
        <v>112.92635162488426</v>
      </c>
      <c r="AB659" s="80">
        <f t="shared" si="673"/>
        <v>1260.4628572245904</v>
      </c>
      <c r="AC659" s="80">
        <f t="shared" si="674"/>
        <v>770.8908793420768</v>
      </c>
      <c r="AD659" s="80"/>
      <c r="AE659" s="80"/>
      <c r="AF659" s="80"/>
      <c r="AG659" s="80"/>
      <c r="AH659" s="80"/>
      <c r="AI659" s="80"/>
      <c r="AJ659" s="45">
        <f t="shared" si="663"/>
        <v>0</v>
      </c>
      <c r="AK659" s="45">
        <f t="shared" si="664"/>
        <v>0</v>
      </c>
      <c r="AL659" s="45">
        <f t="shared" si="665"/>
        <v>0</v>
      </c>
      <c r="AM659" s="45">
        <f t="shared" si="666"/>
        <v>0</v>
      </c>
      <c r="AN659" s="45">
        <f t="shared" si="667"/>
        <v>0</v>
      </c>
      <c r="AO659" s="45">
        <f t="shared" si="668"/>
        <v>0</v>
      </c>
      <c r="AP659" s="80">
        <f t="shared" si="718"/>
        <v>0</v>
      </c>
      <c r="AQ659" s="80">
        <f t="shared" si="719"/>
        <v>0</v>
      </c>
      <c r="AR659" s="80">
        <f t="shared" si="720"/>
        <v>0</v>
      </c>
      <c r="AS659" s="80">
        <f t="shared" si="721"/>
        <v>0</v>
      </c>
      <c r="AT659" s="80">
        <f t="shared" si="722"/>
        <v>0</v>
      </c>
      <c r="AU659" s="80">
        <f t="shared" si="723"/>
        <v>0</v>
      </c>
      <c r="AV659" s="80">
        <f t="shared" si="675"/>
        <v>98.517647730112373</v>
      </c>
      <c r="AW659" s="80">
        <f t="shared" si="676"/>
        <v>46.356258823831567</v>
      </c>
      <c r="AX659" s="80">
        <f t="shared" si="677"/>
        <v>29.200122268810702</v>
      </c>
      <c r="AY659" s="80">
        <f t="shared" si="678"/>
        <v>22.258662956732056</v>
      </c>
      <c r="AZ659" s="80">
        <f t="shared" si="679"/>
        <v>267.11071220123961</v>
      </c>
      <c r="BA659" s="80">
        <f t="shared" si="680"/>
        <v>131.86467942042992</v>
      </c>
      <c r="BB659" s="80">
        <f t="shared" si="681"/>
        <v>594.29852342826041</v>
      </c>
      <c r="BC659" s="80">
        <f t="shared" si="682"/>
        <v>236.56709174313744</v>
      </c>
      <c r="BD659" s="80">
        <f t="shared" si="683"/>
        <v>182.37888211528377</v>
      </c>
      <c r="BE659" s="80">
        <f t="shared" si="684"/>
        <v>135.18501458161631</v>
      </c>
      <c r="BF659" s="80">
        <f t="shared" si="685"/>
        <v>1527.5735694258301</v>
      </c>
      <c r="BG659" s="80">
        <f t="shared" si="686"/>
        <v>902.75555876250678</v>
      </c>
      <c r="BH659" s="49">
        <f t="shared" si="687"/>
        <v>0</v>
      </c>
      <c r="BI659" s="79">
        <f t="shared" si="688"/>
        <v>-121674.64512679804</v>
      </c>
      <c r="BJ659" s="79">
        <f t="shared" si="724"/>
        <v>200900.06858934657</v>
      </c>
      <c r="BK659" s="44">
        <f t="shared" si="689"/>
        <v>0.65112516564142942</v>
      </c>
      <c r="BL659" s="79">
        <f t="shared" si="690"/>
        <v>31425.593485172794</v>
      </c>
      <c r="BM659" s="49">
        <f t="shared" si="691"/>
        <v>232325.66207451938</v>
      </c>
      <c r="BN659" s="44">
        <f t="shared" si="692"/>
        <v>0.90940077805372765</v>
      </c>
      <c r="BO659" s="49">
        <f t="shared" si="725"/>
        <v>40458.898146657113</v>
      </c>
      <c r="BP659" s="49">
        <f t="shared" si="726"/>
        <v>241358.9667360037</v>
      </c>
      <c r="BQ659" s="44">
        <f t="shared" si="693"/>
        <v>0.98364224924988886</v>
      </c>
      <c r="BS659" s="49">
        <f t="shared" si="694"/>
        <v>121674.64512679804</v>
      </c>
      <c r="BT659" s="49">
        <f t="shared" si="710"/>
        <v>140.69000199999999</v>
      </c>
      <c r="BU659" s="49">
        <f t="shared" si="711"/>
        <v>40.639999000000003</v>
      </c>
      <c r="BV659" s="49">
        <f t="shared" si="695"/>
        <v>0</v>
      </c>
      <c r="BW659" s="18">
        <f t="shared" si="727"/>
        <v>4318</v>
      </c>
      <c r="BX659" s="19">
        <f t="shared" si="696"/>
        <v>9.6330275229357804E-3</v>
      </c>
      <c r="BY659" s="49">
        <f t="shared" si="697"/>
        <v>0</v>
      </c>
      <c r="BZ659" s="19">
        <f t="shared" si="698"/>
        <v>0</v>
      </c>
      <c r="CA659" s="19">
        <f t="shared" si="699"/>
        <v>0</v>
      </c>
      <c r="CB659" s="19">
        <f t="shared" si="700"/>
        <v>0</v>
      </c>
      <c r="CC659" s="19">
        <f t="shared" si="701"/>
        <v>0</v>
      </c>
      <c r="CD659" s="19">
        <f t="shared" si="702"/>
        <v>0</v>
      </c>
      <c r="CE659" s="19">
        <f t="shared" si="703"/>
        <v>0</v>
      </c>
      <c r="CF659" s="49">
        <f t="shared" si="704"/>
        <v>0</v>
      </c>
      <c r="CG659" s="49">
        <f t="shared" si="705"/>
        <v>0</v>
      </c>
      <c r="CH659" s="49">
        <f t="shared" si="706"/>
        <v>0</v>
      </c>
      <c r="CI659" s="49">
        <f t="shared" si="707"/>
        <v>0</v>
      </c>
      <c r="CJ659" s="49">
        <f t="shared" si="708"/>
        <v>0</v>
      </c>
      <c r="CK659" s="49">
        <f t="shared" si="709"/>
        <v>0</v>
      </c>
    </row>
    <row r="660" spans="2:89" ht="12.75" customHeight="1" x14ac:dyDescent="0.2">
      <c r="B660" s="77">
        <v>43618</v>
      </c>
      <c r="C660" s="79">
        <v>146.78999300000001</v>
      </c>
      <c r="D660" s="79">
        <v>109.16999800000001</v>
      </c>
      <c r="E660" s="79">
        <v>108.93</v>
      </c>
      <c r="F660" s="79">
        <v>127.58000199999999</v>
      </c>
      <c r="G660" s="79">
        <v>41.150002000000001</v>
      </c>
      <c r="H660" s="79">
        <v>40.869999</v>
      </c>
      <c r="I660" s="79"/>
      <c r="J660" s="78">
        <f>IF(inter=Weekly_2,J659+$C$5,IF(inter=Bi_weekly_2,J658+$C$5,IF(inter=Monthly_2,0,IF(inter=Quarterly_2,0,IF(inter=Yearly_2,0,IF(inter=None_2,0,0))))))</f>
        <v>205400</v>
      </c>
      <c r="K660" s="79">
        <f t="shared" si="728"/>
        <v>885.67127326503396</v>
      </c>
      <c r="L660" s="79">
        <f t="shared" si="729"/>
        <v>225.31624937896049</v>
      </c>
      <c r="M660" s="79">
        <f t="shared" si="730"/>
        <v>253.76231007631213</v>
      </c>
      <c r="N660" s="79">
        <f t="shared" si="731"/>
        <v>29.144166155434505</v>
      </c>
      <c r="O660" s="79">
        <f t="shared" si="732"/>
        <v>518.049095717608</v>
      </c>
      <c r="P660" s="79">
        <f t="shared" si="733"/>
        <v>696.30946781979947</v>
      </c>
      <c r="Q660" s="79"/>
      <c r="R660" s="80">
        <f t="shared" si="712"/>
        <v>-6.0335943558838778</v>
      </c>
      <c r="S660" s="80">
        <f t="shared" si="713"/>
        <v>-2.0639026610494255</v>
      </c>
      <c r="T660" s="80">
        <f t="shared" si="714"/>
        <v>-2.3295906552493539</v>
      </c>
      <c r="U660" s="80">
        <f t="shared" si="715"/>
        <v>-0.22843835788178232</v>
      </c>
      <c r="V660" s="80">
        <f t="shared" si="716"/>
        <v>-12.589284824763993</v>
      </c>
      <c r="W660" s="80">
        <f t="shared" si="717"/>
        <v>-17.037178489282553</v>
      </c>
      <c r="X660" s="80">
        <f t="shared" si="669"/>
        <v>489.74728134226416</v>
      </c>
      <c r="Y660" s="80">
        <f t="shared" si="670"/>
        <v>188.14693025825648</v>
      </c>
      <c r="Z660" s="80">
        <f t="shared" si="671"/>
        <v>150.84916919122372</v>
      </c>
      <c r="AA660" s="80">
        <f t="shared" si="672"/>
        <v>112.69791326700248</v>
      </c>
      <c r="AB660" s="80">
        <f t="shared" si="673"/>
        <v>1247.8735723998263</v>
      </c>
      <c r="AC660" s="80">
        <f t="shared" si="674"/>
        <v>753.85370085279419</v>
      </c>
      <c r="AD660" s="80"/>
      <c r="AE660" s="80"/>
      <c r="AF660" s="80"/>
      <c r="AG660" s="80"/>
      <c r="AH660" s="80"/>
      <c r="AI660" s="80"/>
      <c r="AJ660" s="45">
        <f t="shared" si="663"/>
        <v>0</v>
      </c>
      <c r="AK660" s="45">
        <f t="shared" si="664"/>
        <v>0</v>
      </c>
      <c r="AL660" s="45">
        <f t="shared" si="665"/>
        <v>0</v>
      </c>
      <c r="AM660" s="45">
        <f t="shared" si="666"/>
        <v>0</v>
      </c>
      <c r="AN660" s="45">
        <f t="shared" si="667"/>
        <v>0</v>
      </c>
      <c r="AO660" s="45">
        <f t="shared" si="668"/>
        <v>0</v>
      </c>
      <c r="AP660" s="80">
        <f t="shared" si="718"/>
        <v>0</v>
      </c>
      <c r="AQ660" s="80">
        <f t="shared" si="719"/>
        <v>0</v>
      </c>
      <c r="AR660" s="80">
        <f t="shared" si="720"/>
        <v>0</v>
      </c>
      <c r="AS660" s="80">
        <f t="shared" si="721"/>
        <v>0</v>
      </c>
      <c r="AT660" s="80">
        <f t="shared" si="722"/>
        <v>0</v>
      </c>
      <c r="AU660" s="80">
        <f t="shared" si="723"/>
        <v>0</v>
      </c>
      <c r="AV660" s="80">
        <f t="shared" si="675"/>
        <v>98.517647730112373</v>
      </c>
      <c r="AW660" s="80">
        <f t="shared" si="676"/>
        <v>46.356258823831567</v>
      </c>
      <c r="AX660" s="80">
        <f t="shared" si="677"/>
        <v>29.200122268810702</v>
      </c>
      <c r="AY660" s="80">
        <f t="shared" si="678"/>
        <v>22.258662956732056</v>
      </c>
      <c r="AZ660" s="80">
        <f t="shared" si="679"/>
        <v>267.11071220123961</v>
      </c>
      <c r="BA660" s="80">
        <f t="shared" si="680"/>
        <v>131.86467942042992</v>
      </c>
      <c r="BB660" s="80">
        <f t="shared" si="681"/>
        <v>588.2649290723765</v>
      </c>
      <c r="BC660" s="80">
        <f t="shared" si="682"/>
        <v>234.50318908208806</v>
      </c>
      <c r="BD660" s="80">
        <f t="shared" si="683"/>
        <v>180.04929146003442</v>
      </c>
      <c r="BE660" s="80">
        <f t="shared" si="684"/>
        <v>134.95657622373454</v>
      </c>
      <c r="BF660" s="80">
        <f t="shared" si="685"/>
        <v>1514.9842846010661</v>
      </c>
      <c r="BG660" s="80">
        <f t="shared" si="686"/>
        <v>885.71838027322406</v>
      </c>
      <c r="BH660" s="49">
        <f t="shared" si="687"/>
        <v>0</v>
      </c>
      <c r="BI660" s="79">
        <f t="shared" si="688"/>
        <v>-119066.39256438489</v>
      </c>
      <c r="BJ660" s="79">
        <f t="shared" si="724"/>
        <v>205400</v>
      </c>
      <c r="BK660" s="44">
        <f t="shared" si="689"/>
        <v>0.72508795787132296</v>
      </c>
      <c r="BL660" s="79">
        <f t="shared" si="690"/>
        <v>31425.593485172794</v>
      </c>
      <c r="BM660" s="49">
        <f t="shared" si="691"/>
        <v>236825.59348517278</v>
      </c>
      <c r="BN660" s="44">
        <f t="shared" si="692"/>
        <v>0.98902132150438549</v>
      </c>
      <c r="BO660" s="49">
        <f t="shared" si="725"/>
        <v>41923.562744394316</v>
      </c>
      <c r="BP660" s="49">
        <f t="shared" si="726"/>
        <v>247323.56274439429</v>
      </c>
      <c r="BQ660" s="44">
        <f t="shared" si="693"/>
        <v>1.0771903592414174</v>
      </c>
      <c r="BS660" s="49">
        <f t="shared" si="694"/>
        <v>119066.39256438489</v>
      </c>
      <c r="BT660" s="49">
        <f t="shared" si="710"/>
        <v>146.78999300000001</v>
      </c>
      <c r="BU660" s="49">
        <f t="shared" si="711"/>
        <v>40.869999</v>
      </c>
      <c r="BV660" s="49">
        <f t="shared" si="695"/>
        <v>-2608.2525624131486</v>
      </c>
      <c r="BW660" s="18">
        <f t="shared" si="727"/>
        <v>4325</v>
      </c>
      <c r="BX660" s="19">
        <f t="shared" si="696"/>
        <v>8.027522935779817E-3</v>
      </c>
      <c r="BY660" s="49">
        <f t="shared" si="697"/>
        <v>-20.937807267078028</v>
      </c>
      <c r="BZ660" s="19">
        <f t="shared" si="698"/>
        <v>0</v>
      </c>
      <c r="CA660" s="19">
        <f t="shared" si="699"/>
        <v>0</v>
      </c>
      <c r="CB660" s="19">
        <f t="shared" si="700"/>
        <v>0</v>
      </c>
      <c r="CC660" s="19">
        <f t="shared" si="701"/>
        <v>0</v>
      </c>
      <c r="CD660" s="19">
        <f t="shared" si="702"/>
        <v>0</v>
      </c>
      <c r="CE660" s="19">
        <f t="shared" si="703"/>
        <v>0</v>
      </c>
      <c r="CF660" s="49">
        <f t="shared" si="704"/>
        <v>0</v>
      </c>
      <c r="CG660" s="49">
        <f t="shared" si="705"/>
        <v>0</v>
      </c>
      <c r="CH660" s="49">
        <f t="shared" si="706"/>
        <v>0</v>
      </c>
      <c r="CI660" s="49">
        <f t="shared" si="707"/>
        <v>0</v>
      </c>
      <c r="CJ660" s="49">
        <f t="shared" si="708"/>
        <v>0</v>
      </c>
      <c r="CK660" s="49">
        <f t="shared" si="709"/>
        <v>0</v>
      </c>
    </row>
    <row r="661" spans="2:89" ht="12.75" customHeight="1" x14ac:dyDescent="0.2">
      <c r="B661" s="77">
        <v>43625</v>
      </c>
      <c r="C661" s="79">
        <v>147.63000500000001</v>
      </c>
      <c r="D661" s="79">
        <v>109.720001</v>
      </c>
      <c r="E661" s="79">
        <v>109.519997</v>
      </c>
      <c r="F661" s="79">
        <v>128.270004</v>
      </c>
      <c r="G661" s="79">
        <v>40.869999</v>
      </c>
      <c r="H661" s="79">
        <v>40.759998000000003</v>
      </c>
      <c r="I661" s="79"/>
      <c r="J661" s="78">
        <f>IF(inter=Weekly_2,J660+$C$5,IF(inter=Bi_weekly_2,0,IF(inter=Monthly_2,0,IF(inter=Quarterly_2,0,IF(inter=Yearly_2,0,IF(inter=None_2,0,0))))))</f>
        <v>0</v>
      </c>
      <c r="K661" s="79">
        <f t="shared" si="728"/>
        <v>0</v>
      </c>
      <c r="L661" s="79">
        <f t="shared" si="729"/>
        <v>0</v>
      </c>
      <c r="M661" s="79">
        <f t="shared" si="730"/>
        <v>0</v>
      </c>
      <c r="N661" s="79">
        <f t="shared" si="731"/>
        <v>0</v>
      </c>
      <c r="O661" s="79">
        <f t="shared" si="732"/>
        <v>0</v>
      </c>
      <c r="P661" s="79">
        <f t="shared" si="733"/>
        <v>0</v>
      </c>
      <c r="Q661" s="79"/>
      <c r="R661" s="80">
        <f t="shared" si="712"/>
        <v>0</v>
      </c>
      <c r="S661" s="80">
        <f t="shared" si="713"/>
        <v>0</v>
      </c>
      <c r="T661" s="80">
        <f t="shared" si="714"/>
        <v>0</v>
      </c>
      <c r="U661" s="80">
        <f t="shared" si="715"/>
        <v>0</v>
      </c>
      <c r="V661" s="80">
        <f t="shared" si="716"/>
        <v>0</v>
      </c>
      <c r="W661" s="80">
        <f t="shared" si="717"/>
        <v>0</v>
      </c>
      <c r="X661" s="80">
        <f t="shared" si="669"/>
        <v>489.74728134226416</v>
      </c>
      <c r="Y661" s="80">
        <f t="shared" si="670"/>
        <v>188.14693025825648</v>
      </c>
      <c r="Z661" s="80">
        <f t="shared" si="671"/>
        <v>150.84916919122372</v>
      </c>
      <c r="AA661" s="80">
        <f t="shared" si="672"/>
        <v>112.69791326700248</v>
      </c>
      <c r="AB661" s="80">
        <f t="shared" si="673"/>
        <v>1247.8735723998263</v>
      </c>
      <c r="AC661" s="80">
        <f t="shared" si="674"/>
        <v>753.85370085279419</v>
      </c>
      <c r="AD661" s="80"/>
      <c r="AE661" s="80"/>
      <c r="AF661" s="80"/>
      <c r="AG661" s="80"/>
      <c r="AH661" s="80"/>
      <c r="AI661" s="80"/>
      <c r="AJ661" s="45">
        <f t="shared" ref="AJ661:AJ665" si="734">(X661*AD661)</f>
        <v>0</v>
      </c>
      <c r="AK661" s="45">
        <f t="shared" ref="AK661:AK665" si="735">(Y661*AE661)</f>
        <v>0</v>
      </c>
      <c r="AL661" s="45">
        <f t="shared" ref="AL661:AL665" si="736">(Z661*AF661)</f>
        <v>0</v>
      </c>
      <c r="AM661" s="45">
        <f t="shared" ref="AM661:AM665" si="737">(AA661*AG661)</f>
        <v>0</v>
      </c>
      <c r="AN661" s="45">
        <f t="shared" ref="AN661:AN665" si="738">(AB661*AH661)</f>
        <v>0</v>
      </c>
      <c r="AO661" s="45">
        <f t="shared" ref="AO661:AO665" si="739">(AC661*AI661)</f>
        <v>0</v>
      </c>
      <c r="AP661" s="80">
        <f t="shared" si="718"/>
        <v>0</v>
      </c>
      <c r="AQ661" s="80">
        <f t="shared" si="719"/>
        <v>0</v>
      </c>
      <c r="AR661" s="80">
        <f t="shared" si="720"/>
        <v>0</v>
      </c>
      <c r="AS661" s="80">
        <f t="shared" si="721"/>
        <v>0</v>
      </c>
      <c r="AT661" s="80">
        <f t="shared" si="722"/>
        <v>0</v>
      </c>
      <c r="AU661" s="80">
        <f t="shared" si="723"/>
        <v>0</v>
      </c>
      <c r="AV661" s="80">
        <f t="shared" si="675"/>
        <v>98.517647730112373</v>
      </c>
      <c r="AW661" s="80">
        <f t="shared" si="676"/>
        <v>46.356258823831567</v>
      </c>
      <c r="AX661" s="80">
        <f t="shared" si="677"/>
        <v>29.200122268810702</v>
      </c>
      <c r="AY661" s="80">
        <f t="shared" si="678"/>
        <v>22.258662956732056</v>
      </c>
      <c r="AZ661" s="80">
        <f t="shared" si="679"/>
        <v>267.11071220123961</v>
      </c>
      <c r="BA661" s="80">
        <f t="shared" si="680"/>
        <v>131.86467942042992</v>
      </c>
      <c r="BB661" s="80">
        <f t="shared" si="681"/>
        <v>588.2649290723765</v>
      </c>
      <c r="BC661" s="80">
        <f t="shared" si="682"/>
        <v>234.50318908208806</v>
      </c>
      <c r="BD661" s="80">
        <f t="shared" si="683"/>
        <v>180.04929146003442</v>
      </c>
      <c r="BE661" s="80">
        <f t="shared" si="684"/>
        <v>134.95657622373454</v>
      </c>
      <c r="BF661" s="80">
        <f t="shared" si="685"/>
        <v>1514.9842846010661</v>
      </c>
      <c r="BG661" s="80">
        <f t="shared" si="686"/>
        <v>885.71838027322406</v>
      </c>
      <c r="BH661" s="49">
        <f t="shared" si="687"/>
        <v>0</v>
      </c>
      <c r="BI661" s="79">
        <f t="shared" si="688"/>
        <v>-119066.39256438489</v>
      </c>
      <c r="BJ661" s="79">
        <f t="shared" si="724"/>
        <v>205649.30430736288</v>
      </c>
      <c r="BK661" s="44">
        <f t="shared" si="689"/>
        <v>0.72718178386196142</v>
      </c>
      <c r="BL661" s="79">
        <f t="shared" si="690"/>
        <v>31425.593485172794</v>
      </c>
      <c r="BM661" s="49">
        <f t="shared" si="691"/>
        <v>237074.89779253566</v>
      </c>
      <c r="BN661" s="44">
        <f t="shared" si="692"/>
        <v>0.99111514749502394</v>
      </c>
      <c r="BO661" s="49">
        <f t="shared" si="725"/>
        <v>41975.104291267562</v>
      </c>
      <c r="BP661" s="49">
        <f t="shared" si="726"/>
        <v>247624.40859863046</v>
      </c>
      <c r="BQ661" s="44">
        <f t="shared" si="693"/>
        <v>1.0797170659615651</v>
      </c>
      <c r="BS661" s="49">
        <f t="shared" si="694"/>
        <v>119066.39256438489</v>
      </c>
      <c r="BT661" s="49">
        <f t="shared" si="710"/>
        <v>147.63000500000001</v>
      </c>
      <c r="BU661" s="49">
        <f t="shared" si="711"/>
        <v>40.759998000000003</v>
      </c>
      <c r="BV661" s="49">
        <f t="shared" si="695"/>
        <v>0</v>
      </c>
      <c r="BW661" s="18">
        <f t="shared" si="727"/>
        <v>4332</v>
      </c>
      <c r="BX661" s="19">
        <f t="shared" si="696"/>
        <v>6.4220183486238536E-3</v>
      </c>
      <c r="BY661" s="49">
        <f t="shared" si="697"/>
        <v>0</v>
      </c>
      <c r="BZ661" s="19">
        <f t="shared" si="698"/>
        <v>0</v>
      </c>
      <c r="CA661" s="19">
        <f t="shared" si="699"/>
        <v>0</v>
      </c>
      <c r="CB661" s="19">
        <f t="shared" si="700"/>
        <v>0</v>
      </c>
      <c r="CC661" s="19">
        <f t="shared" si="701"/>
        <v>0</v>
      </c>
      <c r="CD661" s="19">
        <f t="shared" si="702"/>
        <v>0</v>
      </c>
      <c r="CE661" s="19">
        <f t="shared" si="703"/>
        <v>0</v>
      </c>
      <c r="CF661" s="49">
        <f t="shared" si="704"/>
        <v>0</v>
      </c>
      <c r="CG661" s="49">
        <f t="shared" si="705"/>
        <v>0</v>
      </c>
      <c r="CH661" s="49">
        <f t="shared" si="706"/>
        <v>0</v>
      </c>
      <c r="CI661" s="49">
        <f t="shared" si="707"/>
        <v>0</v>
      </c>
      <c r="CJ661" s="49">
        <f t="shared" si="708"/>
        <v>0</v>
      </c>
      <c r="CK661" s="49">
        <f t="shared" si="709"/>
        <v>0</v>
      </c>
    </row>
    <row r="662" spans="2:89" ht="12.75" customHeight="1" x14ac:dyDescent="0.2">
      <c r="B662" s="77">
        <v>43632</v>
      </c>
      <c r="C662" s="79">
        <v>150.699997</v>
      </c>
      <c r="D662" s="79">
        <v>111.599998</v>
      </c>
      <c r="E662" s="79">
        <v>111.360001</v>
      </c>
      <c r="F662" s="79">
        <v>129.720001</v>
      </c>
      <c r="G662" s="79">
        <v>41.490001999999997</v>
      </c>
      <c r="H662" s="79">
        <v>42.34</v>
      </c>
      <c r="I662" s="79"/>
      <c r="J662" s="78">
        <f>IF(inter=Weekly_2,J661+$C$5,IF(inter=Bi_weekly_2,J660+$C$5,IF(inter=Monthly_2,J658+$C$5,IF(inter=Quarterly_2,0,IF(inter=Yearly_2,0,IF(inter=None_2,0,0))))))</f>
        <v>206000</v>
      </c>
      <c r="K662" s="79">
        <f t="shared" si="728"/>
        <v>1704.9138290373667</v>
      </c>
      <c r="L662" s="79">
        <f t="shared" si="729"/>
        <v>397.1970405275606</v>
      </c>
      <c r="M662" s="79">
        <f t="shared" si="730"/>
        <v>318.56363198384133</v>
      </c>
      <c r="N662" s="79">
        <f t="shared" si="731"/>
        <v>199.17342169347285</v>
      </c>
      <c r="O662" s="79">
        <f t="shared" si="732"/>
        <v>274.27701461593824</v>
      </c>
      <c r="P662" s="79">
        <f t="shared" si="733"/>
        <v>1018.1656941073088</v>
      </c>
      <c r="Q662" s="79"/>
      <c r="R662" s="80">
        <f t="shared" si="712"/>
        <v>-11.31329703369116</v>
      </c>
      <c r="S662" s="80">
        <f t="shared" si="713"/>
        <v>-3.5591133301593842</v>
      </c>
      <c r="T662" s="80">
        <f t="shared" si="714"/>
        <v>-2.8606647730170311</v>
      </c>
      <c r="U662" s="80">
        <f t="shared" si="715"/>
        <v>-1.5354102694886107</v>
      </c>
      <c r="V662" s="80">
        <f t="shared" si="716"/>
        <v>-6.6106773052442431</v>
      </c>
      <c r="W662" s="80">
        <f t="shared" si="717"/>
        <v>-24.047371140937855</v>
      </c>
      <c r="X662" s="80">
        <f t="shared" ref="X662:X665" si="740">X661+R662</f>
        <v>478.43398430857297</v>
      </c>
      <c r="Y662" s="80">
        <f t="shared" ref="Y662:Y665" si="741">Y661+S662</f>
        <v>184.58781692809708</v>
      </c>
      <c r="Z662" s="80">
        <f t="shared" ref="Z662:Z665" si="742">Z661+T662</f>
        <v>147.9885044182067</v>
      </c>
      <c r="AA662" s="80">
        <f t="shared" ref="AA662:AA665" si="743">AA661+U662</f>
        <v>111.16250299751387</v>
      </c>
      <c r="AB662" s="80">
        <f t="shared" ref="AB662:AB665" si="744">AB661+V662</f>
        <v>1241.2628950945821</v>
      </c>
      <c r="AC662" s="80">
        <f t="shared" ref="AC662:AC665" si="745">AC661+W662</f>
        <v>729.80632971185628</v>
      </c>
      <c r="AD662" s="80">
        <v>0.54700000000000004</v>
      </c>
      <c r="AE662" s="80">
        <v>0.69899999999999995</v>
      </c>
      <c r="AF662" s="80">
        <v>0.60599999999999998</v>
      </c>
      <c r="AG662" s="80">
        <v>0.74099999999999999</v>
      </c>
      <c r="AH662" s="80">
        <v>0.45</v>
      </c>
      <c r="AI662" s="80">
        <v>0.27900000000000003</v>
      </c>
      <c r="AJ662" s="45">
        <f t="shared" si="734"/>
        <v>261.70338941678943</v>
      </c>
      <c r="AK662" s="45">
        <f t="shared" si="735"/>
        <v>129.02688403273984</v>
      </c>
      <c r="AL662" s="45">
        <f t="shared" si="736"/>
        <v>89.681033677433263</v>
      </c>
      <c r="AM662" s="45">
        <f t="shared" si="737"/>
        <v>82.371414721157777</v>
      </c>
      <c r="AN662" s="45">
        <f t="shared" si="738"/>
        <v>558.56830279256189</v>
      </c>
      <c r="AO662" s="45">
        <f t="shared" si="739"/>
        <v>203.61596598960793</v>
      </c>
      <c r="AP662" s="80">
        <f t="shared" si="718"/>
        <v>1.736585233089218</v>
      </c>
      <c r="AQ662" s="80">
        <f t="shared" si="719"/>
        <v>1.156154895564961</v>
      </c>
      <c r="AR662" s="80">
        <f t="shared" si="720"/>
        <v>0.805325367026831</v>
      </c>
      <c r="AS662" s="80">
        <f t="shared" si="721"/>
        <v>0.63499394145978905</v>
      </c>
      <c r="AT662" s="80">
        <f t="shared" si="722"/>
        <v>13.462720555968206</v>
      </c>
      <c r="AU662" s="80">
        <f t="shared" si="723"/>
        <v>4.8090686346152083</v>
      </c>
      <c r="AV662" s="80">
        <f t="shared" ref="AV662:AV665" si="746">AP662+AV661+IF(AP662&lt;0,AP662,0)</f>
        <v>100.25423296320159</v>
      </c>
      <c r="AW662" s="80">
        <f t="shared" ref="AW662:AW665" si="747">AQ662+AW661+IF(AQ662&lt;0,AQ662,0)</f>
        <v>47.512413719396527</v>
      </c>
      <c r="AX662" s="80">
        <f t="shared" ref="AX662:AX665" si="748">AR662+AX661+IF(AR662&lt;0,AR662,0)</f>
        <v>30.005447635837534</v>
      </c>
      <c r="AY662" s="80">
        <f t="shared" ref="AY662:AY665" si="749">AS662+AY661+IF(AS662&lt;0,AS662,0)</f>
        <v>22.893656898191846</v>
      </c>
      <c r="AZ662" s="80">
        <f t="shared" ref="AZ662:AZ665" si="750">AT662+AZ661+IF(AT662&lt;0,AT662,0)</f>
        <v>280.5734327572078</v>
      </c>
      <c r="BA662" s="80">
        <f t="shared" ref="BA662:BA665" si="751">AU662+BA661+IF(AU662&lt;0,AU662,0)</f>
        <v>136.67374805504514</v>
      </c>
      <c r="BB662" s="80">
        <f t="shared" ref="BB662:BB665" si="752">X662+AV662</f>
        <v>578.68821727177453</v>
      </c>
      <c r="BC662" s="80">
        <f t="shared" ref="BC662:BC665" si="753">Y662+AW662</f>
        <v>232.10023064749362</v>
      </c>
      <c r="BD662" s="80">
        <f t="shared" ref="BD662:BD665" si="754">Z662+AX662</f>
        <v>177.99395205404423</v>
      </c>
      <c r="BE662" s="80">
        <f t="shared" ref="BE662:BE665" si="755">AA662+AY662</f>
        <v>134.05615989570572</v>
      </c>
      <c r="BF662" s="80">
        <f t="shared" ref="BF662:BF665" si="756">AB662+AZ662</f>
        <v>1521.83632785179</v>
      </c>
      <c r="BG662" s="80">
        <f t="shared" ref="BG662:BG665" si="757">AC662+BA662</f>
        <v>866.48007776690145</v>
      </c>
      <c r="BH662" s="49">
        <f t="shared" ref="BH662:BH665" si="758">(AJ662+AK662+AL662+AM662+AN662+AO662)</f>
        <v>1324.9669906302902</v>
      </c>
      <c r="BI662" s="79">
        <f t="shared" ref="BI662:BI665" si="759">BI661+K662+L662+M662+N662+O662+P662</f>
        <v>-115154.10193241941</v>
      </c>
      <c r="BJ662" s="79">
        <f t="shared" si="724"/>
        <v>205999.99999999997</v>
      </c>
      <c r="BK662" s="44">
        <f t="shared" ref="BK662:BK665" si="760">BJ662/ABS(BI662)-1</f>
        <v>0.78890718214185185</v>
      </c>
      <c r="BL662" s="79">
        <f t="shared" ref="BL662:BL665" si="761">BL661+BH662</f>
        <v>32750.560475803086</v>
      </c>
      <c r="BM662" s="49">
        <f t="shared" ref="BM662:BM665" si="762">BJ662+BL662</f>
        <v>238750.56047580307</v>
      </c>
      <c r="BN662" s="44">
        <f t="shared" ref="BN662:BN665" si="763">BM662/ABS(BI662)-1</f>
        <v>1.0733135552211492</v>
      </c>
      <c r="BO662" s="49">
        <f t="shared" si="725"/>
        <v>44149.628536205048</v>
      </c>
      <c r="BP662" s="49">
        <f t="shared" si="726"/>
        <v>250149.62853620504</v>
      </c>
      <c r="BQ662" s="44">
        <f t="shared" ref="BQ662:BQ665" si="764">(BP662/ABS(BI662))-1</f>
        <v>1.1723032383423959</v>
      </c>
      <c r="BS662" s="49">
        <f t="shared" ref="BS662:BS665" si="765">ABS(BI662)</f>
        <v>115154.10193241941</v>
      </c>
      <c r="BT662" s="49">
        <f t="shared" si="710"/>
        <v>150.699997</v>
      </c>
      <c r="BU662" s="49">
        <f t="shared" si="711"/>
        <v>42.34</v>
      </c>
      <c r="BV662" s="49">
        <f t="shared" ref="BV662:BV665" si="766">-(K662+L662+M662+N662+O662+P662+BH662)</f>
        <v>-5237.2576225957782</v>
      </c>
      <c r="BW662" s="18">
        <f t="shared" si="727"/>
        <v>4339</v>
      </c>
      <c r="BX662" s="19">
        <f t="shared" ref="BX662:BX665" si="767">($BW$40-BW662)/$BW$40</f>
        <v>4.8165137614678902E-3</v>
      </c>
      <c r="BY662" s="49">
        <f t="shared" ref="BY662:BY665" si="768">BX662*BV662</f>
        <v>-25.225323411585173</v>
      </c>
      <c r="BZ662" s="19">
        <f t="shared" ref="BZ662:BZ665" si="769">IF(R662&gt;0,R662,0)</f>
        <v>0</v>
      </c>
      <c r="CA662" s="19">
        <f t="shared" ref="CA662:CA665" si="770">IF(S662&gt;0,S662,0)</f>
        <v>0</v>
      </c>
      <c r="CB662" s="19">
        <f t="shared" ref="CB662:CB665" si="771">IF(T662&gt;0,T662,0)</f>
        <v>0</v>
      </c>
      <c r="CC662" s="19">
        <f t="shared" ref="CC662:CC665" si="772">IF(U662&gt;0,U662,0)</f>
        <v>0</v>
      </c>
      <c r="CD662" s="19">
        <f t="shared" ref="CD662:CD665" si="773">IF(V662&gt;0,V662,0)</f>
        <v>0</v>
      </c>
      <c r="CE662" s="19">
        <f t="shared" ref="CE662:CE665" si="774">IF(W662&gt;0,W662,0)</f>
        <v>0</v>
      </c>
      <c r="CF662" s="49">
        <f t="shared" ref="CF662:CF665" si="775">IF(K662&lt;0,K662,0)</f>
        <v>0</v>
      </c>
      <c r="CG662" s="49">
        <f t="shared" ref="CG662:CG665" si="776">IF(L662&lt;0,L662,0)</f>
        <v>0</v>
      </c>
      <c r="CH662" s="49">
        <f t="shared" ref="CH662:CH665" si="777">IF(M662&lt;0,M662,0)</f>
        <v>0</v>
      </c>
      <c r="CI662" s="49">
        <f t="shared" ref="CI662:CI665" si="778">IF(N662&lt;0,N662,0)</f>
        <v>0</v>
      </c>
      <c r="CJ662" s="49">
        <f t="shared" ref="CJ662:CJ665" si="779">IF(O662&lt;0,O662,0)</f>
        <v>0</v>
      </c>
      <c r="CK662" s="49">
        <f t="shared" ref="CK662:CK665" si="780">IF(P662&lt;0,P662,0)</f>
        <v>0</v>
      </c>
    </row>
    <row r="663" spans="2:89" ht="12.75" customHeight="1" x14ac:dyDescent="0.2">
      <c r="B663" s="77">
        <v>43639</v>
      </c>
      <c r="C663" s="79">
        <v>150.08999600000001</v>
      </c>
      <c r="D663" s="79">
        <v>110.91999800000001</v>
      </c>
      <c r="E663" s="79">
        <v>111.339996</v>
      </c>
      <c r="F663" s="79">
        <v>130.53999300000001</v>
      </c>
      <c r="G663" s="79">
        <v>41.709999000000003</v>
      </c>
      <c r="H663" s="79">
        <v>42.529998999999997</v>
      </c>
      <c r="I663" s="79"/>
      <c r="J663" s="78">
        <f>IF(inter=Weekly_2,J662+$C$5,IF(inter=Bi_weekly_2,0,IF(inter=Monthly_2,0,IF(inter=Quarterly_2,0,IF(inter=Yearly_2,0,IF(inter=None_2,0,0))))))</f>
        <v>0</v>
      </c>
      <c r="K663" s="79">
        <f t="shared" si="728"/>
        <v>0</v>
      </c>
      <c r="L663" s="79">
        <f t="shared" si="729"/>
        <v>0</v>
      </c>
      <c r="M663" s="79">
        <f t="shared" si="730"/>
        <v>0</v>
      </c>
      <c r="N663" s="79">
        <f t="shared" si="731"/>
        <v>0</v>
      </c>
      <c r="O663" s="79">
        <f t="shared" si="732"/>
        <v>0</v>
      </c>
      <c r="P663" s="79">
        <f t="shared" si="733"/>
        <v>0</v>
      </c>
      <c r="Q663" s="79"/>
      <c r="R663" s="80">
        <f t="shared" si="712"/>
        <v>0</v>
      </c>
      <c r="S663" s="80">
        <f t="shared" si="713"/>
        <v>0</v>
      </c>
      <c r="T663" s="80">
        <f t="shared" si="714"/>
        <v>0</v>
      </c>
      <c r="U663" s="80">
        <f t="shared" si="715"/>
        <v>0</v>
      </c>
      <c r="V663" s="80">
        <f t="shared" si="716"/>
        <v>0</v>
      </c>
      <c r="W663" s="80">
        <f t="shared" si="717"/>
        <v>0</v>
      </c>
      <c r="X663" s="80">
        <f t="shared" si="740"/>
        <v>478.43398430857297</v>
      </c>
      <c r="Y663" s="80">
        <f t="shared" si="741"/>
        <v>184.58781692809708</v>
      </c>
      <c r="Z663" s="80">
        <f t="shared" si="742"/>
        <v>147.9885044182067</v>
      </c>
      <c r="AA663" s="80">
        <f t="shared" si="743"/>
        <v>111.16250299751387</v>
      </c>
      <c r="AB663" s="80">
        <f t="shared" si="744"/>
        <v>1241.2628950945821</v>
      </c>
      <c r="AC663" s="80">
        <f t="shared" si="745"/>
        <v>729.80632971185628</v>
      </c>
      <c r="AD663" s="80"/>
      <c r="AE663" s="80"/>
      <c r="AF663" s="80"/>
      <c r="AG663" s="80"/>
      <c r="AH663" s="80"/>
      <c r="AI663" s="80"/>
      <c r="AJ663" s="45">
        <f t="shared" si="734"/>
        <v>0</v>
      </c>
      <c r="AK663" s="45">
        <f t="shared" si="735"/>
        <v>0</v>
      </c>
      <c r="AL663" s="45">
        <f t="shared" si="736"/>
        <v>0</v>
      </c>
      <c r="AM663" s="45">
        <f t="shared" si="737"/>
        <v>0</v>
      </c>
      <c r="AN663" s="45">
        <f t="shared" si="738"/>
        <v>0</v>
      </c>
      <c r="AO663" s="45">
        <f t="shared" si="739"/>
        <v>0</v>
      </c>
      <c r="AP663" s="80">
        <f t="shared" si="718"/>
        <v>0</v>
      </c>
      <c r="AQ663" s="80">
        <f t="shared" si="719"/>
        <v>0</v>
      </c>
      <c r="AR663" s="80">
        <f t="shared" si="720"/>
        <v>0</v>
      </c>
      <c r="AS663" s="80">
        <f t="shared" si="721"/>
        <v>0</v>
      </c>
      <c r="AT663" s="80">
        <f t="shared" si="722"/>
        <v>0</v>
      </c>
      <c r="AU663" s="80">
        <f t="shared" si="723"/>
        <v>0</v>
      </c>
      <c r="AV663" s="80">
        <f t="shared" si="746"/>
        <v>100.25423296320159</v>
      </c>
      <c r="AW663" s="80">
        <f t="shared" si="747"/>
        <v>47.512413719396527</v>
      </c>
      <c r="AX663" s="80">
        <f t="shared" si="748"/>
        <v>30.005447635837534</v>
      </c>
      <c r="AY663" s="80">
        <f t="shared" si="749"/>
        <v>22.893656898191846</v>
      </c>
      <c r="AZ663" s="80">
        <f t="shared" si="750"/>
        <v>280.5734327572078</v>
      </c>
      <c r="BA663" s="80">
        <f t="shared" si="751"/>
        <v>136.67374805504514</v>
      </c>
      <c r="BB663" s="80">
        <f t="shared" si="752"/>
        <v>578.68821727177453</v>
      </c>
      <c r="BC663" s="80">
        <f t="shared" si="753"/>
        <v>232.10023064749362</v>
      </c>
      <c r="BD663" s="80">
        <f t="shared" si="754"/>
        <v>177.99395205404423</v>
      </c>
      <c r="BE663" s="80">
        <f t="shared" si="755"/>
        <v>134.05615989570572</v>
      </c>
      <c r="BF663" s="80">
        <f t="shared" si="756"/>
        <v>1521.83632785179</v>
      </c>
      <c r="BG663" s="80">
        <f t="shared" si="757"/>
        <v>866.48007776690145</v>
      </c>
      <c r="BH663" s="49">
        <f t="shared" si="758"/>
        <v>0</v>
      </c>
      <c r="BI663" s="79">
        <f t="shared" si="759"/>
        <v>-115154.10193241941</v>
      </c>
      <c r="BJ663" s="79">
        <f t="shared" si="724"/>
        <v>206082.56351472475</v>
      </c>
      <c r="BK663" s="44">
        <f t="shared" si="760"/>
        <v>0.78962416497910448</v>
      </c>
      <c r="BL663" s="79">
        <f t="shared" si="761"/>
        <v>32750.560475803086</v>
      </c>
      <c r="BM663" s="49">
        <f t="shared" si="762"/>
        <v>238833.12399052785</v>
      </c>
      <c r="BN663" s="44">
        <f t="shared" si="763"/>
        <v>1.0740305380584014</v>
      </c>
      <c r="BO663" s="49">
        <f t="shared" si="725"/>
        <v>44162.03045798438</v>
      </c>
      <c r="BP663" s="49">
        <f t="shared" si="726"/>
        <v>250244.59397270915</v>
      </c>
      <c r="BQ663" s="44">
        <f t="shared" si="764"/>
        <v>1.1731279196599562</v>
      </c>
      <c r="BS663" s="49">
        <f t="shared" si="765"/>
        <v>115154.10193241941</v>
      </c>
      <c r="BT663" s="49">
        <f t="shared" si="710"/>
        <v>150.08999600000001</v>
      </c>
      <c r="BU663" s="49">
        <f t="shared" si="711"/>
        <v>42.529998999999997</v>
      </c>
      <c r="BV663" s="49">
        <f t="shared" si="766"/>
        <v>0</v>
      </c>
      <c r="BW663" s="18">
        <f t="shared" si="727"/>
        <v>4346</v>
      </c>
      <c r="BX663" s="19">
        <f t="shared" si="767"/>
        <v>3.2110091743119268E-3</v>
      </c>
      <c r="BY663" s="49">
        <f t="shared" si="768"/>
        <v>0</v>
      </c>
      <c r="BZ663" s="19">
        <f t="shared" si="769"/>
        <v>0</v>
      </c>
      <c r="CA663" s="19">
        <f t="shared" si="770"/>
        <v>0</v>
      </c>
      <c r="CB663" s="19">
        <f t="shared" si="771"/>
        <v>0</v>
      </c>
      <c r="CC663" s="19">
        <f t="shared" si="772"/>
        <v>0</v>
      </c>
      <c r="CD663" s="19">
        <f t="shared" si="773"/>
        <v>0</v>
      </c>
      <c r="CE663" s="19">
        <f t="shared" si="774"/>
        <v>0</v>
      </c>
      <c r="CF663" s="49">
        <f t="shared" si="775"/>
        <v>0</v>
      </c>
      <c r="CG663" s="49">
        <f t="shared" si="776"/>
        <v>0</v>
      </c>
      <c r="CH663" s="49">
        <f t="shared" si="777"/>
        <v>0</v>
      </c>
      <c r="CI663" s="49">
        <f t="shared" si="778"/>
        <v>0</v>
      </c>
      <c r="CJ663" s="49">
        <f t="shared" si="779"/>
        <v>0</v>
      </c>
      <c r="CK663" s="49">
        <f t="shared" si="780"/>
        <v>0</v>
      </c>
    </row>
    <row r="664" spans="2:89" ht="12.75" customHeight="1" x14ac:dyDescent="0.2">
      <c r="B664" s="77">
        <v>43646</v>
      </c>
      <c r="C664" s="79">
        <v>152.550003</v>
      </c>
      <c r="D664" s="79">
        <v>112.589996</v>
      </c>
      <c r="E664" s="79">
        <v>113.029999</v>
      </c>
      <c r="F664" s="79">
        <v>131.91999799999999</v>
      </c>
      <c r="G664" s="79">
        <v>41.959999000000003</v>
      </c>
      <c r="H664" s="79">
        <v>42.830002</v>
      </c>
      <c r="I664" s="79"/>
      <c r="J664" s="78">
        <f>IF(inter=Weekly_2,J663+$C$5,IF(inter=Bi_weekly_2,J662+$C$5,IF(inter=Monthly_2,0,IF(inter=Quarterly_2,0,IF(inter=Yearly_2,0,IF(inter=None_2,0,0))))))</f>
        <v>206600</v>
      </c>
      <c r="K664" s="79">
        <f t="shared" si="728"/>
        <v>675.10574157476367</v>
      </c>
      <c r="L664" s="79">
        <f t="shared" si="729"/>
        <v>122.74156958318417</v>
      </c>
      <c r="M664" s="79">
        <f t="shared" si="730"/>
        <v>199.14050640139976</v>
      </c>
      <c r="N664" s="79">
        <f t="shared" si="731"/>
        <v>202.5571731070213</v>
      </c>
      <c r="O664" s="79">
        <f t="shared" si="732"/>
        <v>433.38983690577152</v>
      </c>
      <c r="P664" s="79">
        <f t="shared" si="733"/>
        <v>267.60656117146573</v>
      </c>
      <c r="Q664" s="79"/>
      <c r="R664" s="80">
        <f t="shared" si="712"/>
        <v>-4.4254718341419084</v>
      </c>
      <c r="S664" s="80">
        <f t="shared" si="713"/>
        <v>-1.0901640815688827</v>
      </c>
      <c r="T664" s="80">
        <f t="shared" si="714"/>
        <v>-1.7618376374700291</v>
      </c>
      <c r="U664" s="80">
        <f t="shared" si="715"/>
        <v>-1.5354546405240341</v>
      </c>
      <c r="V664" s="80">
        <f t="shared" si="716"/>
        <v>-10.328642689094714</v>
      </c>
      <c r="W664" s="80">
        <f t="shared" si="717"/>
        <v>-6.2481099387169241</v>
      </c>
      <c r="X664" s="80">
        <f t="shared" si="740"/>
        <v>474.00851247443109</v>
      </c>
      <c r="Y664" s="80">
        <f t="shared" si="741"/>
        <v>183.49765284652821</v>
      </c>
      <c r="Z664" s="80">
        <f t="shared" si="742"/>
        <v>146.22666678073668</v>
      </c>
      <c r="AA664" s="80">
        <f t="shared" si="743"/>
        <v>109.62704835698983</v>
      </c>
      <c r="AB664" s="80">
        <f t="shared" si="744"/>
        <v>1230.9342524054873</v>
      </c>
      <c r="AC664" s="80">
        <f t="shared" si="745"/>
        <v>723.5582197731394</v>
      </c>
      <c r="AD664" s="80"/>
      <c r="AE664" s="80"/>
      <c r="AF664" s="80"/>
      <c r="AG664" s="80"/>
      <c r="AH664" s="80"/>
      <c r="AI664" s="80"/>
      <c r="AJ664" s="45">
        <f t="shared" si="734"/>
        <v>0</v>
      </c>
      <c r="AK664" s="45">
        <f t="shared" si="735"/>
        <v>0</v>
      </c>
      <c r="AL664" s="45">
        <f t="shared" si="736"/>
        <v>0</v>
      </c>
      <c r="AM664" s="45">
        <f t="shared" si="737"/>
        <v>0</v>
      </c>
      <c r="AN664" s="45">
        <f t="shared" si="738"/>
        <v>0</v>
      </c>
      <c r="AO664" s="45">
        <f t="shared" si="739"/>
        <v>0</v>
      </c>
      <c r="AP664" s="80">
        <f t="shared" si="718"/>
        <v>0</v>
      </c>
      <c r="AQ664" s="80">
        <f t="shared" si="719"/>
        <v>0</v>
      </c>
      <c r="AR664" s="80">
        <f t="shared" si="720"/>
        <v>0</v>
      </c>
      <c r="AS664" s="80">
        <f t="shared" si="721"/>
        <v>0</v>
      </c>
      <c r="AT664" s="80">
        <f t="shared" si="722"/>
        <v>0</v>
      </c>
      <c r="AU664" s="80">
        <f t="shared" si="723"/>
        <v>0</v>
      </c>
      <c r="AV664" s="80">
        <f t="shared" si="746"/>
        <v>100.25423296320159</v>
      </c>
      <c r="AW664" s="80">
        <f t="shared" si="747"/>
        <v>47.512413719396527</v>
      </c>
      <c r="AX664" s="80">
        <f t="shared" si="748"/>
        <v>30.005447635837534</v>
      </c>
      <c r="AY664" s="80">
        <f t="shared" si="749"/>
        <v>22.893656898191846</v>
      </c>
      <c r="AZ664" s="80">
        <f t="shared" si="750"/>
        <v>280.5734327572078</v>
      </c>
      <c r="BA664" s="80">
        <f t="shared" si="751"/>
        <v>136.67374805504514</v>
      </c>
      <c r="BB664" s="80">
        <f t="shared" si="752"/>
        <v>574.2627454376327</v>
      </c>
      <c r="BC664" s="80">
        <f t="shared" si="753"/>
        <v>231.01006656592475</v>
      </c>
      <c r="BD664" s="80">
        <f t="shared" si="754"/>
        <v>176.23211441657421</v>
      </c>
      <c r="BE664" s="80">
        <f t="shared" si="755"/>
        <v>132.52070525518167</v>
      </c>
      <c r="BF664" s="80">
        <f t="shared" si="756"/>
        <v>1511.507685162695</v>
      </c>
      <c r="BG664" s="80">
        <f t="shared" si="757"/>
        <v>860.23196782818457</v>
      </c>
      <c r="BH664" s="49">
        <f t="shared" si="758"/>
        <v>0</v>
      </c>
      <c r="BI664" s="79">
        <f t="shared" si="759"/>
        <v>-113253.56054367579</v>
      </c>
      <c r="BJ664" s="79">
        <f t="shared" si="724"/>
        <v>206600</v>
      </c>
      <c r="BK664" s="44">
        <f t="shared" si="760"/>
        <v>0.82422520765098173</v>
      </c>
      <c r="BL664" s="79">
        <f t="shared" si="761"/>
        <v>32750.560475803086</v>
      </c>
      <c r="BM664" s="49">
        <f t="shared" si="762"/>
        <v>239350.5604758031</v>
      </c>
      <c r="BN664" s="44">
        <f t="shared" si="763"/>
        <v>1.1134042879252215</v>
      </c>
      <c r="BO664" s="49">
        <f t="shared" si="725"/>
        <v>44681.450758875813</v>
      </c>
      <c r="BP664" s="49">
        <f t="shared" si="726"/>
        <v>251281.45075887581</v>
      </c>
      <c r="BQ664" s="44">
        <f t="shared" si="764"/>
        <v>1.2187510004329631</v>
      </c>
      <c r="BS664" s="49">
        <f t="shared" si="765"/>
        <v>113253.56054367579</v>
      </c>
      <c r="BT664" s="49">
        <f t="shared" si="710"/>
        <v>152.550003</v>
      </c>
      <c r="BU664" s="49">
        <f t="shared" si="711"/>
        <v>42.830002</v>
      </c>
      <c r="BV664" s="49">
        <f t="shared" si="766"/>
        <v>-1900.5413887436061</v>
      </c>
      <c r="BW664" s="18">
        <f t="shared" si="727"/>
        <v>4353</v>
      </c>
      <c r="BX664" s="19">
        <f t="shared" si="767"/>
        <v>1.6055045871559634E-3</v>
      </c>
      <c r="BY664" s="49">
        <f t="shared" si="768"/>
        <v>-3.0513279177076247</v>
      </c>
      <c r="BZ664" s="19">
        <f t="shared" si="769"/>
        <v>0</v>
      </c>
      <c r="CA664" s="19">
        <f t="shared" si="770"/>
        <v>0</v>
      </c>
      <c r="CB664" s="19">
        <f t="shared" si="771"/>
        <v>0</v>
      </c>
      <c r="CC664" s="19">
        <f t="shared" si="772"/>
        <v>0</v>
      </c>
      <c r="CD664" s="19">
        <f t="shared" si="773"/>
        <v>0</v>
      </c>
      <c r="CE664" s="19">
        <f t="shared" si="774"/>
        <v>0</v>
      </c>
      <c r="CF664" s="49">
        <f t="shared" si="775"/>
        <v>0</v>
      </c>
      <c r="CG664" s="49">
        <f t="shared" si="776"/>
        <v>0</v>
      </c>
      <c r="CH664" s="49">
        <f t="shared" si="777"/>
        <v>0</v>
      </c>
      <c r="CI664" s="49">
        <f t="shared" si="778"/>
        <v>0</v>
      </c>
      <c r="CJ664" s="49">
        <f t="shared" si="779"/>
        <v>0</v>
      </c>
      <c r="CK664" s="49">
        <f t="shared" si="780"/>
        <v>0</v>
      </c>
    </row>
    <row r="665" spans="2:89" ht="12.75" customHeight="1" x14ac:dyDescent="0.2">
      <c r="B665" s="77">
        <v>43653</v>
      </c>
      <c r="C665" s="79">
        <v>153.61000100000001</v>
      </c>
      <c r="D665" s="79">
        <v>113.040001</v>
      </c>
      <c r="E665" s="79">
        <v>113.279999</v>
      </c>
      <c r="F665" s="79">
        <v>131.13999899999999</v>
      </c>
      <c r="G665" s="79">
        <v>41.75</v>
      </c>
      <c r="H665" s="79">
        <v>42.740001999999997</v>
      </c>
      <c r="I665" s="79"/>
      <c r="J665" s="78">
        <f>IF(inter=Weekly_2,J664+$C$5,IF(inter=Bi_weekly_2,0,IF(inter=Monthly_2,0,IF(inter=Quarterly_2,0,IF(inter=Yearly_2,0,IF(inter=None_2,0,0))))))</f>
        <v>0</v>
      </c>
      <c r="K665" s="79">
        <f t="shared" si="728"/>
        <v>0</v>
      </c>
      <c r="L665" s="79">
        <f t="shared" si="729"/>
        <v>0</v>
      </c>
      <c r="M665" s="79">
        <f t="shared" si="730"/>
        <v>0</v>
      </c>
      <c r="N665" s="79">
        <f t="shared" si="731"/>
        <v>0</v>
      </c>
      <c r="O665" s="79">
        <f t="shared" si="732"/>
        <v>0</v>
      </c>
      <c r="P665" s="79">
        <f t="shared" si="733"/>
        <v>0</v>
      </c>
      <c r="Q665" s="79"/>
      <c r="R665" s="80">
        <f t="shared" si="712"/>
        <v>0</v>
      </c>
      <c r="S665" s="80">
        <f t="shared" si="713"/>
        <v>0</v>
      </c>
      <c r="T665" s="80">
        <f t="shared" si="714"/>
        <v>0</v>
      </c>
      <c r="U665" s="80">
        <f t="shared" si="715"/>
        <v>0</v>
      </c>
      <c r="V665" s="80">
        <f t="shared" si="716"/>
        <v>0</v>
      </c>
      <c r="W665" s="80">
        <f t="shared" si="717"/>
        <v>0</v>
      </c>
      <c r="X665" s="80">
        <f t="shared" si="740"/>
        <v>474.00851247443109</v>
      </c>
      <c r="Y665" s="80">
        <f t="shared" si="741"/>
        <v>183.49765284652821</v>
      </c>
      <c r="Z665" s="80">
        <f t="shared" si="742"/>
        <v>146.22666678073668</v>
      </c>
      <c r="AA665" s="80">
        <f t="shared" si="743"/>
        <v>109.62704835698983</v>
      </c>
      <c r="AB665" s="80">
        <f t="shared" si="744"/>
        <v>1230.9342524054873</v>
      </c>
      <c r="AC665" s="80">
        <f t="shared" si="745"/>
        <v>723.5582197731394</v>
      </c>
      <c r="AD665" s="80"/>
      <c r="AE665" s="80"/>
      <c r="AF665" s="80"/>
      <c r="AG665" s="80"/>
      <c r="AH665" s="80"/>
      <c r="AI665" s="80"/>
      <c r="AJ665" s="45">
        <f t="shared" si="734"/>
        <v>0</v>
      </c>
      <c r="AK665" s="45">
        <f t="shared" si="735"/>
        <v>0</v>
      </c>
      <c r="AL665" s="45">
        <f t="shared" si="736"/>
        <v>0</v>
      </c>
      <c r="AM665" s="45">
        <f t="shared" si="737"/>
        <v>0</v>
      </c>
      <c r="AN665" s="45">
        <f t="shared" si="738"/>
        <v>0</v>
      </c>
      <c r="AO665" s="45">
        <f t="shared" si="739"/>
        <v>0</v>
      </c>
      <c r="AP665" s="80">
        <f t="shared" si="718"/>
        <v>0</v>
      </c>
      <c r="AQ665" s="80">
        <f t="shared" si="719"/>
        <v>0</v>
      </c>
      <c r="AR665" s="80">
        <f t="shared" si="720"/>
        <v>0</v>
      </c>
      <c r="AS665" s="80">
        <f t="shared" si="721"/>
        <v>0</v>
      </c>
      <c r="AT665" s="80">
        <f t="shared" si="722"/>
        <v>0</v>
      </c>
      <c r="AU665" s="80">
        <f t="shared" si="723"/>
        <v>0</v>
      </c>
      <c r="AV665" s="80">
        <f t="shared" si="746"/>
        <v>100.25423296320159</v>
      </c>
      <c r="AW665" s="80">
        <f t="shared" si="747"/>
        <v>47.512413719396527</v>
      </c>
      <c r="AX665" s="80">
        <f t="shared" si="748"/>
        <v>30.005447635837534</v>
      </c>
      <c r="AY665" s="80">
        <f t="shared" si="749"/>
        <v>22.893656898191846</v>
      </c>
      <c r="AZ665" s="80">
        <f t="shared" si="750"/>
        <v>280.5734327572078</v>
      </c>
      <c r="BA665" s="80">
        <f t="shared" si="751"/>
        <v>136.67374805504514</v>
      </c>
      <c r="BB665" s="80">
        <f t="shared" si="752"/>
        <v>574.2627454376327</v>
      </c>
      <c r="BC665" s="80">
        <f t="shared" si="753"/>
        <v>231.01006656592475</v>
      </c>
      <c r="BD665" s="80">
        <f t="shared" si="754"/>
        <v>176.23211441657421</v>
      </c>
      <c r="BE665" s="80">
        <f t="shared" si="755"/>
        <v>132.52070525518167</v>
      </c>
      <c r="BF665" s="80">
        <f t="shared" si="756"/>
        <v>1511.507685162695</v>
      </c>
      <c r="BG665" s="80">
        <f t="shared" si="757"/>
        <v>860.23196782818457</v>
      </c>
      <c r="BH665" s="49">
        <f t="shared" si="758"/>
        <v>0</v>
      </c>
      <c r="BI665" s="79">
        <f t="shared" si="759"/>
        <v>-113253.56054367579</v>
      </c>
      <c r="BJ665" s="79">
        <f t="shared" si="724"/>
        <v>206812.4554132284</v>
      </c>
      <c r="BK665" s="44">
        <f t="shared" si="760"/>
        <v>0.82610113466120993</v>
      </c>
      <c r="BL665" s="79">
        <f t="shared" si="761"/>
        <v>32750.560475803086</v>
      </c>
      <c r="BM665" s="49">
        <f t="shared" si="762"/>
        <v>239563.01588903149</v>
      </c>
      <c r="BN665" s="44">
        <f t="shared" si="763"/>
        <v>1.1152802149354497</v>
      </c>
      <c r="BO665" s="49">
        <f t="shared" si="725"/>
        <v>44727.524423835624</v>
      </c>
      <c r="BP665" s="49">
        <f t="shared" si="726"/>
        <v>251539.97983706402</v>
      </c>
      <c r="BQ665" s="44">
        <f t="shared" si="764"/>
        <v>1.2210337461316159</v>
      </c>
      <c r="BS665" s="49">
        <f t="shared" si="765"/>
        <v>113253.56054367579</v>
      </c>
      <c r="BT665" s="49">
        <f t="shared" si="710"/>
        <v>153.61000100000001</v>
      </c>
      <c r="BU665" s="49">
        <f t="shared" si="711"/>
        <v>42.740001999999997</v>
      </c>
      <c r="BV665" s="49">
        <f t="shared" si="766"/>
        <v>0</v>
      </c>
      <c r="BW665" s="18">
        <f t="shared" si="727"/>
        <v>4360</v>
      </c>
      <c r="BX665" s="19">
        <f t="shared" si="767"/>
        <v>0</v>
      </c>
      <c r="BY665" s="49">
        <f t="shared" si="768"/>
        <v>0</v>
      </c>
      <c r="BZ665" s="19">
        <f t="shared" si="769"/>
        <v>0</v>
      </c>
      <c r="CA665" s="19">
        <f t="shared" si="770"/>
        <v>0</v>
      </c>
      <c r="CB665" s="19">
        <f t="shared" si="771"/>
        <v>0</v>
      </c>
      <c r="CC665" s="19">
        <f t="shared" si="772"/>
        <v>0</v>
      </c>
      <c r="CD665" s="19">
        <f t="shared" si="773"/>
        <v>0</v>
      </c>
      <c r="CE665" s="19">
        <f t="shared" si="774"/>
        <v>0</v>
      </c>
      <c r="CF665" s="49">
        <f t="shared" si="775"/>
        <v>0</v>
      </c>
      <c r="CG665" s="49">
        <f t="shared" si="776"/>
        <v>0</v>
      </c>
      <c r="CH665" s="49">
        <f t="shared" si="777"/>
        <v>0</v>
      </c>
      <c r="CI665" s="49">
        <f t="shared" si="778"/>
        <v>0</v>
      </c>
      <c r="CJ665" s="49">
        <f t="shared" si="779"/>
        <v>0</v>
      </c>
      <c r="CK665" s="49">
        <f t="shared" si="780"/>
        <v>0</v>
      </c>
    </row>
    <row r="666" spans="2:89" ht="12.75" customHeight="1" x14ac:dyDescent="0.2">
      <c r="B666" s="77"/>
      <c r="C666" s="79"/>
      <c r="D666" s="79"/>
      <c r="E666" s="79"/>
      <c r="F666" s="79"/>
      <c r="G666" s="79"/>
      <c r="H666" s="79"/>
      <c r="I666" s="79"/>
      <c r="J666" s="78"/>
      <c r="K666" s="79"/>
      <c r="L666" s="79"/>
      <c r="M666" s="79"/>
      <c r="N666" s="79"/>
      <c r="O666" s="79"/>
      <c r="P666" s="79"/>
      <c r="Q666" s="79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45"/>
      <c r="AK666" s="45"/>
      <c r="AL666" s="45"/>
      <c r="AM666" s="45"/>
      <c r="AN666" s="45"/>
      <c r="AO666" s="45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  <c r="BE666" s="80"/>
      <c r="BF666" s="80"/>
      <c r="BG666" s="80"/>
      <c r="BH666" s="49"/>
      <c r="BI666" s="79"/>
      <c r="BJ666" s="79"/>
      <c r="BK666" s="44"/>
      <c r="BL666" s="79"/>
      <c r="BM666" s="49"/>
      <c r="BN666" s="44"/>
      <c r="BO666" s="49"/>
      <c r="BP666" s="49"/>
      <c r="BQ666" s="44"/>
      <c r="BS666" s="49"/>
      <c r="BT666" s="49"/>
      <c r="BU666" s="49"/>
      <c r="BV666" s="49"/>
      <c r="BW666" s="18"/>
      <c r="BX666" s="19"/>
      <c r="BY666" s="49"/>
      <c r="CF666" s="49"/>
      <c r="CG666" s="49"/>
      <c r="CH666" s="49"/>
      <c r="CI666" s="49"/>
      <c r="CJ666" s="49"/>
      <c r="CK666" s="49"/>
    </row>
    <row r="667" spans="2:89" ht="12.75" customHeight="1" x14ac:dyDescent="0.2">
      <c r="B667" s="77"/>
      <c r="C667" s="79"/>
      <c r="D667" s="79"/>
      <c r="E667" s="79"/>
      <c r="F667" s="79"/>
      <c r="G667" s="79"/>
      <c r="H667" s="79"/>
      <c r="I667" s="79"/>
      <c r="J667" s="78"/>
      <c r="K667" s="79"/>
      <c r="L667" s="79"/>
      <c r="M667" s="79"/>
      <c r="N667" s="79"/>
      <c r="O667" s="79"/>
      <c r="P667" s="79"/>
      <c r="Q667" s="79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45"/>
      <c r="AK667" s="45"/>
      <c r="AL667" s="45"/>
      <c r="AM667" s="45"/>
      <c r="AN667" s="45"/>
      <c r="AO667" s="45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  <c r="BA667" s="80"/>
      <c r="BB667" s="80"/>
      <c r="BC667" s="80"/>
      <c r="BD667" s="80"/>
      <c r="BE667" s="80"/>
      <c r="BF667" s="80"/>
      <c r="BG667" s="80"/>
      <c r="BH667" s="49"/>
      <c r="BI667" s="79"/>
      <c r="BJ667" s="79"/>
      <c r="BK667" s="44"/>
      <c r="BL667" s="79"/>
      <c r="BM667" s="49"/>
      <c r="BN667" s="44"/>
      <c r="BO667" s="49"/>
      <c r="BP667" s="49"/>
      <c r="BQ667" s="44"/>
      <c r="BS667" s="49"/>
      <c r="BT667" s="49"/>
      <c r="BU667" s="49"/>
      <c r="BV667" s="49"/>
      <c r="BW667" s="18"/>
      <c r="BX667" s="19"/>
      <c r="BY667" s="49"/>
      <c r="CF667" s="49"/>
      <c r="CG667" s="49"/>
      <c r="CH667" s="49"/>
      <c r="CI667" s="49"/>
      <c r="CJ667" s="49"/>
      <c r="CK667" s="49"/>
    </row>
    <row r="668" spans="2:89" ht="12.75" customHeight="1" x14ac:dyDescent="0.2">
      <c r="B668" s="77"/>
      <c r="C668" s="79"/>
      <c r="D668" s="79"/>
      <c r="E668" s="79"/>
      <c r="F668" s="79"/>
      <c r="G668" s="79"/>
      <c r="H668" s="79"/>
      <c r="I668" s="79"/>
      <c r="J668" s="78"/>
      <c r="K668" s="79"/>
      <c r="L668" s="79"/>
      <c r="M668" s="79"/>
      <c r="N668" s="79"/>
      <c r="O668" s="79"/>
      <c r="P668" s="79"/>
      <c r="Q668" s="79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45"/>
      <c r="AK668" s="45"/>
      <c r="AL668" s="45"/>
      <c r="AM668" s="45"/>
      <c r="AN668" s="45"/>
      <c r="AO668" s="45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  <c r="AZ668" s="80"/>
      <c r="BA668" s="80"/>
      <c r="BB668" s="80"/>
      <c r="BC668" s="80"/>
      <c r="BD668" s="80"/>
      <c r="BE668" s="80"/>
      <c r="BF668" s="80"/>
      <c r="BG668" s="80"/>
      <c r="BH668" s="49"/>
      <c r="BI668" s="79"/>
      <c r="BJ668" s="79"/>
      <c r="BK668" s="44"/>
      <c r="BL668" s="79"/>
      <c r="BM668" s="49"/>
      <c r="BN668" s="44"/>
      <c r="BO668" s="49"/>
      <c r="BP668" s="49"/>
      <c r="BQ668" s="44"/>
      <c r="BS668" s="49"/>
      <c r="BT668" s="49"/>
      <c r="BU668" s="49"/>
      <c r="BV668" s="49"/>
      <c r="BW668" s="18"/>
      <c r="BX668" s="19"/>
      <c r="BY668" s="49"/>
      <c r="CF668" s="49"/>
      <c r="CG668" s="49"/>
      <c r="CH668" s="49"/>
      <c r="CI668" s="49"/>
      <c r="CJ668" s="49"/>
      <c r="CK668" s="49"/>
    </row>
    <row r="669" spans="2:89" ht="12.75" customHeight="1" x14ac:dyDescent="0.2">
      <c r="B669" s="77"/>
      <c r="C669" s="79"/>
      <c r="D669" s="79"/>
      <c r="E669" s="79"/>
      <c r="F669" s="79"/>
      <c r="G669" s="79"/>
      <c r="H669" s="79"/>
      <c r="I669" s="79"/>
      <c r="J669" s="78"/>
      <c r="K669" s="79"/>
      <c r="L669" s="79"/>
      <c r="M669" s="79"/>
      <c r="N669" s="79"/>
      <c r="O669" s="79"/>
      <c r="P669" s="79"/>
      <c r="Q669" s="79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45"/>
      <c r="AK669" s="45"/>
      <c r="AL669" s="45"/>
      <c r="AM669" s="45"/>
      <c r="AN669" s="45"/>
      <c r="AO669" s="45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  <c r="AZ669" s="80"/>
      <c r="BA669" s="80"/>
      <c r="BB669" s="80"/>
      <c r="BC669" s="80"/>
      <c r="BD669" s="80"/>
      <c r="BE669" s="80"/>
      <c r="BF669" s="80"/>
      <c r="BG669" s="80"/>
      <c r="BH669" s="49"/>
      <c r="BI669" s="79"/>
      <c r="BJ669" s="79"/>
      <c r="BK669" s="44"/>
      <c r="BL669" s="79"/>
      <c r="BM669" s="49"/>
      <c r="BN669" s="44"/>
      <c r="BO669" s="49"/>
      <c r="BP669" s="49"/>
      <c r="BQ669" s="44"/>
      <c r="BS669" s="49"/>
      <c r="BT669" s="49"/>
      <c r="BU669" s="49"/>
      <c r="BV669" s="49"/>
      <c r="BW669" s="18"/>
      <c r="BX669" s="19"/>
      <c r="BY669" s="49"/>
      <c r="CF669" s="49"/>
      <c r="CG669" s="49"/>
      <c r="CH669" s="49"/>
      <c r="CI669" s="49"/>
      <c r="CJ669" s="49"/>
      <c r="CK669" s="49"/>
    </row>
    <row r="670" spans="2:89" ht="12.75" customHeight="1" x14ac:dyDescent="0.2">
      <c r="B670" s="77"/>
      <c r="C670" s="79"/>
      <c r="D670" s="79"/>
      <c r="E670" s="79"/>
      <c r="F670" s="79"/>
      <c r="G670" s="79"/>
      <c r="H670" s="79"/>
      <c r="I670" s="79"/>
      <c r="J670" s="78"/>
      <c r="K670" s="79"/>
      <c r="L670" s="79"/>
      <c r="M670" s="79"/>
      <c r="N670" s="79"/>
      <c r="O670" s="79"/>
      <c r="P670" s="79"/>
      <c r="Q670" s="79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45"/>
      <c r="AK670" s="45"/>
      <c r="AL670" s="45"/>
      <c r="AM670" s="45"/>
      <c r="AN670" s="45"/>
      <c r="AO670" s="45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  <c r="BE670" s="80"/>
      <c r="BF670" s="80"/>
      <c r="BG670" s="80"/>
      <c r="BH670" s="49"/>
      <c r="BI670" s="79"/>
      <c r="BJ670" s="79"/>
      <c r="BK670" s="44"/>
      <c r="BL670" s="79"/>
      <c r="BM670" s="49"/>
      <c r="BN670" s="44"/>
      <c r="BO670" s="49"/>
      <c r="BP670" s="49"/>
      <c r="BQ670" s="44"/>
      <c r="BS670" s="49"/>
      <c r="BT670" s="49"/>
      <c r="BU670" s="49"/>
      <c r="BV670" s="49"/>
      <c r="BW670" s="18"/>
      <c r="BX670" s="19"/>
      <c r="BY670" s="49"/>
      <c r="CF670" s="49"/>
      <c r="CG670" s="49"/>
      <c r="CH670" s="49"/>
      <c r="CI670" s="49"/>
      <c r="CJ670" s="49"/>
      <c r="CK670" s="49"/>
    </row>
    <row r="671" spans="2:89" ht="12.75" customHeight="1" x14ac:dyDescent="0.2">
      <c r="B671" s="77"/>
      <c r="C671" s="79"/>
      <c r="D671" s="79"/>
      <c r="E671" s="79"/>
      <c r="F671" s="79"/>
      <c r="G671" s="79"/>
      <c r="H671" s="79"/>
      <c r="I671" s="79"/>
      <c r="J671" s="78"/>
      <c r="K671" s="79"/>
      <c r="L671" s="79"/>
      <c r="M671" s="79"/>
      <c r="N671" s="79"/>
      <c r="O671" s="79"/>
      <c r="P671" s="79"/>
      <c r="Q671" s="79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45"/>
      <c r="AK671" s="45"/>
      <c r="AL671" s="45"/>
      <c r="AM671" s="45"/>
      <c r="AN671" s="45"/>
      <c r="AO671" s="45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  <c r="BA671" s="80"/>
      <c r="BB671" s="80"/>
      <c r="BC671" s="80"/>
      <c r="BD671" s="80"/>
      <c r="BE671" s="80"/>
      <c r="BF671" s="80"/>
      <c r="BG671" s="80"/>
      <c r="BH671" s="49"/>
      <c r="BI671" s="79"/>
      <c r="BJ671" s="79"/>
      <c r="BK671" s="44"/>
      <c r="BL671" s="79"/>
      <c r="BM671" s="49"/>
      <c r="BN671" s="44"/>
      <c r="BO671" s="49"/>
      <c r="BP671" s="49"/>
      <c r="BQ671" s="44"/>
      <c r="BS671" s="49"/>
      <c r="BT671" s="49"/>
      <c r="BU671" s="49"/>
      <c r="BV671" s="49"/>
      <c r="BW671" s="18"/>
      <c r="BX671" s="19"/>
      <c r="BY671" s="49"/>
      <c r="CF671" s="49"/>
      <c r="CG671" s="49"/>
      <c r="CH671" s="49"/>
      <c r="CI671" s="49"/>
      <c r="CJ671" s="49"/>
      <c r="CK671" s="49"/>
    </row>
    <row r="672" spans="2:89" ht="12.75" customHeight="1" x14ac:dyDescent="0.2">
      <c r="B672" s="77"/>
      <c r="C672" s="79"/>
      <c r="D672" s="79"/>
      <c r="E672" s="79"/>
      <c r="F672" s="79"/>
      <c r="G672" s="79"/>
      <c r="H672" s="79"/>
      <c r="I672" s="79"/>
      <c r="J672" s="78"/>
      <c r="K672" s="79"/>
      <c r="L672" s="79"/>
      <c r="M672" s="79"/>
      <c r="N672" s="79"/>
      <c r="O672" s="79"/>
      <c r="P672" s="79"/>
      <c r="Q672" s="79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45"/>
      <c r="AK672" s="45"/>
      <c r="AL672" s="45"/>
      <c r="AM672" s="45"/>
      <c r="AN672" s="45"/>
      <c r="AO672" s="45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  <c r="BE672" s="80"/>
      <c r="BF672" s="80"/>
      <c r="BG672" s="80"/>
      <c r="BH672" s="49"/>
      <c r="BI672" s="79"/>
      <c r="BJ672" s="79"/>
      <c r="BK672" s="44"/>
      <c r="BL672" s="79"/>
      <c r="BM672" s="49"/>
      <c r="BN672" s="44"/>
      <c r="BO672" s="49"/>
      <c r="BP672" s="49"/>
      <c r="BQ672" s="44"/>
      <c r="BS672" s="49"/>
      <c r="BT672" s="49"/>
      <c r="BU672" s="49"/>
      <c r="BV672" s="49"/>
      <c r="BW672" s="18"/>
      <c r="BX672" s="19"/>
      <c r="BY672" s="49"/>
      <c r="CF672" s="49"/>
      <c r="CG672" s="49"/>
      <c r="CH672" s="49"/>
      <c r="CI672" s="49"/>
      <c r="CJ672" s="49"/>
      <c r="CK672" s="49"/>
    </row>
    <row r="673" spans="2:89" ht="12.75" customHeight="1" x14ac:dyDescent="0.2">
      <c r="B673" s="77"/>
      <c r="C673" s="79"/>
      <c r="D673" s="79"/>
      <c r="E673" s="79"/>
      <c r="F673" s="79"/>
      <c r="G673" s="79"/>
      <c r="H673" s="79"/>
      <c r="I673" s="79"/>
      <c r="J673" s="78"/>
      <c r="K673" s="79"/>
      <c r="L673" s="79"/>
      <c r="M673" s="79"/>
      <c r="N673" s="79"/>
      <c r="O673" s="79"/>
      <c r="P673" s="79"/>
      <c r="Q673" s="79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45"/>
      <c r="AK673" s="45"/>
      <c r="AL673" s="45"/>
      <c r="AM673" s="45"/>
      <c r="AN673" s="45"/>
      <c r="AO673" s="45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  <c r="BE673" s="80"/>
      <c r="BF673" s="80"/>
      <c r="BG673" s="80"/>
      <c r="BH673" s="49"/>
      <c r="BI673" s="79"/>
      <c r="BJ673" s="79"/>
      <c r="BK673" s="44"/>
      <c r="BL673" s="79"/>
      <c r="BM673" s="49"/>
      <c r="BN673" s="44"/>
      <c r="BO673" s="49"/>
      <c r="BP673" s="49"/>
      <c r="BQ673" s="44"/>
      <c r="BS673" s="49"/>
      <c r="BT673" s="49"/>
      <c r="BU673" s="49"/>
      <c r="BV673" s="49"/>
      <c r="BW673" s="18"/>
      <c r="BX673" s="19"/>
      <c r="BY673" s="49"/>
      <c r="CF673" s="49"/>
      <c r="CG673" s="49"/>
      <c r="CH673" s="49"/>
      <c r="CI673" s="49"/>
      <c r="CJ673" s="49"/>
      <c r="CK673" s="49"/>
    </row>
    <row r="674" spans="2:89" ht="12.75" customHeight="1" x14ac:dyDescent="0.2">
      <c r="B674" s="77"/>
      <c r="C674" s="79"/>
      <c r="D674" s="79"/>
      <c r="E674" s="79"/>
      <c r="F674" s="79"/>
      <c r="G674" s="79"/>
      <c r="H674" s="79"/>
      <c r="I674" s="79"/>
      <c r="J674" s="78"/>
      <c r="K674" s="79"/>
      <c r="L674" s="79"/>
      <c r="M674" s="79"/>
      <c r="N674" s="79"/>
      <c r="O674" s="79"/>
      <c r="P674" s="79"/>
      <c r="Q674" s="79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45"/>
      <c r="AK674" s="45"/>
      <c r="AL674" s="45"/>
      <c r="AM674" s="45"/>
      <c r="AN674" s="45"/>
      <c r="AO674" s="45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  <c r="BE674" s="80"/>
      <c r="BF674" s="80"/>
      <c r="BG674" s="80"/>
      <c r="BH674" s="49"/>
      <c r="BI674" s="79"/>
      <c r="BJ674" s="79"/>
      <c r="BK674" s="44"/>
      <c r="BL674" s="79"/>
      <c r="BM674" s="49"/>
      <c r="BN674" s="44"/>
      <c r="BO674" s="49"/>
      <c r="BP674" s="49"/>
      <c r="BQ674" s="44"/>
      <c r="BS674" s="49"/>
      <c r="BT674" s="49"/>
      <c r="BU674" s="49"/>
      <c r="BV674" s="49"/>
      <c r="BW674" s="18"/>
      <c r="BX674" s="19"/>
      <c r="BY674" s="49"/>
      <c r="CF674" s="49"/>
      <c r="CG674" s="49"/>
      <c r="CH674" s="49"/>
      <c r="CI674" s="49"/>
      <c r="CJ674" s="49"/>
      <c r="CK674" s="49"/>
    </row>
    <row r="675" spans="2:89" ht="12.75" customHeight="1" x14ac:dyDescent="0.2">
      <c r="B675" s="77"/>
      <c r="C675" s="79"/>
      <c r="D675" s="79"/>
      <c r="E675" s="79"/>
      <c r="F675" s="79"/>
      <c r="G675" s="79"/>
      <c r="H675" s="79"/>
      <c r="I675" s="79"/>
      <c r="J675" s="78"/>
      <c r="K675" s="79"/>
      <c r="L675" s="79"/>
      <c r="M675" s="79"/>
      <c r="N675" s="79"/>
      <c r="O675" s="79"/>
      <c r="P675" s="79"/>
      <c r="Q675" s="79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45"/>
      <c r="AK675" s="45"/>
      <c r="AL675" s="45"/>
      <c r="AM675" s="45"/>
      <c r="AN675" s="45"/>
      <c r="AO675" s="45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  <c r="BA675" s="80"/>
      <c r="BB675" s="80"/>
      <c r="BC675" s="80"/>
      <c r="BD675" s="80"/>
      <c r="BE675" s="80"/>
      <c r="BF675" s="80"/>
      <c r="BG675" s="80"/>
      <c r="BH675" s="49"/>
      <c r="BI675" s="79"/>
      <c r="BJ675" s="79"/>
      <c r="BK675" s="44"/>
      <c r="BL675" s="79"/>
      <c r="BM675" s="49"/>
      <c r="BN675" s="44"/>
      <c r="BO675" s="49"/>
      <c r="BP675" s="49"/>
      <c r="BQ675" s="44"/>
      <c r="BS675" s="49"/>
      <c r="BT675" s="49"/>
      <c r="BU675" s="49"/>
      <c r="BV675" s="49"/>
      <c r="BW675" s="18"/>
      <c r="BX675" s="19"/>
      <c r="BY675" s="49"/>
      <c r="CF675" s="49"/>
      <c r="CG675" s="49"/>
      <c r="CH675" s="49"/>
      <c r="CI675" s="49"/>
      <c r="CJ675" s="49"/>
      <c r="CK675" s="49"/>
    </row>
    <row r="676" spans="2:89" ht="12.75" customHeight="1" x14ac:dyDescent="0.2">
      <c r="B676" s="77"/>
      <c r="C676" s="79"/>
      <c r="D676" s="79"/>
      <c r="E676" s="79"/>
      <c r="F676" s="79"/>
      <c r="G676" s="79"/>
      <c r="H676" s="79"/>
      <c r="I676" s="79"/>
      <c r="J676" s="78"/>
      <c r="K676" s="79"/>
      <c r="L676" s="79"/>
      <c r="M676" s="79"/>
      <c r="N676" s="79"/>
      <c r="O676" s="79"/>
      <c r="P676" s="79"/>
      <c r="Q676" s="79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45"/>
      <c r="AK676" s="45"/>
      <c r="AL676" s="45"/>
      <c r="AM676" s="45"/>
      <c r="AN676" s="45"/>
      <c r="AO676" s="45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  <c r="BE676" s="80"/>
      <c r="BF676" s="80"/>
      <c r="BG676" s="80"/>
      <c r="BH676" s="49"/>
      <c r="BI676" s="79"/>
      <c r="BJ676" s="79"/>
      <c r="BK676" s="44"/>
      <c r="BL676" s="79"/>
      <c r="BM676" s="49"/>
      <c r="BN676" s="44"/>
      <c r="BO676" s="49"/>
      <c r="BP676" s="49"/>
      <c r="BQ676" s="44"/>
      <c r="BS676" s="49"/>
      <c r="BT676" s="49"/>
      <c r="BU676" s="49"/>
      <c r="BV676" s="49"/>
      <c r="BW676" s="18"/>
      <c r="BX676" s="19"/>
      <c r="BY676" s="49"/>
      <c r="CF676" s="49"/>
      <c r="CG676" s="49"/>
      <c r="CH676" s="49"/>
      <c r="CI676" s="49"/>
      <c r="CJ676" s="49"/>
      <c r="CK676" s="49"/>
    </row>
    <row r="677" spans="2:89" ht="12.75" customHeight="1" x14ac:dyDescent="0.2">
      <c r="B677" s="77"/>
      <c r="C677" s="79"/>
      <c r="D677" s="79"/>
      <c r="E677" s="79"/>
      <c r="F677" s="79"/>
      <c r="G677" s="79"/>
      <c r="H677" s="79"/>
      <c r="I677" s="79"/>
      <c r="J677" s="78"/>
      <c r="K677" s="79"/>
      <c r="L677" s="79"/>
      <c r="M677" s="79"/>
      <c r="N677" s="79"/>
      <c r="O677" s="79"/>
      <c r="P677" s="79"/>
      <c r="Q677" s="79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45"/>
      <c r="AK677" s="45"/>
      <c r="AL677" s="45"/>
      <c r="AM677" s="45"/>
      <c r="AN677" s="45"/>
      <c r="AO677" s="45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  <c r="BE677" s="80"/>
      <c r="BF677" s="80"/>
      <c r="BG677" s="80"/>
      <c r="BH677" s="49"/>
      <c r="BI677" s="79"/>
      <c r="BJ677" s="79"/>
      <c r="BK677" s="44"/>
      <c r="BL677" s="79"/>
      <c r="BM677" s="49"/>
      <c r="BN677" s="44"/>
      <c r="BO677" s="49"/>
      <c r="BP677" s="49"/>
      <c r="BQ677" s="44"/>
      <c r="BS677" s="49"/>
      <c r="BT677" s="49"/>
      <c r="BU677" s="49"/>
      <c r="BV677" s="49"/>
      <c r="BW677" s="18"/>
      <c r="BX677" s="19"/>
      <c r="BY677" s="49"/>
      <c r="CF677" s="49"/>
      <c r="CG677" s="49"/>
      <c r="CH677" s="49"/>
      <c r="CI677" s="49"/>
      <c r="CJ677" s="49"/>
      <c r="CK677" s="49"/>
    </row>
    <row r="678" spans="2:89" ht="12.75" customHeight="1" x14ac:dyDescent="0.2">
      <c r="B678" s="77"/>
      <c r="C678" s="79"/>
      <c r="D678" s="79"/>
      <c r="E678" s="79"/>
      <c r="F678" s="79"/>
      <c r="G678" s="79"/>
      <c r="H678" s="79"/>
      <c r="I678" s="79"/>
      <c r="J678" s="78"/>
      <c r="K678" s="79"/>
      <c r="L678" s="79"/>
      <c r="M678" s="79"/>
      <c r="N678" s="79"/>
      <c r="O678" s="79"/>
      <c r="P678" s="79"/>
      <c r="Q678" s="79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45"/>
      <c r="AK678" s="45"/>
      <c r="AL678" s="45"/>
      <c r="AM678" s="45"/>
      <c r="AN678" s="45"/>
      <c r="AO678" s="45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  <c r="BE678" s="80"/>
      <c r="BF678" s="80"/>
      <c r="BG678" s="80"/>
      <c r="BH678" s="49"/>
      <c r="BI678" s="79"/>
      <c r="BJ678" s="79"/>
      <c r="BK678" s="44"/>
      <c r="BL678" s="79"/>
      <c r="BM678" s="49"/>
      <c r="BN678" s="44"/>
      <c r="BO678" s="49"/>
      <c r="BP678" s="49"/>
      <c r="BQ678" s="44"/>
      <c r="BS678" s="49"/>
      <c r="BT678" s="49"/>
      <c r="BU678" s="49"/>
      <c r="BV678" s="49"/>
      <c r="BW678" s="18"/>
      <c r="BX678" s="19"/>
      <c r="BY678" s="49"/>
      <c r="CF678" s="49"/>
      <c r="CG678" s="49"/>
      <c r="CH678" s="49"/>
      <c r="CI678" s="49"/>
      <c r="CJ678" s="49"/>
      <c r="CK678" s="49"/>
    </row>
    <row r="679" spans="2:89" ht="12.75" customHeight="1" x14ac:dyDescent="0.2">
      <c r="B679" s="77"/>
      <c r="C679" s="79"/>
      <c r="D679" s="79"/>
      <c r="E679" s="79"/>
      <c r="F679" s="79"/>
      <c r="G679" s="79"/>
      <c r="H679" s="79"/>
      <c r="I679" s="79"/>
      <c r="J679" s="78"/>
      <c r="K679" s="79"/>
      <c r="L679" s="79"/>
      <c r="M679" s="79"/>
      <c r="N679" s="79"/>
      <c r="O679" s="79"/>
      <c r="P679" s="79"/>
      <c r="Q679" s="79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45"/>
      <c r="AK679" s="45"/>
      <c r="AL679" s="45"/>
      <c r="AM679" s="45"/>
      <c r="AN679" s="45"/>
      <c r="AO679" s="45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  <c r="BE679" s="80"/>
      <c r="BF679" s="80"/>
      <c r="BG679" s="80"/>
      <c r="BH679" s="49"/>
      <c r="BI679" s="79"/>
      <c r="BJ679" s="79"/>
      <c r="BK679" s="44"/>
      <c r="BL679" s="79"/>
      <c r="BM679" s="49"/>
      <c r="BN679" s="44"/>
      <c r="BO679" s="49"/>
      <c r="BP679" s="49"/>
      <c r="BQ679" s="44"/>
      <c r="BS679" s="49"/>
      <c r="BT679" s="49"/>
      <c r="BU679" s="49"/>
      <c r="BV679" s="49"/>
      <c r="BW679" s="18"/>
      <c r="BX679" s="19"/>
      <c r="BY679" s="49"/>
      <c r="CF679" s="49"/>
      <c r="CG679" s="49"/>
      <c r="CH679" s="49"/>
      <c r="CI679" s="49"/>
      <c r="CJ679" s="49"/>
      <c r="CK679" s="49"/>
    </row>
    <row r="680" spans="2:89" ht="12.75" customHeight="1" x14ac:dyDescent="0.2">
      <c r="B680" s="77"/>
      <c r="C680" s="79"/>
      <c r="D680" s="79"/>
      <c r="E680" s="79"/>
      <c r="F680" s="79"/>
      <c r="G680" s="79"/>
      <c r="H680" s="79"/>
      <c r="I680" s="79"/>
      <c r="J680" s="78"/>
      <c r="K680" s="79"/>
      <c r="L680" s="79"/>
      <c r="M680" s="79"/>
      <c r="N680" s="79"/>
      <c r="O680" s="79"/>
      <c r="P680" s="79"/>
      <c r="Q680" s="79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45"/>
      <c r="AK680" s="45"/>
      <c r="AL680" s="45"/>
      <c r="AM680" s="45"/>
      <c r="AN680" s="45"/>
      <c r="AO680" s="45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  <c r="BE680" s="80"/>
      <c r="BF680" s="80"/>
      <c r="BG680" s="80"/>
      <c r="BH680" s="49"/>
      <c r="BI680" s="79"/>
      <c r="BJ680" s="79"/>
      <c r="BK680" s="44"/>
      <c r="BL680" s="79"/>
      <c r="BM680" s="49"/>
      <c r="BN680" s="44"/>
      <c r="BO680" s="49"/>
      <c r="BP680" s="49"/>
      <c r="BQ680" s="44"/>
      <c r="BS680" s="49"/>
      <c r="BT680" s="49"/>
      <c r="BU680" s="49"/>
      <c r="BV680" s="49"/>
      <c r="BW680" s="18"/>
      <c r="BX680" s="19"/>
      <c r="BY680" s="49"/>
      <c r="CF680" s="49"/>
      <c r="CG680" s="49"/>
      <c r="CH680" s="49"/>
      <c r="CI680" s="49"/>
      <c r="CJ680" s="49"/>
      <c r="CK680" s="49"/>
    </row>
    <row r="681" spans="2:89" ht="12.75" customHeight="1" x14ac:dyDescent="0.2">
      <c r="B681" s="77"/>
      <c r="C681" s="79"/>
      <c r="D681" s="79"/>
      <c r="E681" s="79"/>
      <c r="F681" s="79"/>
      <c r="G681" s="79"/>
      <c r="H681" s="79"/>
      <c r="I681" s="79"/>
      <c r="J681" s="78"/>
      <c r="K681" s="79"/>
      <c r="L681" s="79"/>
      <c r="M681" s="79"/>
      <c r="N681" s="79"/>
      <c r="O681" s="79"/>
      <c r="P681" s="79"/>
      <c r="Q681" s="79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45"/>
      <c r="AK681" s="45"/>
      <c r="AL681" s="45"/>
      <c r="AM681" s="45"/>
      <c r="AN681" s="45"/>
      <c r="AO681" s="45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  <c r="BE681" s="80"/>
      <c r="BF681" s="80"/>
      <c r="BG681" s="80"/>
      <c r="BH681" s="49"/>
      <c r="BI681" s="79"/>
      <c r="BJ681" s="79"/>
      <c r="BK681" s="44"/>
      <c r="BL681" s="79"/>
      <c r="BM681" s="49"/>
      <c r="BN681" s="44"/>
      <c r="BO681" s="49"/>
      <c r="BP681" s="49"/>
      <c r="BQ681" s="44"/>
      <c r="BS681" s="49"/>
      <c r="BT681" s="49"/>
      <c r="BU681" s="49"/>
      <c r="BV681" s="49"/>
      <c r="BW681" s="18"/>
      <c r="BX681" s="19"/>
      <c r="BY681" s="49"/>
      <c r="CF681" s="49"/>
      <c r="CG681" s="49"/>
      <c r="CH681" s="49"/>
      <c r="CI681" s="49"/>
      <c r="CJ681" s="49"/>
      <c r="CK681" s="49"/>
    </row>
    <row r="682" spans="2:89" ht="12.75" customHeight="1" x14ac:dyDescent="0.2">
      <c r="B682" s="77"/>
      <c r="C682" s="79"/>
      <c r="D682" s="79"/>
      <c r="E682" s="79"/>
      <c r="F682" s="79"/>
      <c r="G682" s="79"/>
      <c r="H682" s="79"/>
      <c r="I682" s="79"/>
      <c r="J682" s="78"/>
      <c r="K682" s="79"/>
      <c r="L682" s="79"/>
      <c r="M682" s="79"/>
      <c r="N682" s="79"/>
      <c r="O682" s="79"/>
      <c r="P682" s="79"/>
      <c r="Q682" s="79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45"/>
      <c r="AK682" s="45"/>
      <c r="AL682" s="45"/>
      <c r="AM682" s="45"/>
      <c r="AN682" s="45"/>
      <c r="AO682" s="45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  <c r="BE682" s="80"/>
      <c r="BF682" s="80"/>
      <c r="BG682" s="80"/>
      <c r="BH682" s="49"/>
      <c r="BI682" s="79"/>
      <c r="BJ682" s="79"/>
      <c r="BK682" s="44"/>
      <c r="BL682" s="79"/>
      <c r="BM682" s="49"/>
      <c r="BN682" s="44"/>
      <c r="BO682" s="49"/>
      <c r="BP682" s="49"/>
      <c r="BQ682" s="44"/>
      <c r="BS682" s="49"/>
      <c r="BT682" s="49"/>
      <c r="BU682" s="49"/>
      <c r="BV682" s="49"/>
      <c r="BW682" s="18"/>
      <c r="BX682" s="19"/>
      <c r="BY682" s="49"/>
      <c r="CF682" s="49"/>
      <c r="CG682" s="49"/>
      <c r="CH682" s="49"/>
      <c r="CI682" s="49"/>
      <c r="CJ682" s="49"/>
      <c r="CK682" s="49"/>
    </row>
    <row r="683" spans="2:89" ht="12.75" customHeight="1" x14ac:dyDescent="0.2">
      <c r="B683" s="77"/>
      <c r="C683" s="79"/>
      <c r="D683" s="79"/>
      <c r="E683" s="79"/>
      <c r="F683" s="79"/>
      <c r="G683" s="79"/>
      <c r="H683" s="79"/>
      <c r="I683" s="79"/>
      <c r="J683" s="78"/>
      <c r="K683" s="79"/>
      <c r="L683" s="79"/>
      <c r="M683" s="79"/>
      <c r="N683" s="79"/>
      <c r="O683" s="79"/>
      <c r="P683" s="79"/>
      <c r="Q683" s="79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45"/>
      <c r="AK683" s="45"/>
      <c r="AL683" s="45"/>
      <c r="AM683" s="45"/>
      <c r="AN683" s="45"/>
      <c r="AO683" s="45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80"/>
      <c r="BH683" s="49"/>
      <c r="BI683" s="79"/>
      <c r="BJ683" s="79"/>
      <c r="BK683" s="44"/>
      <c r="BL683" s="79"/>
      <c r="BM683" s="49"/>
      <c r="BN683" s="44"/>
      <c r="BO683" s="49"/>
      <c r="BP683" s="49"/>
      <c r="BQ683" s="44"/>
      <c r="BS683" s="49"/>
      <c r="BT683" s="49"/>
      <c r="BU683" s="49"/>
      <c r="BV683" s="49"/>
      <c r="BW683" s="18"/>
      <c r="BX683" s="19"/>
      <c r="BY683" s="49"/>
      <c r="CF683" s="49"/>
      <c r="CG683" s="49"/>
      <c r="CH683" s="49"/>
      <c r="CI683" s="49"/>
      <c r="CJ683" s="49"/>
      <c r="CK683" s="49"/>
    </row>
    <row r="684" spans="2:89" ht="12.75" customHeight="1" x14ac:dyDescent="0.2">
      <c r="B684" s="77"/>
      <c r="C684" s="79"/>
      <c r="D684" s="79"/>
      <c r="E684" s="79"/>
      <c r="F684" s="79"/>
      <c r="G684" s="79"/>
      <c r="H684" s="79"/>
      <c r="I684" s="79"/>
      <c r="J684" s="78"/>
      <c r="K684" s="79"/>
      <c r="L684" s="79"/>
      <c r="M684" s="79"/>
      <c r="N684" s="79"/>
      <c r="O684" s="79"/>
      <c r="P684" s="79"/>
      <c r="Q684" s="79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45"/>
      <c r="AK684" s="45"/>
      <c r="AL684" s="45"/>
      <c r="AM684" s="45"/>
      <c r="AN684" s="45"/>
      <c r="AO684" s="45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  <c r="BE684" s="80"/>
      <c r="BF684" s="80"/>
      <c r="BG684" s="80"/>
      <c r="BH684" s="49"/>
      <c r="BI684" s="79"/>
      <c r="BJ684" s="79"/>
      <c r="BK684" s="44"/>
      <c r="BL684" s="79"/>
      <c r="BM684" s="49"/>
      <c r="BN684" s="44"/>
      <c r="BO684" s="49"/>
      <c r="BP684" s="49"/>
      <c r="BQ684" s="44"/>
      <c r="BS684" s="49"/>
      <c r="BT684" s="49"/>
      <c r="BU684" s="49"/>
      <c r="BV684" s="49"/>
      <c r="BW684" s="18"/>
      <c r="BX684" s="19"/>
      <c r="BY684" s="49"/>
      <c r="CF684" s="49"/>
      <c r="CG684" s="49"/>
      <c r="CH684" s="49"/>
      <c r="CI684" s="49"/>
      <c r="CJ684" s="49"/>
      <c r="CK684" s="49"/>
    </row>
    <row r="685" spans="2:89" ht="12.75" customHeight="1" x14ac:dyDescent="0.2">
      <c r="B685" s="77"/>
      <c r="C685" s="79"/>
      <c r="D685" s="79"/>
      <c r="E685" s="79"/>
      <c r="F685" s="79"/>
      <c r="G685" s="79"/>
      <c r="H685" s="79"/>
      <c r="I685" s="79"/>
      <c r="J685" s="78"/>
      <c r="K685" s="79"/>
      <c r="L685" s="79"/>
      <c r="M685" s="79"/>
      <c r="N685" s="79"/>
      <c r="O685" s="79"/>
      <c r="P685" s="79"/>
      <c r="Q685" s="79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45"/>
      <c r="AK685" s="45"/>
      <c r="AL685" s="45"/>
      <c r="AM685" s="45"/>
      <c r="AN685" s="45"/>
      <c r="AO685" s="45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  <c r="BE685" s="80"/>
      <c r="BF685" s="80"/>
      <c r="BG685" s="80"/>
      <c r="BH685" s="49"/>
      <c r="BI685" s="79"/>
      <c r="BJ685" s="79"/>
      <c r="BK685" s="44"/>
      <c r="BL685" s="79"/>
      <c r="BM685" s="49"/>
      <c r="BN685" s="44"/>
      <c r="BO685" s="49"/>
      <c r="BP685" s="49"/>
      <c r="BQ685" s="44"/>
      <c r="BS685" s="49"/>
      <c r="BT685" s="49"/>
      <c r="BU685" s="49"/>
      <c r="BV685" s="49"/>
      <c r="BW685" s="18"/>
      <c r="BX685" s="19"/>
      <c r="BY685" s="49"/>
      <c r="CF685" s="49"/>
      <c r="CG685" s="49"/>
      <c r="CH685" s="49"/>
      <c r="CI685" s="49"/>
      <c r="CJ685" s="49"/>
      <c r="CK685" s="49"/>
    </row>
    <row r="686" spans="2:89" ht="12.75" customHeight="1" x14ac:dyDescent="0.2">
      <c r="B686" s="77"/>
      <c r="C686" s="79"/>
      <c r="D686" s="79"/>
      <c r="E686" s="79"/>
      <c r="F686" s="79"/>
      <c r="G686" s="79"/>
      <c r="H686" s="79"/>
      <c r="I686" s="79"/>
      <c r="J686" s="78"/>
      <c r="K686" s="79"/>
      <c r="L686" s="79"/>
      <c r="M686" s="79"/>
      <c r="N686" s="79"/>
      <c r="O686" s="79"/>
      <c r="P686" s="79"/>
      <c r="Q686" s="79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45"/>
      <c r="AK686" s="45"/>
      <c r="AL686" s="45"/>
      <c r="AM686" s="45"/>
      <c r="AN686" s="45"/>
      <c r="AO686" s="45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  <c r="BE686" s="80"/>
      <c r="BF686" s="80"/>
      <c r="BG686" s="80"/>
      <c r="BH686" s="49"/>
      <c r="BI686" s="79"/>
      <c r="BJ686" s="79"/>
      <c r="BK686" s="44"/>
      <c r="BL686" s="79"/>
      <c r="BM686" s="49"/>
      <c r="BN686" s="44"/>
      <c r="BO686" s="49"/>
      <c r="BP686" s="49"/>
      <c r="BQ686" s="44"/>
      <c r="BS686" s="49"/>
      <c r="BT686" s="49"/>
      <c r="BU686" s="49"/>
      <c r="BV686" s="49"/>
      <c r="BW686" s="18"/>
      <c r="BX686" s="19"/>
      <c r="BY686" s="49"/>
      <c r="CF686" s="49"/>
      <c r="CG686" s="49"/>
      <c r="CH686" s="49"/>
      <c r="CI686" s="49"/>
      <c r="CJ686" s="49"/>
      <c r="CK686" s="49"/>
    </row>
    <row r="687" spans="2:89" ht="12.75" customHeight="1" x14ac:dyDescent="0.2">
      <c r="B687" s="77"/>
      <c r="C687" s="79"/>
      <c r="D687" s="79"/>
      <c r="E687" s="79"/>
      <c r="F687" s="79"/>
      <c r="G687" s="79"/>
      <c r="H687" s="79"/>
      <c r="I687" s="79"/>
      <c r="J687" s="78"/>
      <c r="K687" s="79"/>
      <c r="L687" s="79"/>
      <c r="M687" s="79"/>
      <c r="N687" s="79"/>
      <c r="O687" s="79"/>
      <c r="P687" s="79"/>
      <c r="Q687" s="79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45"/>
      <c r="AK687" s="45"/>
      <c r="AL687" s="45"/>
      <c r="AM687" s="45"/>
      <c r="AN687" s="45"/>
      <c r="AO687" s="45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  <c r="BA687" s="80"/>
      <c r="BB687" s="80"/>
      <c r="BC687" s="80"/>
      <c r="BD687" s="80"/>
      <c r="BE687" s="80"/>
      <c r="BF687" s="80"/>
      <c r="BG687" s="80"/>
      <c r="BH687" s="49"/>
      <c r="BI687" s="79"/>
      <c r="BJ687" s="79"/>
      <c r="BK687" s="44"/>
      <c r="BL687" s="79"/>
      <c r="BM687" s="49"/>
      <c r="BN687" s="44"/>
      <c r="BO687" s="49"/>
      <c r="BP687" s="49"/>
      <c r="BQ687" s="44"/>
      <c r="BS687" s="49"/>
      <c r="BT687" s="49"/>
      <c r="BU687" s="49"/>
      <c r="BV687" s="49"/>
      <c r="BW687" s="18"/>
      <c r="BX687" s="19"/>
      <c r="BY687" s="49"/>
      <c r="CF687" s="49"/>
      <c r="CG687" s="49"/>
      <c r="CH687" s="49"/>
      <c r="CI687" s="49"/>
      <c r="CJ687" s="49"/>
      <c r="CK687" s="49"/>
    </row>
    <row r="688" spans="2:89" ht="12.75" customHeight="1" x14ac:dyDescent="0.2">
      <c r="B688" s="77"/>
      <c r="C688" s="79"/>
      <c r="D688" s="79"/>
      <c r="E688" s="79"/>
      <c r="F688" s="79"/>
      <c r="G688" s="79"/>
      <c r="H688" s="79"/>
      <c r="I688" s="79"/>
      <c r="J688" s="78"/>
      <c r="K688" s="79"/>
      <c r="L688" s="79"/>
      <c r="M688" s="79"/>
      <c r="N688" s="79"/>
      <c r="O688" s="79"/>
      <c r="P688" s="79"/>
      <c r="Q688" s="79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45"/>
      <c r="AK688" s="45"/>
      <c r="AL688" s="45"/>
      <c r="AM688" s="45"/>
      <c r="AN688" s="45"/>
      <c r="AO688" s="45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  <c r="BE688" s="80"/>
      <c r="BF688" s="80"/>
      <c r="BG688" s="80"/>
      <c r="BH688" s="49"/>
      <c r="BI688" s="79"/>
      <c r="BJ688" s="79"/>
      <c r="BK688" s="44"/>
      <c r="BL688" s="79"/>
      <c r="BM688" s="49"/>
      <c r="BN688" s="44"/>
      <c r="BO688" s="49"/>
      <c r="BP688" s="49"/>
      <c r="BQ688" s="44"/>
      <c r="BS688" s="49"/>
      <c r="BT688" s="49"/>
      <c r="BU688" s="49"/>
      <c r="BV688" s="49"/>
      <c r="BW688" s="18"/>
      <c r="BX688" s="19"/>
      <c r="BY688" s="49"/>
      <c r="CF688" s="49"/>
      <c r="CG688" s="49"/>
      <c r="CH688" s="49"/>
      <c r="CI688" s="49"/>
      <c r="CJ688" s="49"/>
      <c r="CK688" s="49"/>
    </row>
    <row r="689" spans="2:89" ht="12.75" customHeight="1" x14ac:dyDescent="0.2">
      <c r="B689" s="77"/>
      <c r="C689" s="79"/>
      <c r="D689" s="79"/>
      <c r="E689" s="79"/>
      <c r="F689" s="79"/>
      <c r="G689" s="79"/>
      <c r="H689" s="79"/>
      <c r="I689" s="79"/>
      <c r="J689" s="78"/>
      <c r="K689" s="79"/>
      <c r="L689" s="79"/>
      <c r="M689" s="79"/>
      <c r="N689" s="79"/>
      <c r="O689" s="79"/>
      <c r="P689" s="79"/>
      <c r="Q689" s="79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45"/>
      <c r="AK689" s="45"/>
      <c r="AL689" s="45"/>
      <c r="AM689" s="45"/>
      <c r="AN689" s="45"/>
      <c r="AO689" s="45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  <c r="BE689" s="80"/>
      <c r="BF689" s="80"/>
      <c r="BG689" s="80"/>
      <c r="BH689" s="49"/>
      <c r="BI689" s="79"/>
      <c r="BJ689" s="79"/>
      <c r="BK689" s="44"/>
      <c r="BL689" s="79"/>
      <c r="BM689" s="49"/>
      <c r="BN689" s="44"/>
      <c r="BO689" s="49"/>
      <c r="BP689" s="49"/>
      <c r="BQ689" s="44"/>
      <c r="BS689" s="49"/>
      <c r="BT689" s="49"/>
      <c r="BU689" s="49"/>
      <c r="BV689" s="49"/>
      <c r="BW689" s="18"/>
      <c r="BX689" s="19"/>
      <c r="BY689" s="49"/>
      <c r="CF689" s="49"/>
      <c r="CG689" s="49"/>
      <c r="CH689" s="49"/>
      <c r="CI689" s="49"/>
      <c r="CJ689" s="49"/>
      <c r="CK689" s="49"/>
    </row>
    <row r="690" spans="2:89" ht="12.75" customHeight="1" x14ac:dyDescent="0.2">
      <c r="B690" s="77"/>
      <c r="C690" s="79"/>
      <c r="D690" s="79"/>
      <c r="E690" s="79"/>
      <c r="F690" s="79"/>
      <c r="G690" s="79"/>
      <c r="H690" s="79"/>
      <c r="I690" s="79"/>
      <c r="J690" s="78"/>
      <c r="K690" s="79"/>
      <c r="L690" s="79"/>
      <c r="M690" s="79"/>
      <c r="N690" s="79"/>
      <c r="O690" s="79"/>
      <c r="P690" s="79"/>
      <c r="Q690" s="79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45"/>
      <c r="AK690" s="45"/>
      <c r="AL690" s="45"/>
      <c r="AM690" s="45"/>
      <c r="AN690" s="45"/>
      <c r="AO690" s="45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  <c r="AZ690" s="80"/>
      <c r="BA690" s="80"/>
      <c r="BB690" s="80"/>
      <c r="BC690" s="80"/>
      <c r="BD690" s="80"/>
      <c r="BE690" s="80"/>
      <c r="BF690" s="80"/>
      <c r="BG690" s="80"/>
      <c r="BH690" s="49"/>
      <c r="BI690" s="79"/>
      <c r="BJ690" s="79"/>
      <c r="BK690" s="44"/>
      <c r="BL690" s="79"/>
      <c r="BM690" s="49"/>
      <c r="BN690" s="44"/>
      <c r="BO690" s="49"/>
      <c r="BP690" s="49"/>
      <c r="BQ690" s="44"/>
      <c r="BS690" s="49"/>
      <c r="BT690" s="49"/>
      <c r="BU690" s="49"/>
      <c r="BV690" s="49"/>
      <c r="BW690" s="18"/>
      <c r="BX690" s="19"/>
      <c r="BY690" s="49"/>
      <c r="CF690" s="49"/>
      <c r="CG690" s="49"/>
      <c r="CH690" s="49"/>
      <c r="CI690" s="49"/>
      <c r="CJ690" s="49"/>
      <c r="CK690" s="49"/>
    </row>
    <row r="691" spans="2:89" ht="12.75" customHeight="1" x14ac:dyDescent="0.2">
      <c r="B691" s="77"/>
      <c r="C691" s="79"/>
      <c r="D691" s="79"/>
      <c r="E691" s="79"/>
      <c r="F691" s="79"/>
      <c r="G691" s="79"/>
      <c r="H691" s="79"/>
      <c r="I691" s="79"/>
      <c r="J691" s="78"/>
      <c r="K691" s="79"/>
      <c r="L691" s="79"/>
      <c r="M691" s="79"/>
      <c r="N691" s="79"/>
      <c r="O691" s="79"/>
      <c r="P691" s="79"/>
      <c r="Q691" s="79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45"/>
      <c r="AK691" s="45"/>
      <c r="AL691" s="45"/>
      <c r="AM691" s="45"/>
      <c r="AN691" s="45"/>
      <c r="AO691" s="45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  <c r="AZ691" s="80"/>
      <c r="BA691" s="80"/>
      <c r="BB691" s="80"/>
      <c r="BC691" s="80"/>
      <c r="BD691" s="80"/>
      <c r="BE691" s="80"/>
      <c r="BF691" s="80"/>
      <c r="BG691" s="80"/>
      <c r="BH691" s="49"/>
      <c r="BI691" s="79"/>
      <c r="BJ691" s="79"/>
      <c r="BK691" s="44"/>
      <c r="BL691" s="79"/>
      <c r="BM691" s="49"/>
      <c r="BN691" s="44"/>
      <c r="BO691" s="49"/>
      <c r="BP691" s="49"/>
      <c r="BQ691" s="44"/>
      <c r="BS691" s="49"/>
      <c r="BT691" s="49"/>
      <c r="BU691" s="49"/>
      <c r="BV691" s="49"/>
      <c r="BW691" s="18"/>
      <c r="BX691" s="19"/>
      <c r="BY691" s="49"/>
      <c r="CF691" s="49"/>
      <c r="CG691" s="49"/>
      <c r="CH691" s="49"/>
      <c r="CI691" s="49"/>
      <c r="CJ691" s="49"/>
      <c r="CK691" s="49"/>
    </row>
    <row r="692" spans="2:89" ht="12.75" customHeight="1" x14ac:dyDescent="0.2">
      <c r="B692" s="77"/>
      <c r="C692" s="79"/>
      <c r="D692" s="79"/>
      <c r="E692" s="79"/>
      <c r="F692" s="79"/>
      <c r="G692" s="79"/>
      <c r="H692" s="79"/>
      <c r="I692" s="79"/>
      <c r="J692" s="78"/>
      <c r="K692" s="79"/>
      <c r="L692" s="79"/>
      <c r="M692" s="79"/>
      <c r="N692" s="79"/>
      <c r="O692" s="79"/>
      <c r="P692" s="79"/>
      <c r="Q692" s="79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45"/>
      <c r="AK692" s="45"/>
      <c r="AL692" s="45"/>
      <c r="AM692" s="45"/>
      <c r="AN692" s="45"/>
      <c r="AO692" s="45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  <c r="BA692" s="80"/>
      <c r="BB692" s="80"/>
      <c r="BC692" s="80"/>
      <c r="BD692" s="80"/>
      <c r="BE692" s="80"/>
      <c r="BF692" s="80"/>
      <c r="BG692" s="80"/>
      <c r="BH692" s="49"/>
      <c r="BI692" s="79"/>
      <c r="BJ692" s="79"/>
      <c r="BK692" s="44"/>
      <c r="BL692" s="79"/>
      <c r="BM692" s="49"/>
      <c r="BN692" s="44"/>
      <c r="BO692" s="49"/>
      <c r="BP692" s="49"/>
      <c r="BQ692" s="44"/>
      <c r="BS692" s="49"/>
      <c r="BT692" s="49"/>
      <c r="BU692" s="49"/>
      <c r="BV692" s="49"/>
      <c r="BW692" s="18"/>
      <c r="BX692" s="19"/>
      <c r="BY692" s="49"/>
      <c r="CF692" s="49"/>
      <c r="CG692" s="49"/>
      <c r="CH692" s="49"/>
      <c r="CI692" s="49"/>
      <c r="CJ692" s="49"/>
      <c r="CK692" s="49"/>
    </row>
    <row r="693" spans="2:89" ht="12.75" customHeight="1" x14ac:dyDescent="0.2">
      <c r="B693" s="77"/>
      <c r="C693" s="79"/>
      <c r="D693" s="79"/>
      <c r="E693" s="79"/>
      <c r="F693" s="79"/>
      <c r="G693" s="79"/>
      <c r="H693" s="79"/>
      <c r="I693" s="79"/>
      <c r="J693" s="78"/>
      <c r="K693" s="79"/>
      <c r="L693" s="79"/>
      <c r="M693" s="79"/>
      <c r="N693" s="79"/>
      <c r="O693" s="79"/>
      <c r="P693" s="79"/>
      <c r="Q693" s="79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45"/>
      <c r="AK693" s="45"/>
      <c r="AL693" s="45"/>
      <c r="AM693" s="45"/>
      <c r="AN693" s="45"/>
      <c r="AO693" s="45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  <c r="AZ693" s="80"/>
      <c r="BA693" s="80"/>
      <c r="BB693" s="80"/>
      <c r="BC693" s="80"/>
      <c r="BD693" s="80"/>
      <c r="BE693" s="80"/>
      <c r="BF693" s="80"/>
      <c r="BG693" s="80"/>
      <c r="BH693" s="49"/>
      <c r="BI693" s="79"/>
      <c r="BJ693" s="79"/>
      <c r="BK693" s="44"/>
      <c r="BL693" s="79"/>
      <c r="BM693" s="49"/>
      <c r="BN693" s="44"/>
      <c r="BO693" s="49"/>
      <c r="BP693" s="49"/>
      <c r="BQ693" s="44"/>
      <c r="BS693" s="49"/>
      <c r="BT693" s="49"/>
      <c r="BU693" s="49"/>
      <c r="BV693" s="49"/>
      <c r="BW693" s="18"/>
      <c r="BX693" s="19"/>
      <c r="BY693" s="49"/>
      <c r="CF693" s="49"/>
      <c r="CG693" s="49"/>
      <c r="CH693" s="49"/>
      <c r="CI693" s="49"/>
      <c r="CJ693" s="49"/>
      <c r="CK693" s="49"/>
    </row>
    <row r="694" spans="2:89" ht="12.75" customHeight="1" x14ac:dyDescent="0.2">
      <c r="B694" s="77"/>
      <c r="C694" s="79"/>
      <c r="D694" s="79"/>
      <c r="E694" s="79"/>
      <c r="F694" s="79"/>
      <c r="G694" s="79"/>
      <c r="H694" s="79"/>
      <c r="I694" s="79"/>
      <c r="J694" s="78"/>
      <c r="K694" s="79"/>
      <c r="L694" s="79"/>
      <c r="M694" s="79"/>
      <c r="N694" s="79"/>
      <c r="O694" s="79"/>
      <c r="P694" s="79"/>
      <c r="Q694" s="79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45"/>
      <c r="AK694" s="45"/>
      <c r="AL694" s="45"/>
      <c r="AM694" s="45"/>
      <c r="AN694" s="45"/>
      <c r="AO694" s="45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  <c r="AZ694" s="80"/>
      <c r="BA694" s="80"/>
      <c r="BB694" s="80"/>
      <c r="BC694" s="80"/>
      <c r="BD694" s="80"/>
      <c r="BE694" s="80"/>
      <c r="BF694" s="80"/>
      <c r="BG694" s="80"/>
      <c r="BH694" s="49"/>
      <c r="BI694" s="79"/>
      <c r="BJ694" s="79"/>
      <c r="BK694" s="44"/>
      <c r="BL694" s="79"/>
      <c r="BM694" s="49"/>
      <c r="BN694" s="44"/>
      <c r="BO694" s="49"/>
      <c r="BP694" s="49"/>
      <c r="BQ694" s="44"/>
      <c r="BS694" s="49"/>
      <c r="BT694" s="49"/>
      <c r="BU694" s="49"/>
      <c r="BV694" s="49"/>
      <c r="BW694" s="18"/>
      <c r="BX694" s="19"/>
      <c r="BY694" s="49"/>
      <c r="CF694" s="49"/>
      <c r="CG694" s="49"/>
      <c r="CH694" s="49"/>
      <c r="CI694" s="49"/>
      <c r="CJ694" s="49"/>
      <c r="CK694" s="49"/>
    </row>
    <row r="695" spans="2:89" ht="12.75" customHeight="1" x14ac:dyDescent="0.2">
      <c r="B695" s="77"/>
      <c r="C695" s="79"/>
      <c r="D695" s="79"/>
      <c r="E695" s="79"/>
      <c r="F695" s="79"/>
      <c r="G695" s="79"/>
      <c r="H695" s="79"/>
      <c r="I695" s="79"/>
      <c r="J695" s="78"/>
      <c r="K695" s="79"/>
      <c r="L695" s="79"/>
      <c r="M695" s="79"/>
      <c r="N695" s="79"/>
      <c r="O695" s="79"/>
      <c r="P695" s="79"/>
      <c r="Q695" s="79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45"/>
      <c r="AK695" s="45"/>
      <c r="AL695" s="45"/>
      <c r="AM695" s="45"/>
      <c r="AN695" s="45"/>
      <c r="AO695" s="45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  <c r="AZ695" s="80"/>
      <c r="BA695" s="80"/>
      <c r="BB695" s="80"/>
      <c r="BC695" s="80"/>
      <c r="BD695" s="80"/>
      <c r="BE695" s="80"/>
      <c r="BF695" s="80"/>
      <c r="BG695" s="80"/>
      <c r="BH695" s="49"/>
      <c r="BI695" s="79"/>
      <c r="BJ695" s="79"/>
      <c r="BK695" s="44"/>
      <c r="BL695" s="79"/>
      <c r="BM695" s="49"/>
      <c r="BN695" s="44"/>
      <c r="BO695" s="49"/>
      <c r="BP695" s="49"/>
      <c r="BQ695" s="44"/>
      <c r="BS695" s="49"/>
      <c r="BT695" s="49"/>
      <c r="BU695" s="49"/>
      <c r="BV695" s="49"/>
      <c r="BW695" s="18"/>
      <c r="BX695" s="19"/>
      <c r="BY695" s="49"/>
      <c r="CF695" s="49"/>
      <c r="CG695" s="49"/>
      <c r="CH695" s="49"/>
      <c r="CI695" s="49"/>
      <c r="CJ695" s="49"/>
      <c r="CK695" s="49"/>
    </row>
    <row r="696" spans="2:89" ht="12.75" customHeight="1" x14ac:dyDescent="0.2">
      <c r="B696" s="77"/>
      <c r="C696" s="79"/>
      <c r="D696" s="79"/>
      <c r="E696" s="79"/>
      <c r="F696" s="79"/>
      <c r="G696" s="79"/>
      <c r="H696" s="79"/>
      <c r="I696" s="79"/>
      <c r="J696" s="78"/>
      <c r="K696" s="79"/>
      <c r="L696" s="79"/>
      <c r="M696" s="79"/>
      <c r="N696" s="79"/>
      <c r="O696" s="79"/>
      <c r="P696" s="79"/>
      <c r="Q696" s="79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45"/>
      <c r="AK696" s="45"/>
      <c r="AL696" s="45"/>
      <c r="AM696" s="45"/>
      <c r="AN696" s="45"/>
      <c r="AO696" s="45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  <c r="AZ696" s="80"/>
      <c r="BA696" s="80"/>
      <c r="BB696" s="80"/>
      <c r="BC696" s="80"/>
      <c r="BD696" s="80"/>
      <c r="BE696" s="80"/>
      <c r="BF696" s="80"/>
      <c r="BG696" s="80"/>
      <c r="BH696" s="49"/>
      <c r="BI696" s="79"/>
      <c r="BJ696" s="79"/>
      <c r="BK696" s="44"/>
      <c r="BL696" s="79"/>
      <c r="BM696" s="49"/>
      <c r="BN696" s="44"/>
      <c r="BO696" s="49"/>
      <c r="BP696" s="49"/>
      <c r="BQ696" s="44"/>
      <c r="BS696" s="49"/>
      <c r="BT696" s="49"/>
      <c r="BU696" s="49"/>
      <c r="BV696" s="49"/>
      <c r="BW696" s="18"/>
      <c r="BX696" s="19"/>
      <c r="BY696" s="49"/>
      <c r="CF696" s="49"/>
      <c r="CG696" s="49"/>
      <c r="CH696" s="49"/>
      <c r="CI696" s="49"/>
      <c r="CJ696" s="49"/>
      <c r="CK696" s="49"/>
    </row>
    <row r="697" spans="2:89" ht="12.75" customHeight="1" x14ac:dyDescent="0.2">
      <c r="B697" s="77"/>
      <c r="C697" s="79"/>
      <c r="D697" s="79"/>
      <c r="E697" s="79"/>
      <c r="F697" s="79"/>
      <c r="G697" s="79"/>
      <c r="H697" s="79"/>
      <c r="I697" s="79"/>
      <c r="J697" s="78"/>
      <c r="K697" s="79"/>
      <c r="L697" s="79"/>
      <c r="M697" s="79"/>
      <c r="N697" s="79"/>
      <c r="O697" s="79"/>
      <c r="P697" s="79"/>
      <c r="Q697" s="79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45"/>
      <c r="AK697" s="45"/>
      <c r="AL697" s="45"/>
      <c r="AM697" s="45"/>
      <c r="AN697" s="45"/>
      <c r="AO697" s="45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  <c r="AZ697" s="80"/>
      <c r="BA697" s="80"/>
      <c r="BB697" s="80"/>
      <c r="BC697" s="80"/>
      <c r="BD697" s="80"/>
      <c r="BE697" s="80"/>
      <c r="BF697" s="80"/>
      <c r="BG697" s="80"/>
      <c r="BH697" s="49"/>
      <c r="BI697" s="79"/>
      <c r="BJ697" s="79"/>
      <c r="BK697" s="44"/>
      <c r="BL697" s="79"/>
      <c r="BM697" s="49"/>
      <c r="BN697" s="44"/>
      <c r="BO697" s="49"/>
      <c r="BP697" s="49"/>
      <c r="BQ697" s="44"/>
      <c r="BS697" s="49"/>
      <c r="BT697" s="49"/>
      <c r="BU697" s="49"/>
      <c r="BV697" s="49"/>
      <c r="BW697" s="18"/>
      <c r="BX697" s="19"/>
      <c r="BY697" s="49"/>
      <c r="CF697" s="49"/>
      <c r="CG697" s="49"/>
      <c r="CH697" s="49"/>
      <c r="CI697" s="49"/>
      <c r="CJ697" s="49"/>
      <c r="CK697" s="49"/>
    </row>
    <row r="698" spans="2:89" ht="12.75" customHeight="1" x14ac:dyDescent="0.2">
      <c r="B698" s="77"/>
      <c r="C698" s="79"/>
      <c r="D698" s="79"/>
      <c r="E698" s="79"/>
      <c r="F698" s="79"/>
      <c r="G698" s="79"/>
      <c r="H698" s="79"/>
      <c r="I698" s="79"/>
      <c r="J698" s="78"/>
      <c r="K698" s="79"/>
      <c r="L698" s="79"/>
      <c r="M698" s="79"/>
      <c r="N698" s="79"/>
      <c r="O698" s="79"/>
      <c r="P698" s="79"/>
      <c r="Q698" s="79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45"/>
      <c r="AK698" s="45"/>
      <c r="AL698" s="45"/>
      <c r="AM698" s="45"/>
      <c r="AN698" s="45"/>
      <c r="AO698" s="45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  <c r="BA698" s="80"/>
      <c r="BB698" s="80"/>
      <c r="BC698" s="80"/>
      <c r="BD698" s="80"/>
      <c r="BE698" s="80"/>
      <c r="BF698" s="80"/>
      <c r="BG698" s="80"/>
      <c r="BH698" s="49"/>
      <c r="BI698" s="79"/>
      <c r="BJ698" s="79"/>
      <c r="BK698" s="44"/>
      <c r="BL698" s="79"/>
      <c r="BM698" s="49"/>
      <c r="BN698" s="44"/>
      <c r="BO698" s="49"/>
      <c r="BP698" s="49"/>
      <c r="BQ698" s="44"/>
      <c r="BS698" s="49"/>
      <c r="BT698" s="49"/>
      <c r="BU698" s="49"/>
      <c r="BV698" s="49"/>
      <c r="BW698" s="18"/>
      <c r="BX698" s="19"/>
      <c r="BY698" s="49"/>
      <c r="CF698" s="49"/>
      <c r="CG698" s="49"/>
      <c r="CH698" s="49"/>
      <c r="CI698" s="49"/>
      <c r="CJ698" s="49"/>
      <c r="CK698" s="49"/>
    </row>
    <row r="699" spans="2:89" ht="12.75" customHeight="1" x14ac:dyDescent="0.2">
      <c r="B699" s="77"/>
      <c r="C699" s="79"/>
      <c r="D699" s="79"/>
      <c r="E699" s="79"/>
      <c r="F699" s="79"/>
      <c r="G699" s="79"/>
      <c r="H699" s="79"/>
      <c r="I699" s="79"/>
      <c r="J699" s="78"/>
      <c r="K699" s="79"/>
      <c r="L699" s="79"/>
      <c r="M699" s="79"/>
      <c r="N699" s="79"/>
      <c r="O699" s="79"/>
      <c r="P699" s="79"/>
      <c r="Q699" s="79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45"/>
      <c r="AK699" s="45"/>
      <c r="AL699" s="45"/>
      <c r="AM699" s="45"/>
      <c r="AN699" s="45"/>
      <c r="AO699" s="45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  <c r="BA699" s="80"/>
      <c r="BB699" s="80"/>
      <c r="BC699" s="80"/>
      <c r="BD699" s="80"/>
      <c r="BE699" s="80"/>
      <c r="BF699" s="80"/>
      <c r="BG699" s="80"/>
      <c r="BH699" s="49"/>
      <c r="BI699" s="79"/>
      <c r="BJ699" s="79"/>
      <c r="BK699" s="44"/>
      <c r="BL699" s="79"/>
      <c r="BM699" s="49"/>
      <c r="BN699" s="44"/>
      <c r="BO699" s="49"/>
      <c r="BP699" s="49"/>
      <c r="BQ699" s="44"/>
      <c r="BS699" s="49"/>
      <c r="BT699" s="49"/>
      <c r="BU699" s="49"/>
      <c r="BV699" s="49"/>
      <c r="BW699" s="18"/>
      <c r="BX699" s="19"/>
      <c r="BY699" s="49"/>
      <c r="CF699" s="49"/>
      <c r="CG699" s="49"/>
      <c r="CH699" s="49"/>
      <c r="CI699" s="49"/>
      <c r="CJ699" s="49"/>
      <c r="CK699" s="49"/>
    </row>
    <row r="700" spans="2:89" ht="12.75" customHeight="1" x14ac:dyDescent="0.2">
      <c r="B700" s="77"/>
      <c r="C700" s="79"/>
      <c r="D700" s="79"/>
      <c r="E700" s="79"/>
      <c r="F700" s="79"/>
      <c r="G700" s="79"/>
      <c r="H700" s="79"/>
      <c r="I700" s="79"/>
      <c r="J700" s="78"/>
      <c r="K700" s="79"/>
      <c r="L700" s="79"/>
      <c r="M700" s="79"/>
      <c r="N700" s="79"/>
      <c r="O700" s="79"/>
      <c r="P700" s="79"/>
      <c r="Q700" s="79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45"/>
      <c r="AK700" s="45"/>
      <c r="AL700" s="45"/>
      <c r="AM700" s="45"/>
      <c r="AN700" s="45"/>
      <c r="AO700" s="45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  <c r="AZ700" s="80"/>
      <c r="BA700" s="80"/>
      <c r="BB700" s="80"/>
      <c r="BC700" s="80"/>
      <c r="BD700" s="80"/>
      <c r="BE700" s="80"/>
      <c r="BF700" s="80"/>
      <c r="BG700" s="80"/>
      <c r="BH700" s="49"/>
      <c r="BI700" s="79"/>
      <c r="BJ700" s="79"/>
      <c r="BK700" s="44"/>
      <c r="BL700" s="79"/>
      <c r="BM700" s="49"/>
      <c r="BN700" s="44"/>
      <c r="BO700" s="49"/>
      <c r="BP700" s="49"/>
      <c r="BQ700" s="44"/>
      <c r="BS700" s="49"/>
      <c r="BT700" s="49"/>
      <c r="BU700" s="49"/>
      <c r="BV700" s="49"/>
      <c r="BW700" s="18"/>
      <c r="BX700" s="19"/>
      <c r="BY700" s="49"/>
      <c r="CF700" s="49"/>
      <c r="CG700" s="49"/>
      <c r="CH700" s="49"/>
      <c r="CI700" s="49"/>
      <c r="CJ700" s="49"/>
      <c r="CK700" s="49"/>
    </row>
    <row r="701" spans="2:89" ht="12.75" customHeight="1" x14ac:dyDescent="0.2">
      <c r="B701" s="77"/>
      <c r="C701" s="79"/>
      <c r="D701" s="79"/>
      <c r="E701" s="79"/>
      <c r="F701" s="79"/>
      <c r="G701" s="79"/>
      <c r="H701" s="79"/>
      <c r="I701" s="79"/>
      <c r="J701" s="78"/>
      <c r="K701" s="79"/>
      <c r="L701" s="79"/>
      <c r="M701" s="79"/>
      <c r="N701" s="79"/>
      <c r="O701" s="79"/>
      <c r="P701" s="79"/>
      <c r="Q701" s="79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45"/>
      <c r="AK701" s="45"/>
      <c r="AL701" s="45"/>
      <c r="AM701" s="45"/>
      <c r="AN701" s="45"/>
      <c r="AO701" s="45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  <c r="AZ701" s="80"/>
      <c r="BA701" s="80"/>
      <c r="BB701" s="80"/>
      <c r="BC701" s="80"/>
      <c r="BD701" s="80"/>
      <c r="BE701" s="80"/>
      <c r="BF701" s="80"/>
      <c r="BG701" s="80"/>
      <c r="BH701" s="49"/>
      <c r="BI701" s="79"/>
      <c r="BJ701" s="79"/>
      <c r="BK701" s="44"/>
      <c r="BL701" s="79"/>
      <c r="BM701" s="49"/>
      <c r="BN701" s="44"/>
      <c r="BO701" s="49"/>
      <c r="BP701" s="49"/>
      <c r="BQ701" s="44"/>
      <c r="BS701" s="49"/>
      <c r="BT701" s="49"/>
      <c r="BU701" s="49"/>
      <c r="BV701" s="49"/>
      <c r="BW701" s="18"/>
      <c r="BX701" s="19"/>
      <c r="BY701" s="49"/>
      <c r="CF701" s="49"/>
      <c r="CG701" s="49"/>
      <c r="CH701" s="49"/>
      <c r="CI701" s="49"/>
      <c r="CJ701" s="49"/>
      <c r="CK701" s="49"/>
    </row>
    <row r="702" spans="2:89" ht="12.75" customHeight="1" x14ac:dyDescent="0.2">
      <c r="B702" s="77"/>
      <c r="C702" s="79"/>
      <c r="D702" s="79"/>
      <c r="E702" s="79"/>
      <c r="F702" s="79"/>
      <c r="G702" s="79"/>
      <c r="H702" s="79"/>
      <c r="I702" s="79"/>
      <c r="J702" s="78"/>
      <c r="K702" s="79"/>
      <c r="L702" s="79"/>
      <c r="M702" s="79"/>
      <c r="N702" s="79"/>
      <c r="O702" s="79"/>
      <c r="P702" s="79"/>
      <c r="Q702" s="79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45"/>
      <c r="AK702" s="45"/>
      <c r="AL702" s="45"/>
      <c r="AM702" s="45"/>
      <c r="AN702" s="45"/>
      <c r="AO702" s="45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  <c r="AZ702" s="80"/>
      <c r="BA702" s="80"/>
      <c r="BB702" s="80"/>
      <c r="BC702" s="80"/>
      <c r="BD702" s="80"/>
      <c r="BE702" s="80"/>
      <c r="BF702" s="80"/>
      <c r="BG702" s="80"/>
      <c r="BH702" s="49"/>
      <c r="BI702" s="79"/>
      <c r="BJ702" s="79"/>
      <c r="BK702" s="44"/>
      <c r="BL702" s="79"/>
      <c r="BM702" s="49"/>
      <c r="BN702" s="44"/>
      <c r="BO702" s="49"/>
      <c r="BP702" s="49"/>
      <c r="BQ702" s="44"/>
      <c r="BS702" s="49"/>
      <c r="BT702" s="49"/>
      <c r="BU702" s="49"/>
      <c r="BV702" s="49"/>
      <c r="BW702" s="18"/>
      <c r="BX702" s="19"/>
      <c r="BY702" s="49"/>
      <c r="CF702" s="49"/>
      <c r="CG702" s="49"/>
      <c r="CH702" s="49"/>
      <c r="CI702" s="49"/>
      <c r="CJ702" s="49"/>
      <c r="CK702" s="49"/>
    </row>
    <row r="703" spans="2:89" ht="12.75" customHeight="1" x14ac:dyDescent="0.2">
      <c r="B703" s="77"/>
      <c r="C703" s="79"/>
      <c r="D703" s="79"/>
      <c r="E703" s="79"/>
      <c r="F703" s="79"/>
      <c r="G703" s="79"/>
      <c r="H703" s="79"/>
      <c r="I703" s="79"/>
      <c r="J703" s="78"/>
      <c r="K703" s="79"/>
      <c r="L703" s="79"/>
      <c r="M703" s="79"/>
      <c r="N703" s="79"/>
      <c r="O703" s="79"/>
      <c r="P703" s="79"/>
      <c r="Q703" s="79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45"/>
      <c r="AK703" s="45"/>
      <c r="AL703" s="45"/>
      <c r="AM703" s="45"/>
      <c r="AN703" s="45"/>
      <c r="AO703" s="45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  <c r="AZ703" s="80"/>
      <c r="BA703" s="80"/>
      <c r="BB703" s="80"/>
      <c r="BC703" s="80"/>
      <c r="BD703" s="80"/>
      <c r="BE703" s="80"/>
      <c r="BF703" s="80"/>
      <c r="BG703" s="80"/>
      <c r="BH703" s="49"/>
      <c r="BI703" s="79"/>
      <c r="BJ703" s="79"/>
      <c r="BK703" s="44"/>
      <c r="BL703" s="79"/>
      <c r="BM703" s="49"/>
      <c r="BN703" s="44"/>
      <c r="BO703" s="49"/>
      <c r="BP703" s="49"/>
      <c r="BQ703" s="44"/>
      <c r="BS703" s="49"/>
      <c r="BT703" s="49"/>
      <c r="BU703" s="49"/>
      <c r="BV703" s="49"/>
      <c r="BW703" s="18"/>
      <c r="BX703" s="19"/>
      <c r="BY703" s="49"/>
      <c r="CF703" s="49"/>
      <c r="CG703" s="49"/>
      <c r="CH703" s="49"/>
      <c r="CI703" s="49"/>
      <c r="CJ703" s="49"/>
      <c r="CK703" s="49"/>
    </row>
    <row r="704" spans="2:89" ht="12.75" customHeight="1" x14ac:dyDescent="0.2">
      <c r="B704" s="77"/>
      <c r="C704" s="79"/>
      <c r="D704" s="79"/>
      <c r="E704" s="79"/>
      <c r="F704" s="79"/>
      <c r="G704" s="79"/>
      <c r="H704" s="79"/>
      <c r="I704" s="79"/>
      <c r="J704" s="78"/>
      <c r="K704" s="79"/>
      <c r="L704" s="79"/>
      <c r="M704" s="79"/>
      <c r="N704" s="79"/>
      <c r="O704" s="79"/>
      <c r="P704" s="79"/>
      <c r="Q704" s="79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45"/>
      <c r="AK704" s="45"/>
      <c r="AL704" s="45"/>
      <c r="AM704" s="45"/>
      <c r="AN704" s="45"/>
      <c r="AO704" s="45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  <c r="AZ704" s="80"/>
      <c r="BA704" s="80"/>
      <c r="BB704" s="80"/>
      <c r="BC704" s="80"/>
      <c r="BD704" s="80"/>
      <c r="BE704" s="80"/>
      <c r="BF704" s="80"/>
      <c r="BG704" s="80"/>
      <c r="BH704" s="49"/>
      <c r="BI704" s="79"/>
      <c r="BJ704" s="79"/>
      <c r="BK704" s="44"/>
      <c r="BL704" s="79"/>
      <c r="BM704" s="49"/>
      <c r="BN704" s="44"/>
      <c r="BO704" s="49"/>
      <c r="BP704" s="49"/>
      <c r="BQ704" s="44"/>
      <c r="BS704" s="49"/>
      <c r="BT704" s="49"/>
      <c r="BU704" s="49"/>
      <c r="BV704" s="49"/>
      <c r="BW704" s="18"/>
      <c r="BX704" s="19"/>
      <c r="BY704" s="49"/>
      <c r="CF704" s="49"/>
      <c r="CG704" s="49"/>
      <c r="CH704" s="49"/>
      <c r="CI704" s="49"/>
      <c r="CJ704" s="49"/>
      <c r="CK704" s="49"/>
    </row>
    <row r="705" spans="2:89" ht="12.75" customHeight="1" x14ac:dyDescent="0.2">
      <c r="B705" s="77"/>
      <c r="C705" s="79"/>
      <c r="D705" s="79"/>
      <c r="E705" s="79"/>
      <c r="F705" s="79"/>
      <c r="G705" s="79"/>
      <c r="H705" s="79"/>
      <c r="I705" s="79"/>
      <c r="J705" s="78"/>
      <c r="K705" s="79"/>
      <c r="L705" s="79"/>
      <c r="M705" s="79"/>
      <c r="N705" s="79"/>
      <c r="O705" s="79"/>
      <c r="P705" s="79"/>
      <c r="Q705" s="79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45"/>
      <c r="AK705" s="45"/>
      <c r="AL705" s="45"/>
      <c r="AM705" s="45"/>
      <c r="AN705" s="45"/>
      <c r="AO705" s="45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  <c r="AZ705" s="80"/>
      <c r="BA705" s="80"/>
      <c r="BB705" s="80"/>
      <c r="BC705" s="80"/>
      <c r="BD705" s="80"/>
      <c r="BE705" s="80"/>
      <c r="BF705" s="80"/>
      <c r="BG705" s="80"/>
      <c r="BH705" s="49"/>
      <c r="BI705" s="79"/>
      <c r="BJ705" s="79"/>
      <c r="BK705" s="44"/>
      <c r="BL705" s="79"/>
      <c r="BM705" s="49"/>
      <c r="BN705" s="44"/>
      <c r="BO705" s="49"/>
      <c r="BP705" s="49"/>
      <c r="BQ705" s="44"/>
      <c r="BS705" s="49"/>
      <c r="BT705" s="49"/>
      <c r="BU705" s="49"/>
      <c r="BV705" s="49"/>
      <c r="BW705" s="18"/>
      <c r="BX705" s="19"/>
      <c r="BY705" s="49"/>
      <c r="CF705" s="49"/>
      <c r="CG705" s="49"/>
      <c r="CH705" s="49"/>
      <c r="CI705" s="49"/>
      <c r="CJ705" s="49"/>
      <c r="CK705" s="49"/>
    </row>
    <row r="706" spans="2:89" ht="12.75" customHeight="1" x14ac:dyDescent="0.2">
      <c r="B706" s="77"/>
      <c r="C706" s="79"/>
      <c r="D706" s="79"/>
      <c r="E706" s="79"/>
      <c r="F706" s="79"/>
      <c r="G706" s="79"/>
      <c r="H706" s="79"/>
      <c r="I706" s="79"/>
      <c r="J706" s="78"/>
      <c r="K706" s="79"/>
      <c r="L706" s="79"/>
      <c r="M706" s="79"/>
      <c r="N706" s="79"/>
      <c r="O706" s="79"/>
      <c r="P706" s="79"/>
      <c r="Q706" s="79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45"/>
      <c r="AK706" s="45"/>
      <c r="AL706" s="45"/>
      <c r="AM706" s="45"/>
      <c r="AN706" s="45"/>
      <c r="AO706" s="45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  <c r="AZ706" s="80"/>
      <c r="BA706" s="80"/>
      <c r="BB706" s="80"/>
      <c r="BC706" s="80"/>
      <c r="BD706" s="80"/>
      <c r="BE706" s="80"/>
      <c r="BF706" s="80"/>
      <c r="BG706" s="80"/>
      <c r="BH706" s="49"/>
      <c r="BI706" s="79"/>
      <c r="BJ706" s="79"/>
      <c r="BK706" s="44"/>
      <c r="BL706" s="79"/>
      <c r="BM706" s="49"/>
      <c r="BN706" s="44"/>
      <c r="BO706" s="49"/>
      <c r="BP706" s="49"/>
      <c r="BQ706" s="44"/>
      <c r="BS706" s="49"/>
      <c r="BT706" s="49"/>
      <c r="BU706" s="49"/>
      <c r="BV706" s="49"/>
      <c r="BW706" s="18"/>
      <c r="BX706" s="19"/>
      <c r="BY706" s="49"/>
      <c r="CF706" s="49"/>
      <c r="CG706" s="49"/>
      <c r="CH706" s="49"/>
      <c r="CI706" s="49"/>
      <c r="CJ706" s="49"/>
      <c r="CK706" s="49"/>
    </row>
    <row r="707" spans="2:89" ht="12.75" customHeight="1" x14ac:dyDescent="0.2">
      <c r="B707" s="77"/>
      <c r="C707" s="79"/>
      <c r="D707" s="79"/>
      <c r="E707" s="79"/>
      <c r="F707" s="79"/>
      <c r="G707" s="79"/>
      <c r="H707" s="79"/>
      <c r="I707" s="79"/>
      <c r="J707" s="78"/>
      <c r="K707" s="79"/>
      <c r="L707" s="79"/>
      <c r="M707" s="79"/>
      <c r="N707" s="79"/>
      <c r="O707" s="79"/>
      <c r="P707" s="79"/>
      <c r="Q707" s="79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45"/>
      <c r="AK707" s="45"/>
      <c r="AL707" s="45"/>
      <c r="AM707" s="45"/>
      <c r="AN707" s="45"/>
      <c r="AO707" s="45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  <c r="AZ707" s="80"/>
      <c r="BA707" s="80"/>
      <c r="BB707" s="80"/>
      <c r="BC707" s="80"/>
      <c r="BD707" s="80"/>
      <c r="BE707" s="80"/>
      <c r="BF707" s="80"/>
      <c r="BG707" s="80"/>
      <c r="BH707" s="49"/>
      <c r="BI707" s="79"/>
      <c r="BJ707" s="79"/>
      <c r="BK707" s="44"/>
      <c r="BL707" s="79"/>
      <c r="BM707" s="49"/>
      <c r="BN707" s="44"/>
      <c r="BO707" s="49"/>
      <c r="BP707" s="49"/>
      <c r="BQ707" s="44"/>
      <c r="BS707" s="49"/>
      <c r="BT707" s="49"/>
      <c r="BU707" s="49"/>
      <c r="BV707" s="49"/>
      <c r="BW707" s="18"/>
      <c r="BX707" s="19"/>
      <c r="BY707" s="49"/>
      <c r="CF707" s="49"/>
      <c r="CG707" s="49"/>
      <c r="CH707" s="49"/>
      <c r="CI707" s="49"/>
      <c r="CJ707" s="49"/>
      <c r="CK707" s="49"/>
    </row>
    <row r="708" spans="2:89" ht="12.75" customHeight="1" x14ac:dyDescent="0.2">
      <c r="B708" s="77"/>
      <c r="C708" s="79"/>
      <c r="D708" s="79"/>
      <c r="E708" s="79"/>
      <c r="F708" s="79"/>
      <c r="G708" s="79"/>
      <c r="H708" s="79"/>
      <c r="I708" s="79"/>
      <c r="J708" s="78"/>
      <c r="K708" s="79"/>
      <c r="L708" s="79"/>
      <c r="M708" s="79"/>
      <c r="N708" s="79"/>
      <c r="O708" s="79"/>
      <c r="P708" s="79"/>
      <c r="Q708" s="79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45"/>
      <c r="AK708" s="45"/>
      <c r="AL708" s="45"/>
      <c r="AM708" s="45"/>
      <c r="AN708" s="45"/>
      <c r="AO708" s="45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  <c r="AZ708" s="80"/>
      <c r="BA708" s="80"/>
      <c r="BB708" s="80"/>
      <c r="BC708" s="80"/>
      <c r="BD708" s="80"/>
      <c r="BE708" s="80"/>
      <c r="BF708" s="80"/>
      <c r="BG708" s="80"/>
      <c r="BH708" s="49"/>
      <c r="BI708" s="79"/>
      <c r="BJ708" s="79"/>
      <c r="BK708" s="44"/>
      <c r="BL708" s="79"/>
      <c r="BM708" s="49"/>
      <c r="BN708" s="44"/>
      <c r="BO708" s="49"/>
      <c r="BP708" s="49"/>
      <c r="BQ708" s="44"/>
      <c r="BS708" s="49"/>
      <c r="BT708" s="49"/>
      <c r="BU708" s="49"/>
      <c r="BV708" s="49"/>
      <c r="BW708" s="18"/>
      <c r="BX708" s="19"/>
      <c r="BY708" s="49"/>
      <c r="CF708" s="49"/>
      <c r="CG708" s="49"/>
      <c r="CH708" s="49"/>
      <c r="CI708" s="49"/>
      <c r="CJ708" s="49"/>
      <c r="CK708" s="49"/>
    </row>
    <row r="709" spans="2:89" ht="12.75" customHeight="1" x14ac:dyDescent="0.2">
      <c r="B709" s="77"/>
      <c r="C709" s="79"/>
      <c r="D709" s="79"/>
      <c r="E709" s="79"/>
      <c r="F709" s="79"/>
      <c r="G709" s="79"/>
      <c r="H709" s="79"/>
      <c r="I709" s="79"/>
      <c r="J709" s="78"/>
      <c r="K709" s="79"/>
      <c r="L709" s="79"/>
      <c r="M709" s="79"/>
      <c r="N709" s="79"/>
      <c r="O709" s="79"/>
      <c r="P709" s="79"/>
      <c r="Q709" s="79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45"/>
      <c r="AK709" s="45"/>
      <c r="AL709" s="45"/>
      <c r="AM709" s="45"/>
      <c r="AN709" s="45"/>
      <c r="AO709" s="45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  <c r="AZ709" s="80"/>
      <c r="BA709" s="80"/>
      <c r="BB709" s="80"/>
      <c r="BC709" s="80"/>
      <c r="BD709" s="80"/>
      <c r="BE709" s="80"/>
      <c r="BF709" s="80"/>
      <c r="BG709" s="80"/>
      <c r="BH709" s="49"/>
      <c r="BI709" s="79"/>
      <c r="BJ709" s="79"/>
      <c r="BK709" s="44"/>
      <c r="BL709" s="79"/>
      <c r="BM709" s="49"/>
      <c r="BN709" s="44"/>
      <c r="BO709" s="49"/>
      <c r="BP709" s="49"/>
      <c r="BQ709" s="44"/>
      <c r="BS709" s="49"/>
      <c r="BT709" s="49"/>
      <c r="BU709" s="49"/>
      <c r="BV709" s="49"/>
      <c r="BW709" s="18"/>
      <c r="BX709" s="19"/>
      <c r="BY709" s="49"/>
      <c r="CF709" s="49"/>
      <c r="CG709" s="49"/>
      <c r="CH709" s="49"/>
      <c r="CI709" s="49"/>
      <c r="CJ709" s="49"/>
      <c r="CK709" s="49"/>
    </row>
    <row r="710" spans="2:89" ht="12.75" customHeight="1" x14ac:dyDescent="0.2">
      <c r="B710" s="77"/>
      <c r="C710" s="79"/>
      <c r="D710" s="79"/>
      <c r="E710" s="79"/>
      <c r="F710" s="79"/>
      <c r="G710" s="79"/>
      <c r="H710" s="79"/>
      <c r="I710" s="79"/>
      <c r="J710" s="78"/>
      <c r="K710" s="79"/>
      <c r="L710" s="79"/>
      <c r="M710" s="79"/>
      <c r="N710" s="79"/>
      <c r="O710" s="79"/>
      <c r="P710" s="79"/>
      <c r="Q710" s="79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45"/>
      <c r="AK710" s="45"/>
      <c r="AL710" s="45"/>
      <c r="AM710" s="45"/>
      <c r="AN710" s="45"/>
      <c r="AO710" s="45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  <c r="AZ710" s="80"/>
      <c r="BA710" s="80"/>
      <c r="BB710" s="80"/>
      <c r="BC710" s="80"/>
      <c r="BD710" s="80"/>
      <c r="BE710" s="80"/>
      <c r="BF710" s="80"/>
      <c r="BG710" s="80"/>
      <c r="BH710" s="49"/>
      <c r="BI710" s="79"/>
      <c r="BJ710" s="79"/>
      <c r="BK710" s="44"/>
      <c r="BL710" s="79"/>
      <c r="BM710" s="49"/>
      <c r="BN710" s="44"/>
      <c r="BO710" s="49"/>
      <c r="BP710" s="49"/>
      <c r="BQ710" s="44"/>
      <c r="BS710" s="49"/>
      <c r="BT710" s="49"/>
      <c r="BU710" s="49"/>
      <c r="BV710" s="49"/>
      <c r="BW710" s="18"/>
      <c r="BX710" s="19"/>
      <c r="BY710" s="49"/>
      <c r="CF710" s="49"/>
      <c r="CG710" s="49"/>
      <c r="CH710" s="49"/>
      <c r="CI710" s="49"/>
      <c r="CJ710" s="49"/>
      <c r="CK710" s="49"/>
    </row>
    <row r="711" spans="2:89" ht="12.75" customHeight="1" x14ac:dyDescent="0.2">
      <c r="B711" s="77"/>
      <c r="C711" s="79"/>
      <c r="D711" s="79"/>
      <c r="E711" s="79"/>
      <c r="F711" s="79"/>
      <c r="G711" s="79"/>
      <c r="H711" s="79"/>
      <c r="I711" s="79"/>
      <c r="J711" s="78"/>
      <c r="K711" s="79"/>
      <c r="L711" s="79"/>
      <c r="M711" s="79"/>
      <c r="N711" s="79"/>
      <c r="O711" s="79"/>
      <c r="P711" s="79"/>
      <c r="Q711" s="79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45"/>
      <c r="AK711" s="45"/>
      <c r="AL711" s="45"/>
      <c r="AM711" s="45"/>
      <c r="AN711" s="45"/>
      <c r="AO711" s="45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  <c r="BA711" s="80"/>
      <c r="BB711" s="80"/>
      <c r="BC711" s="80"/>
      <c r="BD711" s="80"/>
      <c r="BE711" s="80"/>
      <c r="BF711" s="80"/>
      <c r="BG711" s="80"/>
      <c r="BH711" s="49"/>
      <c r="BI711" s="79"/>
      <c r="BJ711" s="79"/>
      <c r="BK711" s="44"/>
      <c r="BL711" s="79"/>
      <c r="BM711" s="49"/>
      <c r="BN711" s="44"/>
      <c r="BO711" s="49"/>
      <c r="BP711" s="49"/>
      <c r="BQ711" s="44"/>
      <c r="BS711" s="49"/>
      <c r="BT711" s="49"/>
      <c r="BU711" s="49"/>
      <c r="BV711" s="49"/>
      <c r="BW711" s="18"/>
      <c r="BX711" s="19"/>
      <c r="BY711" s="49"/>
      <c r="CF711" s="49"/>
      <c r="CG711" s="49"/>
      <c r="CH711" s="49"/>
      <c r="CI711" s="49"/>
      <c r="CJ711" s="49"/>
      <c r="CK711" s="49"/>
    </row>
    <row r="712" spans="2:89" ht="12.75" customHeight="1" x14ac:dyDescent="0.2">
      <c r="B712" s="77"/>
      <c r="C712" s="79"/>
      <c r="D712" s="79"/>
      <c r="E712" s="79"/>
      <c r="F712" s="79"/>
      <c r="G712" s="79"/>
      <c r="H712" s="79"/>
      <c r="I712" s="79"/>
      <c r="J712" s="78"/>
      <c r="K712" s="79"/>
      <c r="L712" s="79"/>
      <c r="M712" s="79"/>
      <c r="N712" s="79"/>
      <c r="O712" s="79"/>
      <c r="P712" s="79"/>
      <c r="Q712" s="79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45"/>
      <c r="AK712" s="45"/>
      <c r="AL712" s="45"/>
      <c r="AM712" s="45"/>
      <c r="AN712" s="45"/>
      <c r="AO712" s="45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  <c r="AZ712" s="80"/>
      <c r="BA712" s="80"/>
      <c r="BB712" s="80"/>
      <c r="BC712" s="80"/>
      <c r="BD712" s="80"/>
      <c r="BE712" s="80"/>
      <c r="BF712" s="80"/>
      <c r="BG712" s="80"/>
      <c r="BH712" s="49"/>
      <c r="BI712" s="79"/>
      <c r="BJ712" s="79"/>
      <c r="BK712" s="44"/>
      <c r="BL712" s="79"/>
      <c r="BM712" s="49"/>
      <c r="BN712" s="44"/>
      <c r="BO712" s="49"/>
      <c r="BP712" s="49"/>
      <c r="BQ712" s="44"/>
      <c r="BS712" s="49"/>
      <c r="BT712" s="49"/>
      <c r="BU712" s="49"/>
      <c r="BV712" s="49"/>
      <c r="BW712" s="18"/>
      <c r="BX712" s="19"/>
      <c r="BY712" s="49"/>
      <c r="CF712" s="49"/>
      <c r="CG712" s="49"/>
      <c r="CH712" s="49"/>
      <c r="CI712" s="49"/>
      <c r="CJ712" s="49"/>
      <c r="CK712" s="49"/>
    </row>
    <row r="713" spans="2:89" ht="12.75" customHeight="1" x14ac:dyDescent="0.2">
      <c r="B713" s="77"/>
      <c r="C713" s="79"/>
      <c r="D713" s="79"/>
      <c r="E713" s="79"/>
      <c r="F713" s="79"/>
      <c r="G713" s="79"/>
      <c r="H713" s="79"/>
      <c r="I713" s="79"/>
      <c r="J713" s="78"/>
      <c r="K713" s="79"/>
      <c r="L713" s="79"/>
      <c r="M713" s="79"/>
      <c r="N713" s="79"/>
      <c r="O713" s="79"/>
      <c r="P713" s="79"/>
      <c r="Q713" s="79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45"/>
      <c r="AK713" s="45"/>
      <c r="AL713" s="45"/>
      <c r="AM713" s="45"/>
      <c r="AN713" s="45"/>
      <c r="AO713" s="45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  <c r="AZ713" s="80"/>
      <c r="BA713" s="80"/>
      <c r="BB713" s="80"/>
      <c r="BC713" s="80"/>
      <c r="BD713" s="80"/>
      <c r="BE713" s="80"/>
      <c r="BF713" s="80"/>
      <c r="BG713" s="80"/>
      <c r="BH713" s="49"/>
      <c r="BI713" s="79"/>
      <c r="BJ713" s="79"/>
      <c r="BK713" s="44"/>
      <c r="BL713" s="79"/>
      <c r="BM713" s="49"/>
      <c r="BN713" s="44"/>
      <c r="BO713" s="49"/>
      <c r="BP713" s="49"/>
      <c r="BQ713" s="44"/>
      <c r="BS713" s="49"/>
      <c r="BT713" s="49"/>
      <c r="BU713" s="49"/>
      <c r="BV713" s="49"/>
      <c r="BW713" s="18"/>
      <c r="BX713" s="19"/>
      <c r="BY713" s="49"/>
      <c r="CF713" s="49"/>
      <c r="CG713" s="49"/>
      <c r="CH713" s="49"/>
      <c r="CI713" s="49"/>
      <c r="CJ713" s="49"/>
      <c r="CK713" s="49"/>
    </row>
    <row r="714" spans="2:89" ht="12.75" customHeight="1" x14ac:dyDescent="0.2">
      <c r="B714" s="77"/>
      <c r="C714" s="79"/>
      <c r="D714" s="79"/>
      <c r="E714" s="79"/>
      <c r="F714" s="79"/>
      <c r="G714" s="79"/>
      <c r="H714" s="79"/>
      <c r="I714" s="79"/>
      <c r="J714" s="78"/>
      <c r="K714" s="79"/>
      <c r="L714" s="79"/>
      <c r="M714" s="79"/>
      <c r="N714" s="79"/>
      <c r="O714" s="79"/>
      <c r="P714" s="79"/>
      <c r="Q714" s="79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45"/>
      <c r="AK714" s="45"/>
      <c r="AL714" s="45"/>
      <c r="AM714" s="45"/>
      <c r="AN714" s="45"/>
      <c r="AO714" s="45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  <c r="AZ714" s="80"/>
      <c r="BA714" s="80"/>
      <c r="BB714" s="80"/>
      <c r="BC714" s="80"/>
      <c r="BD714" s="80"/>
      <c r="BE714" s="80"/>
      <c r="BF714" s="80"/>
      <c r="BG714" s="80"/>
      <c r="BH714" s="49"/>
      <c r="BI714" s="79"/>
      <c r="BJ714" s="79"/>
      <c r="BK714" s="44"/>
      <c r="BL714" s="79"/>
      <c r="BM714" s="49"/>
      <c r="BN714" s="44"/>
      <c r="BO714" s="49"/>
      <c r="BP714" s="49"/>
      <c r="BQ714" s="44"/>
      <c r="BS714" s="49"/>
      <c r="BT714" s="49"/>
      <c r="BU714" s="49"/>
      <c r="BV714" s="49"/>
      <c r="BW714" s="18"/>
      <c r="BX714" s="19"/>
      <c r="BY714" s="49"/>
      <c r="CF714" s="49"/>
      <c r="CG714" s="49"/>
      <c r="CH714" s="49"/>
      <c r="CI714" s="49"/>
      <c r="CJ714" s="49"/>
      <c r="CK714" s="49"/>
    </row>
    <row r="715" spans="2:89" ht="12.75" customHeight="1" x14ac:dyDescent="0.2">
      <c r="B715" s="77"/>
      <c r="C715" s="79"/>
      <c r="D715" s="79"/>
      <c r="E715" s="79"/>
      <c r="F715" s="79"/>
      <c r="G715" s="79"/>
      <c r="H715" s="79"/>
      <c r="I715" s="79"/>
      <c r="J715" s="78"/>
      <c r="K715" s="79"/>
      <c r="L715" s="79"/>
      <c r="M715" s="79"/>
      <c r="N715" s="79"/>
      <c r="O715" s="79"/>
      <c r="P715" s="79"/>
      <c r="Q715" s="79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45"/>
      <c r="AK715" s="45"/>
      <c r="AL715" s="45"/>
      <c r="AM715" s="45"/>
      <c r="AN715" s="45"/>
      <c r="AO715" s="45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  <c r="AZ715" s="80"/>
      <c r="BA715" s="80"/>
      <c r="BB715" s="80"/>
      <c r="BC715" s="80"/>
      <c r="BD715" s="80"/>
      <c r="BE715" s="80"/>
      <c r="BF715" s="80"/>
      <c r="BG715" s="80"/>
      <c r="BH715" s="49"/>
      <c r="BI715" s="79"/>
      <c r="BJ715" s="79"/>
      <c r="BK715" s="44"/>
      <c r="BL715" s="79"/>
      <c r="BM715" s="49"/>
      <c r="BN715" s="44"/>
      <c r="BO715" s="49"/>
      <c r="BP715" s="49"/>
      <c r="BQ715" s="44"/>
      <c r="BS715" s="49"/>
      <c r="BT715" s="49"/>
      <c r="BU715" s="49"/>
      <c r="BV715" s="49"/>
      <c r="BW715" s="18"/>
      <c r="BX715" s="19"/>
      <c r="BY715" s="49"/>
      <c r="CF715" s="49"/>
      <c r="CG715" s="49"/>
      <c r="CH715" s="49"/>
      <c r="CI715" s="49"/>
      <c r="CJ715" s="49"/>
      <c r="CK715" s="49"/>
    </row>
    <row r="716" spans="2:89" ht="12.75" customHeight="1" x14ac:dyDescent="0.2">
      <c r="B716" s="77"/>
      <c r="C716" s="79"/>
      <c r="D716" s="79"/>
      <c r="E716" s="79"/>
      <c r="F716" s="79"/>
      <c r="G716" s="79"/>
      <c r="H716" s="79"/>
      <c r="I716" s="79"/>
      <c r="J716" s="78"/>
      <c r="K716" s="79"/>
      <c r="L716" s="79"/>
      <c r="M716" s="79"/>
      <c r="N716" s="79"/>
      <c r="O716" s="79"/>
      <c r="P716" s="79"/>
      <c r="Q716" s="79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45"/>
      <c r="AK716" s="45"/>
      <c r="AL716" s="45"/>
      <c r="AM716" s="45"/>
      <c r="AN716" s="45"/>
      <c r="AO716" s="45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  <c r="AZ716" s="80"/>
      <c r="BA716" s="80"/>
      <c r="BB716" s="80"/>
      <c r="BC716" s="80"/>
      <c r="BD716" s="80"/>
      <c r="BE716" s="80"/>
      <c r="BF716" s="80"/>
      <c r="BG716" s="80"/>
      <c r="BH716" s="49"/>
      <c r="BI716" s="79"/>
      <c r="BJ716" s="79"/>
      <c r="BK716" s="44"/>
      <c r="BL716" s="79"/>
      <c r="BM716" s="49"/>
      <c r="BN716" s="44"/>
      <c r="BO716" s="49"/>
      <c r="BP716" s="49"/>
      <c r="BQ716" s="44"/>
      <c r="BS716" s="49"/>
      <c r="BT716" s="49"/>
      <c r="BU716" s="49"/>
      <c r="BV716" s="49"/>
      <c r="BW716" s="18"/>
      <c r="BX716" s="19"/>
      <c r="BY716" s="49"/>
      <c r="CF716" s="49"/>
      <c r="CG716" s="49"/>
      <c r="CH716" s="49"/>
      <c r="CI716" s="49"/>
      <c r="CJ716" s="49"/>
      <c r="CK716" s="49"/>
    </row>
    <row r="717" spans="2:89" ht="12.75" customHeight="1" x14ac:dyDescent="0.2">
      <c r="B717" s="77"/>
      <c r="C717" s="79"/>
      <c r="D717" s="79"/>
      <c r="E717" s="79"/>
      <c r="F717" s="79"/>
      <c r="G717" s="79"/>
      <c r="H717" s="79"/>
      <c r="I717" s="79"/>
      <c r="J717" s="78"/>
      <c r="K717" s="79"/>
      <c r="L717" s="79"/>
      <c r="M717" s="79"/>
      <c r="N717" s="79"/>
      <c r="O717" s="79"/>
      <c r="P717" s="79"/>
      <c r="Q717" s="79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45"/>
      <c r="AK717" s="45"/>
      <c r="AL717" s="45"/>
      <c r="AM717" s="45"/>
      <c r="AN717" s="45"/>
      <c r="AO717" s="45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  <c r="AZ717" s="80"/>
      <c r="BA717" s="80"/>
      <c r="BB717" s="80"/>
      <c r="BC717" s="80"/>
      <c r="BD717" s="80"/>
      <c r="BE717" s="80"/>
      <c r="BF717" s="80"/>
      <c r="BG717" s="80"/>
      <c r="BH717" s="49"/>
      <c r="BI717" s="79"/>
      <c r="BJ717" s="79"/>
      <c r="BK717" s="44"/>
      <c r="BL717" s="79"/>
      <c r="BM717" s="49"/>
      <c r="BN717" s="44"/>
      <c r="BO717" s="49"/>
      <c r="BP717" s="49"/>
      <c r="BQ717" s="44"/>
      <c r="BS717" s="49"/>
      <c r="BT717" s="49"/>
      <c r="BU717" s="49"/>
      <c r="BV717" s="49"/>
      <c r="BW717" s="18"/>
      <c r="BX717" s="19"/>
      <c r="BY717" s="49"/>
      <c r="CF717" s="49"/>
      <c r="CG717" s="49"/>
      <c r="CH717" s="49"/>
      <c r="CI717" s="49"/>
      <c r="CJ717" s="49"/>
      <c r="CK717" s="49"/>
    </row>
    <row r="718" spans="2:89" ht="12.75" customHeight="1" x14ac:dyDescent="0.2">
      <c r="B718" s="77"/>
      <c r="C718" s="79"/>
      <c r="D718" s="79"/>
      <c r="E718" s="79"/>
      <c r="F718" s="79"/>
      <c r="G718" s="79"/>
      <c r="H718" s="79"/>
      <c r="I718" s="79"/>
      <c r="J718" s="78"/>
      <c r="K718" s="79"/>
      <c r="L718" s="79"/>
      <c r="M718" s="79"/>
      <c r="N718" s="79"/>
      <c r="O718" s="79"/>
      <c r="P718" s="79"/>
      <c r="Q718" s="79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45"/>
      <c r="AK718" s="45"/>
      <c r="AL718" s="45"/>
      <c r="AM718" s="45"/>
      <c r="AN718" s="45"/>
      <c r="AO718" s="45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  <c r="AZ718" s="80"/>
      <c r="BA718" s="80"/>
      <c r="BB718" s="80"/>
      <c r="BC718" s="80"/>
      <c r="BD718" s="80"/>
      <c r="BE718" s="80"/>
      <c r="BF718" s="80"/>
      <c r="BG718" s="80"/>
      <c r="BH718" s="49"/>
      <c r="BI718" s="79"/>
      <c r="BJ718" s="79"/>
      <c r="BK718" s="44"/>
      <c r="BL718" s="79"/>
      <c r="BM718" s="49"/>
      <c r="BN718" s="44"/>
      <c r="BO718" s="49"/>
      <c r="BP718" s="49"/>
      <c r="BQ718" s="44"/>
      <c r="BS718" s="49"/>
      <c r="BT718" s="49"/>
      <c r="BU718" s="49"/>
      <c r="BV718" s="49"/>
      <c r="BW718" s="18"/>
      <c r="BX718" s="19"/>
      <c r="BY718" s="49"/>
      <c r="CF718" s="49"/>
      <c r="CG718" s="49"/>
      <c r="CH718" s="49"/>
      <c r="CI718" s="49"/>
      <c r="CJ718" s="49"/>
      <c r="CK718" s="49"/>
    </row>
    <row r="719" spans="2:89" ht="12.75" customHeight="1" x14ac:dyDescent="0.2">
      <c r="B719" s="77"/>
      <c r="C719" s="79"/>
      <c r="D719" s="79"/>
      <c r="E719" s="79"/>
      <c r="F719" s="79"/>
      <c r="G719" s="79"/>
      <c r="H719" s="79"/>
      <c r="I719" s="79"/>
      <c r="J719" s="78"/>
      <c r="K719" s="79"/>
      <c r="L719" s="79"/>
      <c r="M719" s="79"/>
      <c r="N719" s="79"/>
      <c r="O719" s="79"/>
      <c r="P719" s="79"/>
      <c r="Q719" s="79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45"/>
      <c r="AK719" s="45"/>
      <c r="AL719" s="45"/>
      <c r="AM719" s="45"/>
      <c r="AN719" s="45"/>
      <c r="AO719" s="45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  <c r="AZ719" s="80"/>
      <c r="BA719" s="80"/>
      <c r="BB719" s="80"/>
      <c r="BC719" s="80"/>
      <c r="BD719" s="80"/>
      <c r="BE719" s="80"/>
      <c r="BF719" s="80"/>
      <c r="BG719" s="80"/>
      <c r="BH719" s="49"/>
      <c r="BI719" s="79"/>
      <c r="BJ719" s="79"/>
      <c r="BK719" s="44"/>
      <c r="BL719" s="79"/>
      <c r="BM719" s="49"/>
      <c r="BN719" s="44"/>
      <c r="BO719" s="49"/>
      <c r="BP719" s="49"/>
      <c r="BQ719" s="44"/>
      <c r="BS719" s="49"/>
      <c r="BT719" s="49"/>
      <c r="BU719" s="49"/>
      <c r="BV719" s="49"/>
      <c r="BW719" s="18"/>
      <c r="BX719" s="19"/>
      <c r="BY719" s="49"/>
      <c r="CF719" s="49"/>
      <c r="CG719" s="49"/>
      <c r="CH719" s="49"/>
      <c r="CI719" s="49"/>
      <c r="CJ719" s="49"/>
      <c r="CK719" s="49"/>
    </row>
    <row r="720" spans="2:89" ht="12.75" customHeight="1" x14ac:dyDescent="0.2">
      <c r="B720" s="77"/>
      <c r="C720" s="79"/>
      <c r="D720" s="79"/>
      <c r="E720" s="79"/>
      <c r="F720" s="79"/>
      <c r="G720" s="79"/>
      <c r="H720" s="79"/>
      <c r="I720" s="79"/>
      <c r="J720" s="78"/>
      <c r="K720" s="79"/>
      <c r="L720" s="79"/>
      <c r="M720" s="79"/>
      <c r="N720" s="79"/>
      <c r="O720" s="79"/>
      <c r="P720" s="79"/>
      <c r="Q720" s="79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45"/>
      <c r="AK720" s="45"/>
      <c r="AL720" s="45"/>
      <c r="AM720" s="45"/>
      <c r="AN720" s="45"/>
      <c r="AO720" s="45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  <c r="AZ720" s="80"/>
      <c r="BA720" s="80"/>
      <c r="BB720" s="80"/>
      <c r="BC720" s="80"/>
      <c r="BD720" s="80"/>
      <c r="BE720" s="80"/>
      <c r="BF720" s="80"/>
      <c r="BG720" s="80"/>
      <c r="BH720" s="49"/>
      <c r="BI720" s="79"/>
      <c r="BJ720" s="79"/>
      <c r="BK720" s="44"/>
      <c r="BL720" s="79"/>
      <c r="BM720" s="49"/>
      <c r="BN720" s="44"/>
      <c r="BO720" s="49"/>
      <c r="BP720" s="49"/>
      <c r="BQ720" s="44"/>
      <c r="BS720" s="49"/>
      <c r="BT720" s="49"/>
      <c r="BU720" s="49"/>
      <c r="BV720" s="49"/>
      <c r="BW720" s="18"/>
      <c r="BX720" s="19"/>
      <c r="BY720" s="49"/>
      <c r="CF720" s="49"/>
      <c r="CG720" s="49"/>
      <c r="CH720" s="49"/>
      <c r="CI720" s="49"/>
      <c r="CJ720" s="49"/>
      <c r="CK720" s="49"/>
    </row>
    <row r="721" spans="2:89" ht="12.75" customHeight="1" x14ac:dyDescent="0.2">
      <c r="B721" s="77"/>
      <c r="C721" s="79"/>
      <c r="D721" s="79"/>
      <c r="E721" s="79"/>
      <c r="F721" s="79"/>
      <c r="G721" s="79"/>
      <c r="H721" s="79"/>
      <c r="I721" s="79"/>
      <c r="J721" s="78"/>
      <c r="K721" s="79"/>
      <c r="L721" s="79"/>
      <c r="M721" s="79"/>
      <c r="N721" s="79"/>
      <c r="O721" s="79"/>
      <c r="P721" s="79"/>
      <c r="Q721" s="79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45"/>
      <c r="AK721" s="45"/>
      <c r="AL721" s="45"/>
      <c r="AM721" s="45"/>
      <c r="AN721" s="45"/>
      <c r="AO721" s="45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  <c r="BA721" s="80"/>
      <c r="BB721" s="80"/>
      <c r="BC721" s="80"/>
      <c r="BD721" s="80"/>
      <c r="BE721" s="80"/>
      <c r="BF721" s="80"/>
      <c r="BG721" s="80"/>
      <c r="BH721" s="49"/>
      <c r="BI721" s="79"/>
      <c r="BJ721" s="79"/>
      <c r="BK721" s="44"/>
      <c r="BL721" s="79"/>
      <c r="BM721" s="49"/>
      <c r="BN721" s="44"/>
      <c r="BO721" s="49"/>
      <c r="BP721" s="49"/>
      <c r="BQ721" s="44"/>
      <c r="BS721" s="49"/>
      <c r="BT721" s="49"/>
      <c r="BU721" s="49"/>
      <c r="BV721" s="49"/>
      <c r="BW721" s="18"/>
      <c r="BX721" s="19"/>
      <c r="BY721" s="49"/>
      <c r="CF721" s="49"/>
      <c r="CG721" s="49"/>
      <c r="CH721" s="49"/>
      <c r="CI721" s="49"/>
      <c r="CJ721" s="49"/>
      <c r="CK721" s="49"/>
    </row>
    <row r="722" spans="2:89" ht="12.75" customHeight="1" x14ac:dyDescent="0.2">
      <c r="B722" s="77"/>
      <c r="C722" s="79"/>
      <c r="D722" s="79"/>
      <c r="E722" s="79"/>
      <c r="F722" s="79"/>
      <c r="G722" s="79"/>
      <c r="H722" s="79"/>
      <c r="I722" s="79"/>
      <c r="J722" s="78"/>
      <c r="K722" s="79"/>
      <c r="L722" s="79"/>
      <c r="M722" s="79"/>
      <c r="N722" s="79"/>
      <c r="O722" s="79"/>
      <c r="P722" s="79"/>
      <c r="Q722" s="79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45"/>
      <c r="AK722" s="45"/>
      <c r="AL722" s="45"/>
      <c r="AM722" s="45"/>
      <c r="AN722" s="45"/>
      <c r="AO722" s="45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  <c r="AZ722" s="80"/>
      <c r="BA722" s="80"/>
      <c r="BB722" s="80"/>
      <c r="BC722" s="80"/>
      <c r="BD722" s="80"/>
      <c r="BE722" s="80"/>
      <c r="BF722" s="80"/>
      <c r="BG722" s="80"/>
      <c r="BH722" s="49"/>
      <c r="BI722" s="79"/>
      <c r="BJ722" s="79"/>
      <c r="BK722" s="44"/>
      <c r="BL722" s="79"/>
      <c r="BM722" s="49"/>
      <c r="BN722" s="44"/>
      <c r="BO722" s="49"/>
      <c r="BP722" s="49"/>
      <c r="BQ722" s="44"/>
      <c r="BS722" s="49"/>
      <c r="BT722" s="49"/>
      <c r="BU722" s="49"/>
      <c r="BV722" s="49"/>
      <c r="BW722" s="18"/>
      <c r="BX722" s="19"/>
      <c r="BY722" s="49"/>
      <c r="CF722" s="49"/>
      <c r="CG722" s="49"/>
      <c r="CH722" s="49"/>
      <c r="CI722" s="49"/>
      <c r="CJ722" s="49"/>
      <c r="CK722" s="49"/>
    </row>
    <row r="723" spans="2:89" ht="12.75" customHeight="1" x14ac:dyDescent="0.2">
      <c r="B723" s="77"/>
      <c r="C723" s="79"/>
      <c r="D723" s="79"/>
      <c r="E723" s="79"/>
      <c r="F723" s="79"/>
      <c r="G723" s="79"/>
      <c r="H723" s="79"/>
      <c r="I723" s="79"/>
      <c r="J723" s="78"/>
      <c r="K723" s="79"/>
      <c r="L723" s="79"/>
      <c r="M723" s="79"/>
      <c r="N723" s="79"/>
      <c r="O723" s="79"/>
      <c r="P723" s="79"/>
      <c r="Q723" s="79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45"/>
      <c r="AK723" s="45"/>
      <c r="AL723" s="45"/>
      <c r="AM723" s="45"/>
      <c r="AN723" s="45"/>
      <c r="AO723" s="45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80"/>
      <c r="BH723" s="49"/>
      <c r="BI723" s="79"/>
      <c r="BJ723" s="79"/>
      <c r="BK723" s="44"/>
      <c r="BL723" s="79"/>
      <c r="BM723" s="49"/>
      <c r="BN723" s="44"/>
      <c r="BO723" s="49"/>
      <c r="BP723" s="49"/>
      <c r="BQ723" s="44"/>
      <c r="BS723" s="49"/>
      <c r="BT723" s="49"/>
      <c r="BU723" s="49"/>
      <c r="BV723" s="49"/>
      <c r="BW723" s="18"/>
      <c r="BX723" s="19"/>
      <c r="BY723" s="49"/>
      <c r="CF723" s="49"/>
      <c r="CG723" s="49"/>
      <c r="CH723" s="49"/>
      <c r="CI723" s="49"/>
      <c r="CJ723" s="49"/>
      <c r="CK723" s="49"/>
    </row>
    <row r="724" spans="2:89" ht="12.75" customHeight="1" x14ac:dyDescent="0.2">
      <c r="B724" s="77"/>
      <c r="C724" s="79"/>
      <c r="D724" s="79"/>
      <c r="E724" s="79"/>
      <c r="F724" s="79"/>
      <c r="G724" s="79"/>
      <c r="H724" s="79"/>
      <c r="I724" s="79"/>
      <c r="J724" s="78"/>
      <c r="K724" s="79"/>
      <c r="L724" s="79"/>
      <c r="M724" s="79"/>
      <c r="N724" s="79"/>
      <c r="O724" s="79"/>
      <c r="P724" s="79"/>
      <c r="Q724" s="79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45"/>
      <c r="AK724" s="45"/>
      <c r="AL724" s="45"/>
      <c r="AM724" s="45"/>
      <c r="AN724" s="45"/>
      <c r="AO724" s="45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  <c r="AZ724" s="80"/>
      <c r="BA724" s="80"/>
      <c r="BB724" s="80"/>
      <c r="BC724" s="80"/>
      <c r="BD724" s="80"/>
      <c r="BE724" s="80"/>
      <c r="BF724" s="80"/>
      <c r="BG724" s="80"/>
      <c r="BH724" s="49"/>
      <c r="BI724" s="79"/>
      <c r="BJ724" s="79"/>
      <c r="BK724" s="44"/>
      <c r="BL724" s="79"/>
      <c r="BM724" s="49"/>
      <c r="BN724" s="44"/>
      <c r="BO724" s="49"/>
      <c r="BP724" s="49"/>
      <c r="BQ724" s="44"/>
      <c r="BS724" s="49"/>
      <c r="BT724" s="49"/>
      <c r="BU724" s="49"/>
      <c r="BV724" s="49"/>
      <c r="BW724" s="18"/>
      <c r="BX724" s="19"/>
      <c r="BY724" s="49"/>
      <c r="CF724" s="49"/>
      <c r="CG724" s="49"/>
      <c r="CH724" s="49"/>
      <c r="CI724" s="49"/>
      <c r="CJ724" s="49"/>
      <c r="CK724" s="49"/>
    </row>
    <row r="725" spans="2:89" ht="12.75" customHeight="1" x14ac:dyDescent="0.2">
      <c r="B725" s="77"/>
      <c r="C725" s="79"/>
      <c r="D725" s="79"/>
      <c r="E725" s="79"/>
      <c r="F725" s="79"/>
      <c r="G725" s="79"/>
      <c r="H725" s="79"/>
      <c r="I725" s="79"/>
      <c r="J725" s="78"/>
      <c r="K725" s="79"/>
      <c r="L725" s="79"/>
      <c r="M725" s="79"/>
      <c r="N725" s="79"/>
      <c r="O725" s="79"/>
      <c r="P725" s="79"/>
      <c r="Q725" s="79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45"/>
      <c r="AK725" s="45"/>
      <c r="AL725" s="45"/>
      <c r="AM725" s="45"/>
      <c r="AN725" s="45"/>
      <c r="AO725" s="45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  <c r="BA725" s="80"/>
      <c r="BB725" s="80"/>
      <c r="BC725" s="80"/>
      <c r="BD725" s="80"/>
      <c r="BE725" s="80"/>
      <c r="BF725" s="80"/>
      <c r="BG725" s="80"/>
      <c r="BH725" s="49"/>
      <c r="BI725" s="79"/>
      <c r="BJ725" s="79"/>
      <c r="BK725" s="44"/>
      <c r="BL725" s="79"/>
      <c r="BM725" s="49"/>
      <c r="BN725" s="44"/>
      <c r="BO725" s="49"/>
      <c r="BP725" s="49"/>
      <c r="BQ725" s="44"/>
      <c r="BS725" s="49"/>
      <c r="BT725" s="49"/>
      <c r="BU725" s="49"/>
      <c r="BV725" s="49"/>
      <c r="BW725" s="18"/>
      <c r="BX725" s="19"/>
      <c r="BY725" s="49"/>
      <c r="CF725" s="49"/>
      <c r="CG725" s="49"/>
      <c r="CH725" s="49"/>
      <c r="CI725" s="49"/>
      <c r="CJ725" s="49"/>
      <c r="CK725" s="49"/>
    </row>
    <row r="726" spans="2:89" ht="12.75" customHeight="1" x14ac:dyDescent="0.2">
      <c r="B726" s="77"/>
      <c r="C726" s="79"/>
      <c r="D726" s="79"/>
      <c r="E726" s="79"/>
      <c r="F726" s="79"/>
      <c r="G726" s="79"/>
      <c r="H726" s="79"/>
      <c r="I726" s="79"/>
      <c r="J726" s="78"/>
      <c r="K726" s="79"/>
      <c r="L726" s="79"/>
      <c r="M726" s="79"/>
      <c r="N726" s="79"/>
      <c r="O726" s="79"/>
      <c r="P726" s="79"/>
      <c r="Q726" s="79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45"/>
      <c r="AK726" s="45"/>
      <c r="AL726" s="45"/>
      <c r="AM726" s="45"/>
      <c r="AN726" s="45"/>
      <c r="AO726" s="45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  <c r="AZ726" s="80"/>
      <c r="BA726" s="80"/>
      <c r="BB726" s="80"/>
      <c r="BC726" s="80"/>
      <c r="BD726" s="80"/>
      <c r="BE726" s="80"/>
      <c r="BF726" s="80"/>
      <c r="BG726" s="80"/>
      <c r="BH726" s="49"/>
      <c r="BI726" s="79"/>
      <c r="BJ726" s="79"/>
      <c r="BK726" s="44"/>
      <c r="BL726" s="79"/>
      <c r="BM726" s="49"/>
      <c r="BN726" s="44"/>
      <c r="BO726" s="49"/>
      <c r="BP726" s="49"/>
      <c r="BQ726" s="44"/>
      <c r="BS726" s="49"/>
      <c r="BT726" s="49"/>
      <c r="BU726" s="49"/>
      <c r="BV726" s="49"/>
      <c r="BW726" s="18"/>
      <c r="BX726" s="19"/>
      <c r="BY726" s="49"/>
      <c r="CF726" s="49"/>
      <c r="CG726" s="49"/>
      <c r="CH726" s="49"/>
      <c r="CI726" s="49"/>
      <c r="CJ726" s="49"/>
      <c r="CK726" s="49"/>
    </row>
    <row r="727" spans="2:89" ht="12.75" customHeight="1" x14ac:dyDescent="0.2">
      <c r="B727" s="77"/>
      <c r="C727" s="79"/>
      <c r="D727" s="79"/>
      <c r="E727" s="79"/>
      <c r="F727" s="79"/>
      <c r="G727" s="79"/>
      <c r="H727" s="79"/>
      <c r="I727" s="79"/>
      <c r="J727" s="78"/>
      <c r="K727" s="79"/>
      <c r="L727" s="79"/>
      <c r="M727" s="79"/>
      <c r="N727" s="79"/>
      <c r="O727" s="79"/>
      <c r="P727" s="79"/>
      <c r="Q727" s="79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45"/>
      <c r="AK727" s="45"/>
      <c r="AL727" s="45"/>
      <c r="AM727" s="45"/>
      <c r="AN727" s="45"/>
      <c r="AO727" s="45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  <c r="AZ727" s="80"/>
      <c r="BA727" s="80"/>
      <c r="BB727" s="80"/>
      <c r="BC727" s="80"/>
      <c r="BD727" s="80"/>
      <c r="BE727" s="80"/>
      <c r="BF727" s="80"/>
      <c r="BG727" s="80"/>
      <c r="BH727" s="49"/>
      <c r="BI727" s="79"/>
      <c r="BJ727" s="79"/>
      <c r="BK727" s="44"/>
      <c r="BL727" s="79"/>
      <c r="BM727" s="49"/>
      <c r="BN727" s="44"/>
      <c r="BO727" s="49"/>
      <c r="BP727" s="49"/>
      <c r="BQ727" s="44"/>
      <c r="BS727" s="49"/>
      <c r="BT727" s="49"/>
      <c r="BU727" s="49"/>
      <c r="BV727" s="49"/>
      <c r="BW727" s="18"/>
      <c r="BX727" s="19"/>
      <c r="BY727" s="49"/>
      <c r="CF727" s="49"/>
      <c r="CG727" s="49"/>
      <c r="CH727" s="49"/>
      <c r="CI727" s="49"/>
      <c r="CJ727" s="49"/>
      <c r="CK727" s="49"/>
    </row>
    <row r="728" spans="2:89" ht="12.75" customHeight="1" x14ac:dyDescent="0.2">
      <c r="B728" s="77"/>
      <c r="C728" s="79"/>
      <c r="D728" s="79"/>
      <c r="E728" s="79"/>
      <c r="F728" s="79"/>
      <c r="G728" s="79"/>
      <c r="H728" s="79"/>
      <c r="I728" s="79"/>
      <c r="J728" s="78"/>
      <c r="K728" s="79"/>
      <c r="L728" s="79"/>
      <c r="M728" s="79"/>
      <c r="N728" s="79"/>
      <c r="O728" s="79"/>
      <c r="P728" s="79"/>
      <c r="Q728" s="79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45"/>
      <c r="AK728" s="45"/>
      <c r="AL728" s="45"/>
      <c r="AM728" s="45"/>
      <c r="AN728" s="45"/>
      <c r="AO728" s="45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  <c r="AZ728" s="80"/>
      <c r="BA728" s="80"/>
      <c r="BB728" s="80"/>
      <c r="BC728" s="80"/>
      <c r="BD728" s="80"/>
      <c r="BE728" s="80"/>
      <c r="BF728" s="80"/>
      <c r="BG728" s="80"/>
      <c r="BH728" s="49"/>
      <c r="BI728" s="79"/>
      <c r="BJ728" s="79"/>
      <c r="BK728" s="44"/>
      <c r="BL728" s="79"/>
      <c r="BM728" s="49"/>
      <c r="BN728" s="44"/>
      <c r="BO728" s="49"/>
      <c r="BP728" s="49"/>
      <c r="BQ728" s="44"/>
      <c r="BS728" s="49"/>
      <c r="BT728" s="49"/>
      <c r="BU728" s="49"/>
      <c r="BV728" s="49"/>
      <c r="BW728" s="18"/>
      <c r="BX728" s="19"/>
      <c r="BY728" s="49"/>
      <c r="CF728" s="49"/>
      <c r="CG728" s="49"/>
      <c r="CH728" s="49"/>
      <c r="CI728" s="49"/>
      <c r="CJ728" s="49"/>
      <c r="CK728" s="49"/>
    </row>
    <row r="729" spans="2:89" ht="12.75" customHeight="1" x14ac:dyDescent="0.2">
      <c r="B729" s="77"/>
      <c r="C729" s="79"/>
      <c r="D729" s="79"/>
      <c r="E729" s="79"/>
      <c r="F729" s="79"/>
      <c r="G729" s="79"/>
      <c r="H729" s="79"/>
      <c r="I729" s="79"/>
      <c r="J729" s="78"/>
      <c r="K729" s="79"/>
      <c r="L729" s="79"/>
      <c r="M729" s="79"/>
      <c r="N729" s="79"/>
      <c r="O729" s="79"/>
      <c r="P729" s="79"/>
      <c r="Q729" s="79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45"/>
      <c r="AK729" s="45"/>
      <c r="AL729" s="45"/>
      <c r="AM729" s="45"/>
      <c r="AN729" s="45"/>
      <c r="AO729" s="45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  <c r="AZ729" s="80"/>
      <c r="BA729" s="80"/>
      <c r="BB729" s="80"/>
      <c r="BC729" s="80"/>
      <c r="BD729" s="80"/>
      <c r="BE729" s="80"/>
      <c r="BF729" s="80"/>
      <c r="BG729" s="80"/>
      <c r="BH729" s="49"/>
      <c r="BI729" s="79"/>
      <c r="BJ729" s="79"/>
      <c r="BK729" s="44"/>
      <c r="BL729" s="79"/>
      <c r="BM729" s="49"/>
      <c r="BN729" s="44"/>
      <c r="BO729" s="49"/>
      <c r="BP729" s="49"/>
      <c r="BQ729" s="44"/>
      <c r="BS729" s="49"/>
      <c r="BT729" s="49"/>
      <c r="BU729" s="49"/>
      <c r="BV729" s="49"/>
      <c r="BW729" s="18"/>
      <c r="BX729" s="19"/>
      <c r="BY729" s="49"/>
      <c r="CF729" s="49"/>
      <c r="CG729" s="49"/>
      <c r="CH729" s="49"/>
      <c r="CI729" s="49"/>
      <c r="CJ729" s="49"/>
      <c r="CK729" s="49"/>
    </row>
    <row r="730" spans="2:89" ht="12.75" customHeight="1" x14ac:dyDescent="0.2">
      <c r="B730" s="77"/>
      <c r="C730" s="79"/>
      <c r="D730" s="79"/>
      <c r="E730" s="79"/>
      <c r="F730" s="79"/>
      <c r="G730" s="79"/>
      <c r="H730" s="79"/>
      <c r="I730" s="79"/>
      <c r="J730" s="78"/>
      <c r="K730" s="79"/>
      <c r="L730" s="79"/>
      <c r="M730" s="79"/>
      <c r="N730" s="79"/>
      <c r="O730" s="79"/>
      <c r="P730" s="79"/>
      <c r="Q730" s="79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45"/>
      <c r="AK730" s="45"/>
      <c r="AL730" s="45"/>
      <c r="AM730" s="45"/>
      <c r="AN730" s="45"/>
      <c r="AO730" s="45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  <c r="AZ730" s="80"/>
      <c r="BA730" s="80"/>
      <c r="BB730" s="80"/>
      <c r="BC730" s="80"/>
      <c r="BD730" s="80"/>
      <c r="BE730" s="80"/>
      <c r="BF730" s="80"/>
      <c r="BG730" s="80"/>
      <c r="BH730" s="49"/>
      <c r="BI730" s="79"/>
      <c r="BJ730" s="79"/>
      <c r="BK730" s="44"/>
      <c r="BL730" s="79"/>
      <c r="BM730" s="49"/>
      <c r="BN730" s="44"/>
      <c r="BO730" s="49"/>
      <c r="BP730" s="49"/>
      <c r="BQ730" s="44"/>
      <c r="BS730" s="49"/>
      <c r="BT730" s="49"/>
      <c r="BU730" s="49"/>
      <c r="BV730" s="49"/>
      <c r="BW730" s="18"/>
      <c r="BX730" s="19"/>
      <c r="BY730" s="49"/>
      <c r="CF730" s="49"/>
      <c r="CG730" s="49"/>
      <c r="CH730" s="49"/>
      <c r="CI730" s="49"/>
      <c r="CJ730" s="49"/>
      <c r="CK730" s="49"/>
    </row>
    <row r="731" spans="2:89" ht="12.75" customHeight="1" x14ac:dyDescent="0.2">
      <c r="B731" s="77"/>
      <c r="C731" s="79"/>
      <c r="D731" s="79"/>
      <c r="E731" s="79"/>
      <c r="F731" s="79"/>
      <c r="G731" s="79"/>
      <c r="H731" s="79"/>
      <c r="I731" s="79"/>
      <c r="J731" s="78"/>
      <c r="K731" s="79"/>
      <c r="L731" s="79"/>
      <c r="M731" s="79"/>
      <c r="N731" s="79"/>
      <c r="O731" s="79"/>
      <c r="P731" s="79"/>
      <c r="Q731" s="79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45"/>
      <c r="AK731" s="45"/>
      <c r="AL731" s="45"/>
      <c r="AM731" s="45"/>
      <c r="AN731" s="45"/>
      <c r="AO731" s="45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  <c r="AZ731" s="80"/>
      <c r="BA731" s="80"/>
      <c r="BB731" s="80"/>
      <c r="BC731" s="80"/>
      <c r="BD731" s="80"/>
      <c r="BE731" s="80"/>
      <c r="BF731" s="80"/>
      <c r="BG731" s="80"/>
      <c r="BH731" s="49"/>
      <c r="BI731" s="79"/>
      <c r="BJ731" s="79"/>
      <c r="BK731" s="44"/>
      <c r="BL731" s="79"/>
      <c r="BM731" s="49"/>
      <c r="BN731" s="44"/>
      <c r="BO731" s="49"/>
      <c r="BP731" s="49"/>
      <c r="BQ731" s="44"/>
      <c r="BS731" s="49"/>
      <c r="BT731" s="49"/>
      <c r="BU731" s="49"/>
      <c r="BV731" s="49"/>
      <c r="BW731" s="18"/>
      <c r="BX731" s="19"/>
      <c r="BY731" s="49"/>
      <c r="CF731" s="49"/>
      <c r="CG731" s="49"/>
      <c r="CH731" s="49"/>
      <c r="CI731" s="49"/>
      <c r="CJ731" s="49"/>
      <c r="CK731" s="49"/>
    </row>
    <row r="732" spans="2:89" ht="12.75" customHeight="1" x14ac:dyDescent="0.2">
      <c r="B732" s="77"/>
      <c r="C732" s="79"/>
      <c r="D732" s="79"/>
      <c r="E732" s="79"/>
      <c r="F732" s="79"/>
      <c r="G732" s="79"/>
      <c r="H732" s="79"/>
      <c r="I732" s="79"/>
      <c r="J732" s="78"/>
      <c r="K732" s="79"/>
      <c r="L732" s="79"/>
      <c r="M732" s="79"/>
      <c r="N732" s="79"/>
      <c r="O732" s="79"/>
      <c r="P732" s="79"/>
      <c r="Q732" s="79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45"/>
      <c r="AK732" s="45"/>
      <c r="AL732" s="45"/>
      <c r="AM732" s="45"/>
      <c r="AN732" s="45"/>
      <c r="AO732" s="45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  <c r="AZ732" s="80"/>
      <c r="BA732" s="80"/>
      <c r="BB732" s="80"/>
      <c r="BC732" s="80"/>
      <c r="BD732" s="80"/>
      <c r="BE732" s="80"/>
      <c r="BF732" s="80"/>
      <c r="BG732" s="80"/>
      <c r="BH732" s="49"/>
      <c r="BI732" s="79"/>
      <c r="BJ732" s="79"/>
      <c r="BK732" s="44"/>
      <c r="BL732" s="79"/>
      <c r="BM732" s="49"/>
      <c r="BN732" s="44"/>
      <c r="BO732" s="49"/>
      <c r="BP732" s="49"/>
      <c r="BQ732" s="44"/>
      <c r="BS732" s="49"/>
      <c r="BT732" s="49"/>
      <c r="BU732" s="49"/>
      <c r="BV732" s="49"/>
      <c r="BW732" s="18"/>
      <c r="BX732" s="19"/>
      <c r="BY732" s="49"/>
      <c r="CF732" s="49"/>
      <c r="CG732" s="49"/>
      <c r="CH732" s="49"/>
      <c r="CI732" s="49"/>
      <c r="CJ732" s="49"/>
      <c r="CK732" s="49"/>
    </row>
    <row r="733" spans="2:89" ht="12.75" customHeight="1" x14ac:dyDescent="0.2">
      <c r="B733" s="77"/>
      <c r="C733" s="79"/>
      <c r="D733" s="79"/>
      <c r="E733" s="79"/>
      <c r="F733" s="79"/>
      <c r="G733" s="79"/>
      <c r="H733" s="79"/>
      <c r="I733" s="79"/>
      <c r="J733" s="78"/>
      <c r="K733" s="79"/>
      <c r="L733" s="79"/>
      <c r="M733" s="79"/>
      <c r="N733" s="79"/>
      <c r="O733" s="79"/>
      <c r="P733" s="79"/>
      <c r="Q733" s="79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45"/>
      <c r="AK733" s="45"/>
      <c r="AL733" s="45"/>
      <c r="AM733" s="45"/>
      <c r="AN733" s="45"/>
      <c r="AO733" s="45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  <c r="BA733" s="80"/>
      <c r="BB733" s="80"/>
      <c r="BC733" s="80"/>
      <c r="BD733" s="80"/>
      <c r="BE733" s="80"/>
      <c r="BF733" s="80"/>
      <c r="BG733" s="80"/>
      <c r="BH733" s="49"/>
      <c r="BI733" s="79"/>
      <c r="BJ733" s="79"/>
      <c r="BK733" s="44"/>
      <c r="BL733" s="79"/>
      <c r="BM733" s="49"/>
      <c r="BN733" s="44"/>
      <c r="BO733" s="49"/>
      <c r="BP733" s="49"/>
      <c r="BQ733" s="44"/>
      <c r="BS733" s="49"/>
      <c r="BT733" s="49"/>
      <c r="BU733" s="49"/>
      <c r="BV733" s="49"/>
      <c r="BW733" s="18"/>
      <c r="BX733" s="19"/>
      <c r="BY733" s="49"/>
      <c r="CF733" s="49"/>
      <c r="CG733" s="49"/>
      <c r="CH733" s="49"/>
      <c r="CI733" s="49"/>
      <c r="CJ733" s="49"/>
      <c r="CK733" s="49"/>
    </row>
    <row r="734" spans="2:89" ht="12.75" customHeight="1" x14ac:dyDescent="0.2">
      <c r="B734" s="77"/>
      <c r="C734" s="79"/>
      <c r="D734" s="79"/>
      <c r="E734" s="79"/>
      <c r="F734" s="79"/>
      <c r="G734" s="79"/>
      <c r="H734" s="79"/>
      <c r="I734" s="79"/>
      <c r="J734" s="78"/>
      <c r="K734" s="79"/>
      <c r="L734" s="79"/>
      <c r="M734" s="79"/>
      <c r="N734" s="79"/>
      <c r="O734" s="79"/>
      <c r="P734" s="79"/>
      <c r="Q734" s="79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45"/>
      <c r="AK734" s="45"/>
      <c r="AL734" s="45"/>
      <c r="AM734" s="45"/>
      <c r="AN734" s="45"/>
      <c r="AO734" s="45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  <c r="AZ734" s="80"/>
      <c r="BA734" s="80"/>
      <c r="BB734" s="80"/>
      <c r="BC734" s="80"/>
      <c r="BD734" s="80"/>
      <c r="BE734" s="80"/>
      <c r="BF734" s="80"/>
      <c r="BG734" s="80"/>
      <c r="BH734" s="49"/>
      <c r="BI734" s="79"/>
      <c r="BJ734" s="79"/>
      <c r="BK734" s="44"/>
      <c r="BL734" s="79"/>
      <c r="BM734" s="49"/>
      <c r="BN734" s="44"/>
      <c r="BO734" s="49"/>
      <c r="BP734" s="49"/>
      <c r="BQ734" s="44"/>
      <c r="BS734" s="49"/>
      <c r="BT734" s="49"/>
      <c r="BU734" s="49"/>
      <c r="BV734" s="49"/>
      <c r="BW734" s="18"/>
      <c r="BX734" s="19"/>
      <c r="BY734" s="49"/>
      <c r="CF734" s="49"/>
      <c r="CG734" s="49"/>
      <c r="CH734" s="49"/>
      <c r="CI734" s="49"/>
      <c r="CJ734" s="49"/>
      <c r="CK734" s="49"/>
    </row>
    <row r="735" spans="2:89" ht="12.75" customHeight="1" x14ac:dyDescent="0.2">
      <c r="B735" s="77"/>
      <c r="C735" s="79"/>
      <c r="D735" s="79"/>
      <c r="E735" s="79"/>
      <c r="F735" s="79"/>
      <c r="G735" s="79"/>
      <c r="H735" s="79"/>
      <c r="I735" s="79"/>
      <c r="J735" s="78"/>
      <c r="K735" s="79"/>
      <c r="L735" s="79"/>
      <c r="M735" s="79"/>
      <c r="N735" s="79"/>
      <c r="O735" s="79"/>
      <c r="P735" s="79"/>
      <c r="Q735" s="79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45"/>
      <c r="AK735" s="45"/>
      <c r="AL735" s="45"/>
      <c r="AM735" s="45"/>
      <c r="AN735" s="45"/>
      <c r="AO735" s="45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  <c r="AZ735" s="80"/>
      <c r="BA735" s="80"/>
      <c r="BB735" s="80"/>
      <c r="BC735" s="80"/>
      <c r="BD735" s="80"/>
      <c r="BE735" s="80"/>
      <c r="BF735" s="80"/>
      <c r="BG735" s="80"/>
      <c r="BH735" s="49"/>
      <c r="BI735" s="79"/>
      <c r="BJ735" s="79"/>
      <c r="BK735" s="44"/>
      <c r="BL735" s="79"/>
      <c r="BM735" s="49"/>
      <c r="BN735" s="44"/>
      <c r="BO735" s="49"/>
      <c r="BP735" s="49"/>
      <c r="BQ735" s="44"/>
      <c r="BS735" s="49"/>
      <c r="BT735" s="49"/>
      <c r="BU735" s="49"/>
      <c r="BV735" s="49"/>
      <c r="BW735" s="18"/>
      <c r="BX735" s="19"/>
      <c r="BY735" s="49"/>
      <c r="CF735" s="49"/>
      <c r="CG735" s="49"/>
      <c r="CH735" s="49"/>
      <c r="CI735" s="49"/>
      <c r="CJ735" s="49"/>
      <c r="CK735" s="49"/>
    </row>
    <row r="736" spans="2:89" ht="12.75" customHeight="1" x14ac:dyDescent="0.2">
      <c r="B736" s="77"/>
      <c r="C736" s="79"/>
      <c r="D736" s="79"/>
      <c r="E736" s="79"/>
      <c r="F736" s="79"/>
      <c r="G736" s="79"/>
      <c r="H736" s="79"/>
      <c r="I736" s="79"/>
      <c r="J736" s="78"/>
      <c r="K736" s="79"/>
      <c r="L736" s="79"/>
      <c r="M736" s="79"/>
      <c r="N736" s="79"/>
      <c r="O736" s="79"/>
      <c r="P736" s="79"/>
      <c r="Q736" s="79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45"/>
      <c r="AK736" s="45"/>
      <c r="AL736" s="45"/>
      <c r="AM736" s="45"/>
      <c r="AN736" s="45"/>
      <c r="AO736" s="45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  <c r="AZ736" s="80"/>
      <c r="BA736" s="80"/>
      <c r="BB736" s="80"/>
      <c r="BC736" s="80"/>
      <c r="BD736" s="80"/>
      <c r="BE736" s="80"/>
      <c r="BF736" s="80"/>
      <c r="BG736" s="80"/>
      <c r="BH736" s="49"/>
      <c r="BI736" s="79"/>
      <c r="BJ736" s="79"/>
      <c r="BK736" s="44"/>
      <c r="BL736" s="79"/>
      <c r="BM736" s="49"/>
      <c r="BN736" s="44"/>
      <c r="BO736" s="49"/>
      <c r="BP736" s="49"/>
      <c r="BQ736" s="44"/>
      <c r="BS736" s="49"/>
      <c r="BT736" s="49"/>
      <c r="BU736" s="49"/>
      <c r="BV736" s="49"/>
      <c r="BW736" s="18"/>
      <c r="BX736" s="19"/>
      <c r="BY736" s="49"/>
      <c r="CF736" s="49"/>
      <c r="CG736" s="49"/>
      <c r="CH736" s="49"/>
      <c r="CI736" s="49"/>
      <c r="CJ736" s="49"/>
      <c r="CK736" s="49"/>
    </row>
    <row r="737" spans="2:89" ht="12.75" customHeight="1" x14ac:dyDescent="0.2">
      <c r="B737" s="77"/>
      <c r="C737" s="79"/>
      <c r="D737" s="79"/>
      <c r="E737" s="79"/>
      <c r="F737" s="79"/>
      <c r="G737" s="79"/>
      <c r="H737" s="79"/>
      <c r="I737" s="79"/>
      <c r="J737" s="78"/>
      <c r="K737" s="79"/>
      <c r="L737" s="79"/>
      <c r="M737" s="79"/>
      <c r="N737" s="79"/>
      <c r="O737" s="79"/>
      <c r="P737" s="79"/>
      <c r="Q737" s="79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45"/>
      <c r="AK737" s="45"/>
      <c r="AL737" s="45"/>
      <c r="AM737" s="45"/>
      <c r="AN737" s="45"/>
      <c r="AO737" s="45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  <c r="BA737" s="80"/>
      <c r="BB737" s="80"/>
      <c r="BC737" s="80"/>
      <c r="BD737" s="80"/>
      <c r="BE737" s="80"/>
      <c r="BF737" s="80"/>
      <c r="BG737" s="80"/>
      <c r="BH737" s="49"/>
      <c r="BI737" s="79"/>
      <c r="BJ737" s="79"/>
      <c r="BK737" s="44"/>
      <c r="BL737" s="79"/>
      <c r="BM737" s="49"/>
      <c r="BN737" s="44"/>
      <c r="BO737" s="49"/>
      <c r="BP737" s="49"/>
      <c r="BQ737" s="44"/>
      <c r="BS737" s="49"/>
      <c r="BT737" s="49"/>
      <c r="BU737" s="49"/>
      <c r="BV737" s="49"/>
      <c r="BW737" s="18"/>
      <c r="BX737" s="19"/>
      <c r="BY737" s="49"/>
      <c r="CF737" s="49"/>
      <c r="CG737" s="49"/>
      <c r="CH737" s="49"/>
      <c r="CI737" s="49"/>
      <c r="CJ737" s="49"/>
      <c r="CK737" s="49"/>
    </row>
    <row r="738" spans="2:89" ht="12.75" customHeight="1" x14ac:dyDescent="0.2">
      <c r="B738" s="77"/>
      <c r="C738" s="79"/>
      <c r="D738" s="79"/>
      <c r="E738" s="79"/>
      <c r="F738" s="79"/>
      <c r="G738" s="79"/>
      <c r="H738" s="79"/>
      <c r="I738" s="79"/>
      <c r="J738" s="78"/>
      <c r="K738" s="79"/>
      <c r="L738" s="79"/>
      <c r="M738" s="79"/>
      <c r="N738" s="79"/>
      <c r="O738" s="79"/>
      <c r="P738" s="79"/>
      <c r="Q738" s="79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45"/>
      <c r="AK738" s="45"/>
      <c r="AL738" s="45"/>
      <c r="AM738" s="45"/>
      <c r="AN738" s="45"/>
      <c r="AO738" s="45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  <c r="AZ738" s="80"/>
      <c r="BA738" s="80"/>
      <c r="BB738" s="80"/>
      <c r="BC738" s="80"/>
      <c r="BD738" s="80"/>
      <c r="BE738" s="80"/>
      <c r="BF738" s="80"/>
      <c r="BG738" s="80"/>
      <c r="BH738" s="49"/>
      <c r="BI738" s="79"/>
      <c r="BJ738" s="79"/>
      <c r="BK738" s="44"/>
      <c r="BL738" s="79"/>
      <c r="BM738" s="49"/>
      <c r="BN738" s="44"/>
      <c r="BO738" s="49"/>
      <c r="BP738" s="49"/>
      <c r="BQ738" s="44"/>
      <c r="BS738" s="49"/>
      <c r="BT738" s="49"/>
      <c r="BU738" s="49"/>
      <c r="BV738" s="49"/>
      <c r="BW738" s="18"/>
      <c r="BX738" s="19"/>
      <c r="BY738" s="49"/>
      <c r="CF738" s="49"/>
      <c r="CG738" s="49"/>
      <c r="CH738" s="49"/>
      <c r="CI738" s="49"/>
      <c r="CJ738" s="49"/>
      <c r="CK738" s="49"/>
    </row>
    <row r="739" spans="2:89" ht="12.75" customHeight="1" x14ac:dyDescent="0.2">
      <c r="B739" s="77"/>
      <c r="C739" s="79"/>
      <c r="D739" s="79"/>
      <c r="E739" s="79"/>
      <c r="F739" s="79"/>
      <c r="G739" s="79"/>
      <c r="H739" s="79"/>
      <c r="I739" s="79"/>
      <c r="J739" s="78"/>
      <c r="K739" s="79"/>
      <c r="L739" s="79"/>
      <c r="M739" s="79"/>
      <c r="N739" s="79"/>
      <c r="O739" s="79"/>
      <c r="P739" s="79"/>
      <c r="Q739" s="79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45"/>
      <c r="AK739" s="45"/>
      <c r="AL739" s="45"/>
      <c r="AM739" s="45"/>
      <c r="AN739" s="45"/>
      <c r="AO739" s="45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  <c r="AZ739" s="80"/>
      <c r="BA739" s="80"/>
      <c r="BB739" s="80"/>
      <c r="BC739" s="80"/>
      <c r="BD739" s="80"/>
      <c r="BE739" s="80"/>
      <c r="BF739" s="80"/>
      <c r="BG739" s="80"/>
      <c r="BH739" s="49"/>
      <c r="BI739" s="79"/>
      <c r="BJ739" s="79"/>
      <c r="BK739" s="44"/>
      <c r="BL739" s="79"/>
      <c r="BM739" s="49"/>
      <c r="BN739" s="44"/>
      <c r="BO739" s="49"/>
      <c r="BP739" s="49"/>
      <c r="BQ739" s="44"/>
      <c r="BS739" s="49"/>
      <c r="BT739" s="49"/>
      <c r="BU739" s="49"/>
      <c r="BV739" s="49"/>
      <c r="BW739" s="18"/>
      <c r="BX739" s="19"/>
      <c r="BY739" s="49"/>
      <c r="CF739" s="49"/>
      <c r="CG739" s="49"/>
      <c r="CH739" s="49"/>
      <c r="CI739" s="49"/>
      <c r="CJ739" s="49"/>
      <c r="CK739" s="49"/>
    </row>
    <row r="740" spans="2:89" ht="12.75" customHeight="1" x14ac:dyDescent="0.2">
      <c r="B740" s="77"/>
      <c r="C740" s="79"/>
      <c r="D740" s="79"/>
      <c r="E740" s="79"/>
      <c r="F740" s="79"/>
      <c r="G740" s="79"/>
      <c r="H740" s="79"/>
      <c r="I740" s="79"/>
      <c r="J740" s="78"/>
      <c r="K740" s="79"/>
      <c r="L740" s="79"/>
      <c r="M740" s="79"/>
      <c r="N740" s="79"/>
      <c r="O740" s="79"/>
      <c r="P740" s="79"/>
      <c r="Q740" s="79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45"/>
      <c r="AK740" s="45"/>
      <c r="AL740" s="45"/>
      <c r="AM740" s="45"/>
      <c r="AN740" s="45"/>
      <c r="AO740" s="45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  <c r="BA740" s="80"/>
      <c r="BB740" s="80"/>
      <c r="BC740" s="80"/>
      <c r="BD740" s="80"/>
      <c r="BE740" s="80"/>
      <c r="BF740" s="80"/>
      <c r="BG740" s="80"/>
      <c r="BH740" s="49"/>
      <c r="BI740" s="79"/>
      <c r="BJ740" s="79"/>
      <c r="BK740" s="44"/>
      <c r="BL740" s="79"/>
      <c r="BM740" s="49"/>
      <c r="BN740" s="44"/>
      <c r="BO740" s="49"/>
      <c r="BP740" s="49"/>
      <c r="BQ740" s="44"/>
      <c r="BS740" s="49"/>
      <c r="BT740" s="49"/>
      <c r="BU740" s="49"/>
      <c r="BV740" s="49"/>
      <c r="BW740" s="18"/>
      <c r="BX740" s="19"/>
      <c r="BY740" s="49"/>
      <c r="CF740" s="49"/>
      <c r="CG740" s="49"/>
      <c r="CH740" s="49"/>
      <c r="CI740" s="49"/>
      <c r="CJ740" s="49"/>
      <c r="CK740" s="49"/>
    </row>
    <row r="741" spans="2:89" ht="12.75" customHeight="1" x14ac:dyDescent="0.2">
      <c r="B741" s="77"/>
      <c r="C741" s="79"/>
      <c r="D741" s="79"/>
      <c r="E741" s="79"/>
      <c r="F741" s="79"/>
      <c r="G741" s="79"/>
      <c r="H741" s="79"/>
      <c r="I741" s="79"/>
      <c r="J741" s="78"/>
      <c r="K741" s="79"/>
      <c r="L741" s="79"/>
      <c r="M741" s="79"/>
      <c r="N741" s="79"/>
      <c r="O741" s="79"/>
      <c r="P741" s="79"/>
      <c r="Q741" s="79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45"/>
      <c r="AK741" s="45"/>
      <c r="AL741" s="45"/>
      <c r="AM741" s="45"/>
      <c r="AN741" s="45"/>
      <c r="AO741" s="45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  <c r="AZ741" s="80"/>
      <c r="BA741" s="80"/>
      <c r="BB741" s="80"/>
      <c r="BC741" s="80"/>
      <c r="BD741" s="80"/>
      <c r="BE741" s="80"/>
      <c r="BF741" s="80"/>
      <c r="BG741" s="80"/>
      <c r="BH741" s="49"/>
      <c r="BI741" s="79"/>
      <c r="BJ741" s="79"/>
      <c r="BK741" s="44"/>
      <c r="BL741" s="79"/>
      <c r="BM741" s="49"/>
      <c r="BN741" s="44"/>
      <c r="BO741" s="49"/>
      <c r="BP741" s="49"/>
      <c r="BQ741" s="44"/>
      <c r="BS741" s="49"/>
      <c r="BT741" s="49"/>
      <c r="BU741" s="49"/>
      <c r="BV741" s="49"/>
      <c r="BW741" s="18"/>
      <c r="BX741" s="19"/>
      <c r="BY741" s="49"/>
      <c r="CF741" s="49"/>
      <c r="CG741" s="49"/>
      <c r="CH741" s="49"/>
      <c r="CI741" s="49"/>
      <c r="CJ741" s="49"/>
      <c r="CK741" s="49"/>
    </row>
    <row r="742" spans="2:89" ht="12.75" customHeight="1" x14ac:dyDescent="0.2">
      <c r="B742" s="77"/>
      <c r="C742" s="79"/>
      <c r="D742" s="79"/>
      <c r="E742" s="79"/>
      <c r="F742" s="79"/>
      <c r="G742" s="79"/>
      <c r="H742" s="79"/>
      <c r="I742" s="79"/>
      <c r="J742" s="78"/>
      <c r="K742" s="79"/>
      <c r="L742" s="79"/>
      <c r="M742" s="79"/>
      <c r="N742" s="79"/>
      <c r="O742" s="79"/>
      <c r="P742" s="79"/>
      <c r="Q742" s="79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45"/>
      <c r="AK742" s="45"/>
      <c r="AL742" s="45"/>
      <c r="AM742" s="45"/>
      <c r="AN742" s="45"/>
      <c r="AO742" s="45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  <c r="AZ742" s="80"/>
      <c r="BA742" s="80"/>
      <c r="BB742" s="80"/>
      <c r="BC742" s="80"/>
      <c r="BD742" s="80"/>
      <c r="BE742" s="80"/>
      <c r="BF742" s="80"/>
      <c r="BG742" s="80"/>
      <c r="BH742" s="49"/>
      <c r="BI742" s="79"/>
      <c r="BJ742" s="79"/>
      <c r="BK742" s="44"/>
      <c r="BL742" s="79"/>
      <c r="BM742" s="49"/>
      <c r="BN742" s="44"/>
      <c r="BO742" s="49"/>
      <c r="BP742" s="49"/>
      <c r="BQ742" s="44"/>
      <c r="BS742" s="49"/>
      <c r="BT742" s="49"/>
      <c r="BU742" s="49"/>
      <c r="BV742" s="49"/>
      <c r="BW742" s="18"/>
      <c r="BX742" s="19"/>
      <c r="BY742" s="49"/>
      <c r="CF742" s="49"/>
      <c r="CG742" s="49"/>
      <c r="CH742" s="49"/>
      <c r="CI742" s="49"/>
      <c r="CJ742" s="49"/>
      <c r="CK742" s="49"/>
    </row>
    <row r="743" spans="2:89" ht="12.75" customHeight="1" x14ac:dyDescent="0.2">
      <c r="B743" s="77"/>
      <c r="C743" s="79"/>
      <c r="D743" s="79"/>
      <c r="E743" s="79"/>
      <c r="F743" s="79"/>
      <c r="G743" s="79"/>
      <c r="H743" s="79"/>
      <c r="I743" s="79"/>
      <c r="J743" s="78"/>
      <c r="K743" s="79"/>
      <c r="L743" s="79"/>
      <c r="M743" s="79"/>
      <c r="N743" s="79"/>
      <c r="O743" s="79"/>
      <c r="P743" s="79"/>
      <c r="Q743" s="79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45"/>
      <c r="AK743" s="45"/>
      <c r="AL743" s="45"/>
      <c r="AM743" s="45"/>
      <c r="AN743" s="45"/>
      <c r="AO743" s="45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  <c r="AZ743" s="80"/>
      <c r="BA743" s="80"/>
      <c r="BB743" s="80"/>
      <c r="BC743" s="80"/>
      <c r="BD743" s="80"/>
      <c r="BE743" s="80"/>
      <c r="BF743" s="80"/>
      <c r="BG743" s="80"/>
      <c r="BH743" s="49"/>
      <c r="BI743" s="79"/>
      <c r="BJ743" s="79"/>
      <c r="BK743" s="44"/>
      <c r="BL743" s="79"/>
      <c r="BM743" s="49"/>
      <c r="BN743" s="44"/>
      <c r="BO743" s="49"/>
      <c r="BP743" s="49"/>
      <c r="BQ743" s="44"/>
      <c r="BS743" s="49"/>
      <c r="BT743" s="49"/>
      <c r="BU743" s="49"/>
      <c r="BV743" s="49"/>
      <c r="BW743" s="18"/>
      <c r="BX743" s="19"/>
      <c r="BY743" s="49"/>
      <c r="CF743" s="49"/>
      <c r="CG743" s="49"/>
      <c r="CH743" s="49"/>
      <c r="CI743" s="49"/>
      <c r="CJ743" s="49"/>
      <c r="CK743" s="49"/>
    </row>
    <row r="744" spans="2:89" ht="12.75" customHeight="1" x14ac:dyDescent="0.2">
      <c r="B744" s="77"/>
      <c r="C744" s="79"/>
      <c r="D744" s="79"/>
      <c r="E744" s="79"/>
      <c r="F744" s="79"/>
      <c r="G744" s="79"/>
      <c r="H744" s="79"/>
      <c r="I744" s="79"/>
      <c r="J744" s="78"/>
      <c r="K744" s="79"/>
      <c r="L744" s="79"/>
      <c r="M744" s="79"/>
      <c r="N744" s="79"/>
      <c r="O744" s="79"/>
      <c r="P744" s="79"/>
      <c r="Q744" s="79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45"/>
      <c r="AK744" s="45"/>
      <c r="AL744" s="45"/>
      <c r="AM744" s="45"/>
      <c r="AN744" s="45"/>
      <c r="AO744" s="45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  <c r="AZ744" s="80"/>
      <c r="BA744" s="80"/>
      <c r="BB744" s="80"/>
      <c r="BC744" s="80"/>
      <c r="BD744" s="80"/>
      <c r="BE744" s="80"/>
      <c r="BF744" s="80"/>
      <c r="BG744" s="80"/>
      <c r="BH744" s="49"/>
      <c r="BI744" s="79"/>
      <c r="BJ744" s="79"/>
      <c r="BK744" s="44"/>
      <c r="BL744" s="79"/>
      <c r="BM744" s="49"/>
      <c r="BN744" s="44"/>
      <c r="BO744" s="49"/>
      <c r="BP744" s="49"/>
      <c r="BQ744" s="44"/>
      <c r="BS744" s="49"/>
      <c r="BT744" s="49"/>
      <c r="BU744" s="49"/>
      <c r="BV744" s="49"/>
      <c r="BW744" s="18"/>
      <c r="BX744" s="19"/>
      <c r="BY744" s="49"/>
      <c r="CF744" s="49"/>
      <c r="CG744" s="49"/>
      <c r="CH744" s="49"/>
      <c r="CI744" s="49"/>
      <c r="CJ744" s="49"/>
      <c r="CK744" s="49"/>
    </row>
    <row r="745" spans="2:89" ht="12.75" customHeight="1" x14ac:dyDescent="0.2">
      <c r="B745" s="77"/>
      <c r="C745" s="79"/>
      <c r="D745" s="79"/>
      <c r="E745" s="79"/>
      <c r="F745" s="79"/>
      <c r="G745" s="79"/>
      <c r="H745" s="79"/>
      <c r="I745" s="79"/>
      <c r="J745" s="78"/>
      <c r="K745" s="79"/>
      <c r="L745" s="79"/>
      <c r="M745" s="79"/>
      <c r="N745" s="79"/>
      <c r="O745" s="79"/>
      <c r="P745" s="79"/>
      <c r="Q745" s="79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45"/>
      <c r="AK745" s="45"/>
      <c r="AL745" s="45"/>
      <c r="AM745" s="45"/>
      <c r="AN745" s="45"/>
      <c r="AO745" s="45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  <c r="AZ745" s="80"/>
      <c r="BA745" s="80"/>
      <c r="BB745" s="80"/>
      <c r="BC745" s="80"/>
      <c r="BD745" s="80"/>
      <c r="BE745" s="80"/>
      <c r="BF745" s="80"/>
      <c r="BG745" s="80"/>
      <c r="BH745" s="49"/>
      <c r="BI745" s="79"/>
      <c r="BJ745" s="79"/>
      <c r="BK745" s="44"/>
      <c r="BL745" s="79"/>
      <c r="BM745" s="49"/>
      <c r="BN745" s="44"/>
      <c r="BO745" s="49"/>
      <c r="BP745" s="49"/>
      <c r="BQ745" s="44"/>
      <c r="BS745" s="49"/>
      <c r="BT745" s="49"/>
      <c r="BU745" s="49"/>
      <c r="BV745" s="49"/>
      <c r="BW745" s="18"/>
      <c r="BX745" s="19"/>
      <c r="BY745" s="49"/>
      <c r="CF745" s="49"/>
      <c r="CG745" s="49"/>
      <c r="CH745" s="49"/>
      <c r="CI745" s="49"/>
      <c r="CJ745" s="49"/>
      <c r="CK745" s="49"/>
    </row>
    <row r="746" spans="2:89" ht="12.75" customHeight="1" x14ac:dyDescent="0.2">
      <c r="B746" s="77"/>
      <c r="C746" s="79"/>
      <c r="D746" s="79"/>
      <c r="E746" s="79"/>
      <c r="F746" s="79"/>
      <c r="G746" s="79"/>
      <c r="H746" s="79"/>
      <c r="I746" s="79"/>
      <c r="J746" s="78"/>
      <c r="K746" s="79"/>
      <c r="L746" s="79"/>
      <c r="M746" s="79"/>
      <c r="N746" s="79"/>
      <c r="O746" s="79"/>
      <c r="P746" s="79"/>
      <c r="Q746" s="79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45"/>
      <c r="AK746" s="45"/>
      <c r="AL746" s="45"/>
      <c r="AM746" s="45"/>
      <c r="AN746" s="45"/>
      <c r="AO746" s="45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  <c r="AZ746" s="80"/>
      <c r="BA746" s="80"/>
      <c r="BB746" s="80"/>
      <c r="BC746" s="80"/>
      <c r="BD746" s="80"/>
      <c r="BE746" s="80"/>
      <c r="BF746" s="80"/>
      <c r="BG746" s="80"/>
      <c r="BH746" s="49"/>
      <c r="BI746" s="79"/>
      <c r="BJ746" s="79"/>
      <c r="BK746" s="44"/>
      <c r="BL746" s="79"/>
      <c r="BM746" s="49"/>
      <c r="BN746" s="44"/>
      <c r="BO746" s="49"/>
      <c r="BP746" s="49"/>
      <c r="BQ746" s="44"/>
      <c r="BS746" s="49"/>
      <c r="BT746" s="49"/>
      <c r="BU746" s="49"/>
      <c r="BV746" s="49"/>
      <c r="BW746" s="18"/>
      <c r="BX746" s="19"/>
      <c r="BY746" s="49"/>
      <c r="CF746" s="49"/>
      <c r="CG746" s="49"/>
      <c r="CH746" s="49"/>
      <c r="CI746" s="49"/>
      <c r="CJ746" s="49"/>
      <c r="CK746" s="49"/>
    </row>
    <row r="747" spans="2:89" ht="12.75" customHeight="1" x14ac:dyDescent="0.2">
      <c r="B747" s="77"/>
      <c r="C747" s="79"/>
      <c r="D747" s="79"/>
      <c r="E747" s="79"/>
      <c r="F747" s="79"/>
      <c r="G747" s="79"/>
      <c r="H747" s="79"/>
      <c r="I747" s="79"/>
      <c r="J747" s="78"/>
      <c r="K747" s="79"/>
      <c r="L747" s="79"/>
      <c r="M747" s="79"/>
      <c r="N747" s="79"/>
      <c r="O747" s="79"/>
      <c r="P747" s="79"/>
      <c r="Q747" s="79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45"/>
      <c r="AK747" s="45"/>
      <c r="AL747" s="45"/>
      <c r="AM747" s="45"/>
      <c r="AN747" s="45"/>
      <c r="AO747" s="45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  <c r="BA747" s="80"/>
      <c r="BB747" s="80"/>
      <c r="BC747" s="80"/>
      <c r="BD747" s="80"/>
      <c r="BE747" s="80"/>
      <c r="BF747" s="80"/>
      <c r="BG747" s="80"/>
      <c r="BH747" s="49"/>
      <c r="BI747" s="79"/>
      <c r="BJ747" s="79"/>
      <c r="BK747" s="44"/>
      <c r="BL747" s="79"/>
      <c r="BM747" s="49"/>
      <c r="BN747" s="44"/>
      <c r="BO747" s="49"/>
      <c r="BP747" s="49"/>
      <c r="BQ747" s="44"/>
      <c r="BS747" s="49"/>
      <c r="BT747" s="49"/>
      <c r="BU747" s="49"/>
      <c r="BV747" s="49"/>
      <c r="BW747" s="18"/>
      <c r="BX747" s="19"/>
      <c r="BY747" s="49"/>
      <c r="CF747" s="49"/>
      <c r="CG747" s="49"/>
      <c r="CH747" s="49"/>
      <c r="CI747" s="49"/>
      <c r="CJ747" s="49"/>
      <c r="CK747" s="49"/>
    </row>
    <row r="748" spans="2:89" ht="12.75" customHeight="1" x14ac:dyDescent="0.2">
      <c r="B748" s="77"/>
      <c r="C748" s="79"/>
      <c r="D748" s="79"/>
      <c r="E748" s="79"/>
      <c r="F748" s="79"/>
      <c r="G748" s="79"/>
      <c r="H748" s="79"/>
      <c r="I748" s="79"/>
      <c r="J748" s="78"/>
      <c r="K748" s="79"/>
      <c r="L748" s="79"/>
      <c r="M748" s="79"/>
      <c r="N748" s="79"/>
      <c r="O748" s="79"/>
      <c r="P748" s="79"/>
      <c r="Q748" s="79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45"/>
      <c r="AK748" s="45"/>
      <c r="AL748" s="45"/>
      <c r="AM748" s="45"/>
      <c r="AN748" s="45"/>
      <c r="AO748" s="45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  <c r="AZ748" s="80"/>
      <c r="BA748" s="80"/>
      <c r="BB748" s="80"/>
      <c r="BC748" s="80"/>
      <c r="BD748" s="80"/>
      <c r="BE748" s="80"/>
      <c r="BF748" s="80"/>
      <c r="BG748" s="80"/>
      <c r="BH748" s="49"/>
      <c r="BI748" s="79"/>
      <c r="BJ748" s="79"/>
      <c r="BK748" s="44"/>
      <c r="BL748" s="79"/>
      <c r="BM748" s="49"/>
      <c r="BN748" s="44"/>
      <c r="BO748" s="49"/>
      <c r="BP748" s="49"/>
      <c r="BQ748" s="44"/>
      <c r="BS748" s="49"/>
      <c r="BT748" s="49"/>
      <c r="BU748" s="49"/>
      <c r="BV748" s="49"/>
      <c r="BW748" s="18"/>
      <c r="BX748" s="19"/>
      <c r="BY748" s="49"/>
      <c r="CF748" s="49"/>
      <c r="CG748" s="49"/>
      <c r="CH748" s="49"/>
      <c r="CI748" s="49"/>
      <c r="CJ748" s="49"/>
      <c r="CK748" s="49"/>
    </row>
    <row r="749" spans="2:89" ht="12.75" customHeight="1" x14ac:dyDescent="0.2">
      <c r="B749" s="77"/>
      <c r="C749" s="79"/>
      <c r="D749" s="79"/>
      <c r="E749" s="79"/>
      <c r="F749" s="79"/>
      <c r="G749" s="79"/>
      <c r="H749" s="79"/>
      <c r="I749" s="79"/>
      <c r="J749" s="78"/>
      <c r="K749" s="79"/>
      <c r="L749" s="79"/>
      <c r="M749" s="79"/>
      <c r="N749" s="79"/>
      <c r="O749" s="79"/>
      <c r="P749" s="79"/>
      <c r="Q749" s="79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45"/>
      <c r="AK749" s="45"/>
      <c r="AL749" s="45"/>
      <c r="AM749" s="45"/>
      <c r="AN749" s="45"/>
      <c r="AO749" s="45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  <c r="AZ749" s="80"/>
      <c r="BA749" s="80"/>
      <c r="BB749" s="80"/>
      <c r="BC749" s="80"/>
      <c r="BD749" s="80"/>
      <c r="BE749" s="80"/>
      <c r="BF749" s="80"/>
      <c r="BG749" s="80"/>
      <c r="BH749" s="49"/>
      <c r="BI749" s="79"/>
      <c r="BJ749" s="79"/>
      <c r="BK749" s="44"/>
      <c r="BL749" s="79"/>
      <c r="BM749" s="49"/>
      <c r="BN749" s="44"/>
      <c r="BO749" s="49"/>
      <c r="BP749" s="49"/>
      <c r="BQ749" s="44"/>
      <c r="BS749" s="49"/>
      <c r="BT749" s="49"/>
      <c r="BU749" s="49"/>
      <c r="BV749" s="49"/>
      <c r="BW749" s="18"/>
      <c r="BX749" s="19"/>
      <c r="BY749" s="49"/>
      <c r="CF749" s="49"/>
      <c r="CG749" s="49"/>
      <c r="CH749" s="49"/>
      <c r="CI749" s="49"/>
      <c r="CJ749" s="49"/>
      <c r="CK749" s="49"/>
    </row>
    <row r="750" spans="2:89" ht="12.75" customHeight="1" x14ac:dyDescent="0.2">
      <c r="B750" s="77"/>
      <c r="C750" s="79"/>
      <c r="D750" s="79"/>
      <c r="E750" s="79"/>
      <c r="F750" s="79"/>
      <c r="G750" s="79"/>
      <c r="H750" s="79"/>
      <c r="I750" s="79"/>
      <c r="J750" s="78"/>
      <c r="K750" s="79"/>
      <c r="L750" s="79"/>
      <c r="M750" s="79"/>
      <c r="N750" s="79"/>
      <c r="O750" s="79"/>
      <c r="P750" s="79"/>
      <c r="Q750" s="79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45"/>
      <c r="AK750" s="45"/>
      <c r="AL750" s="45"/>
      <c r="AM750" s="45"/>
      <c r="AN750" s="45"/>
      <c r="AO750" s="45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  <c r="AZ750" s="80"/>
      <c r="BA750" s="80"/>
      <c r="BB750" s="80"/>
      <c r="BC750" s="80"/>
      <c r="BD750" s="80"/>
      <c r="BE750" s="80"/>
      <c r="BF750" s="80"/>
      <c r="BG750" s="80"/>
      <c r="BH750" s="49"/>
      <c r="BI750" s="79"/>
      <c r="BJ750" s="79"/>
      <c r="BK750" s="44"/>
      <c r="BL750" s="79"/>
      <c r="BM750" s="49"/>
      <c r="BN750" s="44"/>
      <c r="BO750" s="49"/>
      <c r="BP750" s="49"/>
      <c r="BQ750" s="44"/>
      <c r="BS750" s="49"/>
      <c r="BT750" s="49"/>
      <c r="BU750" s="49"/>
      <c r="BV750" s="49"/>
      <c r="BW750" s="18"/>
      <c r="BX750" s="19"/>
      <c r="BY750" s="49"/>
      <c r="CF750" s="49"/>
      <c r="CG750" s="49"/>
      <c r="CH750" s="49"/>
      <c r="CI750" s="49"/>
      <c r="CJ750" s="49"/>
      <c r="CK750" s="49"/>
    </row>
    <row r="751" spans="2:89" ht="12.75" customHeight="1" x14ac:dyDescent="0.2">
      <c r="B751" s="77"/>
      <c r="C751" s="79"/>
      <c r="D751" s="79"/>
      <c r="E751" s="79"/>
      <c r="F751" s="79"/>
      <c r="G751" s="79"/>
      <c r="H751" s="79"/>
      <c r="I751" s="79"/>
      <c r="J751" s="78"/>
      <c r="K751" s="79"/>
      <c r="L751" s="79"/>
      <c r="M751" s="79"/>
      <c r="N751" s="79"/>
      <c r="O751" s="79"/>
      <c r="P751" s="79"/>
      <c r="Q751" s="79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45"/>
      <c r="AK751" s="45"/>
      <c r="AL751" s="45"/>
      <c r="AM751" s="45"/>
      <c r="AN751" s="45"/>
      <c r="AO751" s="45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  <c r="AZ751" s="80"/>
      <c r="BA751" s="80"/>
      <c r="BB751" s="80"/>
      <c r="BC751" s="80"/>
      <c r="BD751" s="80"/>
      <c r="BE751" s="80"/>
      <c r="BF751" s="80"/>
      <c r="BG751" s="80"/>
      <c r="BH751" s="49"/>
      <c r="BI751" s="79"/>
      <c r="BJ751" s="79"/>
      <c r="BK751" s="44"/>
      <c r="BL751" s="79"/>
      <c r="BM751" s="49"/>
      <c r="BN751" s="44"/>
      <c r="BO751" s="49"/>
      <c r="BP751" s="49"/>
      <c r="BQ751" s="44"/>
      <c r="BS751" s="49"/>
      <c r="BT751" s="49"/>
      <c r="BU751" s="49"/>
      <c r="BV751" s="49"/>
      <c r="BW751" s="18"/>
      <c r="BX751" s="19"/>
      <c r="BY751" s="49"/>
      <c r="CF751" s="49"/>
      <c r="CG751" s="49"/>
      <c r="CH751" s="49"/>
      <c r="CI751" s="49"/>
      <c r="CJ751" s="49"/>
      <c r="CK751" s="49"/>
    </row>
    <row r="752" spans="2:89" ht="12.75" customHeight="1" x14ac:dyDescent="0.2">
      <c r="B752" s="77"/>
      <c r="C752" s="79"/>
      <c r="D752" s="79"/>
      <c r="E752" s="79"/>
      <c r="F752" s="79"/>
      <c r="G752" s="79"/>
      <c r="H752" s="79"/>
      <c r="I752" s="79"/>
      <c r="J752" s="78"/>
      <c r="K752" s="79"/>
      <c r="L752" s="79"/>
      <c r="M752" s="79"/>
      <c r="N752" s="79"/>
      <c r="O752" s="79"/>
      <c r="P752" s="79"/>
      <c r="Q752" s="79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45"/>
      <c r="AK752" s="45"/>
      <c r="AL752" s="45"/>
      <c r="AM752" s="45"/>
      <c r="AN752" s="45"/>
      <c r="AO752" s="45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  <c r="AZ752" s="80"/>
      <c r="BA752" s="80"/>
      <c r="BB752" s="80"/>
      <c r="BC752" s="80"/>
      <c r="BD752" s="80"/>
      <c r="BE752" s="80"/>
      <c r="BF752" s="80"/>
      <c r="BG752" s="80"/>
      <c r="BH752" s="49"/>
      <c r="BI752" s="79"/>
      <c r="BJ752" s="79"/>
      <c r="BK752" s="44"/>
      <c r="BL752" s="79"/>
      <c r="BM752" s="49"/>
      <c r="BN752" s="44"/>
      <c r="BO752" s="49"/>
      <c r="BP752" s="49"/>
      <c r="BQ752" s="44"/>
      <c r="BS752" s="49"/>
      <c r="BT752" s="49"/>
      <c r="BU752" s="49"/>
      <c r="BV752" s="49"/>
      <c r="BW752" s="18"/>
      <c r="BX752" s="19"/>
      <c r="BY752" s="49"/>
      <c r="CF752" s="49"/>
      <c r="CG752" s="49"/>
      <c r="CH752" s="49"/>
      <c r="CI752" s="49"/>
      <c r="CJ752" s="49"/>
      <c r="CK752" s="49"/>
    </row>
    <row r="753" spans="2:89" ht="12.75" customHeight="1" x14ac:dyDescent="0.2">
      <c r="B753" s="77"/>
      <c r="C753" s="79"/>
      <c r="D753" s="79"/>
      <c r="E753" s="79"/>
      <c r="F753" s="79"/>
      <c r="G753" s="79"/>
      <c r="H753" s="79"/>
      <c r="I753" s="79"/>
      <c r="J753" s="78"/>
      <c r="K753" s="79"/>
      <c r="L753" s="79"/>
      <c r="M753" s="79"/>
      <c r="N753" s="79"/>
      <c r="O753" s="79"/>
      <c r="P753" s="79"/>
      <c r="Q753" s="79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45"/>
      <c r="AK753" s="45"/>
      <c r="AL753" s="45"/>
      <c r="AM753" s="45"/>
      <c r="AN753" s="45"/>
      <c r="AO753" s="45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  <c r="BA753" s="80"/>
      <c r="BB753" s="80"/>
      <c r="BC753" s="80"/>
      <c r="BD753" s="80"/>
      <c r="BE753" s="80"/>
      <c r="BF753" s="80"/>
      <c r="BG753" s="80"/>
      <c r="BH753" s="49"/>
      <c r="BI753" s="79"/>
      <c r="BJ753" s="79"/>
      <c r="BK753" s="44"/>
      <c r="BL753" s="79"/>
      <c r="BM753" s="49"/>
      <c r="BN753" s="44"/>
      <c r="BO753" s="49"/>
      <c r="BP753" s="49"/>
      <c r="BQ753" s="44"/>
      <c r="BS753" s="49"/>
      <c r="BT753" s="49"/>
      <c r="BU753" s="49"/>
      <c r="BV753" s="49"/>
      <c r="BW753" s="18"/>
      <c r="BX753" s="19"/>
      <c r="BY753" s="49"/>
      <c r="CF753" s="49"/>
      <c r="CG753" s="49"/>
      <c r="CH753" s="49"/>
      <c r="CI753" s="49"/>
      <c r="CJ753" s="49"/>
      <c r="CK753" s="49"/>
    </row>
    <row r="754" spans="2:89" ht="12.75" customHeight="1" x14ac:dyDescent="0.2">
      <c r="B754" s="77"/>
      <c r="C754" s="79"/>
      <c r="D754" s="79"/>
      <c r="E754" s="79"/>
      <c r="F754" s="79"/>
      <c r="G754" s="79"/>
      <c r="H754" s="79"/>
      <c r="I754" s="79"/>
      <c r="J754" s="78"/>
      <c r="K754" s="79"/>
      <c r="L754" s="79"/>
      <c r="M754" s="79"/>
      <c r="N754" s="79"/>
      <c r="O754" s="79"/>
      <c r="P754" s="79"/>
      <c r="Q754" s="79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45"/>
      <c r="AK754" s="45"/>
      <c r="AL754" s="45"/>
      <c r="AM754" s="45"/>
      <c r="AN754" s="45"/>
      <c r="AO754" s="45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  <c r="AZ754" s="80"/>
      <c r="BA754" s="80"/>
      <c r="BB754" s="80"/>
      <c r="BC754" s="80"/>
      <c r="BD754" s="80"/>
      <c r="BE754" s="80"/>
      <c r="BF754" s="80"/>
      <c r="BG754" s="80"/>
      <c r="BH754" s="49"/>
      <c r="BI754" s="79"/>
      <c r="BJ754" s="79"/>
      <c r="BK754" s="44"/>
      <c r="BL754" s="79"/>
      <c r="BM754" s="49"/>
      <c r="BN754" s="44"/>
      <c r="BO754" s="49"/>
      <c r="BP754" s="49"/>
      <c r="BQ754" s="44"/>
      <c r="BS754" s="49"/>
      <c r="BT754" s="49"/>
      <c r="BU754" s="49"/>
      <c r="BV754" s="49"/>
      <c r="BW754" s="18"/>
      <c r="BX754" s="19"/>
      <c r="BY754" s="49"/>
      <c r="CF754" s="49"/>
      <c r="CG754" s="49"/>
      <c r="CH754" s="49"/>
      <c r="CI754" s="49"/>
      <c r="CJ754" s="49"/>
      <c r="CK754" s="49"/>
    </row>
    <row r="755" spans="2:89" ht="12.75" customHeight="1" x14ac:dyDescent="0.2">
      <c r="B755" s="77"/>
      <c r="C755" s="79"/>
      <c r="D755" s="79"/>
      <c r="E755" s="79"/>
      <c r="F755" s="79"/>
      <c r="G755" s="79"/>
      <c r="H755" s="79"/>
      <c r="I755" s="79"/>
      <c r="J755" s="78"/>
      <c r="K755" s="79"/>
      <c r="L755" s="79"/>
      <c r="M755" s="79"/>
      <c r="N755" s="79"/>
      <c r="O755" s="79"/>
      <c r="P755" s="79"/>
      <c r="Q755" s="79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45"/>
      <c r="AK755" s="45"/>
      <c r="AL755" s="45"/>
      <c r="AM755" s="45"/>
      <c r="AN755" s="45"/>
      <c r="AO755" s="45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  <c r="AZ755" s="80"/>
      <c r="BA755" s="80"/>
      <c r="BB755" s="80"/>
      <c r="BC755" s="80"/>
      <c r="BD755" s="80"/>
      <c r="BE755" s="80"/>
      <c r="BF755" s="80"/>
      <c r="BG755" s="80"/>
      <c r="BH755" s="49"/>
      <c r="BI755" s="79"/>
      <c r="BJ755" s="79"/>
      <c r="BK755" s="44"/>
      <c r="BL755" s="79"/>
      <c r="BM755" s="49"/>
      <c r="BN755" s="44"/>
      <c r="BO755" s="49"/>
      <c r="BP755" s="49"/>
      <c r="BQ755" s="44"/>
      <c r="BS755" s="49"/>
      <c r="BT755" s="49"/>
      <c r="BU755" s="49"/>
      <c r="BV755" s="49"/>
      <c r="BW755" s="18"/>
      <c r="BX755" s="19"/>
      <c r="BY755" s="49"/>
      <c r="CF755" s="49"/>
      <c r="CG755" s="49"/>
      <c r="CH755" s="49"/>
      <c r="CI755" s="49"/>
      <c r="CJ755" s="49"/>
      <c r="CK755" s="49"/>
    </row>
    <row r="756" spans="2:89" ht="12.75" customHeight="1" x14ac:dyDescent="0.2">
      <c r="B756" s="77"/>
      <c r="C756" s="79"/>
      <c r="D756" s="79"/>
      <c r="E756" s="79"/>
      <c r="F756" s="79"/>
      <c r="G756" s="79"/>
      <c r="H756" s="79"/>
      <c r="I756" s="79"/>
      <c r="J756" s="78"/>
      <c r="K756" s="79"/>
      <c r="L756" s="79"/>
      <c r="M756" s="79"/>
      <c r="N756" s="79"/>
      <c r="O756" s="79"/>
      <c r="P756" s="79"/>
      <c r="Q756" s="79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45"/>
      <c r="AK756" s="45"/>
      <c r="AL756" s="45"/>
      <c r="AM756" s="45"/>
      <c r="AN756" s="45"/>
      <c r="AO756" s="45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  <c r="BA756" s="80"/>
      <c r="BB756" s="80"/>
      <c r="BC756" s="80"/>
      <c r="BD756" s="80"/>
      <c r="BE756" s="80"/>
      <c r="BF756" s="80"/>
      <c r="BG756" s="80"/>
      <c r="BH756" s="49"/>
      <c r="BI756" s="79"/>
      <c r="BJ756" s="79"/>
      <c r="BK756" s="44"/>
      <c r="BL756" s="79"/>
      <c r="BM756" s="49"/>
      <c r="BN756" s="44"/>
      <c r="BO756" s="49"/>
      <c r="BP756" s="49"/>
      <c r="BQ756" s="44"/>
      <c r="BS756" s="49"/>
      <c r="BT756" s="49"/>
      <c r="BU756" s="49"/>
      <c r="BV756" s="49"/>
      <c r="BW756" s="18"/>
      <c r="BX756" s="19"/>
      <c r="BY756" s="49"/>
      <c r="CF756" s="49"/>
      <c r="CG756" s="49"/>
      <c r="CH756" s="49"/>
      <c r="CI756" s="49"/>
      <c r="CJ756" s="49"/>
      <c r="CK756" s="49"/>
    </row>
    <row r="757" spans="2:89" ht="12.75" customHeight="1" x14ac:dyDescent="0.2">
      <c r="B757" s="77"/>
      <c r="C757" s="79"/>
      <c r="D757" s="79"/>
      <c r="E757" s="79"/>
      <c r="F757" s="79"/>
      <c r="G757" s="79"/>
      <c r="H757" s="79"/>
      <c r="I757" s="79"/>
      <c r="J757" s="78"/>
      <c r="K757" s="79"/>
      <c r="L757" s="79"/>
      <c r="M757" s="79"/>
      <c r="N757" s="79"/>
      <c r="O757" s="79"/>
      <c r="P757" s="79"/>
      <c r="Q757" s="79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45"/>
      <c r="AK757" s="45"/>
      <c r="AL757" s="45"/>
      <c r="AM757" s="45"/>
      <c r="AN757" s="45"/>
      <c r="AO757" s="45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  <c r="AZ757" s="80"/>
      <c r="BA757" s="80"/>
      <c r="BB757" s="80"/>
      <c r="BC757" s="80"/>
      <c r="BD757" s="80"/>
      <c r="BE757" s="80"/>
      <c r="BF757" s="80"/>
      <c r="BG757" s="80"/>
      <c r="BH757" s="49"/>
      <c r="BI757" s="79"/>
      <c r="BJ757" s="79"/>
      <c r="BK757" s="44"/>
      <c r="BL757" s="79"/>
      <c r="BM757" s="49"/>
      <c r="BN757" s="44"/>
      <c r="BO757" s="49"/>
      <c r="BP757" s="49"/>
      <c r="BQ757" s="44"/>
      <c r="BS757" s="49"/>
      <c r="BT757" s="49"/>
      <c r="BU757" s="49"/>
      <c r="BV757" s="49"/>
      <c r="BW757" s="18"/>
      <c r="BX757" s="19"/>
      <c r="BY757" s="49"/>
      <c r="CF757" s="49"/>
      <c r="CG757" s="49"/>
      <c r="CH757" s="49"/>
      <c r="CI757" s="49"/>
      <c r="CJ757" s="49"/>
      <c r="CK757" s="49"/>
    </row>
    <row r="758" spans="2:89" ht="12.75" customHeight="1" x14ac:dyDescent="0.2">
      <c r="B758" s="77"/>
      <c r="C758" s="79"/>
      <c r="D758" s="79"/>
      <c r="E758" s="79"/>
      <c r="F758" s="79"/>
      <c r="G758" s="79"/>
      <c r="H758" s="79"/>
      <c r="I758" s="79"/>
      <c r="J758" s="78"/>
      <c r="K758" s="79"/>
      <c r="L758" s="79"/>
      <c r="M758" s="79"/>
      <c r="N758" s="79"/>
      <c r="O758" s="79"/>
      <c r="P758" s="79"/>
      <c r="Q758" s="79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45"/>
      <c r="AK758" s="45"/>
      <c r="AL758" s="45"/>
      <c r="AM758" s="45"/>
      <c r="AN758" s="45"/>
      <c r="AO758" s="45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  <c r="BA758" s="80"/>
      <c r="BB758" s="80"/>
      <c r="BC758" s="80"/>
      <c r="BD758" s="80"/>
      <c r="BE758" s="80"/>
      <c r="BF758" s="80"/>
      <c r="BG758" s="80"/>
      <c r="BH758" s="49"/>
      <c r="BI758" s="79"/>
      <c r="BJ758" s="79"/>
      <c r="BK758" s="44"/>
      <c r="BL758" s="79"/>
      <c r="BM758" s="49"/>
      <c r="BN758" s="44"/>
      <c r="BO758" s="49"/>
      <c r="BP758" s="49"/>
      <c r="BQ758" s="44"/>
      <c r="BS758" s="49"/>
      <c r="BT758" s="49"/>
      <c r="BU758" s="49"/>
      <c r="BV758" s="49"/>
      <c r="BW758" s="18"/>
      <c r="BX758" s="19"/>
      <c r="BY758" s="49"/>
      <c r="CF758" s="49"/>
      <c r="CG758" s="49"/>
      <c r="CH758" s="49"/>
      <c r="CI758" s="49"/>
      <c r="CJ758" s="49"/>
      <c r="CK758" s="49"/>
    </row>
    <row r="759" spans="2:89" ht="12.75" customHeight="1" x14ac:dyDescent="0.2">
      <c r="B759" s="77"/>
      <c r="C759" s="79"/>
      <c r="D759" s="79"/>
      <c r="E759" s="79"/>
      <c r="F759" s="79"/>
      <c r="G759" s="79"/>
      <c r="H759" s="79"/>
      <c r="I759" s="79"/>
      <c r="J759" s="78"/>
      <c r="K759" s="79"/>
      <c r="L759" s="79"/>
      <c r="M759" s="79"/>
      <c r="N759" s="79"/>
      <c r="O759" s="79"/>
      <c r="P759" s="79"/>
      <c r="Q759" s="79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45"/>
      <c r="AK759" s="45"/>
      <c r="AL759" s="45"/>
      <c r="AM759" s="45"/>
      <c r="AN759" s="45"/>
      <c r="AO759" s="45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  <c r="AZ759" s="80"/>
      <c r="BA759" s="80"/>
      <c r="BB759" s="80"/>
      <c r="BC759" s="80"/>
      <c r="BD759" s="80"/>
      <c r="BE759" s="80"/>
      <c r="BF759" s="80"/>
      <c r="BG759" s="80"/>
      <c r="BH759" s="49"/>
      <c r="BI759" s="79"/>
      <c r="BJ759" s="79"/>
      <c r="BK759" s="44"/>
      <c r="BL759" s="79"/>
      <c r="BM759" s="49"/>
      <c r="BN759" s="44"/>
      <c r="BO759" s="49"/>
      <c r="BP759" s="49"/>
      <c r="BQ759" s="44"/>
      <c r="BS759" s="49"/>
      <c r="BT759" s="49"/>
      <c r="BU759" s="49"/>
      <c r="BV759" s="49"/>
      <c r="BW759" s="18"/>
      <c r="BX759" s="19"/>
      <c r="BY759" s="49"/>
      <c r="CF759" s="49"/>
      <c r="CG759" s="49"/>
      <c r="CH759" s="49"/>
      <c r="CI759" s="49"/>
      <c r="CJ759" s="49"/>
      <c r="CK759" s="49"/>
    </row>
    <row r="760" spans="2:89" ht="12.75" customHeight="1" x14ac:dyDescent="0.2">
      <c r="B760" s="77"/>
      <c r="C760" s="79"/>
      <c r="D760" s="79"/>
      <c r="E760" s="79"/>
      <c r="F760" s="79"/>
      <c r="G760" s="79"/>
      <c r="H760" s="79"/>
      <c r="I760" s="79"/>
      <c r="J760" s="78"/>
      <c r="K760" s="79"/>
      <c r="L760" s="79"/>
      <c r="M760" s="79"/>
      <c r="N760" s="79"/>
      <c r="O760" s="79"/>
      <c r="P760" s="79"/>
      <c r="Q760" s="79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45"/>
      <c r="AK760" s="45"/>
      <c r="AL760" s="45"/>
      <c r="AM760" s="45"/>
      <c r="AN760" s="45"/>
      <c r="AO760" s="45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  <c r="BA760" s="80"/>
      <c r="BB760" s="80"/>
      <c r="BC760" s="80"/>
      <c r="BD760" s="80"/>
      <c r="BE760" s="80"/>
      <c r="BF760" s="80"/>
      <c r="BG760" s="80"/>
      <c r="BH760" s="49"/>
      <c r="BI760" s="79"/>
      <c r="BJ760" s="79"/>
      <c r="BK760" s="44"/>
      <c r="BL760" s="79"/>
      <c r="BM760" s="49"/>
      <c r="BN760" s="44"/>
      <c r="BO760" s="49"/>
      <c r="BP760" s="49"/>
      <c r="BQ760" s="44"/>
      <c r="BS760" s="49"/>
      <c r="BT760" s="49"/>
      <c r="BU760" s="49"/>
      <c r="BV760" s="49"/>
      <c r="BW760" s="18"/>
      <c r="BX760" s="19"/>
      <c r="BY760" s="49"/>
      <c r="CF760" s="49"/>
      <c r="CG760" s="49"/>
      <c r="CH760" s="49"/>
      <c r="CI760" s="49"/>
      <c r="CJ760" s="49"/>
      <c r="CK760" s="49"/>
    </row>
    <row r="761" spans="2:89" ht="12.75" customHeight="1" x14ac:dyDescent="0.2">
      <c r="B761" s="77"/>
      <c r="C761" s="79"/>
      <c r="D761" s="79"/>
      <c r="E761" s="79"/>
      <c r="F761" s="79"/>
      <c r="G761" s="79"/>
      <c r="H761" s="79"/>
      <c r="I761" s="79"/>
      <c r="J761" s="78"/>
      <c r="K761" s="79"/>
      <c r="L761" s="79"/>
      <c r="M761" s="79"/>
      <c r="N761" s="79"/>
      <c r="O761" s="79"/>
      <c r="P761" s="79"/>
      <c r="Q761" s="79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45"/>
      <c r="AK761" s="45"/>
      <c r="AL761" s="45"/>
      <c r="AM761" s="45"/>
      <c r="AN761" s="45"/>
      <c r="AO761" s="45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  <c r="AZ761" s="80"/>
      <c r="BA761" s="80"/>
      <c r="BB761" s="80"/>
      <c r="BC761" s="80"/>
      <c r="BD761" s="80"/>
      <c r="BE761" s="80"/>
      <c r="BF761" s="80"/>
      <c r="BG761" s="80"/>
      <c r="BH761" s="49"/>
      <c r="BI761" s="79"/>
      <c r="BJ761" s="79"/>
      <c r="BK761" s="44"/>
      <c r="BL761" s="79"/>
      <c r="BM761" s="49"/>
      <c r="BN761" s="44"/>
      <c r="BO761" s="49"/>
      <c r="BP761" s="49"/>
      <c r="BQ761" s="44"/>
      <c r="BS761" s="49"/>
      <c r="BT761" s="49"/>
      <c r="BU761" s="49"/>
      <c r="BV761" s="49"/>
      <c r="BW761" s="18"/>
      <c r="BX761" s="19"/>
      <c r="BY761" s="49"/>
      <c r="CF761" s="49"/>
      <c r="CG761" s="49"/>
      <c r="CH761" s="49"/>
      <c r="CI761" s="49"/>
      <c r="CJ761" s="49"/>
      <c r="CK761" s="49"/>
    </row>
    <row r="762" spans="2:89" ht="12.75" customHeight="1" x14ac:dyDescent="0.2">
      <c r="B762" s="77"/>
      <c r="C762" s="79"/>
      <c r="D762" s="79"/>
      <c r="E762" s="79"/>
      <c r="F762" s="79"/>
      <c r="G762" s="79"/>
      <c r="H762" s="79"/>
      <c r="I762" s="79"/>
      <c r="J762" s="78"/>
      <c r="K762" s="79"/>
      <c r="L762" s="79"/>
      <c r="M762" s="79"/>
      <c r="N762" s="79"/>
      <c r="O762" s="79"/>
      <c r="P762" s="79"/>
      <c r="Q762" s="79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45"/>
      <c r="AK762" s="45"/>
      <c r="AL762" s="45"/>
      <c r="AM762" s="45"/>
      <c r="AN762" s="45"/>
      <c r="AO762" s="45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  <c r="BA762" s="80"/>
      <c r="BB762" s="80"/>
      <c r="BC762" s="80"/>
      <c r="BD762" s="80"/>
      <c r="BE762" s="80"/>
      <c r="BF762" s="80"/>
      <c r="BG762" s="80"/>
      <c r="BH762" s="49"/>
      <c r="BI762" s="79"/>
      <c r="BJ762" s="79"/>
      <c r="BK762" s="44"/>
      <c r="BL762" s="79"/>
      <c r="BM762" s="49"/>
      <c r="BN762" s="44"/>
      <c r="BO762" s="49"/>
      <c r="BP762" s="49"/>
      <c r="BQ762" s="44"/>
      <c r="BS762" s="49"/>
      <c r="BT762" s="49"/>
      <c r="BU762" s="49"/>
      <c r="BV762" s="49"/>
      <c r="BW762" s="18"/>
      <c r="BX762" s="19"/>
      <c r="BY762" s="49"/>
      <c r="CF762" s="49"/>
      <c r="CG762" s="49"/>
      <c r="CH762" s="49"/>
      <c r="CI762" s="49"/>
      <c r="CJ762" s="49"/>
      <c r="CK762" s="49"/>
    </row>
    <row r="763" spans="2:89" ht="12.75" customHeight="1" x14ac:dyDescent="0.2">
      <c r="B763" s="77"/>
      <c r="C763" s="79"/>
      <c r="D763" s="79"/>
      <c r="E763" s="79"/>
      <c r="F763" s="79"/>
      <c r="G763" s="79"/>
      <c r="H763" s="79"/>
      <c r="I763" s="79"/>
      <c r="J763" s="78"/>
      <c r="K763" s="79"/>
      <c r="L763" s="79"/>
      <c r="M763" s="79"/>
      <c r="N763" s="79"/>
      <c r="O763" s="79"/>
      <c r="P763" s="79"/>
      <c r="Q763" s="79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45"/>
      <c r="AK763" s="45"/>
      <c r="AL763" s="45"/>
      <c r="AM763" s="45"/>
      <c r="AN763" s="45"/>
      <c r="AO763" s="45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80"/>
      <c r="BH763" s="49"/>
      <c r="BI763" s="79"/>
      <c r="BJ763" s="79"/>
      <c r="BK763" s="44"/>
      <c r="BL763" s="79"/>
      <c r="BM763" s="49"/>
      <c r="BN763" s="44"/>
      <c r="BO763" s="49"/>
      <c r="BP763" s="49"/>
      <c r="BQ763" s="44"/>
      <c r="BS763" s="49"/>
      <c r="BT763" s="49"/>
      <c r="BU763" s="49"/>
      <c r="BV763" s="49"/>
      <c r="BW763" s="18"/>
      <c r="BX763" s="19"/>
      <c r="BY763" s="49"/>
      <c r="CF763" s="49"/>
      <c r="CG763" s="49"/>
      <c r="CH763" s="49"/>
      <c r="CI763" s="49"/>
      <c r="CJ763" s="49"/>
      <c r="CK763" s="49"/>
    </row>
    <row r="764" spans="2:89" ht="12.75" customHeight="1" x14ac:dyDescent="0.2">
      <c r="B764" s="77"/>
      <c r="C764" s="79"/>
      <c r="D764" s="79"/>
      <c r="E764" s="79"/>
      <c r="F764" s="79"/>
      <c r="G764" s="79"/>
      <c r="H764" s="79"/>
      <c r="I764" s="79"/>
      <c r="J764" s="78"/>
      <c r="K764" s="79"/>
      <c r="L764" s="79"/>
      <c r="M764" s="79"/>
      <c r="N764" s="79"/>
      <c r="O764" s="79"/>
      <c r="P764" s="79"/>
      <c r="Q764" s="79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45"/>
      <c r="AK764" s="45"/>
      <c r="AL764" s="45"/>
      <c r="AM764" s="45"/>
      <c r="AN764" s="45"/>
      <c r="AO764" s="45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  <c r="AZ764" s="80"/>
      <c r="BA764" s="80"/>
      <c r="BB764" s="80"/>
      <c r="BC764" s="80"/>
      <c r="BD764" s="80"/>
      <c r="BE764" s="80"/>
      <c r="BF764" s="80"/>
      <c r="BG764" s="80"/>
      <c r="BH764" s="49"/>
      <c r="BI764" s="79"/>
      <c r="BJ764" s="79"/>
      <c r="BK764" s="44"/>
      <c r="BL764" s="79"/>
      <c r="BM764" s="49"/>
      <c r="BN764" s="44"/>
      <c r="BO764" s="49"/>
      <c r="BP764" s="49"/>
      <c r="BQ764" s="44"/>
      <c r="BS764" s="49"/>
      <c r="BT764" s="49"/>
      <c r="BU764" s="49"/>
      <c r="BV764" s="49"/>
      <c r="BW764" s="18"/>
      <c r="BX764" s="19"/>
      <c r="BY764" s="49"/>
      <c r="CF764" s="49"/>
      <c r="CG764" s="49"/>
      <c r="CH764" s="49"/>
      <c r="CI764" s="49"/>
      <c r="CJ764" s="49"/>
      <c r="CK764" s="49"/>
    </row>
    <row r="765" spans="2:89" ht="12.75" customHeight="1" x14ac:dyDescent="0.2">
      <c r="B765" s="77"/>
      <c r="C765" s="79"/>
      <c r="D765" s="79"/>
      <c r="E765" s="79"/>
      <c r="F765" s="79"/>
      <c r="G765" s="79"/>
      <c r="H765" s="79"/>
      <c r="I765" s="79"/>
      <c r="J765" s="78"/>
      <c r="K765" s="79"/>
      <c r="L765" s="79"/>
      <c r="M765" s="79"/>
      <c r="N765" s="79"/>
      <c r="O765" s="79"/>
      <c r="P765" s="79"/>
      <c r="Q765" s="79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45"/>
      <c r="AK765" s="45"/>
      <c r="AL765" s="45"/>
      <c r="AM765" s="45"/>
      <c r="AN765" s="45"/>
      <c r="AO765" s="45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  <c r="AZ765" s="80"/>
      <c r="BA765" s="80"/>
      <c r="BB765" s="80"/>
      <c r="BC765" s="80"/>
      <c r="BD765" s="80"/>
      <c r="BE765" s="80"/>
      <c r="BF765" s="80"/>
      <c r="BG765" s="80"/>
      <c r="BH765" s="49"/>
      <c r="BI765" s="79"/>
      <c r="BJ765" s="79"/>
      <c r="BK765" s="44"/>
      <c r="BL765" s="79"/>
      <c r="BM765" s="49"/>
      <c r="BN765" s="44"/>
      <c r="BO765" s="49"/>
      <c r="BP765" s="49"/>
      <c r="BQ765" s="44"/>
      <c r="BS765" s="49"/>
      <c r="BT765" s="49"/>
      <c r="BU765" s="49"/>
      <c r="BV765" s="49"/>
      <c r="BW765" s="18"/>
      <c r="BX765" s="19"/>
      <c r="BY765" s="49"/>
      <c r="CF765" s="49"/>
      <c r="CG765" s="49"/>
      <c r="CH765" s="49"/>
      <c r="CI765" s="49"/>
      <c r="CJ765" s="49"/>
      <c r="CK765" s="49"/>
    </row>
    <row r="766" spans="2:89" ht="12.75" customHeight="1" x14ac:dyDescent="0.2">
      <c r="B766" s="77"/>
      <c r="C766" s="79"/>
      <c r="D766" s="79"/>
      <c r="E766" s="79"/>
      <c r="F766" s="79"/>
      <c r="G766" s="79"/>
      <c r="H766" s="79"/>
      <c r="I766" s="79"/>
      <c r="J766" s="78"/>
      <c r="K766" s="79"/>
      <c r="L766" s="79"/>
      <c r="M766" s="79"/>
      <c r="N766" s="79"/>
      <c r="O766" s="79"/>
      <c r="P766" s="79"/>
      <c r="Q766" s="79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45"/>
      <c r="AK766" s="45"/>
      <c r="AL766" s="45"/>
      <c r="AM766" s="45"/>
      <c r="AN766" s="45"/>
      <c r="AO766" s="45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  <c r="AZ766" s="80"/>
      <c r="BA766" s="80"/>
      <c r="BB766" s="80"/>
      <c r="BC766" s="80"/>
      <c r="BD766" s="80"/>
      <c r="BE766" s="80"/>
      <c r="BF766" s="80"/>
      <c r="BG766" s="80"/>
      <c r="BH766" s="49"/>
      <c r="BI766" s="79"/>
      <c r="BJ766" s="79"/>
      <c r="BK766" s="44"/>
      <c r="BL766" s="79"/>
      <c r="BM766" s="49"/>
      <c r="BN766" s="44"/>
      <c r="BO766" s="49"/>
      <c r="BP766" s="49"/>
      <c r="BQ766" s="44"/>
      <c r="BS766" s="49"/>
      <c r="BT766" s="49"/>
      <c r="BU766" s="49"/>
      <c r="BV766" s="49"/>
      <c r="BW766" s="18"/>
      <c r="BX766" s="19"/>
      <c r="BY766" s="49"/>
      <c r="CF766" s="49"/>
      <c r="CG766" s="49"/>
      <c r="CH766" s="49"/>
      <c r="CI766" s="49"/>
      <c r="CJ766" s="49"/>
      <c r="CK766" s="49"/>
    </row>
    <row r="767" spans="2:89" ht="12.75" customHeight="1" x14ac:dyDescent="0.2">
      <c r="B767" s="77"/>
      <c r="C767" s="79"/>
      <c r="D767" s="79"/>
      <c r="E767" s="79"/>
      <c r="F767" s="79"/>
      <c r="G767" s="79"/>
      <c r="H767" s="79"/>
      <c r="I767" s="79"/>
      <c r="J767" s="78"/>
      <c r="K767" s="79"/>
      <c r="L767" s="79"/>
      <c r="M767" s="79"/>
      <c r="N767" s="79"/>
      <c r="O767" s="79"/>
      <c r="P767" s="79"/>
      <c r="Q767" s="79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45"/>
      <c r="AK767" s="45"/>
      <c r="AL767" s="45"/>
      <c r="AM767" s="45"/>
      <c r="AN767" s="45"/>
      <c r="AO767" s="45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  <c r="BE767" s="80"/>
      <c r="BF767" s="80"/>
      <c r="BG767" s="80"/>
      <c r="BH767" s="49"/>
      <c r="BI767" s="79"/>
      <c r="BJ767" s="79"/>
      <c r="BK767" s="44"/>
      <c r="BL767" s="79"/>
      <c r="BM767" s="49"/>
      <c r="BN767" s="44"/>
      <c r="BO767" s="49"/>
      <c r="BP767" s="49"/>
      <c r="BQ767" s="44"/>
      <c r="BS767" s="49"/>
      <c r="BT767" s="49"/>
      <c r="BU767" s="49"/>
      <c r="BV767" s="49"/>
      <c r="BW767" s="18"/>
      <c r="BX767" s="19"/>
      <c r="BY767" s="49"/>
      <c r="CF767" s="49"/>
      <c r="CG767" s="49"/>
      <c r="CH767" s="49"/>
      <c r="CI767" s="49"/>
      <c r="CJ767" s="49"/>
      <c r="CK767" s="49"/>
    </row>
    <row r="768" spans="2:89" ht="12.75" customHeight="1" x14ac:dyDescent="0.2">
      <c r="B768" s="77"/>
      <c r="C768" s="79"/>
      <c r="D768" s="79"/>
      <c r="E768" s="79"/>
      <c r="F768" s="79"/>
      <c r="G768" s="79"/>
      <c r="H768" s="79"/>
      <c r="I768" s="79"/>
      <c r="J768" s="78"/>
      <c r="K768" s="79"/>
      <c r="L768" s="79"/>
      <c r="M768" s="79"/>
      <c r="N768" s="79"/>
      <c r="O768" s="79"/>
      <c r="P768" s="79"/>
      <c r="Q768" s="79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45"/>
      <c r="AK768" s="45"/>
      <c r="AL768" s="45"/>
      <c r="AM768" s="45"/>
      <c r="AN768" s="45"/>
      <c r="AO768" s="45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  <c r="BE768" s="80"/>
      <c r="BF768" s="80"/>
      <c r="BG768" s="80"/>
      <c r="BH768" s="49"/>
      <c r="BI768" s="79"/>
      <c r="BJ768" s="79"/>
      <c r="BK768" s="44"/>
      <c r="BL768" s="79"/>
      <c r="BM768" s="49"/>
      <c r="BN768" s="44"/>
      <c r="BO768" s="49"/>
      <c r="BP768" s="49"/>
      <c r="BQ768" s="44"/>
      <c r="BS768" s="49"/>
      <c r="BT768" s="49"/>
      <c r="BU768" s="49"/>
      <c r="BV768" s="49"/>
      <c r="BW768" s="18"/>
      <c r="BX768" s="19"/>
      <c r="BY768" s="49"/>
      <c r="CF768" s="49"/>
      <c r="CG768" s="49"/>
      <c r="CH768" s="49"/>
      <c r="CI768" s="49"/>
      <c r="CJ768" s="49"/>
      <c r="CK768" s="49"/>
    </row>
    <row r="769" spans="2:89" ht="12.75" customHeight="1" x14ac:dyDescent="0.2">
      <c r="B769" s="77"/>
      <c r="C769" s="79"/>
      <c r="D769" s="79"/>
      <c r="E769" s="79"/>
      <c r="F769" s="79"/>
      <c r="G769" s="79"/>
      <c r="H769" s="79"/>
      <c r="I769" s="79"/>
      <c r="J769" s="78"/>
      <c r="K769" s="79"/>
      <c r="L769" s="79"/>
      <c r="M769" s="79"/>
      <c r="N769" s="79"/>
      <c r="O769" s="79"/>
      <c r="P769" s="79"/>
      <c r="Q769" s="79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45"/>
      <c r="AK769" s="45"/>
      <c r="AL769" s="45"/>
      <c r="AM769" s="45"/>
      <c r="AN769" s="45"/>
      <c r="AO769" s="45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  <c r="BE769" s="80"/>
      <c r="BF769" s="80"/>
      <c r="BG769" s="80"/>
      <c r="BH769" s="49"/>
      <c r="BI769" s="79"/>
      <c r="BJ769" s="79"/>
      <c r="BK769" s="44"/>
      <c r="BL769" s="79"/>
      <c r="BM769" s="49"/>
      <c r="BN769" s="44"/>
      <c r="BO769" s="49"/>
      <c r="BP769" s="49"/>
      <c r="BQ769" s="44"/>
      <c r="BS769" s="49"/>
      <c r="BT769" s="49"/>
      <c r="BU769" s="49"/>
      <c r="BV769" s="49"/>
      <c r="BW769" s="18"/>
      <c r="BX769" s="19"/>
      <c r="BY769" s="49"/>
      <c r="CF769" s="49"/>
      <c r="CG769" s="49"/>
      <c r="CH769" s="49"/>
      <c r="CI769" s="49"/>
      <c r="CJ769" s="49"/>
      <c r="CK769" s="49"/>
    </row>
    <row r="770" spans="2:89" ht="12.75" customHeight="1" x14ac:dyDescent="0.2">
      <c r="B770" s="77"/>
      <c r="C770" s="79"/>
      <c r="D770" s="79"/>
      <c r="E770" s="79"/>
      <c r="F770" s="79"/>
      <c r="G770" s="79"/>
      <c r="H770" s="79"/>
      <c r="I770" s="79"/>
      <c r="J770" s="78"/>
      <c r="K770" s="79"/>
      <c r="L770" s="79"/>
      <c r="M770" s="79"/>
      <c r="N770" s="79"/>
      <c r="O770" s="79"/>
      <c r="P770" s="79"/>
      <c r="Q770" s="79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45"/>
      <c r="AK770" s="45"/>
      <c r="AL770" s="45"/>
      <c r="AM770" s="45"/>
      <c r="AN770" s="45"/>
      <c r="AO770" s="45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  <c r="BE770" s="80"/>
      <c r="BF770" s="80"/>
      <c r="BG770" s="80"/>
      <c r="BH770" s="49"/>
      <c r="BI770" s="79"/>
      <c r="BJ770" s="79"/>
      <c r="BK770" s="44"/>
      <c r="BL770" s="79"/>
      <c r="BM770" s="49"/>
      <c r="BN770" s="44"/>
      <c r="BO770" s="49"/>
      <c r="BP770" s="49"/>
      <c r="BQ770" s="44"/>
      <c r="BS770" s="49"/>
      <c r="BT770" s="49"/>
      <c r="BU770" s="49"/>
      <c r="BV770" s="49"/>
      <c r="BW770" s="18"/>
      <c r="BX770" s="19"/>
      <c r="BY770" s="49"/>
      <c r="CF770" s="49"/>
      <c r="CG770" s="49"/>
      <c r="CH770" s="49"/>
      <c r="CI770" s="49"/>
      <c r="CJ770" s="49"/>
      <c r="CK770" s="49"/>
    </row>
    <row r="771" spans="2:89" ht="12.75" customHeight="1" x14ac:dyDescent="0.2">
      <c r="B771" s="77"/>
      <c r="C771" s="79"/>
      <c r="D771" s="79"/>
      <c r="E771" s="79"/>
      <c r="F771" s="79"/>
      <c r="G771" s="79"/>
      <c r="H771" s="79"/>
      <c r="I771" s="79"/>
      <c r="J771" s="78"/>
      <c r="K771" s="79"/>
      <c r="L771" s="79"/>
      <c r="M771" s="79"/>
      <c r="N771" s="79"/>
      <c r="O771" s="79"/>
      <c r="P771" s="79"/>
      <c r="Q771" s="79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45"/>
      <c r="AK771" s="45"/>
      <c r="AL771" s="45"/>
      <c r="AM771" s="45"/>
      <c r="AN771" s="45"/>
      <c r="AO771" s="45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  <c r="BE771" s="80"/>
      <c r="BF771" s="80"/>
      <c r="BG771" s="80"/>
      <c r="BH771" s="49"/>
      <c r="BI771" s="79"/>
      <c r="BJ771" s="79"/>
      <c r="BK771" s="44"/>
      <c r="BL771" s="79"/>
      <c r="BM771" s="49"/>
      <c r="BN771" s="44"/>
      <c r="BO771" s="49"/>
      <c r="BP771" s="49"/>
      <c r="BQ771" s="44"/>
      <c r="BS771" s="49"/>
      <c r="BT771" s="49"/>
      <c r="BU771" s="49"/>
      <c r="BV771" s="49"/>
      <c r="BW771" s="18"/>
      <c r="BX771" s="19"/>
      <c r="BY771" s="49"/>
      <c r="CF771" s="49"/>
      <c r="CG771" s="49"/>
      <c r="CH771" s="49"/>
      <c r="CI771" s="49"/>
      <c r="CJ771" s="49"/>
      <c r="CK771" s="49"/>
    </row>
    <row r="772" spans="2:89" ht="12.75" customHeight="1" x14ac:dyDescent="0.2">
      <c r="B772" s="77"/>
      <c r="C772" s="79"/>
      <c r="D772" s="79"/>
      <c r="E772" s="79"/>
      <c r="F772" s="79"/>
      <c r="G772" s="79"/>
      <c r="H772" s="79"/>
      <c r="I772" s="79"/>
      <c r="J772" s="78"/>
      <c r="K772" s="79"/>
      <c r="L772" s="79"/>
      <c r="M772" s="79"/>
      <c r="N772" s="79"/>
      <c r="O772" s="79"/>
      <c r="P772" s="79"/>
      <c r="Q772" s="79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45"/>
      <c r="AK772" s="45"/>
      <c r="AL772" s="45"/>
      <c r="AM772" s="45"/>
      <c r="AN772" s="45"/>
      <c r="AO772" s="45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  <c r="BE772" s="80"/>
      <c r="BF772" s="80"/>
      <c r="BG772" s="80"/>
      <c r="BH772" s="49"/>
      <c r="BI772" s="79"/>
      <c r="BJ772" s="79"/>
      <c r="BK772" s="44"/>
      <c r="BL772" s="79"/>
      <c r="BM772" s="49"/>
      <c r="BN772" s="44"/>
      <c r="BO772" s="49"/>
      <c r="BP772" s="49"/>
      <c r="BQ772" s="44"/>
      <c r="BS772" s="49"/>
      <c r="BT772" s="49"/>
      <c r="BU772" s="49"/>
      <c r="BV772" s="49"/>
      <c r="BW772" s="18"/>
      <c r="BX772" s="19"/>
      <c r="BY772" s="49"/>
      <c r="CF772" s="49"/>
      <c r="CG772" s="49"/>
      <c r="CH772" s="49"/>
      <c r="CI772" s="49"/>
      <c r="CJ772" s="49"/>
      <c r="CK772" s="49"/>
    </row>
    <row r="773" spans="2:89" ht="12.75" customHeight="1" x14ac:dyDescent="0.2">
      <c r="B773" s="77"/>
      <c r="C773" s="79"/>
      <c r="D773" s="79"/>
      <c r="E773" s="79"/>
      <c r="F773" s="79"/>
      <c r="G773" s="79"/>
      <c r="H773" s="79"/>
      <c r="I773" s="79"/>
      <c r="J773" s="78"/>
      <c r="K773" s="79"/>
      <c r="L773" s="79"/>
      <c r="M773" s="79"/>
      <c r="N773" s="79"/>
      <c r="O773" s="79"/>
      <c r="P773" s="79"/>
      <c r="Q773" s="79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45"/>
      <c r="AK773" s="45"/>
      <c r="AL773" s="45"/>
      <c r="AM773" s="45"/>
      <c r="AN773" s="45"/>
      <c r="AO773" s="45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  <c r="BE773" s="80"/>
      <c r="BF773" s="80"/>
      <c r="BG773" s="80"/>
      <c r="BH773" s="49"/>
      <c r="BI773" s="79"/>
      <c r="BJ773" s="79"/>
      <c r="BK773" s="44"/>
      <c r="BL773" s="79"/>
      <c r="BM773" s="49"/>
      <c r="BN773" s="44"/>
      <c r="BO773" s="49"/>
      <c r="BP773" s="49"/>
      <c r="BQ773" s="44"/>
      <c r="BS773" s="49"/>
      <c r="BT773" s="49"/>
      <c r="BU773" s="49"/>
      <c r="BV773" s="49"/>
      <c r="BW773" s="18"/>
      <c r="BX773" s="19"/>
      <c r="BY773" s="49"/>
      <c r="CF773" s="49"/>
      <c r="CG773" s="49"/>
      <c r="CH773" s="49"/>
      <c r="CI773" s="49"/>
      <c r="CJ773" s="49"/>
      <c r="CK773" s="49"/>
    </row>
    <row r="774" spans="2:89" ht="12.75" customHeight="1" x14ac:dyDescent="0.2">
      <c r="B774" s="77"/>
      <c r="C774" s="79"/>
      <c r="D774" s="79"/>
      <c r="E774" s="79"/>
      <c r="F774" s="79"/>
      <c r="G774" s="79"/>
      <c r="H774" s="79"/>
      <c r="I774" s="79"/>
      <c r="J774" s="78"/>
      <c r="K774" s="79"/>
      <c r="L774" s="79"/>
      <c r="M774" s="79"/>
      <c r="N774" s="79"/>
      <c r="O774" s="79"/>
      <c r="P774" s="79"/>
      <c r="Q774" s="79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45"/>
      <c r="AK774" s="45"/>
      <c r="AL774" s="45"/>
      <c r="AM774" s="45"/>
      <c r="AN774" s="45"/>
      <c r="AO774" s="45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  <c r="BE774" s="80"/>
      <c r="BF774" s="80"/>
      <c r="BG774" s="80"/>
      <c r="BH774" s="49"/>
      <c r="BI774" s="79"/>
      <c r="BJ774" s="79"/>
      <c r="BK774" s="44"/>
      <c r="BL774" s="79"/>
      <c r="BM774" s="49"/>
      <c r="BN774" s="44"/>
      <c r="BO774" s="49"/>
      <c r="BP774" s="49"/>
      <c r="BQ774" s="44"/>
      <c r="BS774" s="49"/>
      <c r="BT774" s="49"/>
      <c r="BU774" s="49"/>
      <c r="BV774" s="49"/>
      <c r="BW774" s="18"/>
      <c r="BX774" s="19"/>
      <c r="BY774" s="49"/>
      <c r="CF774" s="49"/>
      <c r="CG774" s="49"/>
      <c r="CH774" s="49"/>
      <c r="CI774" s="49"/>
      <c r="CJ774" s="49"/>
      <c r="CK774" s="49"/>
    </row>
    <row r="775" spans="2:89" ht="12.75" customHeight="1" x14ac:dyDescent="0.2">
      <c r="B775" s="77"/>
      <c r="C775" s="79"/>
      <c r="D775" s="79"/>
      <c r="E775" s="79"/>
      <c r="F775" s="79"/>
      <c r="G775" s="79"/>
      <c r="H775" s="79"/>
      <c r="I775" s="79"/>
      <c r="J775" s="78"/>
      <c r="K775" s="79"/>
      <c r="L775" s="79"/>
      <c r="M775" s="79"/>
      <c r="N775" s="79"/>
      <c r="O775" s="79"/>
      <c r="P775" s="79"/>
      <c r="Q775" s="79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45"/>
      <c r="AK775" s="45"/>
      <c r="AL775" s="45"/>
      <c r="AM775" s="45"/>
      <c r="AN775" s="45"/>
      <c r="AO775" s="45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  <c r="BE775" s="80"/>
      <c r="BF775" s="80"/>
      <c r="BG775" s="80"/>
      <c r="BH775" s="49"/>
      <c r="BI775" s="79"/>
      <c r="BJ775" s="79"/>
      <c r="BK775" s="44"/>
      <c r="BL775" s="79"/>
      <c r="BM775" s="49"/>
      <c r="BN775" s="44"/>
      <c r="BO775" s="49"/>
      <c r="BP775" s="49"/>
      <c r="BQ775" s="44"/>
      <c r="BS775" s="49"/>
      <c r="BT775" s="49"/>
      <c r="BU775" s="49"/>
      <c r="BV775" s="49"/>
      <c r="BW775" s="18"/>
      <c r="BX775" s="19"/>
      <c r="BY775" s="49"/>
      <c r="CF775" s="49"/>
      <c r="CG775" s="49"/>
      <c r="CH775" s="49"/>
      <c r="CI775" s="49"/>
      <c r="CJ775" s="49"/>
      <c r="CK775" s="49"/>
    </row>
    <row r="776" spans="2:89" ht="12.75" customHeight="1" x14ac:dyDescent="0.2">
      <c r="B776" s="77"/>
      <c r="C776" s="79"/>
      <c r="D776" s="79"/>
      <c r="E776" s="79"/>
      <c r="F776" s="79"/>
      <c r="G776" s="79"/>
      <c r="H776" s="79"/>
      <c r="I776" s="79"/>
      <c r="J776" s="78"/>
      <c r="K776" s="79"/>
      <c r="L776" s="79"/>
      <c r="M776" s="79"/>
      <c r="N776" s="79"/>
      <c r="O776" s="79"/>
      <c r="P776" s="79"/>
      <c r="Q776" s="79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45"/>
      <c r="AK776" s="45"/>
      <c r="AL776" s="45"/>
      <c r="AM776" s="45"/>
      <c r="AN776" s="45"/>
      <c r="AO776" s="45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  <c r="BE776" s="80"/>
      <c r="BF776" s="80"/>
      <c r="BG776" s="80"/>
      <c r="BH776" s="49"/>
      <c r="BI776" s="79"/>
      <c r="BJ776" s="79"/>
      <c r="BK776" s="44"/>
      <c r="BL776" s="79"/>
      <c r="BM776" s="49"/>
      <c r="BN776" s="44"/>
      <c r="BO776" s="49"/>
      <c r="BP776" s="49"/>
      <c r="BQ776" s="44"/>
      <c r="BS776" s="49"/>
      <c r="BT776" s="49"/>
      <c r="BU776" s="49"/>
      <c r="BV776" s="49"/>
      <c r="BW776" s="18"/>
      <c r="BX776" s="19"/>
      <c r="BY776" s="49"/>
      <c r="CF776" s="49"/>
      <c r="CG776" s="49"/>
      <c r="CH776" s="49"/>
      <c r="CI776" s="49"/>
      <c r="CJ776" s="49"/>
      <c r="CK776" s="49"/>
    </row>
    <row r="777" spans="2:89" ht="12.75" customHeight="1" x14ac:dyDescent="0.2">
      <c r="B777" s="77"/>
      <c r="C777" s="79"/>
      <c r="D777" s="79"/>
      <c r="E777" s="79"/>
      <c r="F777" s="79"/>
      <c r="G777" s="79"/>
      <c r="H777" s="79"/>
      <c r="I777" s="79"/>
      <c r="J777" s="78"/>
      <c r="K777" s="79"/>
      <c r="L777" s="79"/>
      <c r="M777" s="79"/>
      <c r="N777" s="79"/>
      <c r="O777" s="79"/>
      <c r="P777" s="79"/>
      <c r="Q777" s="79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45"/>
      <c r="AK777" s="45"/>
      <c r="AL777" s="45"/>
      <c r="AM777" s="45"/>
      <c r="AN777" s="45"/>
      <c r="AO777" s="45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  <c r="BE777" s="80"/>
      <c r="BF777" s="80"/>
      <c r="BG777" s="80"/>
      <c r="BH777" s="49"/>
      <c r="BI777" s="79"/>
      <c r="BJ777" s="79"/>
      <c r="BK777" s="44"/>
      <c r="BL777" s="79"/>
      <c r="BM777" s="49"/>
      <c r="BN777" s="44"/>
      <c r="BO777" s="49"/>
      <c r="BP777" s="49"/>
      <c r="BQ777" s="44"/>
      <c r="BS777" s="49"/>
      <c r="BT777" s="49"/>
      <c r="BU777" s="49"/>
      <c r="BV777" s="49"/>
      <c r="BW777" s="18"/>
      <c r="BX777" s="19"/>
      <c r="BY777" s="49"/>
      <c r="CF777" s="49"/>
      <c r="CG777" s="49"/>
      <c r="CH777" s="49"/>
      <c r="CI777" s="49"/>
      <c r="CJ777" s="49"/>
      <c r="CK777" s="49"/>
    </row>
    <row r="778" spans="2:89" ht="12.75" customHeight="1" x14ac:dyDescent="0.2">
      <c r="B778" s="77"/>
      <c r="C778" s="79"/>
      <c r="D778" s="79"/>
      <c r="E778" s="79"/>
      <c r="F778" s="79"/>
      <c r="G778" s="79"/>
      <c r="H778" s="79"/>
      <c r="I778" s="79"/>
      <c r="J778" s="78"/>
      <c r="K778" s="79"/>
      <c r="L778" s="79"/>
      <c r="M778" s="79"/>
      <c r="N778" s="79"/>
      <c r="O778" s="79"/>
      <c r="P778" s="79"/>
      <c r="Q778" s="79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45"/>
      <c r="AK778" s="45"/>
      <c r="AL778" s="45"/>
      <c r="AM778" s="45"/>
      <c r="AN778" s="45"/>
      <c r="AO778" s="45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  <c r="BE778" s="80"/>
      <c r="BF778" s="80"/>
      <c r="BG778" s="80"/>
      <c r="BH778" s="49"/>
      <c r="BI778" s="79"/>
      <c r="BJ778" s="79"/>
      <c r="BK778" s="44"/>
      <c r="BL778" s="79"/>
      <c r="BM778" s="49"/>
      <c r="BN778" s="44"/>
      <c r="BO778" s="49"/>
      <c r="BP778" s="49"/>
      <c r="BQ778" s="44"/>
      <c r="BS778" s="49"/>
      <c r="BT778" s="49"/>
      <c r="BU778" s="49"/>
      <c r="BV778" s="49"/>
      <c r="BW778" s="18"/>
      <c r="BX778" s="19"/>
      <c r="BY778" s="49"/>
      <c r="CF778" s="49"/>
      <c r="CG778" s="49"/>
      <c r="CH778" s="49"/>
      <c r="CI778" s="49"/>
      <c r="CJ778" s="49"/>
      <c r="CK778" s="49"/>
    </row>
    <row r="779" spans="2:89" ht="12.75" customHeight="1" x14ac:dyDescent="0.2">
      <c r="B779" s="77"/>
      <c r="C779" s="79"/>
      <c r="D779" s="79"/>
      <c r="E779" s="79"/>
      <c r="F779" s="79"/>
      <c r="G779" s="79"/>
      <c r="H779" s="79"/>
      <c r="I779" s="79"/>
      <c r="J779" s="78"/>
      <c r="K779" s="79"/>
      <c r="L779" s="79"/>
      <c r="M779" s="79"/>
      <c r="N779" s="79"/>
      <c r="O779" s="79"/>
      <c r="P779" s="79"/>
      <c r="Q779" s="79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45"/>
      <c r="AK779" s="45"/>
      <c r="AL779" s="45"/>
      <c r="AM779" s="45"/>
      <c r="AN779" s="45"/>
      <c r="AO779" s="45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  <c r="BE779" s="80"/>
      <c r="BF779" s="80"/>
      <c r="BG779" s="80"/>
      <c r="BH779" s="49"/>
      <c r="BI779" s="79"/>
      <c r="BJ779" s="79"/>
      <c r="BK779" s="44"/>
      <c r="BL779" s="79"/>
      <c r="BM779" s="49"/>
      <c r="BN779" s="44"/>
      <c r="BO779" s="49"/>
      <c r="BP779" s="49"/>
      <c r="BQ779" s="44"/>
      <c r="BS779" s="49"/>
      <c r="BT779" s="49"/>
      <c r="BU779" s="49"/>
      <c r="BV779" s="49"/>
      <c r="BW779" s="18"/>
      <c r="BX779" s="19"/>
      <c r="BY779" s="49"/>
      <c r="CF779" s="49"/>
      <c r="CG779" s="49"/>
      <c r="CH779" s="49"/>
      <c r="CI779" s="49"/>
      <c r="CJ779" s="49"/>
      <c r="CK779" s="49"/>
    </row>
    <row r="780" spans="2:89" ht="12.75" customHeight="1" x14ac:dyDescent="0.2">
      <c r="B780" s="77"/>
      <c r="C780" s="79"/>
      <c r="D780" s="79"/>
      <c r="E780" s="79"/>
      <c r="F780" s="79"/>
      <c r="G780" s="79"/>
      <c r="H780" s="79"/>
      <c r="I780" s="79"/>
      <c r="J780" s="78"/>
      <c r="K780" s="79"/>
      <c r="L780" s="79"/>
      <c r="M780" s="79"/>
      <c r="N780" s="79"/>
      <c r="O780" s="79"/>
      <c r="P780" s="79"/>
      <c r="Q780" s="79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45"/>
      <c r="AK780" s="45"/>
      <c r="AL780" s="45"/>
      <c r="AM780" s="45"/>
      <c r="AN780" s="45"/>
      <c r="AO780" s="45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  <c r="BE780" s="80"/>
      <c r="BF780" s="80"/>
      <c r="BG780" s="80"/>
      <c r="BH780" s="49"/>
      <c r="BI780" s="79"/>
      <c r="BJ780" s="79"/>
      <c r="BK780" s="44"/>
      <c r="BL780" s="79"/>
      <c r="BM780" s="49"/>
      <c r="BN780" s="44"/>
      <c r="BO780" s="49"/>
      <c r="BP780" s="49"/>
      <c r="BQ780" s="44"/>
      <c r="BS780" s="49"/>
      <c r="BT780" s="49"/>
      <c r="BU780" s="49"/>
      <c r="BV780" s="49"/>
      <c r="BW780" s="18"/>
      <c r="BX780" s="19"/>
      <c r="BY780" s="49"/>
      <c r="CF780" s="49"/>
      <c r="CG780" s="49"/>
      <c r="CH780" s="49"/>
      <c r="CI780" s="49"/>
      <c r="CJ780" s="49"/>
      <c r="CK780" s="49"/>
    </row>
    <row r="781" spans="2:89" ht="12.75" customHeight="1" x14ac:dyDescent="0.2">
      <c r="B781" s="77"/>
      <c r="C781" s="79"/>
      <c r="D781" s="79"/>
      <c r="E781" s="79"/>
      <c r="F781" s="79"/>
      <c r="G781" s="79"/>
      <c r="H781" s="79"/>
      <c r="I781" s="79"/>
      <c r="J781" s="78"/>
      <c r="K781" s="79"/>
      <c r="L781" s="79"/>
      <c r="M781" s="79"/>
      <c r="N781" s="79"/>
      <c r="O781" s="79"/>
      <c r="P781" s="79"/>
      <c r="Q781" s="79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45"/>
      <c r="AK781" s="45"/>
      <c r="AL781" s="45"/>
      <c r="AM781" s="45"/>
      <c r="AN781" s="45"/>
      <c r="AO781" s="45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  <c r="BE781" s="80"/>
      <c r="BF781" s="80"/>
      <c r="BG781" s="80"/>
      <c r="BH781" s="49"/>
      <c r="BI781" s="79"/>
      <c r="BJ781" s="79"/>
      <c r="BK781" s="44"/>
      <c r="BL781" s="79"/>
      <c r="BM781" s="49"/>
      <c r="BN781" s="44"/>
      <c r="BO781" s="49"/>
      <c r="BP781" s="49"/>
      <c r="BQ781" s="44"/>
      <c r="BS781" s="49"/>
      <c r="BT781" s="49"/>
      <c r="BU781" s="49"/>
      <c r="BV781" s="49"/>
      <c r="BW781" s="18"/>
      <c r="BX781" s="19"/>
      <c r="BY781" s="49"/>
      <c r="CF781" s="49"/>
      <c r="CG781" s="49"/>
      <c r="CH781" s="49"/>
      <c r="CI781" s="49"/>
      <c r="CJ781" s="49"/>
      <c r="CK781" s="49"/>
    </row>
    <row r="782" spans="2:89" ht="12.75" customHeight="1" x14ac:dyDescent="0.2">
      <c r="B782" s="77"/>
      <c r="C782" s="79"/>
      <c r="D782" s="79"/>
      <c r="E782" s="79"/>
      <c r="F782" s="79"/>
      <c r="G782" s="79"/>
      <c r="H782" s="79"/>
      <c r="I782" s="79"/>
      <c r="J782" s="78"/>
      <c r="K782" s="79"/>
      <c r="L782" s="79"/>
      <c r="M782" s="79"/>
      <c r="N782" s="79"/>
      <c r="O782" s="79"/>
      <c r="P782" s="79"/>
      <c r="Q782" s="79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45"/>
      <c r="AK782" s="45"/>
      <c r="AL782" s="45"/>
      <c r="AM782" s="45"/>
      <c r="AN782" s="45"/>
      <c r="AO782" s="45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  <c r="BE782" s="80"/>
      <c r="BF782" s="80"/>
      <c r="BG782" s="80"/>
      <c r="BH782" s="49"/>
      <c r="BI782" s="79"/>
      <c r="BJ782" s="79"/>
      <c r="BK782" s="44"/>
      <c r="BL782" s="79"/>
      <c r="BM782" s="49"/>
      <c r="BN782" s="44"/>
      <c r="BO782" s="49"/>
      <c r="BP782" s="49"/>
      <c r="BQ782" s="44"/>
      <c r="BS782" s="49"/>
      <c r="BT782" s="49"/>
      <c r="BU782" s="49"/>
      <c r="BV782" s="49"/>
      <c r="BW782" s="18"/>
      <c r="BX782" s="19"/>
      <c r="BY782" s="49"/>
      <c r="CF782" s="49"/>
      <c r="CG782" s="49"/>
      <c r="CH782" s="49"/>
      <c r="CI782" s="49"/>
      <c r="CJ782" s="49"/>
      <c r="CK782" s="49"/>
    </row>
    <row r="783" spans="2:89" ht="12.75" customHeight="1" x14ac:dyDescent="0.2">
      <c r="B783" s="77"/>
      <c r="C783" s="79"/>
      <c r="D783" s="79"/>
      <c r="E783" s="79"/>
      <c r="F783" s="79"/>
      <c r="G783" s="79"/>
      <c r="H783" s="79"/>
      <c r="I783" s="79"/>
      <c r="J783" s="78"/>
      <c r="K783" s="79"/>
      <c r="L783" s="79"/>
      <c r="M783" s="79"/>
      <c r="N783" s="79"/>
      <c r="O783" s="79"/>
      <c r="P783" s="79"/>
      <c r="Q783" s="79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45"/>
      <c r="AK783" s="45"/>
      <c r="AL783" s="45"/>
      <c r="AM783" s="45"/>
      <c r="AN783" s="45"/>
      <c r="AO783" s="45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  <c r="BE783" s="80"/>
      <c r="BF783" s="80"/>
      <c r="BG783" s="80"/>
      <c r="BH783" s="49"/>
      <c r="BI783" s="79"/>
      <c r="BJ783" s="79"/>
      <c r="BK783" s="44"/>
      <c r="BL783" s="79"/>
      <c r="BM783" s="49"/>
      <c r="BN783" s="44"/>
      <c r="BO783" s="49"/>
      <c r="BP783" s="49"/>
      <c r="BQ783" s="44"/>
      <c r="BS783" s="49"/>
      <c r="BT783" s="49"/>
      <c r="BU783" s="49"/>
      <c r="BV783" s="49"/>
      <c r="BW783" s="18"/>
      <c r="BX783" s="19"/>
      <c r="BY783" s="49"/>
      <c r="CF783" s="49"/>
      <c r="CG783" s="49"/>
      <c r="CH783" s="49"/>
      <c r="CI783" s="49"/>
      <c r="CJ783" s="49"/>
      <c r="CK783" s="49"/>
    </row>
    <row r="784" spans="2:89" ht="12.75" customHeight="1" x14ac:dyDescent="0.2">
      <c r="B784" s="77"/>
      <c r="C784" s="79"/>
      <c r="D784" s="79"/>
      <c r="E784" s="79"/>
      <c r="F784" s="79"/>
      <c r="G784" s="79"/>
      <c r="H784" s="79"/>
      <c r="I784" s="79"/>
      <c r="J784" s="78"/>
      <c r="K784" s="79"/>
      <c r="L784" s="79"/>
      <c r="M784" s="79"/>
      <c r="N784" s="79"/>
      <c r="O784" s="79"/>
      <c r="P784" s="79"/>
      <c r="Q784" s="79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45"/>
      <c r="AK784" s="45"/>
      <c r="AL784" s="45"/>
      <c r="AM784" s="45"/>
      <c r="AN784" s="45"/>
      <c r="AO784" s="45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  <c r="BE784" s="80"/>
      <c r="BF784" s="80"/>
      <c r="BG784" s="80"/>
      <c r="BH784" s="49"/>
      <c r="BI784" s="79"/>
      <c r="BJ784" s="79"/>
      <c r="BK784" s="44"/>
      <c r="BL784" s="79"/>
      <c r="BM784" s="49"/>
      <c r="BN784" s="44"/>
      <c r="BO784" s="49"/>
      <c r="BP784" s="49"/>
      <c r="BQ784" s="44"/>
      <c r="BS784" s="49"/>
      <c r="BT784" s="49"/>
      <c r="BU784" s="49"/>
      <c r="BV784" s="49"/>
      <c r="BW784" s="18"/>
      <c r="BX784" s="19"/>
      <c r="BY784" s="49"/>
      <c r="CF784" s="49"/>
      <c r="CG784" s="49"/>
      <c r="CH784" s="49"/>
      <c r="CI784" s="49"/>
      <c r="CJ784" s="49"/>
      <c r="CK784" s="49"/>
    </row>
    <row r="785" spans="2:89" ht="12.75" customHeight="1" x14ac:dyDescent="0.2">
      <c r="B785" s="77"/>
      <c r="C785" s="79"/>
      <c r="D785" s="79"/>
      <c r="E785" s="79"/>
      <c r="F785" s="79"/>
      <c r="G785" s="79"/>
      <c r="H785" s="79"/>
      <c r="I785" s="79"/>
      <c r="J785" s="78"/>
      <c r="K785" s="79"/>
      <c r="L785" s="79"/>
      <c r="M785" s="79"/>
      <c r="N785" s="79"/>
      <c r="O785" s="79"/>
      <c r="P785" s="79"/>
      <c r="Q785" s="79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45"/>
      <c r="AK785" s="45"/>
      <c r="AL785" s="45"/>
      <c r="AM785" s="45"/>
      <c r="AN785" s="45"/>
      <c r="AO785" s="45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  <c r="AZ785" s="80"/>
      <c r="BA785" s="80"/>
      <c r="BB785" s="80"/>
      <c r="BC785" s="80"/>
      <c r="BD785" s="80"/>
      <c r="BE785" s="80"/>
      <c r="BF785" s="80"/>
      <c r="BG785" s="80"/>
      <c r="BH785" s="49"/>
      <c r="BI785" s="79"/>
      <c r="BJ785" s="79"/>
      <c r="BK785" s="44"/>
      <c r="BL785" s="79"/>
      <c r="BM785" s="49"/>
      <c r="BN785" s="44"/>
      <c r="BO785" s="49"/>
      <c r="BP785" s="49"/>
      <c r="BQ785" s="44"/>
      <c r="BS785" s="49"/>
      <c r="BT785" s="49"/>
      <c r="BU785" s="49"/>
      <c r="BV785" s="49"/>
      <c r="BW785" s="18"/>
      <c r="BX785" s="19"/>
      <c r="BY785" s="49"/>
      <c r="CF785" s="49"/>
      <c r="CG785" s="49"/>
      <c r="CH785" s="49"/>
      <c r="CI785" s="49"/>
      <c r="CJ785" s="49"/>
      <c r="CK785" s="49"/>
    </row>
    <row r="786" spans="2:89" ht="12.75" customHeight="1" x14ac:dyDescent="0.2">
      <c r="B786" s="77"/>
      <c r="C786" s="79"/>
      <c r="D786" s="79"/>
      <c r="E786" s="79"/>
      <c r="F786" s="79"/>
      <c r="G786" s="79"/>
      <c r="H786" s="79"/>
      <c r="I786" s="79"/>
      <c r="J786" s="78"/>
      <c r="K786" s="79"/>
      <c r="L786" s="79"/>
      <c r="M786" s="79"/>
      <c r="N786" s="79"/>
      <c r="O786" s="79"/>
      <c r="P786" s="79"/>
      <c r="Q786" s="79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45"/>
      <c r="AK786" s="45"/>
      <c r="AL786" s="45"/>
      <c r="AM786" s="45"/>
      <c r="AN786" s="45"/>
      <c r="AO786" s="45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  <c r="AZ786" s="80"/>
      <c r="BA786" s="80"/>
      <c r="BB786" s="80"/>
      <c r="BC786" s="80"/>
      <c r="BD786" s="80"/>
      <c r="BE786" s="80"/>
      <c r="BF786" s="80"/>
      <c r="BG786" s="80"/>
      <c r="BH786" s="49"/>
      <c r="BI786" s="79"/>
      <c r="BJ786" s="79"/>
      <c r="BK786" s="44"/>
      <c r="BL786" s="79"/>
      <c r="BM786" s="49"/>
      <c r="BN786" s="44"/>
      <c r="BO786" s="49"/>
      <c r="BP786" s="49"/>
      <c r="BQ786" s="44"/>
      <c r="BS786" s="49"/>
      <c r="BT786" s="49"/>
      <c r="BU786" s="49"/>
      <c r="BV786" s="49"/>
      <c r="BW786" s="18"/>
      <c r="BX786" s="19"/>
      <c r="BY786" s="49"/>
      <c r="CF786" s="49"/>
      <c r="CG786" s="49"/>
      <c r="CH786" s="49"/>
      <c r="CI786" s="49"/>
      <c r="CJ786" s="49"/>
      <c r="CK786" s="49"/>
    </row>
    <row r="787" spans="2:89" ht="12.75" customHeight="1" x14ac:dyDescent="0.2">
      <c r="B787" s="77"/>
      <c r="C787" s="79"/>
      <c r="D787" s="79"/>
      <c r="E787" s="79"/>
      <c r="F787" s="79"/>
      <c r="G787" s="79"/>
      <c r="H787" s="79"/>
      <c r="I787" s="79"/>
      <c r="J787" s="78"/>
      <c r="K787" s="79"/>
      <c r="L787" s="79"/>
      <c r="M787" s="79"/>
      <c r="N787" s="79"/>
      <c r="O787" s="79"/>
      <c r="P787" s="79"/>
      <c r="Q787" s="79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45"/>
      <c r="AK787" s="45"/>
      <c r="AL787" s="45"/>
      <c r="AM787" s="45"/>
      <c r="AN787" s="45"/>
      <c r="AO787" s="45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  <c r="AZ787" s="80"/>
      <c r="BA787" s="80"/>
      <c r="BB787" s="80"/>
      <c r="BC787" s="80"/>
      <c r="BD787" s="80"/>
      <c r="BE787" s="80"/>
      <c r="BF787" s="80"/>
      <c r="BG787" s="80"/>
      <c r="BH787" s="49"/>
      <c r="BI787" s="79"/>
      <c r="BJ787" s="79"/>
      <c r="BK787" s="44"/>
      <c r="BL787" s="79"/>
      <c r="BM787" s="49"/>
      <c r="BN787" s="44"/>
      <c r="BO787" s="49"/>
      <c r="BP787" s="49"/>
      <c r="BQ787" s="44"/>
      <c r="BS787" s="49"/>
      <c r="BT787" s="49"/>
      <c r="BU787" s="49"/>
      <c r="BV787" s="49"/>
      <c r="BW787" s="18"/>
      <c r="BX787" s="19"/>
      <c r="BY787" s="49"/>
      <c r="CF787" s="49"/>
      <c r="CG787" s="49"/>
      <c r="CH787" s="49"/>
      <c r="CI787" s="49"/>
      <c r="CJ787" s="49"/>
      <c r="CK787" s="49"/>
    </row>
    <row r="788" spans="2:89" ht="12.75" customHeight="1" x14ac:dyDescent="0.2">
      <c r="B788" s="77"/>
      <c r="C788" s="79"/>
      <c r="D788" s="79"/>
      <c r="E788" s="79"/>
      <c r="F788" s="79"/>
      <c r="G788" s="79"/>
      <c r="H788" s="79"/>
      <c r="I788" s="79"/>
      <c r="J788" s="78"/>
      <c r="K788" s="79"/>
      <c r="L788" s="79"/>
      <c r="M788" s="79"/>
      <c r="N788" s="79"/>
      <c r="O788" s="79"/>
      <c r="P788" s="79"/>
      <c r="Q788" s="79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45"/>
      <c r="AK788" s="45"/>
      <c r="AL788" s="45"/>
      <c r="AM788" s="45"/>
      <c r="AN788" s="45"/>
      <c r="AO788" s="45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  <c r="BE788" s="80"/>
      <c r="BF788" s="80"/>
      <c r="BG788" s="80"/>
      <c r="BH788" s="49"/>
      <c r="BI788" s="79"/>
      <c r="BJ788" s="79"/>
      <c r="BK788" s="44"/>
      <c r="BL788" s="79"/>
      <c r="BM788" s="49"/>
      <c r="BN788" s="44"/>
      <c r="BO788" s="49"/>
      <c r="BP788" s="49"/>
      <c r="BQ788" s="44"/>
      <c r="BS788" s="49"/>
      <c r="BT788" s="49"/>
      <c r="BU788" s="49"/>
      <c r="BV788" s="49"/>
      <c r="BW788" s="18"/>
      <c r="BX788" s="19"/>
      <c r="BY788" s="49"/>
      <c r="CF788" s="49"/>
      <c r="CG788" s="49"/>
      <c r="CH788" s="49"/>
      <c r="CI788" s="49"/>
      <c r="CJ788" s="49"/>
      <c r="CK788" s="49"/>
    </row>
    <row r="789" spans="2:89" ht="12.75" customHeight="1" x14ac:dyDescent="0.2">
      <c r="B789" s="77"/>
      <c r="C789" s="79"/>
      <c r="D789" s="79"/>
      <c r="E789" s="79"/>
      <c r="F789" s="79"/>
      <c r="G789" s="79"/>
      <c r="H789" s="79"/>
      <c r="I789" s="79"/>
      <c r="J789" s="78"/>
      <c r="K789" s="79"/>
      <c r="L789" s="79"/>
      <c r="M789" s="79"/>
      <c r="N789" s="79"/>
      <c r="O789" s="79"/>
      <c r="P789" s="79"/>
      <c r="Q789" s="79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45"/>
      <c r="AK789" s="45"/>
      <c r="AL789" s="45"/>
      <c r="AM789" s="45"/>
      <c r="AN789" s="45"/>
      <c r="AO789" s="45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  <c r="AZ789" s="80"/>
      <c r="BA789" s="80"/>
      <c r="BB789" s="80"/>
      <c r="BC789" s="80"/>
      <c r="BD789" s="80"/>
      <c r="BE789" s="80"/>
      <c r="BF789" s="80"/>
      <c r="BG789" s="80"/>
      <c r="BH789" s="49"/>
      <c r="BI789" s="79"/>
      <c r="BJ789" s="79"/>
      <c r="BK789" s="44"/>
      <c r="BL789" s="79"/>
      <c r="BM789" s="49"/>
      <c r="BN789" s="44"/>
      <c r="BO789" s="49"/>
      <c r="BP789" s="49"/>
      <c r="BQ789" s="44"/>
      <c r="BS789" s="49"/>
      <c r="BT789" s="49"/>
      <c r="BU789" s="49"/>
      <c r="BV789" s="49"/>
      <c r="BW789" s="18"/>
      <c r="BX789" s="19"/>
      <c r="BY789" s="49"/>
      <c r="CF789" s="49"/>
      <c r="CG789" s="49"/>
      <c r="CH789" s="49"/>
      <c r="CI789" s="49"/>
      <c r="CJ789" s="49"/>
      <c r="CK789" s="49"/>
    </row>
    <row r="790" spans="2:89" ht="12.75" customHeight="1" x14ac:dyDescent="0.2">
      <c r="B790" s="77"/>
      <c r="C790" s="79"/>
      <c r="D790" s="79"/>
      <c r="E790" s="79"/>
      <c r="F790" s="79"/>
      <c r="G790" s="79"/>
      <c r="H790" s="79"/>
      <c r="I790" s="79"/>
      <c r="J790" s="78"/>
      <c r="K790" s="79"/>
      <c r="L790" s="79"/>
      <c r="M790" s="79"/>
      <c r="N790" s="79"/>
      <c r="O790" s="79"/>
      <c r="P790" s="79"/>
      <c r="Q790" s="79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45"/>
      <c r="AK790" s="45"/>
      <c r="AL790" s="45"/>
      <c r="AM790" s="45"/>
      <c r="AN790" s="45"/>
      <c r="AO790" s="45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  <c r="BA790" s="80"/>
      <c r="BB790" s="80"/>
      <c r="BC790" s="80"/>
      <c r="BD790" s="80"/>
      <c r="BE790" s="80"/>
      <c r="BF790" s="80"/>
      <c r="BG790" s="80"/>
      <c r="BH790" s="49"/>
      <c r="BI790" s="79"/>
      <c r="BJ790" s="79"/>
      <c r="BK790" s="44"/>
      <c r="BL790" s="79"/>
      <c r="BM790" s="49"/>
      <c r="BN790" s="44"/>
      <c r="BO790" s="49"/>
      <c r="BP790" s="49"/>
      <c r="BQ790" s="44"/>
      <c r="BS790" s="49"/>
      <c r="BT790" s="49"/>
      <c r="BU790" s="49"/>
      <c r="BV790" s="49"/>
      <c r="BW790" s="18"/>
      <c r="BX790" s="19"/>
      <c r="BY790" s="49"/>
      <c r="CF790" s="49"/>
      <c r="CG790" s="49"/>
      <c r="CH790" s="49"/>
      <c r="CI790" s="49"/>
      <c r="CJ790" s="49"/>
      <c r="CK790" s="49"/>
    </row>
    <row r="791" spans="2:89" ht="12.75" customHeight="1" x14ac:dyDescent="0.2">
      <c r="B791" s="77"/>
      <c r="C791" s="79"/>
      <c r="D791" s="79"/>
      <c r="E791" s="79"/>
      <c r="F791" s="79"/>
      <c r="G791" s="79"/>
      <c r="H791" s="79"/>
      <c r="I791" s="79"/>
      <c r="J791" s="78"/>
      <c r="K791" s="79"/>
      <c r="L791" s="79"/>
      <c r="M791" s="79"/>
      <c r="N791" s="79"/>
      <c r="O791" s="79"/>
      <c r="P791" s="79"/>
      <c r="Q791" s="79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45"/>
      <c r="AK791" s="45"/>
      <c r="AL791" s="45"/>
      <c r="AM791" s="45"/>
      <c r="AN791" s="45"/>
      <c r="AO791" s="45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  <c r="AZ791" s="80"/>
      <c r="BA791" s="80"/>
      <c r="BB791" s="80"/>
      <c r="BC791" s="80"/>
      <c r="BD791" s="80"/>
      <c r="BE791" s="80"/>
      <c r="BF791" s="80"/>
      <c r="BG791" s="80"/>
      <c r="BH791" s="49"/>
      <c r="BI791" s="79"/>
      <c r="BJ791" s="79"/>
      <c r="BK791" s="44"/>
      <c r="BL791" s="79"/>
      <c r="BM791" s="49"/>
      <c r="BN791" s="44"/>
      <c r="BO791" s="49"/>
      <c r="BP791" s="49"/>
      <c r="BQ791" s="44"/>
      <c r="BS791" s="49"/>
      <c r="BT791" s="49"/>
      <c r="BU791" s="49"/>
      <c r="BV791" s="49"/>
      <c r="BW791" s="18"/>
      <c r="BX791" s="19"/>
      <c r="BY791" s="49"/>
      <c r="CF791" s="49"/>
      <c r="CG791" s="49"/>
      <c r="CH791" s="49"/>
      <c r="CI791" s="49"/>
      <c r="CJ791" s="49"/>
      <c r="CK791" s="49"/>
    </row>
    <row r="792" spans="2:89" ht="12.75" customHeight="1" x14ac:dyDescent="0.2">
      <c r="B792" s="77"/>
      <c r="C792" s="79"/>
      <c r="D792" s="79"/>
      <c r="E792" s="79"/>
      <c r="F792" s="79"/>
      <c r="G792" s="79"/>
      <c r="H792" s="79"/>
      <c r="I792" s="79"/>
      <c r="J792" s="78"/>
      <c r="K792" s="79"/>
      <c r="L792" s="79"/>
      <c r="M792" s="79"/>
      <c r="N792" s="79"/>
      <c r="O792" s="79"/>
      <c r="P792" s="79"/>
      <c r="Q792" s="79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45"/>
      <c r="AK792" s="45"/>
      <c r="AL792" s="45"/>
      <c r="AM792" s="45"/>
      <c r="AN792" s="45"/>
      <c r="AO792" s="45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  <c r="AZ792" s="80"/>
      <c r="BA792" s="80"/>
      <c r="BB792" s="80"/>
      <c r="BC792" s="80"/>
      <c r="BD792" s="80"/>
      <c r="BE792" s="80"/>
      <c r="BF792" s="80"/>
      <c r="BG792" s="80"/>
      <c r="BH792" s="49"/>
      <c r="BI792" s="79"/>
      <c r="BJ792" s="79"/>
      <c r="BK792" s="44"/>
      <c r="BL792" s="79"/>
      <c r="BM792" s="49"/>
      <c r="BN792" s="44"/>
      <c r="BO792" s="49"/>
      <c r="BP792" s="49"/>
      <c r="BQ792" s="44"/>
      <c r="BS792" s="49"/>
      <c r="BT792" s="49"/>
      <c r="BU792" s="49"/>
      <c r="BV792" s="49"/>
      <c r="BW792" s="18"/>
      <c r="BX792" s="19"/>
      <c r="BY792" s="49"/>
      <c r="CF792" s="49"/>
      <c r="CG792" s="49"/>
      <c r="CH792" s="49"/>
      <c r="CI792" s="49"/>
      <c r="CJ792" s="49"/>
      <c r="CK792" s="49"/>
    </row>
    <row r="793" spans="2:89" ht="12.75" customHeight="1" x14ac:dyDescent="0.2">
      <c r="B793" s="77"/>
      <c r="C793" s="79"/>
      <c r="D793" s="79"/>
      <c r="E793" s="79"/>
      <c r="F793" s="79"/>
      <c r="G793" s="79"/>
      <c r="H793" s="79"/>
      <c r="I793" s="79"/>
      <c r="J793" s="78"/>
      <c r="K793" s="79"/>
      <c r="L793" s="79"/>
      <c r="M793" s="79"/>
      <c r="N793" s="79"/>
      <c r="O793" s="79"/>
      <c r="P793" s="79"/>
      <c r="Q793" s="79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45"/>
      <c r="AK793" s="45"/>
      <c r="AL793" s="45"/>
      <c r="AM793" s="45"/>
      <c r="AN793" s="45"/>
      <c r="AO793" s="45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  <c r="AZ793" s="80"/>
      <c r="BA793" s="80"/>
      <c r="BB793" s="80"/>
      <c r="BC793" s="80"/>
      <c r="BD793" s="80"/>
      <c r="BE793" s="80"/>
      <c r="BF793" s="80"/>
      <c r="BG793" s="80"/>
      <c r="BH793" s="49"/>
      <c r="BI793" s="79"/>
      <c r="BJ793" s="79"/>
      <c r="BK793" s="44"/>
      <c r="BL793" s="79"/>
      <c r="BM793" s="49"/>
      <c r="BN793" s="44"/>
      <c r="BO793" s="49"/>
      <c r="BP793" s="49"/>
      <c r="BQ793" s="44"/>
      <c r="BS793" s="49"/>
      <c r="BT793" s="49"/>
      <c r="BU793" s="49"/>
      <c r="BV793" s="49"/>
      <c r="BW793" s="18"/>
      <c r="BX793" s="19"/>
      <c r="BY793" s="49"/>
      <c r="CF793" s="49"/>
      <c r="CG793" s="49"/>
      <c r="CH793" s="49"/>
      <c r="CI793" s="49"/>
      <c r="CJ793" s="49"/>
      <c r="CK793" s="49"/>
    </row>
    <row r="794" spans="2:89" ht="12.75" customHeight="1" x14ac:dyDescent="0.2">
      <c r="B794" s="77"/>
      <c r="C794" s="79"/>
      <c r="D794" s="79"/>
      <c r="E794" s="79"/>
      <c r="F794" s="79"/>
      <c r="G794" s="79"/>
      <c r="H794" s="79"/>
      <c r="I794" s="79"/>
      <c r="J794" s="78"/>
      <c r="K794" s="79"/>
      <c r="L794" s="79"/>
      <c r="M794" s="79"/>
      <c r="N794" s="79"/>
      <c r="O794" s="79"/>
      <c r="P794" s="79"/>
      <c r="Q794" s="79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45"/>
      <c r="AK794" s="45"/>
      <c r="AL794" s="45"/>
      <c r="AM794" s="45"/>
      <c r="AN794" s="45"/>
      <c r="AO794" s="45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  <c r="BA794" s="80"/>
      <c r="BB794" s="80"/>
      <c r="BC794" s="80"/>
      <c r="BD794" s="80"/>
      <c r="BE794" s="80"/>
      <c r="BF794" s="80"/>
      <c r="BG794" s="80"/>
      <c r="BH794" s="49"/>
      <c r="BI794" s="79"/>
      <c r="BJ794" s="79"/>
      <c r="BK794" s="44"/>
      <c r="BL794" s="79"/>
      <c r="BM794" s="49"/>
      <c r="BN794" s="44"/>
      <c r="BO794" s="49"/>
      <c r="BP794" s="49"/>
      <c r="BQ794" s="44"/>
      <c r="BS794" s="49"/>
      <c r="BT794" s="49"/>
      <c r="BU794" s="49"/>
      <c r="BV794" s="49"/>
      <c r="BW794" s="18"/>
      <c r="BX794" s="19"/>
      <c r="BY794" s="49"/>
      <c r="CF794" s="49"/>
      <c r="CG794" s="49"/>
      <c r="CH794" s="49"/>
      <c r="CI794" s="49"/>
      <c r="CJ794" s="49"/>
      <c r="CK794" s="49"/>
    </row>
    <row r="795" spans="2:89" ht="12.75" customHeight="1" x14ac:dyDescent="0.2">
      <c r="B795" s="77"/>
      <c r="C795" s="79"/>
      <c r="D795" s="79"/>
      <c r="E795" s="79"/>
      <c r="F795" s="79"/>
      <c r="G795" s="79"/>
      <c r="H795" s="79"/>
      <c r="I795" s="79"/>
      <c r="J795" s="78"/>
      <c r="K795" s="79"/>
      <c r="L795" s="79"/>
      <c r="M795" s="79"/>
      <c r="N795" s="79"/>
      <c r="O795" s="79"/>
      <c r="P795" s="79"/>
      <c r="Q795" s="79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45"/>
      <c r="AK795" s="45"/>
      <c r="AL795" s="45"/>
      <c r="AM795" s="45"/>
      <c r="AN795" s="45"/>
      <c r="AO795" s="45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  <c r="BA795" s="80"/>
      <c r="BB795" s="80"/>
      <c r="BC795" s="80"/>
      <c r="BD795" s="80"/>
      <c r="BE795" s="80"/>
      <c r="BF795" s="80"/>
      <c r="BG795" s="80"/>
      <c r="BH795" s="49"/>
      <c r="BI795" s="79"/>
      <c r="BJ795" s="79"/>
      <c r="BK795" s="44"/>
      <c r="BL795" s="79"/>
      <c r="BM795" s="49"/>
      <c r="BN795" s="44"/>
      <c r="BO795" s="49"/>
      <c r="BP795" s="49"/>
      <c r="BQ795" s="44"/>
      <c r="BS795" s="49"/>
      <c r="BT795" s="49"/>
      <c r="BU795" s="49"/>
      <c r="BV795" s="49"/>
      <c r="BW795" s="18"/>
      <c r="BX795" s="19"/>
      <c r="BY795" s="49"/>
      <c r="CF795" s="49"/>
      <c r="CG795" s="49"/>
      <c r="CH795" s="49"/>
      <c r="CI795" s="49"/>
      <c r="CJ795" s="49"/>
      <c r="CK795" s="49"/>
    </row>
    <row r="796" spans="2:89" ht="12.75" customHeight="1" x14ac:dyDescent="0.2">
      <c r="B796" s="77"/>
      <c r="C796" s="79"/>
      <c r="D796" s="79"/>
      <c r="E796" s="79"/>
      <c r="F796" s="79"/>
      <c r="G796" s="79"/>
      <c r="H796" s="79"/>
      <c r="I796" s="79"/>
      <c r="J796" s="78"/>
      <c r="K796" s="79"/>
      <c r="L796" s="79"/>
      <c r="M796" s="79"/>
      <c r="N796" s="79"/>
      <c r="O796" s="79"/>
      <c r="P796" s="79"/>
      <c r="Q796" s="79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45"/>
      <c r="AK796" s="45"/>
      <c r="AL796" s="45"/>
      <c r="AM796" s="45"/>
      <c r="AN796" s="45"/>
      <c r="AO796" s="45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  <c r="BA796" s="80"/>
      <c r="BB796" s="80"/>
      <c r="BC796" s="80"/>
      <c r="BD796" s="80"/>
      <c r="BE796" s="80"/>
      <c r="BF796" s="80"/>
      <c r="BG796" s="80"/>
      <c r="BH796" s="49"/>
      <c r="BI796" s="79"/>
      <c r="BJ796" s="79"/>
      <c r="BK796" s="44"/>
      <c r="BL796" s="79"/>
      <c r="BM796" s="49"/>
      <c r="BN796" s="44"/>
      <c r="BO796" s="49"/>
      <c r="BP796" s="49"/>
      <c r="BQ796" s="44"/>
      <c r="BS796" s="49"/>
      <c r="BT796" s="49"/>
      <c r="BU796" s="49"/>
      <c r="BV796" s="49"/>
      <c r="BW796" s="18"/>
      <c r="BX796" s="19"/>
      <c r="BY796" s="49"/>
      <c r="CF796" s="49"/>
      <c r="CG796" s="49"/>
      <c r="CH796" s="49"/>
      <c r="CI796" s="49"/>
      <c r="CJ796" s="49"/>
      <c r="CK796" s="49"/>
    </row>
    <row r="797" spans="2:89" ht="12.75" customHeight="1" x14ac:dyDescent="0.2">
      <c r="B797" s="77"/>
      <c r="C797" s="79"/>
      <c r="D797" s="79"/>
      <c r="E797" s="79"/>
      <c r="F797" s="79"/>
      <c r="G797" s="79"/>
      <c r="H797" s="79"/>
      <c r="I797" s="79"/>
      <c r="J797" s="78"/>
      <c r="K797" s="79"/>
      <c r="L797" s="79"/>
      <c r="M797" s="79"/>
      <c r="N797" s="79"/>
      <c r="O797" s="79"/>
      <c r="P797" s="79"/>
      <c r="Q797" s="79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45"/>
      <c r="AK797" s="45"/>
      <c r="AL797" s="45"/>
      <c r="AM797" s="45"/>
      <c r="AN797" s="45"/>
      <c r="AO797" s="45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  <c r="AZ797" s="80"/>
      <c r="BA797" s="80"/>
      <c r="BB797" s="80"/>
      <c r="BC797" s="80"/>
      <c r="BD797" s="80"/>
      <c r="BE797" s="80"/>
      <c r="BF797" s="80"/>
      <c r="BG797" s="80"/>
      <c r="BH797" s="49"/>
      <c r="BI797" s="79"/>
      <c r="BJ797" s="79"/>
      <c r="BK797" s="44"/>
      <c r="BL797" s="79"/>
      <c r="BM797" s="49"/>
      <c r="BN797" s="44"/>
      <c r="BO797" s="49"/>
      <c r="BP797" s="49"/>
      <c r="BQ797" s="44"/>
      <c r="BS797" s="49"/>
      <c r="BT797" s="49"/>
      <c r="BU797" s="49"/>
      <c r="BV797" s="49"/>
      <c r="BW797" s="18"/>
      <c r="BX797" s="19"/>
      <c r="BY797" s="49"/>
      <c r="CF797" s="49"/>
      <c r="CG797" s="49"/>
      <c r="CH797" s="49"/>
      <c r="CI797" s="49"/>
      <c r="CJ797" s="49"/>
      <c r="CK797" s="49"/>
    </row>
    <row r="798" spans="2:89" ht="12.75" customHeight="1" x14ac:dyDescent="0.2">
      <c r="B798" s="77"/>
      <c r="C798" s="79"/>
      <c r="D798" s="79"/>
      <c r="E798" s="79"/>
      <c r="F798" s="79"/>
      <c r="G798" s="79"/>
      <c r="H798" s="79"/>
      <c r="I798" s="79"/>
      <c r="J798" s="78"/>
      <c r="K798" s="79"/>
      <c r="L798" s="79"/>
      <c r="M798" s="79"/>
      <c r="N798" s="79"/>
      <c r="O798" s="79"/>
      <c r="P798" s="79"/>
      <c r="Q798" s="79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45"/>
      <c r="AK798" s="45"/>
      <c r="AL798" s="45"/>
      <c r="AM798" s="45"/>
      <c r="AN798" s="45"/>
      <c r="AO798" s="45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  <c r="BA798" s="80"/>
      <c r="BB798" s="80"/>
      <c r="BC798" s="80"/>
      <c r="BD798" s="80"/>
      <c r="BE798" s="80"/>
      <c r="BF798" s="80"/>
      <c r="BG798" s="80"/>
      <c r="BH798" s="49"/>
      <c r="BI798" s="79"/>
      <c r="BJ798" s="79"/>
      <c r="BK798" s="44"/>
      <c r="BL798" s="79"/>
      <c r="BM798" s="49"/>
      <c r="BN798" s="44"/>
      <c r="BO798" s="49"/>
      <c r="BP798" s="49"/>
      <c r="BQ798" s="44"/>
      <c r="BS798" s="49"/>
      <c r="BT798" s="49"/>
      <c r="BU798" s="49"/>
      <c r="BV798" s="49"/>
      <c r="BW798" s="18"/>
      <c r="BX798" s="19"/>
      <c r="BY798" s="49"/>
      <c r="CF798" s="49"/>
      <c r="CG798" s="49"/>
      <c r="CH798" s="49"/>
      <c r="CI798" s="49"/>
      <c r="CJ798" s="49"/>
      <c r="CK798" s="49"/>
    </row>
    <row r="799" spans="2:89" ht="12.75" customHeight="1" x14ac:dyDescent="0.2">
      <c r="B799" s="77"/>
      <c r="C799" s="79"/>
      <c r="D799" s="79"/>
      <c r="E799" s="79"/>
      <c r="F799" s="79"/>
      <c r="G799" s="79"/>
      <c r="H799" s="79"/>
      <c r="I799" s="79"/>
      <c r="J799" s="78"/>
      <c r="K799" s="79"/>
      <c r="L799" s="79"/>
      <c r="M799" s="79"/>
      <c r="N799" s="79"/>
      <c r="O799" s="79"/>
      <c r="P799" s="79"/>
      <c r="Q799" s="79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45"/>
      <c r="AK799" s="45"/>
      <c r="AL799" s="45"/>
      <c r="AM799" s="45"/>
      <c r="AN799" s="45"/>
      <c r="AO799" s="45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  <c r="AZ799" s="80"/>
      <c r="BA799" s="80"/>
      <c r="BB799" s="80"/>
      <c r="BC799" s="80"/>
      <c r="BD799" s="80"/>
      <c r="BE799" s="80"/>
      <c r="BF799" s="80"/>
      <c r="BG799" s="80"/>
      <c r="BH799" s="49"/>
      <c r="BI799" s="79"/>
      <c r="BJ799" s="79"/>
      <c r="BK799" s="44"/>
      <c r="BL799" s="79"/>
      <c r="BM799" s="49"/>
      <c r="BN799" s="44"/>
      <c r="BO799" s="49"/>
      <c r="BP799" s="49"/>
      <c r="BQ799" s="44"/>
      <c r="BS799" s="49"/>
      <c r="BT799" s="49"/>
      <c r="BU799" s="49"/>
      <c r="BV799" s="49"/>
      <c r="BW799" s="18"/>
      <c r="BX799" s="19"/>
      <c r="BY799" s="49"/>
      <c r="CF799" s="49"/>
      <c r="CG799" s="49"/>
      <c r="CH799" s="49"/>
      <c r="CI799" s="49"/>
      <c r="CJ799" s="49"/>
      <c r="CK799" s="49"/>
    </row>
    <row r="800" spans="2:89" ht="12.75" customHeight="1" x14ac:dyDescent="0.2">
      <c r="B800" s="77"/>
      <c r="C800" s="79"/>
      <c r="D800" s="79"/>
      <c r="E800" s="79"/>
      <c r="F800" s="79"/>
      <c r="G800" s="79"/>
      <c r="H800" s="79"/>
      <c r="I800" s="79"/>
      <c r="J800" s="78"/>
      <c r="K800" s="79"/>
      <c r="L800" s="79"/>
      <c r="M800" s="79"/>
      <c r="N800" s="79"/>
      <c r="O800" s="79"/>
      <c r="P800" s="79"/>
      <c r="Q800" s="79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45"/>
      <c r="AK800" s="45"/>
      <c r="AL800" s="45"/>
      <c r="AM800" s="45"/>
      <c r="AN800" s="45"/>
      <c r="AO800" s="45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  <c r="AZ800" s="80"/>
      <c r="BA800" s="80"/>
      <c r="BB800" s="80"/>
      <c r="BC800" s="80"/>
      <c r="BD800" s="80"/>
      <c r="BE800" s="80"/>
      <c r="BF800" s="80"/>
      <c r="BG800" s="80"/>
      <c r="BH800" s="49"/>
      <c r="BI800" s="79"/>
      <c r="BJ800" s="79"/>
      <c r="BK800" s="44"/>
      <c r="BL800" s="79"/>
      <c r="BM800" s="49"/>
      <c r="BN800" s="44"/>
      <c r="BO800" s="49"/>
      <c r="BP800" s="49"/>
      <c r="BQ800" s="44"/>
      <c r="BS800" s="49"/>
      <c r="BT800" s="49"/>
      <c r="BU800" s="49"/>
      <c r="BV800" s="49"/>
      <c r="BW800" s="18"/>
      <c r="BX800" s="19"/>
      <c r="BY800" s="49"/>
      <c r="CF800" s="49"/>
      <c r="CG800" s="49"/>
      <c r="CH800" s="49"/>
      <c r="CI800" s="49"/>
      <c r="CJ800" s="49"/>
      <c r="CK800" s="49"/>
    </row>
    <row r="801" spans="2:89" ht="12.75" customHeight="1" x14ac:dyDescent="0.2">
      <c r="B801" s="77"/>
      <c r="C801" s="79"/>
      <c r="D801" s="79"/>
      <c r="E801" s="79"/>
      <c r="F801" s="79"/>
      <c r="G801" s="79"/>
      <c r="H801" s="79"/>
      <c r="I801" s="79"/>
      <c r="J801" s="78"/>
      <c r="K801" s="79"/>
      <c r="L801" s="79"/>
      <c r="M801" s="79"/>
      <c r="N801" s="79"/>
      <c r="O801" s="79"/>
      <c r="P801" s="79"/>
      <c r="Q801" s="79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45"/>
      <c r="AK801" s="45"/>
      <c r="AL801" s="45"/>
      <c r="AM801" s="45"/>
      <c r="AN801" s="45"/>
      <c r="AO801" s="45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  <c r="BE801" s="80"/>
      <c r="BF801" s="80"/>
      <c r="BG801" s="80"/>
      <c r="BH801" s="49"/>
      <c r="BI801" s="79"/>
      <c r="BJ801" s="79"/>
      <c r="BK801" s="44"/>
      <c r="BL801" s="79"/>
      <c r="BM801" s="49"/>
      <c r="BN801" s="44"/>
      <c r="BO801" s="49"/>
      <c r="BP801" s="49"/>
      <c r="BQ801" s="44"/>
      <c r="BS801" s="49"/>
      <c r="BT801" s="49"/>
      <c r="BU801" s="49"/>
      <c r="BV801" s="49"/>
      <c r="BW801" s="18"/>
      <c r="BX801" s="19"/>
      <c r="BY801" s="49"/>
      <c r="CF801" s="49"/>
      <c r="CG801" s="49"/>
      <c r="CH801" s="49"/>
      <c r="CI801" s="49"/>
      <c r="CJ801" s="49"/>
      <c r="CK801" s="49"/>
    </row>
    <row r="802" spans="2:89" ht="12.75" customHeight="1" x14ac:dyDescent="0.2">
      <c r="B802" s="77"/>
      <c r="C802" s="79"/>
      <c r="D802" s="79"/>
      <c r="E802" s="79"/>
      <c r="F802" s="79"/>
      <c r="G802" s="79"/>
      <c r="H802" s="79"/>
      <c r="I802" s="79"/>
      <c r="J802" s="78"/>
      <c r="K802" s="79"/>
      <c r="L802" s="79"/>
      <c r="M802" s="79"/>
      <c r="N802" s="79"/>
      <c r="O802" s="79"/>
      <c r="P802" s="79"/>
      <c r="Q802" s="79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45"/>
      <c r="AK802" s="45"/>
      <c r="AL802" s="45"/>
      <c r="AM802" s="45"/>
      <c r="AN802" s="45"/>
      <c r="AO802" s="45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  <c r="AZ802" s="80"/>
      <c r="BA802" s="80"/>
      <c r="BB802" s="80"/>
      <c r="BC802" s="80"/>
      <c r="BD802" s="80"/>
      <c r="BE802" s="80"/>
      <c r="BF802" s="80"/>
      <c r="BG802" s="80"/>
      <c r="BH802" s="49"/>
      <c r="BI802" s="79"/>
      <c r="BJ802" s="79"/>
      <c r="BK802" s="44"/>
      <c r="BL802" s="79"/>
      <c r="BM802" s="49"/>
      <c r="BN802" s="44"/>
      <c r="BO802" s="49"/>
      <c r="BP802" s="49"/>
      <c r="BQ802" s="44"/>
      <c r="BS802" s="49"/>
      <c r="BT802" s="49"/>
      <c r="BU802" s="49"/>
      <c r="BV802" s="49"/>
      <c r="BW802" s="18"/>
      <c r="BX802" s="19"/>
      <c r="BY802" s="49"/>
      <c r="CF802" s="49"/>
      <c r="CG802" s="49"/>
      <c r="CH802" s="49"/>
      <c r="CI802" s="49"/>
      <c r="CJ802" s="49"/>
      <c r="CK802" s="49"/>
    </row>
    <row r="803" spans="2:89" ht="12.75" customHeight="1" x14ac:dyDescent="0.2">
      <c r="B803" s="77"/>
      <c r="C803" s="79"/>
      <c r="D803" s="79"/>
      <c r="E803" s="79"/>
      <c r="F803" s="79"/>
      <c r="G803" s="79"/>
      <c r="H803" s="79"/>
      <c r="I803" s="79"/>
      <c r="J803" s="78"/>
      <c r="K803" s="79"/>
      <c r="L803" s="79"/>
      <c r="M803" s="79"/>
      <c r="N803" s="79"/>
      <c r="O803" s="79"/>
      <c r="P803" s="79"/>
      <c r="Q803" s="79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45"/>
      <c r="AK803" s="45"/>
      <c r="AL803" s="45"/>
      <c r="AM803" s="45"/>
      <c r="AN803" s="45"/>
      <c r="AO803" s="45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80"/>
      <c r="BH803" s="49"/>
      <c r="BI803" s="79"/>
      <c r="BJ803" s="79"/>
      <c r="BK803" s="44"/>
      <c r="BL803" s="79"/>
      <c r="BM803" s="49"/>
      <c r="BN803" s="44"/>
      <c r="BO803" s="49"/>
      <c r="BP803" s="49"/>
      <c r="BQ803" s="44"/>
      <c r="BS803" s="49"/>
      <c r="BT803" s="49"/>
      <c r="BU803" s="49"/>
      <c r="BV803" s="49"/>
      <c r="BW803" s="18"/>
      <c r="BX803" s="19"/>
      <c r="BY803" s="49"/>
      <c r="CF803" s="49"/>
      <c r="CG803" s="49"/>
      <c r="CH803" s="49"/>
      <c r="CI803" s="49"/>
      <c r="CJ803" s="49"/>
      <c r="CK803" s="49"/>
    </row>
    <row r="804" spans="2:89" ht="12.75" customHeight="1" x14ac:dyDescent="0.2">
      <c r="B804" s="77"/>
      <c r="C804" s="79"/>
      <c r="D804" s="79"/>
      <c r="E804" s="79"/>
      <c r="F804" s="79"/>
      <c r="G804" s="79"/>
      <c r="H804" s="79"/>
      <c r="I804" s="79"/>
      <c r="J804" s="78"/>
      <c r="K804" s="79"/>
      <c r="L804" s="79"/>
      <c r="M804" s="79"/>
      <c r="N804" s="79"/>
      <c r="O804" s="79"/>
      <c r="P804" s="79"/>
      <c r="Q804" s="79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45"/>
      <c r="AK804" s="45"/>
      <c r="AL804" s="45"/>
      <c r="AM804" s="45"/>
      <c r="AN804" s="45"/>
      <c r="AO804" s="45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  <c r="BA804" s="80"/>
      <c r="BB804" s="80"/>
      <c r="BC804" s="80"/>
      <c r="BD804" s="80"/>
      <c r="BE804" s="80"/>
      <c r="BF804" s="80"/>
      <c r="BG804" s="80"/>
      <c r="BH804" s="49"/>
      <c r="BI804" s="79"/>
      <c r="BJ804" s="79"/>
      <c r="BK804" s="44"/>
      <c r="BL804" s="79"/>
      <c r="BM804" s="49"/>
      <c r="BN804" s="44"/>
      <c r="BO804" s="49"/>
      <c r="BP804" s="49"/>
      <c r="BQ804" s="44"/>
      <c r="BS804" s="49"/>
      <c r="BT804" s="49"/>
      <c r="BU804" s="49"/>
      <c r="BV804" s="49"/>
      <c r="BW804" s="18"/>
      <c r="BX804" s="19"/>
      <c r="BY804" s="49"/>
      <c r="CF804" s="49"/>
      <c r="CG804" s="49"/>
      <c r="CH804" s="49"/>
      <c r="CI804" s="49"/>
      <c r="CJ804" s="49"/>
      <c r="CK804" s="49"/>
    </row>
    <row r="805" spans="2:89" ht="12.75" customHeight="1" x14ac:dyDescent="0.2">
      <c r="B805" s="77"/>
      <c r="C805" s="79"/>
      <c r="D805" s="79"/>
      <c r="E805" s="79"/>
      <c r="F805" s="79"/>
      <c r="G805" s="79"/>
      <c r="H805" s="79"/>
      <c r="I805" s="79"/>
      <c r="J805" s="78"/>
      <c r="K805" s="79"/>
      <c r="L805" s="79"/>
      <c r="M805" s="79"/>
      <c r="N805" s="79"/>
      <c r="O805" s="79"/>
      <c r="P805" s="79"/>
      <c r="Q805" s="79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45"/>
      <c r="AK805" s="45"/>
      <c r="AL805" s="45"/>
      <c r="AM805" s="45"/>
      <c r="AN805" s="45"/>
      <c r="AO805" s="45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  <c r="BA805" s="80"/>
      <c r="BB805" s="80"/>
      <c r="BC805" s="80"/>
      <c r="BD805" s="80"/>
      <c r="BE805" s="80"/>
      <c r="BF805" s="80"/>
      <c r="BG805" s="80"/>
      <c r="BH805" s="49"/>
      <c r="BI805" s="79"/>
      <c r="BJ805" s="79"/>
      <c r="BK805" s="44"/>
      <c r="BL805" s="79"/>
      <c r="BM805" s="49"/>
      <c r="BN805" s="44"/>
      <c r="BO805" s="49"/>
      <c r="BP805" s="49"/>
      <c r="BQ805" s="44"/>
      <c r="BS805" s="49"/>
      <c r="BT805" s="49"/>
      <c r="BU805" s="49"/>
      <c r="BV805" s="49"/>
      <c r="BW805" s="18"/>
      <c r="BX805" s="19"/>
      <c r="BY805" s="49"/>
      <c r="CF805" s="49"/>
      <c r="CG805" s="49"/>
      <c r="CH805" s="49"/>
      <c r="CI805" s="49"/>
      <c r="CJ805" s="49"/>
      <c r="CK805" s="49"/>
    </row>
    <row r="806" spans="2:89" ht="12.75" customHeight="1" x14ac:dyDescent="0.2">
      <c r="B806" s="77"/>
      <c r="C806" s="79"/>
      <c r="D806" s="79"/>
      <c r="E806" s="79"/>
      <c r="F806" s="79"/>
      <c r="G806" s="79"/>
      <c r="H806" s="79"/>
      <c r="I806" s="79"/>
      <c r="J806" s="78"/>
      <c r="K806" s="79"/>
      <c r="L806" s="79"/>
      <c r="M806" s="79"/>
      <c r="N806" s="79"/>
      <c r="O806" s="79"/>
      <c r="P806" s="79"/>
      <c r="Q806" s="79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45"/>
      <c r="AK806" s="45"/>
      <c r="AL806" s="45"/>
      <c r="AM806" s="45"/>
      <c r="AN806" s="45"/>
      <c r="AO806" s="45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  <c r="BA806" s="80"/>
      <c r="BB806" s="80"/>
      <c r="BC806" s="80"/>
      <c r="BD806" s="80"/>
      <c r="BE806" s="80"/>
      <c r="BF806" s="80"/>
      <c r="BG806" s="80"/>
      <c r="BH806" s="49"/>
      <c r="BI806" s="79"/>
      <c r="BJ806" s="79"/>
      <c r="BK806" s="44"/>
      <c r="BL806" s="79"/>
      <c r="BM806" s="49"/>
      <c r="BN806" s="44"/>
      <c r="BO806" s="49"/>
      <c r="BP806" s="49"/>
      <c r="BQ806" s="44"/>
      <c r="BS806" s="49"/>
      <c r="BT806" s="49"/>
      <c r="BU806" s="49"/>
      <c r="BV806" s="49"/>
      <c r="BW806" s="18"/>
      <c r="BX806" s="19"/>
      <c r="BY806" s="49"/>
      <c r="CF806" s="49"/>
      <c r="CG806" s="49"/>
      <c r="CH806" s="49"/>
      <c r="CI806" s="49"/>
      <c r="CJ806" s="49"/>
      <c r="CK806" s="49"/>
    </row>
    <row r="807" spans="2:89" ht="12.75" customHeight="1" x14ac:dyDescent="0.2">
      <c r="B807" s="77"/>
      <c r="C807" s="79"/>
      <c r="D807" s="79"/>
      <c r="E807" s="79"/>
      <c r="F807" s="79"/>
      <c r="G807" s="79"/>
      <c r="H807" s="79"/>
      <c r="I807" s="79"/>
      <c r="J807" s="78"/>
      <c r="K807" s="79"/>
      <c r="L807" s="79"/>
      <c r="M807" s="79"/>
      <c r="N807" s="79"/>
      <c r="O807" s="79"/>
      <c r="P807" s="79"/>
      <c r="Q807" s="79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45"/>
      <c r="AK807" s="45"/>
      <c r="AL807" s="45"/>
      <c r="AM807" s="45"/>
      <c r="AN807" s="45"/>
      <c r="AO807" s="45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  <c r="BA807" s="80"/>
      <c r="BB807" s="80"/>
      <c r="BC807" s="80"/>
      <c r="BD807" s="80"/>
      <c r="BE807" s="80"/>
      <c r="BF807" s="80"/>
      <c r="BG807" s="80"/>
      <c r="BH807" s="49"/>
      <c r="BI807" s="79"/>
      <c r="BJ807" s="79"/>
      <c r="BK807" s="44"/>
      <c r="BL807" s="79"/>
      <c r="BM807" s="49"/>
      <c r="BN807" s="44"/>
      <c r="BO807" s="49"/>
      <c r="BP807" s="49"/>
      <c r="BQ807" s="44"/>
      <c r="BS807" s="49"/>
      <c r="BT807" s="49"/>
      <c r="BU807" s="49"/>
      <c r="BV807" s="49"/>
      <c r="BW807" s="18"/>
      <c r="BX807" s="19"/>
      <c r="BY807" s="49"/>
      <c r="CF807" s="49"/>
      <c r="CG807" s="49"/>
      <c r="CH807" s="49"/>
      <c r="CI807" s="49"/>
      <c r="CJ807" s="49"/>
      <c r="CK807" s="49"/>
    </row>
    <row r="808" spans="2:89" ht="12.75" customHeight="1" x14ac:dyDescent="0.2">
      <c r="B808" s="77"/>
      <c r="C808" s="79"/>
      <c r="D808" s="79"/>
      <c r="E808" s="79"/>
      <c r="F808" s="79"/>
      <c r="G808" s="79"/>
      <c r="H808" s="79"/>
      <c r="I808" s="79"/>
      <c r="J808" s="78"/>
      <c r="K808" s="79"/>
      <c r="L808" s="79"/>
      <c r="M808" s="79"/>
      <c r="N808" s="79"/>
      <c r="O808" s="79"/>
      <c r="P808" s="79"/>
      <c r="Q808" s="79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45"/>
      <c r="AK808" s="45"/>
      <c r="AL808" s="45"/>
      <c r="AM808" s="45"/>
      <c r="AN808" s="45"/>
      <c r="AO808" s="45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  <c r="BA808" s="80"/>
      <c r="BB808" s="80"/>
      <c r="BC808" s="80"/>
      <c r="BD808" s="80"/>
      <c r="BE808" s="80"/>
      <c r="BF808" s="80"/>
      <c r="BG808" s="80"/>
      <c r="BH808" s="49"/>
      <c r="BI808" s="79"/>
      <c r="BJ808" s="79"/>
      <c r="BK808" s="44"/>
      <c r="BL808" s="79"/>
      <c r="BM808" s="49"/>
      <c r="BN808" s="44"/>
      <c r="BO808" s="49"/>
      <c r="BP808" s="49"/>
      <c r="BQ808" s="44"/>
      <c r="BS808" s="49"/>
      <c r="BT808" s="49"/>
      <c r="BU808" s="49"/>
      <c r="BV808" s="49"/>
      <c r="BW808" s="18"/>
      <c r="BX808" s="19"/>
      <c r="BY808" s="49"/>
      <c r="CF808" s="49"/>
      <c r="CG808" s="49"/>
      <c r="CH808" s="49"/>
      <c r="CI808" s="49"/>
      <c r="CJ808" s="49"/>
      <c r="CK808" s="49"/>
    </row>
    <row r="809" spans="2:89" ht="12.75" customHeight="1" x14ac:dyDescent="0.2">
      <c r="B809" s="77"/>
      <c r="C809" s="79"/>
      <c r="D809" s="79"/>
      <c r="E809" s="79"/>
      <c r="F809" s="79"/>
      <c r="G809" s="79"/>
      <c r="H809" s="79"/>
      <c r="I809" s="79"/>
      <c r="J809" s="78"/>
      <c r="K809" s="79"/>
      <c r="L809" s="79"/>
      <c r="M809" s="79"/>
      <c r="N809" s="79"/>
      <c r="O809" s="79"/>
      <c r="P809" s="79"/>
      <c r="Q809" s="79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45"/>
      <c r="AK809" s="45"/>
      <c r="AL809" s="45"/>
      <c r="AM809" s="45"/>
      <c r="AN809" s="45"/>
      <c r="AO809" s="45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  <c r="BA809" s="80"/>
      <c r="BB809" s="80"/>
      <c r="BC809" s="80"/>
      <c r="BD809" s="80"/>
      <c r="BE809" s="80"/>
      <c r="BF809" s="80"/>
      <c r="BG809" s="80"/>
      <c r="BH809" s="49"/>
      <c r="BI809" s="79"/>
      <c r="BJ809" s="79"/>
      <c r="BK809" s="44"/>
      <c r="BL809" s="79"/>
      <c r="BM809" s="49"/>
      <c r="BN809" s="44"/>
      <c r="BO809" s="49"/>
      <c r="BP809" s="49"/>
      <c r="BQ809" s="44"/>
      <c r="BS809" s="49"/>
      <c r="BT809" s="49"/>
      <c r="BU809" s="49"/>
      <c r="BV809" s="49"/>
      <c r="BW809" s="18"/>
      <c r="BX809" s="19"/>
      <c r="BY809" s="49"/>
      <c r="CF809" s="49"/>
      <c r="CG809" s="49"/>
      <c r="CH809" s="49"/>
      <c r="CI809" s="49"/>
      <c r="CJ809" s="49"/>
      <c r="CK809" s="49"/>
    </row>
    <row r="810" spans="2:89" ht="12.75" customHeight="1" x14ac:dyDescent="0.2">
      <c r="B810" s="77"/>
      <c r="C810" s="79"/>
      <c r="D810" s="79"/>
      <c r="E810" s="79"/>
      <c r="F810" s="79"/>
      <c r="G810" s="79"/>
      <c r="H810" s="79"/>
      <c r="I810" s="79"/>
      <c r="J810" s="78"/>
      <c r="K810" s="79"/>
      <c r="L810" s="79"/>
      <c r="M810" s="79"/>
      <c r="N810" s="79"/>
      <c r="O810" s="79"/>
      <c r="P810" s="79"/>
      <c r="Q810" s="79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45"/>
      <c r="AK810" s="45"/>
      <c r="AL810" s="45"/>
      <c r="AM810" s="45"/>
      <c r="AN810" s="45"/>
      <c r="AO810" s="45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  <c r="BA810" s="80"/>
      <c r="BB810" s="80"/>
      <c r="BC810" s="80"/>
      <c r="BD810" s="80"/>
      <c r="BE810" s="80"/>
      <c r="BF810" s="80"/>
      <c r="BG810" s="80"/>
      <c r="BH810" s="49"/>
      <c r="BI810" s="79"/>
      <c r="BJ810" s="79"/>
      <c r="BK810" s="44"/>
      <c r="BL810" s="79"/>
      <c r="BM810" s="49"/>
      <c r="BN810" s="44"/>
      <c r="BO810" s="49"/>
      <c r="BP810" s="49"/>
      <c r="BQ810" s="44"/>
      <c r="BS810" s="49"/>
      <c r="BT810" s="49"/>
      <c r="BU810" s="49"/>
      <c r="BV810" s="49"/>
      <c r="BW810" s="18"/>
      <c r="BX810" s="19"/>
      <c r="BY810" s="49"/>
      <c r="CF810" s="49"/>
      <c r="CG810" s="49"/>
      <c r="CH810" s="49"/>
      <c r="CI810" s="49"/>
      <c r="CJ810" s="49"/>
      <c r="CK810" s="49"/>
    </row>
    <row r="811" spans="2:89" ht="12.75" customHeight="1" x14ac:dyDescent="0.2">
      <c r="B811" s="77"/>
      <c r="C811" s="79"/>
      <c r="D811" s="79"/>
      <c r="E811" s="79"/>
      <c r="F811" s="79"/>
      <c r="G811" s="79"/>
      <c r="H811" s="79"/>
      <c r="I811" s="79"/>
      <c r="J811" s="78"/>
      <c r="K811" s="79"/>
      <c r="L811" s="79"/>
      <c r="M811" s="79"/>
      <c r="N811" s="79"/>
      <c r="O811" s="79"/>
      <c r="P811" s="79"/>
      <c r="Q811" s="79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45"/>
      <c r="AK811" s="45"/>
      <c r="AL811" s="45"/>
      <c r="AM811" s="45"/>
      <c r="AN811" s="45"/>
      <c r="AO811" s="45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  <c r="AZ811" s="80"/>
      <c r="BA811" s="80"/>
      <c r="BB811" s="80"/>
      <c r="BC811" s="80"/>
      <c r="BD811" s="80"/>
      <c r="BE811" s="80"/>
      <c r="BF811" s="80"/>
      <c r="BG811" s="80"/>
      <c r="BH811" s="49"/>
      <c r="BI811" s="79"/>
      <c r="BJ811" s="79"/>
      <c r="BK811" s="44"/>
      <c r="BL811" s="79"/>
      <c r="BM811" s="49"/>
      <c r="BN811" s="44"/>
      <c r="BO811" s="49"/>
      <c r="BP811" s="49"/>
      <c r="BQ811" s="44"/>
      <c r="BS811" s="49"/>
      <c r="BT811" s="49"/>
      <c r="BU811" s="49"/>
      <c r="BV811" s="49"/>
      <c r="BW811" s="18"/>
      <c r="BX811" s="19"/>
      <c r="BY811" s="49"/>
      <c r="CF811" s="49"/>
      <c r="CG811" s="49"/>
      <c r="CH811" s="49"/>
      <c r="CI811" s="49"/>
      <c r="CJ811" s="49"/>
      <c r="CK811" s="49"/>
    </row>
    <row r="812" spans="2:89" ht="12.75" customHeight="1" x14ac:dyDescent="0.2">
      <c r="B812" s="77"/>
      <c r="C812" s="79"/>
      <c r="D812" s="79"/>
      <c r="E812" s="79"/>
      <c r="F812" s="79"/>
      <c r="G812" s="79"/>
      <c r="H812" s="79"/>
      <c r="I812" s="79"/>
      <c r="J812" s="78"/>
      <c r="K812" s="79"/>
      <c r="L812" s="79"/>
      <c r="M812" s="79"/>
      <c r="N812" s="79"/>
      <c r="O812" s="79"/>
      <c r="P812" s="79"/>
      <c r="Q812" s="79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45"/>
      <c r="AK812" s="45"/>
      <c r="AL812" s="45"/>
      <c r="AM812" s="45"/>
      <c r="AN812" s="45"/>
      <c r="AO812" s="45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  <c r="BA812" s="80"/>
      <c r="BB812" s="80"/>
      <c r="BC812" s="80"/>
      <c r="BD812" s="80"/>
      <c r="BE812" s="80"/>
      <c r="BF812" s="80"/>
      <c r="BG812" s="80"/>
      <c r="BH812" s="49"/>
      <c r="BI812" s="79"/>
      <c r="BJ812" s="79"/>
      <c r="BK812" s="44"/>
      <c r="BL812" s="79"/>
      <c r="BM812" s="49"/>
      <c r="BN812" s="44"/>
      <c r="BO812" s="49"/>
      <c r="BP812" s="49"/>
      <c r="BQ812" s="44"/>
      <c r="BS812" s="49"/>
      <c r="BT812" s="49"/>
      <c r="BU812" s="49"/>
      <c r="BV812" s="49"/>
      <c r="BW812" s="18"/>
      <c r="BX812" s="19"/>
      <c r="BY812" s="49"/>
      <c r="CF812" s="49"/>
      <c r="CG812" s="49"/>
      <c r="CH812" s="49"/>
      <c r="CI812" s="49"/>
      <c r="CJ812" s="49"/>
      <c r="CK812" s="49"/>
    </row>
    <row r="813" spans="2:89" ht="12.75" customHeight="1" x14ac:dyDescent="0.2">
      <c r="B813" s="77"/>
      <c r="C813" s="79"/>
      <c r="D813" s="79"/>
      <c r="E813" s="79"/>
      <c r="F813" s="79"/>
      <c r="G813" s="79"/>
      <c r="H813" s="79"/>
      <c r="I813" s="79"/>
      <c r="J813" s="78"/>
      <c r="K813" s="79"/>
      <c r="L813" s="79"/>
      <c r="M813" s="79"/>
      <c r="N813" s="79"/>
      <c r="O813" s="79"/>
      <c r="P813" s="79"/>
      <c r="Q813" s="79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45"/>
      <c r="AK813" s="45"/>
      <c r="AL813" s="45"/>
      <c r="AM813" s="45"/>
      <c r="AN813" s="45"/>
      <c r="AO813" s="45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  <c r="BA813" s="80"/>
      <c r="BB813" s="80"/>
      <c r="BC813" s="80"/>
      <c r="BD813" s="80"/>
      <c r="BE813" s="80"/>
      <c r="BF813" s="80"/>
      <c r="BG813" s="80"/>
      <c r="BH813" s="49"/>
      <c r="BI813" s="79"/>
      <c r="BJ813" s="79"/>
      <c r="BK813" s="44"/>
      <c r="BL813" s="79"/>
      <c r="BM813" s="49"/>
      <c r="BN813" s="44"/>
      <c r="BO813" s="49"/>
      <c r="BP813" s="49"/>
      <c r="BQ813" s="44"/>
      <c r="BS813" s="49"/>
      <c r="BT813" s="49"/>
      <c r="BU813" s="49"/>
      <c r="BV813" s="49"/>
      <c r="BW813" s="18"/>
      <c r="BX813" s="19"/>
      <c r="BY813" s="49"/>
      <c r="CF813" s="49"/>
      <c r="CG813" s="49"/>
      <c r="CH813" s="49"/>
      <c r="CI813" s="49"/>
      <c r="CJ813" s="49"/>
      <c r="CK813" s="49"/>
    </row>
    <row r="814" spans="2:89" ht="12.75" customHeight="1" x14ac:dyDescent="0.2">
      <c r="B814" s="77"/>
      <c r="C814" s="79"/>
      <c r="D814" s="79"/>
      <c r="E814" s="79"/>
      <c r="F814" s="79"/>
      <c r="G814" s="79"/>
      <c r="H814" s="79"/>
      <c r="I814" s="79"/>
      <c r="J814" s="78"/>
      <c r="K814" s="79"/>
      <c r="L814" s="79"/>
      <c r="M814" s="79"/>
      <c r="N814" s="79"/>
      <c r="O814" s="79"/>
      <c r="P814" s="79"/>
      <c r="Q814" s="79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45"/>
      <c r="AK814" s="45"/>
      <c r="AL814" s="45"/>
      <c r="AM814" s="45"/>
      <c r="AN814" s="45"/>
      <c r="AO814" s="45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  <c r="BA814" s="80"/>
      <c r="BB814" s="80"/>
      <c r="BC814" s="80"/>
      <c r="BD814" s="80"/>
      <c r="BE814" s="80"/>
      <c r="BF814" s="80"/>
      <c r="BG814" s="80"/>
      <c r="BH814" s="49"/>
      <c r="BI814" s="79"/>
      <c r="BJ814" s="79"/>
      <c r="BK814" s="44"/>
      <c r="BL814" s="79"/>
      <c r="BM814" s="49"/>
      <c r="BN814" s="44"/>
      <c r="BO814" s="49"/>
      <c r="BP814" s="49"/>
      <c r="BQ814" s="44"/>
      <c r="BS814" s="49"/>
      <c r="BT814" s="49"/>
      <c r="BU814" s="49"/>
      <c r="BV814" s="49"/>
      <c r="BW814" s="18"/>
      <c r="BX814" s="19"/>
      <c r="BY814" s="49"/>
      <c r="CF814" s="49"/>
      <c r="CG814" s="49"/>
      <c r="CH814" s="49"/>
      <c r="CI814" s="49"/>
      <c r="CJ814" s="49"/>
      <c r="CK814" s="49"/>
    </row>
    <row r="815" spans="2:89" ht="12.75" customHeight="1" x14ac:dyDescent="0.2">
      <c r="B815" s="77"/>
      <c r="C815" s="79"/>
      <c r="D815" s="79"/>
      <c r="E815" s="79"/>
      <c r="F815" s="79"/>
      <c r="G815" s="79"/>
      <c r="H815" s="79"/>
      <c r="I815" s="79"/>
      <c r="J815" s="78"/>
      <c r="K815" s="79"/>
      <c r="L815" s="79"/>
      <c r="M815" s="79"/>
      <c r="N815" s="79"/>
      <c r="O815" s="79"/>
      <c r="P815" s="79"/>
      <c r="Q815" s="79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45"/>
      <c r="AK815" s="45"/>
      <c r="AL815" s="45"/>
      <c r="AM815" s="45"/>
      <c r="AN815" s="45"/>
      <c r="AO815" s="45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  <c r="AZ815" s="80"/>
      <c r="BA815" s="80"/>
      <c r="BB815" s="80"/>
      <c r="BC815" s="80"/>
      <c r="BD815" s="80"/>
      <c r="BE815" s="80"/>
      <c r="BF815" s="80"/>
      <c r="BG815" s="80"/>
      <c r="BH815" s="49"/>
      <c r="BI815" s="79"/>
      <c r="BJ815" s="79"/>
      <c r="BK815" s="44"/>
      <c r="BL815" s="79"/>
      <c r="BM815" s="49"/>
      <c r="BN815" s="44"/>
      <c r="BO815" s="49"/>
      <c r="BP815" s="49"/>
      <c r="BQ815" s="44"/>
      <c r="BS815" s="49"/>
      <c r="BT815" s="49"/>
      <c r="BU815" s="49"/>
      <c r="BV815" s="49"/>
      <c r="BW815" s="18"/>
      <c r="BX815" s="19"/>
      <c r="BY815" s="49"/>
      <c r="CF815" s="49"/>
      <c r="CG815" s="49"/>
      <c r="CH815" s="49"/>
      <c r="CI815" s="49"/>
      <c r="CJ815" s="49"/>
      <c r="CK815" s="49"/>
    </row>
    <row r="816" spans="2:89" ht="12.75" customHeight="1" x14ac:dyDescent="0.2">
      <c r="B816" s="77"/>
      <c r="C816" s="79"/>
      <c r="D816" s="79"/>
      <c r="E816" s="79"/>
      <c r="F816" s="79"/>
      <c r="G816" s="79"/>
      <c r="H816" s="79"/>
      <c r="I816" s="79"/>
      <c r="J816" s="78"/>
      <c r="K816" s="79"/>
      <c r="L816" s="79"/>
      <c r="M816" s="79"/>
      <c r="N816" s="79"/>
      <c r="O816" s="79"/>
      <c r="P816" s="79"/>
      <c r="Q816" s="79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45"/>
      <c r="AK816" s="45"/>
      <c r="AL816" s="45"/>
      <c r="AM816" s="45"/>
      <c r="AN816" s="45"/>
      <c r="AO816" s="45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  <c r="BA816" s="80"/>
      <c r="BB816" s="80"/>
      <c r="BC816" s="80"/>
      <c r="BD816" s="80"/>
      <c r="BE816" s="80"/>
      <c r="BF816" s="80"/>
      <c r="BG816" s="80"/>
      <c r="BH816" s="49"/>
      <c r="BI816" s="79"/>
      <c r="BJ816" s="79"/>
      <c r="BK816" s="44"/>
      <c r="BL816" s="79"/>
      <c r="BM816" s="49"/>
      <c r="BN816" s="44"/>
      <c r="BO816" s="49"/>
      <c r="BP816" s="49"/>
      <c r="BQ816" s="44"/>
      <c r="BS816" s="49"/>
      <c r="BT816" s="49"/>
      <c r="BU816" s="49"/>
      <c r="BV816" s="49"/>
      <c r="BW816" s="18"/>
      <c r="BX816" s="19"/>
      <c r="BY816" s="49"/>
      <c r="CF816" s="49"/>
      <c r="CG816" s="49"/>
      <c r="CH816" s="49"/>
      <c r="CI816" s="49"/>
      <c r="CJ816" s="49"/>
      <c r="CK816" s="49"/>
    </row>
    <row r="817" spans="2:89" ht="12.75" customHeight="1" x14ac:dyDescent="0.2">
      <c r="B817" s="77"/>
      <c r="C817" s="79"/>
      <c r="D817" s="79"/>
      <c r="E817" s="79"/>
      <c r="F817" s="79"/>
      <c r="G817" s="79"/>
      <c r="H817" s="79"/>
      <c r="I817" s="79"/>
      <c r="J817" s="78"/>
      <c r="K817" s="79"/>
      <c r="L817" s="79"/>
      <c r="M817" s="79"/>
      <c r="N817" s="79"/>
      <c r="O817" s="79"/>
      <c r="P817" s="79"/>
      <c r="Q817" s="79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45"/>
      <c r="AK817" s="45"/>
      <c r="AL817" s="45"/>
      <c r="AM817" s="45"/>
      <c r="AN817" s="45"/>
      <c r="AO817" s="45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  <c r="BA817" s="80"/>
      <c r="BB817" s="80"/>
      <c r="BC817" s="80"/>
      <c r="BD817" s="80"/>
      <c r="BE817" s="80"/>
      <c r="BF817" s="80"/>
      <c r="BG817" s="80"/>
      <c r="BH817" s="49"/>
      <c r="BI817" s="79"/>
      <c r="BJ817" s="79"/>
      <c r="BK817" s="44"/>
      <c r="BL817" s="79"/>
      <c r="BM817" s="49"/>
      <c r="BN817" s="44"/>
      <c r="BO817" s="49"/>
      <c r="BP817" s="49"/>
      <c r="BQ817" s="44"/>
      <c r="BS817" s="49"/>
      <c r="BT817" s="49"/>
      <c r="BU817" s="49"/>
      <c r="BV817" s="49"/>
      <c r="BW817" s="18"/>
      <c r="BX817" s="19"/>
      <c r="BY817" s="49"/>
      <c r="CF817" s="49"/>
      <c r="CG817" s="49"/>
      <c r="CH817" s="49"/>
      <c r="CI817" s="49"/>
      <c r="CJ817" s="49"/>
      <c r="CK817" s="49"/>
    </row>
    <row r="818" spans="2:89" ht="12.75" customHeight="1" x14ac:dyDescent="0.2">
      <c r="B818" s="77"/>
      <c r="C818" s="79"/>
      <c r="D818" s="79"/>
      <c r="E818" s="79"/>
      <c r="F818" s="79"/>
      <c r="G818" s="79"/>
      <c r="H818" s="79"/>
      <c r="I818" s="79"/>
      <c r="J818" s="78"/>
      <c r="K818" s="79"/>
      <c r="L818" s="79"/>
      <c r="M818" s="79"/>
      <c r="N818" s="79"/>
      <c r="O818" s="79"/>
      <c r="P818" s="79"/>
      <c r="Q818" s="79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45"/>
      <c r="AK818" s="45"/>
      <c r="AL818" s="45"/>
      <c r="AM818" s="45"/>
      <c r="AN818" s="45"/>
      <c r="AO818" s="45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  <c r="BA818" s="80"/>
      <c r="BB818" s="80"/>
      <c r="BC818" s="80"/>
      <c r="BD818" s="80"/>
      <c r="BE818" s="80"/>
      <c r="BF818" s="80"/>
      <c r="BG818" s="80"/>
      <c r="BH818" s="49"/>
      <c r="BI818" s="79"/>
      <c r="BJ818" s="79"/>
      <c r="BK818" s="44"/>
      <c r="BL818" s="79"/>
      <c r="BM818" s="49"/>
      <c r="BN818" s="44"/>
      <c r="BO818" s="49"/>
      <c r="BP818" s="49"/>
      <c r="BQ818" s="44"/>
      <c r="BS818" s="49"/>
      <c r="BT818" s="49"/>
      <c r="BU818" s="49"/>
      <c r="BV818" s="49"/>
      <c r="BW818" s="18"/>
      <c r="BX818" s="19"/>
      <c r="BY818" s="49"/>
      <c r="CF818" s="49"/>
      <c r="CG818" s="49"/>
      <c r="CH818" s="49"/>
      <c r="CI818" s="49"/>
      <c r="CJ818" s="49"/>
      <c r="CK818" s="49"/>
    </row>
    <row r="819" spans="2:89" ht="12.75" customHeight="1" x14ac:dyDescent="0.2">
      <c r="B819" s="77"/>
      <c r="C819" s="79"/>
      <c r="D819" s="79"/>
      <c r="E819" s="79"/>
      <c r="F819" s="79"/>
      <c r="G819" s="79"/>
      <c r="H819" s="79"/>
      <c r="I819" s="79"/>
      <c r="J819" s="78"/>
      <c r="K819" s="79"/>
      <c r="L819" s="79"/>
      <c r="M819" s="79"/>
      <c r="N819" s="79"/>
      <c r="O819" s="79"/>
      <c r="P819" s="79"/>
      <c r="Q819" s="79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45"/>
      <c r="AK819" s="45"/>
      <c r="AL819" s="45"/>
      <c r="AM819" s="45"/>
      <c r="AN819" s="45"/>
      <c r="AO819" s="45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  <c r="BA819" s="80"/>
      <c r="BB819" s="80"/>
      <c r="BC819" s="80"/>
      <c r="BD819" s="80"/>
      <c r="BE819" s="80"/>
      <c r="BF819" s="80"/>
      <c r="BG819" s="80"/>
      <c r="BH819" s="49"/>
      <c r="BI819" s="79"/>
      <c r="BJ819" s="79"/>
      <c r="BK819" s="44"/>
      <c r="BL819" s="79"/>
      <c r="BM819" s="49"/>
      <c r="BN819" s="44"/>
      <c r="BO819" s="49"/>
      <c r="BP819" s="49"/>
      <c r="BQ819" s="44"/>
      <c r="BS819" s="49"/>
      <c r="BT819" s="49"/>
      <c r="BU819" s="49"/>
      <c r="BV819" s="49"/>
      <c r="BW819" s="18"/>
      <c r="BX819" s="19"/>
      <c r="BY819" s="49"/>
      <c r="CF819" s="49"/>
      <c r="CG819" s="49"/>
      <c r="CH819" s="49"/>
      <c r="CI819" s="49"/>
      <c r="CJ819" s="49"/>
      <c r="CK819" s="49"/>
    </row>
    <row r="820" spans="2:89" ht="12.75" customHeight="1" x14ac:dyDescent="0.2">
      <c r="B820" s="77"/>
      <c r="C820" s="79"/>
      <c r="D820" s="79"/>
      <c r="E820" s="79"/>
      <c r="F820" s="79"/>
      <c r="G820" s="79"/>
      <c r="H820" s="79"/>
      <c r="I820" s="79"/>
      <c r="J820" s="78"/>
      <c r="K820" s="79"/>
      <c r="L820" s="79"/>
      <c r="M820" s="79"/>
      <c r="N820" s="79"/>
      <c r="O820" s="79"/>
      <c r="P820" s="79"/>
      <c r="Q820" s="79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45"/>
      <c r="AK820" s="45"/>
      <c r="AL820" s="45"/>
      <c r="AM820" s="45"/>
      <c r="AN820" s="45"/>
      <c r="AO820" s="45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  <c r="BA820" s="80"/>
      <c r="BB820" s="80"/>
      <c r="BC820" s="80"/>
      <c r="BD820" s="80"/>
      <c r="BE820" s="80"/>
      <c r="BF820" s="80"/>
      <c r="BG820" s="80"/>
      <c r="BH820" s="49"/>
      <c r="BI820" s="79"/>
      <c r="BJ820" s="79"/>
      <c r="BK820" s="44"/>
      <c r="BL820" s="79"/>
      <c r="BM820" s="49"/>
      <c r="BN820" s="44"/>
      <c r="BO820" s="49"/>
      <c r="BP820" s="49"/>
      <c r="BQ820" s="44"/>
      <c r="BS820" s="49"/>
      <c r="BT820" s="49"/>
      <c r="BU820" s="49"/>
      <c r="BV820" s="49"/>
      <c r="BW820" s="18"/>
      <c r="BX820" s="19"/>
      <c r="BY820" s="49"/>
      <c r="CF820" s="49"/>
      <c r="CG820" s="49"/>
      <c r="CH820" s="49"/>
      <c r="CI820" s="49"/>
      <c r="CJ820" s="49"/>
      <c r="CK820" s="49"/>
    </row>
    <row r="821" spans="2:89" ht="12.75" customHeight="1" x14ac:dyDescent="0.2">
      <c r="B821" s="77"/>
      <c r="C821" s="79"/>
      <c r="D821" s="79"/>
      <c r="E821" s="79"/>
      <c r="F821" s="79"/>
      <c r="G821" s="79"/>
      <c r="H821" s="79"/>
      <c r="I821" s="79"/>
      <c r="J821" s="78"/>
      <c r="K821" s="79"/>
      <c r="L821" s="79"/>
      <c r="M821" s="79"/>
      <c r="N821" s="79"/>
      <c r="O821" s="79"/>
      <c r="P821" s="79"/>
      <c r="Q821" s="79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45"/>
      <c r="AK821" s="45"/>
      <c r="AL821" s="45"/>
      <c r="AM821" s="45"/>
      <c r="AN821" s="45"/>
      <c r="AO821" s="45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  <c r="AZ821" s="80"/>
      <c r="BA821" s="80"/>
      <c r="BB821" s="80"/>
      <c r="BC821" s="80"/>
      <c r="BD821" s="80"/>
      <c r="BE821" s="80"/>
      <c r="BF821" s="80"/>
      <c r="BG821" s="80"/>
      <c r="BH821" s="49"/>
      <c r="BI821" s="79"/>
      <c r="BJ821" s="79"/>
      <c r="BK821" s="44"/>
      <c r="BL821" s="79"/>
      <c r="BM821" s="49"/>
      <c r="BN821" s="44"/>
      <c r="BO821" s="49"/>
      <c r="BP821" s="49"/>
      <c r="BQ821" s="44"/>
      <c r="BS821" s="49"/>
      <c r="BT821" s="49"/>
      <c r="BU821" s="49"/>
      <c r="BV821" s="49"/>
      <c r="BW821" s="18"/>
      <c r="BX821" s="19"/>
      <c r="BY821" s="49"/>
      <c r="CF821" s="49"/>
      <c r="CG821" s="49"/>
      <c r="CH821" s="49"/>
      <c r="CI821" s="49"/>
      <c r="CJ821" s="49"/>
      <c r="CK821" s="49"/>
    </row>
    <row r="822" spans="2:89" ht="12.75" customHeight="1" x14ac:dyDescent="0.2">
      <c r="B822" s="77"/>
      <c r="C822" s="79"/>
      <c r="D822" s="79"/>
      <c r="E822" s="79"/>
      <c r="F822" s="79"/>
      <c r="G822" s="79"/>
      <c r="H822" s="79"/>
      <c r="I822" s="79"/>
      <c r="J822" s="78"/>
      <c r="K822" s="79"/>
      <c r="L822" s="79"/>
      <c r="M822" s="79"/>
      <c r="N822" s="79"/>
      <c r="O822" s="79"/>
      <c r="P822" s="79"/>
      <c r="Q822" s="79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45"/>
      <c r="AK822" s="45"/>
      <c r="AL822" s="45"/>
      <c r="AM822" s="45"/>
      <c r="AN822" s="45"/>
      <c r="AO822" s="45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  <c r="BB822" s="80"/>
      <c r="BC822" s="80"/>
      <c r="BD822" s="80"/>
      <c r="BE822" s="80"/>
      <c r="BF822" s="80"/>
      <c r="BG822" s="80"/>
      <c r="BH822" s="49"/>
      <c r="BI822" s="79"/>
      <c r="BJ822" s="79"/>
      <c r="BK822" s="44"/>
      <c r="BL822" s="79"/>
      <c r="BM822" s="49"/>
      <c r="BN822" s="44"/>
      <c r="BO822" s="49"/>
      <c r="BP822" s="49"/>
      <c r="BQ822" s="44"/>
      <c r="BS822" s="49"/>
      <c r="BT822" s="49"/>
      <c r="BU822" s="49"/>
      <c r="BV822" s="49"/>
      <c r="BW822" s="18"/>
      <c r="BX822" s="19"/>
      <c r="BY822" s="49"/>
      <c r="CF822" s="49"/>
      <c r="CG822" s="49"/>
      <c r="CH822" s="49"/>
      <c r="CI822" s="49"/>
      <c r="CJ822" s="49"/>
      <c r="CK822" s="49"/>
    </row>
    <row r="823" spans="2:89" ht="12.75" customHeight="1" x14ac:dyDescent="0.2">
      <c r="B823" s="77"/>
      <c r="C823" s="79"/>
      <c r="D823" s="79"/>
      <c r="E823" s="79"/>
      <c r="F823" s="79"/>
      <c r="G823" s="79"/>
      <c r="H823" s="79"/>
      <c r="I823" s="79"/>
      <c r="J823" s="78"/>
      <c r="K823" s="79"/>
      <c r="L823" s="79"/>
      <c r="M823" s="79"/>
      <c r="N823" s="79"/>
      <c r="O823" s="79"/>
      <c r="P823" s="79"/>
      <c r="Q823" s="79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45"/>
      <c r="AK823" s="45"/>
      <c r="AL823" s="45"/>
      <c r="AM823" s="45"/>
      <c r="AN823" s="45"/>
      <c r="AO823" s="45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  <c r="BA823" s="80"/>
      <c r="BB823" s="80"/>
      <c r="BC823" s="80"/>
      <c r="BD823" s="80"/>
      <c r="BE823" s="80"/>
      <c r="BF823" s="80"/>
      <c r="BG823" s="80"/>
      <c r="BH823" s="49"/>
      <c r="BI823" s="79"/>
      <c r="BJ823" s="79"/>
      <c r="BK823" s="44"/>
      <c r="BL823" s="79"/>
      <c r="BM823" s="49"/>
      <c r="BN823" s="44"/>
      <c r="BO823" s="49"/>
      <c r="BP823" s="49"/>
      <c r="BQ823" s="44"/>
      <c r="BS823" s="49"/>
      <c r="BT823" s="49"/>
      <c r="BU823" s="49"/>
      <c r="BV823" s="49"/>
      <c r="BW823" s="18"/>
      <c r="BX823" s="19"/>
      <c r="BY823" s="49"/>
      <c r="CF823" s="49"/>
      <c r="CG823" s="49"/>
      <c r="CH823" s="49"/>
      <c r="CI823" s="49"/>
      <c r="CJ823" s="49"/>
      <c r="CK823" s="49"/>
    </row>
    <row r="824" spans="2:89" ht="12.75" customHeight="1" x14ac:dyDescent="0.2">
      <c r="B824" s="77"/>
      <c r="C824" s="79"/>
      <c r="D824" s="79"/>
      <c r="E824" s="79"/>
      <c r="F824" s="79"/>
      <c r="G824" s="79"/>
      <c r="H824" s="79"/>
      <c r="I824" s="79"/>
      <c r="J824" s="78"/>
      <c r="K824" s="79"/>
      <c r="L824" s="79"/>
      <c r="M824" s="79"/>
      <c r="N824" s="79"/>
      <c r="O824" s="79"/>
      <c r="P824" s="79"/>
      <c r="Q824" s="79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45"/>
      <c r="AK824" s="45"/>
      <c r="AL824" s="45"/>
      <c r="AM824" s="45"/>
      <c r="AN824" s="45"/>
      <c r="AO824" s="45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  <c r="BA824" s="80"/>
      <c r="BB824" s="80"/>
      <c r="BC824" s="80"/>
      <c r="BD824" s="80"/>
      <c r="BE824" s="80"/>
      <c r="BF824" s="80"/>
      <c r="BG824" s="80"/>
      <c r="BH824" s="49"/>
      <c r="BI824" s="79"/>
      <c r="BJ824" s="79"/>
      <c r="BK824" s="44"/>
      <c r="BL824" s="79"/>
      <c r="BM824" s="49"/>
      <c r="BN824" s="44"/>
      <c r="BO824" s="49"/>
      <c r="BP824" s="49"/>
      <c r="BQ824" s="44"/>
      <c r="BS824" s="49"/>
      <c r="BT824" s="49"/>
      <c r="BU824" s="49"/>
      <c r="BV824" s="49"/>
      <c r="BW824" s="18"/>
      <c r="BX824" s="19"/>
      <c r="BY824" s="49"/>
      <c r="CF824" s="49"/>
      <c r="CG824" s="49"/>
      <c r="CH824" s="49"/>
      <c r="CI824" s="49"/>
      <c r="CJ824" s="49"/>
      <c r="CK824" s="49"/>
    </row>
    <row r="825" spans="2:89" ht="12.75" customHeight="1" x14ac:dyDescent="0.2">
      <c r="B825" s="77"/>
      <c r="C825" s="79"/>
      <c r="D825" s="79"/>
      <c r="E825" s="79"/>
      <c r="F825" s="79"/>
      <c r="G825" s="79"/>
      <c r="H825" s="79"/>
      <c r="I825" s="79"/>
      <c r="J825" s="78"/>
      <c r="K825" s="79"/>
      <c r="L825" s="79"/>
      <c r="M825" s="79"/>
      <c r="N825" s="79"/>
      <c r="O825" s="79"/>
      <c r="P825" s="79"/>
      <c r="Q825" s="79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45"/>
      <c r="AK825" s="45"/>
      <c r="AL825" s="45"/>
      <c r="AM825" s="45"/>
      <c r="AN825" s="45"/>
      <c r="AO825" s="45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  <c r="BA825" s="80"/>
      <c r="BB825" s="80"/>
      <c r="BC825" s="80"/>
      <c r="BD825" s="80"/>
      <c r="BE825" s="80"/>
      <c r="BF825" s="80"/>
      <c r="BG825" s="80"/>
      <c r="BH825" s="49"/>
      <c r="BI825" s="79"/>
      <c r="BJ825" s="79"/>
      <c r="BK825" s="44"/>
      <c r="BL825" s="79"/>
      <c r="BM825" s="49"/>
      <c r="BN825" s="44"/>
      <c r="BO825" s="49"/>
      <c r="BP825" s="49"/>
      <c r="BQ825" s="44"/>
      <c r="BS825" s="49"/>
      <c r="BT825" s="49"/>
      <c r="BU825" s="49"/>
      <c r="BV825" s="49"/>
      <c r="BW825" s="18"/>
      <c r="BX825" s="19"/>
      <c r="BY825" s="49"/>
      <c r="CF825" s="49"/>
      <c r="CG825" s="49"/>
      <c r="CH825" s="49"/>
      <c r="CI825" s="49"/>
      <c r="CJ825" s="49"/>
      <c r="CK825" s="49"/>
    </row>
    <row r="826" spans="2:89" ht="12.75" customHeight="1" x14ac:dyDescent="0.2">
      <c r="B826" s="77"/>
      <c r="C826" s="79"/>
      <c r="D826" s="79"/>
      <c r="E826" s="79"/>
      <c r="F826" s="79"/>
      <c r="G826" s="79"/>
      <c r="H826" s="79"/>
      <c r="I826" s="79"/>
      <c r="J826" s="78"/>
      <c r="K826" s="79"/>
      <c r="L826" s="79"/>
      <c r="M826" s="79"/>
      <c r="N826" s="79"/>
      <c r="O826" s="79"/>
      <c r="P826" s="79"/>
      <c r="Q826" s="79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45"/>
      <c r="AK826" s="45"/>
      <c r="AL826" s="45"/>
      <c r="AM826" s="45"/>
      <c r="AN826" s="45"/>
      <c r="AO826" s="45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  <c r="AZ826" s="80"/>
      <c r="BA826" s="80"/>
      <c r="BB826" s="80"/>
      <c r="BC826" s="80"/>
      <c r="BD826" s="80"/>
      <c r="BE826" s="80"/>
      <c r="BF826" s="80"/>
      <c r="BG826" s="80"/>
      <c r="BH826" s="49"/>
      <c r="BI826" s="79"/>
      <c r="BJ826" s="79"/>
      <c r="BK826" s="44"/>
      <c r="BL826" s="79"/>
      <c r="BM826" s="49"/>
      <c r="BN826" s="44"/>
      <c r="BO826" s="49"/>
      <c r="BP826" s="49"/>
      <c r="BQ826" s="44"/>
      <c r="BS826" s="49"/>
      <c r="BT826" s="49"/>
      <c r="BU826" s="49"/>
      <c r="BV826" s="49"/>
      <c r="BW826" s="18"/>
      <c r="BX826" s="19"/>
      <c r="BY826" s="49"/>
      <c r="CF826" s="49"/>
      <c r="CG826" s="49"/>
      <c r="CH826" s="49"/>
      <c r="CI826" s="49"/>
      <c r="CJ826" s="49"/>
      <c r="CK826" s="49"/>
    </row>
    <row r="827" spans="2:89" ht="12.75" customHeight="1" x14ac:dyDescent="0.2">
      <c r="B827" s="77"/>
      <c r="C827" s="79"/>
      <c r="D827" s="79"/>
      <c r="E827" s="79"/>
      <c r="F827" s="79"/>
      <c r="G827" s="79"/>
      <c r="H827" s="79"/>
      <c r="I827" s="79"/>
      <c r="J827" s="78"/>
      <c r="K827" s="79"/>
      <c r="L827" s="79"/>
      <c r="M827" s="79"/>
      <c r="N827" s="79"/>
      <c r="O827" s="79"/>
      <c r="P827" s="79"/>
      <c r="Q827" s="79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45"/>
      <c r="AK827" s="45"/>
      <c r="AL827" s="45"/>
      <c r="AM827" s="45"/>
      <c r="AN827" s="45"/>
      <c r="AO827" s="45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  <c r="AZ827" s="80"/>
      <c r="BA827" s="80"/>
      <c r="BB827" s="80"/>
      <c r="BC827" s="80"/>
      <c r="BD827" s="80"/>
      <c r="BE827" s="80"/>
      <c r="BF827" s="80"/>
      <c r="BG827" s="80"/>
      <c r="BH827" s="49"/>
      <c r="BI827" s="79"/>
      <c r="BJ827" s="79"/>
      <c r="BK827" s="44"/>
      <c r="BL827" s="79"/>
      <c r="BM827" s="49"/>
      <c r="BN827" s="44"/>
      <c r="BO827" s="49"/>
      <c r="BP827" s="49"/>
      <c r="BQ827" s="44"/>
      <c r="BS827" s="49"/>
      <c r="BT827" s="49"/>
      <c r="BU827" s="49"/>
      <c r="BV827" s="49"/>
      <c r="BW827" s="18"/>
      <c r="BX827" s="19"/>
      <c r="BY827" s="49"/>
      <c r="CF827" s="49"/>
      <c r="CG827" s="49"/>
      <c r="CH827" s="49"/>
      <c r="CI827" s="49"/>
      <c r="CJ827" s="49"/>
      <c r="CK827" s="49"/>
    </row>
    <row r="828" spans="2:89" ht="12.75" customHeight="1" x14ac:dyDescent="0.2">
      <c r="B828" s="77"/>
      <c r="C828" s="79"/>
      <c r="D828" s="79"/>
      <c r="E828" s="79"/>
      <c r="F828" s="79"/>
      <c r="G828" s="79"/>
      <c r="H828" s="79"/>
      <c r="I828" s="79"/>
      <c r="J828" s="78"/>
      <c r="K828" s="79"/>
      <c r="L828" s="79"/>
      <c r="M828" s="79"/>
      <c r="N828" s="79"/>
      <c r="O828" s="79"/>
      <c r="P828" s="79"/>
      <c r="Q828" s="79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45"/>
      <c r="AK828" s="45"/>
      <c r="AL828" s="45"/>
      <c r="AM828" s="45"/>
      <c r="AN828" s="45"/>
      <c r="AO828" s="45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  <c r="BA828" s="80"/>
      <c r="BB828" s="80"/>
      <c r="BC828" s="80"/>
      <c r="BD828" s="80"/>
      <c r="BE828" s="80"/>
      <c r="BF828" s="80"/>
      <c r="BG828" s="80"/>
      <c r="BH828" s="49"/>
      <c r="BI828" s="79"/>
      <c r="BJ828" s="79"/>
      <c r="BK828" s="44"/>
      <c r="BL828" s="79"/>
      <c r="BM828" s="49"/>
      <c r="BN828" s="44"/>
      <c r="BO828" s="49"/>
      <c r="BP828" s="49"/>
      <c r="BQ828" s="44"/>
      <c r="BS828" s="49"/>
      <c r="BT828" s="49"/>
      <c r="BU828" s="49"/>
      <c r="BV828" s="49"/>
      <c r="BW828" s="18"/>
      <c r="BX828" s="19"/>
      <c r="BY828" s="49"/>
      <c r="CF828" s="49"/>
      <c r="CG828" s="49"/>
      <c r="CH828" s="49"/>
      <c r="CI828" s="49"/>
      <c r="CJ828" s="49"/>
      <c r="CK828" s="49"/>
    </row>
    <row r="829" spans="2:89" ht="12.75" customHeight="1" x14ac:dyDescent="0.2">
      <c r="B829" s="77"/>
      <c r="C829" s="79"/>
      <c r="D829" s="79"/>
      <c r="E829" s="79"/>
      <c r="F829" s="79"/>
      <c r="G829" s="79"/>
      <c r="H829" s="79"/>
      <c r="I829" s="79"/>
      <c r="J829" s="78"/>
      <c r="K829" s="79"/>
      <c r="L829" s="79"/>
      <c r="M829" s="79"/>
      <c r="N829" s="79"/>
      <c r="O829" s="79"/>
      <c r="P829" s="79"/>
      <c r="Q829" s="79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45"/>
      <c r="AK829" s="45"/>
      <c r="AL829" s="45"/>
      <c r="AM829" s="45"/>
      <c r="AN829" s="45"/>
      <c r="AO829" s="45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  <c r="BA829" s="80"/>
      <c r="BB829" s="80"/>
      <c r="BC829" s="80"/>
      <c r="BD829" s="80"/>
      <c r="BE829" s="80"/>
      <c r="BF829" s="80"/>
      <c r="BG829" s="80"/>
      <c r="BH829" s="49"/>
      <c r="BI829" s="79"/>
      <c r="BJ829" s="79"/>
      <c r="BK829" s="44"/>
      <c r="BL829" s="79"/>
      <c r="BM829" s="49"/>
      <c r="BN829" s="44"/>
      <c r="BO829" s="49"/>
      <c r="BP829" s="49"/>
      <c r="BQ829" s="44"/>
      <c r="BS829" s="49"/>
      <c r="BT829" s="49"/>
      <c r="BU829" s="49"/>
      <c r="BV829" s="49"/>
      <c r="BW829" s="18"/>
      <c r="BX829" s="19"/>
      <c r="BY829" s="49"/>
      <c r="CF829" s="49"/>
      <c r="CG829" s="49"/>
      <c r="CH829" s="49"/>
      <c r="CI829" s="49"/>
      <c r="CJ829" s="49"/>
      <c r="CK829" s="49"/>
    </row>
    <row r="830" spans="2:89" ht="12.75" customHeight="1" x14ac:dyDescent="0.2">
      <c r="B830" s="77"/>
      <c r="C830" s="79"/>
      <c r="D830" s="79"/>
      <c r="E830" s="79"/>
      <c r="F830" s="79"/>
      <c r="G830" s="79"/>
      <c r="H830" s="79"/>
      <c r="I830" s="79"/>
      <c r="J830" s="78"/>
      <c r="K830" s="79"/>
      <c r="L830" s="79"/>
      <c r="M830" s="79"/>
      <c r="N830" s="79"/>
      <c r="O830" s="79"/>
      <c r="P830" s="79"/>
      <c r="Q830" s="79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45"/>
      <c r="AK830" s="45"/>
      <c r="AL830" s="45"/>
      <c r="AM830" s="45"/>
      <c r="AN830" s="45"/>
      <c r="AO830" s="45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  <c r="BA830" s="80"/>
      <c r="BB830" s="80"/>
      <c r="BC830" s="80"/>
      <c r="BD830" s="80"/>
      <c r="BE830" s="80"/>
      <c r="BF830" s="80"/>
      <c r="BG830" s="80"/>
      <c r="BH830" s="49"/>
      <c r="BI830" s="79"/>
      <c r="BJ830" s="79"/>
      <c r="BK830" s="44"/>
      <c r="BL830" s="79"/>
      <c r="BM830" s="49"/>
      <c r="BN830" s="44"/>
      <c r="BO830" s="49"/>
      <c r="BP830" s="49"/>
      <c r="BQ830" s="44"/>
      <c r="BS830" s="49"/>
      <c r="BT830" s="49"/>
      <c r="BU830" s="49"/>
      <c r="BV830" s="49"/>
      <c r="BW830" s="18"/>
      <c r="BX830" s="19"/>
      <c r="BY830" s="49"/>
      <c r="CF830" s="49"/>
      <c r="CG830" s="49"/>
      <c r="CH830" s="49"/>
      <c r="CI830" s="49"/>
      <c r="CJ830" s="49"/>
      <c r="CK830" s="49"/>
    </row>
    <row r="831" spans="2:89" ht="12.75" customHeight="1" x14ac:dyDescent="0.2">
      <c r="B831" s="77"/>
      <c r="C831" s="79"/>
      <c r="D831" s="79"/>
      <c r="E831" s="79"/>
      <c r="F831" s="79"/>
      <c r="G831" s="79"/>
      <c r="H831" s="79"/>
      <c r="I831" s="79"/>
      <c r="J831" s="78"/>
      <c r="K831" s="79"/>
      <c r="L831" s="79"/>
      <c r="M831" s="79"/>
      <c r="N831" s="79"/>
      <c r="O831" s="79"/>
      <c r="P831" s="79"/>
      <c r="Q831" s="79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45"/>
      <c r="AK831" s="45"/>
      <c r="AL831" s="45"/>
      <c r="AM831" s="45"/>
      <c r="AN831" s="45"/>
      <c r="AO831" s="45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  <c r="BA831" s="80"/>
      <c r="BB831" s="80"/>
      <c r="BC831" s="80"/>
      <c r="BD831" s="80"/>
      <c r="BE831" s="80"/>
      <c r="BF831" s="80"/>
      <c r="BG831" s="80"/>
      <c r="BH831" s="49"/>
      <c r="BI831" s="79"/>
      <c r="BJ831" s="79"/>
      <c r="BK831" s="44"/>
      <c r="BL831" s="79"/>
      <c r="BM831" s="49"/>
      <c r="BN831" s="44"/>
      <c r="BO831" s="49"/>
      <c r="BP831" s="49"/>
      <c r="BQ831" s="44"/>
      <c r="BS831" s="49"/>
      <c r="BT831" s="49"/>
      <c r="BU831" s="49"/>
      <c r="BV831" s="49"/>
      <c r="BW831" s="18"/>
      <c r="BX831" s="19"/>
      <c r="BY831" s="49"/>
      <c r="CF831" s="49"/>
      <c r="CG831" s="49"/>
      <c r="CH831" s="49"/>
      <c r="CI831" s="49"/>
      <c r="CJ831" s="49"/>
      <c r="CK831" s="49"/>
    </row>
    <row r="832" spans="2:89" ht="12.75" customHeight="1" x14ac:dyDescent="0.2">
      <c r="B832" s="77"/>
      <c r="C832" s="79"/>
      <c r="D832" s="79"/>
      <c r="E832" s="79"/>
      <c r="F832" s="79"/>
      <c r="G832" s="79"/>
      <c r="H832" s="79"/>
      <c r="I832" s="79"/>
      <c r="J832" s="78"/>
      <c r="K832" s="79"/>
      <c r="L832" s="79"/>
      <c r="M832" s="79"/>
      <c r="N832" s="79"/>
      <c r="O832" s="79"/>
      <c r="P832" s="79"/>
      <c r="Q832" s="79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45"/>
      <c r="AK832" s="45"/>
      <c r="AL832" s="45"/>
      <c r="AM832" s="45"/>
      <c r="AN832" s="45"/>
      <c r="AO832" s="45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  <c r="BB832" s="80"/>
      <c r="BC832" s="80"/>
      <c r="BD832" s="80"/>
      <c r="BE832" s="80"/>
      <c r="BF832" s="80"/>
      <c r="BG832" s="80"/>
      <c r="BH832" s="49"/>
      <c r="BI832" s="79"/>
      <c r="BJ832" s="79"/>
      <c r="BK832" s="44"/>
      <c r="BL832" s="79"/>
      <c r="BM832" s="49"/>
      <c r="BN832" s="44"/>
      <c r="BO832" s="49"/>
      <c r="BP832" s="49"/>
      <c r="BQ832" s="44"/>
      <c r="BS832" s="49"/>
      <c r="BT832" s="49"/>
      <c r="BU832" s="49"/>
      <c r="BV832" s="49"/>
      <c r="BW832" s="18"/>
      <c r="BX832" s="19"/>
      <c r="BY832" s="49"/>
      <c r="CF832" s="49"/>
      <c r="CG832" s="49"/>
      <c r="CH832" s="49"/>
      <c r="CI832" s="49"/>
      <c r="CJ832" s="49"/>
      <c r="CK832" s="49"/>
    </row>
    <row r="833" spans="2:89" ht="12.75" customHeight="1" x14ac:dyDescent="0.2">
      <c r="B833" s="77"/>
      <c r="C833" s="79"/>
      <c r="D833" s="79"/>
      <c r="E833" s="79"/>
      <c r="F833" s="79"/>
      <c r="G833" s="79"/>
      <c r="H833" s="79"/>
      <c r="I833" s="79"/>
      <c r="J833" s="78"/>
      <c r="K833" s="79"/>
      <c r="L833" s="79"/>
      <c r="M833" s="79"/>
      <c r="N833" s="79"/>
      <c r="O833" s="79"/>
      <c r="P833" s="79"/>
      <c r="Q833" s="79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45"/>
      <c r="AK833" s="45"/>
      <c r="AL833" s="45"/>
      <c r="AM833" s="45"/>
      <c r="AN833" s="45"/>
      <c r="AO833" s="45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  <c r="BB833" s="80"/>
      <c r="BC833" s="80"/>
      <c r="BD833" s="80"/>
      <c r="BE833" s="80"/>
      <c r="BF833" s="80"/>
      <c r="BG833" s="80"/>
      <c r="BH833" s="49"/>
      <c r="BI833" s="79"/>
      <c r="BJ833" s="79"/>
      <c r="BK833" s="44"/>
      <c r="BL833" s="79"/>
      <c r="BM833" s="49"/>
      <c r="BN833" s="44"/>
      <c r="BO833" s="49"/>
      <c r="BP833" s="49"/>
      <c r="BQ833" s="44"/>
      <c r="BS833" s="49"/>
      <c r="BT833" s="49"/>
      <c r="BU833" s="49"/>
      <c r="BV833" s="49"/>
      <c r="BW833" s="18"/>
      <c r="BX833" s="19"/>
      <c r="BY833" s="49"/>
      <c r="CF833" s="49"/>
      <c r="CG833" s="49"/>
      <c r="CH833" s="49"/>
      <c r="CI833" s="49"/>
      <c r="CJ833" s="49"/>
      <c r="CK833" s="49"/>
    </row>
    <row r="834" spans="2:89" ht="12.75" customHeight="1" x14ac:dyDescent="0.2">
      <c r="B834" s="77"/>
      <c r="C834" s="79"/>
      <c r="D834" s="79"/>
      <c r="E834" s="79"/>
      <c r="F834" s="79"/>
      <c r="G834" s="79"/>
      <c r="H834" s="79"/>
      <c r="I834" s="79"/>
      <c r="J834" s="78"/>
      <c r="K834" s="79"/>
      <c r="L834" s="79"/>
      <c r="M834" s="79"/>
      <c r="N834" s="79"/>
      <c r="O834" s="79"/>
      <c r="P834" s="79"/>
      <c r="Q834" s="79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45"/>
      <c r="AK834" s="45"/>
      <c r="AL834" s="45"/>
      <c r="AM834" s="45"/>
      <c r="AN834" s="45"/>
      <c r="AO834" s="45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  <c r="BB834" s="80"/>
      <c r="BC834" s="80"/>
      <c r="BD834" s="80"/>
      <c r="BE834" s="80"/>
      <c r="BF834" s="80"/>
      <c r="BG834" s="80"/>
      <c r="BH834" s="49"/>
      <c r="BI834" s="79"/>
      <c r="BJ834" s="79"/>
      <c r="BK834" s="44"/>
      <c r="BL834" s="79"/>
      <c r="BM834" s="49"/>
      <c r="BN834" s="44"/>
      <c r="BO834" s="49"/>
      <c r="BP834" s="49"/>
      <c r="BQ834" s="44"/>
      <c r="BS834" s="49"/>
      <c r="BT834" s="49"/>
      <c r="BU834" s="49"/>
      <c r="BV834" s="49"/>
      <c r="BW834" s="18"/>
      <c r="BX834" s="19"/>
      <c r="BY834" s="49"/>
      <c r="CF834" s="49"/>
      <c r="CG834" s="49"/>
      <c r="CH834" s="49"/>
      <c r="CI834" s="49"/>
      <c r="CJ834" s="49"/>
      <c r="CK834" s="49"/>
    </row>
    <row r="835" spans="2:89" ht="12.75" customHeight="1" x14ac:dyDescent="0.2">
      <c r="B835" s="77"/>
      <c r="C835" s="79"/>
      <c r="D835" s="79"/>
      <c r="E835" s="79"/>
      <c r="F835" s="79"/>
      <c r="G835" s="79"/>
      <c r="H835" s="79"/>
      <c r="I835" s="79"/>
      <c r="J835" s="78"/>
      <c r="K835" s="79"/>
      <c r="L835" s="79"/>
      <c r="M835" s="79"/>
      <c r="N835" s="79"/>
      <c r="O835" s="79"/>
      <c r="P835" s="79"/>
      <c r="Q835" s="79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45"/>
      <c r="AK835" s="45"/>
      <c r="AL835" s="45"/>
      <c r="AM835" s="45"/>
      <c r="AN835" s="45"/>
      <c r="AO835" s="45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  <c r="BA835" s="80"/>
      <c r="BB835" s="80"/>
      <c r="BC835" s="80"/>
      <c r="BD835" s="80"/>
      <c r="BE835" s="80"/>
      <c r="BF835" s="80"/>
      <c r="BG835" s="80"/>
      <c r="BH835" s="49"/>
      <c r="BI835" s="79"/>
      <c r="BJ835" s="79"/>
      <c r="BK835" s="44"/>
      <c r="BL835" s="79"/>
      <c r="BM835" s="49"/>
      <c r="BN835" s="44"/>
      <c r="BO835" s="49"/>
      <c r="BP835" s="49"/>
      <c r="BQ835" s="44"/>
      <c r="BS835" s="49"/>
      <c r="BT835" s="49"/>
      <c r="BU835" s="49"/>
      <c r="BV835" s="49"/>
      <c r="BW835" s="18"/>
      <c r="BX835" s="19"/>
      <c r="BY835" s="49"/>
      <c r="CF835" s="49"/>
      <c r="CG835" s="49"/>
      <c r="CH835" s="49"/>
      <c r="CI835" s="49"/>
      <c r="CJ835" s="49"/>
      <c r="CK835" s="49"/>
    </row>
    <row r="836" spans="2:89" ht="12.75" customHeight="1" x14ac:dyDescent="0.2">
      <c r="B836" s="77"/>
      <c r="C836" s="79"/>
      <c r="D836" s="79"/>
      <c r="E836" s="79"/>
      <c r="F836" s="79"/>
      <c r="G836" s="79"/>
      <c r="H836" s="79"/>
      <c r="I836" s="79"/>
      <c r="J836" s="78"/>
      <c r="K836" s="79"/>
      <c r="L836" s="79"/>
      <c r="M836" s="79"/>
      <c r="N836" s="79"/>
      <c r="O836" s="79"/>
      <c r="P836" s="79"/>
      <c r="Q836" s="79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45"/>
      <c r="AK836" s="45"/>
      <c r="AL836" s="45"/>
      <c r="AM836" s="45"/>
      <c r="AN836" s="45"/>
      <c r="AO836" s="45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  <c r="BA836" s="80"/>
      <c r="BB836" s="80"/>
      <c r="BC836" s="80"/>
      <c r="BD836" s="80"/>
      <c r="BE836" s="80"/>
      <c r="BF836" s="80"/>
      <c r="BG836" s="80"/>
      <c r="BH836" s="49"/>
      <c r="BI836" s="79"/>
      <c r="BJ836" s="79"/>
      <c r="BK836" s="44"/>
      <c r="BL836" s="79"/>
      <c r="BM836" s="49"/>
      <c r="BN836" s="44"/>
      <c r="BO836" s="49"/>
      <c r="BP836" s="49"/>
      <c r="BQ836" s="44"/>
      <c r="BS836" s="49"/>
      <c r="BT836" s="49"/>
      <c r="BU836" s="49"/>
      <c r="BV836" s="49"/>
      <c r="BW836" s="18"/>
      <c r="BX836" s="19"/>
      <c r="BY836" s="49"/>
      <c r="CF836" s="49"/>
      <c r="CG836" s="49"/>
      <c r="CH836" s="49"/>
      <c r="CI836" s="49"/>
      <c r="CJ836" s="49"/>
      <c r="CK836" s="49"/>
    </row>
    <row r="837" spans="2:89" ht="12.75" customHeight="1" x14ac:dyDescent="0.2">
      <c r="B837" s="77"/>
      <c r="C837" s="79"/>
      <c r="D837" s="79"/>
      <c r="E837" s="79"/>
      <c r="F837" s="79"/>
      <c r="G837" s="79"/>
      <c r="H837" s="79"/>
      <c r="I837" s="79"/>
      <c r="J837" s="78"/>
      <c r="K837" s="79"/>
      <c r="L837" s="79"/>
      <c r="M837" s="79"/>
      <c r="N837" s="79"/>
      <c r="O837" s="79"/>
      <c r="P837" s="79"/>
      <c r="Q837" s="79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45"/>
      <c r="AK837" s="45"/>
      <c r="AL837" s="45"/>
      <c r="AM837" s="45"/>
      <c r="AN837" s="45"/>
      <c r="AO837" s="45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  <c r="BC837" s="80"/>
      <c r="BD837" s="80"/>
      <c r="BE837" s="80"/>
      <c r="BF837" s="80"/>
      <c r="BG837" s="80"/>
      <c r="BH837" s="49"/>
      <c r="BI837" s="79"/>
      <c r="BJ837" s="79"/>
      <c r="BK837" s="44"/>
      <c r="BL837" s="79"/>
      <c r="BM837" s="49"/>
      <c r="BN837" s="44"/>
      <c r="BO837" s="49"/>
      <c r="BP837" s="49"/>
      <c r="BQ837" s="44"/>
      <c r="BS837" s="49"/>
      <c r="BT837" s="49"/>
      <c r="BU837" s="49"/>
      <c r="BV837" s="49"/>
      <c r="BW837" s="18"/>
      <c r="BX837" s="19"/>
      <c r="BY837" s="49"/>
      <c r="CF837" s="49"/>
      <c r="CG837" s="49"/>
      <c r="CH837" s="49"/>
      <c r="CI837" s="49"/>
      <c r="CJ837" s="49"/>
      <c r="CK837" s="49"/>
    </row>
    <row r="838" spans="2:89" ht="12.75" customHeight="1" x14ac:dyDescent="0.2">
      <c r="B838" s="77"/>
      <c r="C838" s="79"/>
      <c r="D838" s="79"/>
      <c r="E838" s="79"/>
      <c r="F838" s="79"/>
      <c r="G838" s="79"/>
      <c r="H838" s="79"/>
      <c r="I838" s="79"/>
      <c r="J838" s="78"/>
      <c r="K838" s="79"/>
      <c r="L838" s="79"/>
      <c r="M838" s="79"/>
      <c r="N838" s="79"/>
      <c r="O838" s="79"/>
      <c r="P838" s="79"/>
      <c r="Q838" s="79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45"/>
      <c r="AK838" s="45"/>
      <c r="AL838" s="45"/>
      <c r="AM838" s="45"/>
      <c r="AN838" s="45"/>
      <c r="AO838" s="45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  <c r="BB838" s="80"/>
      <c r="BC838" s="80"/>
      <c r="BD838" s="80"/>
      <c r="BE838" s="80"/>
      <c r="BF838" s="80"/>
      <c r="BG838" s="80"/>
      <c r="BH838" s="49"/>
      <c r="BI838" s="79"/>
      <c r="BJ838" s="79"/>
      <c r="BK838" s="44"/>
      <c r="BL838" s="79"/>
      <c r="BM838" s="49"/>
      <c r="BN838" s="44"/>
      <c r="BO838" s="49"/>
      <c r="BP838" s="49"/>
      <c r="BQ838" s="44"/>
      <c r="BS838" s="49"/>
      <c r="BT838" s="49"/>
      <c r="BU838" s="49"/>
      <c r="BV838" s="49"/>
      <c r="BW838" s="18"/>
      <c r="BX838" s="19"/>
      <c r="BY838" s="49"/>
      <c r="CF838" s="49"/>
      <c r="CG838" s="49"/>
      <c r="CH838" s="49"/>
      <c r="CI838" s="49"/>
      <c r="CJ838" s="49"/>
      <c r="CK838" s="49"/>
    </row>
    <row r="839" spans="2:89" ht="12.75" customHeight="1" x14ac:dyDescent="0.2">
      <c r="B839" s="77"/>
      <c r="C839" s="79"/>
      <c r="D839" s="79"/>
      <c r="E839" s="79"/>
      <c r="F839" s="79"/>
      <c r="G839" s="79"/>
      <c r="H839" s="79"/>
      <c r="I839" s="79"/>
      <c r="J839" s="78"/>
      <c r="K839" s="79"/>
      <c r="L839" s="79"/>
      <c r="M839" s="79"/>
      <c r="N839" s="79"/>
      <c r="O839" s="79"/>
      <c r="P839" s="79"/>
      <c r="Q839" s="79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45"/>
      <c r="AK839" s="45"/>
      <c r="AL839" s="45"/>
      <c r="AM839" s="45"/>
      <c r="AN839" s="45"/>
      <c r="AO839" s="45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  <c r="BA839" s="80"/>
      <c r="BB839" s="80"/>
      <c r="BC839" s="80"/>
      <c r="BD839" s="80"/>
      <c r="BE839" s="80"/>
      <c r="BF839" s="80"/>
      <c r="BG839" s="80"/>
      <c r="BH839" s="49"/>
      <c r="BI839" s="79"/>
      <c r="BJ839" s="79"/>
      <c r="BK839" s="44"/>
      <c r="BL839" s="79"/>
      <c r="BM839" s="49"/>
      <c r="BN839" s="44"/>
      <c r="BO839" s="49"/>
      <c r="BP839" s="49"/>
      <c r="BQ839" s="44"/>
      <c r="BS839" s="49"/>
      <c r="BT839" s="49"/>
      <c r="BU839" s="49"/>
      <c r="BV839" s="49"/>
      <c r="BW839" s="18"/>
      <c r="BX839" s="19"/>
      <c r="BY839" s="49"/>
      <c r="CF839" s="49"/>
      <c r="CG839" s="49"/>
      <c r="CH839" s="49"/>
      <c r="CI839" s="49"/>
      <c r="CJ839" s="49"/>
      <c r="CK839" s="49"/>
    </row>
    <row r="840" spans="2:89" ht="12.75" customHeight="1" x14ac:dyDescent="0.2">
      <c r="B840" s="77"/>
      <c r="C840" s="79"/>
      <c r="D840" s="79"/>
      <c r="E840" s="79"/>
      <c r="F840" s="79"/>
      <c r="G840" s="79"/>
      <c r="H840" s="79"/>
      <c r="I840" s="79"/>
      <c r="J840" s="78"/>
      <c r="K840" s="79"/>
      <c r="L840" s="79"/>
      <c r="M840" s="79"/>
      <c r="N840" s="79"/>
      <c r="O840" s="79"/>
      <c r="P840" s="79"/>
      <c r="Q840" s="79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45"/>
      <c r="AK840" s="45"/>
      <c r="AL840" s="45"/>
      <c r="AM840" s="45"/>
      <c r="AN840" s="45"/>
      <c r="AO840" s="45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  <c r="BB840" s="80"/>
      <c r="BC840" s="80"/>
      <c r="BD840" s="80"/>
      <c r="BE840" s="80"/>
      <c r="BF840" s="80"/>
      <c r="BG840" s="80"/>
      <c r="BH840" s="49"/>
      <c r="BI840" s="79"/>
      <c r="BJ840" s="79"/>
      <c r="BK840" s="44"/>
      <c r="BL840" s="79"/>
      <c r="BM840" s="49"/>
      <c r="BN840" s="44"/>
      <c r="BO840" s="49"/>
      <c r="BP840" s="49"/>
      <c r="BQ840" s="44"/>
      <c r="BS840" s="49"/>
      <c r="BT840" s="49"/>
      <c r="BU840" s="49"/>
      <c r="BV840" s="49"/>
      <c r="BW840" s="18"/>
      <c r="BX840" s="19"/>
      <c r="BY840" s="49"/>
      <c r="CF840" s="49"/>
      <c r="CG840" s="49"/>
      <c r="CH840" s="49"/>
      <c r="CI840" s="49"/>
      <c r="CJ840" s="49"/>
      <c r="CK840" s="49"/>
    </row>
    <row r="841" spans="2:89" ht="12.75" customHeight="1" x14ac:dyDescent="0.2">
      <c r="B841" s="77"/>
      <c r="C841" s="79"/>
      <c r="D841" s="79"/>
      <c r="E841" s="79"/>
      <c r="F841" s="79"/>
      <c r="G841" s="79"/>
      <c r="H841" s="79"/>
      <c r="I841" s="79"/>
      <c r="J841" s="78"/>
      <c r="K841" s="79"/>
      <c r="L841" s="79"/>
      <c r="M841" s="79"/>
      <c r="N841" s="79"/>
      <c r="O841" s="79"/>
      <c r="P841" s="79"/>
      <c r="Q841" s="79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45"/>
      <c r="AK841" s="45"/>
      <c r="AL841" s="45"/>
      <c r="AM841" s="45"/>
      <c r="AN841" s="45"/>
      <c r="AO841" s="45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  <c r="BB841" s="80"/>
      <c r="BC841" s="80"/>
      <c r="BD841" s="80"/>
      <c r="BE841" s="80"/>
      <c r="BF841" s="80"/>
      <c r="BG841" s="80"/>
      <c r="BH841" s="49"/>
      <c r="BI841" s="79"/>
      <c r="BJ841" s="79"/>
      <c r="BK841" s="44"/>
      <c r="BL841" s="79"/>
      <c r="BM841" s="49"/>
      <c r="BN841" s="44"/>
      <c r="BO841" s="49"/>
      <c r="BP841" s="49"/>
      <c r="BQ841" s="44"/>
      <c r="BS841" s="49"/>
      <c r="BT841" s="49"/>
      <c r="BU841" s="49"/>
      <c r="BV841" s="49"/>
      <c r="BW841" s="18"/>
      <c r="BX841" s="19"/>
      <c r="BY841" s="49"/>
      <c r="CF841" s="49"/>
      <c r="CG841" s="49"/>
      <c r="CH841" s="49"/>
      <c r="CI841" s="49"/>
      <c r="CJ841" s="49"/>
      <c r="CK841" s="49"/>
    </row>
    <row r="842" spans="2:89" ht="12.75" customHeight="1" x14ac:dyDescent="0.2">
      <c r="B842" s="77"/>
      <c r="C842" s="79"/>
      <c r="D842" s="79"/>
      <c r="E842" s="79"/>
      <c r="F842" s="79"/>
      <c r="G842" s="79"/>
      <c r="H842" s="79"/>
      <c r="I842" s="79"/>
      <c r="J842" s="78"/>
      <c r="K842" s="79"/>
      <c r="L842" s="79"/>
      <c r="M842" s="79"/>
      <c r="N842" s="79"/>
      <c r="O842" s="79"/>
      <c r="P842" s="79"/>
      <c r="Q842" s="79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45"/>
      <c r="AK842" s="45"/>
      <c r="AL842" s="45"/>
      <c r="AM842" s="45"/>
      <c r="AN842" s="45"/>
      <c r="AO842" s="45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  <c r="BB842" s="80"/>
      <c r="BC842" s="80"/>
      <c r="BD842" s="80"/>
      <c r="BE842" s="80"/>
      <c r="BF842" s="80"/>
      <c r="BG842" s="80"/>
      <c r="BH842" s="49"/>
      <c r="BI842" s="79"/>
      <c r="BJ842" s="79"/>
      <c r="BK842" s="44"/>
      <c r="BL842" s="79"/>
      <c r="BM842" s="49"/>
      <c r="BN842" s="44"/>
      <c r="BO842" s="49"/>
      <c r="BP842" s="49"/>
      <c r="BQ842" s="44"/>
      <c r="BS842" s="49"/>
      <c r="BT842" s="49"/>
      <c r="BU842" s="49"/>
      <c r="BV842" s="49"/>
      <c r="BW842" s="18"/>
      <c r="BX842" s="19"/>
      <c r="BY842" s="49"/>
      <c r="CF842" s="49"/>
      <c r="CG842" s="49"/>
      <c r="CH842" s="49"/>
      <c r="CI842" s="49"/>
      <c r="CJ842" s="49"/>
      <c r="CK842" s="49"/>
    </row>
    <row r="843" spans="2:89" ht="12.75" customHeight="1" x14ac:dyDescent="0.2">
      <c r="B843" s="77"/>
      <c r="C843" s="79"/>
      <c r="D843" s="79"/>
      <c r="E843" s="79"/>
      <c r="F843" s="79"/>
      <c r="G843" s="79"/>
      <c r="H843" s="79"/>
      <c r="I843" s="79"/>
      <c r="J843" s="78"/>
      <c r="K843" s="79"/>
      <c r="L843" s="79"/>
      <c r="M843" s="79"/>
      <c r="N843" s="79"/>
      <c r="O843" s="79"/>
      <c r="P843" s="79"/>
      <c r="Q843" s="79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45"/>
      <c r="AK843" s="45"/>
      <c r="AL843" s="45"/>
      <c r="AM843" s="45"/>
      <c r="AN843" s="45"/>
      <c r="AO843" s="45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80"/>
      <c r="BH843" s="49"/>
      <c r="BI843" s="79"/>
      <c r="BJ843" s="79"/>
      <c r="BK843" s="44"/>
      <c r="BL843" s="79"/>
      <c r="BM843" s="49"/>
      <c r="BN843" s="44"/>
      <c r="BO843" s="49"/>
      <c r="BP843" s="49"/>
      <c r="BQ843" s="44"/>
      <c r="BS843" s="49"/>
      <c r="BT843" s="49"/>
      <c r="BU843" s="49"/>
      <c r="BV843" s="49"/>
      <c r="BW843" s="18"/>
      <c r="BX843" s="19"/>
      <c r="BY843" s="49"/>
      <c r="CF843" s="49"/>
      <c r="CG843" s="49"/>
      <c r="CH843" s="49"/>
      <c r="CI843" s="49"/>
      <c r="CJ843" s="49"/>
      <c r="CK843" s="49"/>
    </row>
    <row r="844" spans="2:89" ht="12.75" customHeight="1" x14ac:dyDescent="0.2">
      <c r="B844" s="77"/>
      <c r="C844" s="79"/>
      <c r="D844" s="79"/>
      <c r="E844" s="79"/>
      <c r="F844" s="79"/>
      <c r="G844" s="79"/>
      <c r="H844" s="79"/>
      <c r="I844" s="79"/>
      <c r="J844" s="78"/>
      <c r="K844" s="79"/>
      <c r="L844" s="79"/>
      <c r="M844" s="79"/>
      <c r="N844" s="79"/>
      <c r="O844" s="79"/>
      <c r="P844" s="79"/>
      <c r="Q844" s="79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45"/>
      <c r="AK844" s="45"/>
      <c r="AL844" s="45"/>
      <c r="AM844" s="45"/>
      <c r="AN844" s="45"/>
      <c r="AO844" s="45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  <c r="AZ844" s="80"/>
      <c r="BA844" s="80"/>
      <c r="BB844" s="80"/>
      <c r="BC844" s="80"/>
      <c r="BD844" s="80"/>
      <c r="BE844" s="80"/>
      <c r="BF844" s="80"/>
      <c r="BG844" s="80"/>
      <c r="BH844" s="49"/>
      <c r="BI844" s="79"/>
      <c r="BJ844" s="79"/>
      <c r="BK844" s="44"/>
      <c r="BL844" s="79"/>
      <c r="BM844" s="49"/>
      <c r="BN844" s="44"/>
      <c r="BO844" s="49"/>
      <c r="BP844" s="49"/>
      <c r="BQ844" s="44"/>
      <c r="BS844" s="49"/>
      <c r="BT844" s="49"/>
      <c r="BU844" s="49"/>
      <c r="BV844" s="49"/>
      <c r="BW844" s="18"/>
      <c r="BX844" s="19"/>
      <c r="BY844" s="49"/>
      <c r="CF844" s="49"/>
      <c r="CG844" s="49"/>
      <c r="CH844" s="49"/>
      <c r="CI844" s="49"/>
      <c r="CJ844" s="49"/>
      <c r="CK844" s="49"/>
    </row>
    <row r="845" spans="2:89" ht="12.75" customHeight="1" x14ac:dyDescent="0.2">
      <c r="B845" s="77"/>
      <c r="C845" s="79"/>
      <c r="D845" s="79"/>
      <c r="E845" s="79"/>
      <c r="F845" s="79"/>
      <c r="G845" s="79"/>
      <c r="H845" s="79"/>
      <c r="I845" s="79"/>
      <c r="J845" s="78"/>
      <c r="K845" s="79"/>
      <c r="L845" s="79"/>
      <c r="M845" s="79"/>
      <c r="N845" s="79"/>
      <c r="O845" s="79"/>
      <c r="P845" s="79"/>
      <c r="Q845" s="79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45"/>
      <c r="AK845" s="45"/>
      <c r="AL845" s="45"/>
      <c r="AM845" s="45"/>
      <c r="AN845" s="45"/>
      <c r="AO845" s="45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  <c r="AZ845" s="80"/>
      <c r="BA845" s="80"/>
      <c r="BB845" s="80"/>
      <c r="BC845" s="80"/>
      <c r="BD845" s="80"/>
      <c r="BE845" s="80"/>
      <c r="BF845" s="80"/>
      <c r="BG845" s="80"/>
      <c r="BH845" s="49"/>
      <c r="BI845" s="79"/>
      <c r="BJ845" s="79"/>
      <c r="BK845" s="44"/>
      <c r="BL845" s="79"/>
      <c r="BM845" s="49"/>
      <c r="BN845" s="44"/>
      <c r="BO845" s="49"/>
      <c r="BP845" s="49"/>
      <c r="BQ845" s="44"/>
      <c r="BS845" s="49"/>
      <c r="BT845" s="49"/>
      <c r="BU845" s="49"/>
      <c r="BV845" s="49"/>
      <c r="BW845" s="18"/>
      <c r="BX845" s="19"/>
      <c r="BY845" s="49"/>
      <c r="CF845" s="49"/>
      <c r="CG845" s="49"/>
      <c r="CH845" s="49"/>
      <c r="CI845" s="49"/>
      <c r="CJ845" s="49"/>
      <c r="CK845" s="49"/>
    </row>
    <row r="846" spans="2:89" ht="12.75" customHeight="1" x14ac:dyDescent="0.2">
      <c r="B846" s="77"/>
      <c r="C846" s="79"/>
      <c r="D846" s="79"/>
      <c r="E846" s="79"/>
      <c r="F846" s="79"/>
      <c r="G846" s="79"/>
      <c r="H846" s="79"/>
      <c r="I846" s="79"/>
      <c r="J846" s="78"/>
      <c r="K846" s="79"/>
      <c r="L846" s="79"/>
      <c r="M846" s="79"/>
      <c r="N846" s="79"/>
      <c r="O846" s="79"/>
      <c r="P846" s="79"/>
      <c r="Q846" s="79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45"/>
      <c r="AK846" s="45"/>
      <c r="AL846" s="45"/>
      <c r="AM846" s="45"/>
      <c r="AN846" s="45"/>
      <c r="AO846" s="45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  <c r="BA846" s="80"/>
      <c r="BB846" s="80"/>
      <c r="BC846" s="80"/>
      <c r="BD846" s="80"/>
      <c r="BE846" s="80"/>
      <c r="BF846" s="80"/>
      <c r="BG846" s="80"/>
      <c r="BH846" s="49"/>
      <c r="BI846" s="79"/>
      <c r="BJ846" s="79"/>
      <c r="BK846" s="44"/>
      <c r="BL846" s="79"/>
      <c r="BM846" s="49"/>
      <c r="BN846" s="44"/>
      <c r="BO846" s="49"/>
      <c r="BP846" s="49"/>
      <c r="BQ846" s="44"/>
      <c r="BS846" s="49"/>
      <c r="BT846" s="49"/>
      <c r="BU846" s="49"/>
      <c r="BV846" s="49"/>
      <c r="BW846" s="18"/>
      <c r="BX846" s="19"/>
      <c r="BY846" s="49"/>
      <c r="CF846" s="49"/>
      <c r="CG846" s="49"/>
      <c r="CH846" s="49"/>
      <c r="CI846" s="49"/>
      <c r="CJ846" s="49"/>
      <c r="CK846" s="49"/>
    </row>
    <row r="847" spans="2:89" ht="12.75" customHeight="1" x14ac:dyDescent="0.2">
      <c r="B847" s="77"/>
      <c r="C847" s="79"/>
      <c r="D847" s="79"/>
      <c r="E847" s="79"/>
      <c r="F847" s="79"/>
      <c r="G847" s="79"/>
      <c r="H847" s="79"/>
      <c r="I847" s="79"/>
      <c r="J847" s="78"/>
      <c r="K847" s="79"/>
      <c r="L847" s="79"/>
      <c r="M847" s="79"/>
      <c r="N847" s="79"/>
      <c r="O847" s="79"/>
      <c r="P847" s="79"/>
      <c r="Q847" s="79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45"/>
      <c r="AK847" s="45"/>
      <c r="AL847" s="45"/>
      <c r="AM847" s="45"/>
      <c r="AN847" s="45"/>
      <c r="AO847" s="45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  <c r="BA847" s="80"/>
      <c r="BB847" s="80"/>
      <c r="BC847" s="80"/>
      <c r="BD847" s="80"/>
      <c r="BE847" s="80"/>
      <c r="BF847" s="80"/>
      <c r="BG847" s="80"/>
      <c r="BH847" s="49"/>
      <c r="BI847" s="79"/>
      <c r="BJ847" s="79"/>
      <c r="BK847" s="44"/>
      <c r="BL847" s="79"/>
      <c r="BM847" s="49"/>
      <c r="BN847" s="44"/>
      <c r="BO847" s="49"/>
      <c r="BP847" s="49"/>
      <c r="BQ847" s="44"/>
      <c r="BS847" s="49"/>
      <c r="BT847" s="49"/>
      <c r="BU847" s="49"/>
      <c r="BV847" s="49"/>
      <c r="BW847" s="18"/>
      <c r="BX847" s="19"/>
      <c r="BY847" s="49"/>
      <c r="CF847" s="49"/>
      <c r="CG847" s="49"/>
      <c r="CH847" s="49"/>
      <c r="CI847" s="49"/>
      <c r="CJ847" s="49"/>
      <c r="CK847" s="49"/>
    </row>
    <row r="848" spans="2:89" ht="12.75" customHeight="1" x14ac:dyDescent="0.2">
      <c r="B848" s="77"/>
      <c r="C848" s="79"/>
      <c r="D848" s="79"/>
      <c r="E848" s="79"/>
      <c r="F848" s="79"/>
      <c r="G848" s="79"/>
      <c r="H848" s="79"/>
      <c r="I848" s="79"/>
      <c r="J848" s="78"/>
      <c r="K848" s="79"/>
      <c r="L848" s="79"/>
      <c r="M848" s="79"/>
      <c r="N848" s="79"/>
      <c r="O848" s="79"/>
      <c r="P848" s="79"/>
      <c r="Q848" s="79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45"/>
      <c r="AK848" s="45"/>
      <c r="AL848" s="45"/>
      <c r="AM848" s="45"/>
      <c r="AN848" s="45"/>
      <c r="AO848" s="45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  <c r="BB848" s="80"/>
      <c r="BC848" s="80"/>
      <c r="BD848" s="80"/>
      <c r="BE848" s="80"/>
      <c r="BF848" s="80"/>
      <c r="BG848" s="80"/>
      <c r="BH848" s="49"/>
      <c r="BI848" s="79"/>
      <c r="BJ848" s="79"/>
      <c r="BK848" s="44"/>
      <c r="BL848" s="79"/>
      <c r="BM848" s="49"/>
      <c r="BN848" s="44"/>
      <c r="BO848" s="49"/>
      <c r="BP848" s="49"/>
      <c r="BQ848" s="44"/>
      <c r="BS848" s="49"/>
      <c r="BT848" s="49"/>
      <c r="BU848" s="49"/>
      <c r="BV848" s="49"/>
      <c r="BW848" s="18"/>
      <c r="BX848" s="19"/>
      <c r="BY848" s="49"/>
      <c r="CF848" s="49"/>
      <c r="CG848" s="49"/>
      <c r="CH848" s="49"/>
      <c r="CI848" s="49"/>
      <c r="CJ848" s="49"/>
      <c r="CK848" s="49"/>
    </row>
    <row r="849" spans="2:89" ht="12.75" customHeight="1" x14ac:dyDescent="0.2">
      <c r="B849" s="77"/>
      <c r="C849" s="79"/>
      <c r="D849" s="79"/>
      <c r="E849" s="79"/>
      <c r="F849" s="79"/>
      <c r="G849" s="79"/>
      <c r="H849" s="79"/>
      <c r="I849" s="79"/>
      <c r="J849" s="78"/>
      <c r="K849" s="79"/>
      <c r="L849" s="79"/>
      <c r="M849" s="79"/>
      <c r="N849" s="79"/>
      <c r="O849" s="79"/>
      <c r="P849" s="79"/>
      <c r="Q849" s="79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45"/>
      <c r="AK849" s="45"/>
      <c r="AL849" s="45"/>
      <c r="AM849" s="45"/>
      <c r="AN849" s="45"/>
      <c r="AO849" s="45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  <c r="AZ849" s="80"/>
      <c r="BA849" s="80"/>
      <c r="BB849" s="80"/>
      <c r="BC849" s="80"/>
      <c r="BD849" s="80"/>
      <c r="BE849" s="80"/>
      <c r="BF849" s="80"/>
      <c r="BG849" s="80"/>
      <c r="BH849" s="49"/>
      <c r="BI849" s="79"/>
      <c r="BJ849" s="79"/>
      <c r="BK849" s="44"/>
      <c r="BL849" s="79"/>
      <c r="BM849" s="49"/>
      <c r="BN849" s="44"/>
      <c r="BO849" s="49"/>
      <c r="BP849" s="49"/>
      <c r="BQ849" s="44"/>
      <c r="BS849" s="49"/>
      <c r="BT849" s="49"/>
      <c r="BU849" s="49"/>
      <c r="BV849" s="49"/>
      <c r="BW849" s="18"/>
      <c r="BX849" s="19"/>
      <c r="BY849" s="49"/>
      <c r="CF849" s="49"/>
      <c r="CG849" s="49"/>
      <c r="CH849" s="49"/>
      <c r="CI849" s="49"/>
      <c r="CJ849" s="49"/>
      <c r="CK849" s="49"/>
    </row>
    <row r="850" spans="2:89" ht="12.75" customHeight="1" x14ac:dyDescent="0.2">
      <c r="B850" s="77"/>
      <c r="C850" s="79"/>
      <c r="D850" s="79"/>
      <c r="E850" s="79"/>
      <c r="F850" s="79"/>
      <c r="G850" s="79"/>
      <c r="H850" s="79"/>
      <c r="I850" s="79"/>
      <c r="J850" s="78"/>
      <c r="K850" s="79"/>
      <c r="L850" s="79"/>
      <c r="M850" s="79"/>
      <c r="N850" s="79"/>
      <c r="O850" s="79"/>
      <c r="P850" s="79"/>
      <c r="Q850" s="79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45"/>
      <c r="AK850" s="45"/>
      <c r="AL850" s="45"/>
      <c r="AM850" s="45"/>
      <c r="AN850" s="45"/>
      <c r="AO850" s="45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  <c r="BA850" s="80"/>
      <c r="BB850" s="80"/>
      <c r="BC850" s="80"/>
      <c r="BD850" s="80"/>
      <c r="BE850" s="80"/>
      <c r="BF850" s="80"/>
      <c r="BG850" s="80"/>
      <c r="BH850" s="49"/>
      <c r="BI850" s="79"/>
      <c r="BJ850" s="79"/>
      <c r="BK850" s="44"/>
      <c r="BL850" s="79"/>
      <c r="BM850" s="49"/>
      <c r="BN850" s="44"/>
      <c r="BO850" s="49"/>
      <c r="BP850" s="49"/>
      <c r="BQ850" s="44"/>
      <c r="BS850" s="49"/>
      <c r="BT850" s="49"/>
      <c r="BU850" s="49"/>
      <c r="BV850" s="49"/>
      <c r="BW850" s="18"/>
      <c r="BX850" s="19"/>
      <c r="BY850" s="49"/>
      <c r="CF850" s="49"/>
      <c r="CG850" s="49"/>
      <c r="CH850" s="49"/>
      <c r="CI850" s="49"/>
      <c r="CJ850" s="49"/>
      <c r="CK850" s="49"/>
    </row>
    <row r="851" spans="2:89" ht="12.75" customHeight="1" x14ac:dyDescent="0.2">
      <c r="B851" s="77"/>
      <c r="C851" s="79"/>
      <c r="D851" s="79"/>
      <c r="E851" s="79"/>
      <c r="F851" s="79"/>
      <c r="G851" s="79"/>
      <c r="H851" s="79"/>
      <c r="I851" s="79"/>
      <c r="J851" s="78"/>
      <c r="K851" s="79"/>
      <c r="L851" s="79"/>
      <c r="M851" s="79"/>
      <c r="N851" s="79"/>
      <c r="O851" s="79"/>
      <c r="P851" s="79"/>
      <c r="Q851" s="79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45"/>
      <c r="AK851" s="45"/>
      <c r="AL851" s="45"/>
      <c r="AM851" s="45"/>
      <c r="AN851" s="45"/>
      <c r="AO851" s="45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  <c r="BB851" s="80"/>
      <c r="BC851" s="80"/>
      <c r="BD851" s="80"/>
      <c r="BE851" s="80"/>
      <c r="BF851" s="80"/>
      <c r="BG851" s="80"/>
      <c r="BH851" s="49"/>
      <c r="BI851" s="79"/>
      <c r="BJ851" s="79"/>
      <c r="BK851" s="44"/>
      <c r="BL851" s="79"/>
      <c r="BM851" s="49"/>
      <c r="BN851" s="44"/>
      <c r="BO851" s="49"/>
      <c r="BP851" s="49"/>
      <c r="BQ851" s="44"/>
      <c r="BS851" s="49"/>
      <c r="BT851" s="49"/>
      <c r="BU851" s="49"/>
      <c r="BV851" s="49"/>
      <c r="BW851" s="18"/>
      <c r="BX851" s="19"/>
      <c r="BY851" s="49"/>
      <c r="CF851" s="49"/>
      <c r="CG851" s="49"/>
      <c r="CH851" s="49"/>
      <c r="CI851" s="49"/>
      <c r="CJ851" s="49"/>
      <c r="CK851" s="49"/>
    </row>
    <row r="852" spans="2:89" ht="12.75" customHeight="1" x14ac:dyDescent="0.2">
      <c r="B852" s="77"/>
      <c r="C852" s="79"/>
      <c r="D852" s="79"/>
      <c r="E852" s="79"/>
      <c r="F852" s="79"/>
      <c r="G852" s="79"/>
      <c r="H852" s="79"/>
      <c r="I852" s="79"/>
      <c r="J852" s="78"/>
      <c r="K852" s="79"/>
      <c r="L852" s="79"/>
      <c r="M852" s="79"/>
      <c r="N852" s="79"/>
      <c r="O852" s="79"/>
      <c r="P852" s="79"/>
      <c r="Q852" s="79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45"/>
      <c r="AK852" s="45"/>
      <c r="AL852" s="45"/>
      <c r="AM852" s="45"/>
      <c r="AN852" s="45"/>
      <c r="AO852" s="45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  <c r="BA852" s="80"/>
      <c r="BB852" s="80"/>
      <c r="BC852" s="80"/>
      <c r="BD852" s="80"/>
      <c r="BE852" s="80"/>
      <c r="BF852" s="80"/>
      <c r="BG852" s="80"/>
      <c r="BH852" s="49"/>
      <c r="BI852" s="79"/>
      <c r="BJ852" s="79"/>
      <c r="BK852" s="44"/>
      <c r="BL852" s="79"/>
      <c r="BM852" s="49"/>
      <c r="BN852" s="44"/>
      <c r="BO852" s="49"/>
      <c r="BP852" s="49"/>
      <c r="BQ852" s="44"/>
      <c r="BS852" s="49"/>
      <c r="BT852" s="49"/>
      <c r="BU852" s="49"/>
      <c r="BV852" s="49"/>
      <c r="BW852" s="18"/>
      <c r="BX852" s="19"/>
      <c r="BY852" s="49"/>
      <c r="CF852" s="49"/>
      <c r="CG852" s="49"/>
      <c r="CH852" s="49"/>
      <c r="CI852" s="49"/>
      <c r="CJ852" s="49"/>
      <c r="CK852" s="49"/>
    </row>
    <row r="853" spans="2:89" ht="12.75" customHeight="1" x14ac:dyDescent="0.2">
      <c r="B853" s="77"/>
      <c r="C853" s="79"/>
      <c r="D853" s="79"/>
      <c r="E853" s="79"/>
      <c r="F853" s="79"/>
      <c r="G853" s="79"/>
      <c r="H853" s="79"/>
      <c r="I853" s="79"/>
      <c r="J853" s="78"/>
      <c r="K853" s="79"/>
      <c r="L853" s="79"/>
      <c r="M853" s="79"/>
      <c r="N853" s="79"/>
      <c r="O853" s="79"/>
      <c r="P853" s="79"/>
      <c r="Q853" s="79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45"/>
      <c r="AK853" s="45"/>
      <c r="AL853" s="45"/>
      <c r="AM853" s="45"/>
      <c r="AN853" s="45"/>
      <c r="AO853" s="45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  <c r="AZ853" s="80"/>
      <c r="BA853" s="80"/>
      <c r="BB853" s="80"/>
      <c r="BC853" s="80"/>
      <c r="BD853" s="80"/>
      <c r="BE853" s="80"/>
      <c r="BF853" s="80"/>
      <c r="BG853" s="80"/>
      <c r="BH853" s="49"/>
      <c r="BI853" s="79"/>
      <c r="BJ853" s="79"/>
      <c r="BK853" s="44"/>
      <c r="BL853" s="79"/>
      <c r="BM853" s="49"/>
      <c r="BN853" s="44"/>
      <c r="BO853" s="49"/>
      <c r="BP853" s="49"/>
      <c r="BQ853" s="44"/>
      <c r="BS853" s="49"/>
      <c r="BT853" s="49"/>
      <c r="BU853" s="49"/>
      <c r="BV853" s="49"/>
      <c r="BW853" s="18"/>
      <c r="BX853" s="19"/>
      <c r="BY853" s="49"/>
      <c r="CF853" s="49"/>
      <c r="CG853" s="49"/>
      <c r="CH853" s="49"/>
      <c r="CI853" s="49"/>
      <c r="CJ853" s="49"/>
      <c r="CK853" s="49"/>
    </row>
    <row r="854" spans="2:89" ht="12.75" customHeight="1" x14ac:dyDescent="0.2">
      <c r="B854" s="77"/>
      <c r="C854" s="79"/>
      <c r="D854" s="79"/>
      <c r="E854" s="79"/>
      <c r="F854" s="79"/>
      <c r="G854" s="79"/>
      <c r="H854" s="79"/>
      <c r="I854" s="79"/>
      <c r="J854" s="78"/>
      <c r="K854" s="79"/>
      <c r="L854" s="79"/>
      <c r="M854" s="79"/>
      <c r="N854" s="79"/>
      <c r="O854" s="79"/>
      <c r="P854" s="79"/>
      <c r="Q854" s="79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45"/>
      <c r="AK854" s="45"/>
      <c r="AL854" s="45"/>
      <c r="AM854" s="45"/>
      <c r="AN854" s="45"/>
      <c r="AO854" s="45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  <c r="BA854" s="80"/>
      <c r="BB854" s="80"/>
      <c r="BC854" s="80"/>
      <c r="BD854" s="80"/>
      <c r="BE854" s="80"/>
      <c r="BF854" s="80"/>
      <c r="BG854" s="80"/>
      <c r="BH854" s="49"/>
      <c r="BI854" s="79"/>
      <c r="BJ854" s="79"/>
      <c r="BK854" s="44"/>
      <c r="BL854" s="79"/>
      <c r="BM854" s="49"/>
      <c r="BN854" s="44"/>
      <c r="BO854" s="49"/>
      <c r="BP854" s="49"/>
      <c r="BQ854" s="44"/>
      <c r="BS854" s="49"/>
      <c r="BT854" s="49"/>
      <c r="BU854" s="49"/>
      <c r="BV854" s="49"/>
      <c r="BW854" s="18"/>
      <c r="BX854" s="19"/>
      <c r="BY854" s="49"/>
      <c r="CF854" s="49"/>
      <c r="CG854" s="49"/>
      <c r="CH854" s="49"/>
      <c r="CI854" s="49"/>
      <c r="CJ854" s="49"/>
      <c r="CK854" s="49"/>
    </row>
    <row r="855" spans="2:89" ht="12.75" customHeight="1" x14ac:dyDescent="0.2">
      <c r="B855" s="77"/>
      <c r="C855" s="79"/>
      <c r="D855" s="79"/>
      <c r="E855" s="79"/>
      <c r="F855" s="79"/>
      <c r="G855" s="79"/>
      <c r="H855" s="79"/>
      <c r="I855" s="79"/>
      <c r="J855" s="78"/>
      <c r="K855" s="79"/>
      <c r="L855" s="79"/>
      <c r="M855" s="79"/>
      <c r="N855" s="79"/>
      <c r="O855" s="79"/>
      <c r="P855" s="79"/>
      <c r="Q855" s="79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45"/>
      <c r="AK855" s="45"/>
      <c r="AL855" s="45"/>
      <c r="AM855" s="45"/>
      <c r="AN855" s="45"/>
      <c r="AO855" s="45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  <c r="BA855" s="80"/>
      <c r="BB855" s="80"/>
      <c r="BC855" s="80"/>
      <c r="BD855" s="80"/>
      <c r="BE855" s="80"/>
      <c r="BF855" s="80"/>
      <c r="BG855" s="80"/>
      <c r="BH855" s="49"/>
      <c r="BI855" s="79"/>
      <c r="BJ855" s="79"/>
      <c r="BK855" s="44"/>
      <c r="BL855" s="79"/>
      <c r="BM855" s="49"/>
      <c r="BN855" s="44"/>
      <c r="BO855" s="49"/>
      <c r="BP855" s="49"/>
      <c r="BQ855" s="44"/>
      <c r="BS855" s="49"/>
      <c r="BT855" s="49"/>
      <c r="BU855" s="49"/>
      <c r="BV855" s="49"/>
      <c r="BW855" s="18"/>
      <c r="BX855" s="19"/>
      <c r="BY855" s="49"/>
      <c r="CF855" s="49"/>
      <c r="CG855" s="49"/>
      <c r="CH855" s="49"/>
      <c r="CI855" s="49"/>
      <c r="CJ855" s="49"/>
      <c r="CK855" s="49"/>
    </row>
    <row r="856" spans="2:89" ht="12.75" customHeight="1" x14ac:dyDescent="0.2">
      <c r="B856" s="77"/>
      <c r="C856" s="79"/>
      <c r="D856" s="79"/>
      <c r="E856" s="79"/>
      <c r="F856" s="79"/>
      <c r="G856" s="79"/>
      <c r="H856" s="79"/>
      <c r="I856" s="79"/>
      <c r="J856" s="78"/>
      <c r="K856" s="79"/>
      <c r="L856" s="79"/>
      <c r="M856" s="79"/>
      <c r="N856" s="79"/>
      <c r="O856" s="79"/>
      <c r="P856" s="79"/>
      <c r="Q856" s="79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45"/>
      <c r="AK856" s="45"/>
      <c r="AL856" s="45"/>
      <c r="AM856" s="45"/>
      <c r="AN856" s="45"/>
      <c r="AO856" s="45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  <c r="AZ856" s="80"/>
      <c r="BA856" s="80"/>
      <c r="BB856" s="80"/>
      <c r="BC856" s="80"/>
      <c r="BD856" s="80"/>
      <c r="BE856" s="80"/>
      <c r="BF856" s="80"/>
      <c r="BG856" s="80"/>
      <c r="BH856" s="49"/>
      <c r="BI856" s="79"/>
      <c r="BJ856" s="79"/>
      <c r="BK856" s="44"/>
      <c r="BL856" s="79"/>
      <c r="BM856" s="49"/>
      <c r="BN856" s="44"/>
      <c r="BO856" s="49"/>
      <c r="BP856" s="49"/>
      <c r="BQ856" s="44"/>
      <c r="BS856" s="49"/>
      <c r="BT856" s="49"/>
      <c r="BU856" s="49"/>
      <c r="BV856" s="49"/>
      <c r="BW856" s="18"/>
      <c r="BX856" s="19"/>
      <c r="BY856" s="49"/>
      <c r="CF856" s="49"/>
      <c r="CG856" s="49"/>
      <c r="CH856" s="49"/>
      <c r="CI856" s="49"/>
      <c r="CJ856" s="49"/>
      <c r="CK856" s="49"/>
    </row>
    <row r="857" spans="2:89" ht="12.75" customHeight="1" x14ac:dyDescent="0.2">
      <c r="B857" s="77"/>
      <c r="C857" s="79"/>
      <c r="D857" s="79"/>
      <c r="E857" s="79"/>
      <c r="F857" s="79"/>
      <c r="G857" s="79"/>
      <c r="H857" s="79"/>
      <c r="I857" s="79"/>
      <c r="J857" s="78"/>
      <c r="K857" s="79"/>
      <c r="L857" s="79"/>
      <c r="M857" s="79"/>
      <c r="N857" s="79"/>
      <c r="O857" s="79"/>
      <c r="P857" s="79"/>
      <c r="Q857" s="79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45"/>
      <c r="AK857" s="45"/>
      <c r="AL857" s="45"/>
      <c r="AM857" s="45"/>
      <c r="AN857" s="45"/>
      <c r="AO857" s="45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  <c r="BA857" s="80"/>
      <c r="BB857" s="80"/>
      <c r="BC857" s="80"/>
      <c r="BD857" s="80"/>
      <c r="BE857" s="80"/>
      <c r="BF857" s="80"/>
      <c r="BG857" s="80"/>
      <c r="BH857" s="49"/>
      <c r="BI857" s="79"/>
      <c r="BJ857" s="79"/>
      <c r="BK857" s="44"/>
      <c r="BL857" s="79"/>
      <c r="BM857" s="49"/>
      <c r="BN857" s="44"/>
      <c r="BO857" s="49"/>
      <c r="BP857" s="49"/>
      <c r="BQ857" s="44"/>
      <c r="BS857" s="49"/>
      <c r="BT857" s="49"/>
      <c r="BU857" s="49"/>
      <c r="BV857" s="49"/>
      <c r="BW857" s="18"/>
      <c r="BX857" s="19"/>
      <c r="BY857" s="49"/>
      <c r="CF857" s="49"/>
      <c r="CG857" s="49"/>
      <c r="CH857" s="49"/>
      <c r="CI857" s="49"/>
      <c r="CJ857" s="49"/>
      <c r="CK857" s="49"/>
    </row>
    <row r="858" spans="2:89" ht="12.75" customHeight="1" x14ac:dyDescent="0.2">
      <c r="B858" s="77"/>
      <c r="C858" s="79"/>
      <c r="D858" s="79"/>
      <c r="E858" s="79"/>
      <c r="F858" s="79"/>
      <c r="G858" s="79"/>
      <c r="H858" s="79"/>
      <c r="I858" s="79"/>
      <c r="J858" s="78"/>
      <c r="K858" s="79"/>
      <c r="L858" s="79"/>
      <c r="M858" s="79"/>
      <c r="N858" s="79"/>
      <c r="O858" s="79"/>
      <c r="P858" s="79"/>
      <c r="Q858" s="79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45"/>
      <c r="AK858" s="45"/>
      <c r="AL858" s="45"/>
      <c r="AM858" s="45"/>
      <c r="AN858" s="45"/>
      <c r="AO858" s="45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  <c r="BA858" s="80"/>
      <c r="BB858" s="80"/>
      <c r="BC858" s="80"/>
      <c r="BD858" s="80"/>
      <c r="BE858" s="80"/>
      <c r="BF858" s="80"/>
      <c r="BG858" s="80"/>
      <c r="BH858" s="49"/>
      <c r="BI858" s="79"/>
      <c r="BJ858" s="79"/>
      <c r="BK858" s="44"/>
      <c r="BL858" s="79"/>
      <c r="BM858" s="49"/>
      <c r="BN858" s="44"/>
      <c r="BO858" s="49"/>
      <c r="BP858" s="49"/>
      <c r="BQ858" s="44"/>
      <c r="BS858" s="49"/>
      <c r="BT858" s="49"/>
      <c r="BU858" s="49"/>
      <c r="BV858" s="49"/>
      <c r="BW858" s="18"/>
      <c r="BX858" s="19"/>
      <c r="BY858" s="49"/>
      <c r="CF858" s="49"/>
      <c r="CG858" s="49"/>
      <c r="CH858" s="49"/>
      <c r="CI858" s="49"/>
      <c r="CJ858" s="49"/>
      <c r="CK858" s="49"/>
    </row>
    <row r="859" spans="2:89" ht="12.75" customHeight="1" x14ac:dyDescent="0.2">
      <c r="B859" s="77"/>
      <c r="C859" s="79"/>
      <c r="D859" s="79"/>
      <c r="E859" s="79"/>
      <c r="F859" s="79"/>
      <c r="G859" s="79"/>
      <c r="H859" s="79"/>
      <c r="I859" s="79"/>
      <c r="J859" s="78"/>
      <c r="K859" s="79"/>
      <c r="L859" s="79"/>
      <c r="M859" s="79"/>
      <c r="N859" s="79"/>
      <c r="O859" s="79"/>
      <c r="P859" s="79"/>
      <c r="Q859" s="79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45"/>
      <c r="AK859" s="45"/>
      <c r="AL859" s="45"/>
      <c r="AM859" s="45"/>
      <c r="AN859" s="45"/>
      <c r="AO859" s="45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  <c r="BB859" s="80"/>
      <c r="BC859" s="80"/>
      <c r="BD859" s="80"/>
      <c r="BE859" s="80"/>
      <c r="BF859" s="80"/>
      <c r="BG859" s="80"/>
      <c r="BH859" s="49"/>
      <c r="BI859" s="79"/>
      <c r="BJ859" s="79"/>
      <c r="BK859" s="44"/>
      <c r="BL859" s="79"/>
      <c r="BM859" s="49"/>
      <c r="BN859" s="44"/>
      <c r="BO859" s="49"/>
      <c r="BP859" s="49"/>
      <c r="BQ859" s="44"/>
      <c r="BS859" s="49"/>
      <c r="BT859" s="49"/>
      <c r="BU859" s="49"/>
      <c r="BV859" s="49"/>
      <c r="BW859" s="18"/>
      <c r="BX859" s="19"/>
      <c r="BY859" s="49"/>
      <c r="CF859" s="49"/>
      <c r="CG859" s="49"/>
      <c r="CH859" s="49"/>
      <c r="CI859" s="49"/>
      <c r="CJ859" s="49"/>
      <c r="CK859" s="49"/>
    </row>
    <row r="860" spans="2:89" ht="12.75" customHeight="1" x14ac:dyDescent="0.2">
      <c r="B860" s="77"/>
      <c r="C860" s="79"/>
      <c r="D860" s="79"/>
      <c r="E860" s="79"/>
      <c r="F860" s="79"/>
      <c r="G860" s="79"/>
      <c r="H860" s="79"/>
      <c r="I860" s="79"/>
      <c r="J860" s="78"/>
      <c r="K860" s="79"/>
      <c r="L860" s="79"/>
      <c r="M860" s="79"/>
      <c r="N860" s="79"/>
      <c r="O860" s="79"/>
      <c r="P860" s="79"/>
      <c r="Q860" s="79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45"/>
      <c r="AK860" s="45"/>
      <c r="AL860" s="45"/>
      <c r="AM860" s="45"/>
      <c r="AN860" s="45"/>
      <c r="AO860" s="45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  <c r="AZ860" s="80"/>
      <c r="BA860" s="80"/>
      <c r="BB860" s="80"/>
      <c r="BC860" s="80"/>
      <c r="BD860" s="80"/>
      <c r="BE860" s="80"/>
      <c r="BF860" s="80"/>
      <c r="BG860" s="80"/>
      <c r="BH860" s="49"/>
      <c r="BI860" s="79"/>
      <c r="BJ860" s="79"/>
      <c r="BK860" s="44"/>
      <c r="BL860" s="79"/>
      <c r="BM860" s="49"/>
      <c r="BN860" s="44"/>
      <c r="BO860" s="49"/>
      <c r="BP860" s="49"/>
      <c r="BQ860" s="44"/>
      <c r="BS860" s="49"/>
      <c r="BT860" s="49"/>
      <c r="BU860" s="49"/>
      <c r="BV860" s="49"/>
      <c r="BW860" s="18"/>
      <c r="BX860" s="19"/>
      <c r="BY860" s="49"/>
      <c r="CF860" s="49"/>
      <c r="CG860" s="49"/>
      <c r="CH860" s="49"/>
      <c r="CI860" s="49"/>
      <c r="CJ860" s="49"/>
      <c r="CK860" s="49"/>
    </row>
    <row r="861" spans="2:89" ht="12.75" customHeight="1" x14ac:dyDescent="0.2">
      <c r="B861" s="77"/>
      <c r="C861" s="79"/>
      <c r="D861" s="79"/>
      <c r="E861" s="79"/>
      <c r="F861" s="79"/>
      <c r="G861" s="79"/>
      <c r="H861" s="79"/>
      <c r="I861" s="79"/>
      <c r="J861" s="78"/>
      <c r="K861" s="79"/>
      <c r="L861" s="79"/>
      <c r="M861" s="79"/>
      <c r="N861" s="79"/>
      <c r="O861" s="79"/>
      <c r="P861" s="79"/>
      <c r="Q861" s="79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45"/>
      <c r="AK861" s="45"/>
      <c r="AL861" s="45"/>
      <c r="AM861" s="45"/>
      <c r="AN861" s="45"/>
      <c r="AO861" s="45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  <c r="BB861" s="80"/>
      <c r="BC861" s="80"/>
      <c r="BD861" s="80"/>
      <c r="BE861" s="80"/>
      <c r="BF861" s="80"/>
      <c r="BG861" s="80"/>
      <c r="BH861" s="49"/>
      <c r="BI861" s="79"/>
      <c r="BJ861" s="79"/>
      <c r="BK861" s="44"/>
      <c r="BL861" s="79"/>
      <c r="BM861" s="49"/>
      <c r="BN861" s="44"/>
      <c r="BO861" s="49"/>
      <c r="BP861" s="49"/>
      <c r="BQ861" s="44"/>
      <c r="BS861" s="49"/>
      <c r="BT861" s="49"/>
      <c r="BU861" s="49"/>
      <c r="BV861" s="49"/>
      <c r="BW861" s="18"/>
      <c r="BX861" s="19"/>
      <c r="BY861" s="49"/>
      <c r="CF861" s="49"/>
      <c r="CG861" s="49"/>
      <c r="CH861" s="49"/>
      <c r="CI861" s="49"/>
      <c r="CJ861" s="49"/>
      <c r="CK861" s="49"/>
    </row>
    <row r="862" spans="2:89" ht="12.75" customHeight="1" x14ac:dyDescent="0.2">
      <c r="B862" s="77"/>
      <c r="C862" s="79"/>
      <c r="D862" s="79"/>
      <c r="E862" s="79"/>
      <c r="F862" s="79"/>
      <c r="G862" s="79"/>
      <c r="H862" s="79"/>
      <c r="I862" s="79"/>
      <c r="J862" s="78"/>
      <c r="K862" s="79"/>
      <c r="L862" s="79"/>
      <c r="M862" s="79"/>
      <c r="N862" s="79"/>
      <c r="O862" s="79"/>
      <c r="P862" s="79"/>
      <c r="Q862" s="79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45"/>
      <c r="AK862" s="45"/>
      <c r="AL862" s="45"/>
      <c r="AM862" s="45"/>
      <c r="AN862" s="45"/>
      <c r="AO862" s="45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  <c r="AZ862" s="80"/>
      <c r="BA862" s="80"/>
      <c r="BB862" s="80"/>
      <c r="BC862" s="80"/>
      <c r="BD862" s="80"/>
      <c r="BE862" s="80"/>
      <c r="BF862" s="80"/>
      <c r="BG862" s="80"/>
      <c r="BH862" s="49"/>
      <c r="BI862" s="79"/>
      <c r="BJ862" s="79"/>
      <c r="BK862" s="44"/>
      <c r="BL862" s="79"/>
      <c r="BM862" s="49"/>
      <c r="BN862" s="44"/>
      <c r="BO862" s="49"/>
      <c r="BP862" s="49"/>
      <c r="BQ862" s="44"/>
      <c r="BS862" s="49"/>
      <c r="BT862" s="49"/>
      <c r="BU862" s="49"/>
      <c r="BV862" s="49"/>
      <c r="BW862" s="18"/>
      <c r="BX862" s="19"/>
      <c r="BY862" s="49"/>
      <c r="CF862" s="49"/>
      <c r="CG862" s="49"/>
      <c r="CH862" s="49"/>
      <c r="CI862" s="49"/>
      <c r="CJ862" s="49"/>
      <c r="CK862" s="49"/>
    </row>
    <row r="863" spans="2:89" ht="12.75" customHeight="1" x14ac:dyDescent="0.2">
      <c r="B863" s="77"/>
      <c r="C863" s="79"/>
      <c r="D863" s="79"/>
      <c r="E863" s="79"/>
      <c r="F863" s="79"/>
      <c r="G863" s="79"/>
      <c r="H863" s="79"/>
      <c r="I863" s="79"/>
      <c r="J863" s="78"/>
      <c r="K863" s="79"/>
      <c r="L863" s="79"/>
      <c r="M863" s="79"/>
      <c r="N863" s="79"/>
      <c r="O863" s="79"/>
      <c r="P863" s="79"/>
      <c r="Q863" s="79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45"/>
      <c r="AK863" s="45"/>
      <c r="AL863" s="45"/>
      <c r="AM863" s="45"/>
      <c r="AN863" s="45"/>
      <c r="AO863" s="45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  <c r="BA863" s="80"/>
      <c r="BB863" s="80"/>
      <c r="BC863" s="80"/>
      <c r="BD863" s="80"/>
      <c r="BE863" s="80"/>
      <c r="BF863" s="80"/>
      <c r="BG863" s="80"/>
      <c r="BH863" s="49"/>
      <c r="BI863" s="79"/>
      <c r="BJ863" s="79"/>
      <c r="BK863" s="44"/>
      <c r="BL863" s="79"/>
      <c r="BM863" s="49"/>
      <c r="BN863" s="44"/>
      <c r="BO863" s="49"/>
      <c r="BP863" s="49"/>
      <c r="BQ863" s="44"/>
      <c r="BS863" s="49"/>
      <c r="BT863" s="49"/>
      <c r="BU863" s="49"/>
      <c r="BV863" s="49"/>
      <c r="BW863" s="18"/>
      <c r="BX863" s="19"/>
      <c r="BY863" s="49"/>
      <c r="CF863" s="49"/>
      <c r="CG863" s="49"/>
      <c r="CH863" s="49"/>
      <c r="CI863" s="49"/>
      <c r="CJ863" s="49"/>
      <c r="CK863" s="49"/>
    </row>
    <row r="864" spans="2:89" ht="12.75" customHeight="1" x14ac:dyDescent="0.2">
      <c r="B864" s="77"/>
      <c r="C864" s="79"/>
      <c r="D864" s="79"/>
      <c r="E864" s="79"/>
      <c r="F864" s="79"/>
      <c r="G864" s="79"/>
      <c r="H864" s="79"/>
      <c r="I864" s="79"/>
      <c r="J864" s="78"/>
      <c r="K864" s="79"/>
      <c r="L864" s="79"/>
      <c r="M864" s="79"/>
      <c r="N864" s="79"/>
      <c r="O864" s="79"/>
      <c r="P864" s="79"/>
      <c r="Q864" s="79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45"/>
      <c r="AK864" s="45"/>
      <c r="AL864" s="45"/>
      <c r="AM864" s="45"/>
      <c r="AN864" s="45"/>
      <c r="AO864" s="45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  <c r="BA864" s="80"/>
      <c r="BB864" s="80"/>
      <c r="BC864" s="80"/>
      <c r="BD864" s="80"/>
      <c r="BE864" s="80"/>
      <c r="BF864" s="80"/>
      <c r="BG864" s="80"/>
      <c r="BH864" s="49"/>
      <c r="BI864" s="79"/>
      <c r="BJ864" s="79"/>
      <c r="BK864" s="44"/>
      <c r="BL864" s="79"/>
      <c r="BM864" s="49"/>
      <c r="BN864" s="44"/>
      <c r="BO864" s="49"/>
      <c r="BP864" s="49"/>
      <c r="BQ864" s="44"/>
      <c r="BS864" s="49"/>
      <c r="BT864" s="49"/>
      <c r="BU864" s="49"/>
      <c r="BV864" s="49"/>
      <c r="BW864" s="18"/>
      <c r="BX864" s="19"/>
      <c r="BY864" s="49"/>
      <c r="CF864" s="49"/>
      <c r="CG864" s="49"/>
      <c r="CH864" s="49"/>
      <c r="CI864" s="49"/>
      <c r="CJ864" s="49"/>
      <c r="CK864" s="49"/>
    </row>
    <row r="865" spans="2:89" ht="12.75" customHeight="1" x14ac:dyDescent="0.2">
      <c r="B865" s="77"/>
      <c r="C865" s="79"/>
      <c r="D865" s="79"/>
      <c r="E865" s="79"/>
      <c r="F865" s="79"/>
      <c r="G865" s="79"/>
      <c r="H865" s="79"/>
      <c r="I865" s="79"/>
      <c r="J865" s="78"/>
      <c r="K865" s="79"/>
      <c r="L865" s="79"/>
      <c r="M865" s="79"/>
      <c r="N865" s="79"/>
      <c r="O865" s="79"/>
      <c r="P865" s="79"/>
      <c r="Q865" s="79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45"/>
      <c r="AK865" s="45"/>
      <c r="AL865" s="45"/>
      <c r="AM865" s="45"/>
      <c r="AN865" s="45"/>
      <c r="AO865" s="45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  <c r="AZ865" s="80"/>
      <c r="BA865" s="80"/>
      <c r="BB865" s="80"/>
      <c r="BC865" s="80"/>
      <c r="BD865" s="80"/>
      <c r="BE865" s="80"/>
      <c r="BF865" s="80"/>
      <c r="BG865" s="80"/>
      <c r="BH865" s="49"/>
      <c r="BI865" s="79"/>
      <c r="BJ865" s="79"/>
      <c r="BK865" s="44"/>
      <c r="BL865" s="79"/>
      <c r="BM865" s="49"/>
      <c r="BN865" s="44"/>
      <c r="BO865" s="49"/>
      <c r="BP865" s="49"/>
      <c r="BQ865" s="44"/>
      <c r="BS865" s="49"/>
      <c r="BT865" s="49"/>
      <c r="BU865" s="49"/>
      <c r="BV865" s="49"/>
      <c r="BW865" s="18"/>
      <c r="BX865" s="19"/>
      <c r="BY865" s="49"/>
      <c r="CF865" s="49"/>
      <c r="CG865" s="49"/>
      <c r="CH865" s="49"/>
      <c r="CI865" s="49"/>
      <c r="CJ865" s="49"/>
      <c r="CK865" s="49"/>
    </row>
    <row r="866" spans="2:89" ht="12.75" customHeight="1" x14ac:dyDescent="0.2">
      <c r="B866" s="77"/>
      <c r="C866" s="79"/>
      <c r="D866" s="79"/>
      <c r="E866" s="79"/>
      <c r="F866" s="79"/>
      <c r="G866" s="79"/>
      <c r="H866" s="79"/>
      <c r="I866" s="79"/>
      <c r="J866" s="78"/>
      <c r="K866" s="79"/>
      <c r="L866" s="79"/>
      <c r="M866" s="79"/>
      <c r="N866" s="79"/>
      <c r="O866" s="79"/>
      <c r="P866" s="79"/>
      <c r="Q866" s="79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45"/>
      <c r="AK866" s="45"/>
      <c r="AL866" s="45"/>
      <c r="AM866" s="45"/>
      <c r="AN866" s="45"/>
      <c r="AO866" s="45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  <c r="BA866" s="80"/>
      <c r="BB866" s="80"/>
      <c r="BC866" s="80"/>
      <c r="BD866" s="80"/>
      <c r="BE866" s="80"/>
      <c r="BF866" s="80"/>
      <c r="BG866" s="80"/>
      <c r="BH866" s="49"/>
      <c r="BI866" s="79"/>
      <c r="BJ866" s="79"/>
      <c r="BK866" s="44"/>
      <c r="BL866" s="79"/>
      <c r="BM866" s="49"/>
      <c r="BN866" s="44"/>
      <c r="BO866" s="49"/>
      <c r="BP866" s="49"/>
      <c r="BQ866" s="44"/>
      <c r="BS866" s="49"/>
      <c r="BT866" s="49"/>
      <c r="BU866" s="49"/>
      <c r="BV866" s="49"/>
      <c r="BW866" s="18"/>
      <c r="BX866" s="19"/>
      <c r="BY866" s="49"/>
      <c r="CF866" s="49"/>
      <c r="CG866" s="49"/>
      <c r="CH866" s="49"/>
      <c r="CI866" s="49"/>
      <c r="CJ866" s="49"/>
      <c r="CK866" s="49"/>
    </row>
    <row r="867" spans="2:89" ht="12.75" customHeight="1" x14ac:dyDescent="0.2">
      <c r="B867" s="77"/>
      <c r="C867" s="79"/>
      <c r="D867" s="79"/>
      <c r="E867" s="79"/>
      <c r="F867" s="79"/>
      <c r="G867" s="79"/>
      <c r="H867" s="79"/>
      <c r="I867" s="79"/>
      <c r="J867" s="78"/>
      <c r="K867" s="79"/>
      <c r="L867" s="79"/>
      <c r="M867" s="79"/>
      <c r="N867" s="79"/>
      <c r="O867" s="79"/>
      <c r="P867" s="79"/>
      <c r="Q867" s="79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45"/>
      <c r="AK867" s="45"/>
      <c r="AL867" s="45"/>
      <c r="AM867" s="45"/>
      <c r="AN867" s="45"/>
      <c r="AO867" s="45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  <c r="AZ867" s="80"/>
      <c r="BA867" s="80"/>
      <c r="BB867" s="80"/>
      <c r="BC867" s="80"/>
      <c r="BD867" s="80"/>
      <c r="BE867" s="80"/>
      <c r="BF867" s="80"/>
      <c r="BG867" s="80"/>
      <c r="BH867" s="49"/>
      <c r="BI867" s="79"/>
      <c r="BJ867" s="79"/>
      <c r="BK867" s="44"/>
      <c r="BL867" s="79"/>
      <c r="BM867" s="49"/>
      <c r="BN867" s="44"/>
      <c r="BO867" s="49"/>
      <c r="BP867" s="49"/>
      <c r="BQ867" s="44"/>
      <c r="BS867" s="49"/>
      <c r="BT867" s="49"/>
      <c r="BU867" s="49"/>
      <c r="BV867" s="49"/>
      <c r="BW867" s="18"/>
      <c r="BX867" s="19"/>
      <c r="BY867" s="49"/>
      <c r="CF867" s="49"/>
      <c r="CG867" s="49"/>
      <c r="CH867" s="49"/>
      <c r="CI867" s="49"/>
      <c r="CJ867" s="49"/>
      <c r="CK867" s="49"/>
    </row>
    <row r="868" spans="2:89" ht="12.75" customHeight="1" x14ac:dyDescent="0.2">
      <c r="B868" s="77"/>
      <c r="C868" s="79"/>
      <c r="D868" s="79"/>
      <c r="E868" s="79"/>
      <c r="F868" s="79"/>
      <c r="G868" s="79"/>
      <c r="H868" s="79"/>
      <c r="I868" s="79"/>
      <c r="J868" s="78"/>
      <c r="K868" s="79"/>
      <c r="L868" s="79"/>
      <c r="M868" s="79"/>
      <c r="N868" s="79"/>
      <c r="O868" s="79"/>
      <c r="P868" s="79"/>
      <c r="Q868" s="79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45"/>
      <c r="AK868" s="45"/>
      <c r="AL868" s="45"/>
      <c r="AM868" s="45"/>
      <c r="AN868" s="45"/>
      <c r="AO868" s="45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  <c r="BB868" s="80"/>
      <c r="BC868" s="80"/>
      <c r="BD868" s="80"/>
      <c r="BE868" s="80"/>
      <c r="BF868" s="80"/>
      <c r="BG868" s="80"/>
      <c r="BH868" s="49"/>
      <c r="BI868" s="79"/>
      <c r="BJ868" s="79"/>
      <c r="BK868" s="44"/>
      <c r="BL868" s="79"/>
      <c r="BM868" s="49"/>
      <c r="BN868" s="44"/>
      <c r="BO868" s="49"/>
      <c r="BP868" s="49"/>
      <c r="BQ868" s="44"/>
      <c r="BS868" s="49"/>
      <c r="BT868" s="49"/>
      <c r="BU868" s="49"/>
      <c r="BV868" s="49"/>
      <c r="BW868" s="18"/>
      <c r="BX868" s="19"/>
      <c r="BY868" s="49"/>
      <c r="CF868" s="49"/>
      <c r="CG868" s="49"/>
      <c r="CH868" s="49"/>
      <c r="CI868" s="49"/>
      <c r="CJ868" s="49"/>
      <c r="CK868" s="49"/>
    </row>
    <row r="869" spans="2:89" ht="12.75" customHeight="1" x14ac:dyDescent="0.2">
      <c r="B869" s="77"/>
      <c r="C869" s="79"/>
      <c r="D869" s="79"/>
      <c r="E869" s="79"/>
      <c r="F869" s="79"/>
      <c r="G869" s="79"/>
      <c r="H869" s="79"/>
      <c r="I869" s="79"/>
      <c r="J869" s="78"/>
      <c r="K869" s="79"/>
      <c r="L869" s="79"/>
      <c r="M869" s="79"/>
      <c r="N869" s="79"/>
      <c r="O869" s="79"/>
      <c r="P869" s="79"/>
      <c r="Q869" s="79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45"/>
      <c r="AK869" s="45"/>
      <c r="AL869" s="45"/>
      <c r="AM869" s="45"/>
      <c r="AN869" s="45"/>
      <c r="AO869" s="45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  <c r="BA869" s="80"/>
      <c r="BB869" s="80"/>
      <c r="BC869" s="80"/>
      <c r="BD869" s="80"/>
      <c r="BE869" s="80"/>
      <c r="BF869" s="80"/>
      <c r="BG869" s="80"/>
      <c r="BH869" s="49"/>
      <c r="BI869" s="79"/>
      <c r="BJ869" s="79"/>
      <c r="BK869" s="44"/>
      <c r="BL869" s="79"/>
      <c r="BM869" s="49"/>
      <c r="BN869" s="44"/>
      <c r="BO869" s="49"/>
      <c r="BP869" s="49"/>
      <c r="BQ869" s="44"/>
      <c r="BS869" s="49"/>
      <c r="BT869" s="49"/>
      <c r="BU869" s="49"/>
      <c r="BV869" s="49"/>
      <c r="BW869" s="18"/>
      <c r="BX869" s="19"/>
      <c r="BY869" s="49"/>
      <c r="CF869" s="49"/>
      <c r="CG869" s="49"/>
      <c r="CH869" s="49"/>
      <c r="CI869" s="49"/>
      <c r="CJ869" s="49"/>
      <c r="CK869" s="49"/>
    </row>
    <row r="870" spans="2:89" ht="12.75" customHeight="1" x14ac:dyDescent="0.2">
      <c r="B870" s="77"/>
      <c r="C870" s="79"/>
      <c r="D870" s="79"/>
      <c r="E870" s="79"/>
      <c r="F870" s="79"/>
      <c r="G870" s="79"/>
      <c r="H870" s="79"/>
      <c r="I870" s="79"/>
      <c r="J870" s="78"/>
      <c r="K870" s="79"/>
      <c r="L870" s="79"/>
      <c r="M870" s="79"/>
      <c r="N870" s="79"/>
      <c r="O870" s="79"/>
      <c r="P870" s="79"/>
      <c r="Q870" s="79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45"/>
      <c r="AK870" s="45"/>
      <c r="AL870" s="45"/>
      <c r="AM870" s="45"/>
      <c r="AN870" s="45"/>
      <c r="AO870" s="45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  <c r="AZ870" s="80"/>
      <c r="BA870" s="80"/>
      <c r="BB870" s="80"/>
      <c r="BC870" s="80"/>
      <c r="BD870" s="80"/>
      <c r="BE870" s="80"/>
      <c r="BF870" s="80"/>
      <c r="BG870" s="80"/>
      <c r="BH870" s="49"/>
      <c r="BI870" s="79"/>
      <c r="BJ870" s="79"/>
      <c r="BK870" s="44"/>
      <c r="BL870" s="79"/>
      <c r="BM870" s="49"/>
      <c r="BN870" s="44"/>
      <c r="BO870" s="49"/>
      <c r="BP870" s="49"/>
      <c r="BQ870" s="44"/>
      <c r="BS870" s="49"/>
      <c r="BT870" s="49"/>
      <c r="BU870" s="49"/>
      <c r="BV870" s="49"/>
      <c r="BW870" s="18"/>
      <c r="BX870" s="19"/>
      <c r="BY870" s="49"/>
      <c r="CF870" s="49"/>
      <c r="CG870" s="49"/>
      <c r="CH870" s="49"/>
      <c r="CI870" s="49"/>
      <c r="CJ870" s="49"/>
      <c r="CK870" s="49"/>
    </row>
    <row r="871" spans="2:89" ht="12.75" customHeight="1" x14ac:dyDescent="0.2">
      <c r="B871" s="77"/>
      <c r="C871" s="79"/>
      <c r="D871" s="79"/>
      <c r="E871" s="79"/>
      <c r="F871" s="79"/>
      <c r="G871" s="79"/>
      <c r="H871" s="79"/>
      <c r="I871" s="79"/>
      <c r="J871" s="78"/>
      <c r="K871" s="79"/>
      <c r="L871" s="79"/>
      <c r="M871" s="79"/>
      <c r="N871" s="79"/>
      <c r="O871" s="79"/>
      <c r="P871" s="79"/>
      <c r="Q871" s="79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45"/>
      <c r="AK871" s="45"/>
      <c r="AL871" s="45"/>
      <c r="AM871" s="45"/>
      <c r="AN871" s="45"/>
      <c r="AO871" s="45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  <c r="BA871" s="80"/>
      <c r="BB871" s="80"/>
      <c r="BC871" s="80"/>
      <c r="BD871" s="80"/>
      <c r="BE871" s="80"/>
      <c r="BF871" s="80"/>
      <c r="BG871" s="80"/>
      <c r="BH871" s="49"/>
      <c r="BI871" s="79"/>
      <c r="BJ871" s="79"/>
      <c r="BK871" s="44"/>
      <c r="BL871" s="79"/>
      <c r="BM871" s="49"/>
      <c r="BN871" s="44"/>
      <c r="BO871" s="49"/>
      <c r="BP871" s="49"/>
      <c r="BQ871" s="44"/>
      <c r="BS871" s="49"/>
      <c r="BT871" s="49"/>
      <c r="BU871" s="49"/>
      <c r="BV871" s="49"/>
      <c r="BW871" s="18"/>
      <c r="BX871" s="19"/>
      <c r="BY871" s="49"/>
      <c r="CF871" s="49"/>
      <c r="CG871" s="49"/>
      <c r="CH871" s="49"/>
      <c r="CI871" s="49"/>
      <c r="CJ871" s="49"/>
      <c r="CK871" s="49"/>
    </row>
    <row r="872" spans="2:89" ht="12.75" customHeight="1" x14ac:dyDescent="0.2">
      <c r="B872" s="77"/>
      <c r="C872" s="79"/>
      <c r="D872" s="79"/>
      <c r="E872" s="79"/>
      <c r="F872" s="79"/>
      <c r="G872" s="79"/>
      <c r="H872" s="79"/>
      <c r="I872" s="79"/>
      <c r="J872" s="78"/>
      <c r="K872" s="79"/>
      <c r="L872" s="79"/>
      <c r="M872" s="79"/>
      <c r="N872" s="79"/>
      <c r="O872" s="79"/>
      <c r="P872" s="79"/>
      <c r="Q872" s="79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45"/>
      <c r="AK872" s="45"/>
      <c r="AL872" s="45"/>
      <c r="AM872" s="45"/>
      <c r="AN872" s="45"/>
      <c r="AO872" s="45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  <c r="BB872" s="80"/>
      <c r="BC872" s="80"/>
      <c r="BD872" s="80"/>
      <c r="BE872" s="80"/>
      <c r="BF872" s="80"/>
      <c r="BG872" s="80"/>
      <c r="BH872" s="49"/>
      <c r="BI872" s="79"/>
      <c r="BJ872" s="79"/>
      <c r="BK872" s="44"/>
      <c r="BL872" s="79"/>
      <c r="BM872" s="49"/>
      <c r="BN872" s="44"/>
      <c r="BO872" s="49"/>
      <c r="BP872" s="49"/>
      <c r="BQ872" s="44"/>
      <c r="BS872" s="49"/>
      <c r="BT872" s="49"/>
      <c r="BU872" s="49"/>
      <c r="BV872" s="49"/>
      <c r="BW872" s="18"/>
      <c r="BX872" s="19"/>
      <c r="BY872" s="49"/>
      <c r="CF872" s="49"/>
      <c r="CG872" s="49"/>
      <c r="CH872" s="49"/>
      <c r="CI872" s="49"/>
      <c r="CJ872" s="49"/>
      <c r="CK872" s="49"/>
    </row>
    <row r="873" spans="2:89" ht="12.75" customHeight="1" x14ac:dyDescent="0.2">
      <c r="B873" s="77"/>
      <c r="C873" s="79"/>
      <c r="D873" s="79"/>
      <c r="E873" s="79"/>
      <c r="F873" s="79"/>
      <c r="G873" s="79"/>
      <c r="H873" s="79"/>
      <c r="I873" s="79"/>
      <c r="J873" s="78"/>
      <c r="K873" s="79"/>
      <c r="L873" s="79"/>
      <c r="M873" s="79"/>
      <c r="N873" s="79"/>
      <c r="O873" s="79"/>
      <c r="P873" s="79"/>
      <c r="Q873" s="79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45"/>
      <c r="AK873" s="45"/>
      <c r="AL873" s="45"/>
      <c r="AM873" s="45"/>
      <c r="AN873" s="45"/>
      <c r="AO873" s="45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  <c r="BA873" s="80"/>
      <c r="BB873" s="80"/>
      <c r="BC873" s="80"/>
      <c r="BD873" s="80"/>
      <c r="BE873" s="80"/>
      <c r="BF873" s="80"/>
      <c r="BG873" s="80"/>
      <c r="BH873" s="49"/>
      <c r="BI873" s="79"/>
      <c r="BJ873" s="79"/>
      <c r="BK873" s="44"/>
      <c r="BL873" s="79"/>
      <c r="BM873" s="49"/>
      <c r="BN873" s="44"/>
      <c r="BO873" s="49"/>
      <c r="BP873" s="49"/>
      <c r="BQ873" s="44"/>
      <c r="BS873" s="49"/>
      <c r="BT873" s="49"/>
      <c r="BU873" s="49"/>
      <c r="BV873" s="49"/>
      <c r="BW873" s="18"/>
      <c r="BX873" s="19"/>
      <c r="BY873" s="49"/>
      <c r="CF873" s="49"/>
      <c r="CG873" s="49"/>
      <c r="CH873" s="49"/>
      <c r="CI873" s="49"/>
      <c r="CJ873" s="49"/>
      <c r="CK873" s="49"/>
    </row>
    <row r="874" spans="2:89" ht="12.75" customHeight="1" x14ac:dyDescent="0.2">
      <c r="B874" s="77"/>
      <c r="C874" s="79"/>
      <c r="D874" s="79"/>
      <c r="E874" s="79"/>
      <c r="F874" s="79"/>
      <c r="G874" s="79"/>
      <c r="H874" s="79"/>
      <c r="I874" s="79"/>
      <c r="J874" s="78"/>
      <c r="K874" s="79"/>
      <c r="L874" s="79"/>
      <c r="M874" s="79"/>
      <c r="N874" s="79"/>
      <c r="O874" s="79"/>
      <c r="P874" s="79"/>
      <c r="Q874" s="79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45"/>
      <c r="AK874" s="45"/>
      <c r="AL874" s="45"/>
      <c r="AM874" s="45"/>
      <c r="AN874" s="45"/>
      <c r="AO874" s="45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  <c r="AZ874" s="80"/>
      <c r="BA874" s="80"/>
      <c r="BB874" s="80"/>
      <c r="BC874" s="80"/>
      <c r="BD874" s="80"/>
      <c r="BE874" s="80"/>
      <c r="BF874" s="80"/>
      <c r="BG874" s="80"/>
      <c r="BH874" s="49"/>
      <c r="BI874" s="79"/>
      <c r="BJ874" s="79"/>
      <c r="BK874" s="44"/>
      <c r="BL874" s="79"/>
      <c r="BM874" s="49"/>
      <c r="BN874" s="44"/>
      <c r="BO874" s="49"/>
      <c r="BP874" s="49"/>
      <c r="BQ874" s="44"/>
      <c r="BS874" s="49"/>
      <c r="BT874" s="49"/>
      <c r="BU874" s="49"/>
      <c r="BV874" s="49"/>
      <c r="BW874" s="18"/>
      <c r="BX874" s="19"/>
      <c r="BY874" s="49"/>
      <c r="CF874" s="49"/>
      <c r="CG874" s="49"/>
      <c r="CH874" s="49"/>
      <c r="CI874" s="49"/>
      <c r="CJ874" s="49"/>
      <c r="CK874" s="49"/>
    </row>
    <row r="875" spans="2:89" ht="12.75" customHeight="1" x14ac:dyDescent="0.2">
      <c r="B875" s="77"/>
      <c r="C875" s="79"/>
      <c r="D875" s="79"/>
      <c r="E875" s="79"/>
      <c r="F875" s="79"/>
      <c r="G875" s="79"/>
      <c r="H875" s="79"/>
      <c r="I875" s="79"/>
      <c r="J875" s="78"/>
      <c r="K875" s="79"/>
      <c r="L875" s="79"/>
      <c r="M875" s="79"/>
      <c r="N875" s="79"/>
      <c r="O875" s="79"/>
      <c r="P875" s="79"/>
      <c r="Q875" s="79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45"/>
      <c r="AK875" s="45"/>
      <c r="AL875" s="45"/>
      <c r="AM875" s="45"/>
      <c r="AN875" s="45"/>
      <c r="AO875" s="45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  <c r="BB875" s="80"/>
      <c r="BC875" s="80"/>
      <c r="BD875" s="80"/>
      <c r="BE875" s="80"/>
      <c r="BF875" s="80"/>
      <c r="BG875" s="80"/>
      <c r="BH875" s="49"/>
      <c r="BI875" s="79"/>
      <c r="BJ875" s="79"/>
      <c r="BK875" s="44"/>
      <c r="BL875" s="79"/>
      <c r="BM875" s="49"/>
      <c r="BN875" s="44"/>
      <c r="BO875" s="49"/>
      <c r="BP875" s="49"/>
      <c r="BQ875" s="44"/>
      <c r="BS875" s="49"/>
      <c r="BT875" s="49"/>
      <c r="BU875" s="49"/>
      <c r="BV875" s="49"/>
      <c r="BW875" s="18"/>
      <c r="BX875" s="19"/>
      <c r="BY875" s="49"/>
      <c r="CF875" s="49"/>
      <c r="CG875" s="49"/>
      <c r="CH875" s="49"/>
      <c r="CI875" s="49"/>
      <c r="CJ875" s="49"/>
      <c r="CK875" s="49"/>
    </row>
    <row r="876" spans="2:89" ht="12.75" customHeight="1" x14ac:dyDescent="0.2">
      <c r="B876" s="77"/>
      <c r="C876" s="79"/>
      <c r="D876" s="79"/>
      <c r="E876" s="79"/>
      <c r="F876" s="79"/>
      <c r="G876" s="79"/>
      <c r="H876" s="79"/>
      <c r="I876" s="79"/>
      <c r="J876" s="78"/>
      <c r="K876" s="79"/>
      <c r="L876" s="79"/>
      <c r="M876" s="79"/>
      <c r="N876" s="79"/>
      <c r="O876" s="79"/>
      <c r="P876" s="79"/>
      <c r="Q876" s="79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45"/>
      <c r="AK876" s="45"/>
      <c r="AL876" s="45"/>
      <c r="AM876" s="45"/>
      <c r="AN876" s="45"/>
      <c r="AO876" s="45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  <c r="BB876" s="80"/>
      <c r="BC876" s="80"/>
      <c r="BD876" s="80"/>
      <c r="BE876" s="80"/>
      <c r="BF876" s="80"/>
      <c r="BG876" s="80"/>
      <c r="BH876" s="49"/>
      <c r="BI876" s="79"/>
      <c r="BJ876" s="79"/>
      <c r="BK876" s="44"/>
      <c r="BL876" s="79"/>
      <c r="BM876" s="49"/>
      <c r="BN876" s="44"/>
      <c r="BO876" s="49"/>
      <c r="BP876" s="49"/>
      <c r="BQ876" s="44"/>
      <c r="BS876" s="49"/>
      <c r="BT876" s="49"/>
      <c r="BU876" s="49"/>
      <c r="BV876" s="49"/>
      <c r="BW876" s="18"/>
      <c r="BX876" s="19"/>
      <c r="BY876" s="49"/>
      <c r="CF876" s="49"/>
      <c r="CG876" s="49"/>
      <c r="CH876" s="49"/>
      <c r="CI876" s="49"/>
      <c r="CJ876" s="49"/>
      <c r="CK876" s="49"/>
    </row>
    <row r="877" spans="2:89" ht="12.75" customHeight="1" x14ac:dyDescent="0.2">
      <c r="B877" s="77"/>
      <c r="C877" s="79"/>
      <c r="D877" s="79"/>
      <c r="E877" s="79"/>
      <c r="F877" s="79"/>
      <c r="G877" s="79"/>
      <c r="H877" s="79"/>
      <c r="I877" s="79"/>
      <c r="J877" s="78"/>
      <c r="K877" s="79"/>
      <c r="L877" s="79"/>
      <c r="M877" s="79"/>
      <c r="N877" s="79"/>
      <c r="O877" s="79"/>
      <c r="P877" s="79"/>
      <c r="Q877" s="79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45"/>
      <c r="AK877" s="45"/>
      <c r="AL877" s="45"/>
      <c r="AM877" s="45"/>
      <c r="AN877" s="45"/>
      <c r="AO877" s="45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  <c r="BB877" s="80"/>
      <c r="BC877" s="80"/>
      <c r="BD877" s="80"/>
      <c r="BE877" s="80"/>
      <c r="BF877" s="80"/>
      <c r="BG877" s="80"/>
      <c r="BH877" s="49"/>
      <c r="BI877" s="79"/>
      <c r="BJ877" s="79"/>
      <c r="BK877" s="44"/>
      <c r="BL877" s="79"/>
      <c r="BM877" s="49"/>
      <c r="BN877" s="44"/>
      <c r="BO877" s="49"/>
      <c r="BP877" s="49"/>
      <c r="BQ877" s="44"/>
      <c r="BS877" s="49"/>
      <c r="BT877" s="49"/>
      <c r="BU877" s="49"/>
      <c r="BV877" s="49"/>
      <c r="BW877" s="18"/>
      <c r="BX877" s="19"/>
      <c r="BY877" s="49"/>
      <c r="CF877" s="49"/>
      <c r="CG877" s="49"/>
      <c r="CH877" s="49"/>
      <c r="CI877" s="49"/>
      <c r="CJ877" s="49"/>
      <c r="CK877" s="49"/>
    </row>
    <row r="878" spans="2:89" ht="12.75" customHeight="1" x14ac:dyDescent="0.2">
      <c r="B878" s="77"/>
      <c r="C878" s="79"/>
      <c r="D878" s="79"/>
      <c r="E878" s="79"/>
      <c r="F878" s="79"/>
      <c r="G878" s="79"/>
      <c r="H878" s="79"/>
      <c r="I878" s="79"/>
      <c r="J878" s="78"/>
      <c r="K878" s="79"/>
      <c r="L878" s="79"/>
      <c r="M878" s="79"/>
      <c r="N878" s="79"/>
      <c r="O878" s="79"/>
      <c r="P878" s="79"/>
      <c r="Q878" s="79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45"/>
      <c r="AK878" s="45"/>
      <c r="AL878" s="45"/>
      <c r="AM878" s="45"/>
      <c r="AN878" s="45"/>
      <c r="AO878" s="45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  <c r="BA878" s="80"/>
      <c r="BB878" s="80"/>
      <c r="BC878" s="80"/>
      <c r="BD878" s="80"/>
      <c r="BE878" s="80"/>
      <c r="BF878" s="80"/>
      <c r="BG878" s="80"/>
      <c r="BH878" s="49"/>
      <c r="BI878" s="79"/>
      <c r="BJ878" s="79"/>
      <c r="BK878" s="44"/>
      <c r="BL878" s="79"/>
      <c r="BM878" s="49"/>
      <c r="BN878" s="44"/>
      <c r="BO878" s="49"/>
      <c r="BP878" s="49"/>
      <c r="BQ878" s="44"/>
      <c r="BS878" s="49"/>
      <c r="BT878" s="49"/>
      <c r="BU878" s="49"/>
      <c r="BV878" s="49"/>
      <c r="BW878" s="18"/>
      <c r="BX878" s="19"/>
      <c r="BY878" s="49"/>
      <c r="CF878" s="49"/>
      <c r="CG878" s="49"/>
      <c r="CH878" s="49"/>
      <c r="CI878" s="49"/>
      <c r="CJ878" s="49"/>
      <c r="CK878" s="49"/>
    </row>
    <row r="879" spans="2:89" ht="12.75" customHeight="1" x14ac:dyDescent="0.2">
      <c r="B879" s="77"/>
      <c r="C879" s="79"/>
      <c r="D879" s="79"/>
      <c r="E879" s="79"/>
      <c r="F879" s="79"/>
      <c r="G879" s="79"/>
      <c r="H879" s="79"/>
      <c r="I879" s="79"/>
      <c r="J879" s="78"/>
      <c r="K879" s="79"/>
      <c r="L879" s="79"/>
      <c r="M879" s="79"/>
      <c r="N879" s="79"/>
      <c r="O879" s="79"/>
      <c r="P879" s="79"/>
      <c r="Q879" s="79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45"/>
      <c r="AK879" s="45"/>
      <c r="AL879" s="45"/>
      <c r="AM879" s="45"/>
      <c r="AN879" s="45"/>
      <c r="AO879" s="45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  <c r="BB879" s="80"/>
      <c r="BC879" s="80"/>
      <c r="BD879" s="80"/>
      <c r="BE879" s="80"/>
      <c r="BF879" s="80"/>
      <c r="BG879" s="80"/>
      <c r="BH879" s="49"/>
      <c r="BI879" s="79"/>
      <c r="BJ879" s="79"/>
      <c r="BK879" s="44"/>
      <c r="BL879" s="79"/>
      <c r="BM879" s="49"/>
      <c r="BN879" s="44"/>
      <c r="BO879" s="49"/>
      <c r="BP879" s="49"/>
      <c r="BQ879" s="44"/>
      <c r="BS879" s="49"/>
      <c r="BT879" s="49"/>
      <c r="BU879" s="49"/>
      <c r="BV879" s="49"/>
      <c r="BW879" s="18"/>
      <c r="BX879" s="19"/>
      <c r="BY879" s="49"/>
      <c r="CF879" s="49"/>
      <c r="CG879" s="49"/>
      <c r="CH879" s="49"/>
      <c r="CI879" s="49"/>
      <c r="CJ879" s="49"/>
      <c r="CK879" s="49"/>
    </row>
    <row r="880" spans="2:89" ht="12.75" customHeight="1" x14ac:dyDescent="0.2">
      <c r="B880" s="77"/>
      <c r="C880" s="79"/>
      <c r="D880" s="79"/>
      <c r="E880" s="79"/>
      <c r="F880" s="79"/>
      <c r="G880" s="79"/>
      <c r="H880" s="79"/>
      <c r="I880" s="79"/>
      <c r="J880" s="78"/>
      <c r="K880" s="79"/>
      <c r="L880" s="79"/>
      <c r="M880" s="79"/>
      <c r="N880" s="79"/>
      <c r="O880" s="79"/>
      <c r="P880" s="79"/>
      <c r="Q880" s="79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45"/>
      <c r="AK880" s="45"/>
      <c r="AL880" s="45"/>
      <c r="AM880" s="45"/>
      <c r="AN880" s="45"/>
      <c r="AO880" s="45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  <c r="BA880" s="80"/>
      <c r="BB880" s="80"/>
      <c r="BC880" s="80"/>
      <c r="BD880" s="80"/>
      <c r="BE880" s="80"/>
      <c r="BF880" s="80"/>
      <c r="BG880" s="80"/>
      <c r="BH880" s="49"/>
      <c r="BI880" s="79"/>
      <c r="BJ880" s="79"/>
      <c r="BK880" s="44"/>
      <c r="BL880" s="79"/>
      <c r="BM880" s="49"/>
      <c r="BN880" s="44"/>
      <c r="BO880" s="49"/>
      <c r="BP880" s="49"/>
      <c r="BQ880" s="44"/>
      <c r="BS880" s="49"/>
      <c r="BT880" s="49"/>
      <c r="BU880" s="49"/>
      <c r="BV880" s="49"/>
      <c r="BW880" s="18"/>
      <c r="BX880" s="19"/>
      <c r="BY880" s="49"/>
      <c r="CF880" s="49"/>
      <c r="CG880" s="49"/>
      <c r="CH880" s="49"/>
      <c r="CI880" s="49"/>
      <c r="CJ880" s="49"/>
      <c r="CK880" s="49"/>
    </row>
    <row r="881" spans="2:89" ht="12.75" customHeight="1" x14ac:dyDescent="0.2">
      <c r="B881" s="77"/>
      <c r="C881" s="79"/>
      <c r="D881" s="79"/>
      <c r="E881" s="79"/>
      <c r="F881" s="79"/>
      <c r="G881" s="79"/>
      <c r="H881" s="79"/>
      <c r="I881" s="79"/>
      <c r="J881" s="78"/>
      <c r="K881" s="79"/>
      <c r="L881" s="79"/>
      <c r="M881" s="79"/>
      <c r="N881" s="79"/>
      <c r="O881" s="79"/>
      <c r="P881" s="79"/>
      <c r="Q881" s="79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45"/>
      <c r="AK881" s="45"/>
      <c r="AL881" s="45"/>
      <c r="AM881" s="45"/>
      <c r="AN881" s="45"/>
      <c r="AO881" s="45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  <c r="BA881" s="80"/>
      <c r="BB881" s="80"/>
      <c r="BC881" s="80"/>
      <c r="BD881" s="80"/>
      <c r="BE881" s="80"/>
      <c r="BF881" s="80"/>
      <c r="BG881" s="80"/>
      <c r="BH881" s="49"/>
      <c r="BI881" s="79"/>
      <c r="BJ881" s="79"/>
      <c r="BK881" s="44"/>
      <c r="BL881" s="79"/>
      <c r="BM881" s="49"/>
      <c r="BN881" s="44"/>
      <c r="BO881" s="49"/>
      <c r="BP881" s="49"/>
      <c r="BQ881" s="44"/>
      <c r="BS881" s="49"/>
      <c r="BT881" s="49"/>
      <c r="BU881" s="49"/>
      <c r="BV881" s="49"/>
      <c r="BW881" s="18"/>
      <c r="BX881" s="19"/>
      <c r="BY881" s="49"/>
      <c r="CF881" s="49"/>
      <c r="CG881" s="49"/>
      <c r="CH881" s="49"/>
      <c r="CI881" s="49"/>
      <c r="CJ881" s="49"/>
      <c r="CK881" s="49"/>
    </row>
    <row r="882" spans="2:89" ht="12.75" customHeight="1" x14ac:dyDescent="0.2">
      <c r="B882" s="77"/>
      <c r="C882" s="79"/>
      <c r="D882" s="79"/>
      <c r="E882" s="79"/>
      <c r="F882" s="79"/>
      <c r="G882" s="79"/>
      <c r="H882" s="79"/>
      <c r="I882" s="79"/>
      <c r="J882" s="78"/>
      <c r="K882" s="79"/>
      <c r="L882" s="79"/>
      <c r="M882" s="79"/>
      <c r="N882" s="79"/>
      <c r="O882" s="79"/>
      <c r="P882" s="79"/>
      <c r="Q882" s="79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45"/>
      <c r="AK882" s="45"/>
      <c r="AL882" s="45"/>
      <c r="AM882" s="45"/>
      <c r="AN882" s="45"/>
      <c r="AO882" s="45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  <c r="AZ882" s="80"/>
      <c r="BA882" s="80"/>
      <c r="BB882" s="80"/>
      <c r="BC882" s="80"/>
      <c r="BD882" s="80"/>
      <c r="BE882" s="80"/>
      <c r="BF882" s="80"/>
      <c r="BG882" s="80"/>
      <c r="BH882" s="49"/>
      <c r="BI882" s="79"/>
      <c r="BJ882" s="79"/>
      <c r="BK882" s="44"/>
      <c r="BL882" s="79"/>
      <c r="BM882" s="49"/>
      <c r="BN882" s="44"/>
      <c r="BO882" s="49"/>
      <c r="BP882" s="49"/>
      <c r="BQ882" s="44"/>
      <c r="BS882" s="49"/>
      <c r="BT882" s="49"/>
      <c r="BU882" s="49"/>
      <c r="BV882" s="49"/>
      <c r="BW882" s="18"/>
      <c r="BX882" s="19"/>
      <c r="BY882" s="49"/>
      <c r="CF882" s="49"/>
      <c r="CG882" s="49"/>
      <c r="CH882" s="49"/>
      <c r="CI882" s="49"/>
      <c r="CJ882" s="49"/>
      <c r="CK882" s="49"/>
    </row>
    <row r="883" spans="2:89" ht="12.75" customHeight="1" x14ac:dyDescent="0.2">
      <c r="B883" s="77"/>
      <c r="C883" s="79"/>
      <c r="D883" s="79"/>
      <c r="E883" s="79"/>
      <c r="F883" s="79"/>
      <c r="G883" s="79"/>
      <c r="H883" s="79"/>
      <c r="I883" s="79"/>
      <c r="J883" s="78"/>
      <c r="K883" s="79"/>
      <c r="L883" s="79"/>
      <c r="M883" s="79"/>
      <c r="N883" s="79"/>
      <c r="O883" s="79"/>
      <c r="P883" s="79"/>
      <c r="Q883" s="79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45"/>
      <c r="AK883" s="45"/>
      <c r="AL883" s="45"/>
      <c r="AM883" s="45"/>
      <c r="AN883" s="45"/>
      <c r="AO883" s="45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80"/>
      <c r="BH883" s="49"/>
      <c r="BI883" s="79"/>
      <c r="BJ883" s="79"/>
      <c r="BK883" s="44"/>
      <c r="BL883" s="79"/>
      <c r="BM883" s="49"/>
      <c r="BN883" s="44"/>
      <c r="BO883" s="49"/>
      <c r="BP883" s="49"/>
      <c r="BQ883" s="44"/>
      <c r="BS883" s="49"/>
      <c r="BT883" s="49"/>
      <c r="BU883" s="49"/>
      <c r="BV883" s="49"/>
      <c r="BW883" s="18"/>
      <c r="BX883" s="19"/>
      <c r="BY883" s="49"/>
      <c r="CF883" s="49"/>
      <c r="CG883" s="49"/>
      <c r="CH883" s="49"/>
      <c r="CI883" s="49"/>
      <c r="CJ883" s="49"/>
      <c r="CK883" s="49"/>
    </row>
    <row r="884" spans="2:89" ht="12.75" customHeight="1" x14ac:dyDescent="0.2">
      <c r="B884" s="77"/>
      <c r="C884" s="79"/>
      <c r="D884" s="79"/>
      <c r="E884" s="79"/>
      <c r="F884" s="79"/>
      <c r="G884" s="79"/>
      <c r="H884" s="79"/>
      <c r="I884" s="79"/>
      <c r="J884" s="78"/>
      <c r="K884" s="79"/>
      <c r="L884" s="79"/>
      <c r="M884" s="79"/>
      <c r="N884" s="79"/>
      <c r="O884" s="79"/>
      <c r="P884" s="79"/>
      <c r="Q884" s="79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45"/>
      <c r="AK884" s="45"/>
      <c r="AL884" s="45"/>
      <c r="AM884" s="45"/>
      <c r="AN884" s="45"/>
      <c r="AO884" s="45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  <c r="AZ884" s="80"/>
      <c r="BA884" s="80"/>
      <c r="BB884" s="80"/>
      <c r="BC884" s="80"/>
      <c r="BD884" s="80"/>
      <c r="BE884" s="80"/>
      <c r="BF884" s="80"/>
      <c r="BG884" s="80"/>
      <c r="BH884" s="49"/>
      <c r="BI884" s="79"/>
      <c r="BJ884" s="79"/>
      <c r="BK884" s="44"/>
      <c r="BL884" s="79"/>
      <c r="BM884" s="49"/>
      <c r="BN884" s="44"/>
      <c r="BO884" s="49"/>
      <c r="BP884" s="49"/>
      <c r="BQ884" s="44"/>
      <c r="BS884" s="49"/>
      <c r="BT884" s="49"/>
      <c r="BU884" s="49"/>
      <c r="BV884" s="49"/>
      <c r="BW884" s="18"/>
      <c r="BX884" s="19"/>
      <c r="BY884" s="49"/>
      <c r="CF884" s="49"/>
      <c r="CG884" s="49"/>
      <c r="CH884" s="49"/>
      <c r="CI884" s="49"/>
      <c r="CJ884" s="49"/>
      <c r="CK884" s="49"/>
    </row>
    <row r="885" spans="2:89" ht="12.75" customHeight="1" x14ac:dyDescent="0.2">
      <c r="B885" s="77"/>
      <c r="C885" s="79"/>
      <c r="D885" s="79"/>
      <c r="E885" s="79"/>
      <c r="F885" s="79"/>
      <c r="G885" s="79"/>
      <c r="H885" s="79"/>
      <c r="I885" s="79"/>
      <c r="J885" s="78"/>
      <c r="K885" s="79"/>
      <c r="L885" s="79"/>
      <c r="M885" s="79"/>
      <c r="N885" s="79"/>
      <c r="O885" s="79"/>
      <c r="P885" s="79"/>
      <c r="Q885" s="79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45"/>
      <c r="AK885" s="45"/>
      <c r="AL885" s="45"/>
      <c r="AM885" s="45"/>
      <c r="AN885" s="45"/>
      <c r="AO885" s="45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  <c r="AZ885" s="80"/>
      <c r="BA885" s="80"/>
      <c r="BB885" s="80"/>
      <c r="BC885" s="80"/>
      <c r="BD885" s="80"/>
      <c r="BE885" s="80"/>
      <c r="BF885" s="80"/>
      <c r="BG885" s="80"/>
      <c r="BH885" s="49"/>
      <c r="BI885" s="79"/>
      <c r="BJ885" s="79"/>
      <c r="BK885" s="44"/>
      <c r="BL885" s="79"/>
      <c r="BM885" s="49"/>
      <c r="BN885" s="44"/>
      <c r="BO885" s="49"/>
      <c r="BP885" s="49"/>
      <c r="BQ885" s="44"/>
      <c r="BS885" s="49"/>
      <c r="BT885" s="49"/>
      <c r="BU885" s="49"/>
      <c r="BV885" s="49"/>
      <c r="BW885" s="18"/>
      <c r="BX885" s="19"/>
      <c r="BY885" s="49"/>
      <c r="CF885" s="49"/>
      <c r="CG885" s="49"/>
      <c r="CH885" s="49"/>
      <c r="CI885" s="49"/>
      <c r="CJ885" s="49"/>
      <c r="CK885" s="49"/>
    </row>
    <row r="886" spans="2:89" ht="12.75" customHeight="1" x14ac:dyDescent="0.2">
      <c r="B886" s="77"/>
      <c r="C886" s="79"/>
      <c r="D886" s="79"/>
      <c r="E886" s="79"/>
      <c r="F886" s="79"/>
      <c r="G886" s="79"/>
      <c r="H886" s="79"/>
      <c r="I886" s="79"/>
      <c r="J886" s="78"/>
      <c r="K886" s="79"/>
      <c r="L886" s="79"/>
      <c r="M886" s="79"/>
      <c r="N886" s="79"/>
      <c r="O886" s="79"/>
      <c r="P886" s="79"/>
      <c r="Q886" s="79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45"/>
      <c r="AK886" s="45"/>
      <c r="AL886" s="45"/>
      <c r="AM886" s="45"/>
      <c r="AN886" s="45"/>
      <c r="AO886" s="45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  <c r="AZ886" s="80"/>
      <c r="BA886" s="80"/>
      <c r="BB886" s="80"/>
      <c r="BC886" s="80"/>
      <c r="BD886" s="80"/>
      <c r="BE886" s="80"/>
      <c r="BF886" s="80"/>
      <c r="BG886" s="80"/>
      <c r="BH886" s="49"/>
      <c r="BI886" s="79"/>
      <c r="BJ886" s="79"/>
      <c r="BK886" s="44"/>
      <c r="BL886" s="79"/>
      <c r="BM886" s="49"/>
      <c r="BN886" s="44"/>
      <c r="BO886" s="49"/>
      <c r="BP886" s="49"/>
      <c r="BQ886" s="44"/>
      <c r="BS886" s="49"/>
      <c r="BT886" s="49"/>
      <c r="BU886" s="49"/>
      <c r="BV886" s="49"/>
      <c r="BW886" s="18"/>
      <c r="BX886" s="19"/>
      <c r="BY886" s="49"/>
      <c r="CF886" s="49"/>
      <c r="CG886" s="49"/>
      <c r="CH886" s="49"/>
      <c r="CI886" s="49"/>
      <c r="CJ886" s="49"/>
      <c r="CK886" s="49"/>
    </row>
    <row r="887" spans="2:89" ht="12.75" customHeight="1" x14ac:dyDescent="0.2">
      <c r="B887" s="77"/>
      <c r="C887" s="79"/>
      <c r="D887" s="79"/>
      <c r="E887" s="79"/>
      <c r="F887" s="79"/>
      <c r="G887" s="79"/>
      <c r="H887" s="79"/>
      <c r="I887" s="79"/>
      <c r="J887" s="78"/>
      <c r="K887" s="79"/>
      <c r="L887" s="79"/>
      <c r="M887" s="79"/>
      <c r="N887" s="79"/>
      <c r="O887" s="79"/>
      <c r="P887" s="79"/>
      <c r="Q887" s="79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45"/>
      <c r="AK887" s="45"/>
      <c r="AL887" s="45"/>
      <c r="AM887" s="45"/>
      <c r="AN887" s="45"/>
      <c r="AO887" s="45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  <c r="AZ887" s="80"/>
      <c r="BA887" s="80"/>
      <c r="BB887" s="80"/>
      <c r="BC887" s="80"/>
      <c r="BD887" s="80"/>
      <c r="BE887" s="80"/>
      <c r="BF887" s="80"/>
      <c r="BG887" s="80"/>
      <c r="BH887" s="49"/>
      <c r="BI887" s="79"/>
      <c r="BJ887" s="79"/>
      <c r="BK887" s="44"/>
      <c r="BL887" s="79"/>
      <c r="BM887" s="49"/>
      <c r="BN887" s="44"/>
      <c r="BO887" s="49"/>
      <c r="BP887" s="49"/>
      <c r="BQ887" s="44"/>
      <c r="BS887" s="49"/>
      <c r="BT887" s="49"/>
      <c r="BU887" s="49"/>
      <c r="BV887" s="49"/>
      <c r="BW887" s="18"/>
      <c r="BX887" s="19"/>
      <c r="BY887" s="49"/>
      <c r="CF887" s="49"/>
      <c r="CG887" s="49"/>
      <c r="CH887" s="49"/>
      <c r="CI887" s="49"/>
      <c r="CJ887" s="49"/>
      <c r="CK887" s="49"/>
    </row>
    <row r="888" spans="2:89" ht="12.75" customHeight="1" x14ac:dyDescent="0.2">
      <c r="B888" s="77"/>
      <c r="C888" s="79"/>
      <c r="D888" s="79"/>
      <c r="E888" s="79"/>
      <c r="F888" s="79"/>
      <c r="G888" s="79"/>
      <c r="H888" s="79"/>
      <c r="I888" s="79"/>
      <c r="J888" s="78"/>
      <c r="K888" s="79"/>
      <c r="L888" s="79"/>
      <c r="M888" s="79"/>
      <c r="N888" s="79"/>
      <c r="O888" s="79"/>
      <c r="P888" s="79"/>
      <c r="Q888" s="79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45"/>
      <c r="AK888" s="45"/>
      <c r="AL888" s="45"/>
      <c r="AM888" s="45"/>
      <c r="AN888" s="45"/>
      <c r="AO888" s="45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  <c r="AZ888" s="80"/>
      <c r="BA888" s="80"/>
      <c r="BB888" s="80"/>
      <c r="BC888" s="80"/>
      <c r="BD888" s="80"/>
      <c r="BE888" s="80"/>
      <c r="BF888" s="80"/>
      <c r="BG888" s="80"/>
      <c r="BH888" s="49"/>
      <c r="BI888" s="79"/>
      <c r="BJ888" s="79"/>
      <c r="BK888" s="44"/>
      <c r="BL888" s="79"/>
      <c r="BM888" s="49"/>
      <c r="BN888" s="44"/>
      <c r="BO888" s="49"/>
      <c r="BP888" s="49"/>
      <c r="BQ888" s="44"/>
      <c r="BS888" s="49"/>
      <c r="BT888" s="49"/>
      <c r="BU888" s="49"/>
      <c r="BV888" s="49"/>
      <c r="BW888" s="18"/>
      <c r="BX888" s="19"/>
      <c r="BY888" s="49"/>
      <c r="CF888" s="49"/>
      <c r="CG888" s="49"/>
      <c r="CH888" s="49"/>
      <c r="CI888" s="49"/>
      <c r="CJ888" s="49"/>
      <c r="CK888" s="49"/>
    </row>
    <row r="889" spans="2:89" ht="12.75" customHeight="1" x14ac:dyDescent="0.2">
      <c r="B889" s="77"/>
      <c r="C889" s="79"/>
      <c r="D889" s="79"/>
      <c r="E889" s="79"/>
      <c r="F889" s="79"/>
      <c r="G889" s="79"/>
      <c r="H889" s="79"/>
      <c r="I889" s="79"/>
      <c r="J889" s="78"/>
      <c r="K889" s="79"/>
      <c r="L889" s="79"/>
      <c r="M889" s="79"/>
      <c r="N889" s="79"/>
      <c r="O889" s="79"/>
      <c r="P889" s="79"/>
      <c r="Q889" s="79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45"/>
      <c r="AK889" s="45"/>
      <c r="AL889" s="45"/>
      <c r="AM889" s="45"/>
      <c r="AN889" s="45"/>
      <c r="AO889" s="45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  <c r="BA889" s="80"/>
      <c r="BB889" s="80"/>
      <c r="BC889" s="80"/>
      <c r="BD889" s="80"/>
      <c r="BE889" s="80"/>
      <c r="BF889" s="80"/>
      <c r="BG889" s="80"/>
      <c r="BH889" s="49"/>
      <c r="BI889" s="79"/>
      <c r="BJ889" s="79"/>
      <c r="BK889" s="44"/>
      <c r="BL889" s="79"/>
      <c r="BM889" s="49"/>
      <c r="BN889" s="44"/>
      <c r="BO889" s="49"/>
      <c r="BP889" s="49"/>
      <c r="BQ889" s="44"/>
      <c r="BS889" s="49"/>
      <c r="BT889" s="49"/>
      <c r="BU889" s="49"/>
      <c r="BV889" s="49"/>
      <c r="BW889" s="18"/>
      <c r="BX889" s="19"/>
      <c r="BY889" s="49"/>
      <c r="CF889" s="49"/>
      <c r="CG889" s="49"/>
      <c r="CH889" s="49"/>
      <c r="CI889" s="49"/>
      <c r="CJ889" s="49"/>
      <c r="CK889" s="49"/>
    </row>
    <row r="890" spans="2:89" ht="12.75" customHeight="1" x14ac:dyDescent="0.2">
      <c r="B890" s="77"/>
      <c r="C890" s="79"/>
      <c r="D890" s="79"/>
      <c r="E890" s="79"/>
      <c r="F890" s="79"/>
      <c r="G890" s="79"/>
      <c r="H890" s="79"/>
      <c r="I890" s="79"/>
      <c r="J890" s="78"/>
      <c r="K890" s="79"/>
      <c r="L890" s="79"/>
      <c r="M890" s="79"/>
      <c r="N890" s="79"/>
      <c r="O890" s="79"/>
      <c r="P890" s="79"/>
      <c r="Q890" s="79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45"/>
      <c r="AK890" s="45"/>
      <c r="AL890" s="45"/>
      <c r="AM890" s="45"/>
      <c r="AN890" s="45"/>
      <c r="AO890" s="45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  <c r="BA890" s="80"/>
      <c r="BB890" s="80"/>
      <c r="BC890" s="80"/>
      <c r="BD890" s="80"/>
      <c r="BE890" s="80"/>
      <c r="BF890" s="80"/>
      <c r="BG890" s="80"/>
      <c r="BH890" s="49"/>
      <c r="BI890" s="79"/>
      <c r="BJ890" s="79"/>
      <c r="BK890" s="44"/>
      <c r="BL890" s="79"/>
      <c r="BM890" s="49"/>
      <c r="BN890" s="44"/>
      <c r="BO890" s="49"/>
      <c r="BP890" s="49"/>
      <c r="BQ890" s="44"/>
      <c r="BS890" s="49"/>
      <c r="BT890" s="49"/>
      <c r="BU890" s="49"/>
      <c r="BV890" s="49"/>
      <c r="BW890" s="18"/>
      <c r="BX890" s="19"/>
      <c r="BY890" s="49"/>
      <c r="CF890" s="49"/>
      <c r="CG890" s="49"/>
      <c r="CH890" s="49"/>
      <c r="CI890" s="49"/>
      <c r="CJ890" s="49"/>
      <c r="CK890" s="49"/>
    </row>
    <row r="891" spans="2:89" ht="12.75" customHeight="1" x14ac:dyDescent="0.2">
      <c r="B891" s="77"/>
      <c r="C891" s="79"/>
      <c r="D891" s="79"/>
      <c r="E891" s="79"/>
      <c r="F891" s="79"/>
      <c r="G891" s="79"/>
      <c r="H891" s="79"/>
      <c r="I891" s="79"/>
      <c r="J891" s="78"/>
      <c r="K891" s="79"/>
      <c r="L891" s="79"/>
      <c r="M891" s="79"/>
      <c r="N891" s="79"/>
      <c r="O891" s="79"/>
      <c r="P891" s="79"/>
      <c r="Q891" s="79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45"/>
      <c r="AK891" s="45"/>
      <c r="AL891" s="45"/>
      <c r="AM891" s="45"/>
      <c r="AN891" s="45"/>
      <c r="AO891" s="45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  <c r="BA891" s="80"/>
      <c r="BB891" s="80"/>
      <c r="BC891" s="80"/>
      <c r="BD891" s="80"/>
      <c r="BE891" s="80"/>
      <c r="BF891" s="80"/>
      <c r="BG891" s="80"/>
      <c r="BH891" s="49"/>
      <c r="BI891" s="79"/>
      <c r="BJ891" s="79"/>
      <c r="BK891" s="44"/>
      <c r="BL891" s="79"/>
      <c r="BM891" s="49"/>
      <c r="BN891" s="44"/>
      <c r="BO891" s="49"/>
      <c r="BP891" s="49"/>
      <c r="BQ891" s="44"/>
      <c r="BS891" s="49"/>
      <c r="BT891" s="49"/>
      <c r="BU891" s="49"/>
      <c r="BV891" s="49"/>
      <c r="BW891" s="18"/>
      <c r="BX891" s="19"/>
      <c r="BY891" s="49"/>
      <c r="CF891" s="49"/>
      <c r="CG891" s="49"/>
      <c r="CH891" s="49"/>
      <c r="CI891" s="49"/>
      <c r="CJ891" s="49"/>
      <c r="CK891" s="49"/>
    </row>
    <row r="892" spans="2:89" ht="12.75" customHeight="1" x14ac:dyDescent="0.2">
      <c r="B892" s="77"/>
      <c r="C892" s="79"/>
      <c r="D892" s="79"/>
      <c r="E892" s="79"/>
      <c r="F892" s="79"/>
      <c r="G892" s="79"/>
      <c r="H892" s="79"/>
      <c r="I892" s="79"/>
      <c r="J892" s="78"/>
      <c r="K892" s="79"/>
      <c r="L892" s="79"/>
      <c r="M892" s="79"/>
      <c r="N892" s="79"/>
      <c r="O892" s="79"/>
      <c r="P892" s="79"/>
      <c r="Q892" s="79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45"/>
      <c r="AK892" s="45"/>
      <c r="AL892" s="45"/>
      <c r="AM892" s="45"/>
      <c r="AN892" s="45"/>
      <c r="AO892" s="45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  <c r="BA892" s="80"/>
      <c r="BB892" s="80"/>
      <c r="BC892" s="80"/>
      <c r="BD892" s="80"/>
      <c r="BE892" s="80"/>
      <c r="BF892" s="80"/>
      <c r="BG892" s="80"/>
      <c r="BH892" s="49"/>
      <c r="BI892" s="79"/>
      <c r="BJ892" s="79"/>
      <c r="BK892" s="44"/>
      <c r="BL892" s="79"/>
      <c r="BM892" s="49"/>
      <c r="BN892" s="44"/>
      <c r="BO892" s="49"/>
      <c r="BP892" s="49"/>
      <c r="BQ892" s="44"/>
      <c r="BS892" s="49"/>
      <c r="BT892" s="49"/>
      <c r="BU892" s="49"/>
      <c r="BV892" s="49"/>
      <c r="BW892" s="18"/>
      <c r="BX892" s="19"/>
      <c r="BY892" s="49"/>
      <c r="CF892" s="49"/>
      <c r="CG892" s="49"/>
      <c r="CH892" s="49"/>
      <c r="CI892" s="49"/>
      <c r="CJ892" s="49"/>
      <c r="CK892" s="49"/>
    </row>
    <row r="893" spans="2:89" ht="12.75" customHeight="1" x14ac:dyDescent="0.2">
      <c r="B893" s="77"/>
      <c r="C893" s="79"/>
      <c r="D893" s="79"/>
      <c r="E893" s="79"/>
      <c r="F893" s="79"/>
      <c r="G893" s="79"/>
      <c r="H893" s="79"/>
      <c r="I893" s="79"/>
      <c r="J893" s="78"/>
      <c r="K893" s="79"/>
      <c r="L893" s="79"/>
      <c r="M893" s="79"/>
      <c r="N893" s="79"/>
      <c r="O893" s="79"/>
      <c r="P893" s="79"/>
      <c r="Q893" s="79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45"/>
      <c r="AK893" s="45"/>
      <c r="AL893" s="45"/>
      <c r="AM893" s="45"/>
      <c r="AN893" s="45"/>
      <c r="AO893" s="45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  <c r="BA893" s="80"/>
      <c r="BB893" s="80"/>
      <c r="BC893" s="80"/>
      <c r="BD893" s="80"/>
      <c r="BE893" s="80"/>
      <c r="BF893" s="80"/>
      <c r="BG893" s="80"/>
      <c r="BH893" s="49"/>
      <c r="BI893" s="79"/>
      <c r="BJ893" s="79"/>
      <c r="BK893" s="44"/>
      <c r="BL893" s="79"/>
      <c r="BM893" s="49"/>
      <c r="BN893" s="44"/>
      <c r="BO893" s="49"/>
      <c r="BP893" s="49"/>
      <c r="BQ893" s="44"/>
      <c r="BS893" s="49"/>
      <c r="BT893" s="49"/>
      <c r="BU893" s="49"/>
      <c r="BV893" s="49"/>
      <c r="BW893" s="18"/>
      <c r="BX893" s="19"/>
      <c r="BY893" s="49"/>
      <c r="CF893" s="49"/>
      <c r="CG893" s="49"/>
      <c r="CH893" s="49"/>
      <c r="CI893" s="49"/>
      <c r="CJ893" s="49"/>
      <c r="CK893" s="49"/>
    </row>
    <row r="894" spans="2:89" ht="12.75" customHeight="1" x14ac:dyDescent="0.2">
      <c r="B894" s="77"/>
      <c r="C894" s="79"/>
      <c r="D894" s="79"/>
      <c r="E894" s="79"/>
      <c r="F894" s="79"/>
      <c r="G894" s="79"/>
      <c r="H894" s="79"/>
      <c r="I894" s="79"/>
      <c r="J894" s="78"/>
      <c r="K894" s="79"/>
      <c r="L894" s="79"/>
      <c r="M894" s="79"/>
      <c r="N894" s="79"/>
      <c r="O894" s="79"/>
      <c r="P894" s="79"/>
      <c r="Q894" s="79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45"/>
      <c r="AK894" s="45"/>
      <c r="AL894" s="45"/>
      <c r="AM894" s="45"/>
      <c r="AN894" s="45"/>
      <c r="AO894" s="45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  <c r="BA894" s="80"/>
      <c r="BB894" s="80"/>
      <c r="BC894" s="80"/>
      <c r="BD894" s="80"/>
      <c r="BE894" s="80"/>
      <c r="BF894" s="80"/>
      <c r="BG894" s="80"/>
      <c r="BH894" s="49"/>
      <c r="BI894" s="79"/>
      <c r="BJ894" s="79"/>
      <c r="BK894" s="44"/>
      <c r="BL894" s="79"/>
      <c r="BM894" s="49"/>
      <c r="BN894" s="44"/>
      <c r="BO894" s="49"/>
      <c r="BP894" s="49"/>
      <c r="BQ894" s="44"/>
      <c r="BS894" s="49"/>
      <c r="BT894" s="49"/>
      <c r="BU894" s="49"/>
      <c r="BV894" s="49"/>
      <c r="BW894" s="18"/>
      <c r="BX894" s="19"/>
      <c r="BY894" s="49"/>
      <c r="CF894" s="49"/>
      <c r="CG894" s="49"/>
      <c r="CH894" s="49"/>
      <c r="CI894" s="49"/>
      <c r="CJ894" s="49"/>
      <c r="CK894" s="49"/>
    </row>
    <row r="895" spans="2:89" ht="12.75" customHeight="1" x14ac:dyDescent="0.2">
      <c r="B895" s="77"/>
      <c r="C895" s="79"/>
      <c r="D895" s="79"/>
      <c r="E895" s="79"/>
      <c r="F895" s="79"/>
      <c r="G895" s="79"/>
      <c r="H895" s="79"/>
      <c r="I895" s="79"/>
      <c r="J895" s="78"/>
      <c r="K895" s="79"/>
      <c r="L895" s="79"/>
      <c r="M895" s="79"/>
      <c r="N895" s="79"/>
      <c r="O895" s="79"/>
      <c r="P895" s="79"/>
      <c r="Q895" s="79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45"/>
      <c r="AK895" s="45"/>
      <c r="AL895" s="45"/>
      <c r="AM895" s="45"/>
      <c r="AN895" s="45"/>
      <c r="AO895" s="45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  <c r="BA895" s="80"/>
      <c r="BB895" s="80"/>
      <c r="BC895" s="80"/>
      <c r="BD895" s="80"/>
      <c r="BE895" s="80"/>
      <c r="BF895" s="80"/>
      <c r="BG895" s="80"/>
      <c r="BH895" s="49"/>
      <c r="BI895" s="79"/>
      <c r="BJ895" s="79"/>
      <c r="BK895" s="44"/>
      <c r="BL895" s="79"/>
      <c r="BM895" s="49"/>
      <c r="BN895" s="44"/>
      <c r="BO895" s="49"/>
      <c r="BP895" s="49"/>
      <c r="BQ895" s="44"/>
      <c r="BS895" s="49"/>
      <c r="BT895" s="49"/>
      <c r="BU895" s="49"/>
      <c r="BV895" s="49"/>
      <c r="BW895" s="18"/>
      <c r="BX895" s="19"/>
      <c r="BY895" s="49"/>
      <c r="CF895" s="49"/>
      <c r="CG895" s="49"/>
      <c r="CH895" s="49"/>
      <c r="CI895" s="49"/>
      <c r="CJ895" s="49"/>
      <c r="CK895" s="49"/>
    </row>
    <row r="896" spans="2:89" ht="12.75" customHeight="1" x14ac:dyDescent="0.2">
      <c r="B896" s="77"/>
      <c r="C896" s="79"/>
      <c r="D896" s="79"/>
      <c r="E896" s="79"/>
      <c r="F896" s="79"/>
      <c r="G896" s="79"/>
      <c r="H896" s="79"/>
      <c r="I896" s="79"/>
      <c r="J896" s="78"/>
      <c r="K896" s="79"/>
      <c r="L896" s="79"/>
      <c r="M896" s="79"/>
      <c r="N896" s="79"/>
      <c r="O896" s="79"/>
      <c r="P896" s="79"/>
      <c r="Q896" s="79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45"/>
      <c r="AK896" s="45"/>
      <c r="AL896" s="45"/>
      <c r="AM896" s="45"/>
      <c r="AN896" s="45"/>
      <c r="AO896" s="45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  <c r="BA896" s="80"/>
      <c r="BB896" s="80"/>
      <c r="BC896" s="80"/>
      <c r="BD896" s="80"/>
      <c r="BE896" s="80"/>
      <c r="BF896" s="80"/>
      <c r="BG896" s="80"/>
      <c r="BH896" s="49"/>
      <c r="BI896" s="79"/>
      <c r="BJ896" s="79"/>
      <c r="BK896" s="44"/>
      <c r="BL896" s="79"/>
      <c r="BM896" s="49"/>
      <c r="BN896" s="44"/>
      <c r="BO896" s="49"/>
      <c r="BP896" s="49"/>
      <c r="BQ896" s="44"/>
      <c r="BS896" s="49"/>
      <c r="BT896" s="49"/>
      <c r="BU896" s="49"/>
      <c r="BV896" s="49"/>
      <c r="BW896" s="18"/>
      <c r="BX896" s="19"/>
      <c r="BY896" s="49"/>
      <c r="CF896" s="49"/>
      <c r="CG896" s="49"/>
      <c r="CH896" s="49"/>
      <c r="CI896" s="49"/>
      <c r="CJ896" s="49"/>
      <c r="CK896" s="49"/>
    </row>
    <row r="897" spans="2:89" ht="12.75" customHeight="1" x14ac:dyDescent="0.2">
      <c r="B897" s="77"/>
      <c r="C897" s="79"/>
      <c r="D897" s="79"/>
      <c r="E897" s="79"/>
      <c r="F897" s="79"/>
      <c r="G897" s="79"/>
      <c r="H897" s="79"/>
      <c r="I897" s="79"/>
      <c r="J897" s="78"/>
      <c r="K897" s="79"/>
      <c r="L897" s="79"/>
      <c r="M897" s="79"/>
      <c r="N897" s="79"/>
      <c r="O897" s="79"/>
      <c r="P897" s="79"/>
      <c r="Q897" s="79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45"/>
      <c r="AK897" s="45"/>
      <c r="AL897" s="45"/>
      <c r="AM897" s="45"/>
      <c r="AN897" s="45"/>
      <c r="AO897" s="45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  <c r="BA897" s="80"/>
      <c r="BB897" s="80"/>
      <c r="BC897" s="80"/>
      <c r="BD897" s="80"/>
      <c r="BE897" s="80"/>
      <c r="BF897" s="80"/>
      <c r="BG897" s="80"/>
      <c r="BH897" s="49"/>
      <c r="BI897" s="79"/>
      <c r="BJ897" s="79"/>
      <c r="BK897" s="44"/>
      <c r="BL897" s="79"/>
      <c r="BM897" s="49"/>
      <c r="BN897" s="44"/>
      <c r="BO897" s="49"/>
      <c r="BP897" s="49"/>
      <c r="BQ897" s="44"/>
      <c r="BS897" s="49"/>
      <c r="BT897" s="49"/>
      <c r="BU897" s="49"/>
      <c r="BV897" s="49"/>
      <c r="BW897" s="18"/>
      <c r="BX897" s="19"/>
      <c r="BY897" s="49"/>
      <c r="CF897" s="49"/>
      <c r="CG897" s="49"/>
      <c r="CH897" s="49"/>
      <c r="CI897" s="49"/>
      <c r="CJ897" s="49"/>
      <c r="CK897" s="49"/>
    </row>
    <row r="898" spans="2:89" ht="12.75" customHeight="1" x14ac:dyDescent="0.2">
      <c r="B898" s="77"/>
      <c r="C898" s="79"/>
      <c r="D898" s="79"/>
      <c r="E898" s="79"/>
      <c r="F898" s="79"/>
      <c r="G898" s="79"/>
      <c r="H898" s="79"/>
      <c r="I898" s="79"/>
      <c r="J898" s="78"/>
      <c r="K898" s="79"/>
      <c r="L898" s="79"/>
      <c r="M898" s="79"/>
      <c r="N898" s="79"/>
      <c r="O898" s="79"/>
      <c r="P898" s="79"/>
      <c r="Q898" s="79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45"/>
      <c r="AK898" s="45"/>
      <c r="AL898" s="45"/>
      <c r="AM898" s="45"/>
      <c r="AN898" s="45"/>
      <c r="AO898" s="45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  <c r="BA898" s="80"/>
      <c r="BB898" s="80"/>
      <c r="BC898" s="80"/>
      <c r="BD898" s="80"/>
      <c r="BE898" s="80"/>
      <c r="BF898" s="80"/>
      <c r="BG898" s="80"/>
      <c r="BH898" s="49"/>
      <c r="BI898" s="79"/>
      <c r="BJ898" s="79"/>
      <c r="BK898" s="44"/>
      <c r="BL898" s="79"/>
      <c r="BM898" s="49"/>
      <c r="BN898" s="44"/>
      <c r="BO898" s="49"/>
      <c r="BP898" s="49"/>
      <c r="BQ898" s="44"/>
      <c r="BS898" s="49"/>
      <c r="BT898" s="49"/>
      <c r="BU898" s="49"/>
      <c r="BV898" s="49"/>
      <c r="BW898" s="18"/>
      <c r="BX898" s="19"/>
      <c r="BY898" s="49"/>
      <c r="CF898" s="49"/>
      <c r="CG898" s="49"/>
      <c r="CH898" s="49"/>
      <c r="CI898" s="49"/>
      <c r="CJ898" s="49"/>
      <c r="CK898" s="49"/>
    </row>
    <row r="899" spans="2:89" ht="12.75" customHeight="1" x14ac:dyDescent="0.2">
      <c r="B899" s="77"/>
      <c r="C899" s="79"/>
      <c r="D899" s="79"/>
      <c r="E899" s="79"/>
      <c r="F899" s="79"/>
      <c r="G899" s="79"/>
      <c r="H899" s="79"/>
      <c r="I899" s="79"/>
      <c r="J899" s="78"/>
      <c r="K899" s="79"/>
      <c r="L899" s="79"/>
      <c r="M899" s="79"/>
      <c r="N899" s="79"/>
      <c r="O899" s="79"/>
      <c r="P899" s="79"/>
      <c r="Q899" s="79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45"/>
      <c r="AK899" s="45"/>
      <c r="AL899" s="45"/>
      <c r="AM899" s="45"/>
      <c r="AN899" s="45"/>
      <c r="AO899" s="45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  <c r="BA899" s="80"/>
      <c r="BB899" s="80"/>
      <c r="BC899" s="80"/>
      <c r="BD899" s="80"/>
      <c r="BE899" s="80"/>
      <c r="BF899" s="80"/>
      <c r="BG899" s="80"/>
      <c r="BH899" s="49"/>
      <c r="BI899" s="79"/>
      <c r="BJ899" s="79"/>
      <c r="BK899" s="44"/>
      <c r="BL899" s="79"/>
      <c r="BM899" s="49"/>
      <c r="BN899" s="44"/>
      <c r="BO899" s="49"/>
      <c r="BP899" s="49"/>
      <c r="BQ899" s="44"/>
      <c r="BS899" s="49"/>
      <c r="BT899" s="49"/>
      <c r="BU899" s="49"/>
      <c r="BV899" s="49"/>
      <c r="BW899" s="18"/>
      <c r="BX899" s="19"/>
      <c r="BY899" s="49"/>
      <c r="CF899" s="49"/>
      <c r="CG899" s="49"/>
      <c r="CH899" s="49"/>
      <c r="CI899" s="49"/>
      <c r="CJ899" s="49"/>
      <c r="CK899" s="49"/>
    </row>
    <row r="900" spans="2:89" ht="12.75" customHeight="1" x14ac:dyDescent="0.2">
      <c r="B900" s="77"/>
      <c r="C900" s="79"/>
      <c r="D900" s="79"/>
      <c r="E900" s="79"/>
      <c r="F900" s="79"/>
      <c r="G900" s="79"/>
      <c r="H900" s="79"/>
      <c r="I900" s="79"/>
      <c r="J900" s="78"/>
      <c r="K900" s="79"/>
      <c r="L900" s="79"/>
      <c r="M900" s="79"/>
      <c r="N900" s="79"/>
      <c r="O900" s="79"/>
      <c r="P900" s="79"/>
      <c r="Q900" s="79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45"/>
      <c r="AK900" s="45"/>
      <c r="AL900" s="45"/>
      <c r="AM900" s="45"/>
      <c r="AN900" s="45"/>
      <c r="AO900" s="45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  <c r="BA900" s="80"/>
      <c r="BB900" s="80"/>
      <c r="BC900" s="80"/>
      <c r="BD900" s="80"/>
      <c r="BE900" s="80"/>
      <c r="BF900" s="80"/>
      <c r="BG900" s="80"/>
      <c r="BH900" s="49"/>
      <c r="BI900" s="79"/>
      <c r="BJ900" s="79"/>
      <c r="BK900" s="44"/>
      <c r="BL900" s="79"/>
      <c r="BM900" s="49"/>
      <c r="BN900" s="44"/>
      <c r="BO900" s="49"/>
      <c r="BP900" s="49"/>
      <c r="BQ900" s="44"/>
      <c r="BS900" s="49"/>
      <c r="BT900" s="49"/>
      <c r="BU900" s="49"/>
      <c r="BV900" s="49"/>
      <c r="BW900" s="18"/>
      <c r="BX900" s="19"/>
      <c r="BY900" s="49"/>
      <c r="CF900" s="49"/>
      <c r="CG900" s="49"/>
      <c r="CH900" s="49"/>
      <c r="CI900" s="49"/>
      <c r="CJ900" s="49"/>
      <c r="CK900" s="49"/>
    </row>
    <row r="901" spans="2:89" ht="12.75" customHeight="1" x14ac:dyDescent="0.2">
      <c r="B901" s="77"/>
      <c r="C901" s="79"/>
      <c r="D901" s="79"/>
      <c r="E901" s="79"/>
      <c r="F901" s="79"/>
      <c r="G901" s="79"/>
      <c r="H901" s="79"/>
      <c r="I901" s="79"/>
      <c r="J901" s="78"/>
      <c r="K901" s="79"/>
      <c r="L901" s="79"/>
      <c r="M901" s="79"/>
      <c r="N901" s="79"/>
      <c r="O901" s="79"/>
      <c r="P901" s="79"/>
      <c r="Q901" s="79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45"/>
      <c r="AK901" s="45"/>
      <c r="AL901" s="45"/>
      <c r="AM901" s="45"/>
      <c r="AN901" s="45"/>
      <c r="AO901" s="45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  <c r="BA901" s="80"/>
      <c r="BB901" s="80"/>
      <c r="BC901" s="80"/>
      <c r="BD901" s="80"/>
      <c r="BE901" s="80"/>
      <c r="BF901" s="80"/>
      <c r="BG901" s="80"/>
      <c r="BH901" s="49"/>
      <c r="BI901" s="79"/>
      <c r="BJ901" s="79"/>
      <c r="BK901" s="44"/>
      <c r="BL901" s="79"/>
      <c r="BM901" s="49"/>
      <c r="BN901" s="44"/>
      <c r="BO901" s="49"/>
      <c r="BP901" s="49"/>
      <c r="BQ901" s="44"/>
      <c r="BS901" s="49"/>
      <c r="BT901" s="49"/>
      <c r="BU901" s="49"/>
      <c r="BV901" s="49"/>
      <c r="BW901" s="18"/>
      <c r="BX901" s="19"/>
      <c r="BY901" s="49"/>
      <c r="CF901" s="49"/>
      <c r="CG901" s="49"/>
      <c r="CH901" s="49"/>
      <c r="CI901" s="49"/>
      <c r="CJ901" s="49"/>
      <c r="CK901" s="49"/>
    </row>
    <row r="902" spans="2:89" ht="12.75" customHeight="1" x14ac:dyDescent="0.2">
      <c r="B902" s="77"/>
      <c r="C902" s="79"/>
      <c r="D902" s="79"/>
      <c r="E902" s="79"/>
      <c r="F902" s="79"/>
      <c r="G902" s="79"/>
      <c r="H902" s="79"/>
      <c r="I902" s="79"/>
      <c r="J902" s="78"/>
      <c r="K902" s="79"/>
      <c r="L902" s="79"/>
      <c r="M902" s="79"/>
      <c r="N902" s="79"/>
      <c r="O902" s="79"/>
      <c r="P902" s="79"/>
      <c r="Q902" s="79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45"/>
      <c r="AK902" s="45"/>
      <c r="AL902" s="45"/>
      <c r="AM902" s="45"/>
      <c r="AN902" s="45"/>
      <c r="AO902" s="45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  <c r="AZ902" s="80"/>
      <c r="BA902" s="80"/>
      <c r="BB902" s="80"/>
      <c r="BC902" s="80"/>
      <c r="BD902" s="80"/>
      <c r="BE902" s="80"/>
      <c r="BF902" s="80"/>
      <c r="BG902" s="80"/>
      <c r="BH902" s="49"/>
      <c r="BI902" s="79"/>
      <c r="BJ902" s="79"/>
      <c r="BK902" s="44"/>
      <c r="BL902" s="79"/>
      <c r="BM902" s="49"/>
      <c r="BN902" s="44"/>
      <c r="BO902" s="49"/>
      <c r="BP902" s="49"/>
      <c r="BQ902" s="44"/>
      <c r="BS902" s="49"/>
      <c r="BT902" s="49"/>
      <c r="BU902" s="49"/>
      <c r="BV902" s="49"/>
      <c r="BW902" s="18"/>
      <c r="BX902" s="19"/>
      <c r="BY902" s="49"/>
      <c r="CF902" s="49"/>
      <c r="CG902" s="49"/>
      <c r="CH902" s="49"/>
      <c r="CI902" s="49"/>
      <c r="CJ902" s="49"/>
      <c r="CK902" s="49"/>
    </row>
    <row r="903" spans="2:89" ht="12.75" customHeight="1" x14ac:dyDescent="0.2">
      <c r="B903" s="77"/>
      <c r="C903" s="79"/>
      <c r="D903" s="79"/>
      <c r="E903" s="79"/>
      <c r="F903" s="79"/>
      <c r="G903" s="79"/>
      <c r="H903" s="79"/>
      <c r="I903" s="79"/>
      <c r="J903" s="78"/>
      <c r="K903" s="79"/>
      <c r="L903" s="79"/>
      <c r="M903" s="79"/>
      <c r="N903" s="79"/>
      <c r="O903" s="79"/>
      <c r="P903" s="79"/>
      <c r="Q903" s="79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45"/>
      <c r="AK903" s="45"/>
      <c r="AL903" s="45"/>
      <c r="AM903" s="45"/>
      <c r="AN903" s="45"/>
      <c r="AO903" s="45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  <c r="BA903" s="80"/>
      <c r="BB903" s="80"/>
      <c r="BC903" s="80"/>
      <c r="BD903" s="80"/>
      <c r="BE903" s="80"/>
      <c r="BF903" s="80"/>
      <c r="BG903" s="80"/>
      <c r="BH903" s="49"/>
      <c r="BI903" s="79"/>
      <c r="BJ903" s="79"/>
      <c r="BK903" s="44"/>
      <c r="BL903" s="79"/>
      <c r="BM903" s="49"/>
      <c r="BN903" s="44"/>
      <c r="BO903" s="49"/>
      <c r="BP903" s="49"/>
      <c r="BQ903" s="44"/>
      <c r="BS903" s="49"/>
      <c r="BT903" s="49"/>
      <c r="BU903" s="49"/>
      <c r="BV903" s="49"/>
      <c r="BW903" s="18"/>
      <c r="BX903" s="19"/>
      <c r="BY903" s="49"/>
      <c r="CF903" s="49"/>
      <c r="CG903" s="49"/>
      <c r="CH903" s="49"/>
      <c r="CI903" s="49"/>
      <c r="CJ903" s="49"/>
      <c r="CK903" s="49"/>
    </row>
    <row r="904" spans="2:89" ht="12.75" customHeight="1" x14ac:dyDescent="0.2">
      <c r="B904" s="77"/>
      <c r="C904" s="79"/>
      <c r="D904" s="79"/>
      <c r="E904" s="79"/>
      <c r="F904" s="79"/>
      <c r="G904" s="79"/>
      <c r="H904" s="79"/>
      <c r="I904" s="79"/>
      <c r="J904" s="78"/>
      <c r="K904" s="79"/>
      <c r="L904" s="79"/>
      <c r="M904" s="79"/>
      <c r="N904" s="79"/>
      <c r="O904" s="79"/>
      <c r="P904" s="79"/>
      <c r="Q904" s="79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45"/>
      <c r="AK904" s="45"/>
      <c r="AL904" s="45"/>
      <c r="AM904" s="45"/>
      <c r="AN904" s="45"/>
      <c r="AO904" s="45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  <c r="BA904" s="80"/>
      <c r="BB904" s="80"/>
      <c r="BC904" s="80"/>
      <c r="BD904" s="80"/>
      <c r="BE904" s="80"/>
      <c r="BF904" s="80"/>
      <c r="BG904" s="80"/>
      <c r="BH904" s="49"/>
      <c r="BI904" s="79"/>
      <c r="BJ904" s="79"/>
      <c r="BK904" s="44"/>
      <c r="BL904" s="79"/>
      <c r="BM904" s="49"/>
      <c r="BN904" s="44"/>
      <c r="BO904" s="49"/>
      <c r="BP904" s="49"/>
      <c r="BQ904" s="44"/>
      <c r="BS904" s="49"/>
      <c r="BT904" s="49"/>
      <c r="BU904" s="49"/>
      <c r="BV904" s="49"/>
      <c r="BW904" s="18"/>
      <c r="BX904" s="19"/>
      <c r="BY904" s="49"/>
      <c r="CF904" s="49"/>
      <c r="CG904" s="49"/>
      <c r="CH904" s="49"/>
      <c r="CI904" s="49"/>
      <c r="CJ904" s="49"/>
      <c r="CK904" s="49"/>
    </row>
    <row r="905" spans="2:89" ht="12.75" customHeight="1" x14ac:dyDescent="0.2">
      <c r="B905" s="77"/>
      <c r="C905" s="79"/>
      <c r="D905" s="79"/>
      <c r="E905" s="79"/>
      <c r="F905" s="79"/>
      <c r="G905" s="79"/>
      <c r="H905" s="79"/>
      <c r="I905" s="79"/>
      <c r="J905" s="78"/>
      <c r="K905" s="79"/>
      <c r="L905" s="79"/>
      <c r="M905" s="79"/>
      <c r="N905" s="79"/>
      <c r="O905" s="79"/>
      <c r="P905" s="79"/>
      <c r="Q905" s="79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45"/>
      <c r="AK905" s="45"/>
      <c r="AL905" s="45"/>
      <c r="AM905" s="45"/>
      <c r="AN905" s="45"/>
      <c r="AO905" s="45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  <c r="BA905" s="80"/>
      <c r="BB905" s="80"/>
      <c r="BC905" s="80"/>
      <c r="BD905" s="80"/>
      <c r="BE905" s="80"/>
      <c r="BF905" s="80"/>
      <c r="BG905" s="80"/>
      <c r="BH905" s="49"/>
      <c r="BI905" s="79"/>
      <c r="BJ905" s="79"/>
      <c r="BK905" s="44"/>
      <c r="BL905" s="79"/>
      <c r="BM905" s="49"/>
      <c r="BN905" s="44"/>
      <c r="BO905" s="49"/>
      <c r="BP905" s="49"/>
      <c r="BQ905" s="44"/>
      <c r="BS905" s="49"/>
      <c r="BT905" s="49"/>
      <c r="BU905" s="49"/>
      <c r="BV905" s="49"/>
      <c r="BW905" s="18"/>
      <c r="BX905" s="19"/>
      <c r="BY905" s="49"/>
      <c r="CF905" s="49"/>
      <c r="CG905" s="49"/>
      <c r="CH905" s="49"/>
      <c r="CI905" s="49"/>
      <c r="CJ905" s="49"/>
      <c r="CK905" s="49"/>
    </row>
    <row r="906" spans="2:89" ht="12.75" customHeight="1" x14ac:dyDescent="0.2">
      <c r="B906" s="77"/>
      <c r="C906" s="79"/>
      <c r="D906" s="79"/>
      <c r="E906" s="79"/>
      <c r="F906" s="79"/>
      <c r="G906" s="79"/>
      <c r="H906" s="79"/>
      <c r="I906" s="79"/>
      <c r="J906" s="78"/>
      <c r="K906" s="79"/>
      <c r="L906" s="79"/>
      <c r="M906" s="79"/>
      <c r="N906" s="79"/>
      <c r="O906" s="79"/>
      <c r="P906" s="79"/>
      <c r="Q906" s="79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45"/>
      <c r="AK906" s="45"/>
      <c r="AL906" s="45"/>
      <c r="AM906" s="45"/>
      <c r="AN906" s="45"/>
      <c r="AO906" s="45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  <c r="BA906" s="80"/>
      <c r="BB906" s="80"/>
      <c r="BC906" s="80"/>
      <c r="BD906" s="80"/>
      <c r="BE906" s="80"/>
      <c r="BF906" s="80"/>
      <c r="BG906" s="80"/>
      <c r="BH906" s="49"/>
      <c r="BI906" s="79"/>
      <c r="BJ906" s="79"/>
      <c r="BK906" s="44"/>
      <c r="BL906" s="79"/>
      <c r="BM906" s="49"/>
      <c r="BN906" s="44"/>
      <c r="BO906" s="49"/>
      <c r="BP906" s="49"/>
      <c r="BQ906" s="44"/>
      <c r="BS906" s="49"/>
      <c r="BT906" s="49"/>
      <c r="BU906" s="49"/>
      <c r="BV906" s="49"/>
      <c r="BW906" s="18"/>
      <c r="BX906" s="19"/>
      <c r="BY906" s="49"/>
      <c r="CF906" s="49"/>
      <c r="CG906" s="49"/>
      <c r="CH906" s="49"/>
      <c r="CI906" s="49"/>
      <c r="CJ906" s="49"/>
      <c r="CK906" s="49"/>
    </row>
    <row r="907" spans="2:89" ht="12.75" customHeight="1" x14ac:dyDescent="0.2">
      <c r="B907" s="77"/>
      <c r="C907" s="79"/>
      <c r="D907" s="79"/>
      <c r="E907" s="79"/>
      <c r="F907" s="79"/>
      <c r="G907" s="79"/>
      <c r="H907" s="79"/>
      <c r="I907" s="79"/>
      <c r="J907" s="78"/>
      <c r="K907" s="79"/>
      <c r="L907" s="79"/>
      <c r="M907" s="79"/>
      <c r="N907" s="79"/>
      <c r="O907" s="79"/>
      <c r="P907" s="79"/>
      <c r="Q907" s="79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45"/>
      <c r="AK907" s="45"/>
      <c r="AL907" s="45"/>
      <c r="AM907" s="45"/>
      <c r="AN907" s="45"/>
      <c r="AO907" s="45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  <c r="AZ907" s="80"/>
      <c r="BA907" s="80"/>
      <c r="BB907" s="80"/>
      <c r="BC907" s="80"/>
      <c r="BD907" s="80"/>
      <c r="BE907" s="80"/>
      <c r="BF907" s="80"/>
      <c r="BG907" s="80"/>
      <c r="BH907" s="49"/>
      <c r="BI907" s="79"/>
      <c r="BJ907" s="79"/>
      <c r="BK907" s="44"/>
      <c r="BL907" s="79"/>
      <c r="BM907" s="49"/>
      <c r="BN907" s="44"/>
      <c r="BO907" s="49"/>
      <c r="BP907" s="49"/>
      <c r="BQ907" s="44"/>
      <c r="BS907" s="49"/>
      <c r="BT907" s="49"/>
      <c r="BU907" s="49"/>
      <c r="BV907" s="49"/>
      <c r="BW907" s="18"/>
      <c r="BX907" s="19"/>
      <c r="BY907" s="49"/>
      <c r="CF907" s="49"/>
      <c r="CG907" s="49"/>
      <c r="CH907" s="49"/>
      <c r="CI907" s="49"/>
      <c r="CJ907" s="49"/>
      <c r="CK907" s="49"/>
    </row>
    <row r="908" spans="2:89" ht="12.75" customHeight="1" x14ac:dyDescent="0.2">
      <c r="B908" s="77"/>
      <c r="C908" s="79"/>
      <c r="D908" s="79"/>
      <c r="E908" s="79"/>
      <c r="F908" s="79"/>
      <c r="G908" s="79"/>
      <c r="H908" s="79"/>
      <c r="I908" s="79"/>
      <c r="J908" s="78"/>
      <c r="K908" s="79"/>
      <c r="L908" s="79"/>
      <c r="M908" s="79"/>
      <c r="N908" s="79"/>
      <c r="O908" s="79"/>
      <c r="P908" s="79"/>
      <c r="Q908" s="79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45"/>
      <c r="AK908" s="45"/>
      <c r="AL908" s="45"/>
      <c r="AM908" s="45"/>
      <c r="AN908" s="45"/>
      <c r="AO908" s="45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  <c r="BA908" s="80"/>
      <c r="BB908" s="80"/>
      <c r="BC908" s="80"/>
      <c r="BD908" s="80"/>
      <c r="BE908" s="80"/>
      <c r="BF908" s="80"/>
      <c r="BG908" s="80"/>
      <c r="BH908" s="49"/>
      <c r="BI908" s="79"/>
      <c r="BJ908" s="79"/>
      <c r="BK908" s="44"/>
      <c r="BL908" s="79"/>
      <c r="BM908" s="49"/>
      <c r="BN908" s="44"/>
      <c r="BO908" s="49"/>
      <c r="BP908" s="49"/>
      <c r="BQ908" s="44"/>
      <c r="BS908" s="49"/>
      <c r="BT908" s="49"/>
      <c r="BU908" s="49"/>
      <c r="BV908" s="49"/>
      <c r="BW908" s="18"/>
      <c r="BX908" s="19"/>
      <c r="BY908" s="49"/>
      <c r="CF908" s="49"/>
      <c r="CG908" s="49"/>
      <c r="CH908" s="49"/>
      <c r="CI908" s="49"/>
      <c r="CJ908" s="49"/>
      <c r="CK908" s="49"/>
    </row>
    <row r="909" spans="2:89" ht="12.75" customHeight="1" x14ac:dyDescent="0.2">
      <c r="B909" s="77"/>
      <c r="C909" s="79"/>
      <c r="D909" s="79"/>
      <c r="E909" s="79"/>
      <c r="F909" s="79"/>
      <c r="G909" s="79"/>
      <c r="H909" s="79"/>
      <c r="I909" s="79"/>
      <c r="J909" s="78"/>
      <c r="K909" s="79"/>
      <c r="L909" s="79"/>
      <c r="M909" s="79"/>
      <c r="N909" s="79"/>
      <c r="O909" s="79"/>
      <c r="P909" s="79"/>
      <c r="Q909" s="79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45"/>
      <c r="AK909" s="45"/>
      <c r="AL909" s="45"/>
      <c r="AM909" s="45"/>
      <c r="AN909" s="45"/>
      <c r="AO909" s="45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  <c r="BA909" s="80"/>
      <c r="BB909" s="80"/>
      <c r="BC909" s="80"/>
      <c r="BD909" s="80"/>
      <c r="BE909" s="80"/>
      <c r="BF909" s="80"/>
      <c r="BG909" s="80"/>
      <c r="BH909" s="49"/>
      <c r="BI909" s="79"/>
      <c r="BJ909" s="79"/>
      <c r="BK909" s="44"/>
      <c r="BL909" s="79"/>
      <c r="BM909" s="49"/>
      <c r="BN909" s="44"/>
      <c r="BO909" s="49"/>
      <c r="BP909" s="49"/>
      <c r="BQ909" s="44"/>
      <c r="BS909" s="49"/>
      <c r="BT909" s="49"/>
      <c r="BU909" s="49"/>
      <c r="BV909" s="49"/>
      <c r="BW909" s="18"/>
      <c r="BX909" s="19"/>
      <c r="BY909" s="49"/>
      <c r="CF909" s="49"/>
      <c r="CG909" s="49"/>
      <c r="CH909" s="49"/>
      <c r="CI909" s="49"/>
      <c r="CJ909" s="49"/>
      <c r="CK909" s="49"/>
    </row>
    <row r="910" spans="2:89" ht="12.75" customHeight="1" x14ac:dyDescent="0.2">
      <c r="B910" s="77"/>
      <c r="C910" s="79"/>
      <c r="D910" s="79"/>
      <c r="E910" s="79"/>
      <c r="F910" s="79"/>
      <c r="G910" s="79"/>
      <c r="H910" s="79"/>
      <c r="I910" s="79"/>
      <c r="J910" s="78"/>
      <c r="K910" s="79"/>
      <c r="L910" s="79"/>
      <c r="M910" s="79"/>
      <c r="N910" s="79"/>
      <c r="O910" s="79"/>
      <c r="P910" s="79"/>
      <c r="Q910" s="79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45"/>
      <c r="AK910" s="45"/>
      <c r="AL910" s="45"/>
      <c r="AM910" s="45"/>
      <c r="AN910" s="45"/>
      <c r="AO910" s="45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  <c r="BA910" s="80"/>
      <c r="BB910" s="80"/>
      <c r="BC910" s="80"/>
      <c r="BD910" s="80"/>
      <c r="BE910" s="80"/>
      <c r="BF910" s="80"/>
      <c r="BG910" s="80"/>
      <c r="BH910" s="49"/>
      <c r="BI910" s="79"/>
      <c r="BJ910" s="79"/>
      <c r="BK910" s="44"/>
      <c r="BL910" s="79"/>
      <c r="BM910" s="49"/>
      <c r="BN910" s="44"/>
      <c r="BO910" s="49"/>
      <c r="BP910" s="49"/>
      <c r="BQ910" s="44"/>
      <c r="BS910" s="49"/>
      <c r="BT910" s="49"/>
      <c r="BU910" s="49"/>
      <c r="BV910" s="49"/>
      <c r="BW910" s="18"/>
      <c r="BX910" s="19"/>
      <c r="BY910" s="49"/>
      <c r="CF910" s="49"/>
      <c r="CG910" s="49"/>
      <c r="CH910" s="49"/>
      <c r="CI910" s="49"/>
      <c r="CJ910" s="49"/>
      <c r="CK910" s="49"/>
    </row>
    <row r="911" spans="2:89" ht="12.75" customHeight="1" x14ac:dyDescent="0.2">
      <c r="B911" s="77"/>
      <c r="C911" s="79"/>
      <c r="D911" s="79"/>
      <c r="E911" s="79"/>
      <c r="F911" s="79"/>
      <c r="G911" s="79"/>
      <c r="H911" s="79"/>
      <c r="I911" s="79"/>
      <c r="J911" s="78"/>
      <c r="K911" s="79"/>
      <c r="L911" s="79"/>
      <c r="M911" s="79"/>
      <c r="N911" s="79"/>
      <c r="O911" s="79"/>
      <c r="P911" s="79"/>
      <c r="Q911" s="79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45"/>
      <c r="AK911" s="45"/>
      <c r="AL911" s="45"/>
      <c r="AM911" s="45"/>
      <c r="AN911" s="45"/>
      <c r="AO911" s="45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  <c r="BA911" s="80"/>
      <c r="BB911" s="80"/>
      <c r="BC911" s="80"/>
      <c r="BD911" s="80"/>
      <c r="BE911" s="80"/>
      <c r="BF911" s="80"/>
      <c r="BG911" s="80"/>
      <c r="BH911" s="49"/>
      <c r="BI911" s="79"/>
      <c r="BJ911" s="79"/>
      <c r="BK911" s="44"/>
      <c r="BL911" s="79"/>
      <c r="BM911" s="49"/>
      <c r="BN911" s="44"/>
      <c r="BO911" s="49"/>
      <c r="BP911" s="49"/>
      <c r="BQ911" s="44"/>
      <c r="BS911" s="49"/>
      <c r="BT911" s="49"/>
      <c r="BU911" s="49"/>
      <c r="BV911" s="49"/>
      <c r="BW911" s="18"/>
      <c r="BX911" s="19"/>
      <c r="BY911" s="49"/>
      <c r="CF911" s="49"/>
      <c r="CG911" s="49"/>
      <c r="CH911" s="49"/>
      <c r="CI911" s="49"/>
      <c r="CJ911" s="49"/>
      <c r="CK911" s="49"/>
    </row>
    <row r="912" spans="2:89" ht="12.75" customHeight="1" x14ac:dyDescent="0.2">
      <c r="B912" s="77"/>
      <c r="C912" s="79"/>
      <c r="D912" s="79"/>
      <c r="E912" s="79"/>
      <c r="F912" s="79"/>
      <c r="G912" s="79"/>
      <c r="H912" s="79"/>
      <c r="I912" s="79"/>
      <c r="J912" s="78"/>
      <c r="K912" s="79"/>
      <c r="L912" s="79"/>
      <c r="M912" s="79"/>
      <c r="N912" s="79"/>
      <c r="O912" s="79"/>
      <c r="P912" s="79"/>
      <c r="Q912" s="79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45"/>
      <c r="AK912" s="45"/>
      <c r="AL912" s="45"/>
      <c r="AM912" s="45"/>
      <c r="AN912" s="45"/>
      <c r="AO912" s="45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  <c r="BA912" s="80"/>
      <c r="BB912" s="80"/>
      <c r="BC912" s="80"/>
      <c r="BD912" s="80"/>
      <c r="BE912" s="80"/>
      <c r="BF912" s="80"/>
      <c r="BG912" s="80"/>
      <c r="BH912" s="49"/>
      <c r="BI912" s="79"/>
      <c r="BJ912" s="79"/>
      <c r="BK912" s="44"/>
      <c r="BL912" s="79"/>
      <c r="BM912" s="49"/>
      <c r="BN912" s="44"/>
      <c r="BO912" s="49"/>
      <c r="BP912" s="49"/>
      <c r="BQ912" s="44"/>
      <c r="BS912" s="49"/>
      <c r="BT912" s="49"/>
      <c r="BU912" s="49"/>
      <c r="BV912" s="49"/>
      <c r="BW912" s="18"/>
      <c r="BX912" s="19"/>
      <c r="BY912" s="49"/>
      <c r="CF912" s="49"/>
      <c r="CG912" s="49"/>
      <c r="CH912" s="49"/>
      <c r="CI912" s="49"/>
      <c r="CJ912" s="49"/>
      <c r="CK912" s="49"/>
    </row>
    <row r="913" spans="2:89" ht="12.75" customHeight="1" x14ac:dyDescent="0.2">
      <c r="B913" s="77"/>
      <c r="C913" s="79"/>
      <c r="D913" s="79"/>
      <c r="E913" s="79"/>
      <c r="F913" s="79"/>
      <c r="G913" s="79"/>
      <c r="H913" s="79"/>
      <c r="I913" s="79"/>
      <c r="J913" s="78"/>
      <c r="K913" s="79"/>
      <c r="L913" s="79"/>
      <c r="M913" s="79"/>
      <c r="N913" s="79"/>
      <c r="O913" s="79"/>
      <c r="P913" s="79"/>
      <c r="Q913" s="79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45"/>
      <c r="AK913" s="45"/>
      <c r="AL913" s="45"/>
      <c r="AM913" s="45"/>
      <c r="AN913" s="45"/>
      <c r="AO913" s="45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  <c r="AZ913" s="80"/>
      <c r="BA913" s="80"/>
      <c r="BB913" s="80"/>
      <c r="BC913" s="80"/>
      <c r="BD913" s="80"/>
      <c r="BE913" s="80"/>
      <c r="BF913" s="80"/>
      <c r="BG913" s="80"/>
      <c r="BH913" s="49"/>
      <c r="BI913" s="79"/>
      <c r="BJ913" s="79"/>
      <c r="BK913" s="44"/>
      <c r="BL913" s="79"/>
      <c r="BM913" s="49"/>
      <c r="BN913" s="44"/>
      <c r="BO913" s="49"/>
      <c r="BP913" s="49"/>
      <c r="BQ913" s="44"/>
      <c r="BS913" s="49"/>
      <c r="BT913" s="49"/>
      <c r="BU913" s="49"/>
      <c r="BV913" s="49"/>
      <c r="BW913" s="18"/>
      <c r="BX913" s="19"/>
      <c r="BY913" s="49"/>
      <c r="CF913" s="49"/>
      <c r="CG913" s="49"/>
      <c r="CH913" s="49"/>
      <c r="CI913" s="49"/>
      <c r="CJ913" s="49"/>
      <c r="CK913" s="49"/>
    </row>
    <row r="914" spans="2:89" ht="12.75" customHeight="1" x14ac:dyDescent="0.2">
      <c r="B914" s="77"/>
      <c r="C914" s="79"/>
      <c r="D914" s="79"/>
      <c r="E914" s="79"/>
      <c r="F914" s="79"/>
      <c r="G914" s="79"/>
      <c r="H914" s="79"/>
      <c r="I914" s="79"/>
      <c r="J914" s="78"/>
      <c r="K914" s="79"/>
      <c r="L914" s="79"/>
      <c r="M914" s="79"/>
      <c r="N914" s="79"/>
      <c r="O914" s="79"/>
      <c r="P914" s="79"/>
      <c r="Q914" s="79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45"/>
      <c r="AK914" s="45"/>
      <c r="AL914" s="45"/>
      <c r="AM914" s="45"/>
      <c r="AN914" s="45"/>
      <c r="AO914" s="45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  <c r="BA914" s="80"/>
      <c r="BB914" s="80"/>
      <c r="BC914" s="80"/>
      <c r="BD914" s="80"/>
      <c r="BE914" s="80"/>
      <c r="BF914" s="80"/>
      <c r="BG914" s="80"/>
      <c r="BH914" s="49"/>
      <c r="BI914" s="79"/>
      <c r="BJ914" s="79"/>
      <c r="BK914" s="44"/>
      <c r="BL914" s="79"/>
      <c r="BM914" s="49"/>
      <c r="BN914" s="44"/>
      <c r="BO914" s="49"/>
      <c r="BP914" s="49"/>
      <c r="BQ914" s="44"/>
      <c r="BS914" s="49"/>
      <c r="BT914" s="49"/>
      <c r="BU914" s="49"/>
      <c r="BV914" s="49"/>
      <c r="BW914" s="18"/>
      <c r="BX914" s="19"/>
      <c r="BY914" s="49"/>
      <c r="CF914" s="49"/>
      <c r="CG914" s="49"/>
      <c r="CH914" s="49"/>
      <c r="CI914" s="49"/>
      <c r="CJ914" s="49"/>
      <c r="CK914" s="49"/>
    </row>
    <row r="915" spans="2:89" ht="12.75" customHeight="1" x14ac:dyDescent="0.2">
      <c r="B915" s="77"/>
      <c r="C915" s="79"/>
      <c r="D915" s="79"/>
      <c r="E915" s="79"/>
      <c r="F915" s="79"/>
      <c r="G915" s="79"/>
      <c r="H915" s="79"/>
      <c r="I915" s="79"/>
      <c r="J915" s="78"/>
      <c r="K915" s="79"/>
      <c r="L915" s="79"/>
      <c r="M915" s="79"/>
      <c r="N915" s="79"/>
      <c r="O915" s="79"/>
      <c r="P915" s="79"/>
      <c r="Q915" s="79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45"/>
      <c r="AK915" s="45"/>
      <c r="AL915" s="45"/>
      <c r="AM915" s="45"/>
      <c r="AN915" s="45"/>
      <c r="AO915" s="45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  <c r="BA915" s="80"/>
      <c r="BB915" s="80"/>
      <c r="BC915" s="80"/>
      <c r="BD915" s="80"/>
      <c r="BE915" s="80"/>
      <c r="BF915" s="80"/>
      <c r="BG915" s="80"/>
      <c r="BH915" s="49"/>
      <c r="BI915" s="79"/>
      <c r="BJ915" s="79"/>
      <c r="BK915" s="44"/>
      <c r="BL915" s="79"/>
      <c r="BM915" s="49"/>
      <c r="BN915" s="44"/>
      <c r="BO915" s="49"/>
      <c r="BP915" s="49"/>
      <c r="BQ915" s="44"/>
      <c r="BS915" s="49"/>
      <c r="BT915" s="49"/>
      <c r="BU915" s="49"/>
      <c r="BV915" s="49"/>
      <c r="BW915" s="18"/>
      <c r="BX915" s="19"/>
      <c r="BY915" s="49"/>
      <c r="CF915" s="49"/>
      <c r="CG915" s="49"/>
      <c r="CH915" s="49"/>
      <c r="CI915" s="49"/>
      <c r="CJ915" s="49"/>
      <c r="CK915" s="49"/>
    </row>
    <row r="916" spans="2:89" ht="12.75" customHeight="1" x14ac:dyDescent="0.2">
      <c r="B916" s="77"/>
      <c r="C916" s="79"/>
      <c r="D916" s="79"/>
      <c r="E916" s="79"/>
      <c r="F916" s="79"/>
      <c r="G916" s="79"/>
      <c r="H916" s="79"/>
      <c r="I916" s="79"/>
      <c r="J916" s="78"/>
      <c r="K916" s="79"/>
      <c r="L916" s="79"/>
      <c r="M916" s="79"/>
      <c r="N916" s="79"/>
      <c r="O916" s="79"/>
      <c r="P916" s="79"/>
      <c r="Q916" s="79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45"/>
      <c r="AK916" s="45"/>
      <c r="AL916" s="45"/>
      <c r="AM916" s="45"/>
      <c r="AN916" s="45"/>
      <c r="AO916" s="45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  <c r="AZ916" s="80"/>
      <c r="BA916" s="80"/>
      <c r="BB916" s="80"/>
      <c r="BC916" s="80"/>
      <c r="BD916" s="80"/>
      <c r="BE916" s="80"/>
      <c r="BF916" s="80"/>
      <c r="BG916" s="80"/>
      <c r="BH916" s="49"/>
      <c r="BI916" s="79"/>
      <c r="BJ916" s="79"/>
      <c r="BK916" s="44"/>
      <c r="BL916" s="79"/>
      <c r="BM916" s="49"/>
      <c r="BN916" s="44"/>
      <c r="BO916" s="49"/>
      <c r="BP916" s="49"/>
      <c r="BQ916" s="44"/>
      <c r="BS916" s="49"/>
      <c r="BT916" s="49"/>
      <c r="BU916" s="49"/>
      <c r="BV916" s="49"/>
      <c r="BW916" s="18"/>
      <c r="BX916" s="19"/>
      <c r="BY916" s="49"/>
      <c r="CF916" s="49"/>
      <c r="CG916" s="49"/>
      <c r="CH916" s="49"/>
      <c r="CI916" s="49"/>
      <c r="CJ916" s="49"/>
      <c r="CK916" s="49"/>
    </row>
    <row r="917" spans="2:89" ht="12.75" customHeight="1" x14ac:dyDescent="0.2">
      <c r="B917" s="77"/>
      <c r="C917" s="79"/>
      <c r="D917" s="79"/>
      <c r="E917" s="79"/>
      <c r="F917" s="79"/>
      <c r="G917" s="79"/>
      <c r="H917" s="79"/>
      <c r="I917" s="79"/>
      <c r="J917" s="78"/>
      <c r="K917" s="79"/>
      <c r="L917" s="79"/>
      <c r="M917" s="79"/>
      <c r="N917" s="79"/>
      <c r="O917" s="79"/>
      <c r="P917" s="79"/>
      <c r="Q917" s="79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45"/>
      <c r="AK917" s="45"/>
      <c r="AL917" s="45"/>
      <c r="AM917" s="45"/>
      <c r="AN917" s="45"/>
      <c r="AO917" s="45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  <c r="BA917" s="80"/>
      <c r="BB917" s="80"/>
      <c r="BC917" s="80"/>
      <c r="BD917" s="80"/>
      <c r="BE917" s="80"/>
      <c r="BF917" s="80"/>
      <c r="BG917" s="80"/>
      <c r="BH917" s="49"/>
      <c r="BI917" s="79"/>
      <c r="BJ917" s="79"/>
      <c r="BK917" s="44"/>
      <c r="BL917" s="79"/>
      <c r="BM917" s="49"/>
      <c r="BN917" s="44"/>
      <c r="BO917" s="49"/>
      <c r="BP917" s="49"/>
      <c r="BQ917" s="44"/>
      <c r="BS917" s="49"/>
      <c r="BT917" s="49"/>
      <c r="BU917" s="49"/>
      <c r="BV917" s="49"/>
      <c r="BW917" s="18"/>
      <c r="BX917" s="19"/>
      <c r="BY917" s="49"/>
      <c r="CF917" s="49"/>
      <c r="CG917" s="49"/>
      <c r="CH917" s="49"/>
      <c r="CI917" s="49"/>
      <c r="CJ917" s="49"/>
      <c r="CK917" s="49"/>
    </row>
    <row r="918" spans="2:89" ht="12.75" customHeight="1" x14ac:dyDescent="0.2">
      <c r="B918" s="77"/>
      <c r="C918" s="79"/>
      <c r="D918" s="79"/>
      <c r="E918" s="79"/>
      <c r="F918" s="79"/>
      <c r="G918" s="79"/>
      <c r="H918" s="79"/>
      <c r="I918" s="79"/>
      <c r="J918" s="78"/>
      <c r="K918" s="79"/>
      <c r="L918" s="79"/>
      <c r="M918" s="79"/>
      <c r="N918" s="79"/>
      <c r="O918" s="79"/>
      <c r="P918" s="79"/>
      <c r="Q918" s="79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45"/>
      <c r="AK918" s="45"/>
      <c r="AL918" s="45"/>
      <c r="AM918" s="45"/>
      <c r="AN918" s="45"/>
      <c r="AO918" s="45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  <c r="BA918" s="80"/>
      <c r="BB918" s="80"/>
      <c r="BC918" s="80"/>
      <c r="BD918" s="80"/>
      <c r="BE918" s="80"/>
      <c r="BF918" s="80"/>
      <c r="BG918" s="80"/>
      <c r="BH918" s="49"/>
      <c r="BI918" s="79"/>
      <c r="BJ918" s="79"/>
      <c r="BK918" s="44"/>
      <c r="BL918" s="79"/>
      <c r="BM918" s="49"/>
      <c r="BN918" s="44"/>
      <c r="BO918" s="49"/>
      <c r="BP918" s="49"/>
      <c r="BQ918" s="44"/>
      <c r="BS918" s="49"/>
      <c r="BT918" s="49"/>
      <c r="BU918" s="49"/>
      <c r="BV918" s="49"/>
      <c r="BW918" s="18"/>
      <c r="BX918" s="19"/>
      <c r="BY918" s="49"/>
      <c r="CF918" s="49"/>
      <c r="CG918" s="49"/>
      <c r="CH918" s="49"/>
      <c r="CI918" s="49"/>
      <c r="CJ918" s="49"/>
      <c r="CK918" s="49"/>
    </row>
    <row r="919" spans="2:89" ht="12.75" customHeight="1" x14ac:dyDescent="0.2">
      <c r="B919" s="77"/>
      <c r="C919" s="79"/>
      <c r="D919" s="79"/>
      <c r="E919" s="79"/>
      <c r="F919" s="79"/>
      <c r="G919" s="79"/>
      <c r="H919" s="79"/>
      <c r="I919" s="79"/>
      <c r="J919" s="78"/>
      <c r="K919" s="79"/>
      <c r="L919" s="79"/>
      <c r="M919" s="79"/>
      <c r="N919" s="79"/>
      <c r="O919" s="79"/>
      <c r="P919" s="79"/>
      <c r="Q919" s="79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45"/>
      <c r="AK919" s="45"/>
      <c r="AL919" s="45"/>
      <c r="AM919" s="45"/>
      <c r="AN919" s="45"/>
      <c r="AO919" s="45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  <c r="AZ919" s="80"/>
      <c r="BA919" s="80"/>
      <c r="BB919" s="80"/>
      <c r="BC919" s="80"/>
      <c r="BD919" s="80"/>
      <c r="BE919" s="80"/>
      <c r="BF919" s="80"/>
      <c r="BG919" s="80"/>
      <c r="BH919" s="49"/>
      <c r="BI919" s="79"/>
      <c r="BJ919" s="79"/>
      <c r="BK919" s="44"/>
      <c r="BL919" s="79"/>
      <c r="BM919" s="49"/>
      <c r="BN919" s="44"/>
      <c r="BO919" s="49"/>
      <c r="BP919" s="49"/>
      <c r="BQ919" s="44"/>
      <c r="BS919" s="49"/>
      <c r="BT919" s="49"/>
      <c r="BU919" s="49"/>
      <c r="BV919" s="49"/>
      <c r="BW919" s="18"/>
      <c r="BX919" s="19"/>
      <c r="BY919" s="49"/>
      <c r="CF919" s="49"/>
      <c r="CG919" s="49"/>
      <c r="CH919" s="49"/>
      <c r="CI919" s="49"/>
      <c r="CJ919" s="49"/>
      <c r="CK919" s="49"/>
    </row>
    <row r="920" spans="2:89" ht="12.75" customHeight="1" x14ac:dyDescent="0.2">
      <c r="B920" s="77"/>
      <c r="C920" s="79"/>
      <c r="D920" s="79"/>
      <c r="E920" s="79"/>
      <c r="F920" s="79"/>
      <c r="G920" s="79"/>
      <c r="H920" s="79"/>
      <c r="I920" s="79"/>
      <c r="J920" s="78"/>
      <c r="K920" s="79"/>
      <c r="L920" s="79"/>
      <c r="M920" s="79"/>
      <c r="N920" s="79"/>
      <c r="O920" s="79"/>
      <c r="P920" s="79"/>
      <c r="Q920" s="79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45"/>
      <c r="AK920" s="45"/>
      <c r="AL920" s="45"/>
      <c r="AM920" s="45"/>
      <c r="AN920" s="45"/>
      <c r="AO920" s="45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  <c r="AZ920" s="80"/>
      <c r="BA920" s="80"/>
      <c r="BB920" s="80"/>
      <c r="BC920" s="80"/>
      <c r="BD920" s="80"/>
      <c r="BE920" s="80"/>
      <c r="BF920" s="80"/>
      <c r="BG920" s="80"/>
      <c r="BH920" s="49"/>
      <c r="BI920" s="79"/>
      <c r="BJ920" s="79"/>
      <c r="BK920" s="44"/>
      <c r="BL920" s="79"/>
      <c r="BM920" s="49"/>
      <c r="BN920" s="44"/>
      <c r="BO920" s="49"/>
      <c r="BP920" s="49"/>
      <c r="BQ920" s="44"/>
      <c r="BS920" s="49"/>
      <c r="BT920" s="49"/>
      <c r="BU920" s="49"/>
      <c r="BV920" s="49"/>
      <c r="BW920" s="18"/>
      <c r="BX920" s="19"/>
      <c r="BY920" s="49"/>
      <c r="CF920" s="49"/>
      <c r="CG920" s="49"/>
      <c r="CH920" s="49"/>
      <c r="CI920" s="49"/>
      <c r="CJ920" s="49"/>
      <c r="CK920" s="49"/>
    </row>
    <row r="921" spans="2:89" ht="12.75" customHeight="1" x14ac:dyDescent="0.2">
      <c r="B921" s="77"/>
      <c r="C921" s="79"/>
      <c r="D921" s="79"/>
      <c r="E921" s="79"/>
      <c r="F921" s="79"/>
      <c r="G921" s="79"/>
      <c r="H921" s="79"/>
      <c r="I921" s="79"/>
      <c r="J921" s="78"/>
      <c r="K921" s="79"/>
      <c r="L921" s="79"/>
      <c r="M921" s="79"/>
      <c r="N921" s="79"/>
      <c r="O921" s="79"/>
      <c r="P921" s="79"/>
      <c r="Q921" s="79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45"/>
      <c r="AK921" s="45"/>
      <c r="AL921" s="45"/>
      <c r="AM921" s="45"/>
      <c r="AN921" s="45"/>
      <c r="AO921" s="45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  <c r="BA921" s="80"/>
      <c r="BB921" s="80"/>
      <c r="BC921" s="80"/>
      <c r="BD921" s="80"/>
      <c r="BE921" s="80"/>
      <c r="BF921" s="80"/>
      <c r="BG921" s="80"/>
      <c r="BH921" s="49"/>
      <c r="BI921" s="79"/>
      <c r="BJ921" s="79"/>
      <c r="BK921" s="44"/>
      <c r="BL921" s="79"/>
      <c r="BM921" s="49"/>
      <c r="BN921" s="44"/>
      <c r="BO921" s="49"/>
      <c r="BP921" s="49"/>
      <c r="BQ921" s="44"/>
      <c r="BS921" s="49"/>
      <c r="BT921" s="49"/>
      <c r="BU921" s="49"/>
      <c r="BV921" s="49"/>
      <c r="BW921" s="18"/>
      <c r="BX921" s="19"/>
      <c r="BY921" s="49"/>
      <c r="CF921" s="49"/>
      <c r="CG921" s="49"/>
      <c r="CH921" s="49"/>
      <c r="CI921" s="49"/>
      <c r="CJ921" s="49"/>
      <c r="CK921" s="49"/>
    </row>
    <row r="922" spans="2:89" ht="12.75" customHeight="1" x14ac:dyDescent="0.2">
      <c r="B922" s="77"/>
      <c r="C922" s="79"/>
      <c r="D922" s="79"/>
      <c r="E922" s="79"/>
      <c r="F922" s="79"/>
      <c r="G922" s="79"/>
      <c r="H922" s="79"/>
      <c r="I922" s="79"/>
      <c r="J922" s="78"/>
      <c r="K922" s="79"/>
      <c r="L922" s="79"/>
      <c r="M922" s="79"/>
      <c r="N922" s="79"/>
      <c r="O922" s="79"/>
      <c r="P922" s="79"/>
      <c r="Q922" s="79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45"/>
      <c r="AK922" s="45"/>
      <c r="AL922" s="45"/>
      <c r="AM922" s="45"/>
      <c r="AN922" s="45"/>
      <c r="AO922" s="45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  <c r="BA922" s="80"/>
      <c r="BB922" s="80"/>
      <c r="BC922" s="80"/>
      <c r="BD922" s="80"/>
      <c r="BE922" s="80"/>
      <c r="BF922" s="80"/>
      <c r="BG922" s="80"/>
      <c r="BH922" s="49"/>
      <c r="BI922" s="79"/>
      <c r="BJ922" s="79"/>
      <c r="BK922" s="44"/>
      <c r="BL922" s="79"/>
      <c r="BM922" s="49"/>
      <c r="BN922" s="44"/>
      <c r="BO922" s="49"/>
      <c r="BP922" s="49"/>
      <c r="BQ922" s="44"/>
      <c r="BS922" s="49"/>
      <c r="BT922" s="49"/>
      <c r="BU922" s="49"/>
      <c r="BV922" s="49"/>
      <c r="BW922" s="18"/>
      <c r="BX922" s="19"/>
      <c r="BY922" s="49"/>
      <c r="CF922" s="49"/>
      <c r="CG922" s="49"/>
      <c r="CH922" s="49"/>
      <c r="CI922" s="49"/>
      <c r="CJ922" s="49"/>
      <c r="CK922" s="49"/>
    </row>
    <row r="923" spans="2:89" ht="12.75" customHeight="1" x14ac:dyDescent="0.2">
      <c r="B923" s="77"/>
      <c r="C923" s="79"/>
      <c r="D923" s="79"/>
      <c r="E923" s="79"/>
      <c r="F923" s="79"/>
      <c r="G923" s="79"/>
      <c r="H923" s="79"/>
      <c r="I923" s="79"/>
      <c r="J923" s="78"/>
      <c r="K923" s="79"/>
      <c r="L923" s="79"/>
      <c r="M923" s="79"/>
      <c r="N923" s="79"/>
      <c r="O923" s="79"/>
      <c r="P923" s="79"/>
      <c r="Q923" s="79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45"/>
      <c r="AK923" s="45"/>
      <c r="AL923" s="45"/>
      <c r="AM923" s="45"/>
      <c r="AN923" s="45"/>
      <c r="AO923" s="45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80"/>
      <c r="BH923" s="49"/>
      <c r="BI923" s="79"/>
      <c r="BJ923" s="79"/>
      <c r="BK923" s="44"/>
      <c r="BL923" s="79"/>
      <c r="BM923" s="49"/>
      <c r="BN923" s="44"/>
      <c r="BO923" s="49"/>
      <c r="BP923" s="49"/>
      <c r="BQ923" s="44"/>
      <c r="BS923" s="49"/>
      <c r="BT923" s="49"/>
      <c r="BU923" s="49"/>
      <c r="BV923" s="49"/>
      <c r="BW923" s="18"/>
      <c r="BX923" s="19"/>
      <c r="BY923" s="49"/>
      <c r="CF923" s="49"/>
      <c r="CG923" s="49"/>
      <c r="CH923" s="49"/>
      <c r="CI923" s="49"/>
      <c r="CJ923" s="49"/>
      <c r="CK923" s="49"/>
    </row>
    <row r="924" spans="2:89" ht="12.75" customHeight="1" x14ac:dyDescent="0.2">
      <c r="B924" s="77"/>
      <c r="C924" s="79"/>
      <c r="D924" s="79"/>
      <c r="E924" s="79"/>
      <c r="F924" s="79"/>
      <c r="G924" s="79"/>
      <c r="H924" s="79"/>
      <c r="I924" s="79"/>
      <c r="J924" s="78"/>
      <c r="K924" s="79"/>
      <c r="L924" s="79"/>
      <c r="M924" s="79"/>
      <c r="N924" s="79"/>
      <c r="O924" s="79"/>
      <c r="P924" s="79"/>
      <c r="Q924" s="79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45"/>
      <c r="AK924" s="45"/>
      <c r="AL924" s="45"/>
      <c r="AM924" s="45"/>
      <c r="AN924" s="45"/>
      <c r="AO924" s="45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  <c r="BA924" s="80"/>
      <c r="BB924" s="80"/>
      <c r="BC924" s="80"/>
      <c r="BD924" s="80"/>
      <c r="BE924" s="80"/>
      <c r="BF924" s="80"/>
      <c r="BG924" s="80"/>
      <c r="BH924" s="49"/>
      <c r="BI924" s="79"/>
      <c r="BJ924" s="79"/>
      <c r="BK924" s="44"/>
      <c r="BL924" s="79"/>
      <c r="BM924" s="49"/>
      <c r="BN924" s="44"/>
      <c r="BO924" s="49"/>
      <c r="BP924" s="49"/>
      <c r="BQ924" s="44"/>
      <c r="BS924" s="49"/>
      <c r="BT924" s="49"/>
      <c r="BU924" s="49"/>
      <c r="BV924" s="49"/>
      <c r="BW924" s="18"/>
      <c r="BX924" s="19"/>
      <c r="BY924" s="49"/>
      <c r="CF924" s="49"/>
      <c r="CG924" s="49"/>
      <c r="CH924" s="49"/>
      <c r="CI924" s="49"/>
      <c r="CJ924" s="49"/>
      <c r="CK924" s="49"/>
    </row>
    <row r="925" spans="2:89" ht="12.75" customHeight="1" x14ac:dyDescent="0.2">
      <c r="B925" s="77"/>
      <c r="C925" s="79"/>
      <c r="D925" s="79"/>
      <c r="E925" s="79"/>
      <c r="F925" s="79"/>
      <c r="G925" s="79"/>
      <c r="H925" s="79"/>
      <c r="I925" s="79"/>
      <c r="J925" s="78"/>
      <c r="K925" s="79"/>
      <c r="L925" s="79"/>
      <c r="M925" s="79"/>
      <c r="N925" s="79"/>
      <c r="O925" s="79"/>
      <c r="P925" s="79"/>
      <c r="Q925" s="79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45"/>
      <c r="AK925" s="45"/>
      <c r="AL925" s="45"/>
      <c r="AM925" s="45"/>
      <c r="AN925" s="45"/>
      <c r="AO925" s="45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  <c r="BA925" s="80"/>
      <c r="BB925" s="80"/>
      <c r="BC925" s="80"/>
      <c r="BD925" s="80"/>
      <c r="BE925" s="80"/>
      <c r="BF925" s="80"/>
      <c r="BG925" s="80"/>
      <c r="BH925" s="49"/>
      <c r="BI925" s="79"/>
      <c r="BJ925" s="79"/>
      <c r="BK925" s="44"/>
      <c r="BL925" s="79"/>
      <c r="BM925" s="49"/>
      <c r="BN925" s="44"/>
      <c r="BO925" s="49"/>
      <c r="BP925" s="49"/>
      <c r="BQ925" s="44"/>
      <c r="BS925" s="49"/>
      <c r="BT925" s="49"/>
      <c r="BU925" s="49"/>
      <c r="BV925" s="49"/>
      <c r="BW925" s="18"/>
      <c r="BX925" s="19"/>
      <c r="BY925" s="49"/>
      <c r="CF925" s="49"/>
      <c r="CG925" s="49"/>
      <c r="CH925" s="49"/>
      <c r="CI925" s="49"/>
      <c r="CJ925" s="49"/>
      <c r="CK925" s="49"/>
    </row>
    <row r="926" spans="2:89" ht="12.75" customHeight="1" x14ac:dyDescent="0.2">
      <c r="B926" s="77"/>
      <c r="C926" s="79"/>
      <c r="D926" s="79"/>
      <c r="E926" s="79"/>
      <c r="F926" s="79"/>
      <c r="G926" s="79"/>
      <c r="H926" s="79"/>
      <c r="I926" s="79"/>
      <c r="J926" s="78"/>
      <c r="K926" s="79"/>
      <c r="L926" s="79"/>
      <c r="M926" s="79"/>
      <c r="N926" s="79"/>
      <c r="O926" s="79"/>
      <c r="P926" s="79"/>
      <c r="Q926" s="79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45"/>
      <c r="AK926" s="45"/>
      <c r="AL926" s="45"/>
      <c r="AM926" s="45"/>
      <c r="AN926" s="45"/>
      <c r="AO926" s="45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  <c r="AZ926" s="80"/>
      <c r="BA926" s="80"/>
      <c r="BB926" s="80"/>
      <c r="BC926" s="80"/>
      <c r="BD926" s="80"/>
      <c r="BE926" s="80"/>
      <c r="BF926" s="80"/>
      <c r="BG926" s="80"/>
      <c r="BH926" s="49"/>
      <c r="BI926" s="79"/>
      <c r="BJ926" s="79"/>
      <c r="BK926" s="44"/>
      <c r="BL926" s="79"/>
      <c r="BM926" s="49"/>
      <c r="BN926" s="44"/>
      <c r="BO926" s="49"/>
      <c r="BP926" s="49"/>
      <c r="BQ926" s="44"/>
      <c r="BS926" s="49"/>
      <c r="BT926" s="49"/>
      <c r="BU926" s="49"/>
      <c r="BV926" s="49"/>
      <c r="BW926" s="18"/>
      <c r="BX926" s="19"/>
      <c r="BY926" s="49"/>
      <c r="CF926" s="49"/>
      <c r="CG926" s="49"/>
      <c r="CH926" s="49"/>
      <c r="CI926" s="49"/>
      <c r="CJ926" s="49"/>
      <c r="CK926" s="49"/>
    </row>
    <row r="927" spans="2:89" ht="12.75" customHeight="1" x14ac:dyDescent="0.2">
      <c r="B927" s="77"/>
      <c r="C927" s="79"/>
      <c r="D927" s="79"/>
      <c r="E927" s="79"/>
      <c r="F927" s="79"/>
      <c r="G927" s="79"/>
      <c r="H927" s="79"/>
      <c r="I927" s="79"/>
      <c r="J927" s="78"/>
      <c r="K927" s="79"/>
      <c r="L927" s="79"/>
      <c r="M927" s="79"/>
      <c r="N927" s="79"/>
      <c r="O927" s="79"/>
      <c r="P927" s="79"/>
      <c r="Q927" s="79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45"/>
      <c r="AK927" s="45"/>
      <c r="AL927" s="45"/>
      <c r="AM927" s="45"/>
      <c r="AN927" s="45"/>
      <c r="AO927" s="45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  <c r="BA927" s="80"/>
      <c r="BB927" s="80"/>
      <c r="BC927" s="80"/>
      <c r="BD927" s="80"/>
      <c r="BE927" s="80"/>
      <c r="BF927" s="80"/>
      <c r="BG927" s="80"/>
      <c r="BH927" s="49"/>
      <c r="BI927" s="79"/>
      <c r="BJ927" s="79"/>
      <c r="BK927" s="44"/>
      <c r="BL927" s="79"/>
      <c r="BM927" s="49"/>
      <c r="BN927" s="44"/>
      <c r="BO927" s="49"/>
      <c r="BP927" s="49"/>
      <c r="BQ927" s="44"/>
      <c r="BS927" s="49"/>
      <c r="BT927" s="49"/>
      <c r="BU927" s="49"/>
      <c r="BV927" s="49"/>
      <c r="BW927" s="18"/>
      <c r="BX927" s="19"/>
      <c r="BY927" s="49"/>
      <c r="CF927" s="49"/>
      <c r="CG927" s="49"/>
      <c r="CH927" s="49"/>
      <c r="CI927" s="49"/>
      <c r="CJ927" s="49"/>
      <c r="CK927" s="49"/>
    </row>
    <row r="928" spans="2:89" ht="12.75" customHeight="1" x14ac:dyDescent="0.2">
      <c r="B928" s="77"/>
      <c r="C928" s="79"/>
      <c r="D928" s="79"/>
      <c r="E928" s="79"/>
      <c r="F928" s="79"/>
      <c r="G928" s="79"/>
      <c r="H928" s="79"/>
      <c r="I928" s="79"/>
      <c r="J928" s="78"/>
      <c r="K928" s="79"/>
      <c r="L928" s="79"/>
      <c r="M928" s="79"/>
      <c r="N928" s="79"/>
      <c r="O928" s="79"/>
      <c r="P928" s="79"/>
      <c r="Q928" s="79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45"/>
      <c r="AK928" s="45"/>
      <c r="AL928" s="45"/>
      <c r="AM928" s="45"/>
      <c r="AN928" s="45"/>
      <c r="AO928" s="45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  <c r="BA928" s="80"/>
      <c r="BB928" s="80"/>
      <c r="BC928" s="80"/>
      <c r="BD928" s="80"/>
      <c r="BE928" s="80"/>
      <c r="BF928" s="80"/>
      <c r="BG928" s="80"/>
      <c r="BH928" s="49"/>
      <c r="BI928" s="79"/>
      <c r="BJ928" s="79"/>
      <c r="BK928" s="44"/>
      <c r="BL928" s="79"/>
      <c r="BM928" s="49"/>
      <c r="BN928" s="44"/>
      <c r="BO928" s="49"/>
      <c r="BP928" s="49"/>
      <c r="BQ928" s="44"/>
      <c r="BS928" s="49"/>
      <c r="BT928" s="49"/>
      <c r="BU928" s="49"/>
      <c r="BV928" s="49"/>
      <c r="BW928" s="18"/>
      <c r="BX928" s="19"/>
      <c r="BY928" s="49"/>
      <c r="CF928" s="49"/>
      <c r="CG928" s="49"/>
      <c r="CH928" s="49"/>
      <c r="CI928" s="49"/>
      <c r="CJ928" s="49"/>
      <c r="CK928" s="49"/>
    </row>
    <row r="929" spans="2:89" ht="12.75" customHeight="1" x14ac:dyDescent="0.2">
      <c r="B929" s="77"/>
      <c r="C929" s="79"/>
      <c r="D929" s="79"/>
      <c r="E929" s="79"/>
      <c r="F929" s="79"/>
      <c r="G929" s="79"/>
      <c r="H929" s="79"/>
      <c r="I929" s="79"/>
      <c r="J929" s="78"/>
      <c r="K929" s="79"/>
      <c r="L929" s="79"/>
      <c r="M929" s="79"/>
      <c r="N929" s="79"/>
      <c r="O929" s="79"/>
      <c r="P929" s="79"/>
      <c r="Q929" s="79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45"/>
      <c r="AK929" s="45"/>
      <c r="AL929" s="45"/>
      <c r="AM929" s="45"/>
      <c r="AN929" s="45"/>
      <c r="AO929" s="45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  <c r="BA929" s="80"/>
      <c r="BB929" s="80"/>
      <c r="BC929" s="80"/>
      <c r="BD929" s="80"/>
      <c r="BE929" s="80"/>
      <c r="BF929" s="80"/>
      <c r="BG929" s="80"/>
      <c r="BH929" s="49"/>
      <c r="BI929" s="79"/>
      <c r="BJ929" s="79"/>
      <c r="BK929" s="44"/>
      <c r="BL929" s="79"/>
      <c r="BM929" s="49"/>
      <c r="BN929" s="44"/>
      <c r="BO929" s="49"/>
      <c r="BP929" s="49"/>
      <c r="BQ929" s="44"/>
      <c r="BS929" s="49"/>
      <c r="BT929" s="49"/>
      <c r="BU929" s="49"/>
      <c r="BV929" s="49"/>
      <c r="BW929" s="18"/>
      <c r="BX929" s="19"/>
      <c r="BY929" s="49"/>
      <c r="CF929" s="49"/>
      <c r="CG929" s="49"/>
      <c r="CH929" s="49"/>
      <c r="CI929" s="49"/>
      <c r="CJ929" s="49"/>
      <c r="CK929" s="49"/>
    </row>
    <row r="930" spans="2:89" ht="12.75" customHeight="1" x14ac:dyDescent="0.2">
      <c r="B930" s="77"/>
      <c r="C930" s="79"/>
      <c r="D930" s="79"/>
      <c r="E930" s="79"/>
      <c r="F930" s="79"/>
      <c r="G930" s="79"/>
      <c r="H930" s="79"/>
      <c r="I930" s="79"/>
      <c r="J930" s="78"/>
      <c r="K930" s="79"/>
      <c r="L930" s="79"/>
      <c r="M930" s="79"/>
      <c r="N930" s="79"/>
      <c r="O930" s="79"/>
      <c r="P930" s="79"/>
      <c r="Q930" s="79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45"/>
      <c r="AK930" s="45"/>
      <c r="AL930" s="45"/>
      <c r="AM930" s="45"/>
      <c r="AN930" s="45"/>
      <c r="AO930" s="45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  <c r="BA930" s="80"/>
      <c r="BB930" s="80"/>
      <c r="BC930" s="80"/>
      <c r="BD930" s="80"/>
      <c r="BE930" s="80"/>
      <c r="BF930" s="80"/>
      <c r="BG930" s="80"/>
      <c r="BH930" s="49"/>
      <c r="BI930" s="79"/>
      <c r="BJ930" s="79"/>
      <c r="BK930" s="44"/>
      <c r="BL930" s="79"/>
      <c r="BM930" s="49"/>
      <c r="BN930" s="44"/>
      <c r="BO930" s="49"/>
      <c r="BP930" s="49"/>
      <c r="BQ930" s="44"/>
      <c r="BS930" s="49"/>
      <c r="BT930" s="49"/>
      <c r="BU930" s="49"/>
      <c r="BV930" s="49"/>
      <c r="BW930" s="18"/>
      <c r="BX930" s="19"/>
      <c r="BY930" s="49"/>
      <c r="CF930" s="49"/>
      <c r="CG930" s="49"/>
      <c r="CH930" s="49"/>
      <c r="CI930" s="49"/>
      <c r="CJ930" s="49"/>
      <c r="CK930" s="49"/>
    </row>
    <row r="931" spans="2:89" ht="12.75" customHeight="1" x14ac:dyDescent="0.2">
      <c r="B931" s="77"/>
      <c r="C931" s="79"/>
      <c r="D931" s="79"/>
      <c r="E931" s="79"/>
      <c r="F931" s="79"/>
      <c r="G931" s="79"/>
      <c r="H931" s="79"/>
      <c r="I931" s="79"/>
      <c r="J931" s="78"/>
      <c r="K931" s="79"/>
      <c r="L931" s="79"/>
      <c r="M931" s="79"/>
      <c r="N931" s="79"/>
      <c r="O931" s="79"/>
      <c r="P931" s="79"/>
      <c r="Q931" s="79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45"/>
      <c r="AK931" s="45"/>
      <c r="AL931" s="45"/>
      <c r="AM931" s="45"/>
      <c r="AN931" s="45"/>
      <c r="AO931" s="45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  <c r="BA931" s="80"/>
      <c r="BB931" s="80"/>
      <c r="BC931" s="80"/>
      <c r="BD931" s="80"/>
      <c r="BE931" s="80"/>
      <c r="BF931" s="80"/>
      <c r="BG931" s="80"/>
      <c r="BH931" s="49"/>
      <c r="BI931" s="79"/>
      <c r="BJ931" s="79"/>
      <c r="BK931" s="44"/>
      <c r="BL931" s="79"/>
      <c r="BM931" s="49"/>
      <c r="BN931" s="44"/>
      <c r="BO931" s="49"/>
      <c r="BP931" s="49"/>
      <c r="BQ931" s="44"/>
      <c r="BS931" s="49"/>
      <c r="BT931" s="49"/>
      <c r="BU931" s="49"/>
      <c r="BV931" s="49"/>
      <c r="BW931" s="18"/>
      <c r="BX931" s="19"/>
      <c r="BY931" s="49"/>
      <c r="CF931" s="49"/>
      <c r="CG931" s="49"/>
      <c r="CH931" s="49"/>
      <c r="CI931" s="49"/>
      <c r="CJ931" s="49"/>
      <c r="CK931" s="49"/>
    </row>
    <row r="932" spans="2:89" ht="12.75" customHeight="1" x14ac:dyDescent="0.2">
      <c r="B932" s="77"/>
      <c r="C932" s="79"/>
      <c r="D932" s="79"/>
      <c r="E932" s="79"/>
      <c r="F932" s="79"/>
      <c r="G932" s="79"/>
      <c r="H932" s="79"/>
      <c r="I932" s="79"/>
      <c r="J932" s="78"/>
      <c r="K932" s="79"/>
      <c r="L932" s="79"/>
      <c r="M932" s="79"/>
      <c r="N932" s="79"/>
      <c r="O932" s="79"/>
      <c r="P932" s="79"/>
      <c r="Q932" s="79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45"/>
      <c r="AK932" s="45"/>
      <c r="AL932" s="45"/>
      <c r="AM932" s="45"/>
      <c r="AN932" s="45"/>
      <c r="AO932" s="45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  <c r="BA932" s="80"/>
      <c r="BB932" s="80"/>
      <c r="BC932" s="80"/>
      <c r="BD932" s="80"/>
      <c r="BE932" s="80"/>
      <c r="BF932" s="80"/>
      <c r="BG932" s="80"/>
      <c r="BH932" s="49"/>
      <c r="BI932" s="79"/>
      <c r="BJ932" s="79"/>
      <c r="BK932" s="44"/>
      <c r="BL932" s="79"/>
      <c r="BM932" s="49"/>
      <c r="BN932" s="44"/>
      <c r="BO932" s="49"/>
      <c r="BP932" s="49"/>
      <c r="BQ932" s="44"/>
      <c r="BS932" s="49"/>
      <c r="BT932" s="49"/>
      <c r="BU932" s="49"/>
      <c r="BV932" s="49"/>
      <c r="BW932" s="18"/>
      <c r="BX932" s="19"/>
      <c r="BY932" s="49"/>
      <c r="CF932" s="49"/>
      <c r="CG932" s="49"/>
      <c r="CH932" s="49"/>
      <c r="CI932" s="49"/>
      <c r="CJ932" s="49"/>
      <c r="CK932" s="49"/>
    </row>
    <row r="933" spans="2:89" ht="12.75" customHeight="1" x14ac:dyDescent="0.2">
      <c r="B933" s="77"/>
      <c r="C933" s="79"/>
      <c r="D933" s="79"/>
      <c r="E933" s="79"/>
      <c r="F933" s="79"/>
      <c r="G933" s="79"/>
      <c r="H933" s="79"/>
      <c r="I933" s="79"/>
      <c r="J933" s="78"/>
      <c r="K933" s="79"/>
      <c r="L933" s="79"/>
      <c r="M933" s="79"/>
      <c r="N933" s="79"/>
      <c r="O933" s="79"/>
      <c r="P933" s="79"/>
      <c r="Q933" s="79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45"/>
      <c r="AK933" s="45"/>
      <c r="AL933" s="45"/>
      <c r="AM933" s="45"/>
      <c r="AN933" s="45"/>
      <c r="AO933" s="45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  <c r="AZ933" s="80"/>
      <c r="BA933" s="80"/>
      <c r="BB933" s="80"/>
      <c r="BC933" s="80"/>
      <c r="BD933" s="80"/>
      <c r="BE933" s="80"/>
      <c r="BF933" s="80"/>
      <c r="BG933" s="80"/>
      <c r="BH933" s="49"/>
      <c r="BI933" s="79"/>
      <c r="BJ933" s="79"/>
      <c r="BK933" s="44"/>
      <c r="BL933" s="79"/>
      <c r="BM933" s="49"/>
      <c r="BN933" s="44"/>
      <c r="BO933" s="49"/>
      <c r="BP933" s="49"/>
      <c r="BQ933" s="44"/>
      <c r="BS933" s="49"/>
      <c r="BT933" s="49"/>
      <c r="BU933" s="49"/>
      <c r="BV933" s="49"/>
      <c r="BW933" s="18"/>
      <c r="BX933" s="19"/>
      <c r="BY933" s="49"/>
      <c r="CF933" s="49"/>
      <c r="CG933" s="49"/>
      <c r="CH933" s="49"/>
      <c r="CI933" s="49"/>
      <c r="CJ933" s="49"/>
      <c r="CK933" s="49"/>
    </row>
    <row r="934" spans="2:89" ht="12.75" customHeight="1" x14ac:dyDescent="0.2">
      <c r="B934" s="77"/>
      <c r="C934" s="79"/>
      <c r="D934" s="79"/>
      <c r="E934" s="79"/>
      <c r="F934" s="79"/>
      <c r="G934" s="79"/>
      <c r="H934" s="79"/>
      <c r="I934" s="79"/>
      <c r="J934" s="78"/>
      <c r="K934" s="79"/>
      <c r="L934" s="79"/>
      <c r="M934" s="79"/>
      <c r="N934" s="79"/>
      <c r="O934" s="79"/>
      <c r="P934" s="79"/>
      <c r="Q934" s="79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45"/>
      <c r="AK934" s="45"/>
      <c r="AL934" s="45"/>
      <c r="AM934" s="45"/>
      <c r="AN934" s="45"/>
      <c r="AO934" s="45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  <c r="BA934" s="80"/>
      <c r="BB934" s="80"/>
      <c r="BC934" s="80"/>
      <c r="BD934" s="80"/>
      <c r="BE934" s="80"/>
      <c r="BF934" s="80"/>
      <c r="BG934" s="80"/>
      <c r="BH934" s="49"/>
      <c r="BI934" s="79"/>
      <c r="BJ934" s="79"/>
      <c r="BK934" s="44"/>
      <c r="BL934" s="79"/>
      <c r="BM934" s="49"/>
      <c r="BN934" s="44"/>
      <c r="BO934" s="49"/>
      <c r="BP934" s="49"/>
      <c r="BQ934" s="44"/>
      <c r="BS934" s="49"/>
      <c r="BT934" s="49"/>
      <c r="BU934" s="49"/>
      <c r="BV934" s="49"/>
      <c r="BW934" s="18"/>
      <c r="BX934" s="19"/>
      <c r="BY934" s="49"/>
      <c r="CF934" s="49"/>
      <c r="CG934" s="49"/>
      <c r="CH934" s="49"/>
      <c r="CI934" s="49"/>
      <c r="CJ934" s="49"/>
      <c r="CK934" s="49"/>
    </row>
    <row r="935" spans="2:89" ht="12.75" customHeight="1" x14ac:dyDescent="0.2">
      <c r="B935" s="77"/>
      <c r="C935" s="79"/>
      <c r="D935" s="79"/>
      <c r="E935" s="79"/>
      <c r="F935" s="79"/>
      <c r="G935" s="79"/>
      <c r="H935" s="79"/>
      <c r="I935" s="79"/>
      <c r="J935" s="78"/>
      <c r="K935" s="79"/>
      <c r="L935" s="79"/>
      <c r="M935" s="79"/>
      <c r="N935" s="79"/>
      <c r="O935" s="79"/>
      <c r="P935" s="79"/>
      <c r="Q935" s="79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45"/>
      <c r="AK935" s="45"/>
      <c r="AL935" s="45"/>
      <c r="AM935" s="45"/>
      <c r="AN935" s="45"/>
      <c r="AO935" s="45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  <c r="AZ935" s="80"/>
      <c r="BA935" s="80"/>
      <c r="BB935" s="80"/>
      <c r="BC935" s="80"/>
      <c r="BD935" s="80"/>
      <c r="BE935" s="80"/>
      <c r="BF935" s="80"/>
      <c r="BG935" s="80"/>
      <c r="BH935" s="49"/>
      <c r="BI935" s="79"/>
      <c r="BJ935" s="79"/>
      <c r="BK935" s="44"/>
      <c r="BL935" s="79"/>
      <c r="BM935" s="49"/>
      <c r="BN935" s="44"/>
      <c r="BO935" s="49"/>
      <c r="BP935" s="49"/>
      <c r="BQ935" s="44"/>
      <c r="BS935" s="49"/>
      <c r="BT935" s="49"/>
      <c r="BU935" s="49"/>
      <c r="BV935" s="49"/>
      <c r="BW935" s="18"/>
      <c r="BX935" s="19"/>
      <c r="BY935" s="49"/>
      <c r="CF935" s="49"/>
      <c r="CG935" s="49"/>
      <c r="CH935" s="49"/>
      <c r="CI935" s="49"/>
      <c r="CJ935" s="49"/>
      <c r="CK935" s="49"/>
    </row>
    <row r="936" spans="2:89" ht="12.75" customHeight="1" x14ac:dyDescent="0.2">
      <c r="B936" s="77"/>
      <c r="C936" s="79"/>
      <c r="D936" s="79"/>
      <c r="E936" s="79"/>
      <c r="F936" s="79"/>
      <c r="G936" s="79"/>
      <c r="H936" s="79"/>
      <c r="I936" s="79"/>
      <c r="J936" s="78"/>
      <c r="K936" s="79"/>
      <c r="L936" s="79"/>
      <c r="M936" s="79"/>
      <c r="N936" s="79"/>
      <c r="O936" s="79"/>
      <c r="P936" s="79"/>
      <c r="Q936" s="79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45"/>
      <c r="AK936" s="45"/>
      <c r="AL936" s="45"/>
      <c r="AM936" s="45"/>
      <c r="AN936" s="45"/>
      <c r="AO936" s="45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  <c r="BA936" s="80"/>
      <c r="BB936" s="80"/>
      <c r="BC936" s="80"/>
      <c r="BD936" s="80"/>
      <c r="BE936" s="80"/>
      <c r="BF936" s="80"/>
      <c r="BG936" s="80"/>
      <c r="BH936" s="49"/>
      <c r="BI936" s="79"/>
      <c r="BJ936" s="79"/>
      <c r="BK936" s="44"/>
      <c r="BL936" s="79"/>
      <c r="BM936" s="49"/>
      <c r="BN936" s="44"/>
      <c r="BO936" s="49"/>
      <c r="BP936" s="49"/>
      <c r="BQ936" s="44"/>
      <c r="BS936" s="49"/>
      <c r="BT936" s="49"/>
      <c r="BU936" s="49"/>
      <c r="BV936" s="49"/>
      <c r="BW936" s="18"/>
      <c r="BX936" s="19"/>
      <c r="BY936" s="49"/>
      <c r="CF936" s="49"/>
      <c r="CG936" s="49"/>
      <c r="CH936" s="49"/>
      <c r="CI936" s="49"/>
      <c r="CJ936" s="49"/>
      <c r="CK936" s="49"/>
    </row>
    <row r="937" spans="2:89" ht="12.75" customHeight="1" x14ac:dyDescent="0.2">
      <c r="B937" s="77"/>
      <c r="C937" s="79"/>
      <c r="D937" s="79"/>
      <c r="E937" s="79"/>
      <c r="F937" s="79"/>
      <c r="G937" s="79"/>
      <c r="H937" s="79"/>
      <c r="I937" s="79"/>
      <c r="J937" s="78"/>
      <c r="K937" s="79"/>
      <c r="L937" s="79"/>
      <c r="M937" s="79"/>
      <c r="N937" s="79"/>
      <c r="O937" s="79"/>
      <c r="P937" s="79"/>
      <c r="Q937" s="79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45"/>
      <c r="AK937" s="45"/>
      <c r="AL937" s="45"/>
      <c r="AM937" s="45"/>
      <c r="AN937" s="45"/>
      <c r="AO937" s="45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  <c r="BA937" s="80"/>
      <c r="BB937" s="80"/>
      <c r="BC937" s="80"/>
      <c r="BD937" s="80"/>
      <c r="BE937" s="80"/>
      <c r="BF937" s="80"/>
      <c r="BG937" s="80"/>
      <c r="BH937" s="49"/>
      <c r="BI937" s="79"/>
      <c r="BJ937" s="79"/>
      <c r="BK937" s="44"/>
      <c r="BL937" s="79"/>
      <c r="BM937" s="49"/>
      <c r="BN937" s="44"/>
      <c r="BO937" s="49"/>
      <c r="BP937" s="49"/>
      <c r="BQ937" s="44"/>
      <c r="BS937" s="49"/>
      <c r="BT937" s="49"/>
      <c r="BU937" s="49"/>
      <c r="BV937" s="49"/>
      <c r="BW937" s="18"/>
      <c r="BX937" s="19"/>
      <c r="BY937" s="49"/>
      <c r="CF937" s="49"/>
      <c r="CG937" s="49"/>
      <c r="CH937" s="49"/>
      <c r="CI937" s="49"/>
      <c r="CJ937" s="49"/>
      <c r="CK937" s="49"/>
    </row>
    <row r="938" spans="2:89" ht="12.75" customHeight="1" x14ac:dyDescent="0.2">
      <c r="B938" s="77"/>
      <c r="C938" s="79"/>
      <c r="D938" s="79"/>
      <c r="E938" s="79"/>
      <c r="F938" s="79"/>
      <c r="G938" s="79"/>
      <c r="H938" s="79"/>
      <c r="I938" s="79"/>
      <c r="J938" s="78"/>
      <c r="K938" s="79"/>
      <c r="L938" s="79"/>
      <c r="M938" s="79"/>
      <c r="N938" s="79"/>
      <c r="O938" s="79"/>
      <c r="P938" s="79"/>
      <c r="Q938" s="79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45"/>
      <c r="AK938" s="45"/>
      <c r="AL938" s="45"/>
      <c r="AM938" s="45"/>
      <c r="AN938" s="45"/>
      <c r="AO938" s="45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  <c r="BA938" s="80"/>
      <c r="BB938" s="80"/>
      <c r="BC938" s="80"/>
      <c r="BD938" s="80"/>
      <c r="BE938" s="80"/>
      <c r="BF938" s="80"/>
      <c r="BG938" s="80"/>
      <c r="BH938" s="49"/>
      <c r="BI938" s="79"/>
      <c r="BJ938" s="79"/>
      <c r="BK938" s="44"/>
      <c r="BL938" s="79"/>
      <c r="BM938" s="49"/>
      <c r="BN938" s="44"/>
      <c r="BO938" s="49"/>
      <c r="BP938" s="49"/>
      <c r="BQ938" s="44"/>
      <c r="BS938" s="49"/>
      <c r="BT938" s="49"/>
      <c r="BU938" s="49"/>
      <c r="BV938" s="49"/>
      <c r="BW938" s="18"/>
      <c r="BX938" s="19"/>
      <c r="BY938" s="49"/>
      <c r="CF938" s="49"/>
      <c r="CG938" s="49"/>
      <c r="CH938" s="49"/>
      <c r="CI938" s="49"/>
      <c r="CJ938" s="49"/>
      <c r="CK938" s="49"/>
    </row>
    <row r="939" spans="2:89" ht="12.75" customHeight="1" x14ac:dyDescent="0.2">
      <c r="B939" s="77"/>
      <c r="C939" s="79"/>
      <c r="D939" s="79"/>
      <c r="E939" s="79"/>
      <c r="F939" s="79"/>
      <c r="G939" s="79"/>
      <c r="H939" s="79"/>
      <c r="I939" s="79"/>
      <c r="J939" s="78"/>
      <c r="K939" s="79"/>
      <c r="L939" s="79"/>
      <c r="M939" s="79"/>
      <c r="N939" s="79"/>
      <c r="O939" s="79"/>
      <c r="P939" s="79"/>
      <c r="Q939" s="79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45"/>
      <c r="AK939" s="45"/>
      <c r="AL939" s="45"/>
      <c r="AM939" s="45"/>
      <c r="AN939" s="45"/>
      <c r="AO939" s="45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  <c r="AZ939" s="80"/>
      <c r="BA939" s="80"/>
      <c r="BB939" s="80"/>
      <c r="BC939" s="80"/>
      <c r="BD939" s="80"/>
      <c r="BE939" s="80"/>
      <c r="BF939" s="80"/>
      <c r="BG939" s="80"/>
      <c r="BH939" s="49"/>
      <c r="BI939" s="79"/>
      <c r="BJ939" s="79"/>
      <c r="BK939" s="44"/>
      <c r="BL939" s="79"/>
      <c r="BM939" s="49"/>
      <c r="BN939" s="44"/>
      <c r="BO939" s="49"/>
      <c r="BP939" s="49"/>
      <c r="BQ939" s="44"/>
      <c r="BS939" s="49"/>
      <c r="BT939" s="49"/>
      <c r="BU939" s="49"/>
      <c r="BV939" s="49"/>
      <c r="BW939" s="18"/>
      <c r="BX939" s="19"/>
      <c r="BY939" s="49"/>
      <c r="CF939" s="49"/>
      <c r="CG939" s="49"/>
      <c r="CH939" s="49"/>
      <c r="CI939" s="49"/>
      <c r="CJ939" s="49"/>
      <c r="CK939" s="49"/>
    </row>
    <row r="940" spans="2:89" ht="12.75" customHeight="1" x14ac:dyDescent="0.2">
      <c r="B940" s="77"/>
      <c r="C940" s="79"/>
      <c r="D940" s="79"/>
      <c r="E940" s="79"/>
      <c r="F940" s="79"/>
      <c r="G940" s="79"/>
      <c r="H940" s="79"/>
      <c r="I940" s="79"/>
      <c r="J940" s="78"/>
      <c r="K940" s="79"/>
      <c r="L940" s="79"/>
      <c r="M940" s="79"/>
      <c r="N940" s="79"/>
      <c r="O940" s="79"/>
      <c r="P940" s="79"/>
      <c r="Q940" s="79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45"/>
      <c r="AK940" s="45"/>
      <c r="AL940" s="45"/>
      <c r="AM940" s="45"/>
      <c r="AN940" s="45"/>
      <c r="AO940" s="45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  <c r="AZ940" s="80"/>
      <c r="BA940" s="80"/>
      <c r="BB940" s="80"/>
      <c r="BC940" s="80"/>
      <c r="BD940" s="80"/>
      <c r="BE940" s="80"/>
      <c r="BF940" s="80"/>
      <c r="BG940" s="80"/>
      <c r="BH940" s="49"/>
      <c r="BI940" s="79"/>
      <c r="BJ940" s="79"/>
      <c r="BK940" s="44"/>
      <c r="BL940" s="79"/>
      <c r="BM940" s="49"/>
      <c r="BN940" s="44"/>
      <c r="BO940" s="49"/>
      <c r="BP940" s="49"/>
      <c r="BQ940" s="44"/>
      <c r="BS940" s="49"/>
      <c r="BT940" s="49"/>
      <c r="BU940" s="49"/>
      <c r="BV940" s="49"/>
      <c r="BW940" s="18"/>
      <c r="BX940" s="19"/>
      <c r="BY940" s="49"/>
      <c r="CF940" s="49"/>
      <c r="CG940" s="49"/>
      <c r="CH940" s="49"/>
      <c r="CI940" s="49"/>
      <c r="CJ940" s="49"/>
      <c r="CK940" s="49"/>
    </row>
    <row r="941" spans="2:89" ht="12.75" customHeight="1" x14ac:dyDescent="0.2">
      <c r="B941" s="77"/>
      <c r="C941" s="79"/>
      <c r="D941" s="79"/>
      <c r="E941" s="79"/>
      <c r="F941" s="79"/>
      <c r="G941" s="79"/>
      <c r="H941" s="79"/>
      <c r="I941" s="79"/>
      <c r="J941" s="78"/>
      <c r="K941" s="79"/>
      <c r="L941" s="79"/>
      <c r="M941" s="79"/>
      <c r="N941" s="79"/>
      <c r="O941" s="79"/>
      <c r="P941" s="79"/>
      <c r="Q941" s="79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45"/>
      <c r="AK941" s="45"/>
      <c r="AL941" s="45"/>
      <c r="AM941" s="45"/>
      <c r="AN941" s="45"/>
      <c r="AO941" s="45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  <c r="AZ941" s="80"/>
      <c r="BA941" s="80"/>
      <c r="BB941" s="80"/>
      <c r="BC941" s="80"/>
      <c r="BD941" s="80"/>
      <c r="BE941" s="80"/>
      <c r="BF941" s="80"/>
      <c r="BG941" s="80"/>
      <c r="BH941" s="49"/>
      <c r="BI941" s="79"/>
      <c r="BJ941" s="79"/>
      <c r="BK941" s="44"/>
      <c r="BL941" s="79"/>
      <c r="BM941" s="49"/>
      <c r="BN941" s="44"/>
      <c r="BO941" s="49"/>
      <c r="BP941" s="49"/>
      <c r="BQ941" s="44"/>
      <c r="BS941" s="49"/>
      <c r="BT941" s="49"/>
      <c r="BU941" s="49"/>
      <c r="BV941" s="49"/>
      <c r="BW941" s="18"/>
      <c r="BX941" s="19"/>
      <c r="BY941" s="49"/>
      <c r="CF941" s="49"/>
      <c r="CG941" s="49"/>
      <c r="CH941" s="49"/>
      <c r="CI941" s="49"/>
      <c r="CJ941" s="49"/>
      <c r="CK941" s="49"/>
    </row>
    <row r="942" spans="2:89" ht="12.75" customHeight="1" x14ac:dyDescent="0.2">
      <c r="B942" s="77"/>
      <c r="C942" s="79"/>
      <c r="D942" s="79"/>
      <c r="E942" s="79"/>
      <c r="F942" s="79"/>
      <c r="G942" s="79"/>
      <c r="H942" s="79"/>
      <c r="I942" s="79"/>
      <c r="J942" s="78"/>
      <c r="K942" s="79"/>
      <c r="L942" s="79"/>
      <c r="M942" s="79"/>
      <c r="N942" s="79"/>
      <c r="O942" s="79"/>
      <c r="P942" s="79"/>
      <c r="Q942" s="79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45"/>
      <c r="AK942" s="45"/>
      <c r="AL942" s="45"/>
      <c r="AM942" s="45"/>
      <c r="AN942" s="45"/>
      <c r="AO942" s="45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  <c r="AZ942" s="80"/>
      <c r="BA942" s="80"/>
      <c r="BB942" s="80"/>
      <c r="BC942" s="80"/>
      <c r="BD942" s="80"/>
      <c r="BE942" s="80"/>
      <c r="BF942" s="80"/>
      <c r="BG942" s="80"/>
      <c r="BH942" s="49"/>
      <c r="BI942" s="79"/>
      <c r="BJ942" s="79"/>
      <c r="BK942" s="44"/>
      <c r="BL942" s="79"/>
      <c r="BM942" s="49"/>
      <c r="BN942" s="44"/>
      <c r="BO942" s="49"/>
      <c r="BP942" s="49"/>
      <c r="BQ942" s="44"/>
      <c r="BS942" s="49"/>
      <c r="BT942" s="49"/>
      <c r="BU942" s="49"/>
      <c r="BV942" s="49"/>
      <c r="BW942" s="18"/>
      <c r="BX942" s="19"/>
      <c r="BY942" s="49"/>
      <c r="CF942" s="49"/>
      <c r="CG942" s="49"/>
      <c r="CH942" s="49"/>
      <c r="CI942" s="49"/>
      <c r="CJ942" s="49"/>
      <c r="CK942" s="49"/>
    </row>
    <row r="943" spans="2:89" ht="12.75" customHeight="1" x14ac:dyDescent="0.2">
      <c r="B943" s="77"/>
      <c r="C943" s="79"/>
      <c r="D943" s="79"/>
      <c r="E943" s="79"/>
      <c r="F943" s="79"/>
      <c r="G943" s="79"/>
      <c r="H943" s="79"/>
      <c r="I943" s="79"/>
      <c r="J943" s="78"/>
      <c r="K943" s="79"/>
      <c r="L943" s="79"/>
      <c r="M943" s="79"/>
      <c r="N943" s="79"/>
      <c r="O943" s="79"/>
      <c r="P943" s="79"/>
      <c r="Q943" s="79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45"/>
      <c r="AK943" s="45"/>
      <c r="AL943" s="45"/>
      <c r="AM943" s="45"/>
      <c r="AN943" s="45"/>
      <c r="AO943" s="45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  <c r="AZ943" s="80"/>
      <c r="BA943" s="80"/>
      <c r="BB943" s="80"/>
      <c r="BC943" s="80"/>
      <c r="BD943" s="80"/>
      <c r="BE943" s="80"/>
      <c r="BF943" s="80"/>
      <c r="BG943" s="80"/>
      <c r="BH943" s="49"/>
      <c r="BI943" s="79"/>
      <c r="BJ943" s="79"/>
      <c r="BK943" s="44"/>
      <c r="BL943" s="79"/>
      <c r="BM943" s="49"/>
      <c r="BN943" s="44"/>
      <c r="BO943" s="49"/>
      <c r="BP943" s="49"/>
      <c r="BQ943" s="44"/>
      <c r="BS943" s="49"/>
      <c r="BT943" s="49"/>
      <c r="BU943" s="49"/>
      <c r="BV943" s="49"/>
      <c r="BW943" s="18"/>
      <c r="BX943" s="19"/>
      <c r="BY943" s="49"/>
      <c r="CF943" s="49"/>
      <c r="CG943" s="49"/>
      <c r="CH943" s="49"/>
      <c r="CI943" s="49"/>
      <c r="CJ943" s="49"/>
      <c r="CK943" s="49"/>
    </row>
    <row r="944" spans="2:89" ht="12.75" customHeight="1" x14ac:dyDescent="0.2">
      <c r="B944" s="77"/>
      <c r="C944" s="79"/>
      <c r="D944" s="79"/>
      <c r="E944" s="79"/>
      <c r="F944" s="79"/>
      <c r="G944" s="79"/>
      <c r="H944" s="79"/>
      <c r="I944" s="79"/>
      <c r="J944" s="78"/>
      <c r="K944" s="79"/>
      <c r="L944" s="79"/>
      <c r="M944" s="79"/>
      <c r="N944" s="79"/>
      <c r="O944" s="79"/>
      <c r="P944" s="79"/>
      <c r="Q944" s="79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45"/>
      <c r="AK944" s="45"/>
      <c r="AL944" s="45"/>
      <c r="AM944" s="45"/>
      <c r="AN944" s="45"/>
      <c r="AO944" s="45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  <c r="BA944" s="80"/>
      <c r="BB944" s="80"/>
      <c r="BC944" s="80"/>
      <c r="BD944" s="80"/>
      <c r="BE944" s="80"/>
      <c r="BF944" s="80"/>
      <c r="BG944" s="80"/>
      <c r="BH944" s="49"/>
      <c r="BI944" s="79"/>
      <c r="BJ944" s="79"/>
      <c r="BK944" s="44"/>
      <c r="BL944" s="79"/>
      <c r="BM944" s="49"/>
      <c r="BN944" s="44"/>
      <c r="BO944" s="49"/>
      <c r="BP944" s="49"/>
      <c r="BQ944" s="44"/>
      <c r="BS944" s="49"/>
      <c r="BT944" s="49"/>
      <c r="BU944" s="49"/>
      <c r="BV944" s="49"/>
      <c r="BW944" s="18"/>
      <c r="BX944" s="19"/>
      <c r="BY944" s="49"/>
      <c r="CF944" s="49"/>
      <c r="CG944" s="49"/>
      <c r="CH944" s="49"/>
      <c r="CI944" s="49"/>
      <c r="CJ944" s="49"/>
      <c r="CK944" s="49"/>
    </row>
    <row r="945" spans="2:89" ht="12.75" customHeight="1" x14ac:dyDescent="0.2">
      <c r="B945" s="77"/>
      <c r="C945" s="79"/>
      <c r="D945" s="79"/>
      <c r="E945" s="79"/>
      <c r="F945" s="79"/>
      <c r="G945" s="79"/>
      <c r="H945" s="79"/>
      <c r="I945" s="79"/>
      <c r="J945" s="78"/>
      <c r="K945" s="79"/>
      <c r="L945" s="79"/>
      <c r="M945" s="79"/>
      <c r="N945" s="79"/>
      <c r="O945" s="79"/>
      <c r="P945" s="79"/>
      <c r="Q945" s="79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45"/>
      <c r="AK945" s="45"/>
      <c r="AL945" s="45"/>
      <c r="AM945" s="45"/>
      <c r="AN945" s="45"/>
      <c r="AO945" s="45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  <c r="AZ945" s="80"/>
      <c r="BA945" s="80"/>
      <c r="BB945" s="80"/>
      <c r="BC945" s="80"/>
      <c r="BD945" s="80"/>
      <c r="BE945" s="80"/>
      <c r="BF945" s="80"/>
      <c r="BG945" s="80"/>
      <c r="BH945" s="49"/>
      <c r="BI945" s="79"/>
      <c r="BJ945" s="79"/>
      <c r="BK945" s="44"/>
      <c r="BL945" s="79"/>
      <c r="BM945" s="49"/>
      <c r="BN945" s="44"/>
      <c r="BO945" s="49"/>
      <c r="BP945" s="49"/>
      <c r="BQ945" s="44"/>
      <c r="BS945" s="49"/>
      <c r="BT945" s="49"/>
      <c r="BU945" s="49"/>
      <c r="BV945" s="49"/>
      <c r="BW945" s="18"/>
      <c r="BX945" s="19"/>
      <c r="BY945" s="49"/>
      <c r="CF945" s="49"/>
      <c r="CG945" s="49"/>
      <c r="CH945" s="49"/>
      <c r="CI945" s="49"/>
      <c r="CJ945" s="49"/>
      <c r="CK945" s="49"/>
    </row>
    <row r="946" spans="2:89" ht="12.75" customHeight="1" x14ac:dyDescent="0.2">
      <c r="B946" s="77"/>
      <c r="C946" s="79"/>
      <c r="D946" s="79"/>
      <c r="E946" s="79"/>
      <c r="F946" s="79"/>
      <c r="G946" s="79"/>
      <c r="H946" s="79"/>
      <c r="I946" s="79"/>
      <c r="J946" s="78"/>
      <c r="K946" s="79"/>
      <c r="L946" s="79"/>
      <c r="M946" s="79"/>
      <c r="N946" s="79"/>
      <c r="O946" s="79"/>
      <c r="P946" s="79"/>
      <c r="Q946" s="79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45"/>
      <c r="AK946" s="45"/>
      <c r="AL946" s="45"/>
      <c r="AM946" s="45"/>
      <c r="AN946" s="45"/>
      <c r="AO946" s="45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  <c r="AZ946" s="80"/>
      <c r="BA946" s="80"/>
      <c r="BB946" s="80"/>
      <c r="BC946" s="80"/>
      <c r="BD946" s="80"/>
      <c r="BE946" s="80"/>
      <c r="BF946" s="80"/>
      <c r="BG946" s="80"/>
      <c r="BH946" s="49"/>
      <c r="BI946" s="79"/>
      <c r="BJ946" s="79"/>
      <c r="BK946" s="44"/>
      <c r="BL946" s="79"/>
      <c r="BM946" s="49"/>
      <c r="BN946" s="44"/>
      <c r="BO946" s="49"/>
      <c r="BP946" s="49"/>
      <c r="BQ946" s="44"/>
      <c r="BS946" s="49"/>
      <c r="BT946" s="49"/>
      <c r="BU946" s="49"/>
      <c r="BV946" s="49"/>
      <c r="BW946" s="18"/>
      <c r="BX946" s="19"/>
      <c r="BY946" s="49"/>
      <c r="CF946" s="49"/>
      <c r="CG946" s="49"/>
      <c r="CH946" s="49"/>
      <c r="CI946" s="49"/>
      <c r="CJ946" s="49"/>
      <c r="CK946" s="49"/>
    </row>
    <row r="947" spans="2:89" ht="12.75" customHeight="1" x14ac:dyDescent="0.2">
      <c r="B947" s="77"/>
      <c r="C947" s="79"/>
      <c r="D947" s="79"/>
      <c r="E947" s="79"/>
      <c r="F947" s="79"/>
      <c r="G947" s="79"/>
      <c r="H947" s="79"/>
      <c r="I947" s="79"/>
      <c r="J947" s="78"/>
      <c r="K947" s="79"/>
      <c r="L947" s="79"/>
      <c r="M947" s="79"/>
      <c r="N947" s="79"/>
      <c r="O947" s="79"/>
      <c r="P947" s="79"/>
      <c r="Q947" s="79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45"/>
      <c r="AK947" s="45"/>
      <c r="AL947" s="45"/>
      <c r="AM947" s="45"/>
      <c r="AN947" s="45"/>
      <c r="AO947" s="45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  <c r="BA947" s="80"/>
      <c r="BB947" s="80"/>
      <c r="BC947" s="80"/>
      <c r="BD947" s="80"/>
      <c r="BE947" s="80"/>
      <c r="BF947" s="80"/>
      <c r="BG947" s="80"/>
      <c r="BH947" s="49"/>
      <c r="BI947" s="79"/>
      <c r="BJ947" s="79"/>
      <c r="BK947" s="44"/>
      <c r="BL947" s="79"/>
      <c r="BM947" s="49"/>
      <c r="BN947" s="44"/>
      <c r="BO947" s="49"/>
      <c r="BP947" s="49"/>
      <c r="BQ947" s="44"/>
      <c r="BS947" s="49"/>
      <c r="BT947" s="49"/>
      <c r="BU947" s="49"/>
      <c r="BV947" s="49"/>
      <c r="BW947" s="18"/>
      <c r="BX947" s="19"/>
      <c r="BY947" s="49"/>
      <c r="CF947" s="49"/>
      <c r="CG947" s="49"/>
      <c r="CH947" s="49"/>
      <c r="CI947" s="49"/>
      <c r="CJ947" s="49"/>
      <c r="CK947" s="49"/>
    </row>
    <row r="948" spans="2:89" ht="12.75" customHeight="1" x14ac:dyDescent="0.2">
      <c r="B948" s="77"/>
      <c r="C948" s="79"/>
      <c r="D948" s="79"/>
      <c r="E948" s="79"/>
      <c r="F948" s="79"/>
      <c r="G948" s="79"/>
      <c r="H948" s="79"/>
      <c r="I948" s="79"/>
      <c r="J948" s="78"/>
      <c r="K948" s="79"/>
      <c r="L948" s="79"/>
      <c r="M948" s="79"/>
      <c r="N948" s="79"/>
      <c r="O948" s="79"/>
      <c r="P948" s="79"/>
      <c r="Q948" s="79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45"/>
      <c r="AK948" s="45"/>
      <c r="AL948" s="45"/>
      <c r="AM948" s="45"/>
      <c r="AN948" s="45"/>
      <c r="AO948" s="45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  <c r="BA948" s="80"/>
      <c r="BB948" s="80"/>
      <c r="BC948" s="80"/>
      <c r="BD948" s="80"/>
      <c r="BE948" s="80"/>
      <c r="BF948" s="80"/>
      <c r="BG948" s="80"/>
      <c r="BH948" s="49"/>
      <c r="BI948" s="79"/>
      <c r="BJ948" s="79"/>
      <c r="BK948" s="44"/>
      <c r="BL948" s="79"/>
      <c r="BM948" s="49"/>
      <c r="BN948" s="44"/>
      <c r="BO948" s="49"/>
      <c r="BP948" s="49"/>
      <c r="BQ948" s="44"/>
      <c r="BS948" s="49"/>
      <c r="BT948" s="49"/>
      <c r="BU948" s="49"/>
      <c r="BV948" s="49"/>
      <c r="BW948" s="18"/>
      <c r="BX948" s="19"/>
      <c r="BY948" s="49"/>
      <c r="CF948" s="49"/>
      <c r="CG948" s="49"/>
      <c r="CH948" s="49"/>
      <c r="CI948" s="49"/>
      <c r="CJ948" s="49"/>
      <c r="CK948" s="49"/>
    </row>
    <row r="949" spans="2:89" ht="12.75" customHeight="1" x14ac:dyDescent="0.2">
      <c r="B949" s="77"/>
      <c r="C949" s="79"/>
      <c r="D949" s="79"/>
      <c r="E949" s="79"/>
      <c r="F949" s="79"/>
      <c r="G949" s="79"/>
      <c r="H949" s="79"/>
      <c r="I949" s="79"/>
      <c r="J949" s="78"/>
      <c r="K949" s="79"/>
      <c r="L949" s="79"/>
      <c r="M949" s="79"/>
      <c r="N949" s="79"/>
      <c r="O949" s="79"/>
      <c r="P949" s="79"/>
      <c r="Q949" s="79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45"/>
      <c r="AK949" s="45"/>
      <c r="AL949" s="45"/>
      <c r="AM949" s="45"/>
      <c r="AN949" s="45"/>
      <c r="AO949" s="45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  <c r="AZ949" s="80"/>
      <c r="BA949" s="80"/>
      <c r="BB949" s="80"/>
      <c r="BC949" s="80"/>
      <c r="BD949" s="80"/>
      <c r="BE949" s="80"/>
      <c r="BF949" s="80"/>
      <c r="BG949" s="80"/>
      <c r="BH949" s="49"/>
      <c r="BI949" s="79"/>
      <c r="BJ949" s="79"/>
      <c r="BK949" s="44"/>
      <c r="BL949" s="79"/>
      <c r="BM949" s="49"/>
      <c r="BN949" s="44"/>
      <c r="BO949" s="49"/>
      <c r="BP949" s="49"/>
      <c r="BQ949" s="44"/>
      <c r="BS949" s="49"/>
      <c r="BT949" s="49"/>
      <c r="BU949" s="49"/>
      <c r="BV949" s="49"/>
      <c r="BW949" s="18"/>
      <c r="BX949" s="19"/>
      <c r="BY949" s="49"/>
      <c r="CF949" s="49"/>
      <c r="CG949" s="49"/>
      <c r="CH949" s="49"/>
      <c r="CI949" s="49"/>
      <c r="CJ949" s="49"/>
      <c r="CK949" s="49"/>
    </row>
    <row r="950" spans="2:89" ht="12.75" customHeight="1" x14ac:dyDescent="0.2">
      <c r="B950" s="77"/>
      <c r="C950" s="79"/>
      <c r="D950" s="79"/>
      <c r="E950" s="79"/>
      <c r="F950" s="79"/>
      <c r="G950" s="79"/>
      <c r="H950" s="79"/>
      <c r="I950" s="79"/>
      <c r="J950" s="78"/>
      <c r="K950" s="79"/>
      <c r="L950" s="79"/>
      <c r="M950" s="79"/>
      <c r="N950" s="79"/>
      <c r="O950" s="79"/>
      <c r="P950" s="79"/>
      <c r="Q950" s="79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45"/>
      <c r="AK950" s="45"/>
      <c r="AL950" s="45"/>
      <c r="AM950" s="45"/>
      <c r="AN950" s="45"/>
      <c r="AO950" s="45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  <c r="AZ950" s="80"/>
      <c r="BA950" s="80"/>
      <c r="BB950" s="80"/>
      <c r="BC950" s="80"/>
      <c r="BD950" s="80"/>
      <c r="BE950" s="80"/>
      <c r="BF950" s="80"/>
      <c r="BG950" s="80"/>
      <c r="BH950" s="49"/>
      <c r="BI950" s="79"/>
      <c r="BJ950" s="79"/>
      <c r="BK950" s="44"/>
      <c r="BL950" s="79"/>
      <c r="BM950" s="49"/>
      <c r="BN950" s="44"/>
      <c r="BO950" s="49"/>
      <c r="BP950" s="49"/>
      <c r="BQ950" s="44"/>
      <c r="BS950" s="49"/>
      <c r="BT950" s="49"/>
      <c r="BU950" s="49"/>
      <c r="BV950" s="49"/>
      <c r="BW950" s="18"/>
      <c r="BX950" s="19"/>
      <c r="BY950" s="49"/>
      <c r="CF950" s="49"/>
      <c r="CG950" s="49"/>
      <c r="CH950" s="49"/>
      <c r="CI950" s="49"/>
      <c r="CJ950" s="49"/>
      <c r="CK950" s="49"/>
    </row>
    <row r="951" spans="2:89" ht="12.75" customHeight="1" x14ac:dyDescent="0.2">
      <c r="B951" s="77"/>
      <c r="C951" s="79"/>
      <c r="D951" s="79"/>
      <c r="E951" s="79"/>
      <c r="F951" s="79"/>
      <c r="G951" s="79"/>
      <c r="H951" s="79"/>
      <c r="I951" s="79"/>
      <c r="J951" s="78"/>
      <c r="K951" s="79"/>
      <c r="L951" s="79"/>
      <c r="M951" s="79"/>
      <c r="N951" s="79"/>
      <c r="O951" s="79"/>
      <c r="P951" s="79"/>
      <c r="Q951" s="79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45"/>
      <c r="AK951" s="45"/>
      <c r="AL951" s="45"/>
      <c r="AM951" s="45"/>
      <c r="AN951" s="45"/>
      <c r="AO951" s="45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  <c r="AZ951" s="80"/>
      <c r="BA951" s="80"/>
      <c r="BB951" s="80"/>
      <c r="BC951" s="80"/>
      <c r="BD951" s="80"/>
      <c r="BE951" s="80"/>
      <c r="BF951" s="80"/>
      <c r="BG951" s="80"/>
      <c r="BH951" s="49"/>
      <c r="BI951" s="79"/>
      <c r="BJ951" s="79"/>
      <c r="BK951" s="44"/>
      <c r="BL951" s="79"/>
      <c r="BM951" s="49"/>
      <c r="BN951" s="44"/>
      <c r="BO951" s="49"/>
      <c r="BP951" s="49"/>
      <c r="BQ951" s="44"/>
      <c r="BS951" s="49"/>
      <c r="BT951" s="49"/>
      <c r="BU951" s="49"/>
      <c r="BV951" s="49"/>
      <c r="BW951" s="18"/>
      <c r="BX951" s="19"/>
      <c r="BY951" s="49"/>
      <c r="CF951" s="49"/>
      <c r="CG951" s="49"/>
      <c r="CH951" s="49"/>
      <c r="CI951" s="49"/>
      <c r="CJ951" s="49"/>
      <c r="CK951" s="49"/>
    </row>
    <row r="952" spans="2:89" ht="12.75" customHeight="1" x14ac:dyDescent="0.2">
      <c r="B952" s="77"/>
      <c r="C952" s="79"/>
      <c r="D952" s="79"/>
      <c r="E952" s="79"/>
      <c r="F952" s="79"/>
      <c r="G952" s="79"/>
      <c r="H952" s="79"/>
      <c r="I952" s="79"/>
      <c r="J952" s="78"/>
      <c r="K952" s="79"/>
      <c r="L952" s="79"/>
      <c r="M952" s="79"/>
      <c r="N952" s="79"/>
      <c r="O952" s="79"/>
      <c r="P952" s="79"/>
      <c r="Q952" s="79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45"/>
      <c r="AK952" s="45"/>
      <c r="AL952" s="45"/>
      <c r="AM952" s="45"/>
      <c r="AN952" s="45"/>
      <c r="AO952" s="45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  <c r="AZ952" s="80"/>
      <c r="BA952" s="80"/>
      <c r="BB952" s="80"/>
      <c r="BC952" s="80"/>
      <c r="BD952" s="80"/>
      <c r="BE952" s="80"/>
      <c r="BF952" s="80"/>
      <c r="BG952" s="80"/>
      <c r="BH952" s="49"/>
      <c r="BI952" s="79"/>
      <c r="BJ952" s="79"/>
      <c r="BK952" s="44"/>
      <c r="BL952" s="79"/>
      <c r="BM952" s="49"/>
      <c r="BN952" s="44"/>
      <c r="BO952" s="49"/>
      <c r="BP952" s="49"/>
      <c r="BQ952" s="44"/>
      <c r="BS952" s="49"/>
      <c r="BT952" s="49"/>
      <c r="BU952" s="49"/>
      <c r="BV952" s="49"/>
      <c r="BW952" s="18"/>
      <c r="BX952" s="19"/>
      <c r="BY952" s="49"/>
      <c r="CF952" s="49"/>
      <c r="CG952" s="49"/>
      <c r="CH952" s="49"/>
      <c r="CI952" s="49"/>
      <c r="CJ952" s="49"/>
      <c r="CK952" s="49"/>
    </row>
    <row r="953" spans="2:89" ht="12.75" customHeight="1" x14ac:dyDescent="0.2">
      <c r="B953" s="77"/>
      <c r="C953" s="79"/>
      <c r="D953" s="79"/>
      <c r="E953" s="79"/>
      <c r="F953" s="79"/>
      <c r="G953" s="79"/>
      <c r="H953" s="79"/>
      <c r="I953" s="79"/>
      <c r="J953" s="78"/>
      <c r="K953" s="79"/>
      <c r="L953" s="79"/>
      <c r="M953" s="79"/>
      <c r="N953" s="79"/>
      <c r="O953" s="79"/>
      <c r="P953" s="79"/>
      <c r="Q953" s="79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45"/>
      <c r="AK953" s="45"/>
      <c r="AL953" s="45"/>
      <c r="AM953" s="45"/>
      <c r="AN953" s="45"/>
      <c r="AO953" s="45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  <c r="AZ953" s="80"/>
      <c r="BA953" s="80"/>
      <c r="BB953" s="80"/>
      <c r="BC953" s="80"/>
      <c r="BD953" s="80"/>
      <c r="BE953" s="80"/>
      <c r="BF953" s="80"/>
      <c r="BG953" s="80"/>
      <c r="BH953" s="49"/>
      <c r="BI953" s="79"/>
      <c r="BJ953" s="79"/>
      <c r="BK953" s="44"/>
      <c r="BL953" s="79"/>
      <c r="BM953" s="49"/>
      <c r="BN953" s="44"/>
      <c r="BO953" s="49"/>
      <c r="BP953" s="49"/>
      <c r="BQ953" s="44"/>
      <c r="BS953" s="49"/>
      <c r="BT953" s="49"/>
      <c r="BU953" s="49"/>
      <c r="BV953" s="49"/>
      <c r="BW953" s="18"/>
      <c r="BX953" s="19"/>
      <c r="BY953" s="49"/>
      <c r="CF953" s="49"/>
      <c r="CG953" s="49"/>
      <c r="CH953" s="49"/>
      <c r="CI953" s="49"/>
      <c r="CJ953" s="49"/>
      <c r="CK953" s="49"/>
    </row>
    <row r="954" spans="2:89" ht="12.75" customHeight="1" x14ac:dyDescent="0.2">
      <c r="B954" s="77"/>
      <c r="C954" s="79"/>
      <c r="D954" s="79"/>
      <c r="E954" s="79"/>
      <c r="F954" s="79"/>
      <c r="G954" s="79"/>
      <c r="H954" s="79"/>
      <c r="I954" s="79"/>
      <c r="J954" s="78"/>
      <c r="K954" s="79"/>
      <c r="L954" s="79"/>
      <c r="M954" s="79"/>
      <c r="N954" s="79"/>
      <c r="O954" s="79"/>
      <c r="P954" s="79"/>
      <c r="Q954" s="79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45"/>
      <c r="AK954" s="45"/>
      <c r="AL954" s="45"/>
      <c r="AM954" s="45"/>
      <c r="AN954" s="45"/>
      <c r="AO954" s="45"/>
      <c r="AP954" s="80"/>
      <c r="AQ954" s="80"/>
      <c r="AR954" s="80"/>
      <c r="AS954" s="80"/>
      <c r="AT954" s="80"/>
      <c r="AU954" s="80"/>
      <c r="AV954" s="80"/>
      <c r="AW954" s="80"/>
      <c r="AX954" s="80"/>
      <c r="AY954" s="80"/>
      <c r="AZ954" s="80"/>
      <c r="BA954" s="80"/>
      <c r="BB954" s="80"/>
      <c r="BC954" s="80"/>
      <c r="BD954" s="80"/>
      <c r="BE954" s="80"/>
      <c r="BF954" s="80"/>
      <c r="BG954" s="80"/>
      <c r="BH954" s="49"/>
      <c r="BI954" s="79"/>
      <c r="BJ954" s="79"/>
      <c r="BK954" s="44"/>
      <c r="BL954" s="79"/>
      <c r="BM954" s="49"/>
      <c r="BN954" s="44"/>
      <c r="BO954" s="49"/>
      <c r="BP954" s="49"/>
      <c r="BQ954" s="44"/>
      <c r="BS954" s="49"/>
      <c r="BT954" s="49"/>
      <c r="BU954" s="49"/>
      <c r="BV954" s="49"/>
      <c r="BW954" s="18"/>
      <c r="BX954" s="19"/>
      <c r="BY954" s="49"/>
      <c r="CF954" s="49"/>
      <c r="CG954" s="49"/>
      <c r="CH954" s="49"/>
      <c r="CI954" s="49"/>
      <c r="CJ954" s="49"/>
      <c r="CK954" s="49"/>
    </row>
    <row r="955" spans="2:89" ht="12.75" customHeight="1" x14ac:dyDescent="0.2">
      <c r="B955" s="77"/>
      <c r="C955" s="79"/>
      <c r="D955" s="79"/>
      <c r="E955" s="79"/>
      <c r="F955" s="79"/>
      <c r="G955" s="79"/>
      <c r="H955" s="79"/>
      <c r="I955" s="79"/>
      <c r="J955" s="78"/>
      <c r="K955" s="79"/>
      <c r="L955" s="79"/>
      <c r="M955" s="79"/>
      <c r="N955" s="79"/>
      <c r="O955" s="79"/>
      <c r="P955" s="79"/>
      <c r="Q955" s="79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45"/>
      <c r="AK955" s="45"/>
      <c r="AL955" s="45"/>
      <c r="AM955" s="45"/>
      <c r="AN955" s="45"/>
      <c r="AO955" s="45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  <c r="AZ955" s="80"/>
      <c r="BA955" s="80"/>
      <c r="BB955" s="80"/>
      <c r="BC955" s="80"/>
      <c r="BD955" s="80"/>
      <c r="BE955" s="80"/>
      <c r="BF955" s="80"/>
      <c r="BG955" s="80"/>
      <c r="BH955" s="49"/>
      <c r="BI955" s="79"/>
      <c r="BJ955" s="79"/>
      <c r="BK955" s="44"/>
      <c r="BL955" s="79"/>
      <c r="BM955" s="49"/>
      <c r="BN955" s="44"/>
      <c r="BO955" s="49"/>
      <c r="BP955" s="49"/>
      <c r="BQ955" s="44"/>
      <c r="BS955" s="49"/>
      <c r="BT955" s="49"/>
      <c r="BU955" s="49"/>
      <c r="BV955" s="49"/>
      <c r="BW955" s="18"/>
      <c r="BX955" s="19"/>
      <c r="BY955" s="49"/>
      <c r="CF955" s="49"/>
      <c r="CG955" s="49"/>
      <c r="CH955" s="49"/>
      <c r="CI955" s="49"/>
      <c r="CJ955" s="49"/>
      <c r="CK955" s="49"/>
    </row>
    <row r="956" spans="2:89" ht="12.75" customHeight="1" x14ac:dyDescent="0.2">
      <c r="B956" s="77"/>
      <c r="C956" s="79"/>
      <c r="D956" s="79"/>
      <c r="E956" s="79"/>
      <c r="F956" s="79"/>
      <c r="G956" s="79"/>
      <c r="H956" s="79"/>
      <c r="I956" s="79"/>
      <c r="J956" s="78"/>
      <c r="K956" s="79"/>
      <c r="L956" s="79"/>
      <c r="M956" s="79"/>
      <c r="N956" s="79"/>
      <c r="O956" s="79"/>
      <c r="P956" s="79"/>
      <c r="Q956" s="79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45"/>
      <c r="AK956" s="45"/>
      <c r="AL956" s="45"/>
      <c r="AM956" s="45"/>
      <c r="AN956" s="45"/>
      <c r="AO956" s="45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  <c r="AZ956" s="80"/>
      <c r="BA956" s="80"/>
      <c r="BB956" s="80"/>
      <c r="BC956" s="80"/>
      <c r="BD956" s="80"/>
      <c r="BE956" s="80"/>
      <c r="BF956" s="80"/>
      <c r="BG956" s="80"/>
      <c r="BH956" s="49"/>
      <c r="BI956" s="79"/>
      <c r="BJ956" s="79"/>
      <c r="BK956" s="44"/>
      <c r="BL956" s="79"/>
      <c r="BM956" s="49"/>
      <c r="BN956" s="44"/>
      <c r="BO956" s="49"/>
      <c r="BP956" s="49"/>
      <c r="BQ956" s="44"/>
      <c r="BS956" s="49"/>
      <c r="BT956" s="49"/>
      <c r="BU956" s="49"/>
      <c r="BV956" s="49"/>
      <c r="BW956" s="18"/>
      <c r="BX956" s="19"/>
      <c r="BY956" s="49"/>
      <c r="CF956" s="49"/>
      <c r="CG956" s="49"/>
      <c r="CH956" s="49"/>
      <c r="CI956" s="49"/>
      <c r="CJ956" s="49"/>
      <c r="CK956" s="49"/>
    </row>
    <row r="957" spans="2:89" ht="12.75" customHeight="1" x14ac:dyDescent="0.2">
      <c r="B957" s="77"/>
      <c r="C957" s="79"/>
      <c r="D957" s="79"/>
      <c r="E957" s="79"/>
      <c r="F957" s="79"/>
      <c r="G957" s="79"/>
      <c r="H957" s="79"/>
      <c r="I957" s="79"/>
      <c r="J957" s="78"/>
      <c r="K957" s="79"/>
      <c r="L957" s="79"/>
      <c r="M957" s="79"/>
      <c r="N957" s="79"/>
      <c r="O957" s="79"/>
      <c r="P957" s="79"/>
      <c r="Q957" s="79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45"/>
      <c r="AK957" s="45"/>
      <c r="AL957" s="45"/>
      <c r="AM957" s="45"/>
      <c r="AN957" s="45"/>
      <c r="AO957" s="45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  <c r="AZ957" s="80"/>
      <c r="BA957" s="80"/>
      <c r="BB957" s="80"/>
      <c r="BC957" s="80"/>
      <c r="BD957" s="80"/>
      <c r="BE957" s="80"/>
      <c r="BF957" s="80"/>
      <c r="BG957" s="80"/>
      <c r="BH957" s="49"/>
      <c r="BI957" s="79"/>
      <c r="BJ957" s="79"/>
      <c r="BK957" s="44"/>
      <c r="BL957" s="79"/>
      <c r="BM957" s="49"/>
      <c r="BN957" s="44"/>
      <c r="BO957" s="49"/>
      <c r="BP957" s="49"/>
      <c r="BQ957" s="44"/>
      <c r="BS957" s="49"/>
      <c r="BT957" s="49"/>
      <c r="BU957" s="49"/>
      <c r="BV957" s="49"/>
      <c r="BW957" s="18"/>
      <c r="BX957" s="19"/>
      <c r="BY957" s="49"/>
      <c r="CF957" s="49"/>
      <c r="CG957" s="49"/>
      <c r="CH957" s="49"/>
      <c r="CI957" s="49"/>
      <c r="CJ957" s="49"/>
      <c r="CK957" s="49"/>
    </row>
    <row r="958" spans="2:89" ht="12.75" customHeight="1" x14ac:dyDescent="0.2">
      <c r="B958" s="77"/>
      <c r="C958" s="79"/>
      <c r="D958" s="79"/>
      <c r="E958" s="79"/>
      <c r="F958" s="79"/>
      <c r="G958" s="79"/>
      <c r="H958" s="79"/>
      <c r="I958" s="79"/>
      <c r="J958" s="78"/>
      <c r="K958" s="79"/>
      <c r="L958" s="79"/>
      <c r="M958" s="79"/>
      <c r="N958" s="79"/>
      <c r="O958" s="79"/>
      <c r="P958" s="79"/>
      <c r="Q958" s="79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45"/>
      <c r="AK958" s="45"/>
      <c r="AL958" s="45"/>
      <c r="AM958" s="45"/>
      <c r="AN958" s="45"/>
      <c r="AO958" s="45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  <c r="AZ958" s="80"/>
      <c r="BA958" s="80"/>
      <c r="BB958" s="80"/>
      <c r="BC958" s="80"/>
      <c r="BD958" s="80"/>
      <c r="BE958" s="80"/>
      <c r="BF958" s="80"/>
      <c r="BG958" s="80"/>
      <c r="BH958" s="49"/>
      <c r="BI958" s="79"/>
      <c r="BJ958" s="79"/>
      <c r="BK958" s="44"/>
      <c r="BL958" s="79"/>
      <c r="BM958" s="49"/>
      <c r="BN958" s="44"/>
      <c r="BO958" s="49"/>
      <c r="BP958" s="49"/>
      <c r="BQ958" s="44"/>
      <c r="BS958" s="49"/>
      <c r="BT958" s="49"/>
      <c r="BU958" s="49"/>
      <c r="BV958" s="49"/>
      <c r="BW958" s="18"/>
      <c r="BX958" s="19"/>
      <c r="BY958" s="49"/>
      <c r="CF958" s="49"/>
      <c r="CG958" s="49"/>
      <c r="CH958" s="49"/>
      <c r="CI958" s="49"/>
      <c r="CJ958" s="49"/>
      <c r="CK958" s="49"/>
    </row>
    <row r="959" spans="2:89" ht="12.75" customHeight="1" x14ac:dyDescent="0.2">
      <c r="B959" s="77"/>
      <c r="C959" s="79"/>
      <c r="D959" s="79"/>
      <c r="E959" s="79"/>
      <c r="F959" s="79"/>
      <c r="G959" s="79"/>
      <c r="H959" s="79"/>
      <c r="I959" s="79"/>
      <c r="J959" s="78"/>
      <c r="K959" s="79"/>
      <c r="L959" s="79"/>
      <c r="M959" s="79"/>
      <c r="N959" s="79"/>
      <c r="O959" s="79"/>
      <c r="P959" s="79"/>
      <c r="Q959" s="79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45"/>
      <c r="AK959" s="45"/>
      <c r="AL959" s="45"/>
      <c r="AM959" s="45"/>
      <c r="AN959" s="45"/>
      <c r="AO959" s="45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  <c r="AZ959" s="80"/>
      <c r="BA959" s="80"/>
      <c r="BB959" s="80"/>
      <c r="BC959" s="80"/>
      <c r="BD959" s="80"/>
      <c r="BE959" s="80"/>
      <c r="BF959" s="80"/>
      <c r="BG959" s="80"/>
      <c r="BH959" s="49"/>
      <c r="BI959" s="79"/>
      <c r="BJ959" s="79"/>
      <c r="BK959" s="44"/>
      <c r="BL959" s="79"/>
      <c r="BM959" s="49"/>
      <c r="BN959" s="44"/>
      <c r="BO959" s="49"/>
      <c r="BP959" s="49"/>
      <c r="BQ959" s="44"/>
      <c r="BS959" s="49"/>
      <c r="BT959" s="49"/>
      <c r="BU959" s="49"/>
      <c r="BV959" s="49"/>
      <c r="BW959" s="18"/>
      <c r="BX959" s="19"/>
      <c r="BY959" s="49"/>
      <c r="CF959" s="49"/>
      <c r="CG959" s="49"/>
      <c r="CH959" s="49"/>
      <c r="CI959" s="49"/>
      <c r="CJ959" s="49"/>
      <c r="CK959" s="49"/>
    </row>
    <row r="960" spans="2:89" ht="12.75" customHeight="1" x14ac:dyDescent="0.2">
      <c r="B960" s="77"/>
      <c r="C960" s="79"/>
      <c r="D960" s="79"/>
      <c r="E960" s="79"/>
      <c r="F960" s="79"/>
      <c r="G960" s="79"/>
      <c r="H960" s="79"/>
      <c r="I960" s="79"/>
      <c r="J960" s="78"/>
      <c r="K960" s="79"/>
      <c r="L960" s="79"/>
      <c r="M960" s="79"/>
      <c r="N960" s="79"/>
      <c r="O960" s="79"/>
      <c r="P960" s="79"/>
      <c r="Q960" s="79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45"/>
      <c r="AK960" s="45"/>
      <c r="AL960" s="45"/>
      <c r="AM960" s="45"/>
      <c r="AN960" s="45"/>
      <c r="AO960" s="45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  <c r="AZ960" s="80"/>
      <c r="BA960" s="80"/>
      <c r="BB960" s="80"/>
      <c r="BC960" s="80"/>
      <c r="BD960" s="80"/>
      <c r="BE960" s="80"/>
      <c r="BF960" s="80"/>
      <c r="BG960" s="80"/>
      <c r="BH960" s="49"/>
      <c r="BI960" s="79"/>
      <c r="BJ960" s="79"/>
      <c r="BK960" s="44"/>
      <c r="BL960" s="79"/>
      <c r="BM960" s="49"/>
      <c r="BN960" s="44"/>
      <c r="BO960" s="49"/>
      <c r="BP960" s="49"/>
      <c r="BQ960" s="44"/>
      <c r="BS960" s="49"/>
      <c r="BT960" s="49"/>
      <c r="BU960" s="49"/>
      <c r="BV960" s="49"/>
      <c r="BW960" s="18"/>
      <c r="BX960" s="19"/>
      <c r="BY960" s="49"/>
      <c r="CF960" s="49"/>
      <c r="CG960" s="49"/>
      <c r="CH960" s="49"/>
      <c r="CI960" s="49"/>
      <c r="CJ960" s="49"/>
      <c r="CK960" s="49"/>
    </row>
    <row r="961" spans="2:89" ht="12.75" customHeight="1" x14ac:dyDescent="0.2">
      <c r="B961" s="77"/>
      <c r="C961" s="79"/>
      <c r="D961" s="79"/>
      <c r="E961" s="79"/>
      <c r="F961" s="79"/>
      <c r="G961" s="79"/>
      <c r="H961" s="79"/>
      <c r="I961" s="79"/>
      <c r="J961" s="78"/>
      <c r="K961" s="79"/>
      <c r="L961" s="79"/>
      <c r="M961" s="79"/>
      <c r="N961" s="79"/>
      <c r="O961" s="79"/>
      <c r="P961" s="79"/>
      <c r="Q961" s="79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45"/>
      <c r="AK961" s="45"/>
      <c r="AL961" s="45"/>
      <c r="AM961" s="45"/>
      <c r="AN961" s="45"/>
      <c r="AO961" s="45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  <c r="AZ961" s="80"/>
      <c r="BA961" s="80"/>
      <c r="BB961" s="80"/>
      <c r="BC961" s="80"/>
      <c r="BD961" s="80"/>
      <c r="BE961" s="80"/>
      <c r="BF961" s="80"/>
      <c r="BG961" s="80"/>
      <c r="BH961" s="49"/>
      <c r="BI961" s="79"/>
      <c r="BJ961" s="79"/>
      <c r="BK961" s="44"/>
      <c r="BL961" s="79"/>
      <c r="BM961" s="49"/>
      <c r="BN961" s="44"/>
      <c r="BO961" s="49"/>
      <c r="BP961" s="49"/>
      <c r="BQ961" s="44"/>
      <c r="BS961" s="49"/>
      <c r="BT961" s="49"/>
      <c r="BU961" s="49"/>
      <c r="BV961" s="49"/>
      <c r="BW961" s="18"/>
      <c r="BX961" s="19"/>
      <c r="BY961" s="49"/>
      <c r="CF961" s="49"/>
      <c r="CG961" s="49"/>
      <c r="CH961" s="49"/>
      <c r="CI961" s="49"/>
      <c r="CJ961" s="49"/>
      <c r="CK961" s="49"/>
    </row>
    <row r="962" spans="2:89" ht="12.75" customHeight="1" x14ac:dyDescent="0.2">
      <c r="B962" s="77"/>
      <c r="C962" s="79"/>
      <c r="D962" s="79"/>
      <c r="E962" s="79"/>
      <c r="F962" s="79"/>
      <c r="G962" s="79"/>
      <c r="H962" s="79"/>
      <c r="I962" s="79"/>
      <c r="J962" s="78"/>
      <c r="K962" s="79"/>
      <c r="L962" s="79"/>
      <c r="M962" s="79"/>
      <c r="N962" s="79"/>
      <c r="O962" s="79"/>
      <c r="P962" s="79"/>
      <c r="Q962" s="79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45"/>
      <c r="AK962" s="45"/>
      <c r="AL962" s="45"/>
      <c r="AM962" s="45"/>
      <c r="AN962" s="45"/>
      <c r="AO962" s="45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  <c r="AZ962" s="80"/>
      <c r="BA962" s="80"/>
      <c r="BB962" s="80"/>
      <c r="BC962" s="80"/>
      <c r="BD962" s="80"/>
      <c r="BE962" s="80"/>
      <c r="BF962" s="80"/>
      <c r="BG962" s="80"/>
      <c r="BH962" s="49"/>
      <c r="BI962" s="79"/>
      <c r="BJ962" s="79"/>
      <c r="BK962" s="44"/>
      <c r="BL962" s="79"/>
      <c r="BM962" s="49"/>
      <c r="BN962" s="44"/>
      <c r="BO962" s="49"/>
      <c r="BP962" s="49"/>
      <c r="BQ962" s="44"/>
      <c r="BS962" s="49"/>
      <c r="BT962" s="49"/>
      <c r="BU962" s="49"/>
      <c r="BV962" s="49"/>
      <c r="BW962" s="18"/>
      <c r="BX962" s="19"/>
      <c r="BY962" s="49"/>
      <c r="CF962" s="49"/>
      <c r="CG962" s="49"/>
      <c r="CH962" s="49"/>
      <c r="CI962" s="49"/>
      <c r="CJ962" s="49"/>
      <c r="CK962" s="49"/>
    </row>
    <row r="963" spans="2:89" ht="12.75" customHeight="1" x14ac:dyDescent="0.2">
      <c r="B963" s="77"/>
      <c r="C963" s="79"/>
      <c r="D963" s="79"/>
      <c r="E963" s="79"/>
      <c r="F963" s="79"/>
      <c r="G963" s="79"/>
      <c r="H963" s="79"/>
      <c r="I963" s="79"/>
      <c r="J963" s="78"/>
      <c r="K963" s="79"/>
      <c r="L963" s="79"/>
      <c r="M963" s="79"/>
      <c r="N963" s="79"/>
      <c r="O963" s="79"/>
      <c r="P963" s="79"/>
      <c r="Q963" s="79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45"/>
      <c r="AK963" s="45"/>
      <c r="AL963" s="45"/>
      <c r="AM963" s="45"/>
      <c r="AN963" s="45"/>
      <c r="AO963" s="45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80"/>
      <c r="BH963" s="49"/>
      <c r="BI963" s="79"/>
      <c r="BJ963" s="79"/>
      <c r="BK963" s="44"/>
      <c r="BL963" s="79"/>
      <c r="BM963" s="49"/>
      <c r="BN963" s="44"/>
      <c r="BO963" s="49"/>
      <c r="BP963" s="49"/>
      <c r="BQ963" s="44"/>
      <c r="BS963" s="49"/>
      <c r="BT963" s="49"/>
      <c r="BU963" s="49"/>
      <c r="BV963" s="49"/>
      <c r="BW963" s="18"/>
      <c r="BX963" s="19"/>
      <c r="BY963" s="49"/>
      <c r="CF963" s="49"/>
      <c r="CG963" s="49"/>
      <c r="CH963" s="49"/>
      <c r="CI963" s="49"/>
      <c r="CJ963" s="49"/>
      <c r="CK963" s="49"/>
    </row>
    <row r="964" spans="2:89" ht="12.75" customHeight="1" x14ac:dyDescent="0.2">
      <c r="B964" s="77"/>
      <c r="C964" s="79"/>
      <c r="D964" s="79"/>
      <c r="E964" s="79"/>
      <c r="F964" s="79"/>
      <c r="G964" s="79"/>
      <c r="H964" s="79"/>
      <c r="I964" s="79"/>
      <c r="J964" s="78"/>
      <c r="K964" s="79"/>
      <c r="L964" s="79"/>
      <c r="M964" s="79"/>
      <c r="N964" s="79"/>
      <c r="O964" s="79"/>
      <c r="P964" s="79"/>
      <c r="Q964" s="79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45"/>
      <c r="AK964" s="45"/>
      <c r="AL964" s="45"/>
      <c r="AM964" s="45"/>
      <c r="AN964" s="45"/>
      <c r="AO964" s="45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  <c r="AZ964" s="80"/>
      <c r="BA964" s="80"/>
      <c r="BB964" s="80"/>
      <c r="BC964" s="80"/>
      <c r="BD964" s="80"/>
      <c r="BE964" s="80"/>
      <c r="BF964" s="80"/>
      <c r="BG964" s="80"/>
      <c r="BH964" s="49"/>
      <c r="BI964" s="79"/>
      <c r="BJ964" s="79"/>
      <c r="BK964" s="44"/>
      <c r="BL964" s="79"/>
      <c r="BM964" s="49"/>
      <c r="BN964" s="44"/>
      <c r="BO964" s="49"/>
      <c r="BP964" s="49"/>
      <c r="BQ964" s="44"/>
      <c r="BS964" s="49"/>
      <c r="BT964" s="49"/>
      <c r="BU964" s="49"/>
      <c r="BV964" s="49"/>
      <c r="BW964" s="18"/>
      <c r="BX964" s="19"/>
      <c r="BY964" s="49"/>
      <c r="CF964" s="49"/>
      <c r="CG964" s="49"/>
      <c r="CH964" s="49"/>
      <c r="CI964" s="49"/>
      <c r="CJ964" s="49"/>
      <c r="CK964" s="49"/>
    </row>
    <row r="965" spans="2:89" ht="12.75" customHeight="1" x14ac:dyDescent="0.2">
      <c r="B965" s="77"/>
      <c r="C965" s="79"/>
      <c r="D965" s="79"/>
      <c r="E965" s="79"/>
      <c r="F965" s="79"/>
      <c r="G965" s="79"/>
      <c r="H965" s="79"/>
      <c r="I965" s="79"/>
      <c r="J965" s="78"/>
      <c r="K965" s="79"/>
      <c r="L965" s="79"/>
      <c r="M965" s="79"/>
      <c r="N965" s="79"/>
      <c r="O965" s="79"/>
      <c r="P965" s="79"/>
      <c r="Q965" s="79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45"/>
      <c r="AK965" s="45"/>
      <c r="AL965" s="45"/>
      <c r="AM965" s="45"/>
      <c r="AN965" s="45"/>
      <c r="AO965" s="45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  <c r="AZ965" s="80"/>
      <c r="BA965" s="80"/>
      <c r="BB965" s="80"/>
      <c r="BC965" s="80"/>
      <c r="BD965" s="80"/>
      <c r="BE965" s="80"/>
      <c r="BF965" s="80"/>
      <c r="BG965" s="80"/>
      <c r="BH965" s="49"/>
      <c r="BI965" s="79"/>
      <c r="BJ965" s="79"/>
      <c r="BK965" s="44"/>
      <c r="BL965" s="79"/>
      <c r="BM965" s="49"/>
      <c r="BN965" s="44"/>
      <c r="BO965" s="49"/>
      <c r="BP965" s="49"/>
      <c r="BQ965" s="44"/>
      <c r="BS965" s="49"/>
      <c r="BT965" s="49"/>
      <c r="BU965" s="49"/>
      <c r="BV965" s="49"/>
      <c r="BW965" s="18"/>
      <c r="BX965" s="19"/>
      <c r="BY965" s="49"/>
      <c r="CF965" s="49"/>
      <c r="CG965" s="49"/>
      <c r="CH965" s="49"/>
      <c r="CI965" s="49"/>
      <c r="CJ965" s="49"/>
      <c r="CK965" s="49"/>
    </row>
    <row r="966" spans="2:89" ht="12.75" customHeight="1" x14ac:dyDescent="0.2">
      <c r="B966" s="77"/>
      <c r="C966" s="79"/>
      <c r="D966" s="79"/>
      <c r="E966" s="79"/>
      <c r="F966" s="79"/>
      <c r="G966" s="79"/>
      <c r="H966" s="79"/>
      <c r="I966" s="79"/>
      <c r="J966" s="78"/>
      <c r="K966" s="79"/>
      <c r="L966" s="79"/>
      <c r="M966" s="79"/>
      <c r="N966" s="79"/>
      <c r="O966" s="79"/>
      <c r="P966" s="79"/>
      <c r="Q966" s="79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45"/>
      <c r="AK966" s="45"/>
      <c r="AL966" s="45"/>
      <c r="AM966" s="45"/>
      <c r="AN966" s="45"/>
      <c r="AO966" s="45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  <c r="AZ966" s="80"/>
      <c r="BA966" s="80"/>
      <c r="BB966" s="80"/>
      <c r="BC966" s="80"/>
      <c r="BD966" s="80"/>
      <c r="BE966" s="80"/>
      <c r="BF966" s="80"/>
      <c r="BG966" s="80"/>
      <c r="BH966" s="49"/>
      <c r="BI966" s="79"/>
      <c r="BJ966" s="79"/>
      <c r="BK966" s="44"/>
      <c r="BL966" s="79"/>
      <c r="BM966" s="49"/>
      <c r="BN966" s="44"/>
      <c r="BO966" s="49"/>
      <c r="BP966" s="49"/>
      <c r="BQ966" s="44"/>
      <c r="BS966" s="49"/>
      <c r="BT966" s="49"/>
      <c r="BU966" s="49"/>
      <c r="BV966" s="49"/>
      <c r="BW966" s="18"/>
      <c r="BX966" s="19"/>
      <c r="BY966" s="49"/>
      <c r="CF966" s="49"/>
      <c r="CG966" s="49"/>
      <c r="CH966" s="49"/>
      <c r="CI966" s="49"/>
      <c r="CJ966" s="49"/>
      <c r="CK966" s="49"/>
    </row>
    <row r="967" spans="2:89" ht="12.75" customHeight="1" x14ac:dyDescent="0.2">
      <c r="B967" s="77"/>
      <c r="C967" s="79"/>
      <c r="D967" s="79"/>
      <c r="E967" s="79"/>
      <c r="F967" s="79"/>
      <c r="G967" s="79"/>
      <c r="H967" s="79"/>
      <c r="I967" s="79"/>
      <c r="J967" s="78"/>
      <c r="K967" s="79"/>
      <c r="L967" s="79"/>
      <c r="M967" s="79"/>
      <c r="N967" s="79"/>
      <c r="O967" s="79"/>
      <c r="P967" s="79"/>
      <c r="Q967" s="79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45"/>
      <c r="AK967" s="45"/>
      <c r="AL967" s="45"/>
      <c r="AM967" s="45"/>
      <c r="AN967" s="45"/>
      <c r="AO967" s="45"/>
      <c r="AP967" s="80"/>
      <c r="AQ967" s="80"/>
      <c r="AR967" s="80"/>
      <c r="AS967" s="80"/>
      <c r="AT967" s="80"/>
      <c r="AU967" s="80"/>
      <c r="AV967" s="80"/>
      <c r="AW967" s="80"/>
      <c r="AX967" s="80"/>
      <c r="AY967" s="80"/>
      <c r="AZ967" s="80"/>
      <c r="BA967" s="80"/>
      <c r="BB967" s="80"/>
      <c r="BC967" s="80"/>
      <c r="BD967" s="80"/>
      <c r="BE967" s="80"/>
      <c r="BF967" s="80"/>
      <c r="BG967" s="80"/>
      <c r="BH967" s="49"/>
      <c r="BI967" s="79"/>
      <c r="BJ967" s="79"/>
      <c r="BK967" s="44"/>
      <c r="BL967" s="79"/>
      <c r="BM967" s="49"/>
      <c r="BN967" s="44"/>
      <c r="BO967" s="49"/>
      <c r="BP967" s="49"/>
      <c r="BQ967" s="44"/>
      <c r="BS967" s="49"/>
      <c r="BT967" s="49"/>
      <c r="BU967" s="49"/>
      <c r="BV967" s="49"/>
      <c r="BW967" s="18"/>
      <c r="BX967" s="19"/>
      <c r="BY967" s="49"/>
      <c r="CF967" s="49"/>
      <c r="CG967" s="49"/>
      <c r="CH967" s="49"/>
      <c r="CI967" s="49"/>
      <c r="CJ967" s="49"/>
      <c r="CK967" s="49"/>
    </row>
    <row r="968" spans="2:89" ht="12.75" customHeight="1" x14ac:dyDescent="0.2">
      <c r="B968" s="77"/>
      <c r="C968" s="79"/>
      <c r="D968" s="79"/>
      <c r="E968" s="79"/>
      <c r="F968" s="79"/>
      <c r="G968" s="79"/>
      <c r="H968" s="79"/>
      <c r="I968" s="79"/>
      <c r="J968" s="78"/>
      <c r="K968" s="79"/>
      <c r="L968" s="79"/>
      <c r="M968" s="79"/>
      <c r="N968" s="79"/>
      <c r="O968" s="79"/>
      <c r="P968" s="79"/>
      <c r="Q968" s="79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45"/>
      <c r="AK968" s="45"/>
      <c r="AL968" s="45"/>
      <c r="AM968" s="45"/>
      <c r="AN968" s="45"/>
      <c r="AO968" s="45"/>
      <c r="AP968" s="80"/>
      <c r="AQ968" s="80"/>
      <c r="AR968" s="80"/>
      <c r="AS968" s="80"/>
      <c r="AT968" s="80"/>
      <c r="AU968" s="80"/>
      <c r="AV968" s="80"/>
      <c r="AW968" s="80"/>
      <c r="AX968" s="80"/>
      <c r="AY968" s="80"/>
      <c r="AZ968" s="80"/>
      <c r="BA968" s="80"/>
      <c r="BB968" s="80"/>
      <c r="BC968" s="80"/>
      <c r="BD968" s="80"/>
      <c r="BE968" s="80"/>
      <c r="BF968" s="80"/>
      <c r="BG968" s="80"/>
      <c r="BH968" s="49"/>
      <c r="BI968" s="79"/>
      <c r="BJ968" s="79"/>
      <c r="BK968" s="44"/>
      <c r="BL968" s="79"/>
      <c r="BM968" s="49"/>
      <c r="BN968" s="44"/>
      <c r="BO968" s="49"/>
      <c r="BP968" s="49"/>
      <c r="BQ968" s="44"/>
      <c r="BS968" s="49"/>
      <c r="BT968" s="49"/>
      <c r="BU968" s="49"/>
      <c r="BV968" s="49"/>
      <c r="BW968" s="18"/>
      <c r="BX968" s="19"/>
      <c r="BY968" s="49"/>
      <c r="CF968" s="49"/>
      <c r="CG968" s="49"/>
      <c r="CH968" s="49"/>
      <c r="CI968" s="49"/>
      <c r="CJ968" s="49"/>
      <c r="CK968" s="49"/>
    </row>
    <row r="969" spans="2:89" ht="12.75" customHeight="1" x14ac:dyDescent="0.2">
      <c r="B969" s="77"/>
      <c r="C969" s="79"/>
      <c r="D969" s="79"/>
      <c r="E969" s="79"/>
      <c r="F969" s="79"/>
      <c r="G969" s="79"/>
      <c r="H969" s="79"/>
      <c r="I969" s="79"/>
      <c r="J969" s="78"/>
      <c r="K969" s="79"/>
      <c r="L969" s="79"/>
      <c r="M969" s="79"/>
      <c r="N969" s="79"/>
      <c r="O969" s="79"/>
      <c r="P969" s="79"/>
      <c r="Q969" s="79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45"/>
      <c r="AK969" s="45"/>
      <c r="AL969" s="45"/>
      <c r="AM969" s="45"/>
      <c r="AN969" s="45"/>
      <c r="AO969" s="45"/>
      <c r="AP969" s="80"/>
      <c r="AQ969" s="80"/>
      <c r="AR969" s="80"/>
      <c r="AS969" s="80"/>
      <c r="AT969" s="80"/>
      <c r="AU969" s="80"/>
      <c r="AV969" s="80"/>
      <c r="AW969" s="80"/>
      <c r="AX969" s="80"/>
      <c r="AY969" s="80"/>
      <c r="AZ969" s="80"/>
      <c r="BA969" s="80"/>
      <c r="BB969" s="80"/>
      <c r="BC969" s="80"/>
      <c r="BD969" s="80"/>
      <c r="BE969" s="80"/>
      <c r="BF969" s="80"/>
      <c r="BG969" s="80"/>
      <c r="BH969" s="49"/>
      <c r="BI969" s="79"/>
      <c r="BJ969" s="79"/>
      <c r="BK969" s="44"/>
      <c r="BL969" s="79"/>
      <c r="BM969" s="49"/>
      <c r="BN969" s="44"/>
      <c r="BO969" s="49"/>
      <c r="BP969" s="49"/>
      <c r="BQ969" s="44"/>
      <c r="BS969" s="49"/>
      <c r="BT969" s="49"/>
      <c r="BU969" s="49"/>
      <c r="BV969" s="49"/>
      <c r="BW969" s="18"/>
      <c r="BX969" s="19"/>
      <c r="BY969" s="49"/>
      <c r="CF969" s="49"/>
      <c r="CG969" s="49"/>
      <c r="CH969" s="49"/>
      <c r="CI969" s="49"/>
      <c r="CJ969" s="49"/>
      <c r="CK969" s="49"/>
    </row>
    <row r="970" spans="2:89" ht="12.75" customHeight="1" x14ac:dyDescent="0.2">
      <c r="B970" s="77"/>
      <c r="C970" s="79"/>
      <c r="D970" s="79"/>
      <c r="E970" s="79"/>
      <c r="F970" s="79"/>
      <c r="G970" s="79"/>
      <c r="H970" s="79"/>
      <c r="I970" s="79"/>
      <c r="J970" s="78"/>
      <c r="K970" s="79"/>
      <c r="L970" s="79"/>
      <c r="M970" s="79"/>
      <c r="N970" s="79"/>
      <c r="O970" s="79"/>
      <c r="P970" s="79"/>
      <c r="Q970" s="79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45"/>
      <c r="AK970" s="45"/>
      <c r="AL970" s="45"/>
      <c r="AM970" s="45"/>
      <c r="AN970" s="45"/>
      <c r="AO970" s="45"/>
      <c r="AP970" s="80"/>
      <c r="AQ970" s="80"/>
      <c r="AR970" s="80"/>
      <c r="AS970" s="80"/>
      <c r="AT970" s="80"/>
      <c r="AU970" s="80"/>
      <c r="AV970" s="80"/>
      <c r="AW970" s="80"/>
      <c r="AX970" s="80"/>
      <c r="AY970" s="80"/>
      <c r="AZ970" s="80"/>
      <c r="BA970" s="80"/>
      <c r="BB970" s="80"/>
      <c r="BC970" s="80"/>
      <c r="BD970" s="80"/>
      <c r="BE970" s="80"/>
      <c r="BF970" s="80"/>
      <c r="BG970" s="80"/>
      <c r="BH970" s="49"/>
      <c r="BI970" s="79"/>
      <c r="BJ970" s="79"/>
      <c r="BK970" s="44"/>
      <c r="BL970" s="79"/>
      <c r="BM970" s="49"/>
      <c r="BN970" s="44"/>
      <c r="BO970" s="49"/>
      <c r="BP970" s="49"/>
      <c r="BQ970" s="44"/>
      <c r="BS970" s="49"/>
      <c r="BT970" s="49"/>
      <c r="BU970" s="49"/>
      <c r="BV970" s="49"/>
      <c r="BW970" s="18"/>
      <c r="BX970" s="19"/>
      <c r="BY970" s="49"/>
      <c r="CF970" s="49"/>
      <c r="CG970" s="49"/>
      <c r="CH970" s="49"/>
      <c r="CI970" s="49"/>
      <c r="CJ970" s="49"/>
      <c r="CK970" s="49"/>
    </row>
    <row r="971" spans="2:89" ht="12.75" customHeight="1" x14ac:dyDescent="0.2">
      <c r="B971" s="77"/>
      <c r="C971" s="79"/>
      <c r="D971" s="79"/>
      <c r="E971" s="79"/>
      <c r="F971" s="79"/>
      <c r="G971" s="79"/>
      <c r="H971" s="79"/>
      <c r="I971" s="79"/>
      <c r="J971" s="78"/>
      <c r="K971" s="79"/>
      <c r="L971" s="79"/>
      <c r="M971" s="79"/>
      <c r="N971" s="79"/>
      <c r="O971" s="79"/>
      <c r="P971" s="79"/>
      <c r="Q971" s="79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45"/>
      <c r="AK971" s="45"/>
      <c r="AL971" s="45"/>
      <c r="AM971" s="45"/>
      <c r="AN971" s="45"/>
      <c r="AO971" s="45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  <c r="AZ971" s="80"/>
      <c r="BA971" s="80"/>
      <c r="BB971" s="80"/>
      <c r="BC971" s="80"/>
      <c r="BD971" s="80"/>
      <c r="BE971" s="80"/>
      <c r="BF971" s="80"/>
      <c r="BG971" s="80"/>
      <c r="BH971" s="49"/>
      <c r="BI971" s="79"/>
      <c r="BJ971" s="79"/>
      <c r="BK971" s="44"/>
      <c r="BL971" s="79"/>
      <c r="BM971" s="49"/>
      <c r="BN971" s="44"/>
      <c r="BO971" s="49"/>
      <c r="BP971" s="49"/>
      <c r="BQ971" s="44"/>
      <c r="BS971" s="49"/>
      <c r="BT971" s="49"/>
      <c r="BU971" s="49"/>
      <c r="BV971" s="49"/>
      <c r="BW971" s="18"/>
      <c r="BX971" s="19"/>
      <c r="BY971" s="49"/>
      <c r="CF971" s="49"/>
      <c r="CG971" s="49"/>
      <c r="CH971" s="49"/>
      <c r="CI971" s="49"/>
      <c r="CJ971" s="49"/>
      <c r="CK971" s="49"/>
    </row>
    <row r="972" spans="2:89" ht="12.75" customHeight="1" x14ac:dyDescent="0.2">
      <c r="B972" s="77"/>
      <c r="C972" s="79"/>
      <c r="D972" s="79"/>
      <c r="E972" s="79"/>
      <c r="F972" s="79"/>
      <c r="G972" s="79"/>
      <c r="H972" s="79"/>
      <c r="I972" s="79"/>
      <c r="J972" s="78"/>
      <c r="K972" s="79"/>
      <c r="L972" s="79"/>
      <c r="M972" s="79"/>
      <c r="N972" s="79"/>
      <c r="O972" s="79"/>
      <c r="P972" s="79"/>
      <c r="Q972" s="79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45"/>
      <c r="AK972" s="45"/>
      <c r="AL972" s="45"/>
      <c r="AM972" s="45"/>
      <c r="AN972" s="45"/>
      <c r="AO972" s="45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  <c r="AZ972" s="80"/>
      <c r="BA972" s="80"/>
      <c r="BB972" s="80"/>
      <c r="BC972" s="80"/>
      <c r="BD972" s="80"/>
      <c r="BE972" s="80"/>
      <c r="BF972" s="80"/>
      <c r="BG972" s="80"/>
      <c r="BH972" s="49"/>
      <c r="BI972" s="79"/>
      <c r="BJ972" s="79"/>
      <c r="BK972" s="44"/>
      <c r="BL972" s="79"/>
      <c r="BM972" s="49"/>
      <c r="BN972" s="44"/>
      <c r="BO972" s="49"/>
      <c r="BP972" s="49"/>
      <c r="BQ972" s="44"/>
      <c r="BS972" s="49"/>
      <c r="BT972" s="49"/>
      <c r="BU972" s="49"/>
      <c r="BV972" s="49"/>
      <c r="BW972" s="18"/>
      <c r="BX972" s="19"/>
      <c r="BY972" s="49"/>
      <c r="CF972" s="49"/>
      <c r="CG972" s="49"/>
      <c r="CH972" s="49"/>
      <c r="CI972" s="49"/>
      <c r="CJ972" s="49"/>
      <c r="CK972" s="49"/>
    </row>
    <row r="973" spans="2:89" ht="12.75" customHeight="1" x14ac:dyDescent="0.2">
      <c r="B973" s="77"/>
      <c r="C973" s="79"/>
      <c r="D973" s="79"/>
      <c r="E973" s="79"/>
      <c r="F973" s="79"/>
      <c r="G973" s="79"/>
      <c r="H973" s="79"/>
      <c r="I973" s="79"/>
      <c r="J973" s="78"/>
      <c r="K973" s="79"/>
      <c r="L973" s="79"/>
      <c r="M973" s="79"/>
      <c r="N973" s="79"/>
      <c r="O973" s="79"/>
      <c r="P973" s="79"/>
      <c r="Q973" s="79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45"/>
      <c r="AK973" s="45"/>
      <c r="AL973" s="45"/>
      <c r="AM973" s="45"/>
      <c r="AN973" s="45"/>
      <c r="AO973" s="45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  <c r="AZ973" s="80"/>
      <c r="BA973" s="80"/>
      <c r="BB973" s="80"/>
      <c r="BC973" s="80"/>
      <c r="BD973" s="80"/>
      <c r="BE973" s="80"/>
      <c r="BF973" s="80"/>
      <c r="BG973" s="80"/>
      <c r="BH973" s="49"/>
      <c r="BI973" s="79"/>
      <c r="BJ973" s="79"/>
      <c r="BK973" s="44"/>
      <c r="BL973" s="79"/>
      <c r="BM973" s="49"/>
      <c r="BN973" s="44"/>
      <c r="BO973" s="49"/>
      <c r="BP973" s="49"/>
      <c r="BQ973" s="44"/>
      <c r="BS973" s="49"/>
      <c r="BT973" s="49"/>
      <c r="BU973" s="49"/>
      <c r="BV973" s="49"/>
      <c r="BW973" s="18"/>
      <c r="BX973" s="19"/>
      <c r="BY973" s="49"/>
      <c r="CF973" s="49"/>
      <c r="CG973" s="49"/>
      <c r="CH973" s="49"/>
      <c r="CI973" s="49"/>
      <c r="CJ973" s="49"/>
      <c r="CK973" s="49"/>
    </row>
    <row r="974" spans="2:89" ht="12.75" customHeight="1" x14ac:dyDescent="0.2">
      <c r="B974" s="77"/>
      <c r="C974" s="79"/>
      <c r="D974" s="79"/>
      <c r="E974" s="79"/>
      <c r="F974" s="79"/>
      <c r="G974" s="79"/>
      <c r="H974" s="79"/>
      <c r="I974" s="79"/>
      <c r="J974" s="78"/>
      <c r="K974" s="79"/>
      <c r="L974" s="79"/>
      <c r="M974" s="79"/>
      <c r="N974" s="79"/>
      <c r="O974" s="79"/>
      <c r="P974" s="79"/>
      <c r="Q974" s="79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45"/>
      <c r="AK974" s="45"/>
      <c r="AL974" s="45"/>
      <c r="AM974" s="45"/>
      <c r="AN974" s="45"/>
      <c r="AO974" s="45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  <c r="AZ974" s="80"/>
      <c r="BA974" s="80"/>
      <c r="BB974" s="80"/>
      <c r="BC974" s="80"/>
      <c r="BD974" s="80"/>
      <c r="BE974" s="80"/>
      <c r="BF974" s="80"/>
      <c r="BG974" s="80"/>
      <c r="BH974" s="49"/>
      <c r="BI974" s="79"/>
      <c r="BJ974" s="79"/>
      <c r="BK974" s="44"/>
      <c r="BL974" s="79"/>
      <c r="BM974" s="49"/>
      <c r="BN974" s="44"/>
      <c r="BO974" s="49"/>
      <c r="BP974" s="49"/>
      <c r="BQ974" s="44"/>
      <c r="BS974" s="49"/>
      <c r="BT974" s="49"/>
      <c r="BU974" s="49"/>
      <c r="BV974" s="49"/>
      <c r="BW974" s="18"/>
      <c r="BX974" s="19"/>
      <c r="BY974" s="49"/>
      <c r="CF974" s="49"/>
      <c r="CG974" s="49"/>
      <c r="CH974" s="49"/>
      <c r="CI974" s="49"/>
      <c r="CJ974" s="49"/>
      <c r="CK974" s="49"/>
    </row>
    <row r="975" spans="2:89" ht="12.75" customHeight="1" x14ac:dyDescent="0.2">
      <c r="B975" s="77"/>
      <c r="C975" s="79"/>
      <c r="D975" s="79"/>
      <c r="E975" s="79"/>
      <c r="F975" s="79"/>
      <c r="G975" s="79"/>
      <c r="H975" s="79"/>
      <c r="I975" s="79"/>
      <c r="J975" s="78"/>
      <c r="K975" s="79"/>
      <c r="L975" s="79"/>
      <c r="M975" s="79"/>
      <c r="N975" s="79"/>
      <c r="O975" s="79"/>
      <c r="P975" s="79"/>
      <c r="Q975" s="79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45"/>
      <c r="AK975" s="45"/>
      <c r="AL975" s="45"/>
      <c r="AM975" s="45"/>
      <c r="AN975" s="45"/>
      <c r="AO975" s="45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  <c r="AZ975" s="80"/>
      <c r="BA975" s="80"/>
      <c r="BB975" s="80"/>
      <c r="BC975" s="80"/>
      <c r="BD975" s="80"/>
      <c r="BE975" s="80"/>
      <c r="BF975" s="80"/>
      <c r="BG975" s="80"/>
      <c r="BH975" s="49"/>
      <c r="BI975" s="79"/>
      <c r="BJ975" s="79"/>
      <c r="BK975" s="44"/>
      <c r="BL975" s="79"/>
      <c r="BM975" s="49"/>
      <c r="BN975" s="44"/>
      <c r="BO975" s="49"/>
      <c r="BP975" s="49"/>
      <c r="BQ975" s="44"/>
      <c r="BS975" s="49"/>
      <c r="BT975" s="49"/>
      <c r="BU975" s="49"/>
      <c r="BV975" s="49"/>
      <c r="BW975" s="18"/>
      <c r="BX975" s="19"/>
      <c r="BY975" s="49"/>
      <c r="CF975" s="49"/>
      <c r="CG975" s="49"/>
      <c r="CH975" s="49"/>
      <c r="CI975" s="49"/>
      <c r="CJ975" s="49"/>
      <c r="CK975" s="49"/>
    </row>
    <row r="976" spans="2:89" ht="12.75" customHeight="1" x14ac:dyDescent="0.2">
      <c r="B976" s="77"/>
      <c r="C976" s="79"/>
      <c r="D976" s="79"/>
      <c r="E976" s="79"/>
      <c r="F976" s="79"/>
      <c r="G976" s="79"/>
      <c r="H976" s="79"/>
      <c r="I976" s="79"/>
      <c r="J976" s="78"/>
      <c r="K976" s="79"/>
      <c r="L976" s="79"/>
      <c r="M976" s="79"/>
      <c r="N976" s="79"/>
      <c r="O976" s="79"/>
      <c r="P976" s="79"/>
      <c r="Q976" s="79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45"/>
      <c r="AK976" s="45"/>
      <c r="AL976" s="45"/>
      <c r="AM976" s="45"/>
      <c r="AN976" s="45"/>
      <c r="AO976" s="45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  <c r="AZ976" s="80"/>
      <c r="BA976" s="80"/>
      <c r="BB976" s="80"/>
      <c r="BC976" s="80"/>
      <c r="BD976" s="80"/>
      <c r="BE976" s="80"/>
      <c r="BF976" s="80"/>
      <c r="BG976" s="80"/>
      <c r="BH976" s="49"/>
      <c r="BI976" s="79"/>
      <c r="BJ976" s="79"/>
      <c r="BK976" s="44"/>
      <c r="BL976" s="79"/>
      <c r="BM976" s="49"/>
      <c r="BN976" s="44"/>
      <c r="BO976" s="49"/>
      <c r="BP976" s="49"/>
      <c r="BQ976" s="44"/>
      <c r="BS976" s="49"/>
      <c r="BT976" s="49"/>
      <c r="BU976" s="49"/>
      <c r="BV976" s="49"/>
      <c r="BW976" s="18"/>
      <c r="BX976" s="19"/>
      <c r="BY976" s="49"/>
      <c r="CF976" s="49"/>
      <c r="CG976" s="49"/>
      <c r="CH976" s="49"/>
      <c r="CI976" s="49"/>
      <c r="CJ976" s="49"/>
      <c r="CK976" s="49"/>
    </row>
    <row r="977" spans="2:89" ht="12.75" customHeight="1" x14ac:dyDescent="0.2">
      <c r="B977" s="77"/>
      <c r="C977" s="79"/>
      <c r="D977" s="79"/>
      <c r="E977" s="79"/>
      <c r="F977" s="79"/>
      <c r="G977" s="79"/>
      <c r="H977" s="79"/>
      <c r="I977" s="79"/>
      <c r="J977" s="78"/>
      <c r="K977" s="79"/>
      <c r="L977" s="79"/>
      <c r="M977" s="79"/>
      <c r="N977" s="79"/>
      <c r="O977" s="79"/>
      <c r="P977" s="79"/>
      <c r="Q977" s="79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45"/>
      <c r="AK977" s="45"/>
      <c r="AL977" s="45"/>
      <c r="AM977" s="45"/>
      <c r="AN977" s="45"/>
      <c r="AO977" s="45"/>
      <c r="AP977" s="80"/>
      <c r="AQ977" s="80"/>
      <c r="AR977" s="80"/>
      <c r="AS977" s="80"/>
      <c r="AT977" s="80"/>
      <c r="AU977" s="80"/>
      <c r="AV977" s="80"/>
      <c r="AW977" s="80"/>
      <c r="AX977" s="80"/>
      <c r="AY977" s="80"/>
      <c r="AZ977" s="80"/>
      <c r="BA977" s="80"/>
      <c r="BB977" s="80"/>
      <c r="BC977" s="80"/>
      <c r="BD977" s="80"/>
      <c r="BE977" s="80"/>
      <c r="BF977" s="80"/>
      <c r="BG977" s="80"/>
      <c r="BH977" s="49"/>
      <c r="BI977" s="79"/>
      <c r="BJ977" s="79"/>
      <c r="BK977" s="44"/>
      <c r="BL977" s="79"/>
      <c r="BM977" s="49"/>
      <c r="BN977" s="44"/>
      <c r="BO977" s="49"/>
      <c r="BP977" s="49"/>
      <c r="BQ977" s="44"/>
      <c r="BS977" s="49"/>
      <c r="BT977" s="49"/>
      <c r="BU977" s="49"/>
      <c r="BV977" s="49"/>
      <c r="BW977" s="18"/>
      <c r="BX977" s="19"/>
      <c r="BY977" s="49"/>
      <c r="CF977" s="49"/>
      <c r="CG977" s="49"/>
      <c r="CH977" s="49"/>
      <c r="CI977" s="49"/>
      <c r="CJ977" s="49"/>
      <c r="CK977" s="49"/>
    </row>
    <row r="978" spans="2:89" ht="12.75" customHeight="1" x14ac:dyDescent="0.2">
      <c r="B978" s="77"/>
      <c r="C978" s="79"/>
      <c r="D978" s="79"/>
      <c r="E978" s="79"/>
      <c r="F978" s="79"/>
      <c r="G978" s="79"/>
      <c r="H978" s="79"/>
      <c r="I978" s="79"/>
      <c r="J978" s="78"/>
      <c r="K978" s="79"/>
      <c r="L978" s="79"/>
      <c r="M978" s="79"/>
      <c r="N978" s="79"/>
      <c r="O978" s="79"/>
      <c r="P978" s="79"/>
      <c r="Q978" s="79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45"/>
      <c r="AK978" s="45"/>
      <c r="AL978" s="45"/>
      <c r="AM978" s="45"/>
      <c r="AN978" s="45"/>
      <c r="AO978" s="45"/>
      <c r="AP978" s="80"/>
      <c r="AQ978" s="80"/>
      <c r="AR978" s="80"/>
      <c r="AS978" s="80"/>
      <c r="AT978" s="80"/>
      <c r="AU978" s="80"/>
      <c r="AV978" s="80"/>
      <c r="AW978" s="80"/>
      <c r="AX978" s="80"/>
      <c r="AY978" s="80"/>
      <c r="AZ978" s="80"/>
      <c r="BA978" s="80"/>
      <c r="BB978" s="80"/>
      <c r="BC978" s="80"/>
      <c r="BD978" s="80"/>
      <c r="BE978" s="80"/>
      <c r="BF978" s="80"/>
      <c r="BG978" s="80"/>
      <c r="BH978" s="49"/>
      <c r="BI978" s="79"/>
      <c r="BJ978" s="79"/>
      <c r="BK978" s="44"/>
      <c r="BL978" s="79"/>
      <c r="BM978" s="49"/>
      <c r="BN978" s="44"/>
      <c r="BO978" s="49"/>
      <c r="BP978" s="49"/>
      <c r="BQ978" s="44"/>
      <c r="BS978" s="49"/>
      <c r="BT978" s="49"/>
      <c r="BU978" s="49"/>
      <c r="BV978" s="49"/>
      <c r="BW978" s="18"/>
      <c r="BX978" s="19"/>
      <c r="BY978" s="49"/>
      <c r="CF978" s="49"/>
      <c r="CG978" s="49"/>
      <c r="CH978" s="49"/>
      <c r="CI978" s="49"/>
      <c r="CJ978" s="49"/>
      <c r="CK978" s="49"/>
    </row>
    <row r="979" spans="2:89" ht="12.75" customHeight="1" x14ac:dyDescent="0.2">
      <c r="B979" s="77"/>
      <c r="C979" s="79"/>
      <c r="D979" s="79"/>
      <c r="E979" s="79"/>
      <c r="F979" s="79"/>
      <c r="G979" s="79"/>
      <c r="H979" s="79"/>
      <c r="I979" s="79"/>
      <c r="J979" s="78"/>
      <c r="K979" s="79"/>
      <c r="L979" s="79"/>
      <c r="M979" s="79"/>
      <c r="N979" s="79"/>
      <c r="O979" s="79"/>
      <c r="P979" s="79"/>
      <c r="Q979" s="79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45"/>
      <c r="AK979" s="45"/>
      <c r="AL979" s="45"/>
      <c r="AM979" s="45"/>
      <c r="AN979" s="45"/>
      <c r="AO979" s="45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  <c r="AZ979" s="80"/>
      <c r="BA979" s="80"/>
      <c r="BB979" s="80"/>
      <c r="BC979" s="80"/>
      <c r="BD979" s="80"/>
      <c r="BE979" s="80"/>
      <c r="BF979" s="80"/>
      <c r="BG979" s="80"/>
      <c r="BH979" s="49"/>
      <c r="BI979" s="79"/>
      <c r="BJ979" s="79"/>
      <c r="BK979" s="44"/>
      <c r="BL979" s="79"/>
      <c r="BM979" s="49"/>
      <c r="BN979" s="44"/>
      <c r="BO979" s="49"/>
      <c r="BP979" s="49"/>
      <c r="BQ979" s="44"/>
      <c r="BS979" s="49"/>
      <c r="BT979" s="49"/>
      <c r="BU979" s="49"/>
      <c r="BV979" s="49"/>
      <c r="BW979" s="18"/>
      <c r="BX979" s="19"/>
      <c r="BY979" s="49"/>
      <c r="CF979" s="49"/>
      <c r="CG979" s="49"/>
      <c r="CH979" s="49"/>
      <c r="CI979" s="49"/>
      <c r="CJ979" s="49"/>
      <c r="CK979" s="49"/>
    </row>
    <row r="980" spans="2:89" ht="12.75" customHeight="1" x14ac:dyDescent="0.2">
      <c r="B980" s="77"/>
      <c r="C980" s="79"/>
      <c r="D980" s="79"/>
      <c r="E980" s="79"/>
      <c r="F980" s="79"/>
      <c r="G980" s="79"/>
      <c r="H980" s="79"/>
      <c r="I980" s="79"/>
      <c r="J980" s="78"/>
      <c r="K980" s="79"/>
      <c r="L980" s="79"/>
      <c r="M980" s="79"/>
      <c r="N980" s="79"/>
      <c r="O980" s="79"/>
      <c r="P980" s="79"/>
      <c r="Q980" s="79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45"/>
      <c r="AK980" s="45"/>
      <c r="AL980" s="45"/>
      <c r="AM980" s="45"/>
      <c r="AN980" s="45"/>
      <c r="AO980" s="45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  <c r="AZ980" s="80"/>
      <c r="BA980" s="80"/>
      <c r="BB980" s="80"/>
      <c r="BC980" s="80"/>
      <c r="BD980" s="80"/>
      <c r="BE980" s="80"/>
      <c r="BF980" s="80"/>
      <c r="BG980" s="80"/>
      <c r="BH980" s="49"/>
      <c r="BI980" s="79"/>
      <c r="BJ980" s="79"/>
      <c r="BK980" s="44"/>
      <c r="BL980" s="79"/>
      <c r="BM980" s="49"/>
      <c r="BN980" s="44"/>
      <c r="BO980" s="49"/>
      <c r="BP980" s="49"/>
      <c r="BQ980" s="44"/>
      <c r="BS980" s="49"/>
      <c r="BT980" s="49"/>
      <c r="BU980" s="49"/>
      <c r="BV980" s="49"/>
      <c r="BW980" s="18"/>
      <c r="BX980" s="19"/>
      <c r="BY980" s="49"/>
      <c r="CF980" s="49"/>
      <c r="CG980" s="49"/>
      <c r="CH980" s="49"/>
      <c r="CI980" s="49"/>
      <c r="CJ980" s="49"/>
      <c r="CK980" s="49"/>
    </row>
    <row r="981" spans="2:89" ht="12.75" customHeight="1" x14ac:dyDescent="0.2">
      <c r="B981" s="77"/>
      <c r="C981" s="79"/>
      <c r="D981" s="79"/>
      <c r="E981" s="79"/>
      <c r="F981" s="79"/>
      <c r="G981" s="79"/>
      <c r="H981" s="79"/>
      <c r="I981" s="79"/>
      <c r="J981" s="78"/>
      <c r="K981" s="79"/>
      <c r="L981" s="79"/>
      <c r="M981" s="79"/>
      <c r="N981" s="79"/>
      <c r="O981" s="79"/>
      <c r="P981" s="79"/>
      <c r="Q981" s="79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45"/>
      <c r="AK981" s="45"/>
      <c r="AL981" s="45"/>
      <c r="AM981" s="45"/>
      <c r="AN981" s="45"/>
      <c r="AO981" s="45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  <c r="AZ981" s="80"/>
      <c r="BA981" s="80"/>
      <c r="BB981" s="80"/>
      <c r="BC981" s="80"/>
      <c r="BD981" s="80"/>
      <c r="BE981" s="80"/>
      <c r="BF981" s="80"/>
      <c r="BG981" s="80"/>
      <c r="BH981" s="49"/>
      <c r="BI981" s="79"/>
      <c r="BJ981" s="79"/>
      <c r="BK981" s="44"/>
      <c r="BL981" s="79"/>
      <c r="BM981" s="49"/>
      <c r="BN981" s="44"/>
      <c r="BO981" s="49"/>
      <c r="BP981" s="49"/>
      <c r="BQ981" s="44"/>
      <c r="BS981" s="49"/>
      <c r="BT981" s="49"/>
      <c r="BU981" s="49"/>
      <c r="BV981" s="49"/>
      <c r="BW981" s="18"/>
      <c r="BX981" s="19"/>
      <c r="BY981" s="49"/>
      <c r="CF981" s="49"/>
      <c r="CG981" s="49"/>
      <c r="CH981" s="49"/>
      <c r="CI981" s="49"/>
      <c r="CJ981" s="49"/>
      <c r="CK981" s="49"/>
    </row>
    <row r="982" spans="2:89" ht="12.75" customHeight="1" x14ac:dyDescent="0.2">
      <c r="B982" s="77"/>
      <c r="C982" s="79"/>
      <c r="D982" s="79"/>
      <c r="E982" s="79"/>
      <c r="F982" s="79"/>
      <c r="G982" s="79"/>
      <c r="H982" s="79"/>
      <c r="I982" s="79"/>
      <c r="J982" s="78"/>
      <c r="K982" s="79"/>
      <c r="L982" s="79"/>
      <c r="M982" s="79"/>
      <c r="N982" s="79"/>
      <c r="O982" s="79"/>
      <c r="P982" s="79"/>
      <c r="Q982" s="79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45"/>
      <c r="AK982" s="45"/>
      <c r="AL982" s="45"/>
      <c r="AM982" s="45"/>
      <c r="AN982" s="45"/>
      <c r="AO982" s="45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  <c r="AZ982" s="80"/>
      <c r="BA982" s="80"/>
      <c r="BB982" s="80"/>
      <c r="BC982" s="80"/>
      <c r="BD982" s="80"/>
      <c r="BE982" s="80"/>
      <c r="BF982" s="80"/>
      <c r="BG982" s="80"/>
      <c r="BH982" s="49"/>
      <c r="BI982" s="79"/>
      <c r="BJ982" s="79"/>
      <c r="BK982" s="44"/>
      <c r="BL982" s="79"/>
      <c r="BM982" s="49"/>
      <c r="BN982" s="44"/>
      <c r="BO982" s="49"/>
      <c r="BP982" s="49"/>
      <c r="BQ982" s="44"/>
      <c r="BS982" s="49"/>
      <c r="BT982" s="49"/>
      <c r="BU982" s="49"/>
      <c r="BV982" s="49"/>
      <c r="BW982" s="18"/>
      <c r="BX982" s="19"/>
      <c r="BY982" s="49"/>
      <c r="CF982" s="49"/>
      <c r="CG982" s="49"/>
      <c r="CH982" s="49"/>
      <c r="CI982" s="49"/>
      <c r="CJ982" s="49"/>
      <c r="CK982" s="49"/>
    </row>
    <row r="983" spans="2:89" ht="12.75" customHeight="1" x14ac:dyDescent="0.2">
      <c r="B983" s="77"/>
      <c r="C983" s="79"/>
      <c r="D983" s="79"/>
      <c r="E983" s="79"/>
      <c r="F983" s="79"/>
      <c r="G983" s="79"/>
      <c r="H983" s="79"/>
      <c r="I983" s="79"/>
      <c r="J983" s="78"/>
      <c r="K983" s="79"/>
      <c r="L983" s="79"/>
      <c r="M983" s="79"/>
      <c r="N983" s="79"/>
      <c r="O983" s="79"/>
      <c r="P983" s="79"/>
      <c r="Q983" s="79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45"/>
      <c r="AK983" s="45"/>
      <c r="AL983" s="45"/>
      <c r="AM983" s="45"/>
      <c r="AN983" s="45"/>
      <c r="AO983" s="45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  <c r="AZ983" s="80"/>
      <c r="BA983" s="80"/>
      <c r="BB983" s="80"/>
      <c r="BC983" s="80"/>
      <c r="BD983" s="80"/>
      <c r="BE983" s="80"/>
      <c r="BF983" s="80"/>
      <c r="BG983" s="80"/>
      <c r="BH983" s="49"/>
      <c r="BI983" s="79"/>
      <c r="BJ983" s="79"/>
      <c r="BK983" s="44"/>
      <c r="BL983" s="79"/>
      <c r="BM983" s="49"/>
      <c r="BN983" s="44"/>
      <c r="BO983" s="49"/>
      <c r="BP983" s="49"/>
      <c r="BQ983" s="44"/>
      <c r="BS983" s="49"/>
      <c r="BT983" s="49"/>
      <c r="BU983" s="49"/>
      <c r="BV983" s="49"/>
      <c r="BW983" s="18"/>
      <c r="BX983" s="19"/>
      <c r="BY983" s="49"/>
      <c r="CF983" s="49"/>
      <c r="CG983" s="49"/>
      <c r="CH983" s="49"/>
      <c r="CI983" s="49"/>
      <c r="CJ983" s="49"/>
      <c r="CK983" s="49"/>
    </row>
    <row r="984" spans="2:89" ht="12.75" customHeight="1" x14ac:dyDescent="0.2">
      <c r="B984" s="77"/>
      <c r="C984" s="79"/>
      <c r="D984" s="79"/>
      <c r="E984" s="79"/>
      <c r="F984" s="79"/>
      <c r="G984" s="79"/>
      <c r="H984" s="79"/>
      <c r="I984" s="79"/>
      <c r="J984" s="78"/>
      <c r="K984" s="79"/>
      <c r="L984" s="79"/>
      <c r="M984" s="79"/>
      <c r="N984" s="79"/>
      <c r="O984" s="79"/>
      <c r="P984" s="79"/>
      <c r="Q984" s="79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45"/>
      <c r="AK984" s="45"/>
      <c r="AL984" s="45"/>
      <c r="AM984" s="45"/>
      <c r="AN984" s="45"/>
      <c r="AO984" s="45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  <c r="AZ984" s="80"/>
      <c r="BA984" s="80"/>
      <c r="BB984" s="80"/>
      <c r="BC984" s="80"/>
      <c r="BD984" s="80"/>
      <c r="BE984" s="80"/>
      <c r="BF984" s="80"/>
      <c r="BG984" s="80"/>
      <c r="BH984" s="49"/>
      <c r="BI984" s="79"/>
      <c r="BJ984" s="79"/>
      <c r="BK984" s="44"/>
      <c r="BL984" s="79"/>
      <c r="BM984" s="49"/>
      <c r="BN984" s="44"/>
      <c r="BO984" s="49"/>
      <c r="BP984" s="49"/>
      <c r="BQ984" s="44"/>
      <c r="BS984" s="49"/>
      <c r="BT984" s="49"/>
      <c r="BU984" s="49"/>
      <c r="BV984" s="49"/>
      <c r="BW984" s="18"/>
      <c r="BX984" s="19"/>
      <c r="BY984" s="49"/>
      <c r="CF984" s="49"/>
      <c r="CG984" s="49"/>
      <c r="CH984" s="49"/>
      <c r="CI984" s="49"/>
      <c r="CJ984" s="49"/>
      <c r="CK984" s="49"/>
    </row>
    <row r="985" spans="2:89" ht="12.75" customHeight="1" x14ac:dyDescent="0.2">
      <c r="B985" s="77"/>
      <c r="C985" s="79"/>
      <c r="D985" s="79"/>
      <c r="E985" s="79"/>
      <c r="F985" s="79"/>
      <c r="G985" s="79"/>
      <c r="H985" s="79"/>
      <c r="I985" s="79"/>
      <c r="J985" s="78"/>
      <c r="K985" s="79"/>
      <c r="L985" s="79"/>
      <c r="M985" s="79"/>
      <c r="N985" s="79"/>
      <c r="O985" s="79"/>
      <c r="P985" s="79"/>
      <c r="Q985" s="79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45"/>
      <c r="AK985" s="45"/>
      <c r="AL985" s="45"/>
      <c r="AM985" s="45"/>
      <c r="AN985" s="45"/>
      <c r="AO985" s="45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  <c r="AZ985" s="80"/>
      <c r="BA985" s="80"/>
      <c r="BB985" s="80"/>
      <c r="BC985" s="80"/>
      <c r="BD985" s="80"/>
      <c r="BE985" s="80"/>
      <c r="BF985" s="80"/>
      <c r="BG985" s="80"/>
      <c r="BH985" s="49"/>
      <c r="BI985" s="79"/>
      <c r="BJ985" s="79"/>
      <c r="BK985" s="44"/>
      <c r="BL985" s="79"/>
      <c r="BM985" s="49"/>
      <c r="BN985" s="44"/>
      <c r="BO985" s="49"/>
      <c r="BP985" s="49"/>
      <c r="BQ985" s="44"/>
      <c r="BS985" s="49"/>
      <c r="BT985" s="49"/>
      <c r="BU985" s="49"/>
      <c r="BV985" s="49"/>
      <c r="BW985" s="18"/>
      <c r="BX985" s="19"/>
      <c r="BY985" s="49"/>
      <c r="CF985" s="49"/>
      <c r="CG985" s="49"/>
      <c r="CH985" s="49"/>
      <c r="CI985" s="49"/>
      <c r="CJ985" s="49"/>
      <c r="CK985" s="49"/>
    </row>
    <row r="986" spans="2:89" ht="12.75" customHeight="1" x14ac:dyDescent="0.2">
      <c r="B986" s="77"/>
      <c r="C986" s="79"/>
      <c r="D986" s="79"/>
      <c r="E986" s="79"/>
      <c r="F986" s="79"/>
      <c r="G986" s="79"/>
      <c r="H986" s="79"/>
      <c r="I986" s="79"/>
      <c r="J986" s="78"/>
      <c r="K986" s="79"/>
      <c r="L986" s="79"/>
      <c r="M986" s="79"/>
      <c r="N986" s="79"/>
      <c r="O986" s="79"/>
      <c r="P986" s="79"/>
      <c r="Q986" s="79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45"/>
      <c r="AK986" s="45"/>
      <c r="AL986" s="45"/>
      <c r="AM986" s="45"/>
      <c r="AN986" s="45"/>
      <c r="AO986" s="45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  <c r="AZ986" s="80"/>
      <c r="BA986" s="80"/>
      <c r="BB986" s="80"/>
      <c r="BC986" s="80"/>
      <c r="BD986" s="80"/>
      <c r="BE986" s="80"/>
      <c r="BF986" s="80"/>
      <c r="BG986" s="80"/>
      <c r="BH986" s="49"/>
      <c r="BI986" s="79"/>
      <c r="BJ986" s="79"/>
      <c r="BK986" s="44"/>
      <c r="BL986" s="79"/>
      <c r="BM986" s="49"/>
      <c r="BN986" s="44"/>
      <c r="BO986" s="49"/>
      <c r="BP986" s="49"/>
      <c r="BQ986" s="44"/>
      <c r="BS986" s="49"/>
      <c r="BT986" s="49"/>
      <c r="BU986" s="49"/>
      <c r="BV986" s="49"/>
      <c r="BW986" s="18"/>
      <c r="BX986" s="19"/>
      <c r="BY986" s="49"/>
      <c r="CF986" s="49"/>
      <c r="CG986" s="49"/>
      <c r="CH986" s="49"/>
      <c r="CI986" s="49"/>
      <c r="CJ986" s="49"/>
      <c r="CK986" s="49"/>
    </row>
    <row r="987" spans="2:89" ht="12.75" customHeight="1" x14ac:dyDescent="0.2">
      <c r="B987" s="77"/>
      <c r="C987" s="79"/>
      <c r="D987" s="79"/>
      <c r="E987" s="79"/>
      <c r="F987" s="79"/>
      <c r="G987" s="79"/>
      <c r="H987" s="79"/>
      <c r="I987" s="79"/>
      <c r="J987" s="78"/>
      <c r="K987" s="79"/>
      <c r="L987" s="79"/>
      <c r="M987" s="79"/>
      <c r="N987" s="79"/>
      <c r="O987" s="79"/>
      <c r="P987" s="79"/>
      <c r="Q987" s="79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45"/>
      <c r="AK987" s="45"/>
      <c r="AL987" s="45"/>
      <c r="AM987" s="45"/>
      <c r="AN987" s="45"/>
      <c r="AO987" s="45"/>
      <c r="AP987" s="80"/>
      <c r="AQ987" s="80"/>
      <c r="AR987" s="80"/>
      <c r="AS987" s="80"/>
      <c r="AT987" s="80"/>
      <c r="AU987" s="80"/>
      <c r="AV987" s="80"/>
      <c r="AW987" s="80"/>
      <c r="AX987" s="80"/>
      <c r="AY987" s="80"/>
      <c r="AZ987" s="80"/>
      <c r="BA987" s="80"/>
      <c r="BB987" s="80"/>
      <c r="BC987" s="80"/>
      <c r="BD987" s="80"/>
      <c r="BE987" s="80"/>
      <c r="BF987" s="80"/>
      <c r="BG987" s="80"/>
      <c r="BH987" s="49"/>
      <c r="BI987" s="79"/>
      <c r="BJ987" s="79"/>
      <c r="BK987" s="44"/>
      <c r="BL987" s="79"/>
      <c r="BM987" s="49"/>
      <c r="BN987" s="44"/>
      <c r="BO987" s="49"/>
      <c r="BP987" s="49"/>
      <c r="BQ987" s="44"/>
      <c r="BS987" s="49"/>
      <c r="BT987" s="49"/>
      <c r="BU987" s="49"/>
      <c r="BV987" s="49"/>
      <c r="BW987" s="18"/>
      <c r="BX987" s="19"/>
      <c r="BY987" s="49"/>
      <c r="CF987" s="49"/>
      <c r="CG987" s="49"/>
      <c r="CH987" s="49"/>
      <c r="CI987" s="49"/>
      <c r="CJ987" s="49"/>
      <c r="CK987" s="49"/>
    </row>
    <row r="988" spans="2:89" ht="12.75" customHeight="1" x14ac:dyDescent="0.2">
      <c r="B988" s="77"/>
      <c r="C988" s="79"/>
      <c r="D988" s="79"/>
      <c r="E988" s="79"/>
      <c r="F988" s="79"/>
      <c r="G988" s="79"/>
      <c r="H988" s="79"/>
      <c r="I988" s="79"/>
      <c r="J988" s="78"/>
      <c r="K988" s="79"/>
      <c r="L988" s="79"/>
      <c r="M988" s="79"/>
      <c r="N988" s="79"/>
      <c r="O988" s="79"/>
      <c r="P988" s="79"/>
      <c r="Q988" s="79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45"/>
      <c r="AK988" s="45"/>
      <c r="AL988" s="45"/>
      <c r="AM988" s="45"/>
      <c r="AN988" s="45"/>
      <c r="AO988" s="45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  <c r="AZ988" s="80"/>
      <c r="BA988" s="80"/>
      <c r="BB988" s="80"/>
      <c r="BC988" s="80"/>
      <c r="BD988" s="80"/>
      <c r="BE988" s="80"/>
      <c r="BF988" s="80"/>
      <c r="BG988" s="80"/>
      <c r="BH988" s="49"/>
      <c r="BI988" s="79"/>
      <c r="BJ988" s="79"/>
      <c r="BK988" s="44"/>
      <c r="BL988" s="79"/>
      <c r="BM988" s="49"/>
      <c r="BN988" s="44"/>
      <c r="BO988" s="49"/>
      <c r="BP988" s="49"/>
      <c r="BQ988" s="44"/>
      <c r="BS988" s="49"/>
      <c r="BT988" s="49"/>
      <c r="BU988" s="49"/>
      <c r="BV988" s="49"/>
      <c r="BW988" s="18"/>
      <c r="BX988" s="19"/>
      <c r="BY988" s="49"/>
      <c r="CF988" s="49"/>
      <c r="CG988" s="49"/>
      <c r="CH988" s="49"/>
      <c r="CI988" s="49"/>
      <c r="CJ988" s="49"/>
      <c r="CK988" s="49"/>
    </row>
    <row r="989" spans="2:89" ht="12.75" customHeight="1" x14ac:dyDescent="0.2">
      <c r="B989" s="77"/>
      <c r="C989" s="79"/>
      <c r="D989" s="79"/>
      <c r="E989" s="79"/>
      <c r="F989" s="79"/>
      <c r="G989" s="79"/>
      <c r="H989" s="79"/>
      <c r="I989" s="79"/>
      <c r="J989" s="78"/>
      <c r="K989" s="79"/>
      <c r="L989" s="79"/>
      <c r="M989" s="79"/>
      <c r="N989" s="79"/>
      <c r="O989" s="79"/>
      <c r="P989" s="79"/>
      <c r="Q989" s="79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45"/>
      <c r="AK989" s="45"/>
      <c r="AL989" s="45"/>
      <c r="AM989" s="45"/>
      <c r="AN989" s="45"/>
      <c r="AO989" s="45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  <c r="AZ989" s="80"/>
      <c r="BA989" s="80"/>
      <c r="BB989" s="80"/>
      <c r="BC989" s="80"/>
      <c r="BD989" s="80"/>
      <c r="BE989" s="80"/>
      <c r="BF989" s="80"/>
      <c r="BG989" s="80"/>
      <c r="BH989" s="49"/>
      <c r="BI989" s="79"/>
      <c r="BJ989" s="79"/>
      <c r="BK989" s="44"/>
      <c r="BL989" s="79"/>
      <c r="BM989" s="49"/>
      <c r="BN989" s="44"/>
      <c r="BO989" s="49"/>
      <c r="BP989" s="49"/>
      <c r="BQ989" s="44"/>
      <c r="BS989" s="49"/>
      <c r="BT989" s="49"/>
      <c r="BU989" s="49"/>
      <c r="BV989" s="49"/>
      <c r="BW989" s="18"/>
      <c r="BX989" s="19"/>
      <c r="BY989" s="49"/>
      <c r="CF989" s="49"/>
      <c r="CG989" s="49"/>
      <c r="CH989" s="49"/>
      <c r="CI989" s="49"/>
      <c r="CJ989" s="49"/>
      <c r="CK989" s="49"/>
    </row>
    <row r="990" spans="2:89" ht="12.75" customHeight="1" x14ac:dyDescent="0.2">
      <c r="B990" s="77"/>
      <c r="C990" s="79"/>
      <c r="D990" s="79"/>
      <c r="E990" s="79"/>
      <c r="F990" s="79"/>
      <c r="G990" s="79"/>
      <c r="H990" s="79"/>
      <c r="I990" s="79"/>
      <c r="J990" s="78"/>
      <c r="K990" s="79"/>
      <c r="L990" s="79"/>
      <c r="M990" s="79"/>
      <c r="N990" s="79"/>
      <c r="O990" s="79"/>
      <c r="P990" s="79"/>
      <c r="Q990" s="79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45"/>
      <c r="AK990" s="45"/>
      <c r="AL990" s="45"/>
      <c r="AM990" s="45"/>
      <c r="AN990" s="45"/>
      <c r="AO990" s="45"/>
      <c r="AP990" s="80"/>
      <c r="AQ990" s="80"/>
      <c r="AR990" s="80"/>
      <c r="AS990" s="80"/>
      <c r="AT990" s="80"/>
      <c r="AU990" s="80"/>
      <c r="AV990" s="80"/>
      <c r="AW990" s="80"/>
      <c r="AX990" s="80"/>
      <c r="AY990" s="80"/>
      <c r="AZ990" s="80"/>
      <c r="BA990" s="80"/>
      <c r="BB990" s="80"/>
      <c r="BC990" s="80"/>
      <c r="BD990" s="80"/>
      <c r="BE990" s="80"/>
      <c r="BF990" s="80"/>
      <c r="BG990" s="80"/>
      <c r="BH990" s="49"/>
      <c r="BI990" s="79"/>
      <c r="BJ990" s="79"/>
      <c r="BK990" s="44"/>
      <c r="BL990" s="79"/>
      <c r="BM990" s="49"/>
      <c r="BN990" s="44"/>
      <c r="BO990" s="49"/>
      <c r="BP990" s="49"/>
      <c r="BQ990" s="44"/>
      <c r="BS990" s="49"/>
      <c r="BT990" s="49"/>
      <c r="BU990" s="49"/>
      <c r="BV990" s="49"/>
      <c r="BW990" s="18"/>
      <c r="BX990" s="19"/>
      <c r="BY990" s="49"/>
      <c r="CF990" s="49"/>
      <c r="CG990" s="49"/>
      <c r="CH990" s="49"/>
      <c r="CI990" s="49"/>
      <c r="CJ990" s="49"/>
      <c r="CK990" s="49"/>
    </row>
    <row r="991" spans="2:89" ht="12.75" customHeight="1" x14ac:dyDescent="0.2">
      <c r="B991" s="77"/>
      <c r="C991" s="79"/>
      <c r="D991" s="79"/>
      <c r="E991" s="79"/>
      <c r="F991" s="79"/>
      <c r="G991" s="79"/>
      <c r="H991" s="79"/>
      <c r="I991" s="79"/>
      <c r="J991" s="78"/>
      <c r="K991" s="79"/>
      <c r="L991" s="79"/>
      <c r="M991" s="79"/>
      <c r="N991" s="79"/>
      <c r="O991" s="79"/>
      <c r="P991" s="79"/>
      <c r="Q991" s="79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45"/>
      <c r="AK991" s="45"/>
      <c r="AL991" s="45"/>
      <c r="AM991" s="45"/>
      <c r="AN991" s="45"/>
      <c r="AO991" s="45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  <c r="AZ991" s="80"/>
      <c r="BA991" s="80"/>
      <c r="BB991" s="80"/>
      <c r="BC991" s="80"/>
      <c r="BD991" s="80"/>
      <c r="BE991" s="80"/>
      <c r="BF991" s="80"/>
      <c r="BG991" s="80"/>
      <c r="BH991" s="49"/>
      <c r="BI991" s="79"/>
      <c r="BJ991" s="79"/>
      <c r="BK991" s="44"/>
      <c r="BL991" s="79"/>
      <c r="BM991" s="49"/>
      <c r="BN991" s="44"/>
      <c r="BO991" s="49"/>
      <c r="BP991" s="49"/>
      <c r="BQ991" s="44"/>
      <c r="BS991" s="49"/>
      <c r="BT991" s="49"/>
      <c r="BU991" s="49"/>
      <c r="BV991" s="49"/>
      <c r="BW991" s="18"/>
      <c r="BX991" s="19"/>
      <c r="BY991" s="49"/>
      <c r="CF991" s="49"/>
      <c r="CG991" s="49"/>
      <c r="CH991" s="49"/>
      <c r="CI991" s="49"/>
      <c r="CJ991" s="49"/>
      <c r="CK991" s="49"/>
    </row>
    <row r="992" spans="2:89" ht="12.75" customHeight="1" x14ac:dyDescent="0.2">
      <c r="B992" s="77"/>
      <c r="C992" s="79"/>
      <c r="D992" s="79"/>
      <c r="E992" s="79"/>
      <c r="F992" s="79"/>
      <c r="G992" s="79"/>
      <c r="H992" s="79"/>
      <c r="I992" s="79"/>
      <c r="J992" s="78"/>
      <c r="K992" s="79"/>
      <c r="L992" s="79"/>
      <c r="M992" s="79"/>
      <c r="N992" s="79"/>
      <c r="O992" s="79"/>
      <c r="P992" s="79"/>
      <c r="Q992" s="79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45"/>
      <c r="AK992" s="45"/>
      <c r="AL992" s="45"/>
      <c r="AM992" s="45"/>
      <c r="AN992" s="45"/>
      <c r="AO992" s="45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  <c r="AZ992" s="80"/>
      <c r="BA992" s="80"/>
      <c r="BB992" s="80"/>
      <c r="BC992" s="80"/>
      <c r="BD992" s="80"/>
      <c r="BE992" s="80"/>
      <c r="BF992" s="80"/>
      <c r="BG992" s="80"/>
      <c r="BH992" s="49"/>
      <c r="BI992" s="79"/>
      <c r="BJ992" s="79"/>
      <c r="BK992" s="44"/>
      <c r="BL992" s="79"/>
      <c r="BM992" s="49"/>
      <c r="BN992" s="44"/>
      <c r="BO992" s="49"/>
      <c r="BP992" s="49"/>
      <c r="BQ992" s="44"/>
      <c r="BS992" s="49"/>
      <c r="BT992" s="49"/>
      <c r="BU992" s="49"/>
      <c r="BV992" s="49"/>
      <c r="BW992" s="18"/>
      <c r="BX992" s="19"/>
      <c r="BY992" s="49"/>
      <c r="CF992" s="49"/>
      <c r="CG992" s="49"/>
      <c r="CH992" s="49"/>
      <c r="CI992" s="49"/>
      <c r="CJ992" s="49"/>
      <c r="CK992" s="49"/>
    </row>
    <row r="993" spans="2:89" ht="12.75" customHeight="1" x14ac:dyDescent="0.2">
      <c r="B993" s="77"/>
      <c r="C993" s="79"/>
      <c r="D993" s="79"/>
      <c r="E993" s="79"/>
      <c r="F993" s="79"/>
      <c r="G993" s="79"/>
      <c r="H993" s="79"/>
      <c r="I993" s="79"/>
      <c r="J993" s="78"/>
      <c r="K993" s="79"/>
      <c r="L993" s="79"/>
      <c r="M993" s="79"/>
      <c r="N993" s="79"/>
      <c r="O993" s="79"/>
      <c r="P993" s="79"/>
      <c r="Q993" s="79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45"/>
      <c r="AK993" s="45"/>
      <c r="AL993" s="45"/>
      <c r="AM993" s="45"/>
      <c r="AN993" s="45"/>
      <c r="AO993" s="45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  <c r="AZ993" s="80"/>
      <c r="BA993" s="80"/>
      <c r="BB993" s="80"/>
      <c r="BC993" s="80"/>
      <c r="BD993" s="80"/>
      <c r="BE993" s="80"/>
      <c r="BF993" s="80"/>
      <c r="BG993" s="80"/>
      <c r="BH993" s="49"/>
      <c r="BI993" s="79"/>
      <c r="BJ993" s="79"/>
      <c r="BK993" s="44"/>
      <c r="BL993" s="79"/>
      <c r="BM993" s="49"/>
      <c r="BN993" s="44"/>
      <c r="BO993" s="49"/>
      <c r="BP993" s="49"/>
      <c r="BQ993" s="44"/>
      <c r="BS993" s="49"/>
      <c r="BT993" s="49"/>
      <c r="BU993" s="49"/>
      <c r="BV993" s="49"/>
      <c r="BW993" s="18"/>
      <c r="BX993" s="19"/>
      <c r="BY993" s="49"/>
      <c r="CF993" s="49"/>
      <c r="CG993" s="49"/>
      <c r="CH993" s="49"/>
      <c r="CI993" s="49"/>
      <c r="CJ993" s="49"/>
      <c r="CK993" s="49"/>
    </row>
    <row r="994" spans="2:89" ht="12.75" customHeight="1" x14ac:dyDescent="0.2">
      <c r="B994" s="77"/>
      <c r="C994" s="79"/>
      <c r="D994" s="79"/>
      <c r="E994" s="79"/>
      <c r="F994" s="79"/>
      <c r="G994" s="79"/>
      <c r="H994" s="79"/>
      <c r="I994" s="79"/>
      <c r="J994" s="78"/>
      <c r="K994" s="79"/>
      <c r="L994" s="79"/>
      <c r="M994" s="79"/>
      <c r="N994" s="79"/>
      <c r="O994" s="79"/>
      <c r="P994" s="79"/>
      <c r="Q994" s="79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45"/>
      <c r="AK994" s="45"/>
      <c r="AL994" s="45"/>
      <c r="AM994" s="45"/>
      <c r="AN994" s="45"/>
      <c r="AO994" s="45"/>
      <c r="AP994" s="80"/>
      <c r="AQ994" s="80"/>
      <c r="AR994" s="80"/>
      <c r="AS994" s="80"/>
      <c r="AT994" s="80"/>
      <c r="AU994" s="80"/>
      <c r="AV994" s="80"/>
      <c r="AW994" s="80"/>
      <c r="AX994" s="80"/>
      <c r="AY994" s="80"/>
      <c r="AZ994" s="80"/>
      <c r="BA994" s="80"/>
      <c r="BB994" s="80"/>
      <c r="BC994" s="80"/>
      <c r="BD994" s="80"/>
      <c r="BE994" s="80"/>
      <c r="BF994" s="80"/>
      <c r="BG994" s="80"/>
      <c r="BH994" s="49"/>
      <c r="BI994" s="79"/>
      <c r="BJ994" s="79"/>
      <c r="BK994" s="44"/>
      <c r="BL994" s="79"/>
      <c r="BM994" s="49"/>
      <c r="BN994" s="44"/>
      <c r="BO994" s="49"/>
      <c r="BP994" s="49"/>
      <c r="BQ994" s="44"/>
      <c r="BS994" s="49"/>
      <c r="BT994" s="49"/>
      <c r="BU994" s="49"/>
      <c r="BV994" s="49"/>
      <c r="BW994" s="18"/>
      <c r="BX994" s="19"/>
      <c r="BY994" s="49"/>
      <c r="CF994" s="49"/>
      <c r="CG994" s="49"/>
      <c r="CH994" s="49"/>
      <c r="CI994" s="49"/>
      <c r="CJ994" s="49"/>
      <c r="CK994" s="49"/>
    </row>
    <row r="995" spans="2:89" ht="12.75" customHeight="1" x14ac:dyDescent="0.2">
      <c r="B995" s="77"/>
      <c r="C995" s="79"/>
      <c r="D995" s="79"/>
      <c r="E995" s="79"/>
      <c r="F995" s="79"/>
      <c r="G995" s="79"/>
      <c r="H995" s="79"/>
      <c r="I995" s="79"/>
      <c r="J995" s="78"/>
      <c r="K995" s="79"/>
      <c r="L995" s="79"/>
      <c r="M995" s="79"/>
      <c r="N995" s="79"/>
      <c r="O995" s="79"/>
      <c r="P995" s="79"/>
      <c r="Q995" s="79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45"/>
      <c r="AK995" s="45"/>
      <c r="AL995" s="45"/>
      <c r="AM995" s="45"/>
      <c r="AN995" s="45"/>
      <c r="AO995" s="45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  <c r="AZ995" s="80"/>
      <c r="BA995" s="80"/>
      <c r="BB995" s="80"/>
      <c r="BC995" s="80"/>
      <c r="BD995" s="80"/>
      <c r="BE995" s="80"/>
      <c r="BF995" s="80"/>
      <c r="BG995" s="80"/>
      <c r="BH995" s="49"/>
      <c r="BI995" s="79"/>
      <c r="BJ995" s="79"/>
      <c r="BK995" s="44"/>
      <c r="BL995" s="79"/>
      <c r="BM995" s="49"/>
      <c r="BN995" s="44"/>
      <c r="BO995" s="49"/>
      <c r="BP995" s="49"/>
      <c r="BQ995" s="44"/>
      <c r="BS995" s="49"/>
      <c r="BT995" s="49"/>
      <c r="BU995" s="49"/>
      <c r="BV995" s="49"/>
      <c r="BW995" s="18"/>
      <c r="BX995" s="19"/>
      <c r="BY995" s="49"/>
      <c r="CF995" s="49"/>
      <c r="CG995" s="49"/>
      <c r="CH995" s="49"/>
      <c r="CI995" s="49"/>
      <c r="CJ995" s="49"/>
      <c r="CK995" s="49"/>
    </row>
    <row r="996" spans="2:89" ht="12.75" customHeight="1" x14ac:dyDescent="0.2">
      <c r="B996" s="77"/>
      <c r="C996" s="79"/>
      <c r="D996" s="79"/>
      <c r="E996" s="79"/>
      <c r="F996" s="79"/>
      <c r="G996" s="79"/>
      <c r="H996" s="79"/>
      <c r="I996" s="79"/>
      <c r="J996" s="78"/>
      <c r="K996" s="79"/>
      <c r="L996" s="79"/>
      <c r="M996" s="79"/>
      <c r="N996" s="79"/>
      <c r="O996" s="79"/>
      <c r="P996" s="79"/>
      <c r="Q996" s="79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45"/>
      <c r="AK996" s="45"/>
      <c r="AL996" s="45"/>
      <c r="AM996" s="45"/>
      <c r="AN996" s="45"/>
      <c r="AO996" s="45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  <c r="AZ996" s="80"/>
      <c r="BA996" s="80"/>
      <c r="BB996" s="80"/>
      <c r="BC996" s="80"/>
      <c r="BD996" s="80"/>
      <c r="BE996" s="80"/>
      <c r="BF996" s="80"/>
      <c r="BG996" s="80"/>
      <c r="BH996" s="49"/>
      <c r="BI996" s="79"/>
      <c r="BJ996" s="79"/>
      <c r="BK996" s="44"/>
      <c r="BL996" s="79"/>
      <c r="BM996" s="49"/>
      <c r="BN996" s="44"/>
      <c r="BO996" s="49"/>
      <c r="BP996" s="49"/>
      <c r="BQ996" s="44"/>
      <c r="BS996" s="49"/>
      <c r="BT996" s="49"/>
      <c r="BU996" s="49"/>
      <c r="BV996" s="49"/>
      <c r="BW996" s="18"/>
      <c r="BX996" s="19"/>
      <c r="BY996" s="49"/>
      <c r="CF996" s="49"/>
      <c r="CG996" s="49"/>
      <c r="CH996" s="49"/>
      <c r="CI996" s="49"/>
      <c r="CJ996" s="49"/>
      <c r="CK996" s="49"/>
    </row>
    <row r="997" spans="2:89" ht="12.75" customHeight="1" x14ac:dyDescent="0.2">
      <c r="B997" s="77"/>
      <c r="C997" s="79"/>
      <c r="D997" s="79"/>
      <c r="E997" s="79"/>
      <c r="F997" s="79"/>
      <c r="G997" s="79"/>
      <c r="H997" s="79"/>
      <c r="I997" s="79"/>
      <c r="J997" s="78"/>
      <c r="K997" s="79"/>
      <c r="L997" s="79"/>
      <c r="M997" s="79"/>
      <c r="N997" s="79"/>
      <c r="O997" s="79"/>
      <c r="P997" s="79"/>
      <c r="Q997" s="79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45"/>
      <c r="AK997" s="45"/>
      <c r="AL997" s="45"/>
      <c r="AM997" s="45"/>
      <c r="AN997" s="45"/>
      <c r="AO997" s="45"/>
      <c r="AP997" s="80"/>
      <c r="AQ997" s="80"/>
      <c r="AR997" s="80"/>
      <c r="AS997" s="80"/>
      <c r="AT997" s="80"/>
      <c r="AU997" s="80"/>
      <c r="AV997" s="80"/>
      <c r="AW997" s="80"/>
      <c r="AX997" s="80"/>
      <c r="AY997" s="80"/>
      <c r="AZ997" s="80"/>
      <c r="BA997" s="80"/>
      <c r="BB997" s="80"/>
      <c r="BC997" s="80"/>
      <c r="BD997" s="80"/>
      <c r="BE997" s="80"/>
      <c r="BF997" s="80"/>
      <c r="BG997" s="80"/>
      <c r="BH997" s="49"/>
      <c r="BI997" s="79"/>
      <c r="BJ997" s="79"/>
      <c r="BK997" s="44"/>
      <c r="BL997" s="79"/>
      <c r="BM997" s="49"/>
      <c r="BN997" s="44"/>
      <c r="BO997" s="49"/>
      <c r="BP997" s="49"/>
      <c r="BQ997" s="44"/>
      <c r="BS997" s="49"/>
      <c r="BT997" s="49"/>
      <c r="BU997" s="49"/>
      <c r="BV997" s="49"/>
      <c r="BW997" s="18"/>
      <c r="BX997" s="19"/>
      <c r="BY997" s="49"/>
      <c r="CF997" s="49"/>
      <c r="CG997" s="49"/>
      <c r="CH997" s="49"/>
      <c r="CI997" s="49"/>
      <c r="CJ997" s="49"/>
      <c r="CK997" s="49"/>
    </row>
    <row r="998" spans="2:89" ht="12.75" customHeight="1" x14ac:dyDescent="0.2">
      <c r="B998" s="77"/>
      <c r="C998" s="79"/>
      <c r="D998" s="79"/>
      <c r="E998" s="79"/>
      <c r="F998" s="79"/>
      <c r="G998" s="79"/>
      <c r="H998" s="79"/>
      <c r="I998" s="79"/>
      <c r="J998" s="78"/>
      <c r="K998" s="79"/>
      <c r="L998" s="79"/>
      <c r="M998" s="79"/>
      <c r="N998" s="79"/>
      <c r="O998" s="79"/>
      <c r="P998" s="79"/>
      <c r="Q998" s="79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45"/>
      <c r="AK998" s="45"/>
      <c r="AL998" s="45"/>
      <c r="AM998" s="45"/>
      <c r="AN998" s="45"/>
      <c r="AO998" s="45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  <c r="AZ998" s="80"/>
      <c r="BA998" s="80"/>
      <c r="BB998" s="80"/>
      <c r="BC998" s="80"/>
      <c r="BD998" s="80"/>
      <c r="BE998" s="80"/>
      <c r="BF998" s="80"/>
      <c r="BG998" s="80"/>
      <c r="BH998" s="49"/>
      <c r="BI998" s="79"/>
      <c r="BJ998" s="79"/>
      <c r="BK998" s="44"/>
      <c r="BL998" s="79"/>
      <c r="BM998" s="49"/>
      <c r="BN998" s="44"/>
      <c r="BO998" s="49"/>
      <c r="BP998" s="49"/>
      <c r="BQ998" s="44"/>
      <c r="BS998" s="49"/>
      <c r="BT998" s="49"/>
      <c r="BU998" s="49"/>
      <c r="BV998" s="49"/>
      <c r="BW998" s="18"/>
      <c r="BX998" s="19"/>
      <c r="BY998" s="49"/>
      <c r="CF998" s="49"/>
      <c r="CG998" s="49"/>
      <c r="CH998" s="49"/>
      <c r="CI998" s="49"/>
      <c r="CJ998" s="49"/>
      <c r="CK998" s="49"/>
    </row>
    <row r="999" spans="2:89" ht="12.75" customHeight="1" x14ac:dyDescent="0.2">
      <c r="B999" s="77"/>
      <c r="C999" s="79"/>
      <c r="D999" s="79"/>
      <c r="E999" s="79"/>
      <c r="F999" s="79"/>
      <c r="G999" s="79"/>
      <c r="H999" s="79"/>
      <c r="I999" s="79"/>
      <c r="J999" s="78"/>
      <c r="K999" s="79"/>
      <c r="L999" s="79"/>
      <c r="M999" s="79"/>
      <c r="N999" s="79"/>
      <c r="O999" s="79"/>
      <c r="P999" s="79"/>
      <c r="Q999" s="79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45"/>
      <c r="AK999" s="45"/>
      <c r="AL999" s="45"/>
      <c r="AM999" s="45"/>
      <c r="AN999" s="45"/>
      <c r="AO999" s="45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  <c r="AZ999" s="80"/>
      <c r="BA999" s="80"/>
      <c r="BB999" s="80"/>
      <c r="BC999" s="80"/>
      <c r="BD999" s="80"/>
      <c r="BE999" s="80"/>
      <c r="BF999" s="80"/>
      <c r="BG999" s="80"/>
      <c r="BH999" s="49"/>
      <c r="BI999" s="79"/>
      <c r="BJ999" s="79"/>
      <c r="BK999" s="44"/>
      <c r="BL999" s="79"/>
      <c r="BM999" s="49"/>
      <c r="BN999" s="44"/>
      <c r="BO999" s="49"/>
      <c r="BP999" s="49"/>
      <c r="BQ999" s="44"/>
      <c r="BS999" s="49"/>
      <c r="BT999" s="49"/>
      <c r="BU999" s="49"/>
      <c r="BV999" s="49"/>
      <c r="BW999" s="18"/>
      <c r="BX999" s="19"/>
      <c r="BY999" s="49"/>
      <c r="CF999" s="49"/>
      <c r="CG999" s="49"/>
      <c r="CH999" s="49"/>
      <c r="CI999" s="49"/>
      <c r="CJ999" s="49"/>
      <c r="CK999" s="49"/>
    </row>
    <row r="1000" spans="2:89" ht="12.75" customHeight="1" x14ac:dyDescent="0.2">
      <c r="B1000" s="77"/>
      <c r="C1000" s="79"/>
      <c r="D1000" s="79"/>
      <c r="E1000" s="79"/>
      <c r="F1000" s="79"/>
      <c r="G1000" s="79"/>
      <c r="H1000" s="79"/>
      <c r="I1000" s="79"/>
      <c r="J1000" s="78"/>
      <c r="K1000" s="79"/>
      <c r="L1000" s="79"/>
      <c r="M1000" s="79"/>
      <c r="N1000" s="79"/>
      <c r="O1000" s="79"/>
      <c r="P1000" s="79"/>
      <c r="Q1000" s="79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45"/>
      <c r="AK1000" s="45"/>
      <c r="AL1000" s="45"/>
      <c r="AM1000" s="45"/>
      <c r="AN1000" s="45"/>
      <c r="AO1000" s="45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  <c r="AZ1000" s="80"/>
      <c r="BA1000" s="80"/>
      <c r="BB1000" s="80"/>
      <c r="BC1000" s="80"/>
      <c r="BD1000" s="80"/>
      <c r="BE1000" s="80"/>
      <c r="BF1000" s="80"/>
      <c r="BG1000" s="80"/>
      <c r="BH1000" s="49"/>
      <c r="BI1000" s="79"/>
      <c r="BJ1000" s="79"/>
      <c r="BK1000" s="44"/>
      <c r="BL1000" s="79"/>
      <c r="BM1000" s="49"/>
      <c r="BN1000" s="44"/>
      <c r="BO1000" s="49"/>
      <c r="BP1000" s="49"/>
      <c r="BQ1000" s="44"/>
      <c r="BS1000" s="49"/>
      <c r="BT1000" s="49"/>
      <c r="BU1000" s="49"/>
      <c r="BV1000" s="49"/>
      <c r="BW1000" s="18"/>
      <c r="BX1000" s="19"/>
      <c r="BY1000" s="49"/>
      <c r="CF1000" s="49"/>
      <c r="CG1000" s="49"/>
      <c r="CH1000" s="49"/>
      <c r="CI1000" s="49"/>
      <c r="CJ1000" s="49"/>
      <c r="CK1000" s="49"/>
    </row>
    <row r="1001" spans="2:89" ht="12.75" customHeight="1" x14ac:dyDescent="0.2">
      <c r="BT1001" s="49"/>
    </row>
    <row r="1002" spans="2:89" ht="12.75" customHeight="1" x14ac:dyDescent="0.2">
      <c r="BT1002" s="49"/>
    </row>
    <row r="1003" spans="2:89" ht="12.75" customHeight="1" x14ac:dyDescent="0.2">
      <c r="BT1003" s="49"/>
    </row>
    <row r="1004" spans="2:89" ht="12.75" customHeight="1" x14ac:dyDescent="0.2">
      <c r="BT1004" s="49"/>
    </row>
    <row r="1005" spans="2:89" ht="12.75" customHeight="1" x14ac:dyDescent="0.2">
      <c r="BT1005" s="49"/>
    </row>
    <row r="1006" spans="2:89" ht="12.75" customHeight="1" x14ac:dyDescent="0.2">
      <c r="BT1006" s="49"/>
    </row>
    <row r="1007" spans="2:89" ht="12.75" customHeight="1" x14ac:dyDescent="0.2">
      <c r="BT1007" s="49"/>
    </row>
    <row r="1008" spans="2:89" ht="12.75" customHeight="1" x14ac:dyDescent="0.2">
      <c r="BT1008" s="49"/>
    </row>
    <row r="1009" spans="72:72" ht="12.75" customHeight="1" x14ac:dyDescent="0.2">
      <c r="BT1009" s="49"/>
    </row>
    <row r="1010" spans="72:72" ht="12.75" customHeight="1" x14ac:dyDescent="0.2">
      <c r="BT1010" s="49"/>
    </row>
    <row r="1011" spans="72:72" ht="12.75" customHeight="1" x14ac:dyDescent="0.2">
      <c r="BT1011" s="49"/>
    </row>
    <row r="1012" spans="72:72" ht="12.75" customHeight="1" x14ac:dyDescent="0.2">
      <c r="BT1012" s="49"/>
    </row>
    <row r="1013" spans="72:72" ht="12.75" customHeight="1" x14ac:dyDescent="0.2">
      <c r="BT1013" s="49"/>
    </row>
    <row r="1014" spans="72:72" ht="12.75" customHeight="1" x14ac:dyDescent="0.2">
      <c r="BT1014" s="49"/>
    </row>
    <row r="1015" spans="72:72" ht="12.75" customHeight="1" x14ac:dyDescent="0.2">
      <c r="BT1015" s="49"/>
    </row>
    <row r="1016" spans="72:72" ht="12.75" customHeight="1" x14ac:dyDescent="0.2">
      <c r="BT1016" s="49"/>
    </row>
    <row r="1017" spans="72:72" ht="12.75" customHeight="1" x14ac:dyDescent="0.2">
      <c r="BT1017" s="49"/>
    </row>
    <row r="1018" spans="72:72" ht="12.75" customHeight="1" x14ac:dyDescent="0.2">
      <c r="BT1018" s="49"/>
    </row>
    <row r="1019" spans="72:72" ht="12.75" customHeight="1" x14ac:dyDescent="0.2">
      <c r="BT1019" s="49"/>
    </row>
    <row r="1020" spans="72:72" ht="12.75" customHeight="1" x14ac:dyDescent="0.2">
      <c r="BT1020" s="49"/>
    </row>
    <row r="1021" spans="72:72" ht="12.75" customHeight="1" x14ac:dyDescent="0.2">
      <c r="BT1021" s="49"/>
    </row>
    <row r="1022" spans="72:72" ht="12.75" customHeight="1" x14ac:dyDescent="0.2">
      <c r="BT1022" s="49"/>
    </row>
    <row r="1023" spans="72:72" ht="12.75" customHeight="1" x14ac:dyDescent="0.2">
      <c r="BT1023" s="49"/>
    </row>
    <row r="1024" spans="72:72" ht="12.75" customHeight="1" x14ac:dyDescent="0.2">
      <c r="BT1024" s="49"/>
    </row>
    <row r="1025" spans="72:72" ht="12.75" customHeight="1" x14ac:dyDescent="0.2">
      <c r="BT1025" s="49"/>
    </row>
    <row r="1026" spans="72:72" ht="12.75" customHeight="1" x14ac:dyDescent="0.2">
      <c r="BT1026" s="49"/>
    </row>
    <row r="1027" spans="72:72" ht="12.75" customHeight="1" x14ac:dyDescent="0.2">
      <c r="BT1027" s="49"/>
    </row>
    <row r="1028" spans="72:72" ht="12.75" customHeight="1" x14ac:dyDescent="0.2">
      <c r="BT1028" s="49"/>
    </row>
    <row r="1029" spans="72:72" ht="12.75" customHeight="1" x14ac:dyDescent="0.2">
      <c r="BT1029" s="49"/>
    </row>
    <row r="1030" spans="72:72" ht="12.75" customHeight="1" x14ac:dyDescent="0.2">
      <c r="BT1030" s="49"/>
    </row>
    <row r="1031" spans="72:72" ht="12.75" customHeight="1" x14ac:dyDescent="0.2">
      <c r="BT1031" s="49"/>
    </row>
    <row r="1032" spans="72:72" ht="12.75" customHeight="1" x14ac:dyDescent="0.2">
      <c r="BT1032" s="49"/>
    </row>
    <row r="1033" spans="72:72" ht="12.75" customHeight="1" x14ac:dyDescent="0.2">
      <c r="BT1033" s="49"/>
    </row>
    <row r="1034" spans="72:72" ht="12.75" customHeight="1" x14ac:dyDescent="0.2">
      <c r="BT1034" s="49"/>
    </row>
    <row r="1035" spans="72:72" ht="12.75" customHeight="1" x14ac:dyDescent="0.2">
      <c r="BT1035" s="49"/>
    </row>
    <row r="1036" spans="72:72" ht="12.75" customHeight="1" x14ac:dyDescent="0.2">
      <c r="BT1036" s="49"/>
    </row>
    <row r="1037" spans="72:72" ht="12.75" customHeight="1" x14ac:dyDescent="0.2">
      <c r="BT1037" s="49"/>
    </row>
    <row r="1038" spans="72:72" ht="12.75" customHeight="1" x14ac:dyDescent="0.2">
      <c r="BT1038" s="49"/>
    </row>
    <row r="1039" spans="72:72" ht="12.75" customHeight="1" x14ac:dyDescent="0.2">
      <c r="BT1039" s="49"/>
    </row>
    <row r="1040" spans="72:72" ht="12.75" customHeight="1" x14ac:dyDescent="0.2">
      <c r="BT1040" s="49"/>
    </row>
    <row r="1041" spans="72:72" ht="12.75" customHeight="1" x14ac:dyDescent="0.2">
      <c r="BT1041" s="49"/>
    </row>
    <row r="1042" spans="72:72" ht="12.75" customHeight="1" x14ac:dyDescent="0.2">
      <c r="BT1042" s="49"/>
    </row>
    <row r="1043" spans="72:72" ht="12.75" customHeight="1" x14ac:dyDescent="0.2">
      <c r="BT1043" s="49"/>
    </row>
    <row r="1044" spans="72:72" ht="12.75" customHeight="1" x14ac:dyDescent="0.2">
      <c r="BT1044" s="49"/>
    </row>
    <row r="1045" spans="72:72" ht="12.75" customHeight="1" x14ac:dyDescent="0.2">
      <c r="BT1045" s="49"/>
    </row>
    <row r="1046" spans="72:72" ht="12.75" customHeight="1" x14ac:dyDescent="0.2">
      <c r="BT1046" s="49"/>
    </row>
    <row r="1047" spans="72:72" ht="12.75" customHeight="1" x14ac:dyDescent="0.2">
      <c r="BT1047" s="49"/>
    </row>
    <row r="1048" spans="72:72" ht="12.75" customHeight="1" x14ac:dyDescent="0.2">
      <c r="BT1048" s="49"/>
    </row>
    <row r="1049" spans="72:72" ht="12.75" customHeight="1" x14ac:dyDescent="0.2">
      <c r="BT1049" s="49"/>
    </row>
    <row r="1050" spans="72:72" ht="12.75" customHeight="1" x14ac:dyDescent="0.2">
      <c r="BT1050" s="49"/>
    </row>
  </sheetData>
  <conditionalFormatting sqref="C32:H32">
    <cfRule type="cellIs" dxfId="4" priority="3" operator="lessThan">
      <formula>0</formula>
    </cfRule>
    <cfRule type="cellIs" dxfId="3" priority="4" operator="greaterThan">
      <formula>0</formula>
    </cfRule>
  </conditionalFormatting>
  <conditionalFormatting sqref="C38:H39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R42:W1000">
    <cfRule type="cellIs" dxfId="0" priority="9" operator="lessThan">
      <formula>0</formula>
    </cfRule>
  </conditionalFormatting>
  <pageMargins left="0.7" right="0.7" top="0.75" bottom="0.75" header="0.3" footer="0.3"/>
  <pageSetup orientation="portrait" horizontalDpi="4294967293" verticalDpi="1200" r:id="rId1"/>
  <ignoredErrors>
    <ignoredError sqref="H37 C37" formulaRange="1"/>
    <ignoredError sqref="J44 J46 J48 J50 J52 J58 J60 J62 J64 J66 J100 J102 J104 J110 J112 J114 J116 J118 J120 J122 J124 J126 J128 J130 J136 J138 J140 J142 J144" 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Sheet2!$L$6:$L$11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631"/>
  <sheetViews>
    <sheetView zoomScale="90" zoomScaleNormal="90" workbookViewId="0">
      <selection activeCell="I634" sqref="I634"/>
    </sheetView>
  </sheetViews>
  <sheetFormatPr defaultColWidth="11.42578125" defaultRowHeight="12" x14ac:dyDescent="0.25"/>
  <cols>
    <col min="1" max="1" width="11.42578125" style="3"/>
    <col min="2" max="2" width="11.42578125" style="13"/>
    <col min="3" max="4" width="11.42578125" style="3"/>
    <col min="5" max="5" width="11.42578125" style="13"/>
    <col min="6" max="7" width="11.42578125" style="3"/>
    <col min="8" max="8" width="11.42578125" style="13"/>
    <col min="9" max="16384" width="11.42578125" style="3"/>
  </cols>
  <sheetData>
    <row r="1" spans="1:12" s="1" customFormat="1" ht="21.75" customHeight="1" x14ac:dyDescent="0.25">
      <c r="A1" s="103" t="s">
        <v>30</v>
      </c>
      <c r="B1" s="103"/>
      <c r="C1" s="103"/>
      <c r="D1" s="104" t="s">
        <v>54</v>
      </c>
      <c r="E1" s="104"/>
      <c r="F1" s="104"/>
      <c r="G1" s="105" t="s">
        <v>34</v>
      </c>
      <c r="H1" s="105"/>
      <c r="I1" s="105"/>
    </row>
    <row r="2" spans="1:12" x14ac:dyDescent="0.25">
      <c r="A2" s="3" t="s">
        <v>8</v>
      </c>
      <c r="B2" s="106">
        <f>B631/B6-1</f>
        <v>1.0972393669929223</v>
      </c>
      <c r="C2" s="106"/>
      <c r="D2" s="3" t="s">
        <v>8</v>
      </c>
      <c r="E2" s="106">
        <f>E631/E6-1</f>
        <v>2.2857741726231953</v>
      </c>
      <c r="F2" s="106"/>
      <c r="G2" s="3" t="s">
        <v>8</v>
      </c>
      <c r="H2" s="106">
        <f>H631/H6-1</f>
        <v>1.0747516201626888</v>
      </c>
      <c r="I2" s="106"/>
    </row>
    <row r="3" spans="1:12" x14ac:dyDescent="0.25">
      <c r="A3" s="3" t="s">
        <v>33</v>
      </c>
      <c r="B3" s="106">
        <f>((B631/ABS(B6))^(1/(COUNT(B6:B631)/52)))-1</f>
        <v>6.3453155693677932E-2</v>
      </c>
      <c r="C3" s="106"/>
      <c r="D3" s="3" t="s">
        <v>33</v>
      </c>
      <c r="E3" s="106">
        <f>((E631/ABS(E6))^(1/(COUNT(E6:E631)/52)))-1</f>
        <v>0.10386405744920091</v>
      </c>
      <c r="F3" s="106"/>
      <c r="G3" s="3" t="s">
        <v>33</v>
      </c>
      <c r="H3" s="106">
        <f>((H631/ABS(H6))^(1/(COUNT(H6:H631)/52)))-1</f>
        <v>6.2501259221551031E-2</v>
      </c>
      <c r="I3" s="106"/>
    </row>
    <row r="5" spans="1:12" ht="16.5" customHeight="1" x14ac:dyDescent="0.2">
      <c r="A5" s="5" t="s">
        <v>6</v>
      </c>
      <c r="B5" s="12" t="s">
        <v>12</v>
      </c>
      <c r="C5" s="5" t="s">
        <v>14</v>
      </c>
      <c r="D5" s="5" t="s">
        <v>6</v>
      </c>
      <c r="E5" s="12" t="s">
        <v>12</v>
      </c>
      <c r="F5" s="5" t="s">
        <v>14</v>
      </c>
      <c r="G5" s="5" t="s">
        <v>6</v>
      </c>
      <c r="H5" s="12" t="s">
        <v>12</v>
      </c>
      <c r="I5" s="5" t="s">
        <v>14</v>
      </c>
    </row>
    <row r="6" spans="1:12" x14ac:dyDescent="0.25">
      <c r="A6" s="9">
        <v>39293</v>
      </c>
      <c r="B6" s="13">
        <v>1433.0600589999999</v>
      </c>
      <c r="C6" s="2">
        <f>(B7-$B$6)/$B$6</f>
        <v>1.436084682616923E-2</v>
      </c>
      <c r="D6" s="4">
        <v>39293</v>
      </c>
      <c r="E6" s="13">
        <v>2511.25</v>
      </c>
      <c r="F6" s="2">
        <f t="shared" ref="F6:F69" si="0">(E7-$E$6)/$E$6</f>
        <v>1.3395676655052277E-2</v>
      </c>
      <c r="G6" s="4">
        <v>39293</v>
      </c>
      <c r="H6" s="13">
        <v>13181.910156</v>
      </c>
      <c r="I6" s="2">
        <f>(H7-$H$6)/$H$6</f>
        <v>4.3718916543948874E-3</v>
      </c>
      <c r="K6" s="14" t="s">
        <v>15</v>
      </c>
      <c r="L6" s="11" t="s">
        <v>15</v>
      </c>
    </row>
    <row r="7" spans="1:12" x14ac:dyDescent="0.25">
      <c r="A7" s="9">
        <v>39300</v>
      </c>
      <c r="B7" s="13">
        <v>1453.6400149999999</v>
      </c>
      <c r="C7" s="2">
        <f t="shared" ref="C7:C70" si="1">(B8-$B$6)/$B$6</f>
        <v>8.9876777453331991E-3</v>
      </c>
      <c r="D7" s="4">
        <v>39300</v>
      </c>
      <c r="E7" s="13">
        <v>2544.889893</v>
      </c>
      <c r="F7" s="2">
        <f t="shared" si="0"/>
        <v>-2.476842608262812E-3</v>
      </c>
      <c r="G7" s="4">
        <v>39300</v>
      </c>
      <c r="H7" s="13">
        <v>13239.540039</v>
      </c>
      <c r="I7" s="2">
        <f t="shared" ref="I7:I70" si="2">(H8-$H$6)/$H$6</f>
        <v>-7.8008480397049251E-3</v>
      </c>
      <c r="K7" s="14" t="s">
        <v>20</v>
      </c>
      <c r="L7" s="11" t="s">
        <v>20</v>
      </c>
    </row>
    <row r="8" spans="1:12" x14ac:dyDescent="0.25">
      <c r="A8" s="9">
        <v>39307</v>
      </c>
      <c r="B8" s="13">
        <v>1445.9399410000001</v>
      </c>
      <c r="C8" s="2">
        <f t="shared" si="1"/>
        <v>3.2315418819442589E-2</v>
      </c>
      <c r="D8" s="4">
        <v>39307</v>
      </c>
      <c r="E8" s="13">
        <v>2505.030029</v>
      </c>
      <c r="F8" s="2">
        <f t="shared" si="0"/>
        <v>2.6058712195121986E-2</v>
      </c>
      <c r="G8" s="4">
        <v>39307</v>
      </c>
      <c r="H8" s="13">
        <v>13079.080078000001</v>
      </c>
      <c r="I8" s="2">
        <f t="shared" si="2"/>
        <v>1.4941685891429806E-2</v>
      </c>
      <c r="K8" s="14" t="s">
        <v>16</v>
      </c>
      <c r="L8" s="11" t="s">
        <v>16</v>
      </c>
    </row>
    <row r="9" spans="1:12" x14ac:dyDescent="0.25">
      <c r="A9" s="9">
        <v>39314</v>
      </c>
      <c r="B9" s="13">
        <v>1479.369995</v>
      </c>
      <c r="C9" s="2">
        <f t="shared" si="1"/>
        <v>2.8561211194847856E-2</v>
      </c>
      <c r="D9" s="4">
        <v>39314</v>
      </c>
      <c r="E9" s="13">
        <v>2576.6899410000001</v>
      </c>
      <c r="F9" s="2">
        <f t="shared" si="0"/>
        <v>3.3891530910900934E-2</v>
      </c>
      <c r="G9" s="4">
        <v>39314</v>
      </c>
      <c r="H9" s="13">
        <v>13378.870117</v>
      </c>
      <c r="I9" s="2">
        <f t="shared" si="2"/>
        <v>1.3338740434364775E-2</v>
      </c>
      <c r="K9" s="14" t="s">
        <v>17</v>
      </c>
      <c r="L9" s="11" t="s">
        <v>17</v>
      </c>
    </row>
    <row r="10" spans="1:12" x14ac:dyDescent="0.25">
      <c r="A10" s="9">
        <v>39321</v>
      </c>
      <c r="B10" s="13">
        <v>1473.98999</v>
      </c>
      <c r="C10" s="2">
        <f t="shared" si="1"/>
        <v>1.4298067880210201E-2</v>
      </c>
      <c r="D10" s="4">
        <v>39321</v>
      </c>
      <c r="E10" s="13">
        <v>2596.360107</v>
      </c>
      <c r="F10" s="2">
        <f t="shared" si="0"/>
        <v>2.1682409556993552E-2</v>
      </c>
      <c r="G10" s="4">
        <v>39321</v>
      </c>
      <c r="H10" s="13">
        <v>13357.740234000001</v>
      </c>
      <c r="I10" s="2">
        <f t="shared" si="2"/>
        <v>-5.1988120226117178E-3</v>
      </c>
      <c r="K10" s="15" t="s">
        <v>19</v>
      </c>
      <c r="L10" s="10" t="s">
        <v>19</v>
      </c>
    </row>
    <row r="11" spans="1:12" x14ac:dyDescent="0.25">
      <c r="A11" s="9">
        <v>39329</v>
      </c>
      <c r="B11" s="13">
        <v>1453.5500489999999</v>
      </c>
      <c r="C11" s="2">
        <f t="shared" si="1"/>
        <v>3.5720722713966931E-2</v>
      </c>
      <c r="D11" s="4">
        <v>39328</v>
      </c>
      <c r="E11" s="13">
        <v>2565.6999510000001</v>
      </c>
      <c r="F11" s="2">
        <f t="shared" si="0"/>
        <v>3.6209032155301149E-2</v>
      </c>
      <c r="G11" s="4">
        <v>39329</v>
      </c>
      <c r="H11" s="13">
        <v>13113.379883</v>
      </c>
      <c r="I11" s="2">
        <f t="shared" si="2"/>
        <v>1.9770228435472884E-2</v>
      </c>
      <c r="K11" s="14" t="s">
        <v>18</v>
      </c>
      <c r="L11" s="11" t="s">
        <v>18</v>
      </c>
    </row>
    <row r="12" spans="1:12" x14ac:dyDescent="0.25">
      <c r="A12" s="9">
        <v>39335</v>
      </c>
      <c r="B12" s="13">
        <v>1484.25</v>
      </c>
      <c r="C12" s="2">
        <f t="shared" si="1"/>
        <v>6.4679732309809695E-2</v>
      </c>
      <c r="D12" s="4">
        <v>39335</v>
      </c>
      <c r="E12" s="13">
        <v>2602.179932</v>
      </c>
      <c r="F12" s="2">
        <f t="shared" si="0"/>
        <v>6.3701332404181174E-2</v>
      </c>
      <c r="G12" s="4">
        <v>39335</v>
      </c>
      <c r="H12" s="13">
        <v>13442.519531</v>
      </c>
      <c r="I12" s="2">
        <f t="shared" si="2"/>
        <v>4.8420924315697535E-2</v>
      </c>
    </row>
    <row r="13" spans="1:12" x14ac:dyDescent="0.25">
      <c r="A13" s="9">
        <v>39342</v>
      </c>
      <c r="B13" s="13">
        <v>1525.75</v>
      </c>
      <c r="C13" s="2">
        <f t="shared" si="1"/>
        <v>6.5377539769950491E-2</v>
      </c>
      <c r="D13" s="4">
        <v>39342</v>
      </c>
      <c r="E13" s="13">
        <v>2671.219971</v>
      </c>
      <c r="F13" s="2">
        <f t="shared" si="0"/>
        <v>7.5759084121453463E-2</v>
      </c>
      <c r="G13" s="4">
        <v>39342</v>
      </c>
      <c r="H13" s="13">
        <v>13820.190430000001</v>
      </c>
      <c r="I13" s="2">
        <f t="shared" si="2"/>
        <v>5.4143877370847991E-2</v>
      </c>
    </row>
    <row r="14" spans="1:12" x14ac:dyDescent="0.25">
      <c r="A14" s="9">
        <v>39349</v>
      </c>
      <c r="B14" s="13">
        <v>1526.75</v>
      </c>
      <c r="C14" s="2">
        <f t="shared" si="1"/>
        <v>8.6897898115238792E-2</v>
      </c>
      <c r="D14" s="4">
        <v>39349</v>
      </c>
      <c r="E14" s="13">
        <v>2701.5</v>
      </c>
      <c r="F14" s="2">
        <f t="shared" si="0"/>
        <v>0.10714587078148333</v>
      </c>
      <c r="G14" s="4">
        <v>39349</v>
      </c>
      <c r="H14" s="13">
        <v>13895.629883</v>
      </c>
      <c r="I14" s="2">
        <f t="shared" si="2"/>
        <v>6.7069157621104283E-2</v>
      </c>
    </row>
    <row r="15" spans="1:12" x14ac:dyDescent="0.25">
      <c r="A15" s="9">
        <v>39356</v>
      </c>
      <c r="B15" s="13">
        <v>1557.589966</v>
      </c>
      <c r="C15" s="2">
        <f t="shared" si="1"/>
        <v>8.9835725440450667E-2</v>
      </c>
      <c r="D15" s="4">
        <v>39356</v>
      </c>
      <c r="E15" s="13">
        <v>2780.320068</v>
      </c>
      <c r="F15" s="2">
        <f t="shared" si="0"/>
        <v>0.1172443731209557</v>
      </c>
      <c r="G15" s="4">
        <v>39356</v>
      </c>
      <c r="H15" s="13">
        <v>14066.009765999999</v>
      </c>
      <c r="I15" s="2">
        <f t="shared" si="2"/>
        <v>6.9122753168308043E-2</v>
      </c>
    </row>
    <row r="16" spans="1:12" x14ac:dyDescent="0.25">
      <c r="A16" s="9">
        <v>39363</v>
      </c>
      <c r="B16" s="13">
        <v>1561.8000489999999</v>
      </c>
      <c r="C16" s="2">
        <f t="shared" si="1"/>
        <v>4.7150812400110355E-2</v>
      </c>
      <c r="D16" s="4">
        <v>39363</v>
      </c>
      <c r="E16" s="13">
        <v>2805.679932</v>
      </c>
      <c r="F16" s="2">
        <f t="shared" si="0"/>
        <v>8.5180651866600329E-2</v>
      </c>
      <c r="G16" s="4">
        <v>39363</v>
      </c>
      <c r="H16" s="13">
        <v>14093.080078000001</v>
      </c>
      <c r="I16" s="2">
        <f t="shared" si="2"/>
        <v>2.5801220837876268E-2</v>
      </c>
    </row>
    <row r="17" spans="1:9" x14ac:dyDescent="0.25">
      <c r="A17" s="9">
        <v>39370</v>
      </c>
      <c r="B17" s="13">
        <v>1500.630005</v>
      </c>
      <c r="C17" s="2">
        <f t="shared" si="1"/>
        <v>7.1329857641367775E-2</v>
      </c>
      <c r="D17" s="4">
        <v>39370</v>
      </c>
      <c r="E17" s="13">
        <v>2725.1599120000001</v>
      </c>
      <c r="F17" s="2">
        <f t="shared" si="0"/>
        <v>0.11665104668989551</v>
      </c>
      <c r="G17" s="4">
        <v>39370</v>
      </c>
      <c r="H17" s="13">
        <v>13522.019531</v>
      </c>
      <c r="I17" s="2">
        <f t="shared" si="2"/>
        <v>4.7397534318318377E-2</v>
      </c>
    </row>
    <row r="18" spans="1:9" x14ac:dyDescent="0.25">
      <c r="A18" s="9">
        <v>39377</v>
      </c>
      <c r="B18" s="13">
        <v>1535.280029</v>
      </c>
      <c r="C18" s="2">
        <f t="shared" si="1"/>
        <v>5.3445048948922054E-2</v>
      </c>
      <c r="D18" s="4">
        <v>39377</v>
      </c>
      <c r="E18" s="13">
        <v>2804.1899410000001</v>
      </c>
      <c r="F18" s="2">
        <f t="shared" si="0"/>
        <v>0.11911593150821306</v>
      </c>
      <c r="G18" s="4">
        <v>39377</v>
      </c>
      <c r="H18" s="13">
        <v>13806.700194999999</v>
      </c>
      <c r="I18" s="2">
        <f t="shared" si="2"/>
        <v>3.134518807290837E-2</v>
      </c>
    </row>
    <row r="19" spans="1:9" x14ac:dyDescent="0.25">
      <c r="A19" s="9">
        <v>39384</v>
      </c>
      <c r="B19" s="13">
        <v>1509.650024</v>
      </c>
      <c r="C19" s="2">
        <f t="shared" si="1"/>
        <v>1.4402670614100303E-2</v>
      </c>
      <c r="D19" s="4">
        <v>39384</v>
      </c>
      <c r="E19" s="13">
        <v>2810.3798830000001</v>
      </c>
      <c r="F19" s="2">
        <f t="shared" si="0"/>
        <v>4.646687546042811E-2</v>
      </c>
      <c r="G19" s="4">
        <v>39384</v>
      </c>
      <c r="H19" s="13">
        <v>13595.099609000001</v>
      </c>
      <c r="I19" s="2">
        <f t="shared" si="2"/>
        <v>-1.0557644556290142E-2</v>
      </c>
    </row>
    <row r="20" spans="1:9" x14ac:dyDescent="0.25">
      <c r="A20" s="9">
        <v>39391</v>
      </c>
      <c r="B20" s="13">
        <v>1453.6999510000001</v>
      </c>
      <c r="C20" s="2">
        <f t="shared" si="1"/>
        <v>1.7919647427700813E-2</v>
      </c>
      <c r="D20" s="4">
        <v>39391</v>
      </c>
      <c r="E20" s="13">
        <v>2627.9399410000001</v>
      </c>
      <c r="F20" s="2">
        <f t="shared" si="0"/>
        <v>5.0170229965156805E-2</v>
      </c>
      <c r="G20" s="4">
        <v>39391</v>
      </c>
      <c r="H20" s="13">
        <v>13042.740234000001</v>
      </c>
      <c r="I20" s="2">
        <f t="shared" si="2"/>
        <v>-3.8841995882287752E-4</v>
      </c>
    </row>
    <row r="21" spans="1:9" x14ac:dyDescent="0.25">
      <c r="A21" s="9">
        <v>39398</v>
      </c>
      <c r="B21" s="13">
        <v>1458.73999</v>
      </c>
      <c r="C21" s="2">
        <f t="shared" si="1"/>
        <v>5.3311736322700382E-3</v>
      </c>
      <c r="D21" s="4">
        <v>39398</v>
      </c>
      <c r="E21" s="13">
        <v>2637.23999</v>
      </c>
      <c r="F21" s="2">
        <f t="shared" si="0"/>
        <v>3.3987097262319521E-2</v>
      </c>
      <c r="G21" s="4">
        <v>39398</v>
      </c>
      <c r="H21" s="13">
        <v>13176.790039</v>
      </c>
      <c r="I21" s="2">
        <f t="shared" si="2"/>
        <v>-1.5250466026617357E-2</v>
      </c>
    </row>
    <row r="22" spans="1:9" x14ac:dyDescent="0.25">
      <c r="A22" s="9">
        <v>39405</v>
      </c>
      <c r="B22" s="13">
        <v>1440.6999510000001</v>
      </c>
      <c r="C22" s="2">
        <f t="shared" si="1"/>
        <v>3.3550551980040942E-2</v>
      </c>
      <c r="D22" s="4">
        <v>39405</v>
      </c>
      <c r="E22" s="13">
        <v>2596.6000979999999</v>
      </c>
      <c r="F22" s="2">
        <f t="shared" si="0"/>
        <v>5.9615713688402197E-2</v>
      </c>
      <c r="G22" s="4">
        <v>39405</v>
      </c>
      <c r="H22" s="13">
        <v>12980.879883</v>
      </c>
      <c r="I22" s="2">
        <f t="shared" si="2"/>
        <v>1.4399246296911248E-2</v>
      </c>
    </row>
    <row r="23" spans="1:9" x14ac:dyDescent="0.25">
      <c r="A23" s="9">
        <v>39412</v>
      </c>
      <c r="B23" s="13">
        <v>1481.1400149999999</v>
      </c>
      <c r="C23" s="2">
        <f t="shared" si="1"/>
        <v>4.9962996700894088E-2</v>
      </c>
      <c r="D23" s="4">
        <v>39412</v>
      </c>
      <c r="E23" s="13">
        <v>2660.959961</v>
      </c>
      <c r="F23" s="2">
        <f t="shared" si="0"/>
        <v>7.7614698656047809E-2</v>
      </c>
      <c r="G23" s="4">
        <v>39412</v>
      </c>
      <c r="H23" s="13">
        <v>13371.719727</v>
      </c>
      <c r="I23" s="2">
        <f t="shared" si="2"/>
        <v>3.3657483380590034E-2</v>
      </c>
    </row>
    <row r="24" spans="1:9" x14ac:dyDescent="0.25">
      <c r="A24" s="9">
        <v>39419</v>
      </c>
      <c r="B24" s="13">
        <v>1504.660034</v>
      </c>
      <c r="C24" s="2">
        <f t="shared" si="1"/>
        <v>2.4346426921106553E-2</v>
      </c>
      <c r="D24" s="4">
        <v>39419</v>
      </c>
      <c r="E24" s="13">
        <v>2706.1599120000001</v>
      </c>
      <c r="F24" s="2">
        <f t="shared" si="0"/>
        <v>4.9572917869586876E-2</v>
      </c>
      <c r="G24" s="4">
        <v>39419</v>
      </c>
      <c r="H24" s="13">
        <v>13625.580078000001</v>
      </c>
      <c r="I24" s="2">
        <f t="shared" si="2"/>
        <v>1.1981530076512597E-2</v>
      </c>
    </row>
    <row r="25" spans="1:9" x14ac:dyDescent="0.25">
      <c r="A25" s="9">
        <v>39426</v>
      </c>
      <c r="B25" s="13">
        <v>1467.9499510000001</v>
      </c>
      <c r="C25" s="2">
        <f t="shared" si="1"/>
        <v>3.586723506610557E-2</v>
      </c>
      <c r="D25" s="4">
        <v>39426</v>
      </c>
      <c r="E25" s="13">
        <v>2635.73999</v>
      </c>
      <c r="F25" s="2">
        <f t="shared" si="0"/>
        <v>7.1972121453459451E-2</v>
      </c>
      <c r="G25" s="4">
        <v>39426</v>
      </c>
      <c r="H25" s="13">
        <v>13339.849609000001</v>
      </c>
      <c r="I25" s="2">
        <f t="shared" si="2"/>
        <v>2.0387047993774787E-2</v>
      </c>
    </row>
    <row r="26" spans="1:9" x14ac:dyDescent="0.25">
      <c r="A26" s="9">
        <v>39433</v>
      </c>
      <c r="B26" s="13">
        <v>1484.459961</v>
      </c>
      <c r="C26" s="2">
        <f t="shared" si="1"/>
        <v>3.1701344765481407E-2</v>
      </c>
      <c r="D26" s="4">
        <v>39433</v>
      </c>
      <c r="E26" s="13">
        <v>2691.98999</v>
      </c>
      <c r="F26" s="2">
        <f t="shared" si="0"/>
        <v>6.4991522548531619E-2</v>
      </c>
      <c r="G26" s="4">
        <v>39433</v>
      </c>
      <c r="H26" s="13">
        <v>13450.650390999999</v>
      </c>
      <c r="I26" s="2">
        <f t="shared" si="2"/>
        <v>1.3955485875942461E-2</v>
      </c>
    </row>
    <row r="27" spans="1:9" x14ac:dyDescent="0.25">
      <c r="A27" s="9">
        <v>39440</v>
      </c>
      <c r="B27" s="13">
        <v>1478.48999</v>
      </c>
      <c r="C27" s="2">
        <f t="shared" si="1"/>
        <v>-1.4954051552419918E-2</v>
      </c>
      <c r="D27" s="4">
        <v>39440</v>
      </c>
      <c r="E27" s="13">
        <v>2674.459961</v>
      </c>
      <c r="F27" s="2">
        <f t="shared" si="0"/>
        <v>-2.6282122448979149E-3</v>
      </c>
      <c r="G27" s="4">
        <v>39440</v>
      </c>
      <c r="H27" s="13">
        <v>13365.870117</v>
      </c>
      <c r="I27" s="2">
        <f t="shared" si="2"/>
        <v>-2.8958661034891652E-2</v>
      </c>
    </row>
    <row r="28" spans="1:9" x14ac:dyDescent="0.25">
      <c r="A28" s="9">
        <v>39447</v>
      </c>
      <c r="B28" s="13">
        <v>1411.630005</v>
      </c>
      <c r="C28" s="2">
        <f t="shared" si="1"/>
        <v>-2.2357778237401829E-2</v>
      </c>
      <c r="D28" s="4">
        <v>39447</v>
      </c>
      <c r="E28" s="13">
        <v>2504.6499020000001</v>
      </c>
      <c r="F28" s="2">
        <f t="shared" si="0"/>
        <v>-2.8396240517670448E-2</v>
      </c>
      <c r="G28" s="4">
        <v>39447</v>
      </c>
      <c r="H28" s="13">
        <v>12800.179688</v>
      </c>
      <c r="I28" s="2">
        <f t="shared" si="2"/>
        <v>-4.3666687466990449E-2</v>
      </c>
    </row>
    <row r="29" spans="1:9" x14ac:dyDescent="0.25">
      <c r="A29" s="9">
        <v>39454</v>
      </c>
      <c r="B29" s="13">
        <v>1401.0200199999999</v>
      </c>
      <c r="C29" s="2">
        <f t="shared" si="1"/>
        <v>-7.5272573066667139E-2</v>
      </c>
      <c r="D29" s="4">
        <v>39454</v>
      </c>
      <c r="E29" s="13">
        <v>2439.9399410000001</v>
      </c>
      <c r="F29" s="2">
        <f t="shared" si="0"/>
        <v>-6.8185158785465438E-2</v>
      </c>
      <c r="G29" s="4">
        <v>39454</v>
      </c>
      <c r="H29" s="13">
        <v>12606.299805000001</v>
      </c>
      <c r="I29" s="2">
        <f t="shared" si="2"/>
        <v>-8.212848807099693E-2</v>
      </c>
    </row>
    <row r="30" spans="1:9" x14ac:dyDescent="0.25">
      <c r="A30" s="9">
        <v>39461</v>
      </c>
      <c r="B30" s="13">
        <v>1325.1899410000001</v>
      </c>
      <c r="C30" s="2">
        <f t="shared" si="1"/>
        <v>-7.1490425929175844E-2</v>
      </c>
      <c r="D30" s="4">
        <v>39461</v>
      </c>
      <c r="E30" s="13">
        <v>2340.0200199999999</v>
      </c>
      <c r="F30" s="2">
        <f t="shared" si="0"/>
        <v>-7.3688421702339454E-2</v>
      </c>
      <c r="G30" s="4">
        <v>39461</v>
      </c>
      <c r="H30" s="13">
        <v>12099.299805000001</v>
      </c>
      <c r="I30" s="2">
        <f t="shared" si="2"/>
        <v>-7.3945294912841519E-2</v>
      </c>
    </row>
    <row r="31" spans="1:9" x14ac:dyDescent="0.25">
      <c r="A31" s="9">
        <v>39469</v>
      </c>
      <c r="B31" s="13">
        <v>1330.6099850000001</v>
      </c>
      <c r="C31" s="2">
        <f t="shared" si="1"/>
        <v>-2.6265483266811187E-2</v>
      </c>
      <c r="D31" s="4">
        <v>39468</v>
      </c>
      <c r="E31" s="13">
        <v>2326.1999510000001</v>
      </c>
      <c r="F31" s="2">
        <f t="shared" si="0"/>
        <v>-3.898054474863117E-2</v>
      </c>
      <c r="G31" s="4">
        <v>39469</v>
      </c>
      <c r="H31" s="13">
        <v>12207.169921999999</v>
      </c>
      <c r="I31" s="2">
        <f t="shared" si="2"/>
        <v>-3.3281953890446421E-2</v>
      </c>
    </row>
    <row r="32" spans="1:9" x14ac:dyDescent="0.25">
      <c r="A32" s="9">
        <v>39475</v>
      </c>
      <c r="B32" s="13">
        <v>1395.420044</v>
      </c>
      <c r="C32" s="2">
        <f t="shared" si="1"/>
        <v>-7.1015879174677304E-2</v>
      </c>
      <c r="D32" s="4">
        <v>39475</v>
      </c>
      <c r="E32" s="13">
        <v>2413.360107</v>
      </c>
      <c r="F32" s="2">
        <f t="shared" si="0"/>
        <v>-8.2190105326032895E-2</v>
      </c>
      <c r="G32" s="4">
        <v>39475</v>
      </c>
      <c r="H32" s="13">
        <v>12743.190430000001</v>
      </c>
      <c r="I32" s="2">
        <f t="shared" si="2"/>
        <v>-7.5844870824349472E-2</v>
      </c>
    </row>
    <row r="33" spans="1:9" x14ac:dyDescent="0.25">
      <c r="A33" s="9">
        <v>39482</v>
      </c>
      <c r="B33" s="13">
        <v>1331.290039</v>
      </c>
      <c r="C33" s="2">
        <f t="shared" si="1"/>
        <v>-5.7966913862610055E-2</v>
      </c>
      <c r="D33" s="4">
        <v>39482</v>
      </c>
      <c r="E33" s="13">
        <v>2304.8500979999999</v>
      </c>
      <c r="F33" s="2">
        <f t="shared" si="0"/>
        <v>-7.5440498158287725E-2</v>
      </c>
      <c r="G33" s="4">
        <v>39482</v>
      </c>
      <c r="H33" s="13">
        <v>12182.129883</v>
      </c>
      <c r="I33" s="2">
        <f t="shared" si="2"/>
        <v>-6.3245780401600199E-2</v>
      </c>
    </row>
    <row r="34" spans="1:9" x14ac:dyDescent="0.25">
      <c r="A34" s="9">
        <v>39489</v>
      </c>
      <c r="B34" s="13">
        <v>1349.98999</v>
      </c>
      <c r="C34" s="2">
        <f t="shared" si="1"/>
        <v>-5.5789758076008077E-2</v>
      </c>
      <c r="D34" s="4">
        <v>39489</v>
      </c>
      <c r="E34" s="13">
        <v>2321.8000489999999</v>
      </c>
      <c r="F34" s="2">
        <f t="shared" si="0"/>
        <v>-8.2787417421602838E-2</v>
      </c>
      <c r="G34" s="4">
        <v>39489</v>
      </c>
      <c r="H34" s="13">
        <v>12348.209961</v>
      </c>
      <c r="I34" s="2">
        <f t="shared" si="2"/>
        <v>-6.0756795906051542E-2</v>
      </c>
    </row>
    <row r="35" spans="1:9" x14ac:dyDescent="0.25">
      <c r="A35" s="9">
        <v>39497</v>
      </c>
      <c r="B35" s="13">
        <v>1353.1099850000001</v>
      </c>
      <c r="C35" s="2">
        <f t="shared" si="1"/>
        <v>-7.1476455823823878E-2</v>
      </c>
      <c r="D35" s="4">
        <v>39496</v>
      </c>
      <c r="E35" s="13">
        <v>2303.3500979999999</v>
      </c>
      <c r="F35" s="2">
        <f t="shared" si="0"/>
        <v>-9.5478355400696838E-2</v>
      </c>
      <c r="G35" s="4">
        <v>39497</v>
      </c>
      <c r="H35" s="13">
        <v>12381.019531</v>
      </c>
      <c r="I35" s="2">
        <f t="shared" si="2"/>
        <v>-6.9452795320660177E-2</v>
      </c>
    </row>
    <row r="36" spans="1:9" x14ac:dyDescent="0.25">
      <c r="A36" s="9">
        <v>39503</v>
      </c>
      <c r="B36" s="13">
        <v>1330.630005</v>
      </c>
      <c r="C36" s="2">
        <f t="shared" si="1"/>
        <v>-9.7476768766744271E-2</v>
      </c>
      <c r="D36" s="4">
        <v>39503</v>
      </c>
      <c r="E36" s="13">
        <v>2271.4799800000001</v>
      </c>
      <c r="F36" s="2">
        <f t="shared" si="0"/>
        <v>-0.1189686450970632</v>
      </c>
      <c r="G36" s="4">
        <v>39503</v>
      </c>
      <c r="H36" s="13">
        <v>12266.389648</v>
      </c>
      <c r="I36" s="2">
        <f t="shared" si="2"/>
        <v>-9.7726331825561813E-2</v>
      </c>
    </row>
    <row r="37" spans="1:9" x14ac:dyDescent="0.25">
      <c r="A37" s="9">
        <v>39510</v>
      </c>
      <c r="B37" s="13">
        <v>1293.369995</v>
      </c>
      <c r="C37" s="2">
        <f t="shared" si="1"/>
        <v>-0.10112628782713144</v>
      </c>
      <c r="D37" s="4">
        <v>39510</v>
      </c>
      <c r="E37" s="13">
        <v>2212.48999</v>
      </c>
      <c r="F37" s="2">
        <f t="shared" si="0"/>
        <v>-0.1189686450970632</v>
      </c>
      <c r="G37" s="4">
        <v>39510</v>
      </c>
      <c r="H37" s="13">
        <v>11893.690430000001</v>
      </c>
      <c r="I37" s="2">
        <f t="shared" si="2"/>
        <v>-9.3371923904349202E-2</v>
      </c>
    </row>
    <row r="38" spans="1:9" x14ac:dyDescent="0.25">
      <c r="A38" s="9">
        <v>39517</v>
      </c>
      <c r="B38" s="13">
        <v>1288.1400149999999</v>
      </c>
      <c r="C38" s="2">
        <f t="shared" si="1"/>
        <v>-7.2257996690144266E-2</v>
      </c>
      <c r="D38" s="4">
        <v>39517</v>
      </c>
      <c r="E38" s="13">
        <v>2212.48999</v>
      </c>
      <c r="F38" s="2">
        <f t="shared" si="0"/>
        <v>-0.10080234664011947</v>
      </c>
      <c r="G38" s="4">
        <v>39517</v>
      </c>
      <c r="H38" s="13">
        <v>11951.089844</v>
      </c>
      <c r="I38" s="2">
        <f t="shared" si="2"/>
        <v>-6.2251208989350673E-2</v>
      </c>
    </row>
    <row r="39" spans="1:9" x14ac:dyDescent="0.25">
      <c r="A39" s="9">
        <v>39524</v>
      </c>
      <c r="B39" s="13">
        <v>1329.51001</v>
      </c>
      <c r="C39" s="2">
        <f t="shared" si="1"/>
        <v>-8.2229692510047081E-2</v>
      </c>
      <c r="D39" s="4">
        <v>39524</v>
      </c>
      <c r="E39" s="13">
        <v>2258.110107</v>
      </c>
      <c r="F39" s="2">
        <f t="shared" si="0"/>
        <v>-9.9579917570930807E-2</v>
      </c>
      <c r="G39" s="4">
        <v>39524</v>
      </c>
      <c r="H39" s="13">
        <v>12361.320312</v>
      </c>
      <c r="I39" s="2">
        <f t="shared" si="2"/>
        <v>-7.32450573227834E-2</v>
      </c>
    </row>
    <row r="40" spans="1:9" x14ac:dyDescent="0.25">
      <c r="A40" s="9">
        <v>39531</v>
      </c>
      <c r="B40" s="13">
        <v>1315.219971</v>
      </c>
      <c r="C40" s="2">
        <f t="shared" si="1"/>
        <v>-4.3724639875682897E-2</v>
      </c>
      <c r="D40" s="4">
        <v>39531</v>
      </c>
      <c r="E40" s="13">
        <v>2261.179932</v>
      </c>
      <c r="F40" s="2">
        <f t="shared" si="0"/>
        <v>-5.5856653061224462E-2</v>
      </c>
      <c r="G40" s="4">
        <v>39531</v>
      </c>
      <c r="H40" s="13">
        <v>12216.400390999999</v>
      </c>
      <c r="I40" s="2">
        <f t="shared" si="2"/>
        <v>-4.342999058747346E-2</v>
      </c>
    </row>
    <row r="41" spans="1:9" x14ac:dyDescent="0.25">
      <c r="A41" s="9">
        <v>39538</v>
      </c>
      <c r="B41" s="13">
        <v>1370.400024</v>
      </c>
      <c r="C41" s="2">
        <f t="shared" si="1"/>
        <v>-6.9941313604079638E-2</v>
      </c>
      <c r="D41" s="4">
        <v>39538</v>
      </c>
      <c r="E41" s="13">
        <v>2370.9799800000001</v>
      </c>
      <c r="F41" s="2">
        <f t="shared" si="0"/>
        <v>-8.8007968143354889E-2</v>
      </c>
      <c r="G41" s="4">
        <v>39538</v>
      </c>
      <c r="H41" s="13">
        <v>12609.419921999999</v>
      </c>
      <c r="I41" s="2">
        <f t="shared" si="2"/>
        <v>-6.497466784888932E-2</v>
      </c>
    </row>
    <row r="42" spans="1:9" x14ac:dyDescent="0.25">
      <c r="A42" s="9">
        <v>39545</v>
      </c>
      <c r="B42" s="13">
        <v>1332.829956</v>
      </c>
      <c r="C42" s="2">
        <f t="shared" si="1"/>
        <v>-2.9817384645984244E-2</v>
      </c>
      <c r="D42" s="4">
        <v>39545</v>
      </c>
      <c r="E42" s="13">
        <v>2290.23999</v>
      </c>
      <c r="F42" s="2">
        <f t="shared" si="0"/>
        <v>-4.3117980686908912E-2</v>
      </c>
      <c r="G42" s="4">
        <v>39545</v>
      </c>
      <c r="H42" s="13">
        <v>12325.419921999999</v>
      </c>
      <c r="I42" s="2">
        <f t="shared" si="2"/>
        <v>-2.5227740142701079E-2</v>
      </c>
    </row>
    <row r="43" spans="1:9" x14ac:dyDescent="0.25">
      <c r="A43" s="9">
        <v>39552</v>
      </c>
      <c r="B43" s="13">
        <v>1390.329956</v>
      </c>
      <c r="C43" s="2">
        <f t="shared" si="1"/>
        <v>-2.4576843642252336E-2</v>
      </c>
      <c r="D43" s="4">
        <v>39552</v>
      </c>
      <c r="E43" s="13">
        <v>2402.969971</v>
      </c>
      <c r="F43" s="2">
        <f t="shared" si="0"/>
        <v>-3.5169763265306117E-2</v>
      </c>
      <c r="G43" s="4">
        <v>39552</v>
      </c>
      <c r="H43" s="13">
        <v>12849.360352</v>
      </c>
      <c r="I43" s="2">
        <f t="shared" si="2"/>
        <v>-2.2003624707453987E-2</v>
      </c>
    </row>
    <row r="44" spans="1:9" x14ac:dyDescent="0.25">
      <c r="A44" s="9">
        <v>39559</v>
      </c>
      <c r="B44" s="13">
        <v>1397.839966</v>
      </c>
      <c r="C44" s="2">
        <f t="shared" si="1"/>
        <v>-1.3370015359558549E-2</v>
      </c>
      <c r="D44" s="4">
        <v>39559</v>
      </c>
      <c r="E44" s="13">
        <v>2422.929932</v>
      </c>
      <c r="F44" s="2">
        <f t="shared" si="0"/>
        <v>-1.3642612244897946E-2</v>
      </c>
      <c r="G44" s="4">
        <v>39559</v>
      </c>
      <c r="H44" s="13">
        <v>12891.860352</v>
      </c>
      <c r="I44" s="2">
        <f t="shared" si="2"/>
        <v>-9.3848281118568775E-3</v>
      </c>
    </row>
    <row r="45" spans="1:9" x14ac:dyDescent="0.25">
      <c r="A45" s="9">
        <v>39566</v>
      </c>
      <c r="B45" s="13">
        <v>1413.900024</v>
      </c>
      <c r="C45" s="2">
        <f t="shared" si="1"/>
        <v>-3.124783899932829E-2</v>
      </c>
      <c r="D45" s="4">
        <v>39566</v>
      </c>
      <c r="E45" s="13">
        <v>2476.98999</v>
      </c>
      <c r="F45" s="2">
        <f t="shared" si="0"/>
        <v>-2.6174208063713317E-2</v>
      </c>
      <c r="G45" s="4">
        <v>39566</v>
      </c>
      <c r="H45" s="13">
        <v>13058.200194999999</v>
      </c>
      <c r="I45" s="2">
        <f t="shared" si="2"/>
        <v>-3.3077927845042453E-2</v>
      </c>
    </row>
    <row r="46" spans="1:9" x14ac:dyDescent="0.25">
      <c r="A46" s="9">
        <v>39573</v>
      </c>
      <c r="B46" s="13">
        <v>1388.280029</v>
      </c>
      <c r="C46" s="2">
        <f t="shared" si="1"/>
        <v>-5.3801534357046377E-3</v>
      </c>
      <c r="D46" s="4">
        <v>39573</v>
      </c>
      <c r="E46" s="13">
        <v>2445.5200199999999</v>
      </c>
      <c r="F46" s="2">
        <f t="shared" si="0"/>
        <v>7.0085009457441071E-3</v>
      </c>
      <c r="G46" s="4">
        <v>39573</v>
      </c>
      <c r="H46" s="13">
        <v>12745.879883</v>
      </c>
      <c r="I46" s="2">
        <f t="shared" si="2"/>
        <v>-1.4801371629072371E-2</v>
      </c>
    </row>
    <row r="47" spans="1:9" x14ac:dyDescent="0.25">
      <c r="A47" s="9">
        <v>39580</v>
      </c>
      <c r="B47" s="13">
        <v>1425.349976</v>
      </c>
      <c r="C47" s="2">
        <f t="shared" si="1"/>
        <v>-3.9865743686880596E-2</v>
      </c>
      <c r="D47" s="4">
        <v>39580</v>
      </c>
      <c r="E47" s="13">
        <v>2528.8500979999999</v>
      </c>
      <c r="F47" s="2">
        <f t="shared" si="0"/>
        <v>-2.6512723942259814E-2</v>
      </c>
      <c r="G47" s="4">
        <v>39580</v>
      </c>
      <c r="H47" s="13">
        <v>12986.799805000001</v>
      </c>
      <c r="I47" s="2">
        <f t="shared" si="2"/>
        <v>-5.3276062777619822E-2</v>
      </c>
    </row>
    <row r="48" spans="1:9" x14ac:dyDescent="0.25">
      <c r="A48" s="9">
        <v>39587</v>
      </c>
      <c r="B48" s="13">
        <v>1375.9300539999999</v>
      </c>
      <c r="C48" s="2">
        <f t="shared" si="1"/>
        <v>-2.2804385479003802E-2</v>
      </c>
      <c r="D48" s="4">
        <v>39587</v>
      </c>
      <c r="E48" s="13">
        <v>2444.669922</v>
      </c>
      <c r="F48" s="2">
        <f t="shared" si="0"/>
        <v>4.5435189646590652E-3</v>
      </c>
      <c r="G48" s="4">
        <v>39587</v>
      </c>
      <c r="H48" s="13">
        <v>12479.629883</v>
      </c>
      <c r="I48" s="2">
        <f t="shared" si="2"/>
        <v>-4.1237562505504921E-2</v>
      </c>
    </row>
    <row r="49" spans="1:9" x14ac:dyDescent="0.25">
      <c r="A49" s="9">
        <v>39595</v>
      </c>
      <c r="B49" s="13">
        <v>1400.380005</v>
      </c>
      <c r="C49" s="2">
        <f t="shared" si="1"/>
        <v>-5.0507307454027636E-2</v>
      </c>
      <c r="D49" s="4">
        <v>39594</v>
      </c>
      <c r="E49" s="13">
        <v>2522.6599120000001</v>
      </c>
      <c r="F49" s="2">
        <f t="shared" si="0"/>
        <v>-1.4610230363364894E-2</v>
      </c>
      <c r="G49" s="4">
        <v>39595</v>
      </c>
      <c r="H49" s="13">
        <v>12638.320312</v>
      </c>
      <c r="I49" s="2">
        <f t="shared" si="2"/>
        <v>-7.3745047151419871E-2</v>
      </c>
    </row>
    <row r="50" spans="1:9" x14ac:dyDescent="0.25">
      <c r="A50" s="9">
        <v>39601</v>
      </c>
      <c r="B50" s="13">
        <v>1360.6800539999999</v>
      </c>
      <c r="C50" s="2">
        <f t="shared" si="1"/>
        <v>-5.0960899748305595E-2</v>
      </c>
      <c r="D50" s="4">
        <v>39601</v>
      </c>
      <c r="E50" s="13">
        <v>2474.5600589999999</v>
      </c>
      <c r="F50" s="2">
        <f t="shared" si="0"/>
        <v>-2.2598307615729219E-2</v>
      </c>
      <c r="G50" s="4">
        <v>39601</v>
      </c>
      <c r="H50" s="13">
        <v>12209.809569999999</v>
      </c>
      <c r="I50" s="2">
        <f t="shared" si="2"/>
        <v>-6.6345509615078513E-2</v>
      </c>
    </row>
    <row r="51" spans="1:9" x14ac:dyDescent="0.25">
      <c r="A51" s="9">
        <v>39608</v>
      </c>
      <c r="B51" s="13">
        <v>1360.030029</v>
      </c>
      <c r="C51" s="2">
        <f t="shared" si="1"/>
        <v>-8.0338576375046392E-2</v>
      </c>
      <c r="D51" s="4">
        <v>39608</v>
      </c>
      <c r="E51" s="13">
        <v>2454.5</v>
      </c>
      <c r="F51" s="2">
        <f t="shared" si="0"/>
        <v>-4.1875524937780018E-2</v>
      </c>
      <c r="G51" s="4">
        <v>39608</v>
      </c>
      <c r="H51" s="13">
        <v>12307.349609000001</v>
      </c>
      <c r="I51" s="2">
        <f t="shared" si="2"/>
        <v>-0.10159527034785833</v>
      </c>
    </row>
    <row r="52" spans="1:9" x14ac:dyDescent="0.25">
      <c r="A52" s="9">
        <v>39615</v>
      </c>
      <c r="B52" s="13">
        <v>1317.9300539999999</v>
      </c>
      <c r="C52" s="2">
        <f t="shared" si="1"/>
        <v>-0.10793689561618013</v>
      </c>
      <c r="D52" s="4">
        <v>39615</v>
      </c>
      <c r="E52" s="13">
        <v>2406.0900879999999</v>
      </c>
      <c r="F52" s="2">
        <f t="shared" si="0"/>
        <v>-7.7897508013937258E-2</v>
      </c>
      <c r="G52" s="4">
        <v>39615</v>
      </c>
      <c r="H52" s="13">
        <v>11842.690430000001</v>
      </c>
      <c r="I52" s="2">
        <f t="shared" si="2"/>
        <v>-0.13923629946488317</v>
      </c>
    </row>
    <row r="53" spans="1:9" x14ac:dyDescent="0.25">
      <c r="A53" s="9">
        <v>39622</v>
      </c>
      <c r="B53" s="13">
        <v>1278.380005</v>
      </c>
      <c r="C53" s="2">
        <f t="shared" si="1"/>
        <v>-0.11873894184081778</v>
      </c>
      <c r="D53" s="4">
        <v>39622</v>
      </c>
      <c r="E53" s="13">
        <v>2315.6298830000001</v>
      </c>
      <c r="F53" s="2">
        <f t="shared" si="0"/>
        <v>-0.1058716244897959</v>
      </c>
      <c r="G53" s="4">
        <v>39622</v>
      </c>
      <c r="H53" s="13">
        <v>11346.509765999999</v>
      </c>
      <c r="I53" s="2">
        <f t="shared" si="2"/>
        <v>-0.14363397220835986</v>
      </c>
    </row>
    <row r="54" spans="1:9" x14ac:dyDescent="0.25">
      <c r="A54" s="9">
        <v>39629</v>
      </c>
      <c r="B54" s="13">
        <v>1262.900024</v>
      </c>
      <c r="C54" s="2">
        <f t="shared" si="1"/>
        <v>-0.13507463820816731</v>
      </c>
      <c r="D54" s="4">
        <v>39629</v>
      </c>
      <c r="E54" s="13">
        <v>2245.3798830000001</v>
      </c>
      <c r="F54" s="2">
        <f t="shared" si="0"/>
        <v>-0.10838025764061723</v>
      </c>
      <c r="G54" s="4">
        <v>39629</v>
      </c>
      <c r="H54" s="13">
        <v>11288.540039</v>
      </c>
      <c r="I54" s="2">
        <f t="shared" si="2"/>
        <v>-0.15789594166309992</v>
      </c>
    </row>
    <row r="55" spans="1:9" x14ac:dyDescent="0.25">
      <c r="A55" s="9">
        <v>39636</v>
      </c>
      <c r="B55" s="13">
        <v>1239.48999</v>
      </c>
      <c r="C55" s="2">
        <f t="shared" si="1"/>
        <v>-0.1202880534681066</v>
      </c>
      <c r="D55" s="4">
        <v>39636</v>
      </c>
      <c r="E55" s="13">
        <v>2239.080078</v>
      </c>
      <c r="F55" s="2">
        <f t="shared" si="0"/>
        <v>-9.0978584768541551E-2</v>
      </c>
      <c r="G55" s="4">
        <v>39636</v>
      </c>
      <c r="H55" s="13">
        <v>11100.540039</v>
      </c>
      <c r="I55" s="2">
        <f t="shared" si="2"/>
        <v>-0.12785247540417238</v>
      </c>
    </row>
    <row r="56" spans="1:9" x14ac:dyDescent="0.25">
      <c r="A56" s="9">
        <v>39643</v>
      </c>
      <c r="B56" s="13">
        <v>1260.6800539999999</v>
      </c>
      <c r="C56" s="2">
        <f t="shared" si="1"/>
        <v>-0.12232568195524592</v>
      </c>
      <c r="D56" s="4">
        <v>39643</v>
      </c>
      <c r="E56" s="13">
        <v>2282.780029</v>
      </c>
      <c r="F56" s="2">
        <f t="shared" si="0"/>
        <v>-7.9928311000497756E-2</v>
      </c>
      <c r="G56" s="4">
        <v>39643</v>
      </c>
      <c r="H56" s="13">
        <v>11496.570312</v>
      </c>
      <c r="I56" s="2">
        <f t="shared" si="2"/>
        <v>-0.13740191706401428</v>
      </c>
    </row>
    <row r="57" spans="1:9" x14ac:dyDescent="0.25">
      <c r="A57" s="9">
        <v>39650</v>
      </c>
      <c r="B57" s="13">
        <v>1257.76001</v>
      </c>
      <c r="C57" s="2">
        <f t="shared" si="1"/>
        <v>-0.1205462387393214</v>
      </c>
      <c r="D57" s="4">
        <v>39650</v>
      </c>
      <c r="E57" s="13">
        <v>2310.530029</v>
      </c>
      <c r="F57" s="2">
        <f t="shared" si="0"/>
        <v>-7.9757108611249364E-2</v>
      </c>
      <c r="G57" s="4">
        <v>39650</v>
      </c>
      <c r="H57" s="13">
        <v>11370.690430000001</v>
      </c>
      <c r="I57" s="2">
        <f t="shared" si="2"/>
        <v>-0.14076790253007396</v>
      </c>
    </row>
    <row r="58" spans="1:9" x14ac:dyDescent="0.25">
      <c r="A58" s="9">
        <v>39657</v>
      </c>
      <c r="B58" s="13">
        <v>1260.3100589999999</v>
      </c>
      <c r="C58" s="2">
        <f t="shared" si="1"/>
        <v>-9.5418270951894452E-2</v>
      </c>
      <c r="D58" s="4">
        <v>39657</v>
      </c>
      <c r="E58" s="13">
        <v>2310.959961</v>
      </c>
      <c r="F58" s="2">
        <f t="shared" si="0"/>
        <v>-3.8685874365355942E-2</v>
      </c>
      <c r="G58" s="4">
        <v>39657</v>
      </c>
      <c r="H58" s="13">
        <v>11326.320312</v>
      </c>
      <c r="I58" s="2">
        <f t="shared" si="2"/>
        <v>-0.10981639435170189</v>
      </c>
    </row>
    <row r="59" spans="1:9" x14ac:dyDescent="0.25">
      <c r="A59" s="9">
        <v>39664</v>
      </c>
      <c r="B59" s="13">
        <v>1296.3199460000001</v>
      </c>
      <c r="C59" s="2">
        <f t="shared" si="1"/>
        <v>-9.4106389437792481E-2</v>
      </c>
      <c r="D59" s="4">
        <v>39664</v>
      </c>
      <c r="E59" s="13">
        <v>2414.1000979999999</v>
      </c>
      <c r="F59" s="2">
        <f t="shared" si="0"/>
        <v>-2.3386751617720285E-2</v>
      </c>
      <c r="G59" s="4">
        <v>39664</v>
      </c>
      <c r="H59" s="13">
        <v>11734.320312</v>
      </c>
      <c r="I59" s="2">
        <f t="shared" si="2"/>
        <v>-0.11546200413960708</v>
      </c>
    </row>
    <row r="60" spans="1:9" x14ac:dyDescent="0.25">
      <c r="A60" s="9">
        <v>39671</v>
      </c>
      <c r="B60" s="13">
        <v>1298.1999510000001</v>
      </c>
      <c r="C60" s="2">
        <f t="shared" si="1"/>
        <v>-9.8293234198637211E-2</v>
      </c>
      <c r="D60" s="4">
        <v>39671</v>
      </c>
      <c r="E60" s="13">
        <v>2452.5200199999999</v>
      </c>
      <c r="F60" s="2">
        <f t="shared" si="0"/>
        <v>-3.844302200099551E-2</v>
      </c>
      <c r="G60" s="4">
        <v>39671</v>
      </c>
      <c r="H60" s="13">
        <v>11659.900390999999</v>
      </c>
      <c r="I60" s="2">
        <f t="shared" si="2"/>
        <v>-0.1178774978444786</v>
      </c>
    </row>
    <row r="61" spans="1:9" x14ac:dyDescent="0.25">
      <c r="A61" s="9">
        <v>39678</v>
      </c>
      <c r="B61" s="13">
        <v>1292.1999510000001</v>
      </c>
      <c r="C61" s="2">
        <f t="shared" si="1"/>
        <v>-0.10483168661111912</v>
      </c>
      <c r="D61" s="4">
        <v>39678</v>
      </c>
      <c r="E61" s="13">
        <v>2414.709961</v>
      </c>
      <c r="F61" s="2">
        <f t="shared" si="0"/>
        <v>-5.7234437033349954E-2</v>
      </c>
      <c r="G61" s="4">
        <v>39678</v>
      </c>
      <c r="H61" s="13">
        <v>11628.059569999999</v>
      </c>
      <c r="I61" s="2">
        <f t="shared" si="2"/>
        <v>-0.12425742366742311</v>
      </c>
    </row>
    <row r="62" spans="1:9" x14ac:dyDescent="0.25">
      <c r="A62" s="9">
        <v>39685</v>
      </c>
      <c r="B62" s="13">
        <v>1282.829956</v>
      </c>
      <c r="C62" s="2">
        <f t="shared" si="1"/>
        <v>-0.13310677302185561</v>
      </c>
      <c r="D62" s="4">
        <v>39685</v>
      </c>
      <c r="E62" s="13">
        <v>2367.5200199999999</v>
      </c>
      <c r="F62" s="2">
        <f t="shared" si="0"/>
        <v>-0.10169043982080635</v>
      </c>
      <c r="G62" s="4">
        <v>39685</v>
      </c>
      <c r="H62" s="13">
        <v>11543.959961</v>
      </c>
      <c r="I62" s="2">
        <f t="shared" si="2"/>
        <v>-0.148760700975301</v>
      </c>
    </row>
    <row r="63" spans="1:9" x14ac:dyDescent="0.25">
      <c r="A63" s="9">
        <v>39693</v>
      </c>
      <c r="B63" s="13">
        <v>1242.3100589999999</v>
      </c>
      <c r="C63" s="2">
        <f t="shared" si="1"/>
        <v>-0.12655443633433919</v>
      </c>
      <c r="D63" s="4">
        <v>39692</v>
      </c>
      <c r="E63" s="13">
        <v>2255.8798830000001</v>
      </c>
      <c r="F63" s="2">
        <f t="shared" si="0"/>
        <v>-9.9544043802887033E-2</v>
      </c>
      <c r="G63" s="4">
        <v>39693</v>
      </c>
      <c r="H63" s="13">
        <v>11220.959961</v>
      </c>
      <c r="I63" s="2">
        <f t="shared" si="2"/>
        <v>-0.13351023494868364</v>
      </c>
    </row>
    <row r="64" spans="1:9" x14ac:dyDescent="0.25">
      <c r="A64" s="9">
        <v>39699</v>
      </c>
      <c r="B64" s="13">
        <v>1251.6999510000001</v>
      </c>
      <c r="C64" s="2">
        <f t="shared" si="1"/>
        <v>-0.12419584363002603</v>
      </c>
      <c r="D64" s="4">
        <v>39699</v>
      </c>
      <c r="E64" s="13">
        <v>2261.2700199999999</v>
      </c>
      <c r="F64" s="2">
        <f t="shared" si="0"/>
        <v>-9.4514722946739627E-2</v>
      </c>
      <c r="G64" s="4">
        <v>39699</v>
      </c>
      <c r="H64" s="13">
        <v>11421.990234000001</v>
      </c>
      <c r="I64" s="2">
        <f t="shared" si="2"/>
        <v>-0.13605537473517579</v>
      </c>
    </row>
    <row r="65" spans="1:9" x14ac:dyDescent="0.25">
      <c r="A65" s="9">
        <v>39706</v>
      </c>
      <c r="B65" s="13">
        <v>1255.079956</v>
      </c>
      <c r="C65" s="2">
        <f t="shared" si="1"/>
        <v>-0.15337112887883508</v>
      </c>
      <c r="D65" s="4">
        <v>39706</v>
      </c>
      <c r="E65" s="13">
        <v>2273.8999020000001</v>
      </c>
      <c r="F65" s="2">
        <f t="shared" si="0"/>
        <v>-0.13057637112991541</v>
      </c>
      <c r="G65" s="4">
        <v>39706</v>
      </c>
      <c r="H65" s="13">
        <v>11388.440430000001</v>
      </c>
      <c r="I65" s="2">
        <f t="shared" si="2"/>
        <v>-0.15466501052368425</v>
      </c>
    </row>
    <row r="66" spans="1:9" x14ac:dyDescent="0.25">
      <c r="A66" s="9">
        <v>39713</v>
      </c>
      <c r="B66" s="13">
        <v>1213.2700199999999</v>
      </c>
      <c r="C66" s="2">
        <f t="shared" si="1"/>
        <v>-0.23294911954558903</v>
      </c>
      <c r="D66" s="4">
        <v>39713</v>
      </c>
      <c r="E66" s="13">
        <v>2183.3400879999999</v>
      </c>
      <c r="F66" s="2">
        <f t="shared" si="0"/>
        <v>-0.22453359283225488</v>
      </c>
      <c r="G66" s="4">
        <v>39713</v>
      </c>
      <c r="H66" s="13">
        <v>11143.129883</v>
      </c>
      <c r="I66" s="2">
        <f t="shared" si="2"/>
        <v>-0.21670078457482095</v>
      </c>
    </row>
    <row r="67" spans="1:9" x14ac:dyDescent="0.25">
      <c r="A67" s="9">
        <v>39720</v>
      </c>
      <c r="B67" s="13">
        <v>1099.2299800000001</v>
      </c>
      <c r="C67" s="2">
        <f t="shared" si="1"/>
        <v>-0.37251759592861555</v>
      </c>
      <c r="D67" s="4">
        <v>39720</v>
      </c>
      <c r="E67" s="13">
        <v>1947.3900149999999</v>
      </c>
      <c r="F67" s="2">
        <f t="shared" si="0"/>
        <v>-0.34315181284221008</v>
      </c>
      <c r="G67" s="4">
        <v>39720</v>
      </c>
      <c r="H67" s="13">
        <v>10325.379883</v>
      </c>
      <c r="I67" s="2">
        <f t="shared" si="2"/>
        <v>-0.35887968208057625</v>
      </c>
    </row>
    <row r="68" spans="1:9" x14ac:dyDescent="0.25">
      <c r="A68" s="9">
        <v>39727</v>
      </c>
      <c r="B68" s="13">
        <v>899.21997099999999</v>
      </c>
      <c r="C68" s="2">
        <f t="shared" si="1"/>
        <v>-0.34367720173826988</v>
      </c>
      <c r="D68" s="4">
        <v>39727</v>
      </c>
      <c r="E68" s="13">
        <v>1649.51001</v>
      </c>
      <c r="F68" s="2">
        <f t="shared" si="0"/>
        <v>-0.31855050711796917</v>
      </c>
      <c r="G68" s="4">
        <v>39727</v>
      </c>
      <c r="H68" s="13">
        <v>8451.1904300000006</v>
      </c>
      <c r="I68" s="2">
        <f t="shared" si="2"/>
        <v>-0.32845698216424712</v>
      </c>
    </row>
    <row r="69" spans="1:9" x14ac:dyDescent="0.25">
      <c r="A69" s="9">
        <v>39734</v>
      </c>
      <c r="B69" s="13">
        <v>940.54998799999998</v>
      </c>
      <c r="C69" s="2">
        <f t="shared" si="1"/>
        <v>-0.38818333921621068</v>
      </c>
      <c r="D69" s="4">
        <v>39734</v>
      </c>
      <c r="E69" s="13">
        <v>1711.290039</v>
      </c>
      <c r="F69" s="2">
        <f t="shared" si="0"/>
        <v>-0.38196912732702837</v>
      </c>
      <c r="G69" s="4">
        <v>39734</v>
      </c>
      <c r="H69" s="13">
        <v>8852.2197269999997</v>
      </c>
      <c r="I69" s="2">
        <f t="shared" si="2"/>
        <v>-0.36435993753256168</v>
      </c>
    </row>
    <row r="70" spans="1:9" x14ac:dyDescent="0.25">
      <c r="A70" s="9">
        <v>39741</v>
      </c>
      <c r="B70" s="13">
        <v>876.77002000000005</v>
      </c>
      <c r="C70" s="2">
        <f t="shared" si="1"/>
        <v>-0.32399902298861011</v>
      </c>
      <c r="D70" s="4">
        <v>39741</v>
      </c>
      <c r="E70" s="13">
        <v>1552.030029</v>
      </c>
      <c r="F70" s="2">
        <f t="shared" ref="F70:F133" si="3">(E71-$E$6)/$E$6</f>
        <v>-0.31470385226480835</v>
      </c>
      <c r="G70" s="4">
        <v>39741</v>
      </c>
      <c r="H70" s="13">
        <v>8378.9501949999994</v>
      </c>
      <c r="I70" s="2">
        <f t="shared" si="2"/>
        <v>-0.29259040187316543</v>
      </c>
    </row>
    <row r="71" spans="1:9" x14ac:dyDescent="0.25">
      <c r="A71" s="9">
        <v>39748</v>
      </c>
      <c r="B71" s="13">
        <v>968.75</v>
      </c>
      <c r="C71" s="2">
        <f t="shared" ref="C71:C134" si="4">(B72-$B$6)/$B$6</f>
        <v>-0.35034823966160089</v>
      </c>
      <c r="D71" s="4">
        <v>39748</v>
      </c>
      <c r="E71" s="13">
        <v>1720.9499510000001</v>
      </c>
      <c r="F71" s="2">
        <f t="shared" si="3"/>
        <v>-0.3439920262817322</v>
      </c>
      <c r="G71" s="4">
        <v>39748</v>
      </c>
      <c r="H71" s="13">
        <v>9325.0097659999992</v>
      </c>
      <c r="I71" s="2">
        <f t="shared" ref="I71:I134" si="5">(H72-$H$6)/$H$6</f>
        <v>-0.32150883565770227</v>
      </c>
    </row>
    <row r="72" spans="1:9" x14ac:dyDescent="0.25">
      <c r="A72" s="9">
        <v>39755</v>
      </c>
      <c r="B72" s="13">
        <v>930.98999000000003</v>
      </c>
      <c r="C72" s="2">
        <f t="shared" si="4"/>
        <v>-0.39061173848541397</v>
      </c>
      <c r="D72" s="4">
        <v>39755</v>
      </c>
      <c r="E72" s="13">
        <v>1647.400024</v>
      </c>
      <c r="F72" s="2">
        <f t="shared" si="3"/>
        <v>-0.39597810811348932</v>
      </c>
      <c r="G72" s="4">
        <v>39755</v>
      </c>
      <c r="H72" s="13">
        <v>8943.8095699999994</v>
      </c>
      <c r="I72" s="2">
        <f t="shared" si="5"/>
        <v>-0.35538101311270998</v>
      </c>
    </row>
    <row r="73" spans="1:9" x14ac:dyDescent="0.25">
      <c r="A73" s="9">
        <v>39762</v>
      </c>
      <c r="B73" s="13">
        <v>873.28997800000002</v>
      </c>
      <c r="C73" s="2">
        <f t="shared" si="4"/>
        <v>-0.44173307742714774</v>
      </c>
      <c r="D73" s="4">
        <v>39762</v>
      </c>
      <c r="E73" s="13">
        <v>1516.849976</v>
      </c>
      <c r="F73" s="2">
        <f t="shared" si="3"/>
        <v>-0.44874067655550026</v>
      </c>
      <c r="G73" s="4">
        <v>39762</v>
      </c>
      <c r="H73" s="13">
        <v>8497.3095699999994</v>
      </c>
      <c r="I73" s="2">
        <f t="shared" si="5"/>
        <v>-0.38958619602353173</v>
      </c>
    </row>
    <row r="74" spans="1:9" x14ac:dyDescent="0.25">
      <c r="A74" s="9">
        <v>39769</v>
      </c>
      <c r="B74" s="13">
        <v>800.03002900000001</v>
      </c>
      <c r="C74" s="2">
        <f t="shared" si="4"/>
        <v>-0.37459704890149331</v>
      </c>
      <c r="D74" s="4">
        <v>39769</v>
      </c>
      <c r="E74" s="13">
        <v>1384.349976</v>
      </c>
      <c r="F74" s="2">
        <f t="shared" si="3"/>
        <v>-0.38852366510701841</v>
      </c>
      <c r="G74" s="4">
        <v>39769</v>
      </c>
      <c r="H74" s="13">
        <v>8046.419922</v>
      </c>
      <c r="I74" s="2">
        <f t="shared" si="5"/>
        <v>-0.33021542898460038</v>
      </c>
    </row>
    <row r="75" spans="1:9" x14ac:dyDescent="0.25">
      <c r="A75" s="9">
        <v>39776</v>
      </c>
      <c r="B75" s="13">
        <v>896.23999000000003</v>
      </c>
      <c r="C75" s="2">
        <f t="shared" si="4"/>
        <v>-0.38867181350980623</v>
      </c>
      <c r="D75" s="4">
        <v>39776</v>
      </c>
      <c r="E75" s="13">
        <v>1535.5699460000001</v>
      </c>
      <c r="F75" s="2">
        <f t="shared" si="3"/>
        <v>-0.39898056386261826</v>
      </c>
      <c r="G75" s="4">
        <v>39776</v>
      </c>
      <c r="H75" s="13">
        <v>8829.0400389999995</v>
      </c>
      <c r="I75" s="2">
        <f t="shared" si="5"/>
        <v>-0.34490374916798977</v>
      </c>
    </row>
    <row r="76" spans="1:9" x14ac:dyDescent="0.25">
      <c r="A76" s="9">
        <v>39783</v>
      </c>
      <c r="B76" s="13">
        <v>876.07000700000003</v>
      </c>
      <c r="C76" s="2">
        <f t="shared" si="4"/>
        <v>-0.38611785704649243</v>
      </c>
      <c r="D76" s="4">
        <v>39783</v>
      </c>
      <c r="E76" s="13">
        <v>1509.3100589999999</v>
      </c>
      <c r="F76" s="2">
        <f t="shared" si="3"/>
        <v>-0.38647288362369336</v>
      </c>
      <c r="G76" s="4">
        <v>39783</v>
      </c>
      <c r="H76" s="13">
        <v>8635.4199219999991</v>
      </c>
      <c r="I76" s="2">
        <f t="shared" si="5"/>
        <v>-0.34533921215719743</v>
      </c>
    </row>
    <row r="77" spans="1:9" x14ac:dyDescent="0.25">
      <c r="A77" s="9">
        <v>39790</v>
      </c>
      <c r="B77" s="13">
        <v>879.72997999999995</v>
      </c>
      <c r="C77" s="2">
        <f t="shared" si="4"/>
        <v>-0.38043070880115848</v>
      </c>
      <c r="D77" s="4">
        <v>39790</v>
      </c>
      <c r="E77" s="13">
        <v>1540.719971</v>
      </c>
      <c r="F77" s="2">
        <f t="shared" si="3"/>
        <v>-0.37707518327526129</v>
      </c>
      <c r="G77" s="4">
        <v>39790</v>
      </c>
      <c r="H77" s="13">
        <v>8629.6796880000002</v>
      </c>
      <c r="I77" s="2">
        <f t="shared" si="5"/>
        <v>-0.34917547984538094</v>
      </c>
    </row>
    <row r="78" spans="1:9" x14ac:dyDescent="0.25">
      <c r="A78" s="9">
        <v>39797</v>
      </c>
      <c r="B78" s="13">
        <v>887.88000499999998</v>
      </c>
      <c r="C78" s="2">
        <f t="shared" si="4"/>
        <v>-0.39095365716280839</v>
      </c>
      <c r="D78" s="4">
        <v>39797</v>
      </c>
      <c r="E78" s="13">
        <v>1564.3199460000001</v>
      </c>
      <c r="F78" s="2">
        <f t="shared" si="3"/>
        <v>-0.39064609656545546</v>
      </c>
      <c r="G78" s="4">
        <v>39797</v>
      </c>
      <c r="H78" s="13">
        <v>8579.1103519999997</v>
      </c>
      <c r="I78" s="2">
        <f t="shared" si="5"/>
        <v>-0.35399728080197967</v>
      </c>
    </row>
    <row r="79" spans="1:9" x14ac:dyDescent="0.25">
      <c r="A79" s="9">
        <v>39804</v>
      </c>
      <c r="B79" s="13">
        <v>872.79998799999998</v>
      </c>
      <c r="C79" s="2">
        <f t="shared" si="4"/>
        <v>-0.34978301701450182</v>
      </c>
      <c r="D79" s="4">
        <v>39804</v>
      </c>
      <c r="E79" s="13">
        <v>1530.23999</v>
      </c>
      <c r="F79" s="2">
        <f t="shared" si="3"/>
        <v>-0.35004083185664508</v>
      </c>
      <c r="G79" s="4">
        <v>39804</v>
      </c>
      <c r="H79" s="13">
        <v>8515.5498050000006</v>
      </c>
      <c r="I79" s="2">
        <f t="shared" si="5"/>
        <v>-0.31461447369312501</v>
      </c>
    </row>
    <row r="80" spans="1:9" x14ac:dyDescent="0.25">
      <c r="A80" s="9">
        <v>39811</v>
      </c>
      <c r="B80" s="13">
        <v>931.79998799999998</v>
      </c>
      <c r="C80" s="2">
        <f t="shared" si="4"/>
        <v>-0.37870714461102706</v>
      </c>
      <c r="D80" s="4">
        <v>39811</v>
      </c>
      <c r="E80" s="13">
        <v>1632.209961</v>
      </c>
      <c r="F80" s="2">
        <f t="shared" si="3"/>
        <v>-0.37418020268790442</v>
      </c>
      <c r="G80" s="4">
        <v>39811</v>
      </c>
      <c r="H80" s="13">
        <v>9034.6904300000006</v>
      </c>
      <c r="I80" s="2">
        <f t="shared" si="5"/>
        <v>-0.34765298911661008</v>
      </c>
    </row>
    <row r="81" spans="1:9" x14ac:dyDescent="0.25">
      <c r="A81" s="9">
        <v>39818</v>
      </c>
      <c r="B81" s="13">
        <v>890.34997599999997</v>
      </c>
      <c r="C81" s="2">
        <f t="shared" si="4"/>
        <v>-0.40677992547414926</v>
      </c>
      <c r="D81" s="4">
        <v>39818</v>
      </c>
      <c r="E81" s="13">
        <v>1571.589966</v>
      </c>
      <c r="F81" s="2">
        <f t="shared" si="3"/>
        <v>-0.39100847944250872</v>
      </c>
      <c r="G81" s="4">
        <v>39818</v>
      </c>
      <c r="H81" s="13">
        <v>8599.1796880000002</v>
      </c>
      <c r="I81" s="2">
        <f t="shared" si="5"/>
        <v>-0.37177392130603748</v>
      </c>
    </row>
    <row r="82" spans="1:9" x14ac:dyDescent="0.25">
      <c r="A82" s="9">
        <v>39825</v>
      </c>
      <c r="B82" s="13">
        <v>850.11999500000002</v>
      </c>
      <c r="C82" s="2">
        <f t="shared" si="4"/>
        <v>-0.41945907516218056</v>
      </c>
      <c r="D82" s="4">
        <v>39825</v>
      </c>
      <c r="E82" s="13">
        <v>1529.329956</v>
      </c>
      <c r="F82" s="2">
        <f t="shared" si="3"/>
        <v>-0.41173119402687908</v>
      </c>
      <c r="G82" s="4">
        <v>39825</v>
      </c>
      <c r="H82" s="13">
        <v>8281.2197269999997</v>
      </c>
      <c r="I82" s="2">
        <f t="shared" si="5"/>
        <v>-0.38722385728571035</v>
      </c>
    </row>
    <row r="83" spans="1:9" x14ac:dyDescent="0.25">
      <c r="A83" s="9">
        <v>39833</v>
      </c>
      <c r="B83" s="13">
        <v>831.95001200000002</v>
      </c>
      <c r="C83" s="2">
        <f t="shared" si="4"/>
        <v>-0.42369477132988742</v>
      </c>
      <c r="D83" s="4">
        <v>39832</v>
      </c>
      <c r="E83" s="13">
        <v>1477.290039</v>
      </c>
      <c r="F83" s="2">
        <f t="shared" si="3"/>
        <v>-0.41207763305126932</v>
      </c>
      <c r="G83" s="4">
        <v>39833</v>
      </c>
      <c r="H83" s="13">
        <v>8077.5600590000004</v>
      </c>
      <c r="I83" s="2">
        <f t="shared" si="5"/>
        <v>-0.39304245224594747</v>
      </c>
    </row>
    <row r="84" spans="1:9" x14ac:dyDescent="0.25">
      <c r="A84" s="9">
        <v>39839</v>
      </c>
      <c r="B84" s="13">
        <v>825.88000499999998</v>
      </c>
      <c r="C84" s="2">
        <f t="shared" si="4"/>
        <v>-0.39388445686908924</v>
      </c>
      <c r="D84" s="4">
        <v>39839</v>
      </c>
      <c r="E84" s="13">
        <v>1476.420044</v>
      </c>
      <c r="F84" s="2">
        <f t="shared" si="3"/>
        <v>-0.36616825843703332</v>
      </c>
      <c r="G84" s="4">
        <v>39839</v>
      </c>
      <c r="H84" s="13">
        <v>8000.8598629999997</v>
      </c>
      <c r="I84" s="2">
        <f t="shared" si="5"/>
        <v>-0.37182170520021862</v>
      </c>
    </row>
    <row r="85" spans="1:9" x14ac:dyDescent="0.25">
      <c r="A85" s="9">
        <v>39846</v>
      </c>
      <c r="B85" s="13">
        <v>868.59997599999997</v>
      </c>
      <c r="C85" s="2">
        <f t="shared" si="4"/>
        <v>-0.42302486081638813</v>
      </c>
      <c r="D85" s="4">
        <v>39846</v>
      </c>
      <c r="E85" s="13">
        <v>1591.709961</v>
      </c>
      <c r="F85" s="2">
        <f t="shared" si="3"/>
        <v>-0.38900548133399698</v>
      </c>
      <c r="G85" s="4">
        <v>39846</v>
      </c>
      <c r="H85" s="13">
        <v>8280.5898440000001</v>
      </c>
      <c r="I85" s="2">
        <f t="shared" si="5"/>
        <v>-0.40445579865929104</v>
      </c>
    </row>
    <row r="86" spans="1:9" x14ac:dyDescent="0.25">
      <c r="A86" s="9">
        <v>39853</v>
      </c>
      <c r="B86" s="13">
        <v>826.84002699999996</v>
      </c>
      <c r="C86" s="2">
        <f t="shared" si="4"/>
        <v>-0.46265337369227449</v>
      </c>
      <c r="D86" s="4">
        <v>39853</v>
      </c>
      <c r="E86" s="13">
        <v>1534.3599850000001</v>
      </c>
      <c r="F86" s="2">
        <f t="shared" si="3"/>
        <v>-0.42609060029865603</v>
      </c>
      <c r="G86" s="4">
        <v>39853</v>
      </c>
      <c r="H86" s="13">
        <v>7850.4101559999999</v>
      </c>
      <c r="I86" s="2">
        <f t="shared" si="5"/>
        <v>-0.44122893914222489</v>
      </c>
    </row>
    <row r="87" spans="1:9" x14ac:dyDescent="0.25">
      <c r="A87" s="9">
        <v>39861</v>
      </c>
      <c r="B87" s="13">
        <v>770.04998799999998</v>
      </c>
      <c r="C87" s="2">
        <f t="shared" si="4"/>
        <v>-0.48704869528430561</v>
      </c>
      <c r="D87" s="4">
        <v>39860</v>
      </c>
      <c r="E87" s="13">
        <v>1441.2299800000001</v>
      </c>
      <c r="F87" s="2">
        <f t="shared" si="3"/>
        <v>-0.4513330150323544</v>
      </c>
      <c r="G87" s="4">
        <v>39861</v>
      </c>
      <c r="H87" s="13">
        <v>7365.669922</v>
      </c>
      <c r="I87" s="2">
        <f t="shared" si="5"/>
        <v>-0.46419524238790449</v>
      </c>
    </row>
    <row r="88" spans="1:9" x14ac:dyDescent="0.25">
      <c r="A88" s="9">
        <v>39867</v>
      </c>
      <c r="B88" s="13">
        <v>735.09002699999996</v>
      </c>
      <c r="C88" s="2">
        <f t="shared" si="4"/>
        <v>-0.52313233439994988</v>
      </c>
      <c r="D88" s="4">
        <v>39867</v>
      </c>
      <c r="E88" s="13">
        <v>1377.839966</v>
      </c>
      <c r="F88" s="2">
        <f t="shared" si="3"/>
        <v>-0.484778506321553</v>
      </c>
      <c r="G88" s="4">
        <v>39867</v>
      </c>
      <c r="H88" s="13">
        <v>7062.9301759999998</v>
      </c>
      <c r="I88" s="2">
        <f t="shared" si="5"/>
        <v>-0.49727013288862232</v>
      </c>
    </row>
    <row r="89" spans="1:9" x14ac:dyDescent="0.25">
      <c r="A89" s="9">
        <v>39874</v>
      </c>
      <c r="B89" s="13">
        <v>683.38000499999998</v>
      </c>
      <c r="C89" s="2">
        <f t="shared" si="4"/>
        <v>-0.47207377440417519</v>
      </c>
      <c r="D89" s="4">
        <v>39874</v>
      </c>
      <c r="E89" s="13">
        <v>1293.849976</v>
      </c>
      <c r="F89" s="2">
        <f t="shared" si="3"/>
        <v>-0.4299651567944251</v>
      </c>
      <c r="G89" s="4">
        <v>39874</v>
      </c>
      <c r="H89" s="13">
        <v>6626.9399409999996</v>
      </c>
      <c r="I89" s="2">
        <f t="shared" si="5"/>
        <v>-0.45197775629567111</v>
      </c>
    </row>
    <row r="90" spans="1:9" x14ac:dyDescent="0.25">
      <c r="A90" s="9">
        <v>39881</v>
      </c>
      <c r="B90" s="13">
        <v>756.54998799999998</v>
      </c>
      <c r="C90" s="2">
        <f t="shared" si="4"/>
        <v>-0.4637070699351617</v>
      </c>
      <c r="D90" s="4">
        <v>39881</v>
      </c>
      <c r="E90" s="13">
        <v>1431.5</v>
      </c>
      <c r="F90" s="2">
        <f t="shared" si="3"/>
        <v>-0.41970332702837237</v>
      </c>
      <c r="G90" s="4">
        <v>39881</v>
      </c>
      <c r="H90" s="13">
        <v>7223.9799800000001</v>
      </c>
      <c r="I90" s="2">
        <f t="shared" si="5"/>
        <v>-0.44785089589712423</v>
      </c>
    </row>
    <row r="91" spans="1:9" x14ac:dyDescent="0.25">
      <c r="A91" s="9">
        <v>39888</v>
      </c>
      <c r="B91" s="13">
        <v>768.53997800000002</v>
      </c>
      <c r="C91" s="2">
        <f t="shared" si="4"/>
        <v>-0.43063097957710922</v>
      </c>
      <c r="D91" s="4">
        <v>39888</v>
      </c>
      <c r="E91" s="13">
        <v>1457.2700199999999</v>
      </c>
      <c r="F91" s="2">
        <f t="shared" si="3"/>
        <v>-0.38468891946241907</v>
      </c>
      <c r="G91" s="4">
        <v>39888</v>
      </c>
      <c r="H91" s="13">
        <v>7278.3798829999996</v>
      </c>
      <c r="I91" s="2">
        <f t="shared" si="5"/>
        <v>-0.41008699923049302</v>
      </c>
    </row>
    <row r="92" spans="1:9" x14ac:dyDescent="0.25">
      <c r="A92" s="9">
        <v>39895</v>
      </c>
      <c r="B92" s="13">
        <v>815.94000200000005</v>
      </c>
      <c r="C92" s="2">
        <f t="shared" si="4"/>
        <v>-0.41209721483138478</v>
      </c>
      <c r="D92" s="4">
        <v>39895</v>
      </c>
      <c r="E92" s="13">
        <v>1545.1999510000001</v>
      </c>
      <c r="F92" s="2">
        <f t="shared" si="3"/>
        <v>-0.35415828969636637</v>
      </c>
      <c r="G92" s="4">
        <v>39895</v>
      </c>
      <c r="H92" s="13">
        <v>7776.1801759999998</v>
      </c>
      <c r="I92" s="2">
        <f t="shared" si="5"/>
        <v>-0.39177329012892415</v>
      </c>
    </row>
    <row r="93" spans="1:9" x14ac:dyDescent="0.25">
      <c r="A93" s="9">
        <v>39902</v>
      </c>
      <c r="B93" s="13">
        <v>842.5</v>
      </c>
      <c r="C93" s="2">
        <f t="shared" si="4"/>
        <v>-0.40228604333742024</v>
      </c>
      <c r="D93" s="4">
        <v>39902</v>
      </c>
      <c r="E93" s="13">
        <v>1621.869995</v>
      </c>
      <c r="F93" s="2">
        <f t="shared" si="3"/>
        <v>-0.34194523086112494</v>
      </c>
      <c r="G93" s="4">
        <v>39902</v>
      </c>
      <c r="H93" s="13">
        <v>8017.5898440000001</v>
      </c>
      <c r="I93" s="2">
        <f t="shared" si="5"/>
        <v>-0.38678235647656167</v>
      </c>
    </row>
    <row r="94" spans="1:9" x14ac:dyDescent="0.25">
      <c r="A94" s="9">
        <v>39909</v>
      </c>
      <c r="B94" s="13">
        <v>856.55999799999995</v>
      </c>
      <c r="C94" s="2">
        <f t="shared" si="4"/>
        <v>-0.39318664940894843</v>
      </c>
      <c r="D94" s="4">
        <v>39909</v>
      </c>
      <c r="E94" s="13">
        <v>1652.540039</v>
      </c>
      <c r="F94" s="2">
        <f t="shared" si="3"/>
        <v>-0.33377005634644097</v>
      </c>
      <c r="G94" s="4">
        <v>39909</v>
      </c>
      <c r="H94" s="13">
        <v>8083.3798829999996</v>
      </c>
      <c r="I94" s="2">
        <f t="shared" si="5"/>
        <v>-0.38314478085720616</v>
      </c>
    </row>
    <row r="95" spans="1:9" x14ac:dyDescent="0.25">
      <c r="A95" s="9">
        <v>39916</v>
      </c>
      <c r="B95" s="13">
        <v>869.59997599999997</v>
      </c>
      <c r="C95" s="2">
        <f t="shared" si="4"/>
        <v>-0.39553825775839307</v>
      </c>
      <c r="D95" s="4">
        <v>39916</v>
      </c>
      <c r="E95" s="13">
        <v>1673.0699460000001</v>
      </c>
      <c r="F95" s="2">
        <f t="shared" si="3"/>
        <v>-0.32532004420109506</v>
      </c>
      <c r="G95" s="4">
        <v>39916</v>
      </c>
      <c r="H95" s="13">
        <v>8131.330078</v>
      </c>
      <c r="I95" s="2">
        <f t="shared" si="5"/>
        <v>-0.38732020295830027</v>
      </c>
    </row>
    <row r="96" spans="1:9" x14ac:dyDescent="0.25">
      <c r="A96" s="9">
        <v>39923</v>
      </c>
      <c r="B96" s="13">
        <v>866.22997999999995</v>
      </c>
      <c r="C96" s="2">
        <f t="shared" si="4"/>
        <v>-0.3876599836211051</v>
      </c>
      <c r="D96" s="4">
        <v>39923</v>
      </c>
      <c r="E96" s="13">
        <v>1694.290039</v>
      </c>
      <c r="F96" s="2">
        <f t="shared" si="3"/>
        <v>-0.31540071637630662</v>
      </c>
      <c r="G96" s="4">
        <v>39923</v>
      </c>
      <c r="H96" s="13">
        <v>8076.2900390000004</v>
      </c>
      <c r="I96" s="2">
        <f t="shared" si="5"/>
        <v>-0.37699392130495113</v>
      </c>
    </row>
    <row r="97" spans="1:9" x14ac:dyDescent="0.25">
      <c r="A97" s="9">
        <v>39930</v>
      </c>
      <c r="B97" s="13">
        <v>877.52002000000005</v>
      </c>
      <c r="C97" s="2">
        <f t="shared" si="4"/>
        <v>-0.35157638776952332</v>
      </c>
      <c r="D97" s="4">
        <v>39930</v>
      </c>
      <c r="E97" s="13">
        <v>1719.1999510000001</v>
      </c>
      <c r="F97" s="2">
        <f t="shared" si="3"/>
        <v>-0.30751617720258834</v>
      </c>
      <c r="G97" s="4">
        <v>39930</v>
      </c>
      <c r="H97" s="13">
        <v>8212.4101559999999</v>
      </c>
      <c r="I97" s="2">
        <f t="shared" si="5"/>
        <v>-0.34951381935363274</v>
      </c>
    </row>
    <row r="98" spans="1:9" x14ac:dyDescent="0.25">
      <c r="A98" s="9">
        <v>39937</v>
      </c>
      <c r="B98" s="13">
        <v>929.22997999999995</v>
      </c>
      <c r="C98" s="2">
        <f t="shared" si="4"/>
        <v>-0.38391974610186241</v>
      </c>
      <c r="D98" s="4">
        <v>39937</v>
      </c>
      <c r="E98" s="13">
        <v>1739</v>
      </c>
      <c r="F98" s="2">
        <f t="shared" si="3"/>
        <v>-0.33095469785963166</v>
      </c>
      <c r="G98" s="4">
        <v>39937</v>
      </c>
      <c r="H98" s="13">
        <v>8574.6503909999992</v>
      </c>
      <c r="I98" s="2">
        <f t="shared" si="5"/>
        <v>-0.3727282654679322</v>
      </c>
    </row>
    <row r="99" spans="1:9" x14ac:dyDescent="0.25">
      <c r="A99" s="9">
        <v>39944</v>
      </c>
      <c r="B99" s="13">
        <v>882.88000499999998</v>
      </c>
      <c r="C99" s="2">
        <f t="shared" si="4"/>
        <v>-0.38104478285511967</v>
      </c>
      <c r="D99" s="4">
        <v>39944</v>
      </c>
      <c r="E99" s="13">
        <v>1680.1400149999999</v>
      </c>
      <c r="F99" s="2">
        <f t="shared" si="3"/>
        <v>-0.32622797013439525</v>
      </c>
      <c r="G99" s="4">
        <v>39944</v>
      </c>
      <c r="H99" s="13">
        <v>8268.6396480000003</v>
      </c>
      <c r="I99" s="2">
        <f t="shared" si="5"/>
        <v>-0.37206973693168299</v>
      </c>
    </row>
    <row r="100" spans="1:9" x14ac:dyDescent="0.25">
      <c r="A100" s="9">
        <v>39951</v>
      </c>
      <c r="B100" s="13">
        <v>887</v>
      </c>
      <c r="C100" s="2">
        <f t="shared" si="4"/>
        <v>-0.35861724061908279</v>
      </c>
      <c r="D100" s="4">
        <v>39951</v>
      </c>
      <c r="E100" s="13">
        <v>1692.01001</v>
      </c>
      <c r="F100" s="2">
        <f t="shared" si="3"/>
        <v>-0.29344750383275259</v>
      </c>
      <c r="G100" s="4">
        <v>39951</v>
      </c>
      <c r="H100" s="13">
        <v>8277.3203119999998</v>
      </c>
      <c r="I100" s="2">
        <f t="shared" si="5"/>
        <v>-0.35515187272529603</v>
      </c>
    </row>
    <row r="101" spans="1:9" x14ac:dyDescent="0.25">
      <c r="A101" s="9">
        <v>39959</v>
      </c>
      <c r="B101" s="13">
        <v>919.14001499999995</v>
      </c>
      <c r="C101" s="2">
        <f t="shared" si="4"/>
        <v>-0.34399816595544375</v>
      </c>
      <c r="D101" s="4">
        <v>39958</v>
      </c>
      <c r="E101" s="13">
        <v>1774.329956</v>
      </c>
      <c r="F101" s="2">
        <f t="shared" si="3"/>
        <v>-0.26354602528621207</v>
      </c>
      <c r="G101" s="4">
        <v>39959</v>
      </c>
      <c r="H101" s="13">
        <v>8500.3300780000009</v>
      </c>
      <c r="I101" s="2">
        <f t="shared" si="5"/>
        <v>-0.3352154748975214</v>
      </c>
    </row>
    <row r="102" spans="1:9" x14ac:dyDescent="0.25">
      <c r="A102" s="9">
        <v>39965</v>
      </c>
      <c r="B102" s="13">
        <v>940.09002699999996</v>
      </c>
      <c r="C102" s="2">
        <f t="shared" si="4"/>
        <v>-0.33972758778841938</v>
      </c>
      <c r="D102" s="4">
        <v>39965</v>
      </c>
      <c r="E102" s="13">
        <v>1849.420044</v>
      </c>
      <c r="F102" s="2">
        <f t="shared" si="3"/>
        <v>-0.2598108316575411</v>
      </c>
      <c r="G102" s="4">
        <v>39965</v>
      </c>
      <c r="H102" s="13">
        <v>8763.1298829999996</v>
      </c>
      <c r="I102" s="2">
        <f t="shared" si="5"/>
        <v>-0.33247460634566328</v>
      </c>
    </row>
    <row r="103" spans="1:9" x14ac:dyDescent="0.25">
      <c r="A103" s="9">
        <v>39972</v>
      </c>
      <c r="B103" s="13">
        <v>946.21002199999998</v>
      </c>
      <c r="C103" s="2">
        <f t="shared" si="4"/>
        <v>-0.35715884745064963</v>
      </c>
      <c r="D103" s="4">
        <v>39972</v>
      </c>
      <c r="E103" s="13">
        <v>1858.8000489999999</v>
      </c>
      <c r="F103" s="2">
        <f t="shared" si="3"/>
        <v>-0.27228672135390741</v>
      </c>
      <c r="G103" s="4">
        <v>39972</v>
      </c>
      <c r="H103" s="13">
        <v>8799.2597659999992</v>
      </c>
      <c r="I103" s="2">
        <f t="shared" si="5"/>
        <v>-0.35216289840111087</v>
      </c>
    </row>
    <row r="104" spans="1:9" x14ac:dyDescent="0.25">
      <c r="A104" s="9">
        <v>39979</v>
      </c>
      <c r="B104" s="13">
        <v>921.22997999999995</v>
      </c>
      <c r="C104" s="2">
        <f t="shared" si="4"/>
        <v>-0.3587847081292494</v>
      </c>
      <c r="D104" s="4">
        <v>39979</v>
      </c>
      <c r="E104" s="13">
        <v>1827.469971</v>
      </c>
      <c r="F104" s="2">
        <f t="shared" si="3"/>
        <v>-0.26800598466898956</v>
      </c>
      <c r="G104" s="4">
        <v>39979</v>
      </c>
      <c r="H104" s="13">
        <v>8539.7304690000001</v>
      </c>
      <c r="I104" s="2">
        <f t="shared" si="5"/>
        <v>-0.35985076911185704</v>
      </c>
    </row>
    <row r="105" spans="1:9" x14ac:dyDescent="0.25">
      <c r="A105" s="9">
        <v>39986</v>
      </c>
      <c r="B105" s="13">
        <v>918.90002400000003</v>
      </c>
      <c r="C105" s="2">
        <f t="shared" si="4"/>
        <v>-0.37447144844332025</v>
      </c>
      <c r="D105" s="4">
        <v>39986</v>
      </c>
      <c r="E105" s="13">
        <v>1838.219971</v>
      </c>
      <c r="F105" s="2">
        <f t="shared" si="3"/>
        <v>-0.28461124141363864</v>
      </c>
      <c r="G105" s="4">
        <v>39986</v>
      </c>
      <c r="H105" s="13">
        <v>8438.3896480000003</v>
      </c>
      <c r="I105" s="2">
        <f t="shared" si="5"/>
        <v>-0.37181029638327018</v>
      </c>
    </row>
    <row r="106" spans="1:9" x14ac:dyDescent="0.25">
      <c r="A106" s="9">
        <v>39993</v>
      </c>
      <c r="B106" s="13">
        <v>896.419983</v>
      </c>
      <c r="C106" s="2">
        <f t="shared" si="4"/>
        <v>-0.38653652407739036</v>
      </c>
      <c r="D106" s="4">
        <v>39993</v>
      </c>
      <c r="E106" s="13">
        <v>1796.5200199999999</v>
      </c>
      <c r="F106" s="2">
        <f t="shared" si="3"/>
        <v>-0.30073468232951717</v>
      </c>
      <c r="G106" s="4">
        <v>39993</v>
      </c>
      <c r="H106" s="13">
        <v>8280.7402340000008</v>
      </c>
      <c r="I106" s="2">
        <f t="shared" si="5"/>
        <v>-0.38199244846984831</v>
      </c>
    </row>
    <row r="107" spans="1:9" x14ac:dyDescent="0.25">
      <c r="A107" s="9">
        <v>40000</v>
      </c>
      <c r="B107" s="13">
        <v>879.13000499999998</v>
      </c>
      <c r="C107" s="2">
        <f t="shared" si="4"/>
        <v>-0.343795817143767</v>
      </c>
      <c r="D107" s="4">
        <v>40000</v>
      </c>
      <c r="E107" s="13">
        <v>1756.030029</v>
      </c>
      <c r="F107" s="2">
        <f t="shared" si="3"/>
        <v>-0.24873669089099051</v>
      </c>
      <c r="G107" s="4">
        <v>40000</v>
      </c>
      <c r="H107" s="13">
        <v>8146.5200199999999</v>
      </c>
      <c r="I107" s="2">
        <f t="shared" si="5"/>
        <v>-0.33667121634719777</v>
      </c>
    </row>
    <row r="108" spans="1:9" x14ac:dyDescent="0.25">
      <c r="A108" s="9">
        <v>40007</v>
      </c>
      <c r="B108" s="13">
        <v>940.38000499999998</v>
      </c>
      <c r="C108" s="2">
        <f t="shared" si="4"/>
        <v>-0.31666505960445585</v>
      </c>
      <c r="D108" s="4">
        <v>40007</v>
      </c>
      <c r="E108" s="13">
        <v>1886.6099850000001</v>
      </c>
      <c r="F108" s="2">
        <f t="shared" si="3"/>
        <v>-0.21713889059233449</v>
      </c>
      <c r="G108" s="4">
        <v>40007</v>
      </c>
      <c r="H108" s="13">
        <v>8743.9404300000006</v>
      </c>
      <c r="I108" s="2">
        <f t="shared" si="5"/>
        <v>-0.31017279541531106</v>
      </c>
    </row>
    <row r="109" spans="1:9" x14ac:dyDescent="0.25">
      <c r="A109" s="9">
        <v>40014</v>
      </c>
      <c r="B109" s="13">
        <v>979.26000999999997</v>
      </c>
      <c r="C109" s="2">
        <f t="shared" si="4"/>
        <v>-0.31092910321632233</v>
      </c>
      <c r="D109" s="4">
        <v>40014</v>
      </c>
      <c r="E109" s="13">
        <v>1965.959961</v>
      </c>
      <c r="F109" s="2">
        <f t="shared" si="3"/>
        <v>-0.21214534594325535</v>
      </c>
      <c r="G109" s="4">
        <v>40014</v>
      </c>
      <c r="H109" s="13">
        <v>9093.2402340000008</v>
      </c>
      <c r="I109" s="2">
        <f t="shared" si="5"/>
        <v>-0.30422751760105382</v>
      </c>
    </row>
    <row r="110" spans="1:9" x14ac:dyDescent="0.25">
      <c r="A110" s="9">
        <v>40021</v>
      </c>
      <c r="B110" s="13">
        <v>987.47997999999995</v>
      </c>
      <c r="C110" s="2">
        <f t="shared" si="4"/>
        <v>-0.29487953163308417</v>
      </c>
      <c r="D110" s="4">
        <v>40021</v>
      </c>
      <c r="E110" s="13">
        <v>1978.5</v>
      </c>
      <c r="F110" s="2">
        <f t="shared" si="3"/>
        <v>-0.2034843205574913</v>
      </c>
      <c r="G110" s="4">
        <v>40021</v>
      </c>
      <c r="H110" s="13">
        <v>9171.6103519999997</v>
      </c>
      <c r="I110" s="2">
        <f t="shared" si="5"/>
        <v>-0.28917203947600628</v>
      </c>
    </row>
    <row r="111" spans="1:9" x14ac:dyDescent="0.25">
      <c r="A111" s="9">
        <v>40028</v>
      </c>
      <c r="B111" s="13">
        <v>1010.47998</v>
      </c>
      <c r="C111" s="2">
        <f t="shared" si="4"/>
        <v>-0.29933848850643319</v>
      </c>
      <c r="D111" s="4">
        <v>40028</v>
      </c>
      <c r="E111" s="13">
        <v>2000.25</v>
      </c>
      <c r="F111" s="2">
        <f t="shared" si="3"/>
        <v>-0.20934991737182682</v>
      </c>
      <c r="G111" s="4">
        <v>40028</v>
      </c>
      <c r="H111" s="13">
        <v>9370.0703119999998</v>
      </c>
      <c r="I111" s="2">
        <f t="shared" si="5"/>
        <v>-0.29286421461785</v>
      </c>
    </row>
    <row r="112" spans="1:9" x14ac:dyDescent="0.25">
      <c r="A112" s="9">
        <v>40035</v>
      </c>
      <c r="B112" s="13">
        <v>1004.090027</v>
      </c>
      <c r="C112" s="2">
        <f t="shared" si="4"/>
        <v>-0.28395882743669432</v>
      </c>
      <c r="D112" s="4">
        <v>40035</v>
      </c>
      <c r="E112" s="13">
        <v>1985.5200199999999</v>
      </c>
      <c r="F112" s="2">
        <f t="shared" si="3"/>
        <v>-0.19526131448481832</v>
      </c>
      <c r="G112" s="4">
        <v>40035</v>
      </c>
      <c r="H112" s="13">
        <v>9321.4003909999992</v>
      </c>
      <c r="I112" s="2">
        <f t="shared" si="5"/>
        <v>-0.27886324147997776</v>
      </c>
    </row>
    <row r="113" spans="1:9" x14ac:dyDescent="0.25">
      <c r="A113" s="9">
        <v>40042</v>
      </c>
      <c r="B113" s="13">
        <v>1026.130005</v>
      </c>
      <c r="C113" s="2">
        <f t="shared" si="4"/>
        <v>-0.28200493235573459</v>
      </c>
      <c r="D113" s="4">
        <v>40042</v>
      </c>
      <c r="E113" s="13">
        <v>2020.900024</v>
      </c>
      <c r="F113" s="2">
        <f t="shared" si="3"/>
        <v>-0.19212741861622701</v>
      </c>
      <c r="G113" s="4">
        <v>40042</v>
      </c>
      <c r="H113" s="13">
        <v>9505.9599610000005</v>
      </c>
      <c r="I113" s="2">
        <f t="shared" si="5"/>
        <v>-0.27596227845205173</v>
      </c>
    </row>
    <row r="114" spans="1:9" x14ac:dyDescent="0.25">
      <c r="A114" s="9">
        <v>40049</v>
      </c>
      <c r="B114" s="13">
        <v>1028.9300539999999</v>
      </c>
      <c r="C114" s="2">
        <f t="shared" si="4"/>
        <v>-0.2907484807655224</v>
      </c>
      <c r="D114" s="4">
        <v>40049</v>
      </c>
      <c r="E114" s="13">
        <v>2028.7700199999999</v>
      </c>
      <c r="F114" s="2">
        <f t="shared" si="3"/>
        <v>-0.19610551358885017</v>
      </c>
      <c r="G114" s="4">
        <v>40049</v>
      </c>
      <c r="H114" s="13">
        <v>9544.2001949999994</v>
      </c>
      <c r="I114" s="2">
        <f t="shared" si="5"/>
        <v>-0.28377075710058419</v>
      </c>
    </row>
    <row r="115" spans="1:9" x14ac:dyDescent="0.25">
      <c r="A115" s="9">
        <v>40056</v>
      </c>
      <c r="B115" s="13">
        <v>1016.400024</v>
      </c>
      <c r="C115" s="2">
        <f t="shared" si="4"/>
        <v>-0.27237524104354366</v>
      </c>
      <c r="D115" s="4">
        <v>40056</v>
      </c>
      <c r="E115" s="13">
        <v>2018.780029</v>
      </c>
      <c r="F115" s="2">
        <f t="shared" si="3"/>
        <v>-0.17136887924340463</v>
      </c>
      <c r="G115" s="4">
        <v>40056</v>
      </c>
      <c r="H115" s="13">
        <v>9441.2695309999999</v>
      </c>
      <c r="I115" s="2">
        <f t="shared" si="5"/>
        <v>-0.27131879656849939</v>
      </c>
    </row>
    <row r="116" spans="1:9" x14ac:dyDescent="0.25">
      <c r="A116" s="9">
        <v>40064</v>
      </c>
      <c r="B116" s="13">
        <v>1042.7299800000001</v>
      </c>
      <c r="C116" s="2">
        <f t="shared" si="4"/>
        <v>-0.25453225613902897</v>
      </c>
      <c r="D116" s="4">
        <v>40063</v>
      </c>
      <c r="E116" s="13">
        <v>2080.8999020000001</v>
      </c>
      <c r="F116" s="2">
        <f t="shared" si="3"/>
        <v>-0.15067790662020908</v>
      </c>
      <c r="G116" s="4">
        <v>40064</v>
      </c>
      <c r="H116" s="13">
        <v>9605.4101559999999</v>
      </c>
      <c r="I116" s="2">
        <f t="shared" si="5"/>
        <v>-0.25502449350785883</v>
      </c>
    </row>
    <row r="117" spans="1:9" x14ac:dyDescent="0.25">
      <c r="A117" s="9">
        <v>40070</v>
      </c>
      <c r="B117" s="13">
        <v>1068.3000489999999</v>
      </c>
      <c r="C117" s="2">
        <f t="shared" si="4"/>
        <v>-0.27122384128912491</v>
      </c>
      <c r="D117" s="4">
        <v>40070</v>
      </c>
      <c r="E117" s="13">
        <v>2132.860107</v>
      </c>
      <c r="F117" s="2">
        <f t="shared" si="3"/>
        <v>-0.16737882648083621</v>
      </c>
      <c r="G117" s="4">
        <v>40070</v>
      </c>
      <c r="H117" s="13">
        <v>9820.2001949999994</v>
      </c>
      <c r="I117" s="2">
        <f t="shared" si="5"/>
        <v>-0.26678377294198874</v>
      </c>
    </row>
    <row r="118" spans="1:9" x14ac:dyDescent="0.25">
      <c r="A118" s="9">
        <v>40077</v>
      </c>
      <c r="B118" s="13">
        <v>1044.380005</v>
      </c>
      <c r="C118" s="2">
        <f t="shared" si="4"/>
        <v>-0.28460084100355204</v>
      </c>
      <c r="D118" s="4">
        <v>40077</v>
      </c>
      <c r="E118" s="13">
        <v>2090.919922</v>
      </c>
      <c r="F118" s="2">
        <f t="shared" si="3"/>
        <v>-0.18442604001991042</v>
      </c>
      <c r="G118" s="4">
        <v>40077</v>
      </c>
      <c r="H118" s="13">
        <v>9665.1904300000006</v>
      </c>
      <c r="I118" s="2">
        <f t="shared" si="5"/>
        <v>-0.28025075199882898</v>
      </c>
    </row>
    <row r="119" spans="1:9" x14ac:dyDescent="0.25">
      <c r="A119" s="9">
        <v>40084</v>
      </c>
      <c r="B119" s="13">
        <v>1025.209961</v>
      </c>
      <c r="C119" s="2">
        <f t="shared" si="4"/>
        <v>-0.25230629151181994</v>
      </c>
      <c r="D119" s="4">
        <v>40084</v>
      </c>
      <c r="E119" s="13">
        <v>2048.110107</v>
      </c>
      <c r="F119" s="2">
        <f t="shared" si="3"/>
        <v>-0.1481214419113987</v>
      </c>
      <c r="G119" s="4">
        <v>40084</v>
      </c>
      <c r="H119" s="13">
        <v>9487.6699219999991</v>
      </c>
      <c r="I119" s="2">
        <f t="shared" si="5"/>
        <v>-0.25163043039632743</v>
      </c>
    </row>
    <row r="120" spans="1:9" x14ac:dyDescent="0.25">
      <c r="A120" s="9">
        <v>40091</v>
      </c>
      <c r="B120" s="13">
        <v>1071.48999</v>
      </c>
      <c r="C120" s="2">
        <f t="shared" si="4"/>
        <v>-0.2410087440724632</v>
      </c>
      <c r="D120" s="4">
        <v>40091</v>
      </c>
      <c r="E120" s="13">
        <v>2139.280029</v>
      </c>
      <c r="F120" s="2">
        <f t="shared" si="3"/>
        <v>-0.1411448286709806</v>
      </c>
      <c r="G120" s="4">
        <v>40091</v>
      </c>
      <c r="H120" s="13">
        <v>9864.9404300000006</v>
      </c>
      <c r="I120" s="2">
        <f t="shared" si="5"/>
        <v>-0.24169486533405257</v>
      </c>
    </row>
    <row r="121" spans="1:9" x14ac:dyDescent="0.25">
      <c r="A121" s="9">
        <v>40098</v>
      </c>
      <c r="B121" s="13">
        <v>1087.6800539999999</v>
      </c>
      <c r="C121" s="2">
        <f t="shared" si="4"/>
        <v>-0.24664708277938263</v>
      </c>
      <c r="D121" s="4">
        <v>40098</v>
      </c>
      <c r="E121" s="13">
        <v>2156.8000489999999</v>
      </c>
      <c r="F121" s="2">
        <f t="shared" si="3"/>
        <v>-0.14207268451966154</v>
      </c>
      <c r="G121" s="4">
        <v>40098</v>
      </c>
      <c r="H121" s="13">
        <v>9995.9101559999999</v>
      </c>
      <c r="I121" s="2">
        <f t="shared" si="5"/>
        <v>-0.2434950951732158</v>
      </c>
    </row>
    <row r="122" spans="1:9" x14ac:dyDescent="0.25">
      <c r="A122" s="9">
        <v>40105</v>
      </c>
      <c r="B122" s="13">
        <v>1079.599976</v>
      </c>
      <c r="C122" s="2">
        <f t="shared" si="4"/>
        <v>-0.27693892904735534</v>
      </c>
      <c r="D122" s="4">
        <v>40105</v>
      </c>
      <c r="E122" s="13">
        <v>2154.469971</v>
      </c>
      <c r="F122" s="2">
        <f t="shared" si="3"/>
        <v>-0.18562071279243403</v>
      </c>
      <c r="G122" s="4">
        <v>40105</v>
      </c>
      <c r="H122" s="13">
        <v>9972.1796880000002</v>
      </c>
      <c r="I122" s="2">
        <f t="shared" si="5"/>
        <v>-0.26317731238829117</v>
      </c>
    </row>
    <row r="123" spans="1:9" x14ac:dyDescent="0.25">
      <c r="A123" s="9">
        <v>40112</v>
      </c>
      <c r="B123" s="13">
        <v>1036.1899410000001</v>
      </c>
      <c r="C123" s="2">
        <f t="shared" si="4"/>
        <v>-0.25383444867888821</v>
      </c>
      <c r="D123" s="4">
        <v>40112</v>
      </c>
      <c r="E123" s="13">
        <v>2045.1099850000001</v>
      </c>
      <c r="F123" s="2">
        <f t="shared" si="3"/>
        <v>-0.15880938138377299</v>
      </c>
      <c r="G123" s="4">
        <v>40112</v>
      </c>
      <c r="H123" s="13">
        <v>9712.7304690000001</v>
      </c>
      <c r="I123" s="2">
        <f t="shared" si="5"/>
        <v>-0.23960793212980239</v>
      </c>
    </row>
    <row r="124" spans="1:9" x14ac:dyDescent="0.25">
      <c r="A124" s="9">
        <v>40119</v>
      </c>
      <c r="B124" s="13">
        <v>1069.3000489999999</v>
      </c>
      <c r="C124" s="2">
        <f t="shared" si="4"/>
        <v>-0.23696151244139857</v>
      </c>
      <c r="D124" s="4">
        <v>40119</v>
      </c>
      <c r="E124" s="13">
        <v>2112.4399410000001</v>
      </c>
      <c r="F124" s="2">
        <f t="shared" si="3"/>
        <v>-0.13673274942757588</v>
      </c>
      <c r="G124" s="4">
        <v>40119</v>
      </c>
      <c r="H124" s="13">
        <v>10023.419921999999</v>
      </c>
      <c r="I124" s="2">
        <f t="shared" si="5"/>
        <v>-0.22086635355156037</v>
      </c>
    </row>
    <row r="125" spans="1:9" x14ac:dyDescent="0.25">
      <c r="A125" s="9">
        <v>40126</v>
      </c>
      <c r="B125" s="13">
        <v>1093.4799800000001</v>
      </c>
      <c r="C125" s="2">
        <f t="shared" si="4"/>
        <v>-0.23842689066250777</v>
      </c>
      <c r="D125" s="4">
        <v>40126</v>
      </c>
      <c r="E125" s="13">
        <v>2167.8798830000001</v>
      </c>
      <c r="F125" s="2">
        <f t="shared" si="3"/>
        <v>-0.14542955141861624</v>
      </c>
      <c r="G125" s="4">
        <v>40126</v>
      </c>
      <c r="H125" s="13">
        <v>10270.469727</v>
      </c>
      <c r="I125" s="2">
        <f t="shared" si="5"/>
        <v>-0.21724848418091433</v>
      </c>
    </row>
    <row r="126" spans="1:9" x14ac:dyDescent="0.25">
      <c r="A126" s="9">
        <v>40133</v>
      </c>
      <c r="B126" s="13">
        <v>1091.380005</v>
      </c>
      <c r="C126" s="2">
        <f t="shared" si="4"/>
        <v>-0.23835014230900417</v>
      </c>
      <c r="D126" s="4">
        <v>40133</v>
      </c>
      <c r="E126" s="13">
        <v>2146.040039</v>
      </c>
      <c r="F126" s="2">
        <f t="shared" si="3"/>
        <v>-0.14845597172722744</v>
      </c>
      <c r="G126" s="4">
        <v>40133</v>
      </c>
      <c r="H126" s="13">
        <v>10318.160156</v>
      </c>
      <c r="I126" s="2">
        <f t="shared" si="5"/>
        <v>-0.21787360101925435</v>
      </c>
    </row>
    <row r="127" spans="1:9" x14ac:dyDescent="0.25">
      <c r="A127" s="9">
        <v>40140</v>
      </c>
      <c r="B127" s="13">
        <v>1091.48999</v>
      </c>
      <c r="C127" s="2">
        <f t="shared" si="4"/>
        <v>-0.22823891918963871</v>
      </c>
      <c r="D127" s="4">
        <v>40140</v>
      </c>
      <c r="E127" s="13">
        <v>2138.4399410000001</v>
      </c>
      <c r="F127" s="2">
        <f t="shared" si="3"/>
        <v>-0.12619209636635145</v>
      </c>
      <c r="G127" s="4">
        <v>40140</v>
      </c>
      <c r="H127" s="13">
        <v>10309.919921999999</v>
      </c>
      <c r="I127" s="2">
        <f t="shared" si="5"/>
        <v>-0.21188202103840836</v>
      </c>
    </row>
    <row r="128" spans="1:9" x14ac:dyDescent="0.25">
      <c r="A128" s="9">
        <v>40147</v>
      </c>
      <c r="B128" s="13">
        <v>1105.9799800000001</v>
      </c>
      <c r="C128" s="2">
        <f t="shared" si="4"/>
        <v>-0.22793882430017537</v>
      </c>
      <c r="D128" s="4">
        <v>40147</v>
      </c>
      <c r="E128" s="13">
        <v>2194.3500979999999</v>
      </c>
      <c r="F128" s="2">
        <f t="shared" si="3"/>
        <v>-0.12780087247386762</v>
      </c>
      <c r="G128" s="4">
        <v>40147</v>
      </c>
      <c r="H128" s="13">
        <v>10388.900390999999</v>
      </c>
      <c r="I128" s="2">
        <f t="shared" si="5"/>
        <v>-0.205615887524943</v>
      </c>
    </row>
    <row r="129" spans="1:9" x14ac:dyDescent="0.25">
      <c r="A129" s="9">
        <v>40154</v>
      </c>
      <c r="B129" s="13">
        <v>1106.410034</v>
      </c>
      <c r="C129" s="2">
        <f t="shared" si="4"/>
        <v>-0.23068822965500008</v>
      </c>
      <c r="D129" s="4">
        <v>40154</v>
      </c>
      <c r="E129" s="13">
        <v>2190.3100589999999</v>
      </c>
      <c r="F129" s="2">
        <f t="shared" si="3"/>
        <v>-0.11928723106022894</v>
      </c>
      <c r="G129" s="4">
        <v>40154</v>
      </c>
      <c r="H129" s="13">
        <v>10471.5</v>
      </c>
      <c r="I129" s="2">
        <f t="shared" si="5"/>
        <v>-0.21643452839810112</v>
      </c>
    </row>
    <row r="130" spans="1:9" x14ac:dyDescent="0.25">
      <c r="A130" s="9">
        <v>40161</v>
      </c>
      <c r="B130" s="13">
        <v>1102.469971</v>
      </c>
      <c r="C130" s="2">
        <f t="shared" si="4"/>
        <v>-0.21393386625675251</v>
      </c>
      <c r="D130" s="4">
        <v>40161</v>
      </c>
      <c r="E130" s="13">
        <v>2211.6899410000001</v>
      </c>
      <c r="F130" s="2">
        <f t="shared" si="3"/>
        <v>-8.9819834345445465E-2</v>
      </c>
      <c r="G130" s="4">
        <v>40161</v>
      </c>
      <c r="H130" s="13">
        <v>10328.889648</v>
      </c>
      <c r="I130" s="2">
        <f t="shared" si="5"/>
        <v>-0.20192978714761009</v>
      </c>
    </row>
    <row r="131" spans="1:9" x14ac:dyDescent="0.25">
      <c r="A131" s="9">
        <v>40168</v>
      </c>
      <c r="B131" s="13">
        <v>1126.4799800000001</v>
      </c>
      <c r="C131" s="2">
        <f t="shared" si="4"/>
        <v>-0.2218749179443846</v>
      </c>
      <c r="D131" s="4">
        <v>40168</v>
      </c>
      <c r="E131" s="13">
        <v>2285.6899410000001</v>
      </c>
      <c r="F131" s="2">
        <f t="shared" si="3"/>
        <v>-9.640621124937776E-2</v>
      </c>
      <c r="G131" s="4">
        <v>40168</v>
      </c>
      <c r="H131" s="13">
        <v>10520.089844</v>
      </c>
      <c r="I131" s="2">
        <f t="shared" si="5"/>
        <v>-0.20891208621586052</v>
      </c>
    </row>
    <row r="132" spans="1:9" x14ac:dyDescent="0.25">
      <c r="A132" s="9">
        <v>40175</v>
      </c>
      <c r="B132" s="13">
        <v>1115.099976</v>
      </c>
      <c r="C132" s="2">
        <f t="shared" si="4"/>
        <v>-0.2010244282441479</v>
      </c>
      <c r="D132" s="4">
        <v>40175</v>
      </c>
      <c r="E132" s="13">
        <v>2269.1499020000001</v>
      </c>
      <c r="F132" s="2">
        <f t="shared" si="3"/>
        <v>-7.7284252065704315E-2</v>
      </c>
      <c r="G132" s="4">
        <v>40175</v>
      </c>
      <c r="H132" s="13">
        <v>10428.049805000001</v>
      </c>
      <c r="I132" s="2">
        <f t="shared" si="5"/>
        <v>-0.19448772565280101</v>
      </c>
    </row>
    <row r="133" spans="1:9" x14ac:dyDescent="0.25">
      <c r="A133" s="9">
        <v>40182</v>
      </c>
      <c r="B133" s="13">
        <v>1144.9799800000001</v>
      </c>
      <c r="C133" s="2">
        <f t="shared" si="4"/>
        <v>-0.20726977081984246</v>
      </c>
      <c r="D133" s="4">
        <v>40182</v>
      </c>
      <c r="E133" s="13">
        <v>2317.169922</v>
      </c>
      <c r="F133" s="2">
        <f t="shared" si="3"/>
        <v>-8.8903936286709798E-2</v>
      </c>
      <c r="G133" s="4">
        <v>40182</v>
      </c>
      <c r="H133" s="13">
        <v>10618.190430000001</v>
      </c>
      <c r="I133" s="2">
        <f t="shared" si="5"/>
        <v>-0.19513558616003671</v>
      </c>
    </row>
    <row r="134" spans="1:9" x14ac:dyDescent="0.25">
      <c r="A134" s="9">
        <v>40189</v>
      </c>
      <c r="B134" s="13">
        <v>1136.030029</v>
      </c>
      <c r="C134" s="2">
        <f t="shared" si="4"/>
        <v>-0.23816172033861699</v>
      </c>
      <c r="D134" s="4">
        <v>40189</v>
      </c>
      <c r="E134" s="13">
        <v>2287.98999</v>
      </c>
      <c r="F134" s="2">
        <f t="shared" ref="F134:F197" si="6">(E135-$E$6)/$E$6</f>
        <v>-0.12183572364360379</v>
      </c>
      <c r="G134" s="4">
        <v>40189</v>
      </c>
      <c r="H134" s="13">
        <v>10609.650390999999</v>
      </c>
      <c r="I134" s="2">
        <f t="shared" si="5"/>
        <v>-0.22826203876305648</v>
      </c>
    </row>
    <row r="135" spans="1:9" x14ac:dyDescent="0.25">
      <c r="A135" s="9">
        <v>40197</v>
      </c>
      <c r="B135" s="13">
        <v>1091.76001</v>
      </c>
      <c r="C135" s="2">
        <f t="shared" ref="C135:C198" si="7">(B136-$B$6)/$B$6</f>
        <v>-0.25064550626764759</v>
      </c>
      <c r="D135" s="4">
        <v>40196</v>
      </c>
      <c r="E135" s="13">
        <v>2205.290039</v>
      </c>
      <c r="F135" s="2">
        <f t="shared" si="6"/>
        <v>-0.1449078753608761</v>
      </c>
      <c r="G135" s="4">
        <v>40197</v>
      </c>
      <c r="H135" s="13">
        <v>10172.980469</v>
      </c>
      <c r="I135" s="2">
        <f t="shared" ref="I135:I198" si="8">(H136-$H$6)/$H$6</f>
        <v>-0.23627684008924443</v>
      </c>
    </row>
    <row r="136" spans="1:9" x14ac:dyDescent="0.25">
      <c r="A136" s="9">
        <v>40203</v>
      </c>
      <c r="B136" s="13">
        <v>1073.869995</v>
      </c>
      <c r="C136" s="2">
        <f t="shared" si="7"/>
        <v>-0.25600470524313163</v>
      </c>
      <c r="D136" s="4">
        <v>40203</v>
      </c>
      <c r="E136" s="13">
        <v>2147.3500979999999</v>
      </c>
      <c r="F136" s="2">
        <f t="shared" si="6"/>
        <v>-0.14738870403185667</v>
      </c>
      <c r="G136" s="4">
        <v>40203</v>
      </c>
      <c r="H136" s="13">
        <v>10067.330078000001</v>
      </c>
      <c r="I136" s="2">
        <f t="shared" si="8"/>
        <v>-0.24045678126225578</v>
      </c>
    </row>
    <row r="137" spans="1:9" x14ac:dyDescent="0.25">
      <c r="A137" s="9">
        <v>40210</v>
      </c>
      <c r="B137" s="13">
        <v>1066.1899410000001</v>
      </c>
      <c r="C137" s="2">
        <f t="shared" si="7"/>
        <v>-0.24950109156590483</v>
      </c>
      <c r="D137" s="4">
        <v>40210</v>
      </c>
      <c r="E137" s="13">
        <v>2141.1201169999999</v>
      </c>
      <c r="F137" s="2">
        <f t="shared" si="6"/>
        <v>-0.1305007350920856</v>
      </c>
      <c r="G137" s="4">
        <v>40210</v>
      </c>
      <c r="H137" s="13">
        <v>10012.230469</v>
      </c>
      <c r="I137" s="2">
        <f t="shared" si="8"/>
        <v>-0.23386371713334864</v>
      </c>
    </row>
    <row r="138" spans="1:9" x14ac:dyDescent="0.25">
      <c r="A138" s="9">
        <v>40217</v>
      </c>
      <c r="B138" s="13">
        <v>1075.51001</v>
      </c>
      <c r="C138" s="2">
        <f t="shared" si="7"/>
        <v>-0.22601286873211221</v>
      </c>
      <c r="D138" s="4">
        <v>40217</v>
      </c>
      <c r="E138" s="13">
        <v>2183.530029</v>
      </c>
      <c r="F138" s="2">
        <f t="shared" si="6"/>
        <v>-0.1064728254853161</v>
      </c>
      <c r="G138" s="4">
        <v>40217</v>
      </c>
      <c r="H138" s="13">
        <v>10099.139648</v>
      </c>
      <c r="I138" s="2">
        <f t="shared" si="8"/>
        <v>-0.21086174265380112</v>
      </c>
    </row>
    <row r="139" spans="1:9" x14ac:dyDescent="0.25">
      <c r="A139" s="9">
        <v>40225</v>
      </c>
      <c r="B139" s="13">
        <v>1109.170044</v>
      </c>
      <c r="C139" s="2">
        <f t="shared" si="7"/>
        <v>-0.2292786453271739</v>
      </c>
      <c r="D139" s="4">
        <v>40224</v>
      </c>
      <c r="E139" s="13">
        <v>2243.8701169999999</v>
      </c>
      <c r="F139" s="2">
        <f t="shared" si="6"/>
        <v>-0.10870681533101047</v>
      </c>
      <c r="G139" s="4">
        <v>40225</v>
      </c>
      <c r="H139" s="13">
        <v>10402.349609000001</v>
      </c>
      <c r="I139" s="2">
        <f t="shared" si="8"/>
        <v>-0.21670989683537945</v>
      </c>
    </row>
    <row r="140" spans="1:9" x14ac:dyDescent="0.25">
      <c r="A140" s="9">
        <v>40231</v>
      </c>
      <c r="B140" s="13">
        <v>1104.48999</v>
      </c>
      <c r="C140" s="2">
        <f t="shared" si="7"/>
        <v>-0.20540667933024842</v>
      </c>
      <c r="D140" s="4">
        <v>40231</v>
      </c>
      <c r="E140" s="13">
        <v>2238.26001</v>
      </c>
      <c r="F140" s="2">
        <f t="shared" si="6"/>
        <v>-7.3628631956197163E-2</v>
      </c>
      <c r="G140" s="4">
        <v>40231</v>
      </c>
      <c r="H140" s="13">
        <v>10325.259765999999</v>
      </c>
      <c r="I140" s="2">
        <f t="shared" si="8"/>
        <v>-0.19843178492681576</v>
      </c>
    </row>
    <row r="141" spans="1:9" x14ac:dyDescent="0.25">
      <c r="A141" s="9">
        <v>40238</v>
      </c>
      <c r="B141" s="13">
        <v>1138.6999510000001</v>
      </c>
      <c r="C141" s="2">
        <f t="shared" si="7"/>
        <v>-0.19752840589076798</v>
      </c>
      <c r="D141" s="4">
        <v>40238</v>
      </c>
      <c r="E141" s="13">
        <v>2326.3500979999999</v>
      </c>
      <c r="F141" s="2">
        <f t="shared" si="6"/>
        <v>-5.7178730910900914E-2</v>
      </c>
      <c r="G141" s="4">
        <v>40238</v>
      </c>
      <c r="H141" s="13">
        <v>10566.200194999999</v>
      </c>
      <c r="I141" s="2">
        <f t="shared" si="8"/>
        <v>-0.19399462564505734</v>
      </c>
    </row>
    <row r="142" spans="1:9" x14ac:dyDescent="0.25">
      <c r="A142" s="9">
        <v>40245</v>
      </c>
      <c r="B142" s="13">
        <v>1149.98999</v>
      </c>
      <c r="C142" s="2">
        <f t="shared" si="7"/>
        <v>-0.1906131102353191</v>
      </c>
      <c r="D142" s="4">
        <v>40245</v>
      </c>
      <c r="E142" s="13">
        <v>2367.6599120000001</v>
      </c>
      <c r="F142" s="2">
        <f t="shared" si="6"/>
        <v>-5.4490826480836203E-2</v>
      </c>
      <c r="G142" s="4">
        <v>40245</v>
      </c>
      <c r="H142" s="13">
        <v>10624.690430000001</v>
      </c>
      <c r="I142" s="2">
        <f t="shared" si="8"/>
        <v>-0.18509682270057187</v>
      </c>
    </row>
    <row r="143" spans="1:9" x14ac:dyDescent="0.25">
      <c r="A143" s="9">
        <v>40252</v>
      </c>
      <c r="B143" s="13">
        <v>1159.900024</v>
      </c>
      <c r="C143" s="2">
        <f t="shared" si="7"/>
        <v>-0.18594481879980992</v>
      </c>
      <c r="D143" s="4">
        <v>40252</v>
      </c>
      <c r="E143" s="13">
        <v>2374.4099120000001</v>
      </c>
      <c r="F143" s="2">
        <f t="shared" si="6"/>
        <v>-4.6239966948730685E-2</v>
      </c>
      <c r="G143" s="4">
        <v>40252</v>
      </c>
      <c r="H143" s="13">
        <v>10741.980469</v>
      </c>
      <c r="I143" s="2">
        <f t="shared" si="8"/>
        <v>-0.17687495790879371</v>
      </c>
    </row>
    <row r="144" spans="1:9" x14ac:dyDescent="0.25">
      <c r="A144" s="9">
        <v>40259</v>
      </c>
      <c r="B144" s="13">
        <v>1166.589966</v>
      </c>
      <c r="C144" s="2">
        <f t="shared" si="7"/>
        <v>-0.17791304795551485</v>
      </c>
      <c r="D144" s="4">
        <v>40259</v>
      </c>
      <c r="E144" s="13">
        <v>2395.1298830000001</v>
      </c>
      <c r="F144" s="2">
        <f t="shared" si="6"/>
        <v>-4.3273239223494291E-2</v>
      </c>
      <c r="G144" s="4">
        <v>40259</v>
      </c>
      <c r="H144" s="13">
        <v>10850.360352</v>
      </c>
      <c r="I144" s="2">
        <f t="shared" si="8"/>
        <v>-0.17105562223648341</v>
      </c>
    </row>
    <row r="145" spans="1:9" x14ac:dyDescent="0.25">
      <c r="A145" s="9">
        <v>40266</v>
      </c>
      <c r="B145" s="13">
        <v>1178.099976</v>
      </c>
      <c r="C145" s="2">
        <f t="shared" si="7"/>
        <v>-0.16655970732068243</v>
      </c>
      <c r="D145" s="4">
        <v>40266</v>
      </c>
      <c r="E145" s="13">
        <v>2402.580078</v>
      </c>
      <c r="F145" s="2">
        <f t="shared" si="6"/>
        <v>-2.2777481732205101E-2</v>
      </c>
      <c r="G145" s="4">
        <v>40266</v>
      </c>
      <c r="H145" s="13">
        <v>10927.070312</v>
      </c>
      <c r="I145" s="2">
        <f t="shared" si="8"/>
        <v>-0.16572412656034183</v>
      </c>
    </row>
    <row r="146" spans="1:9" x14ac:dyDescent="0.25">
      <c r="A146" s="9">
        <v>40273</v>
      </c>
      <c r="B146" s="13">
        <v>1194.369995</v>
      </c>
      <c r="C146" s="2">
        <f t="shared" si="7"/>
        <v>-0.16812278905332323</v>
      </c>
      <c r="D146" s="4">
        <v>40273</v>
      </c>
      <c r="E146" s="13">
        <v>2454.0500489999999</v>
      </c>
      <c r="F146" s="2">
        <f t="shared" si="6"/>
        <v>-1.1942255848680949E-2</v>
      </c>
      <c r="G146" s="4">
        <v>40273</v>
      </c>
      <c r="H146" s="13">
        <v>10997.349609000001</v>
      </c>
      <c r="I146" s="2">
        <f t="shared" si="8"/>
        <v>-0.16410747565407696</v>
      </c>
    </row>
    <row r="147" spans="1:9" x14ac:dyDescent="0.25">
      <c r="A147" s="9">
        <v>40280</v>
      </c>
      <c r="B147" s="13">
        <v>1192.130005</v>
      </c>
      <c r="C147" s="2">
        <f t="shared" si="7"/>
        <v>-0.15057291468340331</v>
      </c>
      <c r="D147" s="4">
        <v>40280</v>
      </c>
      <c r="E147" s="13">
        <v>2481.26001</v>
      </c>
      <c r="F147" s="2">
        <f t="shared" si="6"/>
        <v>7.5260933797909853E-3</v>
      </c>
      <c r="G147" s="4">
        <v>40280</v>
      </c>
      <c r="H147" s="13">
        <v>11018.660156</v>
      </c>
      <c r="I147" s="2">
        <f t="shared" si="8"/>
        <v>-0.15002604778791057</v>
      </c>
    </row>
    <row r="148" spans="1:9" x14ac:dyDescent="0.25">
      <c r="A148" s="9">
        <v>40287</v>
      </c>
      <c r="B148" s="13">
        <v>1217.280029</v>
      </c>
      <c r="C148" s="2">
        <f t="shared" si="7"/>
        <v>-0.17191890629616649</v>
      </c>
      <c r="D148" s="4">
        <v>40287</v>
      </c>
      <c r="E148" s="13">
        <v>2530.1499020000001</v>
      </c>
      <c r="F148" s="2">
        <f t="shared" si="6"/>
        <v>-1.993431916376303E-2</v>
      </c>
      <c r="G148" s="4">
        <v>40287</v>
      </c>
      <c r="H148" s="13">
        <v>11204.280273</v>
      </c>
      <c r="I148" s="2">
        <f t="shared" si="8"/>
        <v>-0.1648698692587266</v>
      </c>
    </row>
    <row r="149" spans="1:9" x14ac:dyDescent="0.25">
      <c r="A149" s="9">
        <v>40294</v>
      </c>
      <c r="B149" s="13">
        <v>1186.6899410000001</v>
      </c>
      <c r="C149" s="2">
        <f t="shared" si="7"/>
        <v>-0.22481964518976238</v>
      </c>
      <c r="D149" s="4">
        <v>40294</v>
      </c>
      <c r="E149" s="13">
        <v>2461.1899410000001</v>
      </c>
      <c r="F149" s="2">
        <f t="shared" si="6"/>
        <v>-9.7803925136884004E-2</v>
      </c>
      <c r="G149" s="4">
        <v>40294</v>
      </c>
      <c r="H149" s="13">
        <v>11008.610352</v>
      </c>
      <c r="I149" s="2">
        <f t="shared" si="8"/>
        <v>-0.21252462160993049</v>
      </c>
    </row>
    <row r="150" spans="1:9" x14ac:dyDescent="0.25">
      <c r="A150" s="9">
        <v>40301</v>
      </c>
      <c r="B150" s="13">
        <v>1110.880005</v>
      </c>
      <c r="C150" s="2">
        <f t="shared" si="7"/>
        <v>-0.20751398598570531</v>
      </c>
      <c r="D150" s="4">
        <v>40301</v>
      </c>
      <c r="E150" s="13">
        <v>2265.639893</v>
      </c>
      <c r="F150" s="2">
        <f t="shared" si="6"/>
        <v>-6.5465366650074713E-2</v>
      </c>
      <c r="G150" s="4">
        <v>40301</v>
      </c>
      <c r="H150" s="13">
        <v>10380.429688</v>
      </c>
      <c r="I150" s="2">
        <f t="shared" si="8"/>
        <v>-0.19433829920574677</v>
      </c>
    </row>
    <row r="151" spans="1:9" x14ac:dyDescent="0.25">
      <c r="A151" s="9">
        <v>40308</v>
      </c>
      <c r="B151" s="13">
        <v>1135.6800539999999</v>
      </c>
      <c r="C151" s="2">
        <f t="shared" si="7"/>
        <v>-0.24100184485010467</v>
      </c>
      <c r="D151" s="4">
        <v>40308</v>
      </c>
      <c r="E151" s="13">
        <v>2346.8500979999999</v>
      </c>
      <c r="F151" s="2">
        <f t="shared" si="6"/>
        <v>-0.11237828213041315</v>
      </c>
      <c r="G151" s="4">
        <v>40308</v>
      </c>
      <c r="H151" s="13">
        <v>10620.160156</v>
      </c>
      <c r="I151" s="2">
        <f t="shared" si="8"/>
        <v>-0.22671376702106538</v>
      </c>
    </row>
    <row r="152" spans="1:9" x14ac:dyDescent="0.25">
      <c r="A152" s="9">
        <v>40315</v>
      </c>
      <c r="B152" s="13">
        <v>1087.6899410000001</v>
      </c>
      <c r="C152" s="2">
        <f t="shared" si="7"/>
        <v>-0.23980155112256879</v>
      </c>
      <c r="D152" s="4">
        <v>40315</v>
      </c>
      <c r="E152" s="13">
        <v>2229.040039</v>
      </c>
      <c r="F152" s="2">
        <f t="shared" si="6"/>
        <v>-0.10122845634644102</v>
      </c>
      <c r="G152" s="4">
        <v>40315</v>
      </c>
      <c r="H152" s="13">
        <v>10193.389648</v>
      </c>
      <c r="I152" s="2">
        <f t="shared" si="8"/>
        <v>-0.23101965018430068</v>
      </c>
    </row>
    <row r="153" spans="1:9" x14ac:dyDescent="0.25">
      <c r="A153" s="9">
        <v>40322</v>
      </c>
      <c r="B153" s="13">
        <v>1089.410034</v>
      </c>
      <c r="C153" s="2">
        <f t="shared" si="7"/>
        <v>-0.25691878835623871</v>
      </c>
      <c r="D153" s="4">
        <v>40322</v>
      </c>
      <c r="E153" s="13">
        <v>2257.040039</v>
      </c>
      <c r="F153" s="2">
        <f t="shared" si="6"/>
        <v>-0.11630864230960675</v>
      </c>
      <c r="G153" s="4">
        <v>40322</v>
      </c>
      <c r="H153" s="13">
        <v>10136.629883</v>
      </c>
      <c r="I153" s="2">
        <f t="shared" si="8"/>
        <v>-0.2465454847240578</v>
      </c>
    </row>
    <row r="154" spans="1:9" x14ac:dyDescent="0.25">
      <c r="A154" s="9">
        <v>40330</v>
      </c>
      <c r="B154" s="13">
        <v>1064.880005</v>
      </c>
      <c r="C154" s="2">
        <f t="shared" si="7"/>
        <v>-0.23827339325769317</v>
      </c>
      <c r="D154" s="4">
        <v>40329</v>
      </c>
      <c r="E154" s="13">
        <v>2219.169922</v>
      </c>
      <c r="F154" s="2">
        <f t="shared" si="6"/>
        <v>-0.10658034922847193</v>
      </c>
      <c r="G154" s="4">
        <v>40330</v>
      </c>
      <c r="H154" s="13">
        <v>9931.9697269999997</v>
      </c>
      <c r="I154" s="2">
        <f t="shared" si="8"/>
        <v>-0.22537248462794029</v>
      </c>
    </row>
    <row r="155" spans="1:9" x14ac:dyDescent="0.25">
      <c r="A155" s="9">
        <v>40336</v>
      </c>
      <c r="B155" s="13">
        <v>1091.599976</v>
      </c>
      <c r="C155" s="2">
        <f t="shared" si="7"/>
        <v>-0.22019317823999165</v>
      </c>
      <c r="D155" s="4">
        <v>40336</v>
      </c>
      <c r="E155" s="13">
        <v>2243.6000979999999</v>
      </c>
      <c r="F155" s="2">
        <f t="shared" si="6"/>
        <v>-8.0218994922847203E-2</v>
      </c>
      <c r="G155" s="4">
        <v>40336</v>
      </c>
      <c r="H155" s="13">
        <v>10211.070312</v>
      </c>
      <c r="I155" s="2">
        <f t="shared" si="8"/>
        <v>-0.20719838594536386</v>
      </c>
    </row>
    <row r="156" spans="1:9" x14ac:dyDescent="0.25">
      <c r="A156" s="9">
        <v>40343</v>
      </c>
      <c r="B156" s="13">
        <v>1117.51001</v>
      </c>
      <c r="C156" s="2">
        <f t="shared" si="7"/>
        <v>-0.24862883224072885</v>
      </c>
      <c r="D156" s="4">
        <v>40343</v>
      </c>
      <c r="E156" s="13">
        <v>2309.8000489999999</v>
      </c>
      <c r="F156" s="2">
        <f t="shared" si="6"/>
        <v>-0.11459234245893477</v>
      </c>
      <c r="G156" s="4">
        <v>40343</v>
      </c>
      <c r="H156" s="13">
        <v>10450.639648</v>
      </c>
      <c r="I156" s="2">
        <f t="shared" si="8"/>
        <v>-0.23047498807425498</v>
      </c>
    </row>
    <row r="157" spans="1:9" x14ac:dyDescent="0.25">
      <c r="A157" s="9">
        <v>40350</v>
      </c>
      <c r="B157" s="13">
        <v>1076.76001</v>
      </c>
      <c r="C157" s="2">
        <f t="shared" si="7"/>
        <v>-0.2864360355465046</v>
      </c>
      <c r="D157" s="4">
        <v>40350</v>
      </c>
      <c r="E157" s="13">
        <v>2223.4799800000001</v>
      </c>
      <c r="F157" s="2">
        <f t="shared" si="6"/>
        <v>-0.16703233887506222</v>
      </c>
      <c r="G157" s="4">
        <v>40350</v>
      </c>
      <c r="H157" s="13">
        <v>10143.809569999999</v>
      </c>
      <c r="I157" s="2">
        <f t="shared" si="8"/>
        <v>-0.26516867780417908</v>
      </c>
    </row>
    <row r="158" spans="1:9" x14ac:dyDescent="0.25">
      <c r="A158" s="9">
        <v>40357</v>
      </c>
      <c r="B158" s="13">
        <v>1022.580017</v>
      </c>
      <c r="C158" s="2">
        <f t="shared" si="7"/>
        <v>-0.24779149748112539</v>
      </c>
      <c r="D158" s="4">
        <v>40357</v>
      </c>
      <c r="E158" s="13">
        <v>2091.790039</v>
      </c>
      <c r="F158" s="2">
        <f t="shared" si="6"/>
        <v>-0.12535591796913886</v>
      </c>
      <c r="G158" s="4">
        <v>40357</v>
      </c>
      <c r="H158" s="13">
        <v>9686.4804690000001</v>
      </c>
      <c r="I158" s="2">
        <f t="shared" si="8"/>
        <v>-0.22636172206361377</v>
      </c>
    </row>
    <row r="159" spans="1:9" x14ac:dyDescent="0.25">
      <c r="A159" s="9">
        <v>40365</v>
      </c>
      <c r="B159" s="13">
        <v>1077.959961</v>
      </c>
      <c r="C159" s="2">
        <f t="shared" si="7"/>
        <v>-0.25691878835623871</v>
      </c>
      <c r="D159" s="4">
        <v>40364</v>
      </c>
      <c r="E159" s="13">
        <v>2196.4499510000001</v>
      </c>
      <c r="F159" s="2">
        <f t="shared" si="6"/>
        <v>-0.13228469925335989</v>
      </c>
      <c r="G159" s="4">
        <v>40365</v>
      </c>
      <c r="H159" s="13">
        <v>10198.030273</v>
      </c>
      <c r="I159" s="2">
        <f t="shared" si="8"/>
        <v>-0.23395772907739432</v>
      </c>
    </row>
    <row r="160" spans="1:9" x14ac:dyDescent="0.25">
      <c r="A160" s="9">
        <v>40371</v>
      </c>
      <c r="B160" s="13">
        <v>1064.880005</v>
      </c>
      <c r="C160" s="2">
        <f t="shared" si="7"/>
        <v>-0.23055560227570332</v>
      </c>
      <c r="D160" s="4">
        <v>40371</v>
      </c>
      <c r="E160" s="13">
        <v>2179.0500489999999</v>
      </c>
      <c r="F160" s="2">
        <f t="shared" si="6"/>
        <v>-9.6278757192633152E-2</v>
      </c>
      <c r="G160" s="4">
        <v>40371</v>
      </c>
      <c r="H160" s="13">
        <v>10097.900390999999</v>
      </c>
      <c r="I160" s="2">
        <f t="shared" si="8"/>
        <v>-0.20917226762806951</v>
      </c>
    </row>
    <row r="161" spans="1:9" x14ac:dyDescent="0.25">
      <c r="A161" s="9">
        <v>40378</v>
      </c>
      <c r="B161" s="13">
        <v>1102.660034</v>
      </c>
      <c r="C161" s="2">
        <f t="shared" si="7"/>
        <v>-0.23129531865628528</v>
      </c>
      <c r="D161" s="4">
        <v>40378</v>
      </c>
      <c r="E161" s="13">
        <v>2269.469971</v>
      </c>
      <c r="F161" s="2">
        <f t="shared" si="6"/>
        <v>-0.1021602982578397</v>
      </c>
      <c r="G161" s="4">
        <v>40378</v>
      </c>
      <c r="H161" s="13">
        <v>10424.620117</v>
      </c>
      <c r="I161" s="2">
        <f t="shared" si="8"/>
        <v>-0.2060376450649509</v>
      </c>
    </row>
    <row r="162" spans="1:9" x14ac:dyDescent="0.25">
      <c r="A162" s="9">
        <v>40385</v>
      </c>
      <c r="B162" s="13">
        <v>1101.599976</v>
      </c>
      <c r="C162" s="2">
        <f t="shared" si="7"/>
        <v>-0.21731122994057292</v>
      </c>
      <c r="D162" s="4">
        <v>40385</v>
      </c>
      <c r="E162" s="13">
        <v>2254.6999510000001</v>
      </c>
      <c r="F162" s="2">
        <f t="shared" si="6"/>
        <v>-8.8712803982080646E-2</v>
      </c>
      <c r="G162" s="4">
        <v>40385</v>
      </c>
      <c r="H162" s="13">
        <v>10465.940430000001</v>
      </c>
      <c r="I162" s="2">
        <f t="shared" si="8"/>
        <v>-0.19180456823620309</v>
      </c>
    </row>
    <row r="163" spans="1:9" x14ac:dyDescent="0.25">
      <c r="A163" s="9">
        <v>40392</v>
      </c>
      <c r="B163" s="13">
        <v>1121.6400149999999</v>
      </c>
      <c r="C163" s="2">
        <f t="shared" si="7"/>
        <v>-0.24689129864305284</v>
      </c>
      <c r="D163" s="4">
        <v>40392</v>
      </c>
      <c r="E163" s="13">
        <v>2288.469971</v>
      </c>
      <c r="F163" s="2">
        <f t="shared" si="6"/>
        <v>-0.13450274564459927</v>
      </c>
      <c r="G163" s="4">
        <v>40392</v>
      </c>
      <c r="H163" s="13">
        <v>10653.559569999999</v>
      </c>
      <c r="I163" s="2">
        <f t="shared" si="8"/>
        <v>-0.21838714806364218</v>
      </c>
    </row>
    <row r="164" spans="1:9" x14ac:dyDescent="0.25">
      <c r="A164" s="9">
        <v>40399</v>
      </c>
      <c r="B164" s="13">
        <v>1079.25</v>
      </c>
      <c r="C164" s="2">
        <f t="shared" si="7"/>
        <v>-0.25216676421235729</v>
      </c>
      <c r="D164" s="4">
        <v>40399</v>
      </c>
      <c r="E164" s="13">
        <v>2173.4799800000001</v>
      </c>
      <c r="F164" s="2">
        <f t="shared" si="6"/>
        <v>-0.13200198705823793</v>
      </c>
      <c r="G164" s="4">
        <v>40399</v>
      </c>
      <c r="H164" s="13">
        <v>10303.150390999999</v>
      </c>
      <c r="I164" s="2">
        <f t="shared" si="8"/>
        <v>-0.22517905249482567</v>
      </c>
    </row>
    <row r="165" spans="1:9" x14ac:dyDescent="0.25">
      <c r="A165" s="9">
        <v>40406</v>
      </c>
      <c r="B165" s="13">
        <v>1071.6899410000001</v>
      </c>
      <c r="C165" s="2">
        <f t="shared" si="7"/>
        <v>-0.25712117973417048</v>
      </c>
      <c r="D165" s="4">
        <v>40406</v>
      </c>
      <c r="E165" s="13">
        <v>2179.76001</v>
      </c>
      <c r="F165" s="2">
        <f t="shared" si="6"/>
        <v>-0.14240721433549028</v>
      </c>
      <c r="G165" s="4">
        <v>40406</v>
      </c>
      <c r="H165" s="13">
        <v>10213.620117</v>
      </c>
      <c r="I165" s="2">
        <f t="shared" si="8"/>
        <v>-0.22995603286070529</v>
      </c>
    </row>
    <row r="166" spans="1:9" x14ac:dyDescent="0.25">
      <c r="A166" s="9">
        <v>40413</v>
      </c>
      <c r="B166" s="13">
        <v>1064.589966</v>
      </c>
      <c r="C166" s="2">
        <f t="shared" si="7"/>
        <v>-0.22926467522182192</v>
      </c>
      <c r="D166" s="4">
        <v>40413</v>
      </c>
      <c r="E166" s="13">
        <v>2153.6298830000001</v>
      </c>
      <c r="F166" s="2">
        <f t="shared" si="6"/>
        <v>-0.11050273768043803</v>
      </c>
      <c r="G166" s="4">
        <v>40413</v>
      </c>
      <c r="H166" s="13">
        <v>10150.650390999999</v>
      </c>
      <c r="I166" s="2">
        <f t="shared" si="8"/>
        <v>-0.20740396768336158</v>
      </c>
    </row>
    <row r="167" spans="1:9" x14ac:dyDescent="0.25">
      <c r="A167" s="9">
        <v>40420</v>
      </c>
      <c r="B167" s="13">
        <v>1104.51001</v>
      </c>
      <c r="C167" s="2">
        <f t="shared" si="7"/>
        <v>-0.22574769840822143</v>
      </c>
      <c r="D167" s="4">
        <v>40420</v>
      </c>
      <c r="E167" s="13">
        <v>2233.75</v>
      </c>
      <c r="F167" s="2">
        <f t="shared" si="6"/>
        <v>-0.10702638924838226</v>
      </c>
      <c r="G167" s="4">
        <v>40420</v>
      </c>
      <c r="H167" s="13">
        <v>10447.929688</v>
      </c>
      <c r="I167" s="2">
        <f t="shared" si="8"/>
        <v>-0.20627819434517469</v>
      </c>
    </row>
    <row r="168" spans="1:9" x14ac:dyDescent="0.25">
      <c r="A168" s="9">
        <v>40428</v>
      </c>
      <c r="B168" s="13">
        <v>1109.5500489999999</v>
      </c>
      <c r="C168" s="2">
        <f t="shared" si="7"/>
        <v>-0.21455492466558229</v>
      </c>
      <c r="D168" s="4">
        <v>40427</v>
      </c>
      <c r="E168" s="13">
        <v>2242.4799800000001</v>
      </c>
      <c r="F168" s="2">
        <f t="shared" si="6"/>
        <v>-7.7905382976605292E-2</v>
      </c>
      <c r="G168" s="4">
        <v>40428</v>
      </c>
      <c r="H168" s="13">
        <v>10462.769531</v>
      </c>
      <c r="I168" s="2">
        <f t="shared" si="8"/>
        <v>-0.19527219625513575</v>
      </c>
    </row>
    <row r="169" spans="1:9" x14ac:dyDescent="0.25">
      <c r="A169" s="9">
        <v>40434</v>
      </c>
      <c r="B169" s="13">
        <v>1125.589966</v>
      </c>
      <c r="C169" s="2">
        <f t="shared" si="7"/>
        <v>-0.19844947405655103</v>
      </c>
      <c r="D169" s="4">
        <v>40434</v>
      </c>
      <c r="E169" s="13">
        <v>2315.610107</v>
      </c>
      <c r="F169" s="2">
        <f t="shared" si="6"/>
        <v>-5.1779006072672974E-2</v>
      </c>
      <c r="G169" s="4">
        <v>40434</v>
      </c>
      <c r="H169" s="13">
        <v>10607.849609000001</v>
      </c>
      <c r="I169" s="2">
        <f t="shared" si="8"/>
        <v>-0.17612397312109254</v>
      </c>
    </row>
    <row r="170" spans="1:9" x14ac:dyDescent="0.25">
      <c r="A170" s="9">
        <v>40441</v>
      </c>
      <c r="B170" s="13">
        <v>1148.670044</v>
      </c>
      <c r="C170" s="2">
        <f t="shared" si="7"/>
        <v>-0.20014518386629593</v>
      </c>
      <c r="D170" s="4">
        <v>40441</v>
      </c>
      <c r="E170" s="13">
        <v>2381.219971</v>
      </c>
      <c r="F170" s="2">
        <f t="shared" si="6"/>
        <v>-5.5948232951717275E-2</v>
      </c>
      <c r="G170" s="4">
        <v>40441</v>
      </c>
      <c r="H170" s="13">
        <v>10860.259765999999</v>
      </c>
      <c r="I170" s="2">
        <f t="shared" si="8"/>
        <v>-0.1784438249208774</v>
      </c>
    </row>
    <row r="171" spans="1:9" x14ac:dyDescent="0.25">
      <c r="A171" s="9">
        <v>40448</v>
      </c>
      <c r="B171" s="13">
        <v>1146.23999</v>
      </c>
      <c r="C171" s="2">
        <f t="shared" si="7"/>
        <v>-0.18694962106957996</v>
      </c>
      <c r="D171" s="4">
        <v>40448</v>
      </c>
      <c r="E171" s="13">
        <v>2370.75</v>
      </c>
      <c r="F171" s="2">
        <f t="shared" si="6"/>
        <v>-4.3540104728720726E-2</v>
      </c>
      <c r="G171" s="4">
        <v>40448</v>
      </c>
      <c r="H171" s="13">
        <v>10829.679688</v>
      </c>
      <c r="I171" s="2">
        <f t="shared" si="8"/>
        <v>-0.16503144546238704</v>
      </c>
    </row>
    <row r="172" spans="1:9" x14ac:dyDescent="0.25">
      <c r="A172" s="9">
        <v>40455</v>
      </c>
      <c r="B172" s="13">
        <v>1165.150024</v>
      </c>
      <c r="C172" s="2">
        <f t="shared" si="7"/>
        <v>-0.17924588462764479</v>
      </c>
      <c r="D172" s="4">
        <v>40455</v>
      </c>
      <c r="E172" s="13">
        <v>2401.9099120000001</v>
      </c>
      <c r="F172" s="2">
        <f t="shared" si="6"/>
        <v>-1.6915870582379321E-2</v>
      </c>
      <c r="G172" s="4">
        <v>40455</v>
      </c>
      <c r="H172" s="13">
        <v>11006.480469</v>
      </c>
      <c r="I172" s="2">
        <f t="shared" si="8"/>
        <v>-0.16076045564879207</v>
      </c>
    </row>
    <row r="173" spans="1:9" x14ac:dyDescent="0.25">
      <c r="A173" s="9">
        <v>40462</v>
      </c>
      <c r="B173" s="13">
        <v>1176.1899410000001</v>
      </c>
      <c r="C173" s="2">
        <f t="shared" si="7"/>
        <v>-0.1744379807601629</v>
      </c>
      <c r="D173" s="4">
        <v>40462</v>
      </c>
      <c r="E173" s="13">
        <v>2468.7700199999999</v>
      </c>
      <c r="F173" s="2">
        <f t="shared" si="6"/>
        <v>-1.2686951518168231E-2</v>
      </c>
      <c r="G173" s="4">
        <v>40462</v>
      </c>
      <c r="H173" s="13">
        <v>11062.780273</v>
      </c>
      <c r="I173" s="2">
        <f t="shared" si="8"/>
        <v>-0.15546689074247705</v>
      </c>
    </row>
    <row r="174" spans="1:9" x14ac:dyDescent="0.25">
      <c r="A174" s="9">
        <v>40469</v>
      </c>
      <c r="B174" s="13">
        <v>1183.079956</v>
      </c>
      <c r="C174" s="2">
        <f t="shared" si="7"/>
        <v>-0.17431233773573473</v>
      </c>
      <c r="D174" s="4">
        <v>40469</v>
      </c>
      <c r="E174" s="13">
        <v>2479.389893</v>
      </c>
      <c r="F174" s="2">
        <f t="shared" si="6"/>
        <v>-1.5291540069686106E-3</v>
      </c>
      <c r="G174" s="4">
        <v>40469</v>
      </c>
      <c r="H174" s="13">
        <v>11132.559569999999</v>
      </c>
      <c r="I174" s="2">
        <f t="shared" si="8"/>
        <v>-0.15653421223333053</v>
      </c>
    </row>
    <row r="175" spans="1:9" x14ac:dyDescent="0.25">
      <c r="A175" s="9">
        <v>40476</v>
      </c>
      <c r="B175" s="13">
        <v>1183.26001</v>
      </c>
      <c r="C175" s="2">
        <f t="shared" si="7"/>
        <v>-0.14459274173379216</v>
      </c>
      <c r="D175" s="4">
        <v>40476</v>
      </c>
      <c r="E175" s="13">
        <v>2507.4099120000001</v>
      </c>
      <c r="F175" s="2">
        <f t="shared" si="6"/>
        <v>2.6970624191139898E-2</v>
      </c>
      <c r="G175" s="4">
        <v>40476</v>
      </c>
      <c r="H175" s="13">
        <v>11118.490234000001</v>
      </c>
      <c r="I175" s="2">
        <f t="shared" si="8"/>
        <v>-0.13183446537215188</v>
      </c>
    </row>
    <row r="176" spans="1:9" x14ac:dyDescent="0.25">
      <c r="A176" s="9">
        <v>40483</v>
      </c>
      <c r="B176" s="13">
        <v>1225.849976</v>
      </c>
      <c r="C176" s="2">
        <f t="shared" si="7"/>
        <v>-0.16318234293905465</v>
      </c>
      <c r="D176" s="4">
        <v>40483</v>
      </c>
      <c r="E176" s="13">
        <v>2578.9799800000001</v>
      </c>
      <c r="F176" s="2">
        <f t="shared" si="6"/>
        <v>2.7715125933300234E-3</v>
      </c>
      <c r="G176" s="4">
        <v>40483</v>
      </c>
      <c r="H176" s="13">
        <v>11444.080078000001</v>
      </c>
      <c r="I176" s="2">
        <f t="shared" si="8"/>
        <v>-0.15091364259484938</v>
      </c>
    </row>
    <row r="177" spans="1:9" x14ac:dyDescent="0.25">
      <c r="A177" s="9">
        <v>40490</v>
      </c>
      <c r="B177" s="13">
        <v>1199.209961</v>
      </c>
      <c r="C177" s="2">
        <f t="shared" si="7"/>
        <v>-0.16281946980143969</v>
      </c>
      <c r="D177" s="4">
        <v>40490</v>
      </c>
      <c r="E177" s="13">
        <v>2518.209961</v>
      </c>
      <c r="F177" s="2">
        <f t="shared" si="6"/>
        <v>2.735735988053733E-3</v>
      </c>
      <c r="G177" s="4">
        <v>40490</v>
      </c>
      <c r="H177" s="13">
        <v>11192.580078000001</v>
      </c>
      <c r="I177" s="2">
        <f t="shared" si="8"/>
        <v>-0.15008146221505769</v>
      </c>
    </row>
    <row r="178" spans="1:9" x14ac:dyDescent="0.25">
      <c r="A178" s="9">
        <v>40497</v>
      </c>
      <c r="B178" s="13">
        <v>1199.7299800000001</v>
      </c>
      <c r="C178" s="2">
        <f t="shared" si="7"/>
        <v>-0.17002779016116581</v>
      </c>
      <c r="D178" s="4">
        <v>40497</v>
      </c>
      <c r="E178" s="13">
        <v>2518.1201169999999</v>
      </c>
      <c r="F178" s="2">
        <f t="shared" si="6"/>
        <v>9.2822534594325171E-3</v>
      </c>
      <c r="G178" s="4">
        <v>40497</v>
      </c>
      <c r="H178" s="13">
        <v>11203.549805000001</v>
      </c>
      <c r="I178" s="2">
        <f t="shared" si="8"/>
        <v>-0.15855365529469018</v>
      </c>
    </row>
    <row r="179" spans="1:9" x14ac:dyDescent="0.25">
      <c r="A179" s="9">
        <v>40504</v>
      </c>
      <c r="B179" s="13">
        <v>1189.400024</v>
      </c>
      <c r="C179" s="2">
        <f t="shared" si="7"/>
        <v>-0.14538825270546452</v>
      </c>
      <c r="D179" s="4">
        <v>40504</v>
      </c>
      <c r="E179" s="13">
        <v>2534.5600589999999</v>
      </c>
      <c r="F179" s="2">
        <f t="shared" si="6"/>
        <v>3.1940253260328531E-2</v>
      </c>
      <c r="G179" s="4">
        <v>40504</v>
      </c>
      <c r="H179" s="13">
        <v>11091.870117</v>
      </c>
      <c r="I179" s="2">
        <f t="shared" si="8"/>
        <v>-0.13653713996683378</v>
      </c>
    </row>
    <row r="180" spans="1:9" x14ac:dyDescent="0.25">
      <c r="A180" s="9">
        <v>40511</v>
      </c>
      <c r="B180" s="13">
        <v>1224.709961</v>
      </c>
      <c r="C180" s="2">
        <f t="shared" si="7"/>
        <v>-0.13443960969398555</v>
      </c>
      <c r="D180" s="4">
        <v>40511</v>
      </c>
      <c r="E180" s="13">
        <v>2591.459961</v>
      </c>
      <c r="F180" s="2">
        <f t="shared" si="6"/>
        <v>5.0289711896465895E-2</v>
      </c>
      <c r="G180" s="4">
        <v>40511</v>
      </c>
      <c r="H180" s="13">
        <v>11382.089844</v>
      </c>
      <c r="I180" s="2">
        <f t="shared" si="8"/>
        <v>-0.13439553319923264</v>
      </c>
    </row>
    <row r="181" spans="1:9" x14ac:dyDescent="0.25">
      <c r="A181" s="9">
        <v>40518</v>
      </c>
      <c r="B181" s="13">
        <v>1240.400024</v>
      </c>
      <c r="C181" s="2">
        <f t="shared" si="7"/>
        <v>-0.13199029853081679</v>
      </c>
      <c r="D181" s="4">
        <v>40518</v>
      </c>
      <c r="E181" s="13">
        <v>2637.540039</v>
      </c>
      <c r="F181" s="2">
        <f t="shared" si="6"/>
        <v>5.2451954604280732E-2</v>
      </c>
      <c r="G181" s="4">
        <v>40518</v>
      </c>
      <c r="H181" s="13">
        <v>11410.320312</v>
      </c>
      <c r="I181" s="2">
        <f t="shared" si="8"/>
        <v>-0.12820600201335494</v>
      </c>
    </row>
    <row r="182" spans="1:9" x14ac:dyDescent="0.25">
      <c r="A182" s="9">
        <v>40525</v>
      </c>
      <c r="B182" s="13">
        <v>1243.910034</v>
      </c>
      <c r="C182" s="2">
        <f t="shared" si="7"/>
        <v>-0.12301650436271072</v>
      </c>
      <c r="D182" s="4">
        <v>40525</v>
      </c>
      <c r="E182" s="13">
        <v>2642.969971</v>
      </c>
      <c r="F182" s="2">
        <f t="shared" si="6"/>
        <v>6.1463453658536539E-2</v>
      </c>
      <c r="G182" s="4">
        <v>40525</v>
      </c>
      <c r="H182" s="13">
        <v>11491.910156</v>
      </c>
      <c r="I182" s="2">
        <f t="shared" si="8"/>
        <v>-0.12201721169127343</v>
      </c>
    </row>
    <row r="183" spans="1:9" x14ac:dyDescent="0.25">
      <c r="A183" s="9">
        <v>40532</v>
      </c>
      <c r="B183" s="13">
        <v>1256.7700199999999</v>
      </c>
      <c r="C183" s="2">
        <f t="shared" si="7"/>
        <v>-0.12240941536142552</v>
      </c>
      <c r="D183" s="4">
        <v>40532</v>
      </c>
      <c r="E183" s="13">
        <v>2665.6000979999999</v>
      </c>
      <c r="F183" s="2">
        <f t="shared" si="6"/>
        <v>5.6394272573419585E-2</v>
      </c>
      <c r="G183" s="4">
        <v>40532</v>
      </c>
      <c r="H183" s="13">
        <v>11573.490234000001</v>
      </c>
      <c r="I183" s="2">
        <f t="shared" si="8"/>
        <v>-0.12171228380506956</v>
      </c>
    </row>
    <row r="184" spans="1:9" x14ac:dyDescent="0.25">
      <c r="A184" s="9">
        <v>40539</v>
      </c>
      <c r="B184" s="13">
        <v>1257.6400149999999</v>
      </c>
      <c r="C184" s="2">
        <f t="shared" si="7"/>
        <v>-0.11273781443098604</v>
      </c>
      <c r="D184" s="4">
        <v>40539</v>
      </c>
      <c r="E184" s="13">
        <v>2652.8701169999999</v>
      </c>
      <c r="F184" s="2">
        <f t="shared" si="6"/>
        <v>7.6424060527625695E-2</v>
      </c>
      <c r="G184" s="4">
        <v>40539</v>
      </c>
      <c r="H184" s="13">
        <v>11577.509765999999</v>
      </c>
      <c r="I184" s="2">
        <f t="shared" si="8"/>
        <v>-0.11433474907382768</v>
      </c>
    </row>
    <row r="185" spans="1:9" x14ac:dyDescent="0.25">
      <c r="A185" s="9">
        <v>40546</v>
      </c>
      <c r="B185" s="13">
        <v>1271.5</v>
      </c>
      <c r="C185" s="2">
        <f t="shared" si="7"/>
        <v>-9.7567487225599867E-2</v>
      </c>
      <c r="D185" s="4">
        <v>40546</v>
      </c>
      <c r="E185" s="13">
        <v>2703.169922</v>
      </c>
      <c r="F185" s="2">
        <f t="shared" si="6"/>
        <v>9.7182697461423578E-2</v>
      </c>
      <c r="G185" s="4">
        <v>40546</v>
      </c>
      <c r="H185" s="13">
        <v>11674.759765999999</v>
      </c>
      <c r="I185" s="2">
        <f t="shared" si="8"/>
        <v>-0.10579121360232098</v>
      </c>
    </row>
    <row r="186" spans="1:9" x14ac:dyDescent="0.25">
      <c r="A186" s="9">
        <v>40553</v>
      </c>
      <c r="B186" s="13">
        <v>1293.23999</v>
      </c>
      <c r="C186" s="2">
        <f t="shared" si="7"/>
        <v>-0.10446881277569676</v>
      </c>
      <c r="D186" s="4">
        <v>40553</v>
      </c>
      <c r="E186" s="13">
        <v>2755.3000489999999</v>
      </c>
      <c r="F186" s="2">
        <f t="shared" si="6"/>
        <v>7.0996531209556984E-2</v>
      </c>
      <c r="G186" s="4">
        <v>40553</v>
      </c>
      <c r="H186" s="13">
        <v>11787.379883</v>
      </c>
      <c r="I186" s="2">
        <f t="shared" si="8"/>
        <v>-9.9383950921839367E-2</v>
      </c>
    </row>
    <row r="187" spans="1:9" x14ac:dyDescent="0.25">
      <c r="A187" s="9">
        <v>40561</v>
      </c>
      <c r="B187" s="13">
        <v>1283.349976</v>
      </c>
      <c r="C187" s="2">
        <f t="shared" si="7"/>
        <v>-0.10936045004935827</v>
      </c>
      <c r="D187" s="4">
        <v>40560</v>
      </c>
      <c r="E187" s="13">
        <v>2689.540039</v>
      </c>
      <c r="F187" s="2">
        <f t="shared" si="6"/>
        <v>6.994122170233949E-2</v>
      </c>
      <c r="G187" s="4">
        <v>40561</v>
      </c>
      <c r="H187" s="13">
        <v>11871.839844</v>
      </c>
      <c r="I187" s="2">
        <f t="shared" si="8"/>
        <v>-0.10303589881332828</v>
      </c>
    </row>
    <row r="188" spans="1:9" x14ac:dyDescent="0.25">
      <c r="A188" s="9">
        <v>40567</v>
      </c>
      <c r="B188" s="13">
        <v>1276.339966</v>
      </c>
      <c r="C188" s="2">
        <f t="shared" si="7"/>
        <v>-8.5265138214280459E-2</v>
      </c>
      <c r="D188" s="4">
        <v>40567</v>
      </c>
      <c r="E188" s="13">
        <v>2686.889893</v>
      </c>
      <c r="F188" s="2">
        <f t="shared" si="6"/>
        <v>0.10275761035340963</v>
      </c>
      <c r="G188" s="4">
        <v>40567</v>
      </c>
      <c r="H188" s="13">
        <v>11823.700194999999</v>
      </c>
      <c r="I188" s="2">
        <f t="shared" si="8"/>
        <v>-8.2670853624652846E-2</v>
      </c>
    </row>
    <row r="189" spans="1:9" x14ac:dyDescent="0.25">
      <c r="A189" s="9">
        <v>40574</v>
      </c>
      <c r="B189" s="13">
        <v>1310.869995</v>
      </c>
      <c r="C189" s="2">
        <f t="shared" si="7"/>
        <v>-7.2509197606490466E-2</v>
      </c>
      <c r="D189" s="4">
        <v>40574</v>
      </c>
      <c r="E189" s="13">
        <v>2769.3000489999999</v>
      </c>
      <c r="F189" s="2">
        <f t="shared" si="6"/>
        <v>0.11874163902439028</v>
      </c>
      <c r="G189" s="4">
        <v>40574</v>
      </c>
      <c r="H189" s="13">
        <v>12092.150390999999</v>
      </c>
      <c r="I189" s="2">
        <f t="shared" si="8"/>
        <v>-6.8931617591583338E-2</v>
      </c>
    </row>
    <row r="190" spans="1:9" x14ac:dyDescent="0.25">
      <c r="A190" s="9">
        <v>40581</v>
      </c>
      <c r="B190" s="13">
        <v>1329.150024</v>
      </c>
      <c r="C190" s="2">
        <f t="shared" si="7"/>
        <v>-6.2837595978243607E-2</v>
      </c>
      <c r="D190" s="4">
        <v>40581</v>
      </c>
      <c r="E190" s="13">
        <v>2809.4399410000001</v>
      </c>
      <c r="F190" s="2">
        <f t="shared" si="6"/>
        <v>0.12850172264808365</v>
      </c>
      <c r="G190" s="4">
        <v>40581</v>
      </c>
      <c r="H190" s="13">
        <v>12273.259765999999</v>
      </c>
      <c r="I190" s="2">
        <f t="shared" si="8"/>
        <v>-5.9980696776340547E-2</v>
      </c>
    </row>
    <row r="191" spans="1:9" x14ac:dyDescent="0.25">
      <c r="A191" s="9">
        <v>40588</v>
      </c>
      <c r="B191" s="13">
        <v>1343.01001</v>
      </c>
      <c r="C191" s="2">
        <f t="shared" si="7"/>
        <v>-7.8977886020337368E-2</v>
      </c>
      <c r="D191" s="4">
        <v>40588</v>
      </c>
      <c r="E191" s="13">
        <v>2833.9499510000001</v>
      </c>
      <c r="F191" s="2">
        <f t="shared" si="6"/>
        <v>0.1074365551020408</v>
      </c>
      <c r="G191" s="4">
        <v>40588</v>
      </c>
      <c r="H191" s="13">
        <v>12391.25</v>
      </c>
      <c r="I191" s="2">
        <f t="shared" si="8"/>
        <v>-7.9765371524809572E-2</v>
      </c>
    </row>
    <row r="192" spans="1:9" x14ac:dyDescent="0.25">
      <c r="A192" s="9">
        <v>40596</v>
      </c>
      <c r="B192" s="13">
        <v>1319.880005</v>
      </c>
      <c r="C192" s="2">
        <f t="shared" si="7"/>
        <v>-7.8091657287616786E-2</v>
      </c>
      <c r="D192" s="4">
        <v>40595</v>
      </c>
      <c r="E192" s="13">
        <v>2781.0500489999999</v>
      </c>
      <c r="F192" s="2">
        <f t="shared" si="6"/>
        <v>0.10887801772025885</v>
      </c>
      <c r="G192" s="4">
        <v>40596</v>
      </c>
      <c r="H192" s="13">
        <v>12130.450194999999</v>
      </c>
      <c r="I192" s="2">
        <f t="shared" si="8"/>
        <v>-7.677417468509716E-2</v>
      </c>
    </row>
    <row r="193" spans="1:9" x14ac:dyDescent="0.25">
      <c r="A193" s="9">
        <v>40602</v>
      </c>
      <c r="B193" s="13">
        <v>1321.150024</v>
      </c>
      <c r="C193" s="2">
        <f t="shared" si="7"/>
        <v>-8.9863665651154612E-2</v>
      </c>
      <c r="D193" s="4">
        <v>40602</v>
      </c>
      <c r="E193" s="13">
        <v>2784.669922</v>
      </c>
      <c r="F193" s="2">
        <f t="shared" si="6"/>
        <v>8.1377842508710788E-2</v>
      </c>
      <c r="G193" s="4">
        <v>40602</v>
      </c>
      <c r="H193" s="13">
        <v>12169.879883</v>
      </c>
      <c r="I193" s="2">
        <f t="shared" si="8"/>
        <v>-8.6293242143077514E-2</v>
      </c>
    </row>
    <row r="194" spans="1:9" x14ac:dyDescent="0.25">
      <c r="A194" s="9">
        <v>40609</v>
      </c>
      <c r="B194" s="13">
        <v>1304.280029</v>
      </c>
      <c r="C194" s="2">
        <f t="shared" si="7"/>
        <v>-0.10735774612779149</v>
      </c>
      <c r="D194" s="4">
        <v>40609</v>
      </c>
      <c r="E194" s="13">
        <v>2715.610107</v>
      </c>
      <c r="F194" s="2">
        <f t="shared" si="6"/>
        <v>5.2730680736684937E-2</v>
      </c>
      <c r="G194" s="4">
        <v>40609</v>
      </c>
      <c r="H194" s="13">
        <v>12044.400390999999</v>
      </c>
      <c r="I194" s="2">
        <f t="shared" si="8"/>
        <v>-0.10039445037467755</v>
      </c>
    </row>
    <row r="195" spans="1:9" x14ac:dyDescent="0.25">
      <c r="A195" s="9">
        <v>40616</v>
      </c>
      <c r="B195" s="13">
        <v>1279.209961</v>
      </c>
      <c r="C195" s="2">
        <f t="shared" si="7"/>
        <v>-8.3220524674465141E-2</v>
      </c>
      <c r="D195" s="4">
        <v>40616</v>
      </c>
      <c r="E195" s="13">
        <v>2643.669922</v>
      </c>
      <c r="F195" s="2">
        <f t="shared" si="6"/>
        <v>9.2308634743653528E-2</v>
      </c>
      <c r="G195" s="4">
        <v>40616</v>
      </c>
      <c r="H195" s="13">
        <v>11858.519531</v>
      </c>
      <c r="I195" s="2">
        <f t="shared" si="8"/>
        <v>-7.2927238967899988E-2</v>
      </c>
    </row>
    <row r="196" spans="1:9" x14ac:dyDescent="0.25">
      <c r="A196" s="9">
        <v>40623</v>
      </c>
      <c r="B196" s="13">
        <v>1313.8000489999999</v>
      </c>
      <c r="C196" s="2">
        <f t="shared" si="7"/>
        <v>-7.0234338308356917E-2</v>
      </c>
      <c r="D196" s="4">
        <v>40623</v>
      </c>
      <c r="E196" s="13">
        <v>2743.0600589999999</v>
      </c>
      <c r="F196" s="2">
        <f t="shared" si="6"/>
        <v>0.11084125355898453</v>
      </c>
      <c r="G196" s="4">
        <v>40623</v>
      </c>
      <c r="H196" s="13">
        <v>12220.589844</v>
      </c>
      <c r="I196" s="2">
        <f t="shared" si="8"/>
        <v>-6.1082985657697139E-2</v>
      </c>
    </row>
    <row r="197" spans="1:9" x14ac:dyDescent="0.25">
      <c r="A197" s="9">
        <v>40630</v>
      </c>
      <c r="B197" s="13">
        <v>1332.410034</v>
      </c>
      <c r="C197" s="2">
        <f t="shared" si="7"/>
        <v>-7.3193034961279282E-2</v>
      </c>
      <c r="D197" s="4">
        <v>40630</v>
      </c>
      <c r="E197" s="13">
        <v>2789.6000979999999</v>
      </c>
      <c r="F197" s="2">
        <f t="shared" si="6"/>
        <v>0.10718563344947737</v>
      </c>
      <c r="G197" s="4">
        <v>40630</v>
      </c>
      <c r="H197" s="13">
        <v>12376.719727</v>
      </c>
      <c r="I197" s="2">
        <f t="shared" si="8"/>
        <v>-6.0830360813452909E-2</v>
      </c>
    </row>
    <row r="198" spans="1:9" x14ac:dyDescent="0.25">
      <c r="A198" s="9">
        <v>40637</v>
      </c>
      <c r="B198" s="13">
        <v>1328.170044</v>
      </c>
      <c r="C198" s="2">
        <f t="shared" si="7"/>
        <v>-7.9117413319800017E-2</v>
      </c>
      <c r="D198" s="4">
        <v>40637</v>
      </c>
      <c r="E198" s="13">
        <v>2780.419922</v>
      </c>
      <c r="F198" s="2">
        <f t="shared" ref="F198:F261" si="9">(E199-$E$6)/$E$6</f>
        <v>0.10090588432055754</v>
      </c>
      <c r="G198" s="4">
        <v>40637</v>
      </c>
      <c r="H198" s="13">
        <v>12380.049805000001</v>
      </c>
      <c r="I198" s="2">
        <f t="shared" si="8"/>
        <v>-6.3729768148785365E-2</v>
      </c>
    </row>
    <row r="199" spans="1:9" x14ac:dyDescent="0.25">
      <c r="A199" s="9">
        <v>40644</v>
      </c>
      <c r="B199" s="13">
        <v>1319.6800539999999</v>
      </c>
      <c r="C199" s="2">
        <f t="shared" ref="C199:C262" si="10">(B200-$B$6)/$B$6</f>
        <v>-6.6766255467873542E-2</v>
      </c>
      <c r="D199" s="4">
        <v>40644</v>
      </c>
      <c r="E199" s="13">
        <v>2764.6499020000001</v>
      </c>
      <c r="F199" s="2">
        <f t="shared" si="9"/>
        <v>0.1230104179193629</v>
      </c>
      <c r="G199" s="4">
        <v>40644</v>
      </c>
      <c r="H199" s="13">
        <v>12341.830078000001</v>
      </c>
      <c r="I199" s="2">
        <f t="shared" ref="I199:I262" si="11">(H200-$H$6)/$H$6</f>
        <v>-5.1276325964969588E-2</v>
      </c>
    </row>
    <row r="200" spans="1:9" x14ac:dyDescent="0.25">
      <c r="A200" s="9">
        <v>40651</v>
      </c>
      <c r="B200" s="13">
        <v>1337.380005</v>
      </c>
      <c r="C200" s="2">
        <f t="shared" si="10"/>
        <v>-4.8462779744529789E-2</v>
      </c>
      <c r="D200" s="4">
        <v>40651</v>
      </c>
      <c r="E200" s="13">
        <v>2820.1599120000001</v>
      </c>
      <c r="F200" s="2">
        <f t="shared" si="9"/>
        <v>0.14426681493280238</v>
      </c>
      <c r="G200" s="4">
        <v>40651</v>
      </c>
      <c r="H200" s="13">
        <v>12505.990234000001</v>
      </c>
      <c r="I200" s="2">
        <f t="shared" si="11"/>
        <v>-2.8172708856687521E-2</v>
      </c>
    </row>
    <row r="201" spans="1:9" x14ac:dyDescent="0.25">
      <c r="A201" s="9">
        <v>40658</v>
      </c>
      <c r="B201" s="13">
        <v>1363.6099850000001</v>
      </c>
      <c r="C201" s="2">
        <f t="shared" si="10"/>
        <v>-6.4798476111879319E-2</v>
      </c>
      <c r="D201" s="4">
        <v>40658</v>
      </c>
      <c r="E201" s="13">
        <v>2873.540039</v>
      </c>
      <c r="F201" s="2">
        <f t="shared" si="9"/>
        <v>0.12595721612742655</v>
      </c>
      <c r="G201" s="4">
        <v>40658</v>
      </c>
      <c r="H201" s="13">
        <v>12810.540039</v>
      </c>
      <c r="I201" s="2">
        <f t="shared" si="11"/>
        <v>-4.120570657605073E-2</v>
      </c>
    </row>
    <row r="202" spans="1:9" x14ac:dyDescent="0.25">
      <c r="A202" s="9">
        <v>40665</v>
      </c>
      <c r="B202" s="13">
        <v>1340.1999510000001</v>
      </c>
      <c r="C202" s="2">
        <f t="shared" si="10"/>
        <v>-6.6494100091306768E-2</v>
      </c>
      <c r="D202" s="4">
        <v>40665</v>
      </c>
      <c r="E202" s="13">
        <v>2827.5600589999999</v>
      </c>
      <c r="F202" s="2">
        <f t="shared" si="9"/>
        <v>0.12631955042309606</v>
      </c>
      <c r="G202" s="4">
        <v>40665</v>
      </c>
      <c r="H202" s="13">
        <v>12638.740234000001</v>
      </c>
      <c r="I202" s="2">
        <f t="shared" si="11"/>
        <v>-4.4467011917328068E-2</v>
      </c>
    </row>
    <row r="203" spans="1:9" x14ac:dyDescent="0.25">
      <c r="A203" s="9">
        <v>40672</v>
      </c>
      <c r="B203" s="13">
        <v>1337.7700199999999</v>
      </c>
      <c r="C203" s="2">
        <f t="shared" si="10"/>
        <v>-6.9634233661940326E-2</v>
      </c>
      <c r="D203" s="4">
        <v>40672</v>
      </c>
      <c r="E203" s="13">
        <v>2828.469971</v>
      </c>
      <c r="F203" s="2">
        <f t="shared" si="9"/>
        <v>0.116304656246889</v>
      </c>
      <c r="G203" s="4">
        <v>40672</v>
      </c>
      <c r="H203" s="13">
        <v>12595.75</v>
      </c>
      <c r="I203" s="2">
        <f t="shared" si="11"/>
        <v>-5.0817378443070035E-2</v>
      </c>
    </row>
    <row r="204" spans="1:9" x14ac:dyDescent="0.25">
      <c r="A204" s="9">
        <v>40679</v>
      </c>
      <c r="B204" s="13">
        <v>1333.2700199999999</v>
      </c>
      <c r="C204" s="2">
        <f t="shared" si="10"/>
        <v>-7.1148506553974061E-2</v>
      </c>
      <c r="D204" s="4">
        <v>40679</v>
      </c>
      <c r="E204" s="13">
        <v>2803.320068</v>
      </c>
      <c r="F204" s="2">
        <f t="shared" si="9"/>
        <v>0.11373224768541562</v>
      </c>
      <c r="G204" s="4">
        <v>40679</v>
      </c>
      <c r="H204" s="13">
        <v>12512.040039</v>
      </c>
      <c r="I204" s="2">
        <f t="shared" si="11"/>
        <v>-5.6162579568411301E-2</v>
      </c>
    </row>
    <row r="205" spans="1:9" x14ac:dyDescent="0.25">
      <c r="A205" s="9">
        <v>40686</v>
      </c>
      <c r="B205" s="13">
        <v>1331.099976</v>
      </c>
      <c r="C205" s="2">
        <f t="shared" si="10"/>
        <v>-9.2738628897897385E-2</v>
      </c>
      <c r="D205" s="4">
        <v>40686</v>
      </c>
      <c r="E205" s="13">
        <v>2796.860107</v>
      </c>
      <c r="F205" s="2">
        <f t="shared" si="9"/>
        <v>8.8215043902439033E-2</v>
      </c>
      <c r="G205" s="4">
        <v>40686</v>
      </c>
      <c r="H205" s="13">
        <v>12441.580078000001</v>
      </c>
      <c r="I205" s="2">
        <f t="shared" si="11"/>
        <v>-7.8186725429233814E-2</v>
      </c>
    </row>
    <row r="206" spans="1:9" x14ac:dyDescent="0.25">
      <c r="A206" s="9">
        <v>40694</v>
      </c>
      <c r="B206" s="13">
        <v>1300.160034</v>
      </c>
      <c r="C206" s="2">
        <f t="shared" si="10"/>
        <v>-0.11310068826640841</v>
      </c>
      <c r="D206" s="4">
        <v>40693</v>
      </c>
      <c r="E206" s="13">
        <v>2732.780029</v>
      </c>
      <c r="F206" s="2">
        <f t="shared" si="9"/>
        <v>5.275459631657544E-2</v>
      </c>
      <c r="G206" s="4">
        <v>40694</v>
      </c>
      <c r="H206" s="13">
        <v>12151.259765999999</v>
      </c>
      <c r="I206" s="2">
        <f t="shared" si="11"/>
        <v>-9.3309693773033484E-2</v>
      </c>
    </row>
    <row r="207" spans="1:9" x14ac:dyDescent="0.25">
      <c r="A207" s="9">
        <v>40700</v>
      </c>
      <c r="B207" s="13">
        <v>1270.9799800000001</v>
      </c>
      <c r="C207" s="2">
        <f t="shared" si="10"/>
        <v>-0.11273781443098604</v>
      </c>
      <c r="D207" s="4">
        <v>40700</v>
      </c>
      <c r="E207" s="13">
        <v>2643.7299800000001</v>
      </c>
      <c r="F207" s="2">
        <f t="shared" si="9"/>
        <v>4.190342658038828E-2</v>
      </c>
      <c r="G207" s="4">
        <v>40700</v>
      </c>
      <c r="H207" s="13">
        <v>11951.910156</v>
      </c>
      <c r="I207" s="2">
        <f t="shared" si="11"/>
        <v>-8.9330741149378556E-2</v>
      </c>
    </row>
    <row r="208" spans="1:9" x14ac:dyDescent="0.25">
      <c r="A208" s="9">
        <v>40707</v>
      </c>
      <c r="B208" s="13">
        <v>1271.5</v>
      </c>
      <c r="C208" s="2">
        <f t="shared" si="10"/>
        <v>-0.11486616137698097</v>
      </c>
      <c r="D208" s="4">
        <v>40707</v>
      </c>
      <c r="E208" s="13">
        <v>2616.4799800000001</v>
      </c>
      <c r="F208" s="2">
        <f t="shared" si="9"/>
        <v>5.6402147536087618E-2</v>
      </c>
      <c r="G208" s="4">
        <v>40707</v>
      </c>
      <c r="H208" s="13">
        <v>12004.360352</v>
      </c>
      <c r="I208" s="2">
        <f t="shared" si="11"/>
        <v>-9.4624380172417782E-2</v>
      </c>
    </row>
    <row r="209" spans="1:9" x14ac:dyDescent="0.25">
      <c r="A209" s="9">
        <v>40714</v>
      </c>
      <c r="B209" s="13">
        <v>1268.4499510000001</v>
      </c>
      <c r="C209" s="2">
        <f t="shared" si="10"/>
        <v>-6.51682491696602E-2</v>
      </c>
      <c r="D209" s="4">
        <v>40714</v>
      </c>
      <c r="E209" s="13">
        <v>2652.889893</v>
      </c>
      <c r="F209" s="2">
        <f t="shared" si="9"/>
        <v>0.12136586520657044</v>
      </c>
      <c r="G209" s="4">
        <v>40714</v>
      </c>
      <c r="H209" s="13">
        <v>11934.580078000001</v>
      </c>
      <c r="I209" s="2">
        <f t="shared" si="11"/>
        <v>-4.5451730281084464E-2</v>
      </c>
    </row>
    <row r="210" spans="1:9" x14ac:dyDescent="0.25">
      <c r="A210" s="9">
        <v>40721</v>
      </c>
      <c r="B210" s="13">
        <v>1339.670044</v>
      </c>
      <c r="C210" s="2">
        <f t="shared" si="10"/>
        <v>-6.2286300870241458E-2</v>
      </c>
      <c r="D210" s="4">
        <v>40721</v>
      </c>
      <c r="E210" s="13">
        <v>2816.030029</v>
      </c>
      <c r="F210" s="2">
        <f t="shared" si="9"/>
        <v>0.13879942618218016</v>
      </c>
      <c r="G210" s="4">
        <v>40721</v>
      </c>
      <c r="H210" s="13">
        <v>12582.769531</v>
      </c>
      <c r="I210" s="2">
        <f t="shared" si="11"/>
        <v>-3.9805305512658852E-2</v>
      </c>
    </row>
    <row r="211" spans="1:9" x14ac:dyDescent="0.25">
      <c r="A211" s="9">
        <v>40729</v>
      </c>
      <c r="B211" s="13">
        <v>1343.8000489999999</v>
      </c>
      <c r="C211" s="2">
        <f t="shared" si="10"/>
        <v>-8.1587678943189343E-2</v>
      </c>
      <c r="D211" s="4">
        <v>40728</v>
      </c>
      <c r="E211" s="13">
        <v>2859.8100589999999</v>
      </c>
      <c r="F211" s="2">
        <f t="shared" si="9"/>
        <v>0.11092087565953208</v>
      </c>
      <c r="G211" s="4">
        <v>40729</v>
      </c>
      <c r="H211" s="13">
        <v>12657.200194999999</v>
      </c>
      <c r="I211" s="2">
        <f t="shared" si="11"/>
        <v>-5.3268432168792262E-2</v>
      </c>
    </row>
    <row r="212" spans="1:9" x14ac:dyDescent="0.25">
      <c r="A212" s="9">
        <v>40735</v>
      </c>
      <c r="B212" s="13">
        <v>1316.1400149999999</v>
      </c>
      <c r="C212" s="2">
        <f t="shared" si="10"/>
        <v>-6.1434996005286048E-2</v>
      </c>
      <c r="D212" s="4">
        <v>40735</v>
      </c>
      <c r="E212" s="13">
        <v>2789.8000489999999</v>
      </c>
      <c r="F212" s="2">
        <f t="shared" si="9"/>
        <v>0.13840918984569436</v>
      </c>
      <c r="G212" s="4">
        <v>40735</v>
      </c>
      <c r="H212" s="13">
        <v>12479.730469</v>
      </c>
      <c r="I212" s="2">
        <f t="shared" si="11"/>
        <v>-3.7987665981176026E-2</v>
      </c>
    </row>
    <row r="213" spans="1:9" x14ac:dyDescent="0.25">
      <c r="A213" s="9">
        <v>40742</v>
      </c>
      <c r="B213" s="13">
        <v>1345.0200199999999</v>
      </c>
      <c r="C213" s="2">
        <f t="shared" si="10"/>
        <v>-9.8237355172844085E-2</v>
      </c>
      <c r="D213" s="4">
        <v>40742</v>
      </c>
      <c r="E213" s="13">
        <v>2858.830078</v>
      </c>
      <c r="F213" s="2">
        <f t="shared" si="9"/>
        <v>9.761269606769539E-2</v>
      </c>
      <c r="G213" s="4">
        <v>40742</v>
      </c>
      <c r="H213" s="13">
        <v>12681.160156</v>
      </c>
      <c r="I213" s="2">
        <f t="shared" si="11"/>
        <v>-7.8795099474049182E-2</v>
      </c>
    </row>
    <row r="214" spans="1:9" x14ac:dyDescent="0.25">
      <c r="A214" s="9">
        <v>40749</v>
      </c>
      <c r="B214" s="13">
        <v>1292.280029</v>
      </c>
      <c r="C214" s="2">
        <f t="shared" si="10"/>
        <v>-0.1630636849673025</v>
      </c>
      <c r="D214" s="4">
        <v>40749</v>
      </c>
      <c r="E214" s="13">
        <v>2756.3798830000001</v>
      </c>
      <c r="F214" s="2">
        <f t="shared" si="9"/>
        <v>8.4260475858636448E-3</v>
      </c>
      <c r="G214" s="4">
        <v>40749</v>
      </c>
      <c r="H214" s="13">
        <v>12143.240234000001</v>
      </c>
      <c r="I214" s="2">
        <f t="shared" si="11"/>
        <v>-0.13179423797007409</v>
      </c>
    </row>
    <row r="215" spans="1:9" x14ac:dyDescent="0.25">
      <c r="A215" s="9">
        <v>40756</v>
      </c>
      <c r="B215" s="13">
        <v>1199.380005</v>
      </c>
      <c r="C215" s="2">
        <f t="shared" si="10"/>
        <v>-0.17741754674079574</v>
      </c>
      <c r="D215" s="4">
        <v>40756</v>
      </c>
      <c r="E215" s="13">
        <v>2532.4099120000001</v>
      </c>
      <c r="F215" s="2">
        <f t="shared" si="9"/>
        <v>-1.3021483325037059E-3</v>
      </c>
      <c r="G215" s="4">
        <v>40756</v>
      </c>
      <c r="H215" s="13">
        <v>11444.610352</v>
      </c>
      <c r="I215" s="2">
        <f t="shared" si="11"/>
        <v>-0.14511482800004605</v>
      </c>
    </row>
    <row r="216" spans="1:9" x14ac:dyDescent="0.25">
      <c r="A216" s="9">
        <v>40763</v>
      </c>
      <c r="B216" s="13">
        <v>1178.8100589999999</v>
      </c>
      <c r="C216" s="2">
        <f t="shared" si="10"/>
        <v>-0.21599236407160233</v>
      </c>
      <c r="D216" s="4">
        <v>40763</v>
      </c>
      <c r="E216" s="13">
        <v>2507.9799800000001</v>
      </c>
      <c r="F216" s="2">
        <f t="shared" si="9"/>
        <v>-6.7460393031358909E-2</v>
      </c>
      <c r="G216" s="4">
        <v>40763</v>
      </c>
      <c r="H216" s="13">
        <v>11269.019531</v>
      </c>
      <c r="I216" s="2">
        <f t="shared" si="11"/>
        <v>-0.17935638591223915</v>
      </c>
    </row>
    <row r="217" spans="1:9" x14ac:dyDescent="0.25">
      <c r="A217" s="9">
        <v>40770</v>
      </c>
      <c r="B217" s="13">
        <v>1123.530029</v>
      </c>
      <c r="C217" s="2">
        <f t="shared" si="10"/>
        <v>-0.17882014671375332</v>
      </c>
      <c r="D217" s="4">
        <v>40770</v>
      </c>
      <c r="E217" s="13">
        <v>2341.8400879999999</v>
      </c>
      <c r="F217" s="2">
        <f t="shared" si="9"/>
        <v>-1.2503694176207112E-2</v>
      </c>
      <c r="G217" s="4">
        <v>40770</v>
      </c>
      <c r="H217" s="13">
        <v>10817.650390999999</v>
      </c>
      <c r="I217" s="2">
        <f t="shared" si="11"/>
        <v>-0.14393741836697133</v>
      </c>
    </row>
    <row r="218" spans="1:9" x14ac:dyDescent="0.25">
      <c r="A218" s="9">
        <v>40777</v>
      </c>
      <c r="B218" s="13">
        <v>1176.8000489999999</v>
      </c>
      <c r="C218" s="2">
        <f t="shared" si="10"/>
        <v>-0.18079499625493362</v>
      </c>
      <c r="D218" s="4">
        <v>40777</v>
      </c>
      <c r="E218" s="13">
        <v>2479.8500979999999</v>
      </c>
      <c r="F218" s="2">
        <f t="shared" si="9"/>
        <v>-1.2312562269785981E-2</v>
      </c>
      <c r="G218" s="4">
        <v>40777</v>
      </c>
      <c r="H218" s="13">
        <v>11284.540039</v>
      </c>
      <c r="I218" s="2">
        <f t="shared" si="11"/>
        <v>-0.14729658805300089</v>
      </c>
    </row>
    <row r="219" spans="1:9" x14ac:dyDescent="0.25">
      <c r="A219" s="9">
        <v>40784</v>
      </c>
      <c r="B219" s="13">
        <v>1173.969971</v>
      </c>
      <c r="C219" s="2">
        <f t="shared" si="10"/>
        <v>-0.19456970923784561</v>
      </c>
      <c r="D219" s="4">
        <v>40784</v>
      </c>
      <c r="E219" s="13">
        <v>2480.330078</v>
      </c>
      <c r="F219" s="2">
        <f t="shared" si="9"/>
        <v>-1.7226484818317556E-2</v>
      </c>
      <c r="G219" s="4">
        <v>40784</v>
      </c>
      <c r="H219" s="13">
        <v>11240.259765999999</v>
      </c>
      <c r="I219" s="2">
        <f t="shared" si="11"/>
        <v>-0.16612010301126803</v>
      </c>
    </row>
    <row r="220" spans="1:9" x14ac:dyDescent="0.25">
      <c r="A220" s="9">
        <v>40792</v>
      </c>
      <c r="B220" s="13">
        <v>1154.2299800000001</v>
      </c>
      <c r="C220" s="2">
        <f t="shared" si="10"/>
        <v>-0.15145914341612388</v>
      </c>
      <c r="D220" s="4">
        <v>40791</v>
      </c>
      <c r="E220" s="13">
        <v>2467.98999</v>
      </c>
      <c r="F220" s="2">
        <f t="shared" si="9"/>
        <v>4.4225011050273731E-2</v>
      </c>
      <c r="G220" s="4">
        <v>40792</v>
      </c>
      <c r="H220" s="13">
        <v>10992.129883</v>
      </c>
      <c r="I220" s="2">
        <f t="shared" si="11"/>
        <v>-0.12690272443091896</v>
      </c>
    </row>
    <row r="221" spans="1:9" x14ac:dyDescent="0.25">
      <c r="A221" s="9">
        <v>40798</v>
      </c>
      <c r="B221" s="13">
        <v>1216.01001</v>
      </c>
      <c r="C221" s="2">
        <f t="shared" si="10"/>
        <v>-0.2069906303905997</v>
      </c>
      <c r="D221" s="4">
        <v>40798</v>
      </c>
      <c r="E221" s="13">
        <v>2622.3100589999999</v>
      </c>
      <c r="F221" s="2">
        <f t="shared" si="9"/>
        <v>-1.1157797909407638E-2</v>
      </c>
      <c r="G221" s="4">
        <v>40798</v>
      </c>
      <c r="H221" s="13">
        <v>11509.089844</v>
      </c>
      <c r="I221" s="2">
        <f t="shared" si="11"/>
        <v>-0.18285890728081214</v>
      </c>
    </row>
    <row r="222" spans="1:9" x14ac:dyDescent="0.25">
      <c r="A222" s="9">
        <v>40805</v>
      </c>
      <c r="B222" s="13">
        <v>1136.4300539999999</v>
      </c>
      <c r="C222" s="2">
        <f t="shared" si="10"/>
        <v>-0.21048665274397962</v>
      </c>
      <c r="D222" s="4">
        <v>40805</v>
      </c>
      <c r="E222" s="13">
        <v>2483.2299800000001</v>
      </c>
      <c r="F222" s="2">
        <f t="shared" si="9"/>
        <v>-3.8168281931309063E-2</v>
      </c>
      <c r="G222" s="4">
        <v>40805</v>
      </c>
      <c r="H222" s="13">
        <v>10771.480469</v>
      </c>
      <c r="I222" s="2">
        <f t="shared" si="11"/>
        <v>-0.17209419925893177</v>
      </c>
    </row>
    <row r="223" spans="1:9" x14ac:dyDescent="0.25">
      <c r="A223" s="9">
        <v>40812</v>
      </c>
      <c r="B223" s="13">
        <v>1131.420044</v>
      </c>
      <c r="C223" s="2">
        <f t="shared" si="10"/>
        <v>-0.19371141932021421</v>
      </c>
      <c r="D223" s="4">
        <v>40812</v>
      </c>
      <c r="E223" s="13">
        <v>2415.3999020000001</v>
      </c>
      <c r="F223" s="2">
        <f t="shared" si="9"/>
        <v>-1.2702798208063757E-2</v>
      </c>
      <c r="G223" s="4">
        <v>40812</v>
      </c>
      <c r="H223" s="13">
        <v>10913.379883</v>
      </c>
      <c r="I223" s="2">
        <f t="shared" si="11"/>
        <v>-0.15770021297359535</v>
      </c>
    </row>
    <row r="224" spans="1:9" x14ac:dyDescent="0.25">
      <c r="A224" s="9">
        <v>40819</v>
      </c>
      <c r="B224" s="13">
        <v>1155.459961</v>
      </c>
      <c r="C224" s="2">
        <f t="shared" si="10"/>
        <v>-0.14547897116432013</v>
      </c>
      <c r="D224" s="4">
        <v>40819</v>
      </c>
      <c r="E224" s="13">
        <v>2479.3500979999999</v>
      </c>
      <c r="F224" s="2">
        <f t="shared" si="9"/>
        <v>6.2359421801891447E-2</v>
      </c>
      <c r="G224" s="4">
        <v>40819</v>
      </c>
      <c r="H224" s="13">
        <v>11103.120117</v>
      </c>
      <c r="I224" s="2">
        <f t="shared" si="11"/>
        <v>-0.11663104237591947</v>
      </c>
    </row>
    <row r="225" spans="1:9" x14ac:dyDescent="0.25">
      <c r="A225" s="9">
        <v>40826</v>
      </c>
      <c r="B225" s="13">
        <v>1224.579956</v>
      </c>
      <c r="C225" s="2">
        <f t="shared" si="10"/>
        <v>-0.13593991248066731</v>
      </c>
      <c r="D225" s="4">
        <v>40826</v>
      </c>
      <c r="E225" s="13">
        <v>2667.8500979999999</v>
      </c>
      <c r="F225" s="2">
        <f t="shared" si="9"/>
        <v>5.0257824191139881E-2</v>
      </c>
      <c r="G225" s="4">
        <v>40826</v>
      </c>
      <c r="H225" s="13">
        <v>11644.490234000001</v>
      </c>
      <c r="I225" s="2">
        <f t="shared" si="11"/>
        <v>-0.10416700620395279</v>
      </c>
    </row>
    <row r="226" spans="1:9" x14ac:dyDescent="0.25">
      <c r="A226" s="9">
        <v>40833</v>
      </c>
      <c r="B226" s="13">
        <v>1238.25</v>
      </c>
      <c r="C226" s="2">
        <f t="shared" si="10"/>
        <v>-0.10325463477312637</v>
      </c>
      <c r="D226" s="4">
        <v>40833</v>
      </c>
      <c r="E226" s="13">
        <v>2637.459961</v>
      </c>
      <c r="F226" s="2">
        <f t="shared" si="9"/>
        <v>8.9955162568442049E-2</v>
      </c>
      <c r="G226" s="4">
        <v>40833</v>
      </c>
      <c r="H226" s="13">
        <v>11808.790039</v>
      </c>
      <c r="I226" s="2">
        <f t="shared" si="11"/>
        <v>-7.2129137033089652E-2</v>
      </c>
    </row>
    <row r="227" spans="1:9" x14ac:dyDescent="0.25">
      <c r="A227" s="9">
        <v>40840</v>
      </c>
      <c r="B227" s="13">
        <v>1285.089966</v>
      </c>
      <c r="C227" s="2">
        <f t="shared" si="10"/>
        <v>-0.12548677068390743</v>
      </c>
      <c r="D227" s="4">
        <v>40840</v>
      </c>
      <c r="E227" s="13">
        <v>2737.1499020000001</v>
      </c>
      <c r="F227" s="2">
        <f t="shared" si="9"/>
        <v>6.9646551319064262E-2</v>
      </c>
      <c r="G227" s="4">
        <v>40840</v>
      </c>
      <c r="H227" s="13">
        <v>12231.110352</v>
      </c>
      <c r="I227" s="2">
        <f t="shared" si="11"/>
        <v>-9.0932945818508817E-2</v>
      </c>
    </row>
    <row r="228" spans="1:9" x14ac:dyDescent="0.25">
      <c r="A228" s="9">
        <v>40847</v>
      </c>
      <c r="B228" s="13">
        <v>1253.2299800000001</v>
      </c>
      <c r="C228" s="2">
        <f t="shared" si="10"/>
        <v>-0.11807605824844215</v>
      </c>
      <c r="D228" s="4">
        <v>40847</v>
      </c>
      <c r="E228" s="13">
        <v>2686.1499020000001</v>
      </c>
      <c r="F228" s="2">
        <f t="shared" si="9"/>
        <v>6.6699850671976105E-2</v>
      </c>
      <c r="G228" s="4">
        <v>40847</v>
      </c>
      <c r="H228" s="13">
        <v>11983.240234000001</v>
      </c>
      <c r="I228" s="2">
        <f t="shared" si="11"/>
        <v>-7.8003146420473887E-2</v>
      </c>
    </row>
    <row r="229" spans="1:9" x14ac:dyDescent="0.25">
      <c r="A229" s="9">
        <v>40854</v>
      </c>
      <c r="B229" s="13">
        <v>1263.849976</v>
      </c>
      <c r="C229" s="2">
        <f t="shared" si="10"/>
        <v>-0.15171034433247008</v>
      </c>
      <c r="D229" s="4">
        <v>40854</v>
      </c>
      <c r="E229" s="13">
        <v>2678.75</v>
      </c>
      <c r="F229" s="2">
        <f t="shared" si="9"/>
        <v>2.4390243902439025E-2</v>
      </c>
      <c r="G229" s="4">
        <v>40854</v>
      </c>
      <c r="H229" s="13">
        <v>12153.679688</v>
      </c>
      <c r="I229" s="2">
        <f t="shared" si="11"/>
        <v>-0.10512512857396841</v>
      </c>
    </row>
    <row r="230" spans="1:9" x14ac:dyDescent="0.25">
      <c r="A230" s="9">
        <v>40861</v>
      </c>
      <c r="B230" s="13">
        <v>1215.650024</v>
      </c>
      <c r="C230" s="2">
        <f t="shared" si="10"/>
        <v>-0.19147139945514313</v>
      </c>
      <c r="D230" s="4">
        <v>40861</v>
      </c>
      <c r="E230" s="13">
        <v>2572.5</v>
      </c>
      <c r="F230" s="2">
        <f t="shared" si="9"/>
        <v>-2.7771026381284234E-2</v>
      </c>
      <c r="G230" s="4">
        <v>40861</v>
      </c>
      <c r="H230" s="13">
        <v>11796.160156</v>
      </c>
      <c r="I230" s="2">
        <f t="shared" si="11"/>
        <v>-0.14794970849594985</v>
      </c>
    </row>
    <row r="231" spans="1:9" x14ac:dyDescent="0.25">
      <c r="A231" s="9">
        <v>40868</v>
      </c>
      <c r="B231" s="13">
        <v>1158.670044</v>
      </c>
      <c r="C231" s="2">
        <f t="shared" si="10"/>
        <v>-0.13173211325960199</v>
      </c>
      <c r="D231" s="4">
        <v>40868</v>
      </c>
      <c r="E231" s="13">
        <v>2441.51001</v>
      </c>
      <c r="F231" s="2">
        <f t="shared" si="9"/>
        <v>4.6064681732205078E-2</v>
      </c>
      <c r="G231" s="4">
        <v>40868</v>
      </c>
      <c r="H231" s="13">
        <v>11231.650390999999</v>
      </c>
      <c r="I231" s="2">
        <f t="shared" si="11"/>
        <v>-8.8188298982668376E-2</v>
      </c>
    </row>
    <row r="232" spans="1:9" x14ac:dyDescent="0.25">
      <c r="A232" s="9">
        <v>40875</v>
      </c>
      <c r="B232" s="13">
        <v>1244.280029</v>
      </c>
      <c r="C232" s="2">
        <f t="shared" si="10"/>
        <v>-0.12411909527652241</v>
      </c>
      <c r="D232" s="4">
        <v>40875</v>
      </c>
      <c r="E232" s="13">
        <v>2626.929932</v>
      </c>
      <c r="F232" s="2">
        <f t="shared" si="9"/>
        <v>5.399705246391235E-2</v>
      </c>
      <c r="G232" s="4">
        <v>40875</v>
      </c>
      <c r="H232" s="13">
        <v>12019.419921999999</v>
      </c>
      <c r="I232" s="2">
        <f t="shared" si="11"/>
        <v>-7.5683294620689012E-2</v>
      </c>
    </row>
    <row r="233" spans="1:9" x14ac:dyDescent="0.25">
      <c r="A233" s="9">
        <v>40882</v>
      </c>
      <c r="B233" s="13">
        <v>1255.1899410000001</v>
      </c>
      <c r="C233" s="2">
        <f t="shared" si="10"/>
        <v>-0.14891212943923093</v>
      </c>
      <c r="D233" s="4">
        <v>40882</v>
      </c>
      <c r="E233" s="13">
        <v>2646.8500979999999</v>
      </c>
      <c r="F233" s="2">
        <f t="shared" si="9"/>
        <v>1.7553042508710783E-2</v>
      </c>
      <c r="G233" s="4">
        <v>40882</v>
      </c>
      <c r="H233" s="13">
        <v>12184.259765999999</v>
      </c>
      <c r="I233" s="2">
        <f t="shared" si="11"/>
        <v>-9.9797411181809279E-2</v>
      </c>
    </row>
    <row r="234" spans="1:9" x14ac:dyDescent="0.25">
      <c r="A234" s="9">
        <v>40889</v>
      </c>
      <c r="B234" s="13">
        <v>1219.660034</v>
      </c>
      <c r="C234" s="2">
        <f t="shared" si="10"/>
        <v>-0.11704331716358295</v>
      </c>
      <c r="D234" s="4">
        <v>40889</v>
      </c>
      <c r="E234" s="13">
        <v>2555.330078</v>
      </c>
      <c r="F234" s="2">
        <f t="shared" si="9"/>
        <v>4.276352135390743E-2</v>
      </c>
      <c r="G234" s="4">
        <v>40889</v>
      </c>
      <c r="H234" s="13">
        <v>11866.389648</v>
      </c>
      <c r="I234" s="2">
        <f t="shared" si="11"/>
        <v>-6.7358231507582425E-2</v>
      </c>
    </row>
    <row r="235" spans="1:9" x14ac:dyDescent="0.25">
      <c r="A235" s="9">
        <v>40896</v>
      </c>
      <c r="B235" s="13">
        <v>1265.329956</v>
      </c>
      <c r="C235" s="2">
        <f t="shared" si="10"/>
        <v>-0.12243735487432209</v>
      </c>
      <c r="D235" s="4">
        <v>40896</v>
      </c>
      <c r="E235" s="13">
        <v>2618.639893</v>
      </c>
      <c r="F235" s="2">
        <f t="shared" si="9"/>
        <v>3.7391698158287752E-2</v>
      </c>
      <c r="G235" s="4">
        <v>40896</v>
      </c>
      <c r="H235" s="13">
        <v>12294</v>
      </c>
      <c r="I235" s="2">
        <f t="shared" si="11"/>
        <v>-7.3157120219110111E-2</v>
      </c>
    </row>
    <row r="236" spans="1:9" x14ac:dyDescent="0.25">
      <c r="A236" s="9">
        <v>40904</v>
      </c>
      <c r="B236" s="13">
        <v>1257.599976</v>
      </c>
      <c r="C236" s="2">
        <f t="shared" si="10"/>
        <v>-0.10833460818685758</v>
      </c>
      <c r="D236" s="4">
        <v>40903</v>
      </c>
      <c r="E236" s="13">
        <v>2605.1499020000001</v>
      </c>
      <c r="F236" s="2">
        <f t="shared" si="9"/>
        <v>6.4895956595321047E-2</v>
      </c>
      <c r="G236" s="4">
        <v>40904</v>
      </c>
      <c r="H236" s="13">
        <v>12217.559569999999</v>
      </c>
      <c r="I236" s="2">
        <f t="shared" si="11"/>
        <v>-6.2357444730865207E-2</v>
      </c>
    </row>
    <row r="237" spans="1:9" x14ac:dyDescent="0.25">
      <c r="A237" s="9">
        <v>40911</v>
      </c>
      <c r="B237" s="13">
        <v>1277.8100589999999</v>
      </c>
      <c r="C237" s="2">
        <f t="shared" si="10"/>
        <v>-0.1004634049325632</v>
      </c>
      <c r="D237" s="4">
        <v>40910</v>
      </c>
      <c r="E237" s="13">
        <v>2674.219971</v>
      </c>
      <c r="F237" s="2">
        <f t="shared" si="9"/>
        <v>7.9410621005475371E-2</v>
      </c>
      <c r="G237" s="4">
        <v>40911</v>
      </c>
      <c r="H237" s="13">
        <v>12359.919921999999</v>
      </c>
      <c r="I237" s="2">
        <f t="shared" si="11"/>
        <v>-5.7643435360097632E-2</v>
      </c>
    </row>
    <row r="238" spans="1:9" x14ac:dyDescent="0.25">
      <c r="A238" s="9">
        <v>40917</v>
      </c>
      <c r="B238" s="13">
        <v>1289.089966</v>
      </c>
      <c r="C238" s="2">
        <f t="shared" si="10"/>
        <v>-8.2118019590970912E-2</v>
      </c>
      <c r="D238" s="4">
        <v>40917</v>
      </c>
      <c r="E238" s="13">
        <v>2710.669922</v>
      </c>
      <c r="F238" s="2">
        <f t="shared" si="9"/>
        <v>0.10968639163763068</v>
      </c>
      <c r="G238" s="4">
        <v>40917</v>
      </c>
      <c r="H238" s="13">
        <v>12422.059569999999</v>
      </c>
      <c r="I238" s="2">
        <f t="shared" si="11"/>
        <v>-3.500476649736315E-2</v>
      </c>
    </row>
    <row r="239" spans="1:9" x14ac:dyDescent="0.25">
      <c r="A239" s="9">
        <v>40925</v>
      </c>
      <c r="B239" s="13">
        <v>1315.380005</v>
      </c>
      <c r="C239" s="2">
        <f t="shared" si="10"/>
        <v>-8.1455136696402669E-2</v>
      </c>
      <c r="D239" s="4">
        <v>40924</v>
      </c>
      <c r="E239" s="13">
        <v>2786.6999510000001</v>
      </c>
      <c r="F239" s="2">
        <f t="shared" si="9"/>
        <v>0.1215729413638626</v>
      </c>
      <c r="G239" s="4">
        <v>40925</v>
      </c>
      <c r="H239" s="13">
        <v>12720.480469</v>
      </c>
      <c r="I239" s="2">
        <f t="shared" si="11"/>
        <v>-3.9558014644990681E-2</v>
      </c>
    </row>
    <row r="240" spans="1:9" x14ac:dyDescent="0.25">
      <c r="A240" s="9">
        <v>40931</v>
      </c>
      <c r="B240" s="13">
        <v>1316.329956</v>
      </c>
      <c r="C240" s="2">
        <f t="shared" si="10"/>
        <v>-6.1518730109273029E-2</v>
      </c>
      <c r="D240" s="4">
        <v>40931</v>
      </c>
      <c r="E240" s="13">
        <v>2816.5500489999999</v>
      </c>
      <c r="F240" s="2">
        <f t="shared" si="9"/>
        <v>0.15705720736684922</v>
      </c>
      <c r="G240" s="4">
        <v>40931</v>
      </c>
      <c r="H240" s="13">
        <v>12660.459961</v>
      </c>
      <c r="I240" s="2">
        <f t="shared" si="11"/>
        <v>-2.4251393251568436E-2</v>
      </c>
    </row>
    <row r="241" spans="1:9" x14ac:dyDescent="0.25">
      <c r="A241" s="9">
        <v>40938</v>
      </c>
      <c r="B241" s="13">
        <v>1344.900024</v>
      </c>
      <c r="C241" s="2">
        <f t="shared" si="10"/>
        <v>-6.3095781249458416E-2</v>
      </c>
      <c r="D241" s="4">
        <v>40938</v>
      </c>
      <c r="E241" s="13">
        <v>2905.6599120000001</v>
      </c>
      <c r="F241" s="2">
        <f t="shared" si="9"/>
        <v>0.15634838546540569</v>
      </c>
      <c r="G241" s="4">
        <v>40938</v>
      </c>
      <c r="H241" s="13">
        <v>12862.230469</v>
      </c>
      <c r="I241" s="2">
        <f t="shared" si="11"/>
        <v>-2.8878947170393673E-2</v>
      </c>
    </row>
    <row r="242" spans="1:9" x14ac:dyDescent="0.25">
      <c r="A242" s="9">
        <v>40945</v>
      </c>
      <c r="B242" s="13">
        <v>1342.6400149999999</v>
      </c>
      <c r="C242" s="2">
        <f t="shared" si="10"/>
        <v>-5.0123564988702157E-2</v>
      </c>
      <c r="D242" s="4">
        <v>40945</v>
      </c>
      <c r="E242" s="13">
        <v>2903.8798830000001</v>
      </c>
      <c r="F242" s="2">
        <f t="shared" si="9"/>
        <v>0.17542260985564959</v>
      </c>
      <c r="G242" s="4">
        <v>40945</v>
      </c>
      <c r="H242" s="13">
        <v>12801.230469</v>
      </c>
      <c r="I242" s="2">
        <f t="shared" si="11"/>
        <v>-1.7602914619652604E-2</v>
      </c>
    </row>
    <row r="243" spans="1:9" x14ac:dyDescent="0.25">
      <c r="A243" s="9">
        <v>40952</v>
      </c>
      <c r="B243" s="13">
        <v>1361.2299800000001</v>
      </c>
      <c r="C243" s="2">
        <f t="shared" si="10"/>
        <v>-4.6976446365392617E-2</v>
      </c>
      <c r="D243" s="4">
        <v>40952</v>
      </c>
      <c r="E243" s="13">
        <v>2951.780029</v>
      </c>
      <c r="F243" s="2">
        <f t="shared" si="9"/>
        <v>0.18018914883026382</v>
      </c>
      <c r="G243" s="4">
        <v>40952</v>
      </c>
      <c r="H243" s="13">
        <v>12949.870117</v>
      </c>
      <c r="I243" s="2">
        <f t="shared" si="11"/>
        <v>-1.5093408970735552E-2</v>
      </c>
    </row>
    <row r="244" spans="1:9" x14ac:dyDescent="0.25">
      <c r="A244" s="9">
        <v>40960</v>
      </c>
      <c r="B244" s="13">
        <v>1365.73999</v>
      </c>
      <c r="C244" s="2">
        <f t="shared" si="10"/>
        <v>-4.4261964878333081E-2</v>
      </c>
      <c r="D244" s="4">
        <v>40959</v>
      </c>
      <c r="E244" s="13">
        <v>2963.75</v>
      </c>
      <c r="F244" s="2">
        <f t="shared" si="9"/>
        <v>0.18514283364858142</v>
      </c>
      <c r="G244" s="4">
        <v>40960</v>
      </c>
      <c r="H244" s="13">
        <v>12982.950194999999</v>
      </c>
      <c r="I244" s="2">
        <f t="shared" si="11"/>
        <v>-1.5501535178267838E-2</v>
      </c>
    </row>
    <row r="245" spans="1:9" x14ac:dyDescent="0.25">
      <c r="A245" s="9">
        <v>40966</v>
      </c>
      <c r="B245" s="13">
        <v>1369.630005</v>
      </c>
      <c r="C245" s="2">
        <f t="shared" si="10"/>
        <v>-4.339669060583308E-2</v>
      </c>
      <c r="D245" s="4">
        <v>40966</v>
      </c>
      <c r="E245" s="13">
        <v>2976.1899410000001</v>
      </c>
      <c r="F245" s="2">
        <f t="shared" si="9"/>
        <v>0.1899811201592832</v>
      </c>
      <c r="G245" s="4">
        <v>40966</v>
      </c>
      <c r="H245" s="13">
        <v>12977.570312</v>
      </c>
      <c r="I245" s="2">
        <f t="shared" si="11"/>
        <v>-1.9715702953847381E-2</v>
      </c>
    </row>
    <row r="246" spans="1:9" x14ac:dyDescent="0.25">
      <c r="A246" s="9">
        <v>40973</v>
      </c>
      <c r="B246" s="13">
        <v>1370.869995</v>
      </c>
      <c r="C246" s="2">
        <f t="shared" si="10"/>
        <v>-2.0159667990579277E-2</v>
      </c>
      <c r="D246" s="4">
        <v>40973</v>
      </c>
      <c r="E246" s="13">
        <v>2988.3400879999999</v>
      </c>
      <c r="F246" s="2">
        <f t="shared" si="9"/>
        <v>0.21662917272274762</v>
      </c>
      <c r="G246" s="4">
        <v>40973</v>
      </c>
      <c r="H246" s="13">
        <v>12922.019531</v>
      </c>
      <c r="I246" s="2">
        <f t="shared" si="11"/>
        <v>3.8469357171971668E-3</v>
      </c>
    </row>
    <row r="247" spans="1:9" x14ac:dyDescent="0.25">
      <c r="A247" s="9">
        <v>40980</v>
      </c>
      <c r="B247" s="13">
        <v>1404.170044</v>
      </c>
      <c r="C247" s="2">
        <f t="shared" si="10"/>
        <v>-2.5086229829813338E-2</v>
      </c>
      <c r="D247" s="4">
        <v>40980</v>
      </c>
      <c r="E247" s="13">
        <v>3055.26001</v>
      </c>
      <c r="F247" s="2">
        <f t="shared" si="9"/>
        <v>0.2216704517670483</v>
      </c>
      <c r="G247" s="4">
        <v>40980</v>
      </c>
      <c r="H247" s="13">
        <v>13232.620117</v>
      </c>
      <c r="I247" s="2">
        <f t="shared" si="11"/>
        <v>-7.6756468374157404E-3</v>
      </c>
    </row>
    <row r="248" spans="1:9" x14ac:dyDescent="0.25">
      <c r="A248" s="9">
        <v>40987</v>
      </c>
      <c r="B248" s="13">
        <v>1397.1099850000001</v>
      </c>
      <c r="C248" s="2">
        <f t="shared" si="10"/>
        <v>-1.7159146851918456E-2</v>
      </c>
      <c r="D248" s="4">
        <v>40987</v>
      </c>
      <c r="E248" s="13">
        <v>3067.919922</v>
      </c>
      <c r="F248" s="2">
        <f t="shared" si="9"/>
        <v>0.2310881306122449</v>
      </c>
      <c r="G248" s="4">
        <v>40987</v>
      </c>
      <c r="H248" s="13">
        <v>13080.730469</v>
      </c>
      <c r="I248" s="2">
        <f t="shared" si="11"/>
        <v>2.2856993139408867E-3</v>
      </c>
    </row>
    <row r="249" spans="1:9" x14ac:dyDescent="0.25">
      <c r="A249" s="9">
        <v>40994</v>
      </c>
      <c r="B249" s="13">
        <v>1408.469971</v>
      </c>
      <c r="C249" s="2">
        <f t="shared" si="10"/>
        <v>-2.4409376829893123E-2</v>
      </c>
      <c r="D249" s="4">
        <v>40994</v>
      </c>
      <c r="E249" s="13">
        <v>3091.570068</v>
      </c>
      <c r="F249" s="2">
        <f t="shared" si="9"/>
        <v>0.22667994026879043</v>
      </c>
      <c r="G249" s="4">
        <v>40994</v>
      </c>
      <c r="H249" s="13">
        <v>13212.040039</v>
      </c>
      <c r="I249" s="2">
        <f t="shared" si="11"/>
        <v>-9.237698221192428E-3</v>
      </c>
    </row>
    <row r="250" spans="1:9" x14ac:dyDescent="0.25">
      <c r="A250" s="9">
        <v>41001</v>
      </c>
      <c r="B250" s="13">
        <v>1398.079956</v>
      </c>
      <c r="C250" s="2">
        <f t="shared" si="10"/>
        <v>-4.3822342689407094E-2</v>
      </c>
      <c r="D250" s="4">
        <v>41001</v>
      </c>
      <c r="E250" s="13">
        <v>3080.5</v>
      </c>
      <c r="F250" s="2">
        <f t="shared" si="9"/>
        <v>0.1991359195619711</v>
      </c>
      <c r="G250" s="4">
        <v>41001</v>
      </c>
      <c r="H250" s="13">
        <v>13060.139648</v>
      </c>
      <c r="I250" s="2">
        <f t="shared" si="11"/>
        <v>-2.5210330526243031E-2</v>
      </c>
    </row>
    <row r="251" spans="1:9" x14ac:dyDescent="0.25">
      <c r="A251" s="9">
        <v>41008</v>
      </c>
      <c r="B251" s="13">
        <v>1370.26001</v>
      </c>
      <c r="C251" s="2">
        <f t="shared" si="10"/>
        <v>-3.8051461735700988E-2</v>
      </c>
      <c r="D251" s="4">
        <v>41008</v>
      </c>
      <c r="E251" s="13">
        <v>3011.330078</v>
      </c>
      <c r="F251" s="2">
        <f t="shared" si="9"/>
        <v>0.19480336525634645</v>
      </c>
      <c r="G251" s="4">
        <v>41008</v>
      </c>
      <c r="H251" s="13">
        <v>12849.589844</v>
      </c>
      <c r="I251" s="2">
        <f t="shared" si="11"/>
        <v>-1.1580293614011543E-2</v>
      </c>
    </row>
    <row r="252" spans="1:9" x14ac:dyDescent="0.25">
      <c r="A252" s="9">
        <v>41015</v>
      </c>
      <c r="B252" s="13">
        <v>1378.530029</v>
      </c>
      <c r="C252" s="2">
        <f t="shared" si="10"/>
        <v>-2.0724933203933402E-2</v>
      </c>
      <c r="D252" s="4">
        <v>41015</v>
      </c>
      <c r="E252" s="13">
        <v>3000.4499510000001</v>
      </c>
      <c r="F252" s="2">
        <f t="shared" si="9"/>
        <v>0.22218016963663517</v>
      </c>
      <c r="G252" s="4">
        <v>41015</v>
      </c>
      <c r="H252" s="13">
        <v>13029.259765999999</v>
      </c>
      <c r="I252" s="2">
        <f t="shared" si="11"/>
        <v>3.519930985031023E-3</v>
      </c>
    </row>
    <row r="253" spans="1:9" x14ac:dyDescent="0.25">
      <c r="A253" s="9">
        <v>41022</v>
      </c>
      <c r="B253" s="13">
        <v>1403.3599850000001</v>
      </c>
      <c r="C253" s="2">
        <f t="shared" si="10"/>
        <v>-4.4631823068624052E-2</v>
      </c>
      <c r="D253" s="4">
        <v>41022</v>
      </c>
      <c r="E253" s="13">
        <v>3069.1999510000001</v>
      </c>
      <c r="F253" s="2">
        <f t="shared" si="9"/>
        <v>0.17723846212045791</v>
      </c>
      <c r="G253" s="4">
        <v>41022</v>
      </c>
      <c r="H253" s="13">
        <v>13228.309569999999</v>
      </c>
      <c r="I253" s="2">
        <f t="shared" si="11"/>
        <v>-1.0896798969200925E-2</v>
      </c>
    </row>
    <row r="254" spans="1:9" x14ac:dyDescent="0.25">
      <c r="A254" s="9">
        <v>41029</v>
      </c>
      <c r="B254" s="13">
        <v>1369.099976</v>
      </c>
      <c r="C254" s="2">
        <f t="shared" si="10"/>
        <v>-5.5594351052944926E-2</v>
      </c>
      <c r="D254" s="4">
        <v>41029</v>
      </c>
      <c r="E254" s="13">
        <v>2956.3400879999999</v>
      </c>
      <c r="F254" s="2">
        <f t="shared" si="9"/>
        <v>0.16827080856147336</v>
      </c>
      <c r="G254" s="4">
        <v>41029</v>
      </c>
      <c r="H254" s="13">
        <v>13038.269531</v>
      </c>
      <c r="I254" s="2">
        <f t="shared" si="11"/>
        <v>-2.7409574388241577E-2</v>
      </c>
    </row>
    <row r="255" spans="1:9" x14ac:dyDescent="0.25">
      <c r="A255" s="9">
        <v>41036</v>
      </c>
      <c r="B255" s="13">
        <v>1353.3900149999999</v>
      </c>
      <c r="C255" s="2">
        <f t="shared" si="10"/>
        <v>-9.6185841712862874E-2</v>
      </c>
      <c r="D255" s="4">
        <v>41036</v>
      </c>
      <c r="E255" s="13">
        <v>2933.820068</v>
      </c>
      <c r="F255" s="2">
        <f t="shared" si="9"/>
        <v>0.10653660089596813</v>
      </c>
      <c r="G255" s="4">
        <v>41036</v>
      </c>
      <c r="H255" s="13">
        <v>12820.599609000001</v>
      </c>
      <c r="I255" s="2">
        <f t="shared" si="11"/>
        <v>-6.1639797524349046E-2</v>
      </c>
    </row>
    <row r="256" spans="1:9" x14ac:dyDescent="0.25">
      <c r="A256" s="9">
        <v>41043</v>
      </c>
      <c r="B256" s="13">
        <v>1295.219971</v>
      </c>
      <c r="C256" s="2">
        <f t="shared" si="10"/>
        <v>-8.0415410558867473E-2</v>
      </c>
      <c r="D256" s="4">
        <v>41043</v>
      </c>
      <c r="E256" s="13">
        <v>2778.790039</v>
      </c>
      <c r="F256" s="2">
        <f t="shared" si="9"/>
        <v>0.12992733857640618</v>
      </c>
      <c r="G256" s="4">
        <v>41043</v>
      </c>
      <c r="H256" s="13">
        <v>12369.379883</v>
      </c>
      <c r="I256" s="2">
        <f t="shared" si="11"/>
        <v>-5.5157414168010739E-2</v>
      </c>
    </row>
    <row r="257" spans="1:9" x14ac:dyDescent="0.25">
      <c r="A257" s="9">
        <v>41050</v>
      </c>
      <c r="B257" s="13">
        <v>1317.8199460000001</v>
      </c>
      <c r="C257" s="2">
        <f t="shared" si="10"/>
        <v>-0.10817412642717436</v>
      </c>
      <c r="D257" s="4">
        <v>41050</v>
      </c>
      <c r="E257" s="13">
        <v>2837.530029</v>
      </c>
      <c r="F257" s="2">
        <f t="shared" si="9"/>
        <v>9.4068682926829295E-2</v>
      </c>
      <c r="G257" s="4">
        <v>41050</v>
      </c>
      <c r="H257" s="13">
        <v>12454.830078000001</v>
      </c>
      <c r="I257" s="2">
        <f t="shared" si="11"/>
        <v>-8.0666597740085527E-2</v>
      </c>
    </row>
    <row r="258" spans="1:9" x14ac:dyDescent="0.25">
      <c r="A258" s="9">
        <v>41058</v>
      </c>
      <c r="B258" s="13">
        <v>1278.040039</v>
      </c>
      <c r="C258" s="2">
        <f t="shared" si="10"/>
        <v>-7.4944538664307239E-2</v>
      </c>
      <c r="D258" s="4">
        <v>41057</v>
      </c>
      <c r="E258" s="13">
        <v>2747.4799800000001</v>
      </c>
      <c r="F258" s="2">
        <f t="shared" si="9"/>
        <v>0.13824586241911399</v>
      </c>
      <c r="G258" s="4">
        <v>41058</v>
      </c>
      <c r="H258" s="13">
        <v>12118.570312</v>
      </c>
      <c r="I258" s="2">
        <f t="shared" si="11"/>
        <v>-4.761904409690474E-2</v>
      </c>
    </row>
    <row r="259" spans="1:9" x14ac:dyDescent="0.25">
      <c r="A259" s="9">
        <v>41064</v>
      </c>
      <c r="B259" s="13">
        <v>1325.660034</v>
      </c>
      <c r="C259" s="2">
        <f t="shared" si="10"/>
        <v>-6.2956253949995766E-2</v>
      </c>
      <c r="D259" s="4">
        <v>41064</v>
      </c>
      <c r="E259" s="13">
        <v>2858.419922</v>
      </c>
      <c r="F259" s="2">
        <f t="shared" si="9"/>
        <v>0.14397214494773516</v>
      </c>
      <c r="G259" s="4">
        <v>41064</v>
      </c>
      <c r="H259" s="13">
        <v>12554.200194999999</v>
      </c>
      <c r="I259" s="2">
        <f t="shared" si="11"/>
        <v>-3.1462832707232782E-2</v>
      </c>
    </row>
    <row r="260" spans="1:9" x14ac:dyDescent="0.25">
      <c r="A260" s="9">
        <v>41071</v>
      </c>
      <c r="B260" s="13">
        <v>1342.839966</v>
      </c>
      <c r="C260" s="2">
        <f t="shared" si="10"/>
        <v>-6.8413070606693938E-2</v>
      </c>
      <c r="D260" s="4">
        <v>41071</v>
      </c>
      <c r="E260" s="13">
        <v>2872.8000489999999</v>
      </c>
      <c r="F260" s="2">
        <f t="shared" si="9"/>
        <v>0.15178493658536588</v>
      </c>
      <c r="G260" s="4">
        <v>41071</v>
      </c>
      <c r="H260" s="13">
        <v>12767.169921999999</v>
      </c>
      <c r="I260" s="2">
        <f t="shared" si="11"/>
        <v>-4.1050946076558861E-2</v>
      </c>
    </row>
    <row r="261" spans="1:9" x14ac:dyDescent="0.25">
      <c r="A261" s="9">
        <v>41078</v>
      </c>
      <c r="B261" s="13">
        <v>1335.0200199999999</v>
      </c>
      <c r="C261" s="2">
        <f t="shared" si="10"/>
        <v>-4.9474566369168423E-2</v>
      </c>
      <c r="D261" s="4">
        <v>41078</v>
      </c>
      <c r="E261" s="13">
        <v>2892.419922</v>
      </c>
      <c r="F261" s="2">
        <f t="shared" si="9"/>
        <v>0.16876059691388748</v>
      </c>
      <c r="G261" s="4">
        <v>41078</v>
      </c>
      <c r="H261" s="13">
        <v>12640.780273</v>
      </c>
      <c r="I261" s="2">
        <f t="shared" si="11"/>
        <v>-2.2896553566830413E-2</v>
      </c>
    </row>
    <row r="262" spans="1:9" x14ac:dyDescent="0.25">
      <c r="A262" s="9">
        <v>41085</v>
      </c>
      <c r="B262" s="13">
        <v>1362.160034</v>
      </c>
      <c r="C262" s="2">
        <f t="shared" si="10"/>
        <v>-5.4694152214872373E-2</v>
      </c>
      <c r="D262" s="4">
        <v>41085</v>
      </c>
      <c r="E262" s="13">
        <v>2935.0500489999999</v>
      </c>
      <c r="F262" s="2">
        <f t="shared" ref="F262:F325" si="12">(E263-$E$6)/$E$6</f>
        <v>0.16966852284718764</v>
      </c>
      <c r="G262" s="4">
        <v>41085</v>
      </c>
      <c r="H262" s="13">
        <v>12880.089844</v>
      </c>
      <c r="I262" s="2">
        <f t="shared" si="11"/>
        <v>-3.1060781340072747E-2</v>
      </c>
    </row>
    <row r="263" spans="1:9" x14ac:dyDescent="0.25">
      <c r="A263" s="9">
        <v>41092</v>
      </c>
      <c r="B263" s="13">
        <v>1354.6800539999999</v>
      </c>
      <c r="C263" s="2">
        <f t="shared" ref="C263:C326" si="13">(B264-$B$6)/$B$6</f>
        <v>-5.3228773993763162E-2</v>
      </c>
      <c r="D263" s="4">
        <v>41092</v>
      </c>
      <c r="E263" s="13">
        <v>2937.330078</v>
      </c>
      <c r="F263" s="2">
        <f t="shared" si="12"/>
        <v>0.15817619552015927</v>
      </c>
      <c r="G263" s="4">
        <v>41092</v>
      </c>
      <c r="H263" s="13">
        <v>12772.469727</v>
      </c>
      <c r="I263" s="2">
        <f t="shared" ref="I263:I326" si="14">(H264-$H$6)/$H$6</f>
        <v>-3.0710292151076304E-2</v>
      </c>
    </row>
    <row r="264" spans="1:9" x14ac:dyDescent="0.25">
      <c r="A264" s="9">
        <v>41099</v>
      </c>
      <c r="B264" s="13">
        <v>1356.780029</v>
      </c>
      <c r="C264" s="2">
        <f t="shared" si="13"/>
        <v>-4.9125662639098032E-2</v>
      </c>
      <c r="D264" s="4">
        <v>41099</v>
      </c>
      <c r="E264" s="13">
        <v>2908.469971</v>
      </c>
      <c r="F264" s="2">
        <f t="shared" si="12"/>
        <v>0.16487806829268289</v>
      </c>
      <c r="G264" s="4">
        <v>41099</v>
      </c>
      <c r="H264" s="13">
        <v>12777.089844</v>
      </c>
      <c r="I264" s="2">
        <f t="shared" si="14"/>
        <v>-2.7260073824463115E-2</v>
      </c>
    </row>
    <row r="265" spans="1:9" x14ac:dyDescent="0.25">
      <c r="A265" s="9">
        <v>41106</v>
      </c>
      <c r="B265" s="13">
        <v>1362.660034</v>
      </c>
      <c r="C265" s="2">
        <f t="shared" si="13"/>
        <v>-3.285981470508622E-2</v>
      </c>
      <c r="D265" s="4">
        <v>41106</v>
      </c>
      <c r="E265" s="13">
        <v>2925.3000489999999</v>
      </c>
      <c r="F265" s="2">
        <f t="shared" si="12"/>
        <v>0.17793532623195615</v>
      </c>
      <c r="G265" s="4">
        <v>41106</v>
      </c>
      <c r="H265" s="13">
        <v>12822.570312</v>
      </c>
      <c r="I265" s="2">
        <f t="shared" si="14"/>
        <v>-8.0602885881177304E-3</v>
      </c>
    </row>
    <row r="266" spans="1:9" x14ac:dyDescent="0.25">
      <c r="A266" s="9">
        <v>41113</v>
      </c>
      <c r="B266" s="13">
        <v>1385.969971</v>
      </c>
      <c r="C266" s="2">
        <f t="shared" si="13"/>
        <v>-2.935680799683768E-2</v>
      </c>
      <c r="D266" s="4">
        <v>41113</v>
      </c>
      <c r="E266" s="13">
        <v>2958.0900879999999</v>
      </c>
      <c r="F266" s="2">
        <f t="shared" si="12"/>
        <v>0.18184167327028378</v>
      </c>
      <c r="G266" s="4">
        <v>41113</v>
      </c>
      <c r="H266" s="13">
        <v>13075.660156</v>
      </c>
      <c r="I266" s="2">
        <f t="shared" si="14"/>
        <v>-6.504386161437648E-3</v>
      </c>
    </row>
    <row r="267" spans="1:9" x14ac:dyDescent="0.25">
      <c r="A267" s="9">
        <v>41120</v>
      </c>
      <c r="B267" s="13">
        <v>1390.98999</v>
      </c>
      <c r="C267" s="2">
        <f t="shared" si="13"/>
        <v>-1.8973429500905442E-2</v>
      </c>
      <c r="D267" s="4">
        <v>41120</v>
      </c>
      <c r="E267" s="13">
        <v>2967.8999020000001</v>
      </c>
      <c r="F267" s="2">
        <f t="shared" si="12"/>
        <v>0.20293085395719263</v>
      </c>
      <c r="G267" s="4">
        <v>41120</v>
      </c>
      <c r="H267" s="13">
        <v>13096.169921999999</v>
      </c>
      <c r="I267" s="2">
        <f t="shared" si="14"/>
        <v>1.9754374511608166E-3</v>
      </c>
    </row>
    <row r="268" spans="1:9" x14ac:dyDescent="0.25">
      <c r="A268" s="9">
        <v>41127</v>
      </c>
      <c r="B268" s="13">
        <v>1405.869995</v>
      </c>
      <c r="C268" s="2">
        <f t="shared" si="13"/>
        <v>-1.0397348601284209E-2</v>
      </c>
      <c r="D268" s="4">
        <v>41127</v>
      </c>
      <c r="E268" s="13">
        <v>3020.860107</v>
      </c>
      <c r="F268" s="2">
        <f t="shared" si="12"/>
        <v>0.22512298178198106</v>
      </c>
      <c r="G268" s="4">
        <v>41127</v>
      </c>
      <c r="H268" s="13">
        <v>13207.950194999999</v>
      </c>
      <c r="I268" s="2">
        <f t="shared" si="14"/>
        <v>7.0771259928165088E-3</v>
      </c>
    </row>
    <row r="269" spans="1:9" x14ac:dyDescent="0.25">
      <c r="A269" s="9">
        <v>41134</v>
      </c>
      <c r="B269" s="13">
        <v>1418.160034</v>
      </c>
      <c r="C269" s="2">
        <f t="shared" si="13"/>
        <v>-1.5302955282490312E-2</v>
      </c>
      <c r="D269" s="4">
        <v>41134</v>
      </c>
      <c r="E269" s="13">
        <v>3076.5900879999999</v>
      </c>
      <c r="F269" s="2">
        <f t="shared" si="12"/>
        <v>0.22241514743653559</v>
      </c>
      <c r="G269" s="4">
        <v>41134</v>
      </c>
      <c r="H269" s="13">
        <v>13275.200194999999</v>
      </c>
      <c r="I269" s="2">
        <f t="shared" si="14"/>
        <v>-1.8161578038903014E-3</v>
      </c>
    </row>
    <row r="270" spans="1:9" x14ac:dyDescent="0.25">
      <c r="A270" s="9">
        <v>41141</v>
      </c>
      <c r="B270" s="13">
        <v>1411.130005</v>
      </c>
      <c r="C270" s="2">
        <f t="shared" si="13"/>
        <v>-1.8478013418696412E-2</v>
      </c>
      <c r="D270" s="4">
        <v>41141</v>
      </c>
      <c r="E270" s="13">
        <v>3069.790039</v>
      </c>
      <c r="F270" s="2">
        <f t="shared" si="12"/>
        <v>0.22128818755599802</v>
      </c>
      <c r="G270" s="4">
        <v>41141</v>
      </c>
      <c r="H270" s="13">
        <v>13157.969727</v>
      </c>
      <c r="I270" s="2">
        <f t="shared" si="14"/>
        <v>-6.9087340849874803E-3</v>
      </c>
    </row>
    <row r="271" spans="1:9" x14ac:dyDescent="0.25">
      <c r="A271" s="9">
        <v>41148</v>
      </c>
      <c r="B271" s="13">
        <v>1406.579956</v>
      </c>
      <c r="C271" s="2">
        <f t="shared" si="13"/>
        <v>3.3913337891723714E-3</v>
      </c>
      <c r="D271" s="4">
        <v>41148</v>
      </c>
      <c r="E271" s="13">
        <v>3066.959961</v>
      </c>
      <c r="F271" s="2">
        <f t="shared" si="12"/>
        <v>0.24894770413140868</v>
      </c>
      <c r="G271" s="4">
        <v>41148</v>
      </c>
      <c r="H271" s="13">
        <v>13090.839844</v>
      </c>
      <c r="I271" s="2">
        <f t="shared" si="14"/>
        <v>9.4621713032407035E-3</v>
      </c>
    </row>
    <row r="272" spans="1:9" x14ac:dyDescent="0.25">
      <c r="A272" s="9">
        <v>41156</v>
      </c>
      <c r="B272" s="13">
        <v>1437.920044</v>
      </c>
      <c r="C272" s="2">
        <f t="shared" si="13"/>
        <v>2.2825254806714296E-2</v>
      </c>
      <c r="D272" s="4">
        <v>41155</v>
      </c>
      <c r="E272" s="13">
        <v>3136.419922</v>
      </c>
      <c r="F272" s="2">
        <f t="shared" si="12"/>
        <v>0.26787454494773522</v>
      </c>
      <c r="G272" s="4">
        <v>41156</v>
      </c>
      <c r="H272" s="13">
        <v>13306.639648</v>
      </c>
      <c r="I272" s="2">
        <f t="shared" si="14"/>
        <v>3.1213986146971011E-2</v>
      </c>
    </row>
    <row r="273" spans="1:9" x14ac:dyDescent="0.25">
      <c r="A273" s="9">
        <v>41162</v>
      </c>
      <c r="B273" s="13">
        <v>1465.7700199999999</v>
      </c>
      <c r="C273" s="2">
        <f t="shared" si="13"/>
        <v>1.8903579671952969E-2</v>
      </c>
      <c r="D273" s="4">
        <v>41162</v>
      </c>
      <c r="E273" s="13">
        <v>3183.9499510000001</v>
      </c>
      <c r="F273" s="2">
        <f t="shared" si="12"/>
        <v>0.26628569875559982</v>
      </c>
      <c r="G273" s="4">
        <v>41162</v>
      </c>
      <c r="H273" s="13">
        <v>13593.370117</v>
      </c>
      <c r="I273" s="2">
        <f t="shared" si="14"/>
        <v>3.0159481159795561E-2</v>
      </c>
    </row>
    <row r="274" spans="1:9" x14ac:dyDescent="0.25">
      <c r="A274" s="9">
        <v>41169</v>
      </c>
      <c r="B274" s="13">
        <v>1460.150024</v>
      </c>
      <c r="C274" s="2">
        <f t="shared" si="13"/>
        <v>5.3103043045595426E-3</v>
      </c>
      <c r="D274" s="4">
        <v>41169</v>
      </c>
      <c r="E274" s="13">
        <v>3179.959961</v>
      </c>
      <c r="F274" s="2">
        <f t="shared" si="12"/>
        <v>0.24090790642110504</v>
      </c>
      <c r="G274" s="4">
        <v>41169</v>
      </c>
      <c r="H274" s="13">
        <v>13579.469727</v>
      </c>
      <c r="I274" s="2">
        <f t="shared" si="14"/>
        <v>1.9361361440005834E-2</v>
      </c>
    </row>
    <row r="275" spans="1:9" x14ac:dyDescent="0.25">
      <c r="A275" s="9">
        <v>41176</v>
      </c>
      <c r="B275" s="13">
        <v>1440.670044</v>
      </c>
      <c r="C275" s="2">
        <f t="shared" si="13"/>
        <v>1.9447890425086517E-2</v>
      </c>
      <c r="D275" s="4">
        <v>41176</v>
      </c>
      <c r="E275" s="13">
        <v>3116.2299800000001</v>
      </c>
      <c r="F275" s="2">
        <f t="shared" si="12"/>
        <v>0.24885612384270786</v>
      </c>
      <c r="G275" s="4">
        <v>41176</v>
      </c>
      <c r="H275" s="13">
        <v>13437.129883</v>
      </c>
      <c r="I275" s="2">
        <f t="shared" si="14"/>
        <v>3.2486963568407995E-2</v>
      </c>
    </row>
    <row r="276" spans="1:9" x14ac:dyDescent="0.25">
      <c r="A276" s="9">
        <v>41183</v>
      </c>
      <c r="B276" s="13">
        <v>1460.9300539999999</v>
      </c>
      <c r="C276" s="2">
        <f t="shared" si="13"/>
        <v>-3.1192642429230572E-3</v>
      </c>
      <c r="D276" s="4">
        <v>41183</v>
      </c>
      <c r="E276" s="13">
        <v>3136.1899410000001</v>
      </c>
      <c r="F276" s="2">
        <f t="shared" si="12"/>
        <v>0.21218919143852663</v>
      </c>
      <c r="G276" s="4">
        <v>41183</v>
      </c>
      <c r="H276" s="13">
        <v>13610.150390999999</v>
      </c>
      <c r="I276" s="2">
        <f t="shared" si="14"/>
        <v>1.1147053140330997E-2</v>
      </c>
    </row>
    <row r="277" spans="1:9" x14ac:dyDescent="0.25">
      <c r="A277" s="9">
        <v>41190</v>
      </c>
      <c r="B277" s="13">
        <v>1428.589966</v>
      </c>
      <c r="C277" s="2">
        <f t="shared" si="13"/>
        <v>9.0632628538131422E-5</v>
      </c>
      <c r="D277" s="4">
        <v>41190</v>
      </c>
      <c r="E277" s="13">
        <v>3044.110107</v>
      </c>
      <c r="F277" s="2">
        <f t="shared" si="12"/>
        <v>0.19686216704828272</v>
      </c>
      <c r="G277" s="4">
        <v>41190</v>
      </c>
      <c r="H277" s="13">
        <v>13328.849609000001</v>
      </c>
      <c r="I277" s="2">
        <f t="shared" si="14"/>
        <v>1.2259195221903718E-2</v>
      </c>
    </row>
    <row r="278" spans="1:9" x14ac:dyDescent="0.25">
      <c r="A278" s="9">
        <v>41197</v>
      </c>
      <c r="B278" s="13">
        <v>1433.1899410000001</v>
      </c>
      <c r="C278" s="2">
        <f t="shared" si="13"/>
        <v>-1.4737775899453647E-2</v>
      </c>
      <c r="D278" s="4">
        <v>41197</v>
      </c>
      <c r="E278" s="13">
        <v>3005.6201169999999</v>
      </c>
      <c r="F278" s="2">
        <f t="shared" si="12"/>
        <v>0.18982576445993032</v>
      </c>
      <c r="G278" s="4">
        <v>41197</v>
      </c>
      <c r="H278" s="13">
        <v>13343.509765999999</v>
      </c>
      <c r="I278" s="2">
        <f t="shared" si="14"/>
        <v>-5.6668718050697838E-3</v>
      </c>
    </row>
    <row r="279" spans="1:9" x14ac:dyDescent="0.25">
      <c r="A279" s="9">
        <v>41204</v>
      </c>
      <c r="B279" s="13">
        <v>1411.9399410000001</v>
      </c>
      <c r="C279" s="2">
        <f t="shared" si="13"/>
        <v>-1.3160724061460885E-2</v>
      </c>
      <c r="D279" s="4">
        <v>41204</v>
      </c>
      <c r="E279" s="13">
        <v>2987.9499510000001</v>
      </c>
      <c r="F279" s="2">
        <f t="shared" si="12"/>
        <v>0.18750816645097065</v>
      </c>
      <c r="G279" s="4">
        <v>41204</v>
      </c>
      <c r="H279" s="13">
        <v>13107.209961</v>
      </c>
      <c r="I279" s="2">
        <f t="shared" si="14"/>
        <v>-6.7327116441924561E-3</v>
      </c>
    </row>
    <row r="280" spans="1:9" x14ac:dyDescent="0.25">
      <c r="A280" s="9">
        <v>41213</v>
      </c>
      <c r="B280" s="13">
        <v>1414.1999510000001</v>
      </c>
      <c r="C280" s="2">
        <f t="shared" si="13"/>
        <v>-3.7130392872110562E-2</v>
      </c>
      <c r="D280" s="4">
        <v>41211</v>
      </c>
      <c r="E280" s="13">
        <v>2982.1298830000001</v>
      </c>
      <c r="F280" s="2">
        <f t="shared" si="12"/>
        <v>0.15674270462916873</v>
      </c>
      <c r="G280" s="4">
        <v>41213</v>
      </c>
      <c r="H280" s="13">
        <v>13093.160156</v>
      </c>
      <c r="I280" s="2">
        <f t="shared" si="14"/>
        <v>-2.7804810051233034E-2</v>
      </c>
    </row>
    <row r="281" spans="1:9" x14ac:dyDescent="0.25">
      <c r="A281" s="9">
        <v>41218</v>
      </c>
      <c r="B281" s="13">
        <v>1379.849976</v>
      </c>
      <c r="C281" s="2">
        <f t="shared" si="13"/>
        <v>-5.1065587614705775E-2</v>
      </c>
      <c r="D281" s="4">
        <v>41218</v>
      </c>
      <c r="E281" s="13">
        <v>2904.8701169999999</v>
      </c>
      <c r="F281" s="2">
        <f t="shared" si="12"/>
        <v>0.13613932623195621</v>
      </c>
      <c r="G281" s="4">
        <v>41218</v>
      </c>
      <c r="H281" s="13">
        <v>12815.389648</v>
      </c>
      <c r="I281" s="2">
        <f t="shared" si="14"/>
        <v>-4.5031454392807535E-2</v>
      </c>
    </row>
    <row r="282" spans="1:9" x14ac:dyDescent="0.25">
      <c r="A282" s="9">
        <v>41225</v>
      </c>
      <c r="B282" s="13">
        <v>1359.880005</v>
      </c>
      <c r="C282" s="2">
        <f t="shared" si="13"/>
        <v>-1.6684600795227301E-2</v>
      </c>
      <c r="D282" s="4">
        <v>41225</v>
      </c>
      <c r="E282" s="13">
        <v>2853.1298830000001</v>
      </c>
      <c r="F282" s="2">
        <f t="shared" si="12"/>
        <v>0.1814236328521652</v>
      </c>
      <c r="G282" s="4">
        <v>41225</v>
      </c>
      <c r="H282" s="13">
        <v>12588.309569999999</v>
      </c>
      <c r="I282" s="2">
        <f t="shared" si="14"/>
        <v>-1.3077003329562036E-2</v>
      </c>
    </row>
    <row r="283" spans="1:9" x14ac:dyDescent="0.25">
      <c r="A283" s="9">
        <v>41232</v>
      </c>
      <c r="B283" s="13">
        <v>1409.150024</v>
      </c>
      <c r="C283" s="2">
        <f t="shared" si="13"/>
        <v>-1.1778993416213817E-2</v>
      </c>
      <c r="D283" s="4">
        <v>41232</v>
      </c>
      <c r="E283" s="13">
        <v>2966.8500979999999</v>
      </c>
      <c r="F283" s="2">
        <f t="shared" si="12"/>
        <v>0.19870183773021405</v>
      </c>
      <c r="G283" s="4">
        <v>41232</v>
      </c>
      <c r="H283" s="13">
        <v>13009.530273</v>
      </c>
      <c r="I283" s="2">
        <f t="shared" si="14"/>
        <v>-1.1859440411133617E-2</v>
      </c>
    </row>
    <row r="284" spans="1:9" x14ac:dyDescent="0.25">
      <c r="A284" s="9">
        <v>41239</v>
      </c>
      <c r="B284" s="13">
        <v>1416.1800539999999</v>
      </c>
      <c r="C284" s="2">
        <f t="shared" si="13"/>
        <v>-1.0460212679753318E-2</v>
      </c>
      <c r="D284" s="4">
        <v>41239</v>
      </c>
      <c r="E284" s="13">
        <v>3010.23999</v>
      </c>
      <c r="F284" s="2">
        <f t="shared" si="12"/>
        <v>0.18587955759084121</v>
      </c>
      <c r="G284" s="4">
        <v>41239</v>
      </c>
      <c r="H284" s="13">
        <v>13025.580078000001</v>
      </c>
      <c r="I284" s="2">
        <f t="shared" si="14"/>
        <v>-2.0315927421042808E-3</v>
      </c>
    </row>
    <row r="285" spans="1:9" x14ac:dyDescent="0.25">
      <c r="A285" s="9">
        <v>41246</v>
      </c>
      <c r="B285" s="13">
        <v>1418.0699460000001</v>
      </c>
      <c r="C285" s="2">
        <f t="shared" si="13"/>
        <v>-1.3593361197710886E-2</v>
      </c>
      <c r="D285" s="4">
        <v>41246</v>
      </c>
      <c r="E285" s="13">
        <v>2978.040039</v>
      </c>
      <c r="F285" s="2">
        <f t="shared" si="12"/>
        <v>0.1832075970134395</v>
      </c>
      <c r="G285" s="4">
        <v>41246</v>
      </c>
      <c r="H285" s="13">
        <v>13155.129883</v>
      </c>
      <c r="I285" s="2">
        <f t="shared" si="14"/>
        <v>-3.5579357957202496E-3</v>
      </c>
    </row>
    <row r="286" spans="1:9" x14ac:dyDescent="0.25">
      <c r="A286" s="9">
        <v>41253</v>
      </c>
      <c r="B286" s="13">
        <v>1413.579956</v>
      </c>
      <c r="C286" s="2">
        <f t="shared" si="13"/>
        <v>-2.0306441322707185E-3</v>
      </c>
      <c r="D286" s="4">
        <v>41253</v>
      </c>
      <c r="E286" s="13">
        <v>2971.330078</v>
      </c>
      <c r="F286" s="2">
        <f t="shared" si="12"/>
        <v>0.20299054654056745</v>
      </c>
      <c r="G286" s="4">
        <v>41253</v>
      </c>
      <c r="H286" s="13">
        <v>13135.009765999999</v>
      </c>
      <c r="I286" s="2">
        <f t="shared" si="14"/>
        <v>6.7741988029979482E-4</v>
      </c>
    </row>
    <row r="287" spans="1:9" x14ac:dyDescent="0.25">
      <c r="A287" s="9">
        <v>41260</v>
      </c>
      <c r="B287" s="13">
        <v>1430.150024</v>
      </c>
      <c r="C287" s="2">
        <f t="shared" si="13"/>
        <v>-2.1373845993149673E-2</v>
      </c>
      <c r="D287" s="4">
        <v>41260</v>
      </c>
      <c r="E287" s="13">
        <v>3021.01001</v>
      </c>
      <c r="F287" s="2">
        <f t="shared" si="12"/>
        <v>0.17881933658536581</v>
      </c>
      <c r="G287" s="4">
        <v>41260</v>
      </c>
      <c r="H287" s="13">
        <v>13190.839844</v>
      </c>
      <c r="I287" s="2">
        <f t="shared" si="14"/>
        <v>-1.849502849850862E-2</v>
      </c>
    </row>
    <row r="288" spans="1:9" x14ac:dyDescent="0.25">
      <c r="A288" s="9">
        <v>41267</v>
      </c>
      <c r="B288" s="13">
        <v>1402.4300539999999</v>
      </c>
      <c r="C288" s="2">
        <f t="shared" si="13"/>
        <v>2.3313685836247339E-2</v>
      </c>
      <c r="D288" s="4">
        <v>41267</v>
      </c>
      <c r="E288" s="13">
        <v>2960.3100589999999</v>
      </c>
      <c r="F288" s="2">
        <f t="shared" si="12"/>
        <v>0.23510598785465409</v>
      </c>
      <c r="G288" s="4">
        <v>41267</v>
      </c>
      <c r="H288" s="13">
        <v>12938.110352</v>
      </c>
      <c r="I288" s="2">
        <f t="shared" si="14"/>
        <v>1.9215713201072477E-2</v>
      </c>
    </row>
    <row r="289" spans="1:9" x14ac:dyDescent="0.25">
      <c r="A289" s="9">
        <v>41274</v>
      </c>
      <c r="B289" s="13">
        <v>1466.469971</v>
      </c>
      <c r="C289" s="2">
        <f t="shared" si="13"/>
        <v>2.7207505892814808E-2</v>
      </c>
      <c r="D289" s="4">
        <v>41274</v>
      </c>
      <c r="E289" s="13">
        <v>3101.6599120000001</v>
      </c>
      <c r="F289" s="2">
        <f t="shared" si="12"/>
        <v>0.24465102359382779</v>
      </c>
      <c r="G289" s="4">
        <v>41274</v>
      </c>
      <c r="H289" s="13">
        <v>13435.209961</v>
      </c>
      <c r="I289" s="2">
        <f t="shared" si="14"/>
        <v>2.3253043631198018E-2</v>
      </c>
    </row>
    <row r="290" spans="1:9" x14ac:dyDescent="0.25">
      <c r="A290" s="9">
        <v>41281</v>
      </c>
      <c r="B290" s="13">
        <v>1472.0500489999999</v>
      </c>
      <c r="C290" s="2">
        <f t="shared" si="13"/>
        <v>3.6927915663861346E-2</v>
      </c>
      <c r="D290" s="4">
        <v>41281</v>
      </c>
      <c r="E290" s="13">
        <v>3125.6298830000001</v>
      </c>
      <c r="F290" s="2">
        <f t="shared" si="12"/>
        <v>0.24826678387257342</v>
      </c>
      <c r="G290" s="4">
        <v>41281</v>
      </c>
      <c r="H290" s="13">
        <v>13488.429688</v>
      </c>
      <c r="I290" s="2">
        <f t="shared" si="14"/>
        <v>3.5487272592817351E-2</v>
      </c>
    </row>
    <row r="291" spans="1:9" x14ac:dyDescent="0.25">
      <c r="A291" s="9">
        <v>41288</v>
      </c>
      <c r="B291" s="13">
        <v>1485.9799800000001</v>
      </c>
      <c r="C291" s="2">
        <f t="shared" si="13"/>
        <v>4.8776673078710177E-2</v>
      </c>
      <c r="D291" s="4">
        <v>41288</v>
      </c>
      <c r="E291" s="13">
        <v>3134.709961</v>
      </c>
      <c r="F291" s="2">
        <f t="shared" si="12"/>
        <v>0.2542399048282728</v>
      </c>
      <c r="G291" s="4">
        <v>41288</v>
      </c>
      <c r="H291" s="13">
        <v>13649.700194999999</v>
      </c>
      <c r="I291" s="2">
        <f t="shared" si="14"/>
        <v>5.4170473364588766E-2</v>
      </c>
    </row>
    <row r="292" spans="1:9" x14ac:dyDescent="0.25">
      <c r="A292" s="9">
        <v>41296</v>
      </c>
      <c r="B292" s="13">
        <v>1502.959961</v>
      </c>
      <c r="C292" s="2">
        <f t="shared" si="13"/>
        <v>5.5901345164766789E-2</v>
      </c>
      <c r="D292" s="4">
        <v>41295</v>
      </c>
      <c r="E292" s="13">
        <v>3149.709961</v>
      </c>
      <c r="F292" s="2">
        <f t="shared" si="12"/>
        <v>0.26594329437531106</v>
      </c>
      <c r="G292" s="4">
        <v>41296</v>
      </c>
      <c r="H292" s="13">
        <v>13895.980469</v>
      </c>
      <c r="I292" s="2">
        <f t="shared" si="14"/>
        <v>6.2804242572020122E-2</v>
      </c>
    </row>
    <row r="293" spans="1:9" x14ac:dyDescent="0.25">
      <c r="A293" s="9">
        <v>41302</v>
      </c>
      <c r="B293" s="13">
        <v>1513.170044</v>
      </c>
      <c r="C293" s="2">
        <f t="shared" si="13"/>
        <v>5.9222915653111524E-2</v>
      </c>
      <c r="D293" s="4">
        <v>41302</v>
      </c>
      <c r="E293" s="13">
        <v>3179.1000979999999</v>
      </c>
      <c r="F293" s="2">
        <f t="shared" si="12"/>
        <v>0.27182483504230959</v>
      </c>
      <c r="G293" s="4">
        <v>41302</v>
      </c>
      <c r="H293" s="13">
        <v>14009.790039</v>
      </c>
      <c r="I293" s="2">
        <f t="shared" si="14"/>
        <v>6.1528227806258447E-2</v>
      </c>
    </row>
    <row r="294" spans="1:9" x14ac:dyDescent="0.25">
      <c r="A294" s="9">
        <v>41309</v>
      </c>
      <c r="B294" s="13">
        <v>1517.9300539999999</v>
      </c>
      <c r="C294" s="2">
        <f t="shared" si="13"/>
        <v>6.0520827061861522E-2</v>
      </c>
      <c r="D294" s="4">
        <v>41309</v>
      </c>
      <c r="E294" s="13">
        <v>3193.8701169999999</v>
      </c>
      <c r="F294" s="2">
        <f t="shared" si="12"/>
        <v>0.27109209716276755</v>
      </c>
      <c r="G294" s="4">
        <v>41309</v>
      </c>
      <c r="H294" s="13">
        <v>13992.969727</v>
      </c>
      <c r="I294" s="2">
        <f t="shared" si="14"/>
        <v>6.0677822905349753E-2</v>
      </c>
    </row>
    <row r="295" spans="1:9" x14ac:dyDescent="0.25">
      <c r="A295" s="9">
        <v>41316</v>
      </c>
      <c r="B295" s="13">
        <v>1519.790039</v>
      </c>
      <c r="C295" s="2">
        <f t="shared" si="13"/>
        <v>5.7596969842001619E-2</v>
      </c>
      <c r="D295" s="4">
        <v>41316</v>
      </c>
      <c r="E295" s="13">
        <v>3192.030029</v>
      </c>
      <c r="F295" s="2">
        <f t="shared" si="12"/>
        <v>0.25906224708810355</v>
      </c>
      <c r="G295" s="4">
        <v>41316</v>
      </c>
      <c r="H295" s="13">
        <v>13981.759765999999</v>
      </c>
      <c r="I295" s="2">
        <f t="shared" si="14"/>
        <v>6.2104819886620984E-2</v>
      </c>
    </row>
    <row r="296" spans="1:9" x14ac:dyDescent="0.25">
      <c r="A296" s="9">
        <v>41324</v>
      </c>
      <c r="B296" s="13">
        <v>1515.599976</v>
      </c>
      <c r="C296" s="2">
        <f t="shared" si="13"/>
        <v>5.9411251793181234E-2</v>
      </c>
      <c r="D296" s="4">
        <v>41323</v>
      </c>
      <c r="E296" s="13">
        <v>3161.820068</v>
      </c>
      <c r="F296" s="2">
        <f t="shared" si="12"/>
        <v>0.26221602389248383</v>
      </c>
      <c r="G296" s="4">
        <v>41324</v>
      </c>
      <c r="H296" s="13">
        <v>14000.570312</v>
      </c>
      <c r="I296" s="2">
        <f t="shared" si="14"/>
        <v>6.8863312619895242E-2</v>
      </c>
    </row>
    <row r="297" spans="1:9" x14ac:dyDescent="0.25">
      <c r="A297" s="9">
        <v>41330</v>
      </c>
      <c r="B297" s="13">
        <v>1518.1999510000001</v>
      </c>
      <c r="C297" s="2">
        <f t="shared" si="13"/>
        <v>8.2425013702792774E-2</v>
      </c>
      <c r="D297" s="4">
        <v>41330</v>
      </c>
      <c r="E297" s="13">
        <v>3169.73999</v>
      </c>
      <c r="F297" s="2">
        <f t="shared" si="12"/>
        <v>0.29193434225983073</v>
      </c>
      <c r="G297" s="4">
        <v>41330</v>
      </c>
      <c r="H297" s="13">
        <v>14089.660156</v>
      </c>
      <c r="I297" s="2">
        <f t="shared" si="14"/>
        <v>9.2183920358985025E-2</v>
      </c>
    </row>
    <row r="298" spans="1:9" x14ac:dyDescent="0.25">
      <c r="A298" s="9">
        <v>41337</v>
      </c>
      <c r="B298" s="13">
        <v>1551.1800539999999</v>
      </c>
      <c r="C298" s="2">
        <f t="shared" si="13"/>
        <v>8.9068068849164794E-2</v>
      </c>
      <c r="D298" s="4">
        <v>41337</v>
      </c>
      <c r="E298" s="13">
        <v>3244.3701169999999</v>
      </c>
      <c r="F298" s="2">
        <f t="shared" si="12"/>
        <v>0.29380590064708811</v>
      </c>
      <c r="G298" s="4">
        <v>41337</v>
      </c>
      <c r="H298" s="13">
        <v>14397.070312</v>
      </c>
      <c r="I298" s="2">
        <f t="shared" si="14"/>
        <v>0.10106275799441883</v>
      </c>
    </row>
    <row r="299" spans="1:9" x14ac:dyDescent="0.25">
      <c r="A299" s="9">
        <v>41344</v>
      </c>
      <c r="B299" s="13">
        <v>1560.6999510000001</v>
      </c>
      <c r="C299" s="2">
        <f t="shared" si="13"/>
        <v>8.6409467085705752E-2</v>
      </c>
      <c r="D299" s="4">
        <v>41344</v>
      </c>
      <c r="E299" s="13">
        <v>3249.070068</v>
      </c>
      <c r="F299" s="2">
        <f t="shared" si="12"/>
        <v>0.29218516674962669</v>
      </c>
      <c r="G299" s="4">
        <v>41344</v>
      </c>
      <c r="H299" s="13">
        <v>14514.110352</v>
      </c>
      <c r="I299" s="2">
        <f t="shared" si="14"/>
        <v>0.10090495999887927</v>
      </c>
    </row>
    <row r="300" spans="1:9" x14ac:dyDescent="0.25">
      <c r="A300" s="9">
        <v>41351</v>
      </c>
      <c r="B300" s="13">
        <v>1556.8900149999999</v>
      </c>
      <c r="C300" s="2">
        <f t="shared" si="13"/>
        <v>9.4992447207685515E-2</v>
      </c>
      <c r="D300" s="4">
        <v>41351</v>
      </c>
      <c r="E300" s="13">
        <v>3245</v>
      </c>
      <c r="F300" s="2">
        <f t="shared" si="12"/>
        <v>0.30115282030861124</v>
      </c>
      <c r="G300" s="4">
        <v>41351</v>
      </c>
      <c r="H300" s="13">
        <v>14512.030273</v>
      </c>
      <c r="I300" s="2">
        <f t="shared" si="14"/>
        <v>0.10595049324959149</v>
      </c>
    </row>
    <row r="301" spans="1:9" x14ac:dyDescent="0.25">
      <c r="A301" s="9">
        <v>41358</v>
      </c>
      <c r="B301" s="13">
        <v>1569.1899410000001</v>
      </c>
      <c r="C301" s="2">
        <f t="shared" si="13"/>
        <v>8.3890391923901991E-2</v>
      </c>
      <c r="D301" s="4">
        <v>41358</v>
      </c>
      <c r="E301" s="13">
        <v>3267.5200199999999</v>
      </c>
      <c r="F301" s="2">
        <f t="shared" si="12"/>
        <v>0.2758029296167247</v>
      </c>
      <c r="G301" s="4">
        <v>41358</v>
      </c>
      <c r="H301" s="13">
        <v>14578.540039</v>
      </c>
      <c r="I301" s="2">
        <f t="shared" si="14"/>
        <v>0.10494229042900481</v>
      </c>
    </row>
    <row r="302" spans="1:9" x14ac:dyDescent="0.25">
      <c r="A302" s="9">
        <v>41365</v>
      </c>
      <c r="B302" s="13">
        <v>1553.280029</v>
      </c>
      <c r="C302" s="2">
        <f t="shared" si="13"/>
        <v>0.10871136629731445</v>
      </c>
      <c r="D302" s="4">
        <v>41365</v>
      </c>
      <c r="E302" s="13">
        <v>3203.860107</v>
      </c>
      <c r="F302" s="2">
        <f t="shared" si="12"/>
        <v>0.31207564001991045</v>
      </c>
      <c r="G302" s="4">
        <v>41365</v>
      </c>
      <c r="H302" s="13">
        <v>14565.25</v>
      </c>
      <c r="I302" s="2">
        <f t="shared" si="14"/>
        <v>0.1276863060118705</v>
      </c>
    </row>
    <row r="303" spans="1:9" x14ac:dyDescent="0.25">
      <c r="A303" s="9">
        <v>41372</v>
      </c>
      <c r="B303" s="13">
        <v>1588.849976</v>
      </c>
      <c r="C303" s="2">
        <f t="shared" si="13"/>
        <v>8.5265052383962994E-2</v>
      </c>
      <c r="D303" s="4">
        <v>41372</v>
      </c>
      <c r="E303" s="13">
        <v>3294.9499510000001</v>
      </c>
      <c r="F303" s="2">
        <f t="shared" si="12"/>
        <v>0.27667896824290689</v>
      </c>
      <c r="G303" s="4">
        <v>41372</v>
      </c>
      <c r="H303" s="13">
        <v>14865.059569999999</v>
      </c>
      <c r="I303" s="2">
        <f t="shared" si="14"/>
        <v>0.10359648896396251</v>
      </c>
    </row>
    <row r="304" spans="1:9" x14ac:dyDescent="0.25">
      <c r="A304" s="9">
        <v>41379</v>
      </c>
      <c r="B304" s="13">
        <v>1555.25</v>
      </c>
      <c r="C304" s="2">
        <f t="shared" si="13"/>
        <v>0.10409886875508832</v>
      </c>
      <c r="D304" s="4">
        <v>41379</v>
      </c>
      <c r="E304" s="13">
        <v>3206.0600589999999</v>
      </c>
      <c r="F304" s="2">
        <f t="shared" si="12"/>
        <v>0.30582777899452462</v>
      </c>
      <c r="G304" s="4">
        <v>41379</v>
      </c>
      <c r="H304" s="13">
        <v>14547.509765999999</v>
      </c>
      <c r="I304" s="2">
        <f t="shared" si="14"/>
        <v>0.11611668042687277</v>
      </c>
    </row>
    <row r="305" spans="1:9" x14ac:dyDescent="0.25">
      <c r="A305" s="9">
        <v>41386</v>
      </c>
      <c r="B305" s="13">
        <v>1582.23999</v>
      </c>
      <c r="C305" s="2">
        <f t="shared" si="13"/>
        <v>0.12655435050402172</v>
      </c>
      <c r="D305" s="4">
        <v>41386</v>
      </c>
      <c r="E305" s="13">
        <v>3279.26001</v>
      </c>
      <c r="F305" s="2">
        <f t="shared" si="12"/>
        <v>0.34539766371329023</v>
      </c>
      <c r="G305" s="4">
        <v>41386</v>
      </c>
      <c r="H305" s="13">
        <v>14712.549805000001</v>
      </c>
      <c r="I305" s="2">
        <f t="shared" si="14"/>
        <v>0.13594765734193043</v>
      </c>
    </row>
    <row r="306" spans="1:9" x14ac:dyDescent="0.25">
      <c r="A306" s="9">
        <v>41393</v>
      </c>
      <c r="B306" s="13">
        <v>1614.420044</v>
      </c>
      <c r="C306" s="2">
        <f t="shared" si="13"/>
        <v>0.14000801343944241</v>
      </c>
      <c r="D306" s="4">
        <v>41393</v>
      </c>
      <c r="E306" s="13">
        <v>3378.6298830000001</v>
      </c>
      <c r="F306" s="2">
        <f t="shared" si="12"/>
        <v>0.36847389865604779</v>
      </c>
      <c r="G306" s="4">
        <v>41393</v>
      </c>
      <c r="H306" s="13">
        <v>14973.959961</v>
      </c>
      <c r="I306" s="2">
        <f t="shared" si="14"/>
        <v>0.14691194637816046</v>
      </c>
    </row>
    <row r="307" spans="1:9" x14ac:dyDescent="0.25">
      <c r="A307" s="9">
        <v>41400</v>
      </c>
      <c r="B307" s="13">
        <v>1633.6999510000001</v>
      </c>
      <c r="C307" s="2">
        <f t="shared" si="13"/>
        <v>0.16357298532454603</v>
      </c>
      <c r="D307" s="4">
        <v>41400</v>
      </c>
      <c r="E307" s="13">
        <v>3436.580078</v>
      </c>
      <c r="F307" s="2">
        <f t="shared" si="12"/>
        <v>0.39331805714285711</v>
      </c>
      <c r="G307" s="4">
        <v>41400</v>
      </c>
      <c r="H307" s="13">
        <v>15118.490234000001</v>
      </c>
      <c r="I307" s="2">
        <f t="shared" si="14"/>
        <v>0.1648084541079313</v>
      </c>
    </row>
    <row r="308" spans="1:9" x14ac:dyDescent="0.25">
      <c r="A308" s="9">
        <v>41407</v>
      </c>
      <c r="B308" s="13">
        <v>1667.469971</v>
      </c>
      <c r="C308" s="2">
        <f t="shared" si="13"/>
        <v>0.15110316950086741</v>
      </c>
      <c r="D308" s="4">
        <v>41407</v>
      </c>
      <c r="E308" s="13">
        <v>3498.969971</v>
      </c>
      <c r="F308" s="2">
        <f t="shared" si="12"/>
        <v>0.37745739890492785</v>
      </c>
      <c r="G308" s="4">
        <v>41407</v>
      </c>
      <c r="H308" s="13">
        <v>15354.400390999999</v>
      </c>
      <c r="I308" s="2">
        <f t="shared" si="14"/>
        <v>0.16091669780001502</v>
      </c>
    </row>
    <row r="309" spans="1:9" x14ac:dyDescent="0.25">
      <c r="A309" s="9">
        <v>41414</v>
      </c>
      <c r="B309" s="13">
        <v>1649.599976</v>
      </c>
      <c r="C309" s="2">
        <f t="shared" si="13"/>
        <v>0.13794253057191663</v>
      </c>
      <c r="D309" s="4">
        <v>41414</v>
      </c>
      <c r="E309" s="13">
        <v>3459.139893</v>
      </c>
      <c r="F309" s="2">
        <f t="shared" si="12"/>
        <v>0.37617119442508712</v>
      </c>
      <c r="G309" s="4">
        <v>41414</v>
      </c>
      <c r="H309" s="13">
        <v>15303.099609000001</v>
      </c>
      <c r="I309" s="2">
        <f t="shared" si="14"/>
        <v>0.14669043659957409</v>
      </c>
    </row>
    <row r="310" spans="1:9" x14ac:dyDescent="0.25">
      <c r="A310" s="9">
        <v>41422</v>
      </c>
      <c r="B310" s="13">
        <v>1630.73999</v>
      </c>
      <c r="C310" s="2">
        <f t="shared" si="13"/>
        <v>0.14676282733520807</v>
      </c>
      <c r="D310" s="4">
        <v>41421</v>
      </c>
      <c r="E310" s="13">
        <v>3455.9099120000001</v>
      </c>
      <c r="F310" s="2">
        <f t="shared" si="12"/>
        <v>0.38147136724738673</v>
      </c>
      <c r="G310" s="4">
        <v>41422</v>
      </c>
      <c r="H310" s="13">
        <v>15115.570312</v>
      </c>
      <c r="I310" s="2">
        <f t="shared" si="14"/>
        <v>0.1567458688875622</v>
      </c>
    </row>
    <row r="311" spans="1:9" x14ac:dyDescent="0.25">
      <c r="A311" s="9">
        <v>41428</v>
      </c>
      <c r="B311" s="13">
        <v>1643.380005</v>
      </c>
      <c r="C311" s="2">
        <f t="shared" si="13"/>
        <v>0.13514431567867749</v>
      </c>
      <c r="D311" s="4">
        <v>41428</v>
      </c>
      <c r="E311" s="13">
        <v>3469.219971</v>
      </c>
      <c r="F311" s="2">
        <f t="shared" si="12"/>
        <v>0.36328922210054748</v>
      </c>
      <c r="G311" s="4">
        <v>41428</v>
      </c>
      <c r="H311" s="13">
        <v>15248.120117</v>
      </c>
      <c r="I311" s="2">
        <f t="shared" si="14"/>
        <v>0.14324703397712948</v>
      </c>
    </row>
    <row r="312" spans="1:9" x14ac:dyDescent="0.25">
      <c r="A312" s="9">
        <v>41435</v>
      </c>
      <c r="B312" s="13">
        <v>1626.7299800000001</v>
      </c>
      <c r="C312" s="2">
        <f t="shared" si="13"/>
        <v>0.11120957143360034</v>
      </c>
      <c r="D312" s="4">
        <v>41435</v>
      </c>
      <c r="E312" s="13">
        <v>3423.5600589999999</v>
      </c>
      <c r="F312" s="2">
        <f t="shared" si="12"/>
        <v>0.33688402190144351</v>
      </c>
      <c r="G312" s="4">
        <v>41435</v>
      </c>
      <c r="H312" s="13">
        <v>15070.179688</v>
      </c>
      <c r="I312" s="2">
        <f t="shared" si="14"/>
        <v>0.1227052996005869</v>
      </c>
    </row>
    <row r="313" spans="1:9" x14ac:dyDescent="0.25">
      <c r="A313" s="9">
        <v>41442</v>
      </c>
      <c r="B313" s="13">
        <v>1592.4300539999999</v>
      </c>
      <c r="C313" s="2">
        <f t="shared" si="13"/>
        <v>0.12087418731136385</v>
      </c>
      <c r="D313" s="4">
        <v>41442</v>
      </c>
      <c r="E313" s="13">
        <v>3357.25</v>
      </c>
      <c r="F313" s="2">
        <f t="shared" si="12"/>
        <v>0.35520159283225483</v>
      </c>
      <c r="G313" s="4">
        <v>41442</v>
      </c>
      <c r="H313" s="13">
        <v>14799.400390999999</v>
      </c>
      <c r="I313" s="2">
        <f t="shared" si="14"/>
        <v>0.1310651819466096</v>
      </c>
    </row>
    <row r="314" spans="1:9" x14ac:dyDescent="0.25">
      <c r="A314" s="9">
        <v>41449</v>
      </c>
      <c r="B314" s="13">
        <v>1606.280029</v>
      </c>
      <c r="C314" s="2">
        <f t="shared" si="13"/>
        <v>0.13874502659626498</v>
      </c>
      <c r="D314" s="4">
        <v>41449</v>
      </c>
      <c r="E314" s="13">
        <v>3403.25</v>
      </c>
      <c r="F314" s="2">
        <f t="shared" si="12"/>
        <v>0.38551712613240419</v>
      </c>
      <c r="G314" s="4">
        <v>41449</v>
      </c>
      <c r="H314" s="13">
        <v>14909.599609000001</v>
      </c>
      <c r="I314" s="2">
        <f t="shared" si="14"/>
        <v>0.14822811450513729</v>
      </c>
    </row>
    <row r="315" spans="1:9" x14ac:dyDescent="0.25">
      <c r="A315" s="9">
        <v>41456</v>
      </c>
      <c r="B315" s="13">
        <v>1631.8900149999999</v>
      </c>
      <c r="C315" s="2">
        <f t="shared" si="13"/>
        <v>0.17244907528331316</v>
      </c>
      <c r="D315" s="4">
        <v>41456</v>
      </c>
      <c r="E315" s="13">
        <v>3479.3798830000001</v>
      </c>
      <c r="F315" s="2">
        <f t="shared" si="12"/>
        <v>0.4335809170731707</v>
      </c>
      <c r="G315" s="4">
        <v>41456</v>
      </c>
      <c r="H315" s="13">
        <v>15135.839844</v>
      </c>
      <c r="I315" s="2">
        <f t="shared" si="14"/>
        <v>0.17314559286091988</v>
      </c>
    </row>
    <row r="316" spans="1:9" x14ac:dyDescent="0.25">
      <c r="A316" s="9">
        <v>41463</v>
      </c>
      <c r="B316" s="13">
        <v>1680.1899410000001</v>
      </c>
      <c r="C316" s="2">
        <f t="shared" si="13"/>
        <v>0.180753001504175</v>
      </c>
      <c r="D316" s="4">
        <v>41463</v>
      </c>
      <c r="E316" s="13">
        <v>3600.080078</v>
      </c>
      <c r="F316" s="2">
        <f t="shared" si="12"/>
        <v>0.42861527406669986</v>
      </c>
      <c r="G316" s="4">
        <v>41463</v>
      </c>
      <c r="H316" s="13">
        <v>15464.299805000001</v>
      </c>
      <c r="I316" s="2">
        <f t="shared" si="14"/>
        <v>0.17917206611554459</v>
      </c>
    </row>
    <row r="317" spans="1:9" x14ac:dyDescent="0.25">
      <c r="A317" s="9">
        <v>41470</v>
      </c>
      <c r="B317" s="13">
        <v>1692.089966</v>
      </c>
      <c r="C317" s="2">
        <f t="shared" si="13"/>
        <v>0.18044600669454575</v>
      </c>
      <c r="D317" s="4">
        <v>41470</v>
      </c>
      <c r="E317" s="13">
        <v>3587.610107</v>
      </c>
      <c r="F317" s="2">
        <f t="shared" si="12"/>
        <v>0.43878941244400205</v>
      </c>
      <c r="G317" s="4">
        <v>41470</v>
      </c>
      <c r="H317" s="13">
        <v>15543.740234000001</v>
      </c>
      <c r="I317" s="2">
        <f t="shared" si="14"/>
        <v>0.18031680491450627</v>
      </c>
    </row>
    <row r="318" spans="1:9" x14ac:dyDescent="0.25">
      <c r="A318" s="9">
        <v>41477</v>
      </c>
      <c r="B318" s="13">
        <v>1691.650024</v>
      </c>
      <c r="C318" s="2">
        <f t="shared" si="13"/>
        <v>0.19302051108243193</v>
      </c>
      <c r="D318" s="4">
        <v>41477</v>
      </c>
      <c r="E318" s="13">
        <v>3613.1599120000001</v>
      </c>
      <c r="F318" s="2">
        <f t="shared" si="12"/>
        <v>0.46922452483822796</v>
      </c>
      <c r="G318" s="4">
        <v>41477</v>
      </c>
      <c r="H318" s="13">
        <v>15558.830078000001</v>
      </c>
      <c r="I318" s="2">
        <f t="shared" si="14"/>
        <v>0.18786732474221848</v>
      </c>
    </row>
    <row r="319" spans="1:9" x14ac:dyDescent="0.25">
      <c r="A319" s="9">
        <v>41484</v>
      </c>
      <c r="B319" s="13">
        <v>1709.670044</v>
      </c>
      <c r="C319" s="2">
        <f t="shared" si="13"/>
        <v>0.18028552493486252</v>
      </c>
      <c r="D319" s="4">
        <v>41484</v>
      </c>
      <c r="E319" s="13">
        <v>3689.5900879999999</v>
      </c>
      <c r="F319" s="2">
        <f t="shared" si="12"/>
        <v>0.45748535868591339</v>
      </c>
      <c r="G319" s="4">
        <v>41484</v>
      </c>
      <c r="H319" s="13">
        <v>15658.360352</v>
      </c>
      <c r="I319" s="2">
        <f t="shared" si="14"/>
        <v>0.17020292077918478</v>
      </c>
    </row>
    <row r="320" spans="1:9" x14ac:dyDescent="0.25">
      <c r="A320" s="9">
        <v>41491</v>
      </c>
      <c r="B320" s="13">
        <v>1691.420044</v>
      </c>
      <c r="C320" s="2">
        <f t="shared" si="13"/>
        <v>0.15545049602139538</v>
      </c>
      <c r="D320" s="4">
        <v>41491</v>
      </c>
      <c r="E320" s="13">
        <v>3660.110107</v>
      </c>
      <c r="F320" s="2">
        <f t="shared" si="12"/>
        <v>0.4346560593330015</v>
      </c>
      <c r="G320" s="4">
        <v>41491</v>
      </c>
      <c r="H320" s="13">
        <v>15425.509765999999</v>
      </c>
      <c r="I320" s="2">
        <f t="shared" si="14"/>
        <v>0.14410351371841043</v>
      </c>
    </row>
    <row r="321" spans="1:9" x14ac:dyDescent="0.25">
      <c r="A321" s="9">
        <v>41498</v>
      </c>
      <c r="B321" s="13">
        <v>1655.829956</v>
      </c>
      <c r="C321" s="2">
        <f t="shared" si="13"/>
        <v>0.16080270994420345</v>
      </c>
      <c r="D321" s="4">
        <v>41498</v>
      </c>
      <c r="E321" s="13">
        <v>3602.780029</v>
      </c>
      <c r="F321" s="2">
        <f t="shared" si="12"/>
        <v>0.45656148889995024</v>
      </c>
      <c r="G321" s="4">
        <v>41498</v>
      </c>
      <c r="H321" s="13">
        <v>15081.469727</v>
      </c>
      <c r="I321" s="2">
        <f t="shared" si="14"/>
        <v>0.13872038182324259</v>
      </c>
    </row>
    <row r="322" spans="1:9" x14ac:dyDescent="0.25">
      <c r="A322" s="9">
        <v>41505</v>
      </c>
      <c r="B322" s="13">
        <v>1663.5</v>
      </c>
      <c r="C322" s="2">
        <f t="shared" si="13"/>
        <v>0.13949862794968881</v>
      </c>
      <c r="D322" s="4">
        <v>41505</v>
      </c>
      <c r="E322" s="13">
        <v>3657.790039</v>
      </c>
      <c r="F322" s="2">
        <f t="shared" si="12"/>
        <v>0.4295152282727725</v>
      </c>
      <c r="G322" s="4">
        <v>41505</v>
      </c>
      <c r="H322" s="13">
        <v>15010.509765999999</v>
      </c>
      <c r="I322" s="2">
        <f t="shared" si="14"/>
        <v>0.12353288671587571</v>
      </c>
    </row>
    <row r="323" spans="1:9" x14ac:dyDescent="0.25">
      <c r="A323" s="9">
        <v>41512</v>
      </c>
      <c r="B323" s="13">
        <v>1632.969971</v>
      </c>
      <c r="C323" s="2">
        <f t="shared" si="13"/>
        <v>0.15499000450475892</v>
      </c>
      <c r="D323" s="4">
        <v>41512</v>
      </c>
      <c r="E323" s="13">
        <v>3589.8701169999999</v>
      </c>
      <c r="F323" s="2">
        <f t="shared" si="12"/>
        <v>0.45744549925335987</v>
      </c>
      <c r="G323" s="4">
        <v>41512</v>
      </c>
      <c r="H323" s="13">
        <v>14810.309569999999</v>
      </c>
      <c r="I323" s="2">
        <f t="shared" si="14"/>
        <v>0.1320438254699936</v>
      </c>
    </row>
    <row r="324" spans="1:9" x14ac:dyDescent="0.25">
      <c r="A324" s="9">
        <v>41520</v>
      </c>
      <c r="B324" s="13">
        <v>1655.170044</v>
      </c>
      <c r="C324" s="2">
        <f t="shared" si="13"/>
        <v>0.17789200766497681</v>
      </c>
      <c r="D324" s="4">
        <v>41519</v>
      </c>
      <c r="E324" s="13">
        <v>3660.01001</v>
      </c>
      <c r="F324" s="2">
        <f t="shared" si="12"/>
        <v>0.48220206351418615</v>
      </c>
      <c r="G324" s="4">
        <v>41520</v>
      </c>
      <c r="H324" s="13">
        <v>14922.5</v>
      </c>
      <c r="I324" s="2">
        <f t="shared" si="14"/>
        <v>0.16645155277448848</v>
      </c>
    </row>
    <row r="325" spans="1:9" x14ac:dyDescent="0.25">
      <c r="A325" s="9">
        <v>41526</v>
      </c>
      <c r="B325" s="13">
        <v>1687.98999</v>
      </c>
      <c r="C325" s="2">
        <f t="shared" si="13"/>
        <v>0.19318797789479114</v>
      </c>
      <c r="D325" s="4">
        <v>41526</v>
      </c>
      <c r="E325" s="13">
        <v>3722.179932</v>
      </c>
      <c r="F325" s="2">
        <f t="shared" si="12"/>
        <v>0.50312791637630661</v>
      </c>
      <c r="G325" s="4">
        <v>41526</v>
      </c>
      <c r="H325" s="13">
        <v>15376.059569999999</v>
      </c>
      <c r="I325" s="2">
        <f t="shared" si="14"/>
        <v>0.17214346488070542</v>
      </c>
    </row>
    <row r="326" spans="1:9" x14ac:dyDescent="0.25">
      <c r="A326" s="9">
        <v>41533</v>
      </c>
      <c r="B326" s="13">
        <v>1709.910034</v>
      </c>
      <c r="C326" s="2">
        <f t="shared" si="13"/>
        <v>0.18051577069318078</v>
      </c>
      <c r="D326" s="4">
        <v>41533</v>
      </c>
      <c r="E326" s="13">
        <v>3774.7299800000001</v>
      </c>
      <c r="F326" s="2">
        <f t="shared" ref="F326:F389" si="15">(E327-$E$6)/$E$6</f>
        <v>0.50585966669985061</v>
      </c>
      <c r="G326" s="4">
        <v>41533</v>
      </c>
      <c r="H326" s="13">
        <v>15451.089844</v>
      </c>
      <c r="I326" s="2">
        <f t="shared" si="14"/>
        <v>0.15751359654464944</v>
      </c>
    </row>
    <row r="327" spans="1:9" x14ac:dyDescent="0.25">
      <c r="A327" s="9">
        <v>41540</v>
      </c>
      <c r="B327" s="13">
        <v>1691.75</v>
      </c>
      <c r="C327" s="2">
        <f t="shared" ref="C327:C390" si="16">(B328-$B$6)/$B$6</f>
        <v>0.17964351136800477</v>
      </c>
      <c r="D327" s="4">
        <v>41540</v>
      </c>
      <c r="E327" s="13">
        <v>3781.5900879999999</v>
      </c>
      <c r="F327" s="2">
        <f t="shared" si="15"/>
        <v>0.51627675460428069</v>
      </c>
      <c r="G327" s="4">
        <v>41540</v>
      </c>
      <c r="H327" s="13">
        <v>15258.240234000001</v>
      </c>
      <c r="I327" s="2">
        <f t="shared" ref="I327:I390" si="17">(H328-$H$6)/$H$6</f>
        <v>0.1434291312582969</v>
      </c>
    </row>
    <row r="328" spans="1:9" x14ac:dyDescent="0.25">
      <c r="A328" s="9">
        <v>41547</v>
      </c>
      <c r="B328" s="13">
        <v>1690.5</v>
      </c>
      <c r="C328" s="2">
        <f t="shared" si="16"/>
        <v>0.18850563191922731</v>
      </c>
      <c r="D328" s="4">
        <v>41547</v>
      </c>
      <c r="E328" s="13">
        <v>3807.75</v>
      </c>
      <c r="F328" s="2">
        <f t="shared" si="15"/>
        <v>0.50995325714285711</v>
      </c>
      <c r="G328" s="4">
        <v>41547</v>
      </c>
      <c r="H328" s="13">
        <v>15072.580078000001</v>
      </c>
      <c r="I328" s="2">
        <f t="shared" si="17"/>
        <v>0.15591065116344582</v>
      </c>
    </row>
    <row r="329" spans="1:9" x14ac:dyDescent="0.25">
      <c r="A329" s="9">
        <v>41554</v>
      </c>
      <c r="B329" s="13">
        <v>1703.1999510000001</v>
      </c>
      <c r="C329" s="2">
        <f t="shared" si="16"/>
        <v>0.21732511421560743</v>
      </c>
      <c r="D329" s="4">
        <v>41554</v>
      </c>
      <c r="E329" s="13">
        <v>3791.8701169999999</v>
      </c>
      <c r="F329" s="2">
        <f t="shared" si="15"/>
        <v>0.55869787117969139</v>
      </c>
      <c r="G329" s="4">
        <v>41554</v>
      </c>
      <c r="H329" s="13">
        <v>15237.110352</v>
      </c>
      <c r="I329" s="2">
        <f t="shared" si="17"/>
        <v>0.16824118877722377</v>
      </c>
    </row>
    <row r="330" spans="1:9" x14ac:dyDescent="0.25">
      <c r="A330" s="9">
        <v>41561</v>
      </c>
      <c r="B330" s="13">
        <v>1744.5</v>
      </c>
      <c r="C330" s="2">
        <f t="shared" si="16"/>
        <v>0.22798064808810642</v>
      </c>
      <c r="D330" s="4">
        <v>41561</v>
      </c>
      <c r="E330" s="13">
        <v>3914.280029</v>
      </c>
      <c r="F330" s="2">
        <f t="shared" si="15"/>
        <v>0.57027779273270285</v>
      </c>
      <c r="G330" s="4">
        <v>41561</v>
      </c>
      <c r="H330" s="13">
        <v>15399.650390999999</v>
      </c>
      <c r="I330" s="2">
        <f t="shared" si="17"/>
        <v>0.18118543433653186</v>
      </c>
    </row>
    <row r="331" spans="1:9" x14ac:dyDescent="0.25">
      <c r="A331" s="9">
        <v>41568</v>
      </c>
      <c r="B331" s="13">
        <v>1759.7700199999999</v>
      </c>
      <c r="C331" s="2">
        <f t="shared" si="16"/>
        <v>0.22928554454953243</v>
      </c>
      <c r="D331" s="4">
        <v>41568</v>
      </c>
      <c r="E331" s="13">
        <v>3943.360107</v>
      </c>
      <c r="F331" s="2">
        <f t="shared" si="15"/>
        <v>0.56178796973618716</v>
      </c>
      <c r="G331" s="4">
        <v>41568</v>
      </c>
      <c r="H331" s="13">
        <v>15570.280273</v>
      </c>
      <c r="I331" s="2">
        <f t="shared" si="17"/>
        <v>0.18461965073341688</v>
      </c>
    </row>
    <row r="332" spans="1:9" x14ac:dyDescent="0.25">
      <c r="A332" s="9">
        <v>41575</v>
      </c>
      <c r="B332" s="13">
        <v>1761.6400149999999</v>
      </c>
      <c r="C332" s="2">
        <f t="shared" si="16"/>
        <v>0.23554485653277157</v>
      </c>
      <c r="D332" s="4">
        <v>41575</v>
      </c>
      <c r="E332" s="13">
        <v>3922.040039</v>
      </c>
      <c r="F332" s="2">
        <f t="shared" si="15"/>
        <v>0.56066898158287704</v>
      </c>
      <c r="G332" s="4">
        <v>41575</v>
      </c>
      <c r="H332" s="13">
        <v>15615.549805000001</v>
      </c>
      <c r="I332" s="2">
        <f t="shared" si="17"/>
        <v>0.19571291918005698</v>
      </c>
    </row>
    <row r="333" spans="1:9" x14ac:dyDescent="0.25">
      <c r="A333" s="9">
        <v>41582</v>
      </c>
      <c r="B333" s="13">
        <v>1770.6099850000001</v>
      </c>
      <c r="C333" s="2">
        <f t="shared" si="16"/>
        <v>0.25478345635756783</v>
      </c>
      <c r="D333" s="4">
        <v>41582</v>
      </c>
      <c r="E333" s="13">
        <v>3919.2299800000001</v>
      </c>
      <c r="F333" s="2">
        <f t="shared" si="15"/>
        <v>0.58724538417122951</v>
      </c>
      <c r="G333" s="4">
        <v>41582</v>
      </c>
      <c r="H333" s="13">
        <v>15761.780273</v>
      </c>
      <c r="I333" s="2">
        <f t="shared" si="17"/>
        <v>0.21087915227025916</v>
      </c>
    </row>
    <row r="334" spans="1:9" x14ac:dyDescent="0.25">
      <c r="A334" s="9">
        <v>41589</v>
      </c>
      <c r="B334" s="13">
        <v>1798.1800539999999</v>
      </c>
      <c r="C334" s="2">
        <f t="shared" si="16"/>
        <v>0.25937499874176601</v>
      </c>
      <c r="D334" s="4">
        <v>41589</v>
      </c>
      <c r="E334" s="13">
        <v>3985.969971</v>
      </c>
      <c r="F334" s="2">
        <f t="shared" si="15"/>
        <v>0.58950717849676459</v>
      </c>
      <c r="G334" s="4">
        <v>41589</v>
      </c>
      <c r="H334" s="13">
        <v>15961.700194999999</v>
      </c>
      <c r="I334" s="2">
        <f t="shared" si="17"/>
        <v>0.21869815079021845</v>
      </c>
    </row>
    <row r="335" spans="1:9" x14ac:dyDescent="0.25">
      <c r="A335" s="9">
        <v>41596</v>
      </c>
      <c r="B335" s="13">
        <v>1804.76001</v>
      </c>
      <c r="C335" s="2">
        <f t="shared" si="16"/>
        <v>0.26010773076747934</v>
      </c>
      <c r="D335" s="4">
        <v>41596</v>
      </c>
      <c r="E335" s="13">
        <v>3991.6499020000001</v>
      </c>
      <c r="F335" s="2">
        <f t="shared" si="15"/>
        <v>0.61668089318068697</v>
      </c>
      <c r="G335" s="4">
        <v>41596</v>
      </c>
      <c r="H335" s="13">
        <v>16064.769531</v>
      </c>
      <c r="I335" s="2">
        <f t="shared" si="17"/>
        <v>0.22033984192176889</v>
      </c>
    </row>
    <row r="336" spans="1:9" x14ac:dyDescent="0.25">
      <c r="A336" s="9">
        <v>41603</v>
      </c>
      <c r="B336" s="13">
        <v>1805.8100589999999</v>
      </c>
      <c r="C336" s="2">
        <f t="shared" si="16"/>
        <v>0.25960524450008421</v>
      </c>
      <c r="D336" s="4">
        <v>41603</v>
      </c>
      <c r="E336" s="13">
        <v>4059.889893</v>
      </c>
      <c r="F336" s="2">
        <f t="shared" si="15"/>
        <v>0.61772823096067697</v>
      </c>
      <c r="G336" s="4">
        <v>41603</v>
      </c>
      <c r="H336" s="13">
        <v>16086.410156</v>
      </c>
      <c r="I336" s="2">
        <f t="shared" si="17"/>
        <v>0.21531705233995221</v>
      </c>
    </row>
    <row r="337" spans="1:9" x14ac:dyDescent="0.25">
      <c r="A337" s="9">
        <v>41610</v>
      </c>
      <c r="B337" s="13">
        <v>1805.089966</v>
      </c>
      <c r="C337" s="2">
        <f t="shared" si="16"/>
        <v>0.23883150245554377</v>
      </c>
      <c r="D337" s="4">
        <v>41610</v>
      </c>
      <c r="E337" s="13">
        <v>4062.5200199999999</v>
      </c>
      <c r="F337" s="2">
        <f t="shared" si="15"/>
        <v>0.59322249079143852</v>
      </c>
      <c r="G337" s="4">
        <v>41610</v>
      </c>
      <c r="H337" s="13">
        <v>16020.200194999999</v>
      </c>
      <c r="I337" s="2">
        <f t="shared" si="17"/>
        <v>0.19522589408854713</v>
      </c>
    </row>
    <row r="338" spans="1:9" x14ac:dyDescent="0.25">
      <c r="A338" s="9">
        <v>41617</v>
      </c>
      <c r="B338" s="13">
        <v>1775.3199460000001</v>
      </c>
      <c r="C338" s="2">
        <f t="shared" si="16"/>
        <v>0.2688372232415977</v>
      </c>
      <c r="D338" s="4">
        <v>41617</v>
      </c>
      <c r="E338" s="13">
        <v>4000.9799800000001</v>
      </c>
      <c r="F338" s="2">
        <f t="shared" si="15"/>
        <v>0.63454066062717762</v>
      </c>
      <c r="G338" s="4">
        <v>41617</v>
      </c>
      <c r="H338" s="13">
        <v>15755.360352</v>
      </c>
      <c r="I338" s="2">
        <f t="shared" si="17"/>
        <v>0.23056062862153834</v>
      </c>
    </row>
    <row r="339" spans="1:9" x14ac:dyDescent="0.25">
      <c r="A339" s="9">
        <v>41624</v>
      </c>
      <c r="B339" s="13">
        <v>1818.3199460000001</v>
      </c>
      <c r="C339" s="2">
        <f t="shared" si="16"/>
        <v>0.28494267385062899</v>
      </c>
      <c r="D339" s="4">
        <v>41624</v>
      </c>
      <c r="E339" s="13">
        <v>4104.7402339999999</v>
      </c>
      <c r="F339" s="2">
        <f t="shared" si="15"/>
        <v>0.65518759342956701</v>
      </c>
      <c r="G339" s="4">
        <v>41624</v>
      </c>
      <c r="H339" s="13">
        <v>16221.139648</v>
      </c>
      <c r="I339" s="2">
        <f t="shared" si="17"/>
        <v>0.25007756546569515</v>
      </c>
    </row>
    <row r="340" spans="1:9" x14ac:dyDescent="0.25">
      <c r="A340" s="9">
        <v>41631</v>
      </c>
      <c r="B340" s="13">
        <v>1841.400024</v>
      </c>
      <c r="C340" s="2">
        <f t="shared" si="16"/>
        <v>0.27794364478900052</v>
      </c>
      <c r="D340" s="4">
        <v>41631</v>
      </c>
      <c r="E340" s="13">
        <v>4156.5898440000001</v>
      </c>
      <c r="F340" s="2">
        <f t="shared" si="15"/>
        <v>0.64535994265803875</v>
      </c>
      <c r="G340" s="4">
        <v>41631</v>
      </c>
      <c r="H340" s="13">
        <v>16478.410156000002</v>
      </c>
      <c r="I340" s="2">
        <f t="shared" si="17"/>
        <v>0.24943881721901798</v>
      </c>
    </row>
    <row r="341" spans="1:9" x14ac:dyDescent="0.25">
      <c r="A341" s="9">
        <v>41638</v>
      </c>
      <c r="B341" s="13">
        <v>1831.369995</v>
      </c>
      <c r="C341" s="2">
        <f t="shared" si="16"/>
        <v>0.2856195268505492</v>
      </c>
      <c r="D341" s="4">
        <v>41638</v>
      </c>
      <c r="E341" s="13">
        <v>4131.9101559999999</v>
      </c>
      <c r="F341" s="2">
        <f t="shared" si="15"/>
        <v>0.66238722628173219</v>
      </c>
      <c r="G341" s="4">
        <v>41638</v>
      </c>
      <c r="H341" s="13">
        <v>16469.990234000001</v>
      </c>
      <c r="I341" s="2">
        <f t="shared" si="17"/>
        <v>0.24693997959911462</v>
      </c>
    </row>
    <row r="342" spans="1:9" x14ac:dyDescent="0.25">
      <c r="A342" s="9">
        <v>41645</v>
      </c>
      <c r="B342" s="13">
        <v>1842.369995</v>
      </c>
      <c r="C342" s="2">
        <f t="shared" si="16"/>
        <v>0.28305854276830428</v>
      </c>
      <c r="D342" s="4">
        <v>41645</v>
      </c>
      <c r="E342" s="13">
        <v>4174.669922</v>
      </c>
      <c r="F342" s="2">
        <f t="shared" si="15"/>
        <v>0.67151023514186159</v>
      </c>
      <c r="G342" s="4">
        <v>41645</v>
      </c>
      <c r="H342" s="13">
        <v>16437.050781000002</v>
      </c>
      <c r="I342" s="2">
        <f t="shared" si="17"/>
        <v>0.24857174356544759</v>
      </c>
    </row>
    <row r="343" spans="1:9" x14ac:dyDescent="0.25">
      <c r="A343" s="9">
        <v>41652</v>
      </c>
      <c r="B343" s="13">
        <v>1838.6999510000001</v>
      </c>
      <c r="C343" s="2">
        <f t="shared" si="16"/>
        <v>0.2492777450299451</v>
      </c>
      <c r="D343" s="4">
        <v>41652</v>
      </c>
      <c r="E343" s="13">
        <v>4197.580078</v>
      </c>
      <c r="F343" s="2">
        <f t="shared" si="15"/>
        <v>0.64387055131906423</v>
      </c>
      <c r="G343" s="4">
        <v>41652</v>
      </c>
      <c r="H343" s="13">
        <v>16458.560547000001</v>
      </c>
      <c r="I343" s="2">
        <f t="shared" si="17"/>
        <v>0.20461375962059014</v>
      </c>
    </row>
    <row r="344" spans="1:9" x14ac:dyDescent="0.25">
      <c r="A344" s="9">
        <v>41660</v>
      </c>
      <c r="B344" s="13">
        <v>1790.290039</v>
      </c>
      <c r="C344" s="2">
        <f t="shared" si="16"/>
        <v>0.24390457664691645</v>
      </c>
      <c r="D344" s="4">
        <v>41659</v>
      </c>
      <c r="E344" s="13">
        <v>4128.169922</v>
      </c>
      <c r="F344" s="2">
        <f t="shared" si="15"/>
        <v>0.63419806192135375</v>
      </c>
      <c r="G344" s="4">
        <v>41660</v>
      </c>
      <c r="H344" s="13">
        <v>15879.110352</v>
      </c>
      <c r="I344" s="2">
        <f t="shared" si="17"/>
        <v>0.19093890211763942</v>
      </c>
    </row>
    <row r="345" spans="1:9" x14ac:dyDescent="0.25">
      <c r="A345" s="9">
        <v>41666</v>
      </c>
      <c r="B345" s="13">
        <v>1782.589966</v>
      </c>
      <c r="C345" s="2">
        <f t="shared" si="16"/>
        <v>0.25397397597835086</v>
      </c>
      <c r="D345" s="4">
        <v>41666</v>
      </c>
      <c r="E345" s="13">
        <v>4103.8798829999996</v>
      </c>
      <c r="F345" s="2">
        <f t="shared" si="15"/>
        <v>0.64295066719761063</v>
      </c>
      <c r="G345" s="4">
        <v>41666</v>
      </c>
      <c r="H345" s="13">
        <v>15698.849609000001</v>
      </c>
      <c r="I345" s="2">
        <f t="shared" si="17"/>
        <v>0.19816323211784459</v>
      </c>
    </row>
    <row r="346" spans="1:9" x14ac:dyDescent="0.25">
      <c r="A346" s="9">
        <v>41673</v>
      </c>
      <c r="B346" s="13">
        <v>1797.0200199999999</v>
      </c>
      <c r="C346" s="2">
        <f t="shared" si="16"/>
        <v>0.28300973392769724</v>
      </c>
      <c r="D346" s="4">
        <v>41673</v>
      </c>
      <c r="E346" s="13">
        <v>4125.8598629999997</v>
      </c>
      <c r="F346" s="2">
        <f t="shared" si="15"/>
        <v>0.69000299452463909</v>
      </c>
      <c r="G346" s="4">
        <v>41673</v>
      </c>
      <c r="H346" s="13">
        <v>15794.080078000001</v>
      </c>
      <c r="I346" s="2">
        <f t="shared" si="17"/>
        <v>0.22549687084970907</v>
      </c>
    </row>
    <row r="347" spans="1:9" x14ac:dyDescent="0.25">
      <c r="A347" s="9">
        <v>41680</v>
      </c>
      <c r="B347" s="13">
        <v>1838.630005</v>
      </c>
      <c r="C347" s="2">
        <f t="shared" si="16"/>
        <v>0.28134894868352489</v>
      </c>
      <c r="D347" s="4">
        <v>41680</v>
      </c>
      <c r="E347" s="13">
        <v>4244.0200199999999</v>
      </c>
      <c r="F347" s="2">
        <f t="shared" si="15"/>
        <v>0.69772430303633648</v>
      </c>
      <c r="G347" s="4">
        <v>41680</v>
      </c>
      <c r="H347" s="13">
        <v>16154.389648</v>
      </c>
      <c r="I347" s="2">
        <f t="shared" si="17"/>
        <v>0.22162111669910556</v>
      </c>
    </row>
    <row r="348" spans="1:9" x14ac:dyDescent="0.25">
      <c r="A348" s="9">
        <v>41688</v>
      </c>
      <c r="B348" s="13">
        <v>1836.25</v>
      </c>
      <c r="C348" s="2">
        <f t="shared" si="16"/>
        <v>0.29753804756622565</v>
      </c>
      <c r="D348" s="4">
        <v>41687</v>
      </c>
      <c r="E348" s="13">
        <v>4263.4101559999999</v>
      </c>
      <c r="F348" s="2">
        <f t="shared" si="15"/>
        <v>0.71552817003484337</v>
      </c>
      <c r="G348" s="4">
        <v>41688</v>
      </c>
      <c r="H348" s="13">
        <v>16103.299805000001</v>
      </c>
      <c r="I348" s="2">
        <f t="shared" si="17"/>
        <v>0.23819004740908967</v>
      </c>
    </row>
    <row r="349" spans="1:9" x14ac:dyDescent="0.25">
      <c r="A349" s="9">
        <v>41694</v>
      </c>
      <c r="B349" s="13">
        <v>1859.4499510000001</v>
      </c>
      <c r="C349" s="2">
        <f t="shared" si="16"/>
        <v>0.3105103496572994</v>
      </c>
      <c r="D349" s="4">
        <v>41694</v>
      </c>
      <c r="E349" s="13">
        <v>4308.1201170000004</v>
      </c>
      <c r="F349" s="2">
        <f t="shared" si="15"/>
        <v>0.72671785564957703</v>
      </c>
      <c r="G349" s="4">
        <v>41694</v>
      </c>
      <c r="H349" s="13">
        <v>16321.709961</v>
      </c>
      <c r="I349" s="2">
        <f t="shared" si="17"/>
        <v>0.24812872400827485</v>
      </c>
    </row>
    <row r="350" spans="1:9" x14ac:dyDescent="0.25">
      <c r="A350" s="9">
        <v>41701</v>
      </c>
      <c r="B350" s="13">
        <v>1878.040039</v>
      </c>
      <c r="C350" s="2">
        <f t="shared" si="16"/>
        <v>0.28475425257804921</v>
      </c>
      <c r="D350" s="4">
        <v>41701</v>
      </c>
      <c r="E350" s="13">
        <v>4336.2202150000003</v>
      </c>
      <c r="F350" s="2">
        <f t="shared" si="15"/>
        <v>0.69055247466401204</v>
      </c>
      <c r="G350" s="4">
        <v>41701</v>
      </c>
      <c r="H350" s="13">
        <v>16452.720702999999</v>
      </c>
      <c r="I350" s="2">
        <f t="shared" si="17"/>
        <v>0.21876645583776799</v>
      </c>
    </row>
    <row r="351" spans="1:9" x14ac:dyDescent="0.25">
      <c r="A351" s="9">
        <v>41708</v>
      </c>
      <c r="B351" s="13">
        <v>1841.130005</v>
      </c>
      <c r="C351" s="2">
        <f t="shared" si="16"/>
        <v>0.30247159445813571</v>
      </c>
      <c r="D351" s="4">
        <v>41708</v>
      </c>
      <c r="E351" s="13">
        <v>4245.3999020000001</v>
      </c>
      <c r="F351" s="2">
        <f t="shared" si="15"/>
        <v>0.703052280338477</v>
      </c>
      <c r="G351" s="4">
        <v>41708</v>
      </c>
      <c r="H351" s="13">
        <v>16065.669921999999</v>
      </c>
      <c r="I351" s="2">
        <f t="shared" si="17"/>
        <v>0.23675319722760216</v>
      </c>
    </row>
    <row r="352" spans="1:9" x14ac:dyDescent="0.25">
      <c r="A352" s="9">
        <v>41715</v>
      </c>
      <c r="B352" s="13">
        <v>1866.5200199999999</v>
      </c>
      <c r="C352" s="2">
        <f t="shared" si="16"/>
        <v>0.29626109061769623</v>
      </c>
      <c r="D352" s="4">
        <v>41715</v>
      </c>
      <c r="E352" s="13">
        <v>4276.7900390000004</v>
      </c>
      <c r="F352" s="2">
        <f t="shared" si="15"/>
        <v>0.65485704967645597</v>
      </c>
      <c r="G352" s="4">
        <v>41715</v>
      </c>
      <c r="H352" s="13">
        <v>16302.769531</v>
      </c>
      <c r="I352" s="2">
        <f t="shared" si="17"/>
        <v>0.23829243082575896</v>
      </c>
    </row>
    <row r="353" spans="1:9" x14ac:dyDescent="0.25">
      <c r="A353" s="9">
        <v>41722</v>
      </c>
      <c r="B353" s="13">
        <v>1857.619995</v>
      </c>
      <c r="C353" s="2">
        <f t="shared" si="16"/>
        <v>0.30147369210853159</v>
      </c>
      <c r="D353" s="4">
        <v>41722</v>
      </c>
      <c r="E353" s="13">
        <v>4155.7597660000001</v>
      </c>
      <c r="F353" s="2">
        <f t="shared" si="15"/>
        <v>0.64369536286709805</v>
      </c>
      <c r="G353" s="4">
        <v>41722</v>
      </c>
      <c r="H353" s="13">
        <v>16323.059569999999</v>
      </c>
      <c r="I353" s="2">
        <f t="shared" si="17"/>
        <v>0.24509352163422529</v>
      </c>
    </row>
    <row r="354" spans="1:9" x14ac:dyDescent="0.25">
      <c r="A354" s="9">
        <v>41729</v>
      </c>
      <c r="B354" s="13">
        <v>1865.089966</v>
      </c>
      <c r="C354" s="2">
        <f t="shared" si="16"/>
        <v>0.26700198613239012</v>
      </c>
      <c r="D354" s="4">
        <v>41729</v>
      </c>
      <c r="E354" s="13">
        <v>4127.7299800000001</v>
      </c>
      <c r="F354" s="2">
        <f t="shared" si="15"/>
        <v>0.59272473071179699</v>
      </c>
      <c r="G354" s="4">
        <v>41729</v>
      </c>
      <c r="H354" s="13">
        <v>16412.710938</v>
      </c>
      <c r="I354" s="2">
        <f t="shared" si="17"/>
        <v>0.21581393063167834</v>
      </c>
    </row>
    <row r="355" spans="1:9" x14ac:dyDescent="0.25">
      <c r="A355" s="9">
        <v>41736</v>
      </c>
      <c r="B355" s="13">
        <v>1815.6899410000001</v>
      </c>
      <c r="C355" s="2">
        <f t="shared" si="16"/>
        <v>0.3013062252961724</v>
      </c>
      <c r="D355" s="4">
        <v>41736</v>
      </c>
      <c r="E355" s="13">
        <v>3999.7299800000001</v>
      </c>
      <c r="F355" s="2">
        <f t="shared" si="15"/>
        <v>0.63086909706321548</v>
      </c>
      <c r="G355" s="4">
        <v>41736</v>
      </c>
      <c r="H355" s="13">
        <v>16026.75</v>
      </c>
      <c r="I355" s="2">
        <f t="shared" si="17"/>
        <v>0.24477703669762441</v>
      </c>
    </row>
    <row r="356" spans="1:9" x14ac:dyDescent="0.25">
      <c r="A356" s="9">
        <v>41743</v>
      </c>
      <c r="B356" s="13">
        <v>1864.849976</v>
      </c>
      <c r="C356" s="2">
        <f t="shared" si="16"/>
        <v>0.30029443797372635</v>
      </c>
      <c r="D356" s="4">
        <v>41743</v>
      </c>
      <c r="E356" s="13">
        <v>4095.5200199999999</v>
      </c>
      <c r="F356" s="2">
        <f t="shared" si="15"/>
        <v>0.62292087964161269</v>
      </c>
      <c r="G356" s="4">
        <v>41743</v>
      </c>
      <c r="H356" s="13">
        <v>16408.539062</v>
      </c>
      <c r="I356" s="2">
        <f t="shared" si="17"/>
        <v>0.24120554361029137</v>
      </c>
    </row>
    <row r="357" spans="1:9" x14ac:dyDescent="0.25">
      <c r="A357" s="9">
        <v>41750</v>
      </c>
      <c r="B357" s="13">
        <v>1863.400024</v>
      </c>
      <c r="C357" s="2">
        <f t="shared" si="16"/>
        <v>0.31267353603635678</v>
      </c>
      <c r="D357" s="4">
        <v>41750</v>
      </c>
      <c r="E357" s="13">
        <v>4075.5600589999999</v>
      </c>
      <c r="F357" s="2">
        <f t="shared" si="15"/>
        <v>0.64217019492284722</v>
      </c>
      <c r="G357" s="4">
        <v>41750</v>
      </c>
      <c r="H357" s="13">
        <v>16361.459961</v>
      </c>
      <c r="I357" s="2">
        <f t="shared" si="17"/>
        <v>0.25269330693198816</v>
      </c>
    </row>
    <row r="358" spans="1:9" x14ac:dyDescent="0.25">
      <c r="A358" s="9">
        <v>41757</v>
      </c>
      <c r="B358" s="13">
        <v>1881.1400149999999</v>
      </c>
      <c r="C358" s="2">
        <f t="shared" si="16"/>
        <v>0.31081734376912123</v>
      </c>
      <c r="D358" s="4">
        <v>41757</v>
      </c>
      <c r="E358" s="13">
        <v>4123.8999020000001</v>
      </c>
      <c r="F358" s="2">
        <f t="shared" si="15"/>
        <v>0.62145151498257833</v>
      </c>
      <c r="G358" s="4">
        <v>41757</v>
      </c>
      <c r="H358" s="13">
        <v>16512.890625</v>
      </c>
      <c r="I358" s="2">
        <f t="shared" si="17"/>
        <v>0.25803769315267044</v>
      </c>
    </row>
    <row r="359" spans="1:9" x14ac:dyDescent="0.25">
      <c r="A359" s="9">
        <v>41764</v>
      </c>
      <c r="B359" s="13">
        <v>1878.4799800000001</v>
      </c>
      <c r="C359" s="2">
        <f t="shared" si="16"/>
        <v>0.31038470663287127</v>
      </c>
      <c r="D359" s="4">
        <v>41764</v>
      </c>
      <c r="E359" s="13">
        <v>4071.8701169999999</v>
      </c>
      <c r="F359" s="2">
        <f t="shared" si="15"/>
        <v>0.62890595838725727</v>
      </c>
      <c r="G359" s="4">
        <v>41764</v>
      </c>
      <c r="H359" s="13">
        <v>16583.339843999998</v>
      </c>
      <c r="I359" s="2">
        <f t="shared" si="17"/>
        <v>0.25105620898907915</v>
      </c>
    </row>
    <row r="360" spans="1:9" x14ac:dyDescent="0.25">
      <c r="A360" s="9">
        <v>41771</v>
      </c>
      <c r="B360" s="13">
        <v>1877.8599850000001</v>
      </c>
      <c r="C360" s="2">
        <f t="shared" si="16"/>
        <v>0.32620403245779117</v>
      </c>
      <c r="D360" s="4">
        <v>41771</v>
      </c>
      <c r="E360" s="13">
        <v>4090.5900879999999</v>
      </c>
      <c r="F360" s="2">
        <f t="shared" si="15"/>
        <v>0.66682331866600308</v>
      </c>
      <c r="G360" s="4">
        <v>41771</v>
      </c>
      <c r="H360" s="13">
        <v>16491.310547000001</v>
      </c>
      <c r="I360" s="2">
        <f t="shared" si="17"/>
        <v>0.25977717451224919</v>
      </c>
    </row>
    <row r="361" spans="1:9" x14ac:dyDescent="0.25">
      <c r="A361" s="9">
        <v>41778</v>
      </c>
      <c r="B361" s="13">
        <v>1900.530029</v>
      </c>
      <c r="C361" s="2">
        <f t="shared" si="16"/>
        <v>0.34228145842141583</v>
      </c>
      <c r="D361" s="4">
        <v>41778</v>
      </c>
      <c r="E361" s="13">
        <v>4185.8100590000004</v>
      </c>
      <c r="F361" s="2">
        <f t="shared" si="15"/>
        <v>0.68944554186162288</v>
      </c>
      <c r="G361" s="4">
        <v>41778</v>
      </c>
      <c r="H361" s="13">
        <v>16606.269531000002</v>
      </c>
      <c r="I361" s="2">
        <f t="shared" si="17"/>
        <v>0.26819024892161469</v>
      </c>
    </row>
    <row r="362" spans="1:9" x14ac:dyDescent="0.25">
      <c r="A362" s="9">
        <v>41786</v>
      </c>
      <c r="B362" s="13">
        <v>1923.5699460000001</v>
      </c>
      <c r="C362" s="2">
        <f t="shared" si="16"/>
        <v>0.36033373392622076</v>
      </c>
      <c r="D362" s="4">
        <v>41785</v>
      </c>
      <c r="E362" s="13">
        <v>4242.6201170000004</v>
      </c>
      <c r="F362" s="2">
        <f t="shared" si="15"/>
        <v>0.72081628750622206</v>
      </c>
      <c r="G362" s="4">
        <v>41786</v>
      </c>
      <c r="H362" s="13">
        <v>16717.169922000001</v>
      </c>
      <c r="I362" s="2">
        <f t="shared" si="17"/>
        <v>0.28390188498565888</v>
      </c>
    </row>
    <row r="363" spans="1:9" x14ac:dyDescent="0.25">
      <c r="A363" s="9">
        <v>41792</v>
      </c>
      <c r="B363" s="13">
        <v>1949.4399410000001</v>
      </c>
      <c r="C363" s="2">
        <f t="shared" si="16"/>
        <v>0.35106691575164478</v>
      </c>
      <c r="D363" s="4">
        <v>41792</v>
      </c>
      <c r="E363" s="13">
        <v>4321.3999020000001</v>
      </c>
      <c r="F363" s="2">
        <f t="shared" si="15"/>
        <v>0.71653555082130416</v>
      </c>
      <c r="G363" s="4">
        <v>41792</v>
      </c>
      <c r="H363" s="13">
        <v>16924.279297000001</v>
      </c>
      <c r="I363" s="2">
        <f t="shared" si="17"/>
        <v>0.27263348296788381</v>
      </c>
    </row>
    <row r="364" spans="1:9" x14ac:dyDescent="0.25">
      <c r="A364" s="9">
        <v>41799</v>
      </c>
      <c r="B364" s="13">
        <v>1936.160034</v>
      </c>
      <c r="C364" s="2">
        <f t="shared" si="16"/>
        <v>0.36970532579751436</v>
      </c>
      <c r="D364" s="4">
        <v>41799</v>
      </c>
      <c r="E364" s="13">
        <v>4310.6499020000001</v>
      </c>
      <c r="F364" s="2">
        <f t="shared" si="15"/>
        <v>0.73938876615231475</v>
      </c>
      <c r="G364" s="4">
        <v>41799</v>
      </c>
      <c r="H364" s="13">
        <v>16775.740234000001</v>
      </c>
      <c r="I364" s="2">
        <f t="shared" si="17"/>
        <v>0.28563158733760674</v>
      </c>
    </row>
    <row r="365" spans="1:9" x14ac:dyDescent="0.25">
      <c r="A365" s="9">
        <v>41806</v>
      </c>
      <c r="B365" s="13">
        <v>1962.869995</v>
      </c>
      <c r="C365" s="2">
        <f t="shared" si="16"/>
        <v>0.36837248982319182</v>
      </c>
      <c r="D365" s="4">
        <v>41806</v>
      </c>
      <c r="E365" s="13">
        <v>4368.0400390000004</v>
      </c>
      <c r="F365" s="2">
        <f t="shared" si="15"/>
        <v>0.75129125973120947</v>
      </c>
      <c r="G365" s="4">
        <v>41806</v>
      </c>
      <c r="H365" s="13">
        <v>16947.080077999999</v>
      </c>
      <c r="I365" s="2">
        <f t="shared" si="17"/>
        <v>0.2784065165494668</v>
      </c>
    </row>
    <row r="366" spans="1:9" x14ac:dyDescent="0.25">
      <c r="A366" s="9">
        <v>41813</v>
      </c>
      <c r="B366" s="13">
        <v>1960.959961</v>
      </c>
      <c r="C366" s="2">
        <f t="shared" si="16"/>
        <v>0.38545480249128916</v>
      </c>
      <c r="D366" s="4">
        <v>41813</v>
      </c>
      <c r="E366" s="13">
        <v>4397.9301759999998</v>
      </c>
      <c r="F366" s="2">
        <f t="shared" si="15"/>
        <v>0.78633356933797904</v>
      </c>
      <c r="G366" s="4">
        <v>41813</v>
      </c>
      <c r="H366" s="13">
        <v>16851.839843999998</v>
      </c>
      <c r="I366" s="2">
        <f t="shared" si="17"/>
        <v>0.2948244650439415</v>
      </c>
    </row>
    <row r="367" spans="1:9" x14ac:dyDescent="0.25">
      <c r="A367" s="9">
        <v>41820</v>
      </c>
      <c r="B367" s="13">
        <v>1985.4399410000001</v>
      </c>
      <c r="C367" s="2">
        <f t="shared" si="16"/>
        <v>0.37298498666761054</v>
      </c>
      <c r="D367" s="4">
        <v>41820</v>
      </c>
      <c r="E367" s="13">
        <v>4485.9301759999998</v>
      </c>
      <c r="F367" s="2">
        <f t="shared" si="15"/>
        <v>0.75828381642608256</v>
      </c>
      <c r="G367" s="4">
        <v>41820</v>
      </c>
      <c r="H367" s="13">
        <v>17068.259765999999</v>
      </c>
      <c r="I367" s="2">
        <f t="shared" si="17"/>
        <v>0.28538355568200408</v>
      </c>
    </row>
    <row r="368" spans="1:9" x14ac:dyDescent="0.25">
      <c r="A368" s="9">
        <v>41827</v>
      </c>
      <c r="B368" s="13">
        <v>1967.5699460000001</v>
      </c>
      <c r="C368" s="2">
        <f t="shared" si="16"/>
        <v>0.3804166535632964</v>
      </c>
      <c r="D368" s="4">
        <v>41827</v>
      </c>
      <c r="E368" s="13">
        <v>4415.4902339999999</v>
      </c>
      <c r="F368" s="2">
        <f t="shared" si="15"/>
        <v>0.76491783056246898</v>
      </c>
      <c r="G368" s="4">
        <v>41827</v>
      </c>
      <c r="H368" s="13">
        <v>16943.810547000001</v>
      </c>
      <c r="I368" s="2">
        <f t="shared" si="17"/>
        <v>0.29724595947246119</v>
      </c>
    </row>
    <row r="369" spans="1:9" x14ac:dyDescent="0.25">
      <c r="A369" s="9">
        <v>41834</v>
      </c>
      <c r="B369" s="13">
        <v>1978.219971</v>
      </c>
      <c r="C369" s="2">
        <f t="shared" si="16"/>
        <v>0.38050038696947602</v>
      </c>
      <c r="D369" s="4">
        <v>41834</v>
      </c>
      <c r="E369" s="13">
        <v>4432.1499020000001</v>
      </c>
      <c r="F369" s="2">
        <f t="shared" si="15"/>
        <v>0.77185069547038343</v>
      </c>
      <c r="G369" s="4">
        <v>41834</v>
      </c>
      <c r="H369" s="13">
        <v>17100.179688</v>
      </c>
      <c r="I369" s="2">
        <f t="shared" si="17"/>
        <v>0.28665497725912431</v>
      </c>
    </row>
    <row r="370" spans="1:9" x14ac:dyDescent="0.25">
      <c r="A370" s="9">
        <v>41841</v>
      </c>
      <c r="B370" s="13">
        <v>1978.339966</v>
      </c>
      <c r="C370" s="2">
        <f t="shared" si="16"/>
        <v>0.34338404863742011</v>
      </c>
      <c r="D370" s="4">
        <v>41841</v>
      </c>
      <c r="E370" s="13">
        <v>4449.5600590000004</v>
      </c>
      <c r="F370" s="2">
        <f t="shared" si="15"/>
        <v>0.73325640099552025</v>
      </c>
      <c r="G370" s="4">
        <v>41841</v>
      </c>
      <c r="H370" s="13">
        <v>16960.570312</v>
      </c>
      <c r="I370" s="2">
        <f t="shared" si="17"/>
        <v>0.25121237709943917</v>
      </c>
    </row>
    <row r="371" spans="1:9" x14ac:dyDescent="0.25">
      <c r="A371" s="9">
        <v>41848</v>
      </c>
      <c r="B371" s="13">
        <v>1925.150024</v>
      </c>
      <c r="C371" s="2">
        <f t="shared" si="16"/>
        <v>0.34787788820789411</v>
      </c>
      <c r="D371" s="4">
        <v>41848</v>
      </c>
      <c r="E371" s="13">
        <v>4352.6401370000003</v>
      </c>
      <c r="F371" s="2">
        <f t="shared" si="15"/>
        <v>0.74052758666002994</v>
      </c>
      <c r="G371" s="4">
        <v>41848</v>
      </c>
      <c r="H371" s="13">
        <v>16493.369140999999</v>
      </c>
      <c r="I371" s="2">
        <f t="shared" si="17"/>
        <v>0.25580659343707945</v>
      </c>
    </row>
    <row r="372" spans="1:9" x14ac:dyDescent="0.25">
      <c r="A372" s="9">
        <v>41855</v>
      </c>
      <c r="B372" s="13">
        <v>1931.589966</v>
      </c>
      <c r="C372" s="2">
        <f t="shared" si="16"/>
        <v>0.36425549419349218</v>
      </c>
      <c r="D372" s="4">
        <v>41855</v>
      </c>
      <c r="E372" s="13">
        <v>4370.8999020000001</v>
      </c>
      <c r="F372" s="2">
        <f t="shared" si="15"/>
        <v>0.77797119999999997</v>
      </c>
      <c r="G372" s="4">
        <v>41855</v>
      </c>
      <c r="H372" s="13">
        <v>16553.929688</v>
      </c>
      <c r="I372" s="2">
        <f t="shared" si="17"/>
        <v>0.26407401953165016</v>
      </c>
    </row>
    <row r="373" spans="1:9" x14ac:dyDescent="0.25">
      <c r="A373" s="9">
        <v>41862</v>
      </c>
      <c r="B373" s="13">
        <v>1955.0600589999999</v>
      </c>
      <c r="C373" s="2">
        <f t="shared" si="16"/>
        <v>0.38752037049132504</v>
      </c>
      <c r="D373" s="4">
        <v>41862</v>
      </c>
      <c r="E373" s="13">
        <v>4464.9301759999998</v>
      </c>
      <c r="F373" s="2">
        <f t="shared" si="15"/>
        <v>0.80728712991538065</v>
      </c>
      <c r="G373" s="4">
        <v>41862</v>
      </c>
      <c r="H373" s="13">
        <v>16662.910156000002</v>
      </c>
      <c r="I373" s="2">
        <f t="shared" si="17"/>
        <v>0.28973877850787555</v>
      </c>
    </row>
    <row r="374" spans="1:9" x14ac:dyDescent="0.25">
      <c r="A374" s="9">
        <v>41869</v>
      </c>
      <c r="B374" s="13">
        <v>1988.400024</v>
      </c>
      <c r="C374" s="2">
        <f t="shared" si="16"/>
        <v>0.39796652793321635</v>
      </c>
      <c r="D374" s="4">
        <v>41869</v>
      </c>
      <c r="E374" s="13">
        <v>4538.5498049999997</v>
      </c>
      <c r="F374" s="2">
        <f t="shared" si="15"/>
        <v>0.82390045594823291</v>
      </c>
      <c r="G374" s="4">
        <v>41869</v>
      </c>
      <c r="H374" s="13">
        <v>17001.220702999999</v>
      </c>
      <c r="I374" s="2">
        <f t="shared" si="17"/>
        <v>0.29711468342979946</v>
      </c>
    </row>
    <row r="375" spans="1:9" x14ac:dyDescent="0.25">
      <c r="A375" s="9">
        <v>41876</v>
      </c>
      <c r="B375" s="13">
        <v>2003.369995</v>
      </c>
      <c r="C375" s="2">
        <f t="shared" si="16"/>
        <v>0.40099498858477373</v>
      </c>
      <c r="D375" s="4">
        <v>41876</v>
      </c>
      <c r="E375" s="13">
        <v>4580.2700199999999</v>
      </c>
      <c r="F375" s="2">
        <f t="shared" si="15"/>
        <v>0.82494769616724739</v>
      </c>
      <c r="G375" s="4">
        <v>41876</v>
      </c>
      <c r="H375" s="13">
        <v>17098.449218999998</v>
      </c>
      <c r="I375" s="2">
        <f t="shared" si="17"/>
        <v>0.30006646777209306</v>
      </c>
    </row>
    <row r="376" spans="1:9" x14ac:dyDescent="0.25">
      <c r="A376" s="9">
        <v>41884</v>
      </c>
      <c r="B376" s="13">
        <v>2007.709961</v>
      </c>
      <c r="C376" s="2">
        <f t="shared" si="16"/>
        <v>0.38552465162243427</v>
      </c>
      <c r="D376" s="4">
        <v>41883</v>
      </c>
      <c r="E376" s="13">
        <v>4582.8999020000001</v>
      </c>
      <c r="F376" s="2">
        <f t="shared" si="15"/>
        <v>0.8188551908412145</v>
      </c>
      <c r="G376" s="4">
        <v>41884</v>
      </c>
      <c r="H376" s="13">
        <v>17137.359375</v>
      </c>
      <c r="I376" s="2">
        <f t="shared" si="17"/>
        <v>0.28869864571697201</v>
      </c>
    </row>
    <row r="377" spans="1:9" x14ac:dyDescent="0.25">
      <c r="A377" s="9">
        <v>41890</v>
      </c>
      <c r="B377" s="13">
        <v>1985.540039</v>
      </c>
      <c r="C377" s="2">
        <f t="shared" si="16"/>
        <v>0.40287213461442245</v>
      </c>
      <c r="D377" s="4">
        <v>41890</v>
      </c>
      <c r="E377" s="13">
        <v>4567.6000979999999</v>
      </c>
      <c r="F377" s="2">
        <f t="shared" si="15"/>
        <v>0.82370932364360394</v>
      </c>
      <c r="G377" s="4">
        <v>41890</v>
      </c>
      <c r="H377" s="13">
        <v>16987.509765999999</v>
      </c>
      <c r="I377" s="2">
        <f t="shared" si="17"/>
        <v>0.3108676989529317</v>
      </c>
    </row>
    <row r="378" spans="1:9" x14ac:dyDescent="0.25">
      <c r="A378" s="9">
        <v>41897</v>
      </c>
      <c r="B378" s="13">
        <v>2010.400024</v>
      </c>
      <c r="C378" s="2">
        <f t="shared" si="16"/>
        <v>0.38364750559278554</v>
      </c>
      <c r="D378" s="4">
        <v>41897</v>
      </c>
      <c r="E378" s="13">
        <v>4579.7900390000004</v>
      </c>
      <c r="F378" s="2">
        <f t="shared" si="15"/>
        <v>0.79679041951219498</v>
      </c>
      <c r="G378" s="4">
        <v>41897</v>
      </c>
      <c r="H378" s="13">
        <v>17279.740234000001</v>
      </c>
      <c r="I378" s="2">
        <f t="shared" si="17"/>
        <v>0.29822993697242123</v>
      </c>
    </row>
    <row r="379" spans="1:9" x14ac:dyDescent="0.25">
      <c r="A379" s="9">
        <v>41904</v>
      </c>
      <c r="B379" s="13">
        <v>1982.849976</v>
      </c>
      <c r="C379" s="2">
        <f t="shared" si="16"/>
        <v>0.3732153175584389</v>
      </c>
      <c r="D379" s="4">
        <v>41904</v>
      </c>
      <c r="E379" s="13">
        <v>4512.1899409999996</v>
      </c>
      <c r="F379" s="2">
        <f t="shared" si="15"/>
        <v>0.78222802070681952</v>
      </c>
      <c r="G379" s="4">
        <v>41904</v>
      </c>
      <c r="H379" s="13">
        <v>17113.150390999999</v>
      </c>
      <c r="I379" s="2">
        <f t="shared" si="17"/>
        <v>0.29038123092181078</v>
      </c>
    </row>
    <row r="380" spans="1:9" x14ac:dyDescent="0.25">
      <c r="A380" s="9">
        <v>41911</v>
      </c>
      <c r="B380" s="13">
        <v>1967.900024</v>
      </c>
      <c r="C380" s="2">
        <f t="shared" si="16"/>
        <v>0.33011173748720052</v>
      </c>
      <c r="D380" s="4">
        <v>41911</v>
      </c>
      <c r="E380" s="13">
        <v>4475.6201170000004</v>
      </c>
      <c r="F380" s="2">
        <f t="shared" si="15"/>
        <v>0.70283334355400695</v>
      </c>
      <c r="G380" s="4">
        <v>41911</v>
      </c>
      <c r="H380" s="13">
        <v>17009.689452999999</v>
      </c>
      <c r="I380" s="2">
        <f t="shared" si="17"/>
        <v>0.2550608685092301</v>
      </c>
    </row>
    <row r="381" spans="1:9" x14ac:dyDescent="0.25">
      <c r="A381" s="9">
        <v>41918</v>
      </c>
      <c r="B381" s="13">
        <v>1906.130005</v>
      </c>
      <c r="C381" s="2">
        <f t="shared" si="16"/>
        <v>0.31659521047331074</v>
      </c>
      <c r="D381" s="4">
        <v>41918</v>
      </c>
      <c r="E381" s="13">
        <v>4276.2402339999999</v>
      </c>
      <c r="F381" s="2">
        <f t="shared" si="15"/>
        <v>0.69574512334494754</v>
      </c>
      <c r="G381" s="4">
        <v>41918</v>
      </c>
      <c r="H381" s="13">
        <v>16544.099609000001</v>
      </c>
      <c r="I381" s="2">
        <f t="shared" si="17"/>
        <v>0.24264313457971348</v>
      </c>
    </row>
    <row r="382" spans="1:9" x14ac:dyDescent="0.25">
      <c r="A382" s="9">
        <v>41925</v>
      </c>
      <c r="B382" s="13">
        <v>1886.76001</v>
      </c>
      <c r="C382" s="2">
        <f t="shared" si="16"/>
        <v>0.37089854933986416</v>
      </c>
      <c r="D382" s="4">
        <v>41925</v>
      </c>
      <c r="E382" s="13">
        <v>4258.4399409999996</v>
      </c>
      <c r="F382" s="2">
        <f t="shared" si="15"/>
        <v>0.78545354504728737</v>
      </c>
      <c r="G382" s="4">
        <v>41925</v>
      </c>
      <c r="H382" s="13">
        <v>16380.410156</v>
      </c>
      <c r="I382" s="2">
        <f t="shared" si="17"/>
        <v>0.27488428893218453</v>
      </c>
    </row>
    <row r="383" spans="1:9" x14ac:dyDescent="0.25">
      <c r="A383" s="9">
        <v>41932</v>
      </c>
      <c r="B383" s="13">
        <v>1964.579956</v>
      </c>
      <c r="C383" s="2">
        <f t="shared" si="16"/>
        <v>0.40821037912968594</v>
      </c>
      <c r="D383" s="4">
        <v>41932</v>
      </c>
      <c r="E383" s="13">
        <v>4483.7202150000003</v>
      </c>
      <c r="F383" s="2">
        <f t="shared" si="15"/>
        <v>0.8439981021403683</v>
      </c>
      <c r="G383" s="4">
        <v>41932</v>
      </c>
      <c r="H383" s="13">
        <v>16805.410156000002</v>
      </c>
      <c r="I383" s="2">
        <f t="shared" si="17"/>
        <v>0.31927158698501462</v>
      </c>
    </row>
    <row r="384" spans="1:9" x14ac:dyDescent="0.25">
      <c r="A384" s="9">
        <v>41939</v>
      </c>
      <c r="B384" s="13">
        <v>2018.0500489999999</v>
      </c>
      <c r="C384" s="2">
        <f t="shared" si="16"/>
        <v>0.41788896511280138</v>
      </c>
      <c r="D384" s="4">
        <v>41939</v>
      </c>
      <c r="E384" s="13">
        <v>4630.7402339999999</v>
      </c>
      <c r="F384" s="2">
        <f t="shared" si="15"/>
        <v>0.84471071577899437</v>
      </c>
      <c r="G384" s="4">
        <v>41939</v>
      </c>
      <c r="H384" s="13">
        <v>17390.519531000002</v>
      </c>
      <c r="I384" s="2">
        <f t="shared" si="17"/>
        <v>0.33318536388300962</v>
      </c>
    </row>
    <row r="385" spans="1:9" x14ac:dyDescent="0.25">
      <c r="A385" s="9">
        <v>41946</v>
      </c>
      <c r="B385" s="13">
        <v>2031.920044</v>
      </c>
      <c r="C385" s="2">
        <f t="shared" si="16"/>
        <v>0.42340157566278258</v>
      </c>
      <c r="D385" s="4">
        <v>41946</v>
      </c>
      <c r="E385" s="13">
        <v>4632.5297849999997</v>
      </c>
      <c r="F385" s="2">
        <f t="shared" si="15"/>
        <v>0.86701445057242421</v>
      </c>
      <c r="G385" s="4">
        <v>41946</v>
      </c>
      <c r="H385" s="13">
        <v>17573.929688</v>
      </c>
      <c r="I385" s="2">
        <f t="shared" si="17"/>
        <v>0.33779854552970151</v>
      </c>
    </row>
    <row r="386" spans="1:9" x14ac:dyDescent="0.25">
      <c r="A386" s="9">
        <v>41953</v>
      </c>
      <c r="B386" s="13">
        <v>2039.8199460000001</v>
      </c>
      <c r="C386" s="2">
        <f t="shared" si="16"/>
        <v>0.43992569400051929</v>
      </c>
      <c r="D386" s="4">
        <v>41953</v>
      </c>
      <c r="E386" s="13">
        <v>4688.5400390000004</v>
      </c>
      <c r="F386" s="2">
        <f t="shared" si="15"/>
        <v>0.87674274365355909</v>
      </c>
      <c r="G386" s="4">
        <v>41953</v>
      </c>
      <c r="H386" s="13">
        <v>17634.740234000001</v>
      </c>
      <c r="I386" s="2">
        <f t="shared" si="17"/>
        <v>0.35109861440630508</v>
      </c>
    </row>
    <row r="387" spans="1:9" x14ac:dyDescent="0.25">
      <c r="A387" s="9">
        <v>41960</v>
      </c>
      <c r="B387" s="13">
        <v>2063.5</v>
      </c>
      <c r="C387" s="2">
        <f t="shared" si="16"/>
        <v>0.44275883345933098</v>
      </c>
      <c r="D387" s="4">
        <v>41960</v>
      </c>
      <c r="E387" s="13">
        <v>4712.9702150000003</v>
      </c>
      <c r="F387" s="2">
        <f t="shared" si="15"/>
        <v>0.90806565774016912</v>
      </c>
      <c r="G387" s="4">
        <v>41960</v>
      </c>
      <c r="H387" s="13">
        <v>17810.060547000001</v>
      </c>
      <c r="I387" s="2">
        <f t="shared" si="17"/>
        <v>0.35247775345253241</v>
      </c>
    </row>
    <row r="388" spans="1:9" x14ac:dyDescent="0.25">
      <c r="A388" s="9">
        <v>41967</v>
      </c>
      <c r="B388" s="13">
        <v>2067.5600589999999</v>
      </c>
      <c r="C388" s="2">
        <f t="shared" si="16"/>
        <v>0.44820875019586326</v>
      </c>
      <c r="D388" s="4">
        <v>41967</v>
      </c>
      <c r="E388" s="13">
        <v>4791.6298829999996</v>
      </c>
      <c r="F388" s="2">
        <f t="shared" si="15"/>
        <v>0.90373708949726239</v>
      </c>
      <c r="G388" s="4">
        <v>41967</v>
      </c>
      <c r="H388" s="13">
        <v>17828.240234000001</v>
      </c>
      <c r="I388" s="2">
        <f t="shared" si="17"/>
        <v>0.36238138854449037</v>
      </c>
    </row>
    <row r="389" spans="1:9" x14ac:dyDescent="0.25">
      <c r="A389" s="9">
        <v>41974</v>
      </c>
      <c r="B389" s="13">
        <v>2075.3701169999999</v>
      </c>
      <c r="C389" s="2">
        <f t="shared" si="16"/>
        <v>0.39724078096017895</v>
      </c>
      <c r="D389" s="4">
        <v>41974</v>
      </c>
      <c r="E389" s="13">
        <v>4780.7597660000001</v>
      </c>
      <c r="F389" s="2">
        <f t="shared" si="15"/>
        <v>0.85310108432055742</v>
      </c>
      <c r="G389" s="4">
        <v>41974</v>
      </c>
      <c r="H389" s="13">
        <v>17958.789062</v>
      </c>
      <c r="I389" s="2">
        <f t="shared" si="17"/>
        <v>0.31095037619675303</v>
      </c>
    </row>
    <row r="390" spans="1:9" x14ac:dyDescent="0.25">
      <c r="A390" s="9">
        <v>41981</v>
      </c>
      <c r="B390" s="13">
        <v>2002.329956</v>
      </c>
      <c r="C390" s="2">
        <f t="shared" si="16"/>
        <v>0.44491494895539491</v>
      </c>
      <c r="D390" s="4">
        <v>41981</v>
      </c>
      <c r="E390" s="13">
        <v>4653.6000979999999</v>
      </c>
      <c r="F390" s="2">
        <f t="shared" ref="F390:F453" si="18">(E391-$E$6)/$E$6</f>
        <v>0.89761269606769523</v>
      </c>
      <c r="G390" s="4">
        <v>41981</v>
      </c>
      <c r="H390" s="13">
        <v>17280.830077999999</v>
      </c>
      <c r="I390" s="2">
        <f t="shared" si="17"/>
        <v>0.35069960045933135</v>
      </c>
    </row>
    <row r="391" spans="1:9" x14ac:dyDescent="0.25">
      <c r="A391" s="9">
        <v>41988</v>
      </c>
      <c r="B391" s="13">
        <v>2070.6499020000001</v>
      </c>
      <c r="C391" s="2">
        <f t="shared" ref="C391:C454" si="19">(B392-$B$6)/$B$6</f>
        <v>0.45755930247442622</v>
      </c>
      <c r="D391" s="4">
        <v>41988</v>
      </c>
      <c r="E391" s="13">
        <v>4765.3798829999996</v>
      </c>
      <c r="F391" s="2">
        <f t="shared" si="18"/>
        <v>0.91413035858636127</v>
      </c>
      <c r="G391" s="4">
        <v>41988</v>
      </c>
      <c r="H391" s="13">
        <v>17804.800781000002</v>
      </c>
      <c r="I391" s="2">
        <f t="shared" ref="I391:I454" si="20">(H392-$H$6)/$H$6</f>
        <v>0.36958230820458948</v>
      </c>
    </row>
    <row r="392" spans="1:9" x14ac:dyDescent="0.25">
      <c r="A392" s="9">
        <v>41995</v>
      </c>
      <c r="B392" s="13">
        <v>2088.7700199999999</v>
      </c>
      <c r="C392" s="2">
        <f t="shared" si="19"/>
        <v>0.4362272802692076</v>
      </c>
      <c r="D392" s="4">
        <v>41995</v>
      </c>
      <c r="E392" s="13">
        <v>4806.8598629999997</v>
      </c>
      <c r="F392" s="2">
        <f t="shared" si="18"/>
        <v>0.88225388113489311</v>
      </c>
      <c r="G392" s="4">
        <v>41995</v>
      </c>
      <c r="H392" s="13">
        <v>18053.710938</v>
      </c>
      <c r="I392" s="2">
        <f t="shared" si="20"/>
        <v>0.35283809576588354</v>
      </c>
    </row>
    <row r="393" spans="1:9" x14ac:dyDescent="0.25">
      <c r="A393" s="9">
        <v>42002</v>
      </c>
      <c r="B393" s="13">
        <v>2058.1999510000001</v>
      </c>
      <c r="C393" s="2">
        <f t="shared" si="19"/>
        <v>0.42688371374112805</v>
      </c>
      <c r="D393" s="4">
        <v>42002</v>
      </c>
      <c r="E393" s="13">
        <v>4726.8100590000004</v>
      </c>
      <c r="F393" s="2">
        <f t="shared" si="18"/>
        <v>0.87319853618715781</v>
      </c>
      <c r="G393" s="4">
        <v>42002</v>
      </c>
      <c r="H393" s="13">
        <v>17832.990234000001</v>
      </c>
      <c r="I393" s="2">
        <f t="shared" si="20"/>
        <v>0.34558413242761288</v>
      </c>
    </row>
    <row r="394" spans="1:9" x14ac:dyDescent="0.25">
      <c r="A394" s="9">
        <v>42009</v>
      </c>
      <c r="B394" s="13">
        <v>2044.8100589999999</v>
      </c>
      <c r="C394" s="2">
        <f t="shared" si="19"/>
        <v>0.40916637186104149</v>
      </c>
      <c r="D394" s="4">
        <v>42009</v>
      </c>
      <c r="E394" s="13">
        <v>4704.0698240000002</v>
      </c>
      <c r="F394" s="2">
        <f t="shared" si="18"/>
        <v>0.84544743972125425</v>
      </c>
      <c r="G394" s="4">
        <v>42009</v>
      </c>
      <c r="H394" s="13">
        <v>17737.369140999999</v>
      </c>
      <c r="I394" s="2">
        <f t="shared" si="20"/>
        <v>0.32845468560785723</v>
      </c>
    </row>
    <row r="395" spans="1:9" x14ac:dyDescent="0.25">
      <c r="A395" s="9">
        <v>42016</v>
      </c>
      <c r="B395" s="13">
        <v>2019.420044</v>
      </c>
      <c r="C395" s="2">
        <f t="shared" si="19"/>
        <v>0.43177535031698216</v>
      </c>
      <c r="D395" s="4">
        <v>42016</v>
      </c>
      <c r="E395" s="13">
        <v>4634.3798829999996</v>
      </c>
      <c r="F395" s="2">
        <f t="shared" si="18"/>
        <v>0.89462613558984549</v>
      </c>
      <c r="G395" s="4">
        <v>42016</v>
      </c>
      <c r="H395" s="13">
        <v>17511.570312</v>
      </c>
      <c r="I395" s="2">
        <f t="shared" si="20"/>
        <v>0.34067061600749698</v>
      </c>
    </row>
    <row r="396" spans="1:9" x14ac:dyDescent="0.25">
      <c r="A396" s="9">
        <v>42024</v>
      </c>
      <c r="B396" s="13">
        <v>2051.820068</v>
      </c>
      <c r="C396" s="2">
        <f t="shared" si="19"/>
        <v>0.39211889792819921</v>
      </c>
      <c r="D396" s="4">
        <v>42023</v>
      </c>
      <c r="E396" s="13">
        <v>4757.8798829999996</v>
      </c>
      <c r="F396" s="2">
        <f t="shared" si="18"/>
        <v>0.84579003842707812</v>
      </c>
      <c r="G396" s="4">
        <v>42024</v>
      </c>
      <c r="H396" s="13">
        <v>17672.599609000001</v>
      </c>
      <c r="I396" s="2">
        <f t="shared" si="20"/>
        <v>0.30215947581671548</v>
      </c>
    </row>
    <row r="397" spans="1:9" x14ac:dyDescent="0.25">
      <c r="A397" s="9">
        <v>42030</v>
      </c>
      <c r="B397" s="13">
        <v>1994.98999</v>
      </c>
      <c r="C397" s="2">
        <f t="shared" si="19"/>
        <v>0.43432227985917238</v>
      </c>
      <c r="D397" s="4">
        <v>42030</v>
      </c>
      <c r="E397" s="13">
        <v>4635.2402339999999</v>
      </c>
      <c r="F397" s="2">
        <f t="shared" si="18"/>
        <v>0.88925829845694382</v>
      </c>
      <c r="G397" s="4">
        <v>42030</v>
      </c>
      <c r="H397" s="13">
        <v>17164.949218999998</v>
      </c>
      <c r="I397" s="2">
        <f t="shared" si="20"/>
        <v>0.352178011461179</v>
      </c>
    </row>
    <row r="398" spans="1:9" x14ac:dyDescent="0.25">
      <c r="A398" s="9">
        <v>42037</v>
      </c>
      <c r="B398" s="13">
        <v>2055.469971</v>
      </c>
      <c r="C398" s="2">
        <f t="shared" si="19"/>
        <v>0.46329525886255979</v>
      </c>
      <c r="D398" s="4">
        <v>42037</v>
      </c>
      <c r="E398" s="13">
        <v>4744.3999020000001</v>
      </c>
      <c r="F398" s="2">
        <f t="shared" si="18"/>
        <v>0.94876648840219013</v>
      </c>
      <c r="G398" s="4">
        <v>42037</v>
      </c>
      <c r="H398" s="13">
        <v>17824.289062</v>
      </c>
      <c r="I398" s="2">
        <f t="shared" si="20"/>
        <v>0.3669756048821306</v>
      </c>
    </row>
    <row r="399" spans="1:9" x14ac:dyDescent="0.25">
      <c r="A399" s="9">
        <v>42044</v>
      </c>
      <c r="B399" s="13">
        <v>2096.98999</v>
      </c>
      <c r="C399" s="2">
        <f t="shared" si="19"/>
        <v>0.47258311732767377</v>
      </c>
      <c r="D399" s="4">
        <v>42044</v>
      </c>
      <c r="E399" s="13">
        <v>4893.8398440000001</v>
      </c>
      <c r="F399" s="2">
        <f t="shared" si="18"/>
        <v>0.97350730313588862</v>
      </c>
      <c r="G399" s="4">
        <v>42044</v>
      </c>
      <c r="H399" s="13">
        <v>18019.349609000001</v>
      </c>
      <c r="I399" s="2">
        <f t="shared" si="20"/>
        <v>0.3761616668842967</v>
      </c>
    </row>
    <row r="400" spans="1:9" x14ac:dyDescent="0.25">
      <c r="A400" s="9">
        <v>42052</v>
      </c>
      <c r="B400" s="13">
        <v>2110.3000489999999</v>
      </c>
      <c r="C400" s="2">
        <f t="shared" si="19"/>
        <v>0.46853579986629168</v>
      </c>
      <c r="D400" s="4">
        <v>42051</v>
      </c>
      <c r="E400" s="13">
        <v>4955.9702150000003</v>
      </c>
      <c r="F400" s="2">
        <f t="shared" si="18"/>
        <v>0.97651758486809348</v>
      </c>
      <c r="G400" s="4">
        <v>42052</v>
      </c>
      <c r="H400" s="13">
        <v>18140.439452999999</v>
      </c>
      <c r="I400" s="2">
        <f t="shared" si="20"/>
        <v>0.3755744808157831</v>
      </c>
    </row>
    <row r="401" spans="1:9" x14ac:dyDescent="0.25">
      <c r="A401" s="9">
        <v>42058</v>
      </c>
      <c r="B401" s="13">
        <v>2104.5</v>
      </c>
      <c r="C401" s="2">
        <f t="shared" si="19"/>
        <v>0.44534068686928641</v>
      </c>
      <c r="D401" s="4">
        <v>42058</v>
      </c>
      <c r="E401" s="13">
        <v>4963.5297849999997</v>
      </c>
      <c r="F401" s="2">
        <f t="shared" si="18"/>
        <v>0.96211851348929833</v>
      </c>
      <c r="G401" s="4">
        <v>42058</v>
      </c>
      <c r="H401" s="13">
        <v>18132.699218999998</v>
      </c>
      <c r="I401" s="2">
        <f t="shared" si="20"/>
        <v>0.35464277071196276</v>
      </c>
    </row>
    <row r="402" spans="1:9" x14ac:dyDescent="0.25">
      <c r="A402" s="9">
        <v>42065</v>
      </c>
      <c r="B402" s="13">
        <v>2071.26001</v>
      </c>
      <c r="C402" s="2">
        <f t="shared" si="19"/>
        <v>0.43287777026796631</v>
      </c>
      <c r="D402" s="4">
        <v>42065</v>
      </c>
      <c r="E402" s="13">
        <v>4927.3701170000004</v>
      </c>
      <c r="F402" s="2">
        <f t="shared" si="18"/>
        <v>0.93997402329517177</v>
      </c>
      <c r="G402" s="4">
        <v>42065</v>
      </c>
      <c r="H402" s="13">
        <v>17856.779297000001</v>
      </c>
      <c r="I402" s="2">
        <f t="shared" si="20"/>
        <v>0.34649002587239308</v>
      </c>
    </row>
    <row r="403" spans="1:9" x14ac:dyDescent="0.25">
      <c r="A403" s="9">
        <v>42072</v>
      </c>
      <c r="B403" s="13">
        <v>2053.3999020000001</v>
      </c>
      <c r="C403" s="2">
        <f t="shared" si="19"/>
        <v>0.47104797510792951</v>
      </c>
      <c r="D403" s="4">
        <v>42072</v>
      </c>
      <c r="E403" s="13">
        <v>4871.7597660000001</v>
      </c>
      <c r="F403" s="2">
        <f t="shared" si="18"/>
        <v>1.001560944549527</v>
      </c>
      <c r="G403" s="4">
        <v>42072</v>
      </c>
      <c r="H403" s="13">
        <v>17749.310547000001</v>
      </c>
      <c r="I403" s="2">
        <f t="shared" si="20"/>
        <v>0.37519146895026062</v>
      </c>
    </row>
    <row r="404" spans="1:9" x14ac:dyDescent="0.25">
      <c r="A404" s="9">
        <v>42079</v>
      </c>
      <c r="B404" s="13">
        <v>2108.1000979999999</v>
      </c>
      <c r="C404" s="2">
        <f t="shared" si="19"/>
        <v>0.4381951454555193</v>
      </c>
      <c r="D404" s="4">
        <v>42079</v>
      </c>
      <c r="E404" s="13">
        <v>5026.419922</v>
      </c>
      <c r="F404" s="2">
        <f t="shared" si="18"/>
        <v>0.94772333101045303</v>
      </c>
      <c r="G404" s="4">
        <v>42079</v>
      </c>
      <c r="H404" s="13">
        <v>18127.650390999999</v>
      </c>
      <c r="I404" s="2">
        <f t="shared" si="20"/>
        <v>0.34370967078225334</v>
      </c>
    </row>
    <row r="405" spans="1:9" x14ac:dyDescent="0.25">
      <c r="A405" s="9">
        <v>42086</v>
      </c>
      <c r="B405" s="13">
        <v>2061.0200199999999</v>
      </c>
      <c r="C405" s="2">
        <f t="shared" si="19"/>
        <v>0.44234008059811547</v>
      </c>
      <c r="D405" s="4">
        <v>42086</v>
      </c>
      <c r="E405" s="13">
        <v>4891.2202150000003</v>
      </c>
      <c r="F405" s="2">
        <f t="shared" si="18"/>
        <v>0.9460188913887505</v>
      </c>
      <c r="G405" s="4">
        <v>42086</v>
      </c>
      <c r="H405" s="13">
        <v>17712.660156000002</v>
      </c>
      <c r="I405" s="2">
        <f t="shared" si="20"/>
        <v>0.34754675337509566</v>
      </c>
    </row>
    <row r="406" spans="1:9" x14ac:dyDescent="0.25">
      <c r="A406" s="9">
        <v>42093</v>
      </c>
      <c r="B406" s="13">
        <v>2066.959961</v>
      </c>
      <c r="C406" s="2">
        <f t="shared" si="19"/>
        <v>0.46683319083418823</v>
      </c>
      <c r="D406" s="4">
        <v>42093</v>
      </c>
      <c r="E406" s="13">
        <v>4886.9399409999996</v>
      </c>
      <c r="F406" s="2">
        <f t="shared" si="18"/>
        <v>0.98943951418616227</v>
      </c>
      <c r="G406" s="4">
        <v>42093</v>
      </c>
      <c r="H406" s="13">
        <v>17763.240234000001</v>
      </c>
      <c r="I406" s="2">
        <f t="shared" si="20"/>
        <v>0.36988116117455955</v>
      </c>
    </row>
    <row r="407" spans="1:9" x14ac:dyDescent="0.25">
      <c r="A407" s="9">
        <v>42100</v>
      </c>
      <c r="B407" s="13">
        <v>2102.0600589999999</v>
      </c>
      <c r="C407" s="2">
        <f t="shared" si="19"/>
        <v>0.45226288244490115</v>
      </c>
      <c r="D407" s="4">
        <v>42100</v>
      </c>
      <c r="E407" s="13">
        <v>4995.9799800000001</v>
      </c>
      <c r="F407" s="2">
        <f t="shared" si="18"/>
        <v>0.96388653419611758</v>
      </c>
      <c r="G407" s="4">
        <v>42100</v>
      </c>
      <c r="H407" s="13">
        <v>18057.650390999999</v>
      </c>
      <c r="I407" s="2">
        <f t="shared" si="20"/>
        <v>0.35233062356186806</v>
      </c>
    </row>
    <row r="408" spans="1:9" x14ac:dyDescent="0.25">
      <c r="A408" s="9">
        <v>42107</v>
      </c>
      <c r="B408" s="13">
        <v>2081.179932</v>
      </c>
      <c r="C408" s="2">
        <f t="shared" si="19"/>
        <v>0.47773983909490858</v>
      </c>
      <c r="D408" s="4">
        <v>42107</v>
      </c>
      <c r="E408" s="13">
        <v>4931.8100590000004</v>
      </c>
      <c r="F408" s="2">
        <f t="shared" si="18"/>
        <v>1.0277073481333996</v>
      </c>
      <c r="G408" s="4">
        <v>42107</v>
      </c>
      <c r="H408" s="13">
        <v>17826.300781000002</v>
      </c>
      <c r="I408" s="2">
        <f t="shared" si="20"/>
        <v>0.371587304952953</v>
      </c>
    </row>
    <row r="409" spans="1:9" x14ac:dyDescent="0.25">
      <c r="A409" s="9">
        <v>42114</v>
      </c>
      <c r="B409" s="13">
        <v>2117.6899410000001</v>
      </c>
      <c r="C409" s="2">
        <f t="shared" si="19"/>
        <v>0.47118051735471617</v>
      </c>
      <c r="D409" s="4">
        <v>42114</v>
      </c>
      <c r="E409" s="13">
        <v>5092.080078</v>
      </c>
      <c r="F409" s="2">
        <f t="shared" si="18"/>
        <v>0.99318671458437047</v>
      </c>
      <c r="G409" s="4">
        <v>42114</v>
      </c>
      <c r="H409" s="13">
        <v>18080.140625</v>
      </c>
      <c r="I409" s="2">
        <f t="shared" si="20"/>
        <v>0.36733298389201985</v>
      </c>
    </row>
    <row r="410" spans="1:9" x14ac:dyDescent="0.25">
      <c r="A410" s="9">
        <v>42121</v>
      </c>
      <c r="B410" s="13">
        <v>2108.290039</v>
      </c>
      <c r="C410" s="2">
        <f t="shared" si="19"/>
        <v>0.47663043478905587</v>
      </c>
      <c r="D410" s="4">
        <v>42121</v>
      </c>
      <c r="E410" s="13">
        <v>5005.3901370000003</v>
      </c>
      <c r="F410" s="2">
        <f t="shared" si="18"/>
        <v>0.99245387954206055</v>
      </c>
      <c r="G410" s="4">
        <v>42121</v>
      </c>
      <c r="H410" s="13">
        <v>18024.060547000001</v>
      </c>
      <c r="I410" s="2">
        <f t="shared" si="20"/>
        <v>0.38000556518130774</v>
      </c>
    </row>
    <row r="411" spans="1:9" x14ac:dyDescent="0.25">
      <c r="A411" s="9">
        <v>42128</v>
      </c>
      <c r="B411" s="13">
        <v>2116.1000979999999</v>
      </c>
      <c r="C411" s="2">
        <f t="shared" si="19"/>
        <v>0.48125681590850911</v>
      </c>
      <c r="D411" s="4">
        <v>42128</v>
      </c>
      <c r="E411" s="13">
        <v>5003.5498049999997</v>
      </c>
      <c r="F411" s="2">
        <f t="shared" si="18"/>
        <v>1.0102698014932805</v>
      </c>
      <c r="G411" s="4">
        <v>42128</v>
      </c>
      <c r="H411" s="13">
        <v>18191.109375</v>
      </c>
      <c r="I411" s="2">
        <f t="shared" si="20"/>
        <v>0.38618457649575877</v>
      </c>
    </row>
    <row r="412" spans="1:9" x14ac:dyDescent="0.25">
      <c r="A412" s="9">
        <v>42135</v>
      </c>
      <c r="B412" s="13">
        <v>2122.7299800000001</v>
      </c>
      <c r="C412" s="2">
        <f t="shared" si="19"/>
        <v>0.4835805698775672</v>
      </c>
      <c r="D412" s="4">
        <v>42135</v>
      </c>
      <c r="E412" s="13">
        <v>5048.2900390000004</v>
      </c>
      <c r="F412" s="2">
        <f t="shared" si="18"/>
        <v>1.0266241365853657</v>
      </c>
      <c r="G412" s="4">
        <v>42135</v>
      </c>
      <c r="H412" s="13">
        <v>18272.560547000001</v>
      </c>
      <c r="I412" s="2">
        <f t="shared" si="20"/>
        <v>0.38310907260290705</v>
      </c>
    </row>
    <row r="413" spans="1:9" x14ac:dyDescent="0.25">
      <c r="A413" s="9">
        <v>42142</v>
      </c>
      <c r="B413" s="13">
        <v>2126.0600589999999</v>
      </c>
      <c r="C413" s="2">
        <f t="shared" si="19"/>
        <v>0.47055238876070032</v>
      </c>
      <c r="D413" s="4">
        <v>42142</v>
      </c>
      <c r="E413" s="13">
        <v>5089.3598629999997</v>
      </c>
      <c r="F413" s="2">
        <f t="shared" si="18"/>
        <v>1.018926743653559</v>
      </c>
      <c r="G413" s="4">
        <v>42142</v>
      </c>
      <c r="H413" s="13">
        <v>18232.019531000002</v>
      </c>
      <c r="I413" s="2">
        <f t="shared" si="20"/>
        <v>0.3663178913264018</v>
      </c>
    </row>
    <row r="414" spans="1:9" x14ac:dyDescent="0.25">
      <c r="A414" s="9">
        <v>42150</v>
      </c>
      <c r="B414" s="13">
        <v>2107.389893</v>
      </c>
      <c r="C414" s="2">
        <f t="shared" si="19"/>
        <v>0.46039244123543049</v>
      </c>
      <c r="D414" s="4">
        <v>42149</v>
      </c>
      <c r="E414" s="13">
        <v>5070.0297849999997</v>
      </c>
      <c r="F414" s="2">
        <f t="shared" si="18"/>
        <v>1.0183016270781482</v>
      </c>
      <c r="G414" s="4">
        <v>42150</v>
      </c>
      <c r="H414" s="13">
        <v>18010.679688</v>
      </c>
      <c r="I414" s="2">
        <f t="shared" si="20"/>
        <v>0.35408758873049023</v>
      </c>
    </row>
    <row r="415" spans="1:9" x14ac:dyDescent="0.25">
      <c r="A415" s="9">
        <v>42156</v>
      </c>
      <c r="B415" s="13">
        <v>2092.830078</v>
      </c>
      <c r="C415" s="2">
        <f t="shared" si="19"/>
        <v>0.46128565502082708</v>
      </c>
      <c r="D415" s="4">
        <v>42156</v>
      </c>
      <c r="E415" s="13">
        <v>5068.4599609999996</v>
      </c>
      <c r="F415" s="2">
        <f t="shared" si="18"/>
        <v>1.0113887896465903</v>
      </c>
      <c r="G415" s="4">
        <v>42156</v>
      </c>
      <c r="H415" s="13">
        <v>17849.460938</v>
      </c>
      <c r="I415" s="2">
        <f t="shared" si="20"/>
        <v>0.35783354856602456</v>
      </c>
    </row>
    <row r="416" spans="1:9" x14ac:dyDescent="0.25">
      <c r="A416" s="9">
        <v>42163</v>
      </c>
      <c r="B416" s="13">
        <v>2094.110107</v>
      </c>
      <c r="C416" s="2">
        <f t="shared" si="19"/>
        <v>0.47236675584439003</v>
      </c>
      <c r="D416" s="4">
        <v>42163</v>
      </c>
      <c r="E416" s="13">
        <v>5051.1000979999999</v>
      </c>
      <c r="F416" s="2">
        <f t="shared" si="18"/>
        <v>1.0376306620209059</v>
      </c>
      <c r="G416" s="4">
        <v>42163</v>
      </c>
      <c r="H416" s="13">
        <v>17898.839843999998</v>
      </c>
      <c r="I416" s="2">
        <f t="shared" si="20"/>
        <v>0.36671764606131019</v>
      </c>
    </row>
    <row r="417" spans="1:9" x14ac:dyDescent="0.25">
      <c r="A417" s="9">
        <v>42170</v>
      </c>
      <c r="B417" s="13">
        <v>2109.98999</v>
      </c>
      <c r="C417" s="2">
        <f t="shared" si="19"/>
        <v>0.46643539243319332</v>
      </c>
      <c r="D417" s="4">
        <v>42170</v>
      </c>
      <c r="E417" s="13">
        <v>5117</v>
      </c>
      <c r="F417" s="2">
        <f t="shared" si="18"/>
        <v>1.0230999565953212</v>
      </c>
      <c r="G417" s="4">
        <v>42170</v>
      </c>
      <c r="H417" s="13">
        <v>18015.949218999998</v>
      </c>
      <c r="I417" s="2">
        <f t="shared" si="20"/>
        <v>0.36146275278861795</v>
      </c>
    </row>
    <row r="418" spans="1:9" x14ac:dyDescent="0.25">
      <c r="A418" s="9">
        <v>42177</v>
      </c>
      <c r="B418" s="13">
        <v>2101.48999</v>
      </c>
      <c r="C418" s="2">
        <f t="shared" si="19"/>
        <v>0.44919259730760536</v>
      </c>
      <c r="D418" s="4">
        <v>42177</v>
      </c>
      <c r="E418" s="13">
        <v>5080.5097660000001</v>
      </c>
      <c r="F418" s="2">
        <f t="shared" si="18"/>
        <v>0.99470779930313569</v>
      </c>
      <c r="G418" s="4">
        <v>42177</v>
      </c>
      <c r="H418" s="13">
        <v>17946.679688</v>
      </c>
      <c r="I418" s="2">
        <f t="shared" si="20"/>
        <v>0.34503339540133338</v>
      </c>
    </row>
    <row r="419" spans="1:9" x14ac:dyDescent="0.25">
      <c r="A419" s="9">
        <v>42184</v>
      </c>
      <c r="B419" s="13">
        <v>2076.780029</v>
      </c>
      <c r="C419" s="2">
        <f t="shared" si="19"/>
        <v>0.44908100952103924</v>
      </c>
      <c r="D419" s="4">
        <v>42184</v>
      </c>
      <c r="E419" s="13">
        <v>5009.2099609999996</v>
      </c>
      <c r="F419" s="2">
        <f t="shared" si="18"/>
        <v>0.99012451767048293</v>
      </c>
      <c r="G419" s="4">
        <v>42184</v>
      </c>
      <c r="H419" s="13">
        <v>17730.109375</v>
      </c>
      <c r="I419" s="2">
        <f t="shared" si="20"/>
        <v>0.34733205930067801</v>
      </c>
    </row>
    <row r="420" spans="1:9" x14ac:dyDescent="0.25">
      <c r="A420" s="9">
        <v>42191</v>
      </c>
      <c r="B420" s="13">
        <v>2076.6201169999999</v>
      </c>
      <c r="C420" s="2">
        <f t="shared" si="19"/>
        <v>0.48398518236841054</v>
      </c>
      <c r="D420" s="4">
        <v>42191</v>
      </c>
      <c r="E420" s="13">
        <v>4997.7001950000003</v>
      </c>
      <c r="F420" s="2">
        <f t="shared" si="18"/>
        <v>1.0747198156296667</v>
      </c>
      <c r="G420" s="4">
        <v>42191</v>
      </c>
      <c r="H420" s="13">
        <v>17760.410156000002</v>
      </c>
      <c r="I420" s="2">
        <f t="shared" si="20"/>
        <v>0.37206588460683776</v>
      </c>
    </row>
    <row r="421" spans="1:9" x14ac:dyDescent="0.25">
      <c r="A421" s="9">
        <v>42198</v>
      </c>
      <c r="B421" s="13">
        <v>2126.639893</v>
      </c>
      <c r="C421" s="2">
        <f t="shared" si="19"/>
        <v>0.45119521609666202</v>
      </c>
      <c r="D421" s="4">
        <v>42198</v>
      </c>
      <c r="E421" s="13">
        <v>5210.1401370000003</v>
      </c>
      <c r="F421" s="2">
        <f t="shared" si="18"/>
        <v>1.0263334526630163</v>
      </c>
      <c r="G421" s="4">
        <v>42198</v>
      </c>
      <c r="H421" s="13">
        <v>18086.449218999998</v>
      </c>
      <c r="I421" s="2">
        <f t="shared" si="20"/>
        <v>0.33277568190702217</v>
      </c>
    </row>
    <row r="422" spans="1:9" x14ac:dyDescent="0.25">
      <c r="A422" s="9">
        <v>42205</v>
      </c>
      <c r="B422" s="13">
        <v>2079.6499020000001</v>
      </c>
      <c r="C422" s="2">
        <f t="shared" si="19"/>
        <v>0.46807530834965516</v>
      </c>
      <c r="D422" s="4">
        <v>42205</v>
      </c>
      <c r="E422" s="13">
        <v>5088.6298829999996</v>
      </c>
      <c r="F422" s="2">
        <f t="shared" si="18"/>
        <v>1.042122363364858</v>
      </c>
      <c r="G422" s="4">
        <v>42205</v>
      </c>
      <c r="H422" s="13">
        <v>17568.529297000001</v>
      </c>
      <c r="I422" s="2">
        <f t="shared" si="20"/>
        <v>0.34197996843030526</v>
      </c>
    </row>
    <row r="423" spans="1:9" x14ac:dyDescent="0.25">
      <c r="A423" s="9">
        <v>42212</v>
      </c>
      <c r="B423" s="13">
        <v>2103.8400879999999</v>
      </c>
      <c r="C423" s="2">
        <f t="shared" si="19"/>
        <v>0.44974389241560747</v>
      </c>
      <c r="D423" s="4">
        <v>42212</v>
      </c>
      <c r="E423" s="13">
        <v>5128.2797849999997</v>
      </c>
      <c r="F423" s="2">
        <f t="shared" si="18"/>
        <v>1.0083783131906423</v>
      </c>
      <c r="G423" s="4">
        <v>42212</v>
      </c>
      <c r="H423" s="13">
        <v>17689.859375</v>
      </c>
      <c r="I423" s="2">
        <f t="shared" si="20"/>
        <v>0.31797142093948899</v>
      </c>
    </row>
    <row r="424" spans="1:9" x14ac:dyDescent="0.25">
      <c r="A424" s="9">
        <v>42219</v>
      </c>
      <c r="B424" s="13">
        <v>2077.570068</v>
      </c>
      <c r="C424" s="2">
        <f t="shared" si="19"/>
        <v>0.45949224239735798</v>
      </c>
      <c r="D424" s="4">
        <v>42219</v>
      </c>
      <c r="E424" s="13">
        <v>5043.5400390000004</v>
      </c>
      <c r="F424" s="2">
        <f t="shared" si="18"/>
        <v>1.010249968740667</v>
      </c>
      <c r="G424" s="4">
        <v>42219</v>
      </c>
      <c r="H424" s="13">
        <v>17373.380859000001</v>
      </c>
      <c r="I424" s="2">
        <f t="shared" si="20"/>
        <v>0.32586250279098011</v>
      </c>
    </row>
    <row r="425" spans="1:9" x14ac:dyDescent="0.25">
      <c r="A425" s="9">
        <v>42226</v>
      </c>
      <c r="B425" s="13">
        <v>2091.540039</v>
      </c>
      <c r="C425" s="2">
        <f t="shared" si="19"/>
        <v>0.37530175558399265</v>
      </c>
      <c r="D425" s="4">
        <v>42226</v>
      </c>
      <c r="E425" s="13">
        <v>5048.2402339999999</v>
      </c>
      <c r="F425" s="2">
        <f t="shared" si="18"/>
        <v>0.87398309168740684</v>
      </c>
      <c r="G425" s="4">
        <v>42226</v>
      </c>
      <c r="H425" s="13">
        <v>17477.400390999999</v>
      </c>
      <c r="I425" s="2">
        <f t="shared" si="20"/>
        <v>0.24866197730137224</v>
      </c>
    </row>
    <row r="426" spans="1:9" x14ac:dyDescent="0.25">
      <c r="A426" s="9">
        <v>42233</v>
      </c>
      <c r="B426" s="13">
        <v>1970.8900149999999</v>
      </c>
      <c r="C426" s="2">
        <f t="shared" si="19"/>
        <v>0.3878483197611749</v>
      </c>
      <c r="D426" s="4">
        <v>42233</v>
      </c>
      <c r="E426" s="13">
        <v>4706.0400390000004</v>
      </c>
      <c r="F426" s="2">
        <f t="shared" si="18"/>
        <v>0.92267588810353418</v>
      </c>
      <c r="G426" s="4">
        <v>42233</v>
      </c>
      <c r="H426" s="13">
        <v>16459.75</v>
      </c>
      <c r="I426" s="2">
        <f t="shared" si="20"/>
        <v>0.26256434530655737</v>
      </c>
    </row>
    <row r="427" spans="1:9" x14ac:dyDescent="0.25">
      <c r="A427" s="9">
        <v>42240</v>
      </c>
      <c r="B427" s="13">
        <v>1988.869995</v>
      </c>
      <c r="C427" s="2">
        <f t="shared" si="19"/>
        <v>0.3406416283352714</v>
      </c>
      <c r="D427" s="4">
        <v>42240</v>
      </c>
      <c r="E427" s="13">
        <v>4828.3198240000002</v>
      </c>
      <c r="F427" s="2">
        <f t="shared" si="18"/>
        <v>0.86517468272772524</v>
      </c>
      <c r="G427" s="4">
        <v>42240</v>
      </c>
      <c r="H427" s="13">
        <v>16643.009765999999</v>
      </c>
      <c r="I427" s="2">
        <f t="shared" si="20"/>
        <v>0.22155132999982494</v>
      </c>
    </row>
    <row r="428" spans="1:9" x14ac:dyDescent="0.25">
      <c r="A428" s="9">
        <v>42247</v>
      </c>
      <c r="B428" s="13">
        <v>1921.219971</v>
      </c>
      <c r="C428" s="2">
        <f t="shared" si="19"/>
        <v>0.36843535390166093</v>
      </c>
      <c r="D428" s="4">
        <v>42247</v>
      </c>
      <c r="E428" s="13">
        <v>4683.919922</v>
      </c>
      <c r="F428" s="2">
        <f t="shared" si="18"/>
        <v>0.92029461184668993</v>
      </c>
      <c r="G428" s="4">
        <v>42247</v>
      </c>
      <c r="H428" s="13">
        <v>16102.379883</v>
      </c>
      <c r="I428" s="2">
        <f t="shared" si="20"/>
        <v>0.24663949681982633</v>
      </c>
    </row>
    <row r="429" spans="1:9" x14ac:dyDescent="0.25">
      <c r="A429" s="9">
        <v>42255</v>
      </c>
      <c r="B429" s="13">
        <v>1961.0500489999999</v>
      </c>
      <c r="C429" s="2">
        <f t="shared" si="19"/>
        <v>0.36632796141588658</v>
      </c>
      <c r="D429" s="4">
        <v>42254</v>
      </c>
      <c r="E429" s="13">
        <v>4822.3398440000001</v>
      </c>
      <c r="F429" s="2">
        <f t="shared" si="18"/>
        <v>0.9222419034345446</v>
      </c>
      <c r="G429" s="4">
        <v>42255</v>
      </c>
      <c r="H429" s="13">
        <v>16433.089843999998</v>
      </c>
      <c r="I429" s="2">
        <f t="shared" si="20"/>
        <v>0.2429594712828658</v>
      </c>
    </row>
    <row r="430" spans="1:9" x14ac:dyDescent="0.25">
      <c r="A430" s="9">
        <v>42261</v>
      </c>
      <c r="B430" s="13">
        <v>1958.030029</v>
      </c>
      <c r="C430" s="2">
        <f t="shared" si="19"/>
        <v>0.34770343634285888</v>
      </c>
      <c r="D430" s="4">
        <v>42261</v>
      </c>
      <c r="E430" s="13">
        <v>4827.2299800000001</v>
      </c>
      <c r="F430" s="2">
        <f t="shared" si="18"/>
        <v>0.86620209059233444</v>
      </c>
      <c r="G430" s="4">
        <v>42261</v>
      </c>
      <c r="H430" s="13">
        <v>16384.580077999999</v>
      </c>
      <c r="I430" s="2">
        <f t="shared" si="20"/>
        <v>0.2376559792113333</v>
      </c>
    </row>
    <row r="431" spans="1:9" x14ac:dyDescent="0.25">
      <c r="A431" s="9">
        <v>42268</v>
      </c>
      <c r="B431" s="13">
        <v>1931.339966</v>
      </c>
      <c r="C431" s="2">
        <f t="shared" si="19"/>
        <v>0.36167355495321929</v>
      </c>
      <c r="D431" s="4">
        <v>42268</v>
      </c>
      <c r="E431" s="13">
        <v>4686.5</v>
      </c>
      <c r="F431" s="2">
        <f t="shared" si="18"/>
        <v>0.8746758725734195</v>
      </c>
      <c r="G431" s="4">
        <v>42268</v>
      </c>
      <c r="H431" s="13">
        <v>16314.669921999999</v>
      </c>
      <c r="I431" s="2">
        <f t="shared" si="20"/>
        <v>0.24961928476672887</v>
      </c>
    </row>
    <row r="432" spans="1:9" x14ac:dyDescent="0.25">
      <c r="A432" s="9">
        <v>42275</v>
      </c>
      <c r="B432" s="13">
        <v>1951.3599850000001</v>
      </c>
      <c r="C432" s="2">
        <f t="shared" si="19"/>
        <v>0.40600528383018736</v>
      </c>
      <c r="D432" s="4">
        <v>42275</v>
      </c>
      <c r="E432" s="13">
        <v>4707.7797849999997</v>
      </c>
      <c r="F432" s="2">
        <f t="shared" si="18"/>
        <v>0.92353219113987073</v>
      </c>
      <c r="G432" s="4">
        <v>42275</v>
      </c>
      <c r="H432" s="13">
        <v>16472.369140999999</v>
      </c>
      <c r="I432" s="2">
        <f t="shared" si="20"/>
        <v>0.29605573333570828</v>
      </c>
    </row>
    <row r="433" spans="1:9" x14ac:dyDescent="0.25">
      <c r="A433" s="9">
        <v>42282</v>
      </c>
      <c r="B433" s="13">
        <v>2014.8900149999999</v>
      </c>
      <c r="C433" s="2">
        <f t="shared" si="19"/>
        <v>0.41871931481972885</v>
      </c>
      <c r="D433" s="4">
        <v>42282</v>
      </c>
      <c r="E433" s="13">
        <v>4830.4702150000003</v>
      </c>
      <c r="F433" s="2">
        <f t="shared" si="18"/>
        <v>0.94591933937282213</v>
      </c>
      <c r="G433" s="4">
        <v>42282</v>
      </c>
      <c r="H433" s="13">
        <v>17084.490234000001</v>
      </c>
      <c r="I433" s="2">
        <f t="shared" si="20"/>
        <v>0.30603004414832996</v>
      </c>
    </row>
    <row r="434" spans="1:9" x14ac:dyDescent="0.25">
      <c r="A434" s="9">
        <v>42289</v>
      </c>
      <c r="B434" s="13">
        <v>2033.1099850000001</v>
      </c>
      <c r="C434" s="2">
        <f t="shared" si="19"/>
        <v>0.44805508252602849</v>
      </c>
      <c r="D434" s="4">
        <v>42289</v>
      </c>
      <c r="E434" s="13">
        <v>4886.6899409999996</v>
      </c>
      <c r="F434" s="2">
        <f t="shared" si="18"/>
        <v>1.0037271729218515</v>
      </c>
      <c r="G434" s="4">
        <v>42289</v>
      </c>
      <c r="H434" s="13">
        <v>17215.970702999999</v>
      </c>
      <c r="I434" s="2">
        <f t="shared" si="20"/>
        <v>0.33870577254448692</v>
      </c>
    </row>
    <row r="435" spans="1:9" x14ac:dyDescent="0.25">
      <c r="A435" s="9">
        <v>42296</v>
      </c>
      <c r="B435" s="13">
        <v>2075.1499020000001</v>
      </c>
      <c r="C435" s="2">
        <f t="shared" si="19"/>
        <v>0.45099299498375045</v>
      </c>
      <c r="D435" s="4">
        <v>42296</v>
      </c>
      <c r="E435" s="13">
        <v>5031.8598629999997</v>
      </c>
      <c r="F435" s="2">
        <f t="shared" si="18"/>
        <v>1.0124440019910403</v>
      </c>
      <c r="G435" s="4">
        <v>42296</v>
      </c>
      <c r="H435" s="13">
        <v>17646.699218999998</v>
      </c>
      <c r="I435" s="2">
        <f t="shared" si="20"/>
        <v>0.33998326896197972</v>
      </c>
    </row>
    <row r="436" spans="1:9" x14ac:dyDescent="0.25">
      <c r="A436" s="9">
        <v>42303</v>
      </c>
      <c r="B436" s="13">
        <v>2079.360107</v>
      </c>
      <c r="C436" s="2">
        <f t="shared" si="19"/>
        <v>0.46483738613497999</v>
      </c>
      <c r="D436" s="4">
        <v>42303</v>
      </c>
      <c r="E436" s="13">
        <v>5053.75</v>
      </c>
      <c r="F436" s="2">
        <f t="shared" si="18"/>
        <v>1.0496247354902939</v>
      </c>
      <c r="G436" s="4">
        <v>42303</v>
      </c>
      <c r="H436" s="13">
        <v>17663.539062</v>
      </c>
      <c r="I436" s="2">
        <f t="shared" si="20"/>
        <v>0.35870521540823641</v>
      </c>
    </row>
    <row r="437" spans="1:9" x14ac:dyDescent="0.25">
      <c r="A437" s="9">
        <v>42310</v>
      </c>
      <c r="B437" s="13">
        <v>2099.1999510000001</v>
      </c>
      <c r="C437" s="2">
        <f t="shared" si="19"/>
        <v>0.41169243137771389</v>
      </c>
      <c r="D437" s="4">
        <v>42310</v>
      </c>
      <c r="E437" s="13">
        <v>5147.1201170000004</v>
      </c>
      <c r="F437" s="2">
        <f t="shared" si="18"/>
        <v>0.96232150642110492</v>
      </c>
      <c r="G437" s="4">
        <v>42310</v>
      </c>
      <c r="H437" s="13">
        <v>17910.330077999999</v>
      </c>
      <c r="I437" s="2">
        <f t="shared" si="20"/>
        <v>0.30825047583490761</v>
      </c>
    </row>
    <row r="438" spans="1:9" x14ac:dyDescent="0.25">
      <c r="A438" s="9">
        <v>42317</v>
      </c>
      <c r="B438" s="13">
        <v>2023.040039</v>
      </c>
      <c r="C438" s="2">
        <f t="shared" si="19"/>
        <v>0.45783835707335152</v>
      </c>
      <c r="D438" s="4">
        <v>42317</v>
      </c>
      <c r="E438" s="13">
        <v>4927.8798829999996</v>
      </c>
      <c r="F438" s="2">
        <f t="shared" si="18"/>
        <v>1.0328202775510205</v>
      </c>
      <c r="G438" s="4">
        <v>42317</v>
      </c>
      <c r="H438" s="13">
        <v>17245.240234000001</v>
      </c>
      <c r="I438" s="2">
        <f t="shared" si="20"/>
        <v>0.3521417105765321</v>
      </c>
    </row>
    <row r="439" spans="1:9" x14ac:dyDescent="0.25">
      <c r="A439" s="9">
        <v>42324</v>
      </c>
      <c r="B439" s="13">
        <v>2089.169922</v>
      </c>
      <c r="C439" s="2">
        <f t="shared" si="19"/>
        <v>0.4584944251802639</v>
      </c>
      <c r="D439" s="4">
        <v>42324</v>
      </c>
      <c r="E439" s="13">
        <v>5104.919922</v>
      </c>
      <c r="F439" s="2">
        <f t="shared" si="18"/>
        <v>1.0418198188153309</v>
      </c>
      <c r="G439" s="4">
        <v>42324</v>
      </c>
      <c r="H439" s="13">
        <v>17823.810547000001</v>
      </c>
      <c r="I439" s="2">
        <f t="shared" si="20"/>
        <v>0.35135123925054917</v>
      </c>
    </row>
    <row r="440" spans="1:9" x14ac:dyDescent="0.25">
      <c r="A440" s="9">
        <v>42331</v>
      </c>
      <c r="B440" s="13">
        <v>2090.110107</v>
      </c>
      <c r="C440" s="2">
        <f t="shared" si="19"/>
        <v>0.45959684513124804</v>
      </c>
      <c r="D440" s="4">
        <v>42331</v>
      </c>
      <c r="E440" s="13">
        <v>5127.5200199999999</v>
      </c>
      <c r="F440" s="2">
        <f t="shared" si="18"/>
        <v>1.047693387755102</v>
      </c>
      <c r="G440" s="4">
        <v>42331</v>
      </c>
      <c r="H440" s="13">
        <v>17813.390625</v>
      </c>
      <c r="I440" s="2">
        <f t="shared" si="20"/>
        <v>0.35394875611986387</v>
      </c>
    </row>
    <row r="441" spans="1:9" x14ac:dyDescent="0.25">
      <c r="A441" s="9">
        <v>42338</v>
      </c>
      <c r="B441" s="13">
        <v>2091.6899410000001</v>
      </c>
      <c r="C441" s="2">
        <f t="shared" si="19"/>
        <v>0.40424679507448341</v>
      </c>
      <c r="D441" s="4">
        <v>42338</v>
      </c>
      <c r="E441" s="13">
        <v>5142.2700199999999</v>
      </c>
      <c r="F441" s="2">
        <f t="shared" si="18"/>
        <v>0.96454762170233954</v>
      </c>
      <c r="G441" s="4">
        <v>42338</v>
      </c>
      <c r="H441" s="13">
        <v>17847.630859000001</v>
      </c>
      <c r="I441" s="2">
        <f t="shared" si="20"/>
        <v>0.3097654841882993</v>
      </c>
    </row>
    <row r="442" spans="1:9" x14ac:dyDescent="0.25">
      <c r="A442" s="9">
        <v>42345</v>
      </c>
      <c r="B442" s="13">
        <v>2012.369995</v>
      </c>
      <c r="C442" s="2">
        <f t="shared" si="19"/>
        <v>0.39948778587792605</v>
      </c>
      <c r="D442" s="4">
        <v>42345</v>
      </c>
      <c r="E442" s="13">
        <v>4933.4702150000003</v>
      </c>
      <c r="F442" s="2">
        <f t="shared" si="18"/>
        <v>0.96041018536585365</v>
      </c>
      <c r="G442" s="4">
        <v>42345</v>
      </c>
      <c r="H442" s="13">
        <v>17265.210938</v>
      </c>
      <c r="I442" s="2">
        <f t="shared" si="20"/>
        <v>0.29939823426907614</v>
      </c>
    </row>
    <row r="443" spans="1:9" x14ac:dyDescent="0.25">
      <c r="A443" s="9">
        <v>42352</v>
      </c>
      <c r="B443" s="13">
        <v>2005.5500489999999</v>
      </c>
      <c r="C443" s="2">
        <f t="shared" si="19"/>
        <v>0.43817419029749133</v>
      </c>
      <c r="D443" s="4">
        <v>42352</v>
      </c>
      <c r="E443" s="13">
        <v>4923.080078</v>
      </c>
      <c r="F443" s="2">
        <f t="shared" si="18"/>
        <v>1.0103495207565953</v>
      </c>
      <c r="G443" s="4">
        <v>42352</v>
      </c>
      <c r="H443" s="13">
        <v>17128.550781000002</v>
      </c>
      <c r="I443" s="2">
        <f t="shared" si="20"/>
        <v>0.33153463453176346</v>
      </c>
    </row>
    <row r="444" spans="1:9" x14ac:dyDescent="0.25">
      <c r="A444" s="9">
        <v>42359</v>
      </c>
      <c r="B444" s="13">
        <v>2060.98999</v>
      </c>
      <c r="C444" s="2">
        <f t="shared" si="19"/>
        <v>0.42627653890952538</v>
      </c>
      <c r="D444" s="4">
        <v>42359</v>
      </c>
      <c r="E444" s="13">
        <v>5048.4902339999999</v>
      </c>
      <c r="F444" s="2">
        <f t="shared" si="18"/>
        <v>0.99399110243902433</v>
      </c>
      <c r="G444" s="4">
        <v>42359</v>
      </c>
      <c r="H444" s="13">
        <v>17552.169922000001</v>
      </c>
      <c r="I444" s="2">
        <f t="shared" si="20"/>
        <v>0.32188955096683491</v>
      </c>
    </row>
    <row r="445" spans="1:9" x14ac:dyDescent="0.25">
      <c r="A445" s="9">
        <v>42366</v>
      </c>
      <c r="B445" s="13">
        <v>2043.9399410000001</v>
      </c>
      <c r="C445" s="2">
        <f t="shared" si="19"/>
        <v>0.34120689285081812</v>
      </c>
      <c r="D445" s="4">
        <v>42366</v>
      </c>
      <c r="E445" s="13">
        <v>5007.4101559999999</v>
      </c>
      <c r="F445" s="2">
        <f t="shared" si="18"/>
        <v>0.84913086431060214</v>
      </c>
      <c r="G445" s="4">
        <v>42366</v>
      </c>
      <c r="H445" s="13">
        <v>17425.029297000001</v>
      </c>
      <c r="I445" s="2">
        <f t="shared" si="20"/>
        <v>0.24006687965170195</v>
      </c>
    </row>
    <row r="446" spans="1:9" x14ac:dyDescent="0.25">
      <c r="A446" s="9">
        <v>42373</v>
      </c>
      <c r="B446" s="13">
        <v>1922.030029</v>
      </c>
      <c r="C446" s="2">
        <f t="shared" si="19"/>
        <v>0.31210827082300263</v>
      </c>
      <c r="D446" s="4">
        <v>42373</v>
      </c>
      <c r="E446" s="13">
        <v>4643.6298829999996</v>
      </c>
      <c r="F446" s="2">
        <f t="shared" si="18"/>
        <v>0.78732500627177704</v>
      </c>
      <c r="G446" s="4">
        <v>42373</v>
      </c>
      <c r="H446" s="13">
        <v>16346.450194999999</v>
      </c>
      <c r="I446" s="2">
        <f t="shared" si="20"/>
        <v>0.2128803708105019</v>
      </c>
    </row>
    <row r="447" spans="1:9" x14ac:dyDescent="0.25">
      <c r="A447" s="9">
        <v>42380</v>
      </c>
      <c r="B447" s="13">
        <v>1880.329956</v>
      </c>
      <c r="C447" s="2">
        <f t="shared" si="19"/>
        <v>0.33064906248985071</v>
      </c>
      <c r="D447" s="4">
        <v>42380</v>
      </c>
      <c r="E447" s="13">
        <v>4488.419922</v>
      </c>
      <c r="F447" s="2">
        <f t="shared" si="18"/>
        <v>0.82824496804380288</v>
      </c>
      <c r="G447" s="4">
        <v>42380</v>
      </c>
      <c r="H447" s="13">
        <v>15988.080078000001</v>
      </c>
      <c r="I447" s="2">
        <f t="shared" si="20"/>
        <v>0.22087842926730378</v>
      </c>
    </row>
    <row r="448" spans="1:9" x14ac:dyDescent="0.25">
      <c r="A448" s="9">
        <v>42388</v>
      </c>
      <c r="B448" s="13">
        <v>1906.900024</v>
      </c>
      <c r="C448" s="2">
        <f t="shared" si="19"/>
        <v>0.35391393948549099</v>
      </c>
      <c r="D448" s="4">
        <v>42387</v>
      </c>
      <c r="E448" s="13">
        <v>4591.1801759999998</v>
      </c>
      <c r="F448" s="2">
        <f t="shared" si="18"/>
        <v>0.83731217322050788</v>
      </c>
      <c r="G448" s="4">
        <v>42388</v>
      </c>
      <c r="H448" s="13">
        <v>16093.509765999999</v>
      </c>
      <c r="I448" s="2">
        <f t="shared" si="20"/>
        <v>0.24915892963396116</v>
      </c>
    </row>
    <row r="449" spans="1:9" x14ac:dyDescent="0.25">
      <c r="A449" s="9">
        <v>42394</v>
      </c>
      <c r="B449" s="13">
        <v>1940.23999</v>
      </c>
      <c r="C449" s="2">
        <f t="shared" si="19"/>
        <v>0.31191294963025695</v>
      </c>
      <c r="D449" s="4">
        <v>42394</v>
      </c>
      <c r="E449" s="13">
        <v>4613.9501950000003</v>
      </c>
      <c r="F449" s="2">
        <f t="shared" si="18"/>
        <v>0.73743758566450979</v>
      </c>
      <c r="G449" s="4">
        <v>42394</v>
      </c>
      <c r="H449" s="13">
        <v>16466.300781000002</v>
      </c>
      <c r="I449" s="2">
        <f t="shared" si="20"/>
        <v>0.22933395351841296</v>
      </c>
    </row>
    <row r="450" spans="1:9" x14ac:dyDescent="0.25">
      <c r="A450" s="9">
        <v>42401</v>
      </c>
      <c r="B450" s="13">
        <v>1880.0500489999999</v>
      </c>
      <c r="C450" s="2">
        <f t="shared" si="19"/>
        <v>0.30125741575775794</v>
      </c>
      <c r="D450" s="4">
        <v>42401</v>
      </c>
      <c r="E450" s="13">
        <v>4363.1401370000003</v>
      </c>
      <c r="F450" s="2">
        <f t="shared" si="18"/>
        <v>0.72723136525634646</v>
      </c>
      <c r="G450" s="4">
        <v>42401</v>
      </c>
      <c r="H450" s="13">
        <v>16204.969727</v>
      </c>
      <c r="I450" s="2">
        <f t="shared" si="20"/>
        <v>0.21180008473424466</v>
      </c>
    </row>
    <row r="451" spans="1:9" x14ac:dyDescent="0.25">
      <c r="A451" s="9">
        <v>42408</v>
      </c>
      <c r="B451" s="13">
        <v>1864.780029</v>
      </c>
      <c r="C451" s="2">
        <f t="shared" si="19"/>
        <v>0.33824121114521977</v>
      </c>
      <c r="D451" s="4">
        <v>42408</v>
      </c>
      <c r="E451" s="13">
        <v>4337.5097660000001</v>
      </c>
      <c r="F451" s="2">
        <f t="shared" si="18"/>
        <v>0.79370041851667494</v>
      </c>
      <c r="G451" s="4">
        <v>42408</v>
      </c>
      <c r="H451" s="13">
        <v>15973.839844</v>
      </c>
      <c r="I451" s="2">
        <f t="shared" si="20"/>
        <v>0.24352161712609391</v>
      </c>
    </row>
    <row r="452" spans="1:9" x14ac:dyDescent="0.25">
      <c r="A452" s="9">
        <v>42416</v>
      </c>
      <c r="B452" s="13">
        <v>1917.780029</v>
      </c>
      <c r="C452" s="2">
        <f t="shared" si="19"/>
        <v>0.35936385691983064</v>
      </c>
      <c r="D452" s="4">
        <v>42415</v>
      </c>
      <c r="E452" s="13">
        <v>4504.4301759999998</v>
      </c>
      <c r="F452" s="2">
        <f t="shared" si="18"/>
        <v>0.82796225584868099</v>
      </c>
      <c r="G452" s="4">
        <v>42416</v>
      </c>
      <c r="H452" s="13">
        <v>16391.990234000001</v>
      </c>
      <c r="I452" s="2">
        <f t="shared" si="20"/>
        <v>0.26233379730827527</v>
      </c>
    </row>
    <row r="453" spans="1:9" x14ac:dyDescent="0.25">
      <c r="A453" s="9">
        <v>42422</v>
      </c>
      <c r="B453" s="13">
        <v>1948.0500489999999</v>
      </c>
      <c r="C453" s="2">
        <f t="shared" si="19"/>
        <v>0.3956079352289032</v>
      </c>
      <c r="D453" s="4">
        <v>42422</v>
      </c>
      <c r="E453" s="13">
        <v>4590.4702150000003</v>
      </c>
      <c r="F453" s="2">
        <f t="shared" si="18"/>
        <v>0.87835540866102535</v>
      </c>
      <c r="G453" s="4">
        <v>42422</v>
      </c>
      <c r="H453" s="13">
        <v>16639.970702999999</v>
      </c>
      <c r="I453" s="2">
        <f t="shared" si="20"/>
        <v>0.29015972114322469</v>
      </c>
    </row>
    <row r="454" spans="1:9" x14ac:dyDescent="0.25">
      <c r="A454" s="9">
        <v>42429</v>
      </c>
      <c r="B454" s="13">
        <v>1999.98999</v>
      </c>
      <c r="C454" s="2">
        <f t="shared" si="19"/>
        <v>0.4110992266514632</v>
      </c>
      <c r="D454" s="4">
        <v>42429</v>
      </c>
      <c r="E454" s="13">
        <v>4717.0200199999999</v>
      </c>
      <c r="F454" s="2">
        <f t="shared" ref="F454:F492" si="21">(E455-$E$6)/$E$6</f>
        <v>0.89087912991538087</v>
      </c>
      <c r="G454" s="4">
        <v>42429</v>
      </c>
      <c r="H454" s="13">
        <v>17006.769531000002</v>
      </c>
      <c r="I454" s="2">
        <f t="shared" si="20"/>
        <v>0.30582824061845326</v>
      </c>
    </row>
    <row r="455" spans="1:9" x14ac:dyDescent="0.25">
      <c r="A455" s="9">
        <v>42436</v>
      </c>
      <c r="B455" s="13">
        <v>2022.1899410000001</v>
      </c>
      <c r="C455" s="2">
        <f t="shared" ref="C455:C518" si="22">(B456-$B$6)/$B$6</f>
        <v>0.43021226858434136</v>
      </c>
      <c r="D455" s="4">
        <v>42436</v>
      </c>
      <c r="E455" s="13">
        <v>4748.4702150000003</v>
      </c>
      <c r="F455" s="2">
        <f t="shared" si="21"/>
        <v>0.90966646172224996</v>
      </c>
      <c r="G455" s="4">
        <v>42436</v>
      </c>
      <c r="H455" s="13">
        <v>17213.310547000001</v>
      </c>
      <c r="I455" s="2">
        <f t="shared" ref="I455:I518" si="23">(H456-$H$6)/$H$6</f>
        <v>0.33533763867962457</v>
      </c>
    </row>
    <row r="456" spans="1:9" x14ac:dyDescent="0.25">
      <c r="A456" s="9">
        <v>42443</v>
      </c>
      <c r="B456" s="13">
        <v>2049.580078</v>
      </c>
      <c r="C456" s="2">
        <f t="shared" si="22"/>
        <v>0.42069407922839908</v>
      </c>
      <c r="D456" s="4">
        <v>42443</v>
      </c>
      <c r="E456" s="13">
        <v>4795.6499020000001</v>
      </c>
      <c r="F456" s="2">
        <f t="shared" si="21"/>
        <v>0.90084619213539074</v>
      </c>
      <c r="G456" s="4">
        <v>42443</v>
      </c>
      <c r="H456" s="13">
        <v>17602.300781000002</v>
      </c>
      <c r="I456" s="2">
        <f t="shared" si="23"/>
        <v>0.32877028152307475</v>
      </c>
    </row>
    <row r="457" spans="1:9" x14ac:dyDescent="0.25">
      <c r="A457" s="9">
        <v>42450</v>
      </c>
      <c r="B457" s="13">
        <v>2035.9399410000001</v>
      </c>
      <c r="C457" s="2">
        <f t="shared" si="22"/>
        <v>0.44640136746704218</v>
      </c>
      <c r="D457" s="4">
        <v>42450</v>
      </c>
      <c r="E457" s="13">
        <v>4773.5</v>
      </c>
      <c r="F457" s="2">
        <f t="shared" si="21"/>
        <v>0.95700947297162786</v>
      </c>
      <c r="G457" s="4">
        <v>42450</v>
      </c>
      <c r="H457" s="13">
        <v>17515.730468999998</v>
      </c>
      <c r="I457" s="2">
        <f t="shared" si="23"/>
        <v>0.34978540965865162</v>
      </c>
    </row>
    <row r="458" spans="1:9" x14ac:dyDescent="0.25">
      <c r="A458" s="9">
        <v>42457</v>
      </c>
      <c r="B458" s="13">
        <v>2072.780029</v>
      </c>
      <c r="C458" s="2">
        <f t="shared" si="22"/>
        <v>0.42883053863690168</v>
      </c>
      <c r="D458" s="4">
        <v>42457</v>
      </c>
      <c r="E458" s="13">
        <v>4914.5400390000004</v>
      </c>
      <c r="F458" s="2">
        <f t="shared" si="21"/>
        <v>0.93158384907914371</v>
      </c>
      <c r="G458" s="4">
        <v>42457</v>
      </c>
      <c r="H458" s="13">
        <v>17792.75</v>
      </c>
      <c r="I458" s="2">
        <f t="shared" si="23"/>
        <v>0.33341531917508238</v>
      </c>
    </row>
    <row r="459" spans="1:9" x14ac:dyDescent="0.25">
      <c r="A459" s="9">
        <v>42464</v>
      </c>
      <c r="B459" s="13">
        <v>2047.599976</v>
      </c>
      <c r="C459" s="2">
        <f t="shared" si="22"/>
        <v>0.45194890258259596</v>
      </c>
      <c r="D459" s="4">
        <v>42464</v>
      </c>
      <c r="E459" s="13">
        <v>4850.6899409999996</v>
      </c>
      <c r="F459" s="2">
        <f t="shared" si="21"/>
        <v>0.96643911000497773</v>
      </c>
      <c r="G459" s="4">
        <v>42464</v>
      </c>
      <c r="H459" s="13">
        <v>17576.960938</v>
      </c>
      <c r="I459" s="2">
        <f t="shared" si="23"/>
        <v>0.3577289426338281</v>
      </c>
    </row>
    <row r="460" spans="1:9" x14ac:dyDescent="0.25">
      <c r="A460" s="9">
        <v>42471</v>
      </c>
      <c r="B460" s="13">
        <v>2080.7299800000001</v>
      </c>
      <c r="C460" s="2">
        <f t="shared" si="22"/>
        <v>0.45952018191025451</v>
      </c>
      <c r="D460" s="4">
        <v>42471</v>
      </c>
      <c r="E460" s="13">
        <v>4938.2202150000003</v>
      </c>
      <c r="F460" s="2">
        <f t="shared" si="21"/>
        <v>0.95370034046789454</v>
      </c>
      <c r="G460" s="4">
        <v>42471</v>
      </c>
      <c r="H460" s="13">
        <v>17897.460938</v>
      </c>
      <c r="I460" s="2">
        <f t="shared" si="23"/>
        <v>0.36579219452540773</v>
      </c>
    </row>
    <row r="461" spans="1:9" x14ac:dyDescent="0.25">
      <c r="A461" s="9">
        <v>42478</v>
      </c>
      <c r="B461" s="13">
        <v>2091.580078</v>
      </c>
      <c r="C461" s="2">
        <f t="shared" si="22"/>
        <v>0.44118178162133825</v>
      </c>
      <c r="D461" s="4">
        <v>42478</v>
      </c>
      <c r="E461" s="13">
        <v>4906.2299800000001</v>
      </c>
      <c r="F461" s="2">
        <f t="shared" si="21"/>
        <v>0.90158680457939255</v>
      </c>
      <c r="G461" s="4">
        <v>42478</v>
      </c>
      <c r="H461" s="13">
        <v>18003.75</v>
      </c>
      <c r="I461" s="2">
        <f t="shared" si="23"/>
        <v>0.3483357430493475</v>
      </c>
    </row>
    <row r="462" spans="1:9" x14ac:dyDescent="0.25">
      <c r="A462" s="9">
        <v>42485</v>
      </c>
      <c r="B462" s="13">
        <v>2065.3000489999999</v>
      </c>
      <c r="C462" s="2">
        <f t="shared" si="22"/>
        <v>0.43548756388862564</v>
      </c>
      <c r="D462" s="4">
        <v>42485</v>
      </c>
      <c r="E462" s="13">
        <v>4775.3598629999997</v>
      </c>
      <c r="F462" s="2">
        <f t="shared" si="21"/>
        <v>0.88597716515679437</v>
      </c>
      <c r="G462" s="4">
        <v>42485</v>
      </c>
      <c r="H462" s="13">
        <v>17773.640625</v>
      </c>
      <c r="I462" s="2">
        <f t="shared" si="23"/>
        <v>0.34583157137700649</v>
      </c>
    </row>
    <row r="463" spans="1:9" x14ac:dyDescent="0.25">
      <c r="A463" s="9">
        <v>42492</v>
      </c>
      <c r="B463" s="13">
        <v>2057.139893</v>
      </c>
      <c r="C463" s="2">
        <f t="shared" si="22"/>
        <v>0.42813971553162949</v>
      </c>
      <c r="D463" s="4">
        <v>42492</v>
      </c>
      <c r="E463" s="13">
        <v>4736.1601559999999</v>
      </c>
      <c r="F463" s="2">
        <f t="shared" si="21"/>
        <v>0.87861828810353404</v>
      </c>
      <c r="G463" s="4">
        <v>42492</v>
      </c>
      <c r="H463" s="13">
        <v>17740.630859000001</v>
      </c>
      <c r="I463" s="2">
        <f t="shared" si="23"/>
        <v>0.33025639717461291</v>
      </c>
    </row>
    <row r="464" spans="1:9" x14ac:dyDescent="0.25">
      <c r="A464" s="9">
        <v>42499</v>
      </c>
      <c r="B464" s="13">
        <v>2046.6099850000001</v>
      </c>
      <c r="C464" s="2">
        <f t="shared" si="22"/>
        <v>0.43212425404705257</v>
      </c>
      <c r="D464" s="4">
        <v>42499</v>
      </c>
      <c r="E464" s="13">
        <v>4717.6801759999998</v>
      </c>
      <c r="F464" s="2">
        <f t="shared" si="21"/>
        <v>0.89927727585863626</v>
      </c>
      <c r="G464" s="4">
        <v>42499</v>
      </c>
      <c r="H464" s="13">
        <v>17535.320312</v>
      </c>
      <c r="I464" s="2">
        <f t="shared" si="23"/>
        <v>0.32764821227628455</v>
      </c>
    </row>
    <row r="465" spans="1:9" x14ac:dyDescent="0.25">
      <c r="A465" s="9">
        <v>42506</v>
      </c>
      <c r="B465" s="13">
        <v>2052.320068</v>
      </c>
      <c r="C465" s="2">
        <f t="shared" si="22"/>
        <v>0.46473976845376586</v>
      </c>
      <c r="D465" s="4">
        <v>42506</v>
      </c>
      <c r="E465" s="13">
        <v>4769.5600590000004</v>
      </c>
      <c r="F465" s="2">
        <f t="shared" si="21"/>
        <v>0.96455948232951716</v>
      </c>
      <c r="G465" s="4">
        <v>42506</v>
      </c>
      <c r="H465" s="13">
        <v>17500.939452999999</v>
      </c>
      <c r="I465" s="2">
        <f t="shared" si="23"/>
        <v>0.35589004108518058</v>
      </c>
    </row>
    <row r="466" spans="1:9" x14ac:dyDescent="0.25">
      <c r="A466" s="9">
        <v>42513</v>
      </c>
      <c r="B466" s="13">
        <v>2099.0600589999999</v>
      </c>
      <c r="C466" s="2">
        <f t="shared" si="22"/>
        <v>0.46478849216186285</v>
      </c>
      <c r="D466" s="4">
        <v>42513</v>
      </c>
      <c r="E466" s="13">
        <v>4933.5</v>
      </c>
      <c r="F466" s="2">
        <f t="shared" si="21"/>
        <v>0.96815132702837225</v>
      </c>
      <c r="G466" s="4">
        <v>42513</v>
      </c>
      <c r="H466" s="13">
        <v>17873.220702999999</v>
      </c>
      <c r="I466" s="2">
        <f t="shared" si="23"/>
        <v>0.35087102978734647</v>
      </c>
    </row>
    <row r="467" spans="1:9" x14ac:dyDescent="0.25">
      <c r="A467" s="9">
        <v>42521</v>
      </c>
      <c r="B467" s="13">
        <v>2099.1298830000001</v>
      </c>
      <c r="C467" s="2">
        <f t="shared" si="22"/>
        <v>0.46265333042821211</v>
      </c>
      <c r="D467" s="4">
        <v>42520</v>
      </c>
      <c r="E467" s="13">
        <v>4942.5200199999999</v>
      </c>
      <c r="F467" s="2">
        <f t="shared" si="21"/>
        <v>0.9490492005973119</v>
      </c>
      <c r="G467" s="4">
        <v>42521</v>
      </c>
      <c r="H467" s="13">
        <v>17807.060547000001</v>
      </c>
      <c r="I467" s="2">
        <f t="shared" si="23"/>
        <v>0.3552921869876533</v>
      </c>
    </row>
    <row r="468" spans="1:9" x14ac:dyDescent="0.25">
      <c r="A468" s="9">
        <v>42527</v>
      </c>
      <c r="B468" s="13">
        <v>2096.070068</v>
      </c>
      <c r="C468" s="2">
        <f t="shared" si="22"/>
        <v>0.44531274735638982</v>
      </c>
      <c r="D468" s="4">
        <v>42527</v>
      </c>
      <c r="E468" s="13">
        <v>4894.5498049999997</v>
      </c>
      <c r="F468" s="2">
        <f t="shared" si="21"/>
        <v>0.91153403444499759</v>
      </c>
      <c r="G468" s="4">
        <v>42527</v>
      </c>
      <c r="H468" s="13">
        <v>17865.339843999998</v>
      </c>
      <c r="I468" s="2">
        <f t="shared" si="23"/>
        <v>0.34086486304527064</v>
      </c>
    </row>
    <row r="469" spans="1:9" x14ac:dyDescent="0.25">
      <c r="A469" s="9">
        <v>42534</v>
      </c>
      <c r="B469" s="13">
        <v>2071.219971</v>
      </c>
      <c r="C469" s="2">
        <f t="shared" si="22"/>
        <v>0.42171992109089973</v>
      </c>
      <c r="D469" s="4">
        <v>42534</v>
      </c>
      <c r="E469" s="13">
        <v>4800.3398440000001</v>
      </c>
      <c r="F469" s="2">
        <f t="shared" si="21"/>
        <v>0.87475559183673468</v>
      </c>
      <c r="G469" s="4">
        <v>42534</v>
      </c>
      <c r="H469" s="13">
        <v>17675.160156000002</v>
      </c>
      <c r="I469" s="2">
        <f t="shared" si="23"/>
        <v>0.3200476861147255</v>
      </c>
    </row>
    <row r="470" spans="1:9" x14ac:dyDescent="0.25">
      <c r="A470" s="9">
        <v>42541</v>
      </c>
      <c r="B470" s="13">
        <v>2037.410034</v>
      </c>
      <c r="C470" s="2">
        <f t="shared" si="22"/>
        <v>0.46745416411050794</v>
      </c>
      <c r="D470" s="4">
        <v>42541</v>
      </c>
      <c r="E470" s="13">
        <v>4707.9799800000001</v>
      </c>
      <c r="F470" s="2">
        <f t="shared" si="21"/>
        <v>0.93631451428571433</v>
      </c>
      <c r="G470" s="4">
        <v>42541</v>
      </c>
      <c r="H470" s="13">
        <v>17400.75</v>
      </c>
      <c r="I470" s="2">
        <f t="shared" si="23"/>
        <v>0.36166677883402193</v>
      </c>
    </row>
    <row r="471" spans="1:9" x14ac:dyDescent="0.25">
      <c r="A471" s="9">
        <v>42548</v>
      </c>
      <c r="B471" s="13">
        <v>2102.9499510000001</v>
      </c>
      <c r="C471" s="2">
        <f t="shared" si="22"/>
        <v>0.48626004096873671</v>
      </c>
      <c r="D471" s="4">
        <v>42548</v>
      </c>
      <c r="E471" s="13">
        <v>4862.5698240000002</v>
      </c>
      <c r="F471" s="2">
        <f t="shared" si="21"/>
        <v>0.97382170871080143</v>
      </c>
      <c r="G471" s="4">
        <v>42548</v>
      </c>
      <c r="H471" s="13">
        <v>17949.369140999999</v>
      </c>
      <c r="I471" s="2">
        <f t="shared" si="23"/>
        <v>0.37663965383197234</v>
      </c>
    </row>
    <row r="472" spans="1:9" x14ac:dyDescent="0.25">
      <c r="A472" s="9">
        <v>42556</v>
      </c>
      <c r="B472" s="13">
        <v>2129.8999020000001</v>
      </c>
      <c r="C472" s="2">
        <f t="shared" si="22"/>
        <v>0.50847829190667593</v>
      </c>
      <c r="D472" s="4">
        <v>42555</v>
      </c>
      <c r="E472" s="13">
        <v>4956.7597660000001</v>
      </c>
      <c r="F472" s="2">
        <f t="shared" si="21"/>
        <v>1.0028232330512694</v>
      </c>
      <c r="G472" s="4">
        <v>42556</v>
      </c>
      <c r="H472" s="13">
        <v>18146.740234000001</v>
      </c>
      <c r="I472" s="2">
        <f t="shared" si="23"/>
        <v>0.40469405130726349</v>
      </c>
    </row>
    <row r="473" spans="1:9" x14ac:dyDescent="0.25">
      <c r="A473" s="9">
        <v>42562</v>
      </c>
      <c r="B473" s="13">
        <v>2161.73999</v>
      </c>
      <c r="C473" s="2">
        <f t="shared" si="22"/>
        <v>0.51775218026643788</v>
      </c>
      <c r="D473" s="4">
        <v>42562</v>
      </c>
      <c r="E473" s="13">
        <v>5029.5898440000001</v>
      </c>
      <c r="F473" s="2">
        <f t="shared" si="21"/>
        <v>1.030924900348432</v>
      </c>
      <c r="G473" s="4">
        <v>42562</v>
      </c>
      <c r="H473" s="13">
        <v>18516.550781000002</v>
      </c>
      <c r="I473" s="2">
        <f t="shared" si="23"/>
        <v>0.40881324400068997</v>
      </c>
    </row>
    <row r="474" spans="1:9" x14ac:dyDescent="0.25">
      <c r="A474" s="9">
        <v>42569</v>
      </c>
      <c r="B474" s="13">
        <v>2175.030029</v>
      </c>
      <c r="C474" s="2">
        <f t="shared" si="22"/>
        <v>0.51675436374715122</v>
      </c>
      <c r="D474" s="4">
        <v>42569</v>
      </c>
      <c r="E474" s="13">
        <v>5100.1601559999999</v>
      </c>
      <c r="F474" s="2">
        <f t="shared" si="21"/>
        <v>1.0556017453459432</v>
      </c>
      <c r="G474" s="4">
        <v>42569</v>
      </c>
      <c r="H474" s="13">
        <v>18570.849609000001</v>
      </c>
      <c r="I474" s="2">
        <f t="shared" si="23"/>
        <v>0.39829812340286752</v>
      </c>
    </row>
    <row r="475" spans="1:9" x14ac:dyDescent="0.25">
      <c r="A475" s="9">
        <v>42576</v>
      </c>
      <c r="B475" s="13">
        <v>2173.6000979999999</v>
      </c>
      <c r="C475" s="2">
        <f t="shared" si="22"/>
        <v>0.52322305216099818</v>
      </c>
      <c r="D475" s="4">
        <v>42576</v>
      </c>
      <c r="E475" s="13">
        <v>5162.1298829999996</v>
      </c>
      <c r="F475" s="2">
        <f t="shared" si="21"/>
        <v>1.0790921322050773</v>
      </c>
      <c r="G475" s="4">
        <v>42576</v>
      </c>
      <c r="H475" s="13">
        <v>18432.240234000001</v>
      </c>
      <c r="I475" s="2">
        <f t="shared" si="23"/>
        <v>0.40674068306857308</v>
      </c>
    </row>
    <row r="476" spans="1:9" x14ac:dyDescent="0.25">
      <c r="A476" s="9">
        <v>42583</v>
      </c>
      <c r="B476" s="13">
        <v>2182.8701169999999</v>
      </c>
      <c r="C476" s="2">
        <f t="shared" si="22"/>
        <v>0.52404641751305703</v>
      </c>
      <c r="D476" s="4">
        <v>42583</v>
      </c>
      <c r="E476" s="13">
        <v>5221.1201170000004</v>
      </c>
      <c r="F476" s="2">
        <f t="shared" si="21"/>
        <v>1.0837790490791439</v>
      </c>
      <c r="G476" s="4">
        <v>42583</v>
      </c>
      <c r="H476" s="13">
        <v>18543.529297000001</v>
      </c>
      <c r="I476" s="2">
        <f t="shared" si="23"/>
        <v>0.40923966884606333</v>
      </c>
    </row>
    <row r="477" spans="1:9" x14ac:dyDescent="0.25">
      <c r="A477" s="9">
        <v>42590</v>
      </c>
      <c r="B477" s="13">
        <v>2184.0500489999999</v>
      </c>
      <c r="C477" s="2">
        <f t="shared" si="22"/>
        <v>0.52392085962113888</v>
      </c>
      <c r="D477" s="4">
        <v>42590</v>
      </c>
      <c r="E477" s="13">
        <v>5232.8901370000003</v>
      </c>
      <c r="F477" s="2">
        <f t="shared" si="21"/>
        <v>1.0859651102040815</v>
      </c>
      <c r="G477" s="4">
        <v>42590</v>
      </c>
      <c r="H477" s="13">
        <v>18576.470702999999</v>
      </c>
      <c r="I477" s="2">
        <f t="shared" si="23"/>
        <v>0.40742654838649772</v>
      </c>
    </row>
    <row r="478" spans="1:9" x14ac:dyDescent="0.25">
      <c r="A478" s="9">
        <v>42597</v>
      </c>
      <c r="B478" s="13">
        <v>2183.8701169999999</v>
      </c>
      <c r="C478" s="2">
        <f t="shared" si="22"/>
        <v>0.51357232055826918</v>
      </c>
      <c r="D478" s="4">
        <v>42597</v>
      </c>
      <c r="E478" s="13">
        <v>5238.3798829999996</v>
      </c>
      <c r="F478" s="2">
        <f t="shared" si="21"/>
        <v>1.0782159968143354</v>
      </c>
      <c r="G478" s="4">
        <v>42597</v>
      </c>
      <c r="H478" s="13">
        <v>18552.570312</v>
      </c>
      <c r="I478" s="2">
        <f t="shared" si="23"/>
        <v>0.39550339619231734</v>
      </c>
    </row>
    <row r="479" spans="1:9" x14ac:dyDescent="0.25">
      <c r="A479" s="9">
        <v>42604</v>
      </c>
      <c r="B479" s="13">
        <v>2169.040039</v>
      </c>
      <c r="C479" s="2">
        <f t="shared" si="22"/>
        <v>0.52120629300156929</v>
      </c>
      <c r="D479" s="4">
        <v>42604</v>
      </c>
      <c r="E479" s="13">
        <v>5218.919922</v>
      </c>
      <c r="F479" s="2">
        <f t="shared" si="21"/>
        <v>1.0905524746640121</v>
      </c>
      <c r="G479" s="4">
        <v>42604</v>
      </c>
      <c r="H479" s="13">
        <v>18395.400390999999</v>
      </c>
      <c r="I479" s="2">
        <f t="shared" si="23"/>
        <v>0.40282862795746099</v>
      </c>
    </row>
    <row r="480" spans="1:9" x14ac:dyDescent="0.25">
      <c r="A480" s="9">
        <v>42611</v>
      </c>
      <c r="B480" s="13">
        <v>2179.9799800000001</v>
      </c>
      <c r="C480" s="2">
        <f t="shared" si="22"/>
        <v>0.48480173293281353</v>
      </c>
      <c r="D480" s="4">
        <v>42611</v>
      </c>
      <c r="E480" s="13">
        <v>5249.8999020000001</v>
      </c>
      <c r="F480" s="2">
        <f t="shared" si="21"/>
        <v>1.0411787579890492</v>
      </c>
      <c r="G480" s="4">
        <v>42611</v>
      </c>
      <c r="H480" s="13">
        <v>18491.960938</v>
      </c>
      <c r="I480" s="2">
        <f t="shared" si="23"/>
        <v>0.37199002306718487</v>
      </c>
    </row>
    <row r="481" spans="1:9" x14ac:dyDescent="0.25">
      <c r="A481" s="9">
        <v>42619</v>
      </c>
      <c r="B481" s="13">
        <v>2127.8100589999999</v>
      </c>
      <c r="C481" s="2">
        <f t="shared" si="22"/>
        <v>0.49272174502771499</v>
      </c>
      <c r="D481" s="4">
        <v>42618</v>
      </c>
      <c r="E481" s="13">
        <v>5125.9101559999999</v>
      </c>
      <c r="F481" s="2">
        <f t="shared" si="21"/>
        <v>1.0884299946241911</v>
      </c>
      <c r="G481" s="4">
        <v>42619</v>
      </c>
      <c r="H481" s="13">
        <v>18085.449218999998</v>
      </c>
      <c r="I481" s="2">
        <f t="shared" si="23"/>
        <v>0.37489943160859773</v>
      </c>
    </row>
    <row r="482" spans="1:9" x14ac:dyDescent="0.25">
      <c r="A482" s="9">
        <v>42625</v>
      </c>
      <c r="B482" s="13">
        <v>2139.1599120000001</v>
      </c>
      <c r="C482" s="2">
        <f t="shared" si="22"/>
        <v>0.51053678972152572</v>
      </c>
      <c r="D482" s="4">
        <v>42625</v>
      </c>
      <c r="E482" s="13">
        <v>5244.5698240000002</v>
      </c>
      <c r="F482" s="2">
        <f t="shared" si="21"/>
        <v>1.1127924340467894</v>
      </c>
      <c r="G482" s="4">
        <v>42625</v>
      </c>
      <c r="H482" s="13">
        <v>18123.800781000002</v>
      </c>
      <c r="I482" s="2">
        <f t="shared" si="23"/>
        <v>0.38534165404609044</v>
      </c>
    </row>
    <row r="483" spans="1:9" x14ac:dyDescent="0.25">
      <c r="A483" s="9">
        <v>42632</v>
      </c>
      <c r="B483" s="13">
        <v>2164.6899410000001</v>
      </c>
      <c r="C483" s="2">
        <f t="shared" si="22"/>
        <v>0.51303499555561893</v>
      </c>
      <c r="D483" s="4">
        <v>42632</v>
      </c>
      <c r="E483" s="13">
        <v>5305.75</v>
      </c>
      <c r="F483" s="2">
        <f t="shared" si="21"/>
        <v>1.1152812344449976</v>
      </c>
      <c r="G483" s="4">
        <v>42632</v>
      </c>
      <c r="H483" s="13">
        <v>18261.449218999998</v>
      </c>
      <c r="I483" s="2">
        <f t="shared" si="23"/>
        <v>0.38888447685760419</v>
      </c>
    </row>
    <row r="484" spans="1:9" x14ac:dyDescent="0.25">
      <c r="A484" s="9">
        <v>42639</v>
      </c>
      <c r="B484" s="13">
        <v>2168.2700199999999</v>
      </c>
      <c r="C484" s="2">
        <f t="shared" si="22"/>
        <v>0.50289583222554957</v>
      </c>
      <c r="D484" s="4">
        <v>42639</v>
      </c>
      <c r="E484" s="13">
        <v>5312</v>
      </c>
      <c r="F484" s="2">
        <f t="shared" si="21"/>
        <v>1.1074763173718267</v>
      </c>
      <c r="G484" s="4">
        <v>42639</v>
      </c>
      <c r="H484" s="13">
        <v>18308.150390999999</v>
      </c>
      <c r="I484" s="2">
        <f t="shared" si="23"/>
        <v>0.38375167317442921</v>
      </c>
    </row>
    <row r="485" spans="1:9" x14ac:dyDescent="0.25">
      <c r="A485" s="9">
        <v>42646</v>
      </c>
      <c r="B485" s="13">
        <v>2153.73999</v>
      </c>
      <c r="C485" s="2">
        <f t="shared" si="22"/>
        <v>0.4884093423749522</v>
      </c>
      <c r="D485" s="4">
        <v>42646</v>
      </c>
      <c r="E485" s="13">
        <v>5292.3999020000001</v>
      </c>
      <c r="F485" s="2">
        <f t="shared" si="21"/>
        <v>1.0763206196117472</v>
      </c>
      <c r="G485" s="4">
        <v>42646</v>
      </c>
      <c r="H485" s="13">
        <v>18240.490234000001</v>
      </c>
      <c r="I485" s="2">
        <f t="shared" si="23"/>
        <v>0.37600549877393663</v>
      </c>
    </row>
    <row r="486" spans="1:9" x14ac:dyDescent="0.25">
      <c r="A486" s="9">
        <v>42653</v>
      </c>
      <c r="B486" s="13">
        <v>2132.9799800000001</v>
      </c>
      <c r="C486" s="2">
        <f t="shared" si="22"/>
        <v>0.4941173599479966</v>
      </c>
      <c r="D486" s="4">
        <v>42653</v>
      </c>
      <c r="E486" s="13">
        <v>5214.1601559999999</v>
      </c>
      <c r="F486" s="2">
        <f t="shared" si="21"/>
        <v>1.0935390351418617</v>
      </c>
      <c r="G486" s="4">
        <v>42653</v>
      </c>
      <c r="H486" s="13">
        <v>18138.380859000001</v>
      </c>
      <c r="I486" s="2">
        <f t="shared" si="23"/>
        <v>0.37656156985265377</v>
      </c>
    </row>
    <row r="487" spans="1:9" x14ac:dyDescent="0.25">
      <c r="A487" s="9">
        <v>42660</v>
      </c>
      <c r="B487" s="13">
        <v>2141.1599120000001</v>
      </c>
      <c r="C487" s="2">
        <f t="shared" si="22"/>
        <v>0.48382469991091992</v>
      </c>
      <c r="D487" s="4">
        <v>42660</v>
      </c>
      <c r="E487" s="13">
        <v>5257.3999020000001</v>
      </c>
      <c r="F487" s="2">
        <f t="shared" si="21"/>
        <v>1.0667397105027376</v>
      </c>
      <c r="G487" s="4">
        <v>42660</v>
      </c>
      <c r="H487" s="13">
        <v>18145.710938</v>
      </c>
      <c r="I487" s="2">
        <f t="shared" si="23"/>
        <v>0.37773579383209377</v>
      </c>
    </row>
    <row r="488" spans="1:9" x14ac:dyDescent="0.25">
      <c r="A488" s="9">
        <v>42667</v>
      </c>
      <c r="B488" s="13">
        <v>2126.4099120000001</v>
      </c>
      <c r="C488" s="2">
        <f t="shared" si="22"/>
        <v>0.45505411228546433</v>
      </c>
      <c r="D488" s="4">
        <v>42667</v>
      </c>
      <c r="E488" s="13">
        <v>5190.1000979999999</v>
      </c>
      <c r="F488" s="2">
        <f t="shared" si="21"/>
        <v>1.0095052730711798</v>
      </c>
      <c r="G488" s="4">
        <v>42667</v>
      </c>
      <c r="H488" s="13">
        <v>18161.189452999999</v>
      </c>
      <c r="I488" s="2">
        <f t="shared" si="23"/>
        <v>0.35703240921102825</v>
      </c>
    </row>
    <row r="489" spans="1:9" x14ac:dyDescent="0.25">
      <c r="A489" s="9">
        <v>42674</v>
      </c>
      <c r="B489" s="13">
        <v>2085.179932</v>
      </c>
      <c r="C489" s="2">
        <f t="shared" si="22"/>
        <v>0.51036932290916648</v>
      </c>
      <c r="D489" s="4">
        <v>42674</v>
      </c>
      <c r="E489" s="13">
        <v>5046.3701170000004</v>
      </c>
      <c r="F489" s="2">
        <f t="shared" si="21"/>
        <v>1.0854593779990043</v>
      </c>
      <c r="G489" s="4">
        <v>42674</v>
      </c>
      <c r="H489" s="13">
        <v>17888.279297000001</v>
      </c>
      <c r="I489" s="2">
        <f t="shared" si="23"/>
        <v>0.42981251828826389</v>
      </c>
    </row>
    <row r="490" spans="1:9" x14ac:dyDescent="0.25">
      <c r="A490" s="9">
        <v>42681</v>
      </c>
      <c r="B490" s="13">
        <v>2164.4499510000001</v>
      </c>
      <c r="C490" s="2">
        <f t="shared" si="22"/>
        <v>0.52254602889605772</v>
      </c>
      <c r="D490" s="4">
        <v>42681</v>
      </c>
      <c r="E490" s="13">
        <v>5237.1098629999997</v>
      </c>
      <c r="F490" s="2">
        <f t="shared" si="21"/>
        <v>1.119068099950224</v>
      </c>
      <c r="G490" s="4">
        <v>42681</v>
      </c>
      <c r="H490" s="13">
        <v>18847.660156000002</v>
      </c>
      <c r="I490" s="2">
        <f t="shared" si="23"/>
        <v>0.43135019619382697</v>
      </c>
    </row>
    <row r="491" spans="1:9" x14ac:dyDescent="0.25">
      <c r="A491" s="9">
        <v>42688</v>
      </c>
      <c r="B491" s="13">
        <v>2181.8999020000001</v>
      </c>
      <c r="C491" s="2">
        <f t="shared" si="22"/>
        <v>0.54449221028774764</v>
      </c>
      <c r="D491" s="4">
        <v>42688</v>
      </c>
      <c r="E491" s="13">
        <v>5321.5097660000001</v>
      </c>
      <c r="F491" s="2">
        <f t="shared" si="21"/>
        <v>1.1498934482827277</v>
      </c>
      <c r="G491" s="4">
        <v>42688</v>
      </c>
      <c r="H491" s="13">
        <v>18867.929688</v>
      </c>
      <c r="I491" s="2">
        <f t="shared" si="23"/>
        <v>0.45291087546083258</v>
      </c>
    </row>
    <row r="492" spans="1:9" x14ac:dyDescent="0.25">
      <c r="A492" s="9">
        <v>42695</v>
      </c>
      <c r="B492" s="13">
        <v>2213.3500979999999</v>
      </c>
      <c r="C492" s="2">
        <f t="shared" si="22"/>
        <v>0.52955902806303823</v>
      </c>
      <c r="D492" s="4">
        <v>42695</v>
      </c>
      <c r="E492" s="13">
        <v>5398.919922</v>
      </c>
      <c r="F492" s="2">
        <f t="shared" si="21"/>
        <v>1.0928421710303635</v>
      </c>
      <c r="G492" s="4">
        <v>42695</v>
      </c>
      <c r="H492" s="13">
        <v>19152.140625</v>
      </c>
      <c r="I492" s="2">
        <f t="shared" si="23"/>
        <v>0.45429757107502478</v>
      </c>
    </row>
    <row r="493" spans="1:9" x14ac:dyDescent="0.25">
      <c r="A493" s="9">
        <v>42702</v>
      </c>
      <c r="B493" s="13">
        <v>2191.9499510000001</v>
      </c>
      <c r="C493" s="2">
        <f t="shared" si="22"/>
        <v>0.57671691064833464</v>
      </c>
      <c r="D493" s="4">
        <v>42702</v>
      </c>
      <c r="E493" s="13">
        <v>5255.6499020000001</v>
      </c>
      <c r="F493" s="2">
        <f>(E494-$E$6)/$E$6</f>
        <v>1.1680438028870084</v>
      </c>
      <c r="G493" s="4">
        <v>42702</v>
      </c>
      <c r="H493" s="13">
        <v>19170.419922000001</v>
      </c>
      <c r="I493" s="2">
        <f t="shared" si="23"/>
        <v>0.49878503002899705</v>
      </c>
    </row>
    <row r="494" spans="1:9" x14ac:dyDescent="0.25">
      <c r="A494" s="9">
        <v>42709</v>
      </c>
      <c r="B494" s="13">
        <v>2259.530029</v>
      </c>
      <c r="C494" s="2">
        <f t="shared" si="22"/>
        <v>0.57569813897101996</v>
      </c>
      <c r="D494" s="4">
        <v>42709</v>
      </c>
      <c r="E494" s="13">
        <v>5444.5</v>
      </c>
      <c r="F494" s="2">
        <f t="shared" ref="F494:F557" si="24">(E495-$E$6)/$E$6</f>
        <v>1.1651210178198108</v>
      </c>
      <c r="G494" s="4">
        <v>42709</v>
      </c>
      <c r="H494" s="13">
        <v>19756.849609000001</v>
      </c>
      <c r="I494" s="2">
        <f t="shared" si="23"/>
        <v>0.50535164639761199</v>
      </c>
    </row>
    <row r="495" spans="1:9" x14ac:dyDescent="0.25">
      <c r="A495" s="9">
        <v>42716</v>
      </c>
      <c r="B495" s="13">
        <v>2258.070068</v>
      </c>
      <c r="C495" s="2">
        <f t="shared" si="22"/>
        <v>0.57968957740660898</v>
      </c>
      <c r="D495" s="4">
        <v>42716</v>
      </c>
      <c r="E495" s="13">
        <v>5437.1601559999999</v>
      </c>
      <c r="F495" s="2">
        <f t="shared" si="24"/>
        <v>1.1752871840716772</v>
      </c>
      <c r="G495" s="4">
        <v>42716</v>
      </c>
      <c r="H495" s="13">
        <v>19843.410156000002</v>
      </c>
      <c r="I495" s="2">
        <f t="shared" si="23"/>
        <v>0.51220955924409362</v>
      </c>
    </row>
    <row r="496" spans="1:9" x14ac:dyDescent="0.25">
      <c r="A496" s="9">
        <v>42723</v>
      </c>
      <c r="B496" s="13">
        <v>2263.790039</v>
      </c>
      <c r="C496" s="2">
        <f t="shared" si="22"/>
        <v>0.56227233041598579</v>
      </c>
      <c r="D496" s="4">
        <v>42723</v>
      </c>
      <c r="E496" s="13">
        <v>5462.6899409999996</v>
      </c>
      <c r="F496" s="2">
        <f t="shared" si="24"/>
        <v>1.1436018385266302</v>
      </c>
      <c r="G496" s="4">
        <v>42723</v>
      </c>
      <c r="H496" s="13">
        <v>19933.810547000001</v>
      </c>
      <c r="I496" s="2">
        <f t="shared" si="23"/>
        <v>0.49922123388200107</v>
      </c>
    </row>
    <row r="497" spans="1:9" x14ac:dyDescent="0.25">
      <c r="A497" s="9">
        <v>42731</v>
      </c>
      <c r="B497" s="13">
        <v>2238.830078</v>
      </c>
      <c r="C497" s="2">
        <f t="shared" si="22"/>
        <v>0.58889361663522588</v>
      </c>
      <c r="D497" s="4">
        <v>42730</v>
      </c>
      <c r="E497" s="13">
        <v>5383.1201170000004</v>
      </c>
      <c r="F497" s="2">
        <f t="shared" si="24"/>
        <v>1.1985306357391738</v>
      </c>
      <c r="G497" s="4">
        <v>42731</v>
      </c>
      <c r="H497" s="13">
        <v>19762.599609000001</v>
      </c>
      <c r="I497" s="2">
        <f t="shared" si="23"/>
        <v>0.51448466456988362</v>
      </c>
    </row>
    <row r="498" spans="1:9" x14ac:dyDescent="0.25">
      <c r="A498" s="9">
        <v>42736</v>
      </c>
      <c r="B498" s="13">
        <v>2276.9799800000001</v>
      </c>
      <c r="C498" s="2">
        <f t="shared" si="22"/>
        <v>0.58726068646924734</v>
      </c>
      <c r="D498" s="4">
        <v>42737</v>
      </c>
      <c r="E498" s="13">
        <v>5521.0600590000004</v>
      </c>
      <c r="F498" s="2">
        <f t="shared" si="24"/>
        <v>1.2196595786958688</v>
      </c>
      <c r="G498" s="4">
        <v>42736</v>
      </c>
      <c r="H498" s="13">
        <v>19963.800781000002</v>
      </c>
      <c r="I498" s="2">
        <f t="shared" si="23"/>
        <v>0.50856213050038312</v>
      </c>
    </row>
    <row r="499" spans="1:9" x14ac:dyDescent="0.25">
      <c r="A499" s="9">
        <v>42743</v>
      </c>
      <c r="B499" s="13">
        <v>2274.639893</v>
      </c>
      <c r="C499" s="2">
        <f t="shared" si="22"/>
        <v>0.58493710346301686</v>
      </c>
      <c r="D499" s="4">
        <v>42744</v>
      </c>
      <c r="E499" s="13">
        <v>5574.1201170000004</v>
      </c>
      <c r="F499" s="2">
        <f t="shared" si="24"/>
        <v>1.2121772336485814</v>
      </c>
      <c r="G499" s="4">
        <v>42743</v>
      </c>
      <c r="H499" s="13">
        <v>19885.730468999998</v>
      </c>
      <c r="I499" s="2">
        <f t="shared" si="23"/>
        <v>0.50412571208242118</v>
      </c>
    </row>
    <row r="500" spans="1:9" x14ac:dyDescent="0.25">
      <c r="A500" s="9">
        <v>42750</v>
      </c>
      <c r="B500" s="13">
        <v>2271.3100589999999</v>
      </c>
      <c r="C500" s="2">
        <f t="shared" si="22"/>
        <v>0.60125175953982835</v>
      </c>
      <c r="D500" s="4">
        <v>42751</v>
      </c>
      <c r="E500" s="13">
        <v>5555.330078</v>
      </c>
      <c r="F500" s="2">
        <f t="shared" si="24"/>
        <v>1.254168157292185</v>
      </c>
      <c r="G500" s="4">
        <v>42750</v>
      </c>
      <c r="H500" s="13">
        <v>19827.25</v>
      </c>
      <c r="I500" s="2">
        <f t="shared" si="23"/>
        <v>0.52434503491543905</v>
      </c>
    </row>
    <row r="501" spans="1:9" x14ac:dyDescent="0.25">
      <c r="A501" s="9">
        <v>42757</v>
      </c>
      <c r="B501" s="13">
        <v>2294.6899410000001</v>
      </c>
      <c r="C501" s="2">
        <f t="shared" si="22"/>
        <v>0.60315676064767099</v>
      </c>
      <c r="D501" s="4">
        <v>42758</v>
      </c>
      <c r="E501" s="13">
        <v>5660.7797849999997</v>
      </c>
      <c r="F501" s="2">
        <f t="shared" si="24"/>
        <v>1.2565535171727227</v>
      </c>
      <c r="G501" s="4">
        <v>42757</v>
      </c>
      <c r="H501" s="13">
        <v>20093.779297000001</v>
      </c>
      <c r="I501" s="2">
        <f t="shared" si="23"/>
        <v>0.52265192983917352</v>
      </c>
    </row>
    <row r="502" spans="1:9" x14ac:dyDescent="0.25">
      <c r="A502" s="9">
        <v>42764</v>
      </c>
      <c r="B502" s="13">
        <v>2297.419922</v>
      </c>
      <c r="C502" s="2">
        <f t="shared" si="22"/>
        <v>0.6161919268172138</v>
      </c>
      <c r="D502" s="4">
        <v>42765</v>
      </c>
      <c r="E502" s="13">
        <v>5666.7700199999999</v>
      </c>
      <c r="F502" s="2">
        <f t="shared" si="24"/>
        <v>1.2833767577899451</v>
      </c>
      <c r="G502" s="4">
        <v>42764</v>
      </c>
      <c r="H502" s="13">
        <v>20071.460938</v>
      </c>
      <c r="I502" s="2">
        <f t="shared" si="23"/>
        <v>0.53766555082868672</v>
      </c>
    </row>
    <row r="503" spans="1:9" x14ac:dyDescent="0.25">
      <c r="A503" s="9">
        <v>42771</v>
      </c>
      <c r="B503" s="13">
        <v>2316.1000979999999</v>
      </c>
      <c r="C503" s="2">
        <f t="shared" si="22"/>
        <v>0.64065692657756235</v>
      </c>
      <c r="D503" s="4">
        <v>42772</v>
      </c>
      <c r="E503" s="13">
        <v>5734.1298829999996</v>
      </c>
      <c r="F503" s="2">
        <f t="shared" si="24"/>
        <v>1.3249696676953708</v>
      </c>
      <c r="G503" s="4">
        <v>42771</v>
      </c>
      <c r="H503" s="13">
        <v>20269.369140999999</v>
      </c>
      <c r="I503" s="2">
        <f t="shared" si="23"/>
        <v>0.56457224612569279</v>
      </c>
    </row>
    <row r="504" spans="1:9" x14ac:dyDescent="0.25">
      <c r="A504" s="9">
        <v>42778</v>
      </c>
      <c r="B504" s="13">
        <v>2351.1599120000001</v>
      </c>
      <c r="C504" s="2">
        <f t="shared" si="22"/>
        <v>0.65194757409675319</v>
      </c>
      <c r="D504" s="4">
        <v>42779</v>
      </c>
      <c r="E504" s="13">
        <v>5838.580078</v>
      </c>
      <c r="F504" s="2">
        <f t="shared" si="24"/>
        <v>1.3276496003982081</v>
      </c>
      <c r="G504" s="4">
        <v>42778</v>
      </c>
      <c r="H504" s="13">
        <v>20624.050781000002</v>
      </c>
      <c r="I504" s="2">
        <f t="shared" si="23"/>
        <v>0.57957075413099934</v>
      </c>
    </row>
    <row r="505" spans="1:9" x14ac:dyDescent="0.25">
      <c r="A505" s="9">
        <v>42785</v>
      </c>
      <c r="B505" s="13">
        <v>2367.3400879999999</v>
      </c>
      <c r="C505" s="2">
        <f t="shared" si="22"/>
        <v>0.66295899605419129</v>
      </c>
      <c r="D505" s="4">
        <v>42786</v>
      </c>
      <c r="E505" s="13">
        <v>5845.3100590000004</v>
      </c>
      <c r="F505" s="2">
        <f t="shared" si="24"/>
        <v>1.3377799900447984</v>
      </c>
      <c r="G505" s="4">
        <v>42785</v>
      </c>
      <c r="H505" s="13">
        <v>20821.759765999999</v>
      </c>
      <c r="I505" s="2">
        <f t="shared" si="23"/>
        <v>0.59352557325986988</v>
      </c>
    </row>
    <row r="506" spans="1:9" x14ac:dyDescent="0.25">
      <c r="A506" s="9">
        <v>42792</v>
      </c>
      <c r="B506" s="13">
        <v>2383.1201169999999</v>
      </c>
      <c r="C506" s="2">
        <f t="shared" si="22"/>
        <v>0.65561804831516834</v>
      </c>
      <c r="D506" s="4">
        <v>42793</v>
      </c>
      <c r="E506" s="13">
        <v>5870.75</v>
      </c>
      <c r="F506" s="2">
        <f t="shared" si="24"/>
        <v>1.3341881453459432</v>
      </c>
      <c r="G506" s="4">
        <v>42792</v>
      </c>
      <c r="H506" s="13">
        <v>21005.710938</v>
      </c>
      <c r="I506" s="2">
        <f t="shared" si="23"/>
        <v>0.58573228171226799</v>
      </c>
    </row>
    <row r="507" spans="1:9" x14ac:dyDescent="0.25">
      <c r="A507" s="9">
        <v>42799</v>
      </c>
      <c r="B507" s="13">
        <v>2372.6000979999999</v>
      </c>
      <c r="C507" s="2">
        <f t="shared" si="22"/>
        <v>0.65956059207983286</v>
      </c>
      <c r="D507" s="4">
        <v>42800</v>
      </c>
      <c r="E507" s="13">
        <v>5861.7299800000001</v>
      </c>
      <c r="F507" s="2">
        <f t="shared" si="24"/>
        <v>1.3498257839721255</v>
      </c>
      <c r="G507" s="4">
        <v>42799</v>
      </c>
      <c r="H507" s="13">
        <v>20902.980468999998</v>
      </c>
      <c r="I507" s="2">
        <f t="shared" si="23"/>
        <v>0.58661520928970279</v>
      </c>
    </row>
    <row r="508" spans="1:9" x14ac:dyDescent="0.25">
      <c r="A508" s="9">
        <v>42806</v>
      </c>
      <c r="B508" s="13">
        <v>2378.25</v>
      </c>
      <c r="C508" s="2">
        <f t="shared" si="22"/>
        <v>0.63564671646465876</v>
      </c>
      <c r="D508" s="4">
        <v>42807</v>
      </c>
      <c r="E508" s="13">
        <v>5901</v>
      </c>
      <c r="F508" s="2">
        <f t="shared" si="24"/>
        <v>1.32105136246889</v>
      </c>
      <c r="G508" s="4">
        <v>42806</v>
      </c>
      <c r="H508" s="13">
        <v>20914.619140999999</v>
      </c>
      <c r="I508" s="2">
        <f t="shared" si="23"/>
        <v>0.56249894432977954</v>
      </c>
    </row>
    <row r="509" spans="1:9" x14ac:dyDescent="0.25">
      <c r="A509" s="9">
        <v>42813</v>
      </c>
      <c r="B509" s="13">
        <v>2343.9799800000001</v>
      </c>
      <c r="C509" s="2">
        <f t="shared" si="22"/>
        <v>0.64872362198743005</v>
      </c>
      <c r="D509" s="4">
        <v>42814</v>
      </c>
      <c r="E509" s="13">
        <v>5828.7402339999999</v>
      </c>
      <c r="F509" s="2">
        <f t="shared" si="24"/>
        <v>1.354102631757093</v>
      </c>
      <c r="G509" s="4">
        <v>42813</v>
      </c>
      <c r="H509" s="13">
        <v>20596.720702999999</v>
      </c>
      <c r="I509" s="2">
        <f t="shared" si="23"/>
        <v>0.56754373671669556</v>
      </c>
    </row>
    <row r="510" spans="1:9" x14ac:dyDescent="0.25">
      <c r="A510" s="9">
        <v>42820</v>
      </c>
      <c r="B510" s="13">
        <v>2362.719971</v>
      </c>
      <c r="C510" s="2">
        <f t="shared" si="22"/>
        <v>0.64371341187452646</v>
      </c>
      <c r="D510" s="4">
        <v>42821</v>
      </c>
      <c r="E510" s="13">
        <v>5911.7402339999999</v>
      </c>
      <c r="F510" s="2">
        <f t="shared" si="24"/>
        <v>1.3405913624688901</v>
      </c>
      <c r="G510" s="4">
        <v>42820</v>
      </c>
      <c r="H510" s="13">
        <v>20663.220702999999</v>
      </c>
      <c r="I510" s="2">
        <f t="shared" si="23"/>
        <v>0.56700351956184281</v>
      </c>
    </row>
    <row r="511" spans="1:9" x14ac:dyDescent="0.25">
      <c r="A511" s="9">
        <v>42827</v>
      </c>
      <c r="B511" s="13">
        <v>2355.540039</v>
      </c>
      <c r="C511" s="2">
        <f t="shared" si="22"/>
        <v>0.62515865010232641</v>
      </c>
      <c r="D511" s="4">
        <v>42828</v>
      </c>
      <c r="E511" s="13">
        <v>5877.8100590000004</v>
      </c>
      <c r="F511" s="2">
        <f t="shared" si="24"/>
        <v>1.3116575020408163</v>
      </c>
      <c r="G511" s="4">
        <v>42827</v>
      </c>
      <c r="H511" s="13">
        <v>20656.099609000001</v>
      </c>
      <c r="I511" s="2">
        <f t="shared" si="23"/>
        <v>0.55161503590511951</v>
      </c>
    </row>
    <row r="512" spans="1:9" x14ac:dyDescent="0.25">
      <c r="A512" s="9">
        <v>42834</v>
      </c>
      <c r="B512" s="13">
        <v>2328.9499510000001</v>
      </c>
      <c r="C512" s="2">
        <f t="shared" si="22"/>
        <v>0.63893336238743104</v>
      </c>
      <c r="D512" s="4">
        <v>42835</v>
      </c>
      <c r="E512" s="13">
        <v>5805.1499020000001</v>
      </c>
      <c r="F512" s="2">
        <f t="shared" si="24"/>
        <v>1.3536167327028372</v>
      </c>
      <c r="G512" s="4">
        <v>42834</v>
      </c>
      <c r="H512" s="13">
        <v>20453.25</v>
      </c>
      <c r="I512" s="2">
        <f t="shared" si="23"/>
        <v>0.55878469226611227</v>
      </c>
    </row>
    <row r="513" spans="1:9" x14ac:dyDescent="0.25">
      <c r="A513" s="9">
        <v>42841</v>
      </c>
      <c r="B513" s="13">
        <v>2348.6899410000001</v>
      </c>
      <c r="C513" s="2">
        <f t="shared" si="22"/>
        <v>0.66371251227510497</v>
      </c>
      <c r="D513" s="4">
        <v>42842</v>
      </c>
      <c r="E513" s="13">
        <v>5910.5200199999999</v>
      </c>
      <c r="F513" s="2">
        <f t="shared" si="24"/>
        <v>1.408207013638626</v>
      </c>
      <c r="G513" s="4">
        <v>42841</v>
      </c>
      <c r="H513" s="13">
        <v>20547.759765999999</v>
      </c>
      <c r="I513" s="2">
        <f t="shared" si="23"/>
        <v>0.58857931196477797</v>
      </c>
    </row>
    <row r="514" spans="1:9" x14ac:dyDescent="0.25">
      <c r="A514" s="9">
        <v>42848</v>
      </c>
      <c r="B514" s="13">
        <v>2384.1999510000001</v>
      </c>
      <c r="C514" s="2">
        <f t="shared" si="22"/>
        <v>0.674242488255686</v>
      </c>
      <c r="D514" s="4">
        <v>42849</v>
      </c>
      <c r="E514" s="13">
        <v>6047.6098629999997</v>
      </c>
      <c r="F514" s="2">
        <f t="shared" si="24"/>
        <v>1.4293717335988054</v>
      </c>
      <c r="G514" s="4">
        <v>42848</v>
      </c>
      <c r="H514" s="13">
        <v>20940.509765999999</v>
      </c>
      <c r="I514" s="2">
        <f t="shared" si="23"/>
        <v>0.59361877029925636</v>
      </c>
    </row>
    <row r="515" spans="1:9" x14ac:dyDescent="0.25">
      <c r="A515" s="9">
        <v>42855</v>
      </c>
      <c r="B515" s="13">
        <v>2399.290039</v>
      </c>
      <c r="C515" s="2">
        <f t="shared" si="22"/>
        <v>0.66838778806548282</v>
      </c>
      <c r="D515" s="4">
        <v>42856</v>
      </c>
      <c r="E515" s="13">
        <v>6100.7597660000001</v>
      </c>
      <c r="F515" s="2">
        <f t="shared" si="24"/>
        <v>1.4375231378795421</v>
      </c>
      <c r="G515" s="4">
        <v>42855</v>
      </c>
      <c r="H515" s="13">
        <v>21006.939452999999</v>
      </c>
      <c r="I515" s="2">
        <f t="shared" si="23"/>
        <v>0.58524896071215493</v>
      </c>
    </row>
    <row r="516" spans="1:9" x14ac:dyDescent="0.25">
      <c r="A516" s="9">
        <v>42862</v>
      </c>
      <c r="B516" s="13">
        <v>2390.8999020000001</v>
      </c>
      <c r="C516" s="2">
        <f t="shared" si="22"/>
        <v>0.66198894808497366</v>
      </c>
      <c r="D516" s="4">
        <v>42863</v>
      </c>
      <c r="E516" s="13">
        <v>6121.2299800000001</v>
      </c>
      <c r="F516" s="2">
        <f t="shared" si="24"/>
        <v>1.4225784748631161</v>
      </c>
      <c r="G516" s="4">
        <v>42862</v>
      </c>
      <c r="H516" s="13">
        <v>20896.609375</v>
      </c>
      <c r="I516" s="2">
        <f t="shared" si="23"/>
        <v>0.57828718279727276</v>
      </c>
    </row>
    <row r="517" spans="1:9" x14ac:dyDescent="0.25">
      <c r="A517" s="9">
        <v>42869</v>
      </c>
      <c r="B517" s="13">
        <v>2381.7299800000001</v>
      </c>
      <c r="C517" s="2">
        <f t="shared" si="22"/>
        <v>0.68577726580822962</v>
      </c>
      <c r="D517" s="4">
        <v>42870</v>
      </c>
      <c r="E517" s="13">
        <v>6083.7001950000003</v>
      </c>
      <c r="F517" s="2">
        <f t="shared" si="24"/>
        <v>1.4729477116973617</v>
      </c>
      <c r="G517" s="4">
        <v>42869</v>
      </c>
      <c r="H517" s="13">
        <v>20804.839843999998</v>
      </c>
      <c r="I517" s="2">
        <f t="shared" si="23"/>
        <v>0.59918244378299801</v>
      </c>
    </row>
    <row r="518" spans="1:9" x14ac:dyDescent="0.25">
      <c r="A518" s="9">
        <v>42876</v>
      </c>
      <c r="B518" s="13">
        <v>2415.820068</v>
      </c>
      <c r="C518" s="2">
        <f t="shared" si="22"/>
        <v>0.70200128925650296</v>
      </c>
      <c r="D518" s="4">
        <v>42877</v>
      </c>
      <c r="E518" s="13">
        <v>6210.1899409999996</v>
      </c>
      <c r="F518" s="2">
        <f t="shared" si="24"/>
        <v>1.5110203305126928</v>
      </c>
      <c r="G518" s="4">
        <v>42876</v>
      </c>
      <c r="H518" s="13">
        <v>21080.279297000001</v>
      </c>
      <c r="I518" s="2">
        <f t="shared" si="23"/>
        <v>0.60874173864305625</v>
      </c>
    </row>
    <row r="519" spans="1:9" x14ac:dyDescent="0.25">
      <c r="A519" s="9">
        <v>42883</v>
      </c>
      <c r="B519" s="13">
        <v>2439.070068</v>
      </c>
      <c r="C519" s="2">
        <f t="shared" ref="C519:C582" si="25">(B520-$B$6)/$B$6</f>
        <v>0.69690726130271707</v>
      </c>
      <c r="D519" s="4">
        <v>42884</v>
      </c>
      <c r="E519" s="13">
        <v>6305.7998049999997</v>
      </c>
      <c r="F519" s="2">
        <f t="shared" si="24"/>
        <v>1.4720437718267796</v>
      </c>
      <c r="G519" s="4">
        <v>42883</v>
      </c>
      <c r="H519" s="13">
        <v>21206.289063</v>
      </c>
      <c r="I519" s="2">
        <f t="shared" ref="I519:I582" si="26">(H520-$H$6)/$H$6</f>
        <v>0.61372444898038181</v>
      </c>
    </row>
    <row r="520" spans="1:9" x14ac:dyDescent="0.25">
      <c r="A520" s="9">
        <v>42890</v>
      </c>
      <c r="B520" s="13">
        <v>2431.7700199999999</v>
      </c>
      <c r="C520" s="2">
        <f t="shared" si="25"/>
        <v>0.6978701532564312</v>
      </c>
      <c r="D520" s="4">
        <v>42891</v>
      </c>
      <c r="E520" s="13">
        <v>6207.919922</v>
      </c>
      <c r="F520" s="2">
        <f t="shared" si="24"/>
        <v>1.4496803448481832</v>
      </c>
      <c r="G520" s="4">
        <v>42890</v>
      </c>
      <c r="H520" s="13">
        <v>21271.970702999999</v>
      </c>
      <c r="I520" s="2">
        <f t="shared" si="26"/>
        <v>0.6222443518374714</v>
      </c>
    </row>
    <row r="521" spans="1:9" x14ac:dyDescent="0.25">
      <c r="A521" s="9">
        <v>42897</v>
      </c>
      <c r="B521" s="13">
        <v>2433.1499020000001</v>
      </c>
      <c r="C521" s="2">
        <f t="shared" si="25"/>
        <v>0.70146396425385271</v>
      </c>
      <c r="D521" s="4">
        <v>42898</v>
      </c>
      <c r="E521" s="13">
        <v>6151.7597660000001</v>
      </c>
      <c r="F521" s="2">
        <f t="shared" si="24"/>
        <v>1.4948730711796914</v>
      </c>
      <c r="G521" s="4">
        <v>42897</v>
      </c>
      <c r="H521" s="13">
        <v>21384.279297000001</v>
      </c>
      <c r="I521" s="2">
        <f t="shared" si="26"/>
        <v>0.62303941635209548</v>
      </c>
    </row>
    <row r="522" spans="1:9" x14ac:dyDescent="0.25">
      <c r="A522" s="9">
        <v>42904</v>
      </c>
      <c r="B522" s="13">
        <v>2438.3000489999999</v>
      </c>
      <c r="C522" s="2">
        <f t="shared" si="25"/>
        <v>0.69107351557273444</v>
      </c>
      <c r="D522" s="4">
        <v>42905</v>
      </c>
      <c r="E522" s="13">
        <v>6265.25</v>
      </c>
      <c r="F522" s="2">
        <f t="shared" si="24"/>
        <v>1.4451647275261323</v>
      </c>
      <c r="G522" s="4">
        <v>42904</v>
      </c>
      <c r="H522" s="13">
        <v>21394.759765999999</v>
      </c>
      <c r="I522" s="2">
        <f t="shared" si="26"/>
        <v>0.6196158679842243</v>
      </c>
    </row>
    <row r="523" spans="1:9" x14ac:dyDescent="0.25">
      <c r="A523" s="9">
        <v>42911</v>
      </c>
      <c r="B523" s="13">
        <v>2423.4099120000001</v>
      </c>
      <c r="C523" s="2">
        <f t="shared" si="25"/>
        <v>0.69230864873333275</v>
      </c>
      <c r="D523" s="4">
        <v>42912</v>
      </c>
      <c r="E523" s="13">
        <v>6140.419922</v>
      </c>
      <c r="F523" s="2">
        <f t="shared" si="24"/>
        <v>1.4502061037332006</v>
      </c>
      <c r="G523" s="4">
        <v>42911</v>
      </c>
      <c r="H523" s="13">
        <v>21349.630859000001</v>
      </c>
      <c r="I523" s="2">
        <f t="shared" si="26"/>
        <v>0.6245247912156987</v>
      </c>
    </row>
    <row r="524" spans="1:9" x14ac:dyDescent="0.25">
      <c r="A524" s="9">
        <v>42918</v>
      </c>
      <c r="B524" s="13">
        <v>2425.179932</v>
      </c>
      <c r="C524" s="2">
        <f t="shared" si="25"/>
        <v>0.71609696645658871</v>
      </c>
      <c r="D524" s="4">
        <v>42919</v>
      </c>
      <c r="E524" s="13">
        <v>6153.080078</v>
      </c>
      <c r="F524" s="2">
        <f t="shared" si="24"/>
        <v>1.5136765415629667</v>
      </c>
      <c r="G524" s="4">
        <v>42918</v>
      </c>
      <c r="H524" s="13">
        <v>21414.339843999998</v>
      </c>
      <c r="I524" s="2">
        <f t="shared" si="26"/>
        <v>0.64147228876015117</v>
      </c>
    </row>
    <row r="525" spans="1:9" x14ac:dyDescent="0.25">
      <c r="A525" s="9">
        <v>42925</v>
      </c>
      <c r="B525" s="13">
        <v>2459.2700199999999</v>
      </c>
      <c r="C525" s="2">
        <f t="shared" si="25"/>
        <v>0.72535688471099879</v>
      </c>
      <c r="D525" s="4">
        <v>42926</v>
      </c>
      <c r="E525" s="13">
        <v>6312.4702150000003</v>
      </c>
      <c r="F525" s="2">
        <f t="shared" si="24"/>
        <v>1.5436535589845695</v>
      </c>
      <c r="G525" s="4">
        <v>42925</v>
      </c>
      <c r="H525" s="13">
        <v>21637.740234000001</v>
      </c>
      <c r="I525" s="2">
        <f t="shared" si="26"/>
        <v>0.63709735976143156</v>
      </c>
    </row>
    <row r="526" spans="1:9" x14ac:dyDescent="0.25">
      <c r="A526" s="9">
        <v>42932</v>
      </c>
      <c r="B526" s="13">
        <v>2472.540039</v>
      </c>
      <c r="C526" s="2">
        <f t="shared" si="25"/>
        <v>0.7250498905991769</v>
      </c>
      <c r="D526" s="4">
        <v>42933</v>
      </c>
      <c r="E526" s="13">
        <v>6387.75</v>
      </c>
      <c r="F526" s="2">
        <f t="shared" si="24"/>
        <v>1.5384490496764558</v>
      </c>
      <c r="G526" s="4">
        <v>42932</v>
      </c>
      <c r="H526" s="13">
        <v>21580.070313</v>
      </c>
      <c r="I526" s="2">
        <f t="shared" si="26"/>
        <v>0.65608096919576675</v>
      </c>
    </row>
    <row r="527" spans="1:9" x14ac:dyDescent="0.25">
      <c r="A527" s="9">
        <v>42939</v>
      </c>
      <c r="B527" s="13">
        <v>2472.1000979999999</v>
      </c>
      <c r="C527" s="2">
        <f t="shared" si="25"/>
        <v>0.72835050592949369</v>
      </c>
      <c r="D527" s="4">
        <v>42940</v>
      </c>
      <c r="E527" s="13">
        <v>6374.6801759999998</v>
      </c>
      <c r="F527" s="2">
        <f t="shared" si="24"/>
        <v>1.5292424326530614</v>
      </c>
      <c r="G527" s="4">
        <v>42939</v>
      </c>
      <c r="H527" s="13">
        <v>21830.310547000001</v>
      </c>
      <c r="I527" s="2">
        <f t="shared" si="26"/>
        <v>0.67599462335464588</v>
      </c>
    </row>
    <row r="528" spans="1:9" x14ac:dyDescent="0.25">
      <c r="A528" s="9">
        <v>42946</v>
      </c>
      <c r="B528" s="13">
        <v>2476.830078</v>
      </c>
      <c r="C528" s="2">
        <f t="shared" si="25"/>
        <v>0.70357135604181975</v>
      </c>
      <c r="D528" s="4">
        <v>42947</v>
      </c>
      <c r="E528" s="13">
        <v>6351.5600590000004</v>
      </c>
      <c r="F528" s="2">
        <f t="shared" si="24"/>
        <v>1.4914126666002987</v>
      </c>
      <c r="G528" s="4">
        <v>42946</v>
      </c>
      <c r="H528" s="13">
        <v>22092.810547000001</v>
      </c>
      <c r="I528" s="2">
        <f t="shared" si="26"/>
        <v>0.65820583316984338</v>
      </c>
    </row>
    <row r="529" spans="1:9" x14ac:dyDescent="0.25">
      <c r="A529" s="9">
        <v>42953</v>
      </c>
      <c r="B529" s="13">
        <v>2441.320068</v>
      </c>
      <c r="C529" s="2">
        <f t="shared" si="25"/>
        <v>0.6925669191370577</v>
      </c>
      <c r="D529" s="4">
        <v>42954</v>
      </c>
      <c r="E529" s="13">
        <v>6256.5600590000004</v>
      </c>
      <c r="F529" s="2">
        <f t="shared" si="24"/>
        <v>1.475472288700846</v>
      </c>
      <c r="G529" s="4">
        <v>42953</v>
      </c>
      <c r="H529" s="13">
        <v>21858.320313</v>
      </c>
      <c r="I529" s="2">
        <f t="shared" si="26"/>
        <v>0.64426168206998657</v>
      </c>
    </row>
    <row r="530" spans="1:9" x14ac:dyDescent="0.25">
      <c r="A530" s="9">
        <v>42960</v>
      </c>
      <c r="B530" s="13">
        <v>2425.5500489999999</v>
      </c>
      <c r="C530" s="2">
        <f t="shared" si="25"/>
        <v>0.70477854968952147</v>
      </c>
      <c r="D530" s="4">
        <v>42961</v>
      </c>
      <c r="E530" s="13">
        <v>6216.5297849999997</v>
      </c>
      <c r="F530" s="2">
        <f t="shared" si="24"/>
        <v>1.4950284268790444</v>
      </c>
      <c r="G530" s="4">
        <v>42960</v>
      </c>
      <c r="H530" s="13">
        <v>21674.509765999999</v>
      </c>
      <c r="I530" s="2">
        <f t="shared" si="26"/>
        <v>0.65481858576248064</v>
      </c>
    </row>
    <row r="531" spans="1:9" x14ac:dyDescent="0.25">
      <c r="A531" s="9">
        <v>42967</v>
      </c>
      <c r="B531" s="13">
        <v>2443.0500489999999</v>
      </c>
      <c r="C531" s="2">
        <f t="shared" si="25"/>
        <v>0.72815509960423797</v>
      </c>
      <c r="D531" s="4">
        <v>42968</v>
      </c>
      <c r="E531" s="13">
        <v>6265.6401370000003</v>
      </c>
      <c r="F531" s="2">
        <f t="shared" si="24"/>
        <v>1.5626003297162767</v>
      </c>
      <c r="G531" s="4">
        <v>42967</v>
      </c>
      <c r="H531" s="13">
        <v>21813.669922000001</v>
      </c>
      <c r="I531" s="2">
        <f t="shared" si="26"/>
        <v>0.66801019630618097</v>
      </c>
    </row>
    <row r="532" spans="1:9" x14ac:dyDescent="0.25">
      <c r="A532" s="9">
        <v>42974</v>
      </c>
      <c r="B532" s="13">
        <v>2476.5500489999999</v>
      </c>
      <c r="C532" s="2">
        <f t="shared" si="25"/>
        <v>0.71760416916343639</v>
      </c>
      <c r="D532" s="4">
        <v>42975</v>
      </c>
      <c r="E532" s="13">
        <v>6435.330078</v>
      </c>
      <c r="F532" s="2">
        <f t="shared" si="24"/>
        <v>1.5326789212543552</v>
      </c>
      <c r="G532" s="4">
        <v>42974</v>
      </c>
      <c r="H532" s="13">
        <v>21987.560547000001</v>
      </c>
      <c r="I532" s="2">
        <f t="shared" si="26"/>
        <v>0.65361383934773043</v>
      </c>
    </row>
    <row r="533" spans="1:9" x14ac:dyDescent="0.25">
      <c r="A533" s="9">
        <v>42981</v>
      </c>
      <c r="B533" s="13">
        <v>2461.429932</v>
      </c>
      <c r="C533" s="2">
        <f t="shared" si="25"/>
        <v>0.74467913211165715</v>
      </c>
      <c r="D533" s="4">
        <v>42982</v>
      </c>
      <c r="E533" s="13">
        <v>6360.1899409999996</v>
      </c>
      <c r="F533" s="2">
        <f t="shared" si="24"/>
        <v>1.5678328382279743</v>
      </c>
      <c r="G533" s="4">
        <v>42981</v>
      </c>
      <c r="H533" s="13">
        <v>21797.789063</v>
      </c>
      <c r="I533" s="2">
        <f t="shared" si="26"/>
        <v>0.68931054607925202</v>
      </c>
    </row>
    <row r="534" spans="1:9" x14ac:dyDescent="0.25">
      <c r="A534" s="9">
        <v>42988</v>
      </c>
      <c r="B534" s="13">
        <v>2500.2299800000001</v>
      </c>
      <c r="C534" s="2">
        <f t="shared" si="25"/>
        <v>0.7460677626770702</v>
      </c>
      <c r="D534" s="4">
        <v>42989</v>
      </c>
      <c r="E534" s="13">
        <v>6448.4702150000003</v>
      </c>
      <c r="F534" s="2">
        <f t="shared" si="24"/>
        <v>1.5592513377799901</v>
      </c>
      <c r="G534" s="4">
        <v>42988</v>
      </c>
      <c r="H534" s="13">
        <v>22268.339843999998</v>
      </c>
      <c r="I534" s="2">
        <f t="shared" si="26"/>
        <v>0.69547429617604795</v>
      </c>
    </row>
    <row r="535" spans="1:9" x14ac:dyDescent="0.25">
      <c r="A535" s="9">
        <v>42995</v>
      </c>
      <c r="B535" s="13">
        <v>2502.219971</v>
      </c>
      <c r="C535" s="2">
        <f t="shared" si="25"/>
        <v>0.7580282774456979</v>
      </c>
      <c r="D535" s="4">
        <v>42996</v>
      </c>
      <c r="E535" s="13">
        <v>6426.919922</v>
      </c>
      <c r="F535" s="2">
        <f t="shared" si="24"/>
        <v>1.58674363802887</v>
      </c>
      <c r="G535" s="4">
        <v>42995</v>
      </c>
      <c r="H535" s="13">
        <v>22349.589843999998</v>
      </c>
      <c r="I535" s="2">
        <f t="shared" si="26"/>
        <v>0.69968461162678242</v>
      </c>
    </row>
    <row r="536" spans="1:9" x14ac:dyDescent="0.25">
      <c r="A536" s="9">
        <v>43002</v>
      </c>
      <c r="B536" s="13">
        <v>2519.360107</v>
      </c>
      <c r="C536" s="2">
        <f t="shared" si="25"/>
        <v>0.77894154678970096</v>
      </c>
      <c r="D536" s="4">
        <v>43003</v>
      </c>
      <c r="E536" s="13">
        <v>6495.9599609999996</v>
      </c>
      <c r="F536" s="2">
        <f t="shared" si="24"/>
        <v>1.62426288740667</v>
      </c>
      <c r="G536" s="4">
        <v>43002</v>
      </c>
      <c r="H536" s="13">
        <v>22405.089843999998</v>
      </c>
      <c r="I536" s="2">
        <f t="shared" si="26"/>
        <v>0.72764566382923856</v>
      </c>
    </row>
    <row r="537" spans="1:9" x14ac:dyDescent="0.25">
      <c r="A537" s="9">
        <v>43009</v>
      </c>
      <c r="B537" s="13">
        <v>2549.330078</v>
      </c>
      <c r="C537" s="2">
        <f t="shared" si="25"/>
        <v>0.78162101857867783</v>
      </c>
      <c r="D537" s="4">
        <v>43010</v>
      </c>
      <c r="E537" s="13">
        <v>6590.1801759999998</v>
      </c>
      <c r="F537" s="2">
        <f t="shared" si="24"/>
        <v>1.6304827496266798</v>
      </c>
      <c r="G537" s="4">
        <v>43009</v>
      </c>
      <c r="H537" s="13">
        <v>22773.669922000001</v>
      </c>
      <c r="I537" s="2">
        <f t="shared" si="26"/>
        <v>0.73508394704006497</v>
      </c>
    </row>
    <row r="538" spans="1:9" x14ac:dyDescent="0.25">
      <c r="A538" s="9">
        <v>43016</v>
      </c>
      <c r="B538" s="13">
        <v>2553.169922</v>
      </c>
      <c r="C538" s="2">
        <f t="shared" si="25"/>
        <v>0.79700072221467178</v>
      </c>
      <c r="D538" s="4">
        <v>43017</v>
      </c>
      <c r="E538" s="13">
        <v>6605.7998049999997</v>
      </c>
      <c r="F538" s="2">
        <f t="shared" si="24"/>
        <v>1.6397410871080138</v>
      </c>
      <c r="G538" s="4">
        <v>43016</v>
      </c>
      <c r="H538" s="13">
        <v>22871.720702999999</v>
      </c>
      <c r="I538" s="2">
        <f t="shared" si="26"/>
        <v>0.76974585495725945</v>
      </c>
    </row>
    <row r="539" spans="1:9" x14ac:dyDescent="0.25">
      <c r="A539" s="9">
        <v>43023</v>
      </c>
      <c r="B539" s="13">
        <v>2575.209961</v>
      </c>
      <c r="C539" s="2">
        <f t="shared" si="25"/>
        <v>0.80108994859649507</v>
      </c>
      <c r="D539" s="4">
        <v>43024</v>
      </c>
      <c r="E539" s="13">
        <v>6629.0498049999997</v>
      </c>
      <c r="F539" s="2">
        <f t="shared" si="24"/>
        <v>1.6684956758586362</v>
      </c>
      <c r="G539" s="4">
        <v>43023</v>
      </c>
      <c r="H539" s="13">
        <v>23328.630859000001</v>
      </c>
      <c r="I539" s="2">
        <f t="shared" si="26"/>
        <v>0.77775369242169179</v>
      </c>
    </row>
    <row r="540" spans="1:9" x14ac:dyDescent="0.25">
      <c r="A540" s="9">
        <v>43030</v>
      </c>
      <c r="B540" s="13">
        <v>2581.070068</v>
      </c>
      <c r="C540" s="2">
        <f t="shared" si="25"/>
        <v>0.80581411905779732</v>
      </c>
      <c r="D540" s="4">
        <v>43031</v>
      </c>
      <c r="E540" s="13">
        <v>6701.2597660000001</v>
      </c>
      <c r="F540" s="2">
        <f t="shared" si="24"/>
        <v>1.6936545310104527</v>
      </c>
      <c r="G540" s="4">
        <v>43030</v>
      </c>
      <c r="H540" s="13">
        <v>23434.189452999999</v>
      </c>
      <c r="I540" s="2">
        <f t="shared" si="26"/>
        <v>0.7857191540852434</v>
      </c>
    </row>
    <row r="541" spans="1:9" x14ac:dyDescent="0.25">
      <c r="A541" s="9">
        <v>43037</v>
      </c>
      <c r="B541" s="13">
        <v>2587.8400879999999</v>
      </c>
      <c r="C541" s="2">
        <f t="shared" si="25"/>
        <v>0.80194823851412644</v>
      </c>
      <c r="D541" s="4">
        <v>43038</v>
      </c>
      <c r="E541" s="13">
        <v>6764.4399409999996</v>
      </c>
      <c r="F541" s="2">
        <f t="shared" si="24"/>
        <v>1.6882787221503235</v>
      </c>
      <c r="G541" s="4">
        <v>43037</v>
      </c>
      <c r="H541" s="13">
        <v>23539.189452999999</v>
      </c>
      <c r="I541" s="2">
        <f t="shared" si="26"/>
        <v>0.77684498383103684</v>
      </c>
    </row>
    <row r="542" spans="1:9" x14ac:dyDescent="0.25">
      <c r="A542" s="9">
        <v>43044</v>
      </c>
      <c r="B542" s="13">
        <v>2582.3000489999999</v>
      </c>
      <c r="C542" s="2">
        <f t="shared" si="25"/>
        <v>0.79954083696920619</v>
      </c>
      <c r="D542" s="4">
        <v>43045</v>
      </c>
      <c r="E542" s="13">
        <v>6750.9399409999996</v>
      </c>
      <c r="F542" s="2">
        <f t="shared" si="24"/>
        <v>1.7009616880039822</v>
      </c>
      <c r="G542" s="4">
        <v>43044</v>
      </c>
      <c r="H542" s="13">
        <v>23422.210938</v>
      </c>
      <c r="I542" s="2">
        <f t="shared" si="26"/>
        <v>0.77199206773291873</v>
      </c>
    </row>
    <row r="543" spans="1:9" x14ac:dyDescent="0.25">
      <c r="A543" s="9">
        <v>43051</v>
      </c>
      <c r="B543" s="13">
        <v>2578.8500979999999</v>
      </c>
      <c r="C543" s="2">
        <f t="shared" si="25"/>
        <v>0.81598803599061176</v>
      </c>
      <c r="D543" s="4">
        <v>43052</v>
      </c>
      <c r="E543" s="13">
        <v>6782.7900390000004</v>
      </c>
      <c r="F543" s="2">
        <f t="shared" si="24"/>
        <v>1.7433191263315082</v>
      </c>
      <c r="G543" s="4">
        <v>43051</v>
      </c>
      <c r="H543" s="13">
        <v>23358.240234000001</v>
      </c>
      <c r="I543" s="2">
        <f t="shared" si="26"/>
        <v>0.78714541027857998</v>
      </c>
    </row>
    <row r="544" spans="1:9" x14ac:dyDescent="0.25">
      <c r="A544" s="9">
        <v>43058</v>
      </c>
      <c r="B544" s="13">
        <v>2602.419922</v>
      </c>
      <c r="C544" s="2">
        <f t="shared" si="25"/>
        <v>0.8437608070967807</v>
      </c>
      <c r="D544" s="4">
        <v>43059</v>
      </c>
      <c r="E544" s="13">
        <v>6889.1601559999999</v>
      </c>
      <c r="F544" s="2">
        <f t="shared" si="24"/>
        <v>1.7267654928820309</v>
      </c>
      <c r="G544" s="4">
        <v>43058</v>
      </c>
      <c r="H544" s="13">
        <v>23557.990234000001</v>
      </c>
      <c r="I544" s="2">
        <f t="shared" si="26"/>
        <v>0.83824571380275448</v>
      </c>
    </row>
    <row r="545" spans="1:9" x14ac:dyDescent="0.25">
      <c r="A545" s="9">
        <v>43065</v>
      </c>
      <c r="B545" s="13">
        <v>2642.219971</v>
      </c>
      <c r="C545" s="2">
        <f t="shared" si="25"/>
        <v>0.85023648056330359</v>
      </c>
      <c r="D545" s="4">
        <v>43066</v>
      </c>
      <c r="E545" s="13">
        <v>6847.5898440000001</v>
      </c>
      <c r="F545" s="2">
        <f t="shared" si="24"/>
        <v>1.7237750435042309</v>
      </c>
      <c r="G545" s="4">
        <v>43065</v>
      </c>
      <c r="H545" s="13">
        <v>24231.589843999998</v>
      </c>
      <c r="I545" s="2">
        <f t="shared" si="26"/>
        <v>0.84564754789548591</v>
      </c>
    </row>
    <row r="546" spans="1:9" x14ac:dyDescent="0.25">
      <c r="A546" s="9">
        <v>43072</v>
      </c>
      <c r="B546" s="13">
        <v>2651.5</v>
      </c>
      <c r="C546" s="2">
        <f t="shared" si="25"/>
        <v>0.86720022108996619</v>
      </c>
      <c r="D546" s="4">
        <v>43073</v>
      </c>
      <c r="E546" s="13">
        <v>6840.080078</v>
      </c>
      <c r="F546" s="2">
        <f t="shared" si="24"/>
        <v>1.7622021216525634</v>
      </c>
      <c r="G546" s="4">
        <v>43072</v>
      </c>
      <c r="H546" s="13">
        <v>24329.160156000002</v>
      </c>
      <c r="I546" s="2">
        <f t="shared" si="26"/>
        <v>0.87011896927390964</v>
      </c>
    </row>
    <row r="547" spans="1:9" x14ac:dyDescent="0.25">
      <c r="A547" s="9">
        <v>43079</v>
      </c>
      <c r="B547" s="13">
        <v>2675.8100589999999</v>
      </c>
      <c r="C547" s="2">
        <f t="shared" si="25"/>
        <v>0.87245473150124275</v>
      </c>
      <c r="D547" s="4">
        <v>43080</v>
      </c>
      <c r="E547" s="13">
        <v>6936.580078</v>
      </c>
      <c r="F547" s="2">
        <f t="shared" si="24"/>
        <v>1.7715121795918365</v>
      </c>
      <c r="G547" s="4">
        <v>43079</v>
      </c>
      <c r="H547" s="13">
        <v>24651.740234000001</v>
      </c>
      <c r="I547" s="2">
        <f t="shared" si="26"/>
        <v>0.87788114575585352</v>
      </c>
    </row>
    <row r="548" spans="1:9" x14ac:dyDescent="0.25">
      <c r="A548" s="9">
        <v>43086</v>
      </c>
      <c r="B548" s="13">
        <v>2683.3400879999999</v>
      </c>
      <c r="C548" s="2">
        <f t="shared" si="25"/>
        <v>0.86566507817241467</v>
      </c>
      <c r="D548" s="4">
        <v>43087</v>
      </c>
      <c r="E548" s="13">
        <v>6959.9599609999996</v>
      </c>
      <c r="F548" s="2">
        <f t="shared" si="24"/>
        <v>1.7489856195121953</v>
      </c>
      <c r="G548" s="4">
        <v>43086</v>
      </c>
      <c r="H548" s="13">
        <v>24754.060547000001</v>
      </c>
      <c r="I548" s="2">
        <f t="shared" si="26"/>
        <v>0.87523814154874746</v>
      </c>
    </row>
    <row r="549" spans="1:9" x14ac:dyDescent="0.25">
      <c r="A549" s="9">
        <v>43093</v>
      </c>
      <c r="B549" s="13">
        <v>2673.610107</v>
      </c>
      <c r="C549" s="2">
        <f t="shared" si="25"/>
        <v>0.91419046590007591</v>
      </c>
      <c r="D549" s="4">
        <v>43094</v>
      </c>
      <c r="E549" s="13">
        <v>6903.3901370000003</v>
      </c>
      <c r="F549" s="2">
        <f t="shared" si="24"/>
        <v>1.8418357626679942</v>
      </c>
      <c r="G549" s="4">
        <v>43093</v>
      </c>
      <c r="H549" s="13">
        <v>24719.220702999999</v>
      </c>
      <c r="I549" s="2">
        <f t="shared" si="26"/>
        <v>0.9189835798938516</v>
      </c>
    </row>
    <row r="550" spans="1:9" x14ac:dyDescent="0.25">
      <c r="A550" s="9">
        <v>43100</v>
      </c>
      <c r="B550" s="13">
        <v>2743.1499020000001</v>
      </c>
      <c r="C550" s="2">
        <f t="shared" si="25"/>
        <v>0.94425905076459893</v>
      </c>
      <c r="D550" s="4">
        <v>43101</v>
      </c>
      <c r="E550" s="13">
        <v>7136.5600590000004</v>
      </c>
      <c r="F550" s="2">
        <f t="shared" si="24"/>
        <v>1.8914126666002988</v>
      </c>
      <c r="G550" s="4">
        <v>43100</v>
      </c>
      <c r="H550" s="13">
        <v>25295.869140999999</v>
      </c>
      <c r="I550" s="2">
        <f t="shared" si="26"/>
        <v>0.95746967985934728</v>
      </c>
    </row>
    <row r="551" spans="1:9" x14ac:dyDescent="0.25">
      <c r="A551" s="9">
        <v>43107</v>
      </c>
      <c r="B551" s="13">
        <v>2786.23999</v>
      </c>
      <c r="C551" s="2">
        <f t="shared" si="25"/>
        <v>0.96104833942622647</v>
      </c>
      <c r="D551" s="4">
        <v>43108</v>
      </c>
      <c r="E551" s="13">
        <v>7261.0600590000004</v>
      </c>
      <c r="F551" s="2">
        <f t="shared" si="24"/>
        <v>1.9214056278745644</v>
      </c>
      <c r="G551" s="4">
        <v>43107</v>
      </c>
      <c r="H551" s="13">
        <v>25803.189452999999</v>
      </c>
      <c r="I551" s="2">
        <f t="shared" si="26"/>
        <v>0.97784087392925778</v>
      </c>
    </row>
    <row r="552" spans="1:9" x14ac:dyDescent="0.25">
      <c r="A552" s="9">
        <v>43114</v>
      </c>
      <c r="B552" s="13">
        <v>2810.3000489999999</v>
      </c>
      <c r="C552" s="2">
        <f t="shared" si="25"/>
        <v>1.0047101996581429</v>
      </c>
      <c r="D552" s="4">
        <v>43115</v>
      </c>
      <c r="E552" s="13">
        <v>7336.3798829999996</v>
      </c>
      <c r="F552" s="2">
        <f t="shared" si="24"/>
        <v>1.9888581463414634</v>
      </c>
      <c r="G552" s="4">
        <v>43114</v>
      </c>
      <c r="H552" s="13">
        <v>26071.720702999999</v>
      </c>
      <c r="I552" s="2">
        <f t="shared" si="26"/>
        <v>1.0191846722521389</v>
      </c>
    </row>
    <row r="553" spans="1:9" x14ac:dyDescent="0.25">
      <c r="A553" s="9">
        <v>43121</v>
      </c>
      <c r="B553" s="13">
        <v>2872.8701169999999</v>
      </c>
      <c r="C553" s="2">
        <f t="shared" si="25"/>
        <v>0.92743483823520634</v>
      </c>
      <c r="D553" s="4">
        <v>43122</v>
      </c>
      <c r="E553" s="13">
        <v>7505.7700199999999</v>
      </c>
      <c r="F553" s="2">
        <f t="shared" si="24"/>
        <v>1.8834047565953211</v>
      </c>
      <c r="G553" s="4">
        <v>43121</v>
      </c>
      <c r="H553" s="13">
        <v>26616.710938</v>
      </c>
      <c r="I553" s="2">
        <f t="shared" si="26"/>
        <v>0.9360593901775035</v>
      </c>
    </row>
    <row r="554" spans="1:9" x14ac:dyDescent="0.25">
      <c r="A554" s="9">
        <v>43128</v>
      </c>
      <c r="B554" s="13">
        <v>2762.1298830000001</v>
      </c>
      <c r="C554" s="2">
        <f t="shared" si="25"/>
        <v>0.82794156640437089</v>
      </c>
      <c r="D554" s="4">
        <v>43129</v>
      </c>
      <c r="E554" s="13">
        <v>7240.9501950000003</v>
      </c>
      <c r="F554" s="2">
        <f t="shared" si="24"/>
        <v>1.7374774450970631</v>
      </c>
      <c r="G554" s="4">
        <v>43128</v>
      </c>
      <c r="H554" s="13">
        <v>25520.960938</v>
      </c>
      <c r="I554" s="2">
        <f t="shared" si="26"/>
        <v>0.83515894925054135</v>
      </c>
    </row>
    <row r="555" spans="1:9" x14ac:dyDescent="0.25">
      <c r="A555" s="9">
        <v>43135</v>
      </c>
      <c r="B555" s="13">
        <v>2619.5500489999999</v>
      </c>
      <c r="C555" s="2">
        <f t="shared" si="25"/>
        <v>0.90656347850945174</v>
      </c>
      <c r="D555" s="4">
        <v>43136</v>
      </c>
      <c r="E555" s="13">
        <v>6874.4902339999999</v>
      </c>
      <c r="F555" s="2">
        <f t="shared" si="24"/>
        <v>1.8828154166251867</v>
      </c>
      <c r="G555" s="4">
        <v>43135</v>
      </c>
      <c r="H555" s="13">
        <v>24190.900390999999</v>
      </c>
      <c r="I555" s="2">
        <f t="shared" si="26"/>
        <v>0.91318106105592856</v>
      </c>
    </row>
    <row r="556" spans="1:9" x14ac:dyDescent="0.25">
      <c r="A556" s="9">
        <v>43142</v>
      </c>
      <c r="B556" s="13">
        <v>2732.219971</v>
      </c>
      <c r="C556" s="2">
        <f t="shared" si="25"/>
        <v>0.91708646943735672</v>
      </c>
      <c r="D556" s="4">
        <v>43143</v>
      </c>
      <c r="E556" s="13">
        <v>7239.4702150000003</v>
      </c>
      <c r="F556" s="2">
        <f t="shared" si="24"/>
        <v>1.9218079191637631</v>
      </c>
      <c r="G556" s="4">
        <v>43142</v>
      </c>
      <c r="H556" s="13">
        <v>25219.380859000001</v>
      </c>
      <c r="I556" s="2">
        <f t="shared" si="26"/>
        <v>0.92005482775041314</v>
      </c>
    </row>
    <row r="557" spans="1:9" x14ac:dyDescent="0.25">
      <c r="A557" s="9">
        <v>43149</v>
      </c>
      <c r="B557" s="13">
        <v>2747.3000489999999</v>
      </c>
      <c r="C557" s="2">
        <f t="shared" si="25"/>
        <v>0.8779743271039</v>
      </c>
      <c r="D557" s="4">
        <v>43150</v>
      </c>
      <c r="E557" s="13">
        <v>7337.3901370000003</v>
      </c>
      <c r="F557" s="2">
        <f t="shared" si="24"/>
        <v>1.8901424059731211</v>
      </c>
      <c r="G557" s="4">
        <v>43149</v>
      </c>
      <c r="H557" s="13">
        <v>25309.990234000001</v>
      </c>
      <c r="I557" s="2">
        <f t="shared" si="26"/>
        <v>0.86149505319083297</v>
      </c>
    </row>
    <row r="558" spans="1:9" x14ac:dyDescent="0.25">
      <c r="A558" s="9">
        <v>43156</v>
      </c>
      <c r="B558" s="13">
        <v>2691.25</v>
      </c>
      <c r="C558" s="2">
        <f t="shared" si="25"/>
        <v>0.94448938165542728</v>
      </c>
      <c r="D558" s="4">
        <v>43157</v>
      </c>
      <c r="E558" s="13">
        <v>7257.8701170000004</v>
      </c>
      <c r="F558" s="2">
        <f t="shared" ref="F558:F621" si="27">(E559-$E$6)/$E$6</f>
        <v>2.0107755336983577</v>
      </c>
      <c r="G558" s="4">
        <v>43156</v>
      </c>
      <c r="H558" s="13">
        <v>24538.060547000001</v>
      </c>
      <c r="I558" s="2">
        <f t="shared" si="26"/>
        <v>0.9220082623964746</v>
      </c>
    </row>
    <row r="559" spans="1:9" x14ac:dyDescent="0.25">
      <c r="A559" s="9">
        <v>43163</v>
      </c>
      <c r="B559" s="13">
        <v>2786.570068</v>
      </c>
      <c r="C559" s="2">
        <f t="shared" si="25"/>
        <v>0.92037311536012889</v>
      </c>
      <c r="D559" s="4">
        <v>43164</v>
      </c>
      <c r="E559" s="13">
        <v>7560.8100590000004</v>
      </c>
      <c r="F559" s="2">
        <f t="shared" si="27"/>
        <v>1.979388843802887</v>
      </c>
      <c r="G559" s="4">
        <v>43163</v>
      </c>
      <c r="H559" s="13">
        <v>25335.740234000001</v>
      </c>
      <c r="I559" s="2">
        <f t="shared" si="26"/>
        <v>0.89248063981418624</v>
      </c>
    </row>
    <row r="560" spans="1:9" x14ac:dyDescent="0.25">
      <c r="A560" s="9">
        <v>43170</v>
      </c>
      <c r="B560" s="13">
        <v>2752.01001</v>
      </c>
      <c r="C560" s="2">
        <f t="shared" si="25"/>
        <v>0.8061071437620746</v>
      </c>
      <c r="D560" s="4">
        <v>43171</v>
      </c>
      <c r="E560" s="13">
        <v>7481.9902339999999</v>
      </c>
      <c r="F560" s="2">
        <f t="shared" si="27"/>
        <v>1.7845375498257841</v>
      </c>
      <c r="G560" s="4">
        <v>43170</v>
      </c>
      <c r="H560" s="13">
        <v>24946.509765999999</v>
      </c>
      <c r="I560" s="2">
        <f t="shared" si="26"/>
        <v>0.78526472571112238</v>
      </c>
    </row>
    <row r="561" spans="1:9" x14ac:dyDescent="0.25">
      <c r="A561" s="9">
        <v>43177</v>
      </c>
      <c r="B561" s="13">
        <v>2588.26001</v>
      </c>
      <c r="C561" s="2">
        <f t="shared" si="25"/>
        <v>0.84281886890547975</v>
      </c>
      <c r="D561" s="4">
        <v>43178</v>
      </c>
      <c r="E561" s="13">
        <v>6992.669922</v>
      </c>
      <c r="F561" s="2">
        <f t="shared" si="27"/>
        <v>1.8127228252862122</v>
      </c>
      <c r="G561" s="4">
        <v>43177</v>
      </c>
      <c r="H561" s="13">
        <v>23533.199218999998</v>
      </c>
      <c r="I561" s="2">
        <f t="shared" si="26"/>
        <v>0.82849898760909135</v>
      </c>
    </row>
    <row r="562" spans="1:9" x14ac:dyDescent="0.25">
      <c r="A562" s="9">
        <v>43184</v>
      </c>
      <c r="B562" s="13">
        <v>2640.8701169999999</v>
      </c>
      <c r="C562" s="2">
        <f t="shared" si="25"/>
        <v>0.8174185754764659</v>
      </c>
      <c r="D562" s="4">
        <v>43185</v>
      </c>
      <c r="E562" s="13">
        <v>7063.4501950000003</v>
      </c>
      <c r="F562" s="2">
        <f t="shared" si="27"/>
        <v>1.7536525089099053</v>
      </c>
      <c r="G562" s="4">
        <v>43184</v>
      </c>
      <c r="H562" s="13">
        <v>24103.109375</v>
      </c>
      <c r="I562" s="2">
        <f t="shared" si="26"/>
        <v>0.81557600399108643</v>
      </c>
    </row>
    <row r="563" spans="1:9" x14ac:dyDescent="0.25">
      <c r="A563" s="9">
        <v>43191</v>
      </c>
      <c r="B563" s="13">
        <v>2604.469971</v>
      </c>
      <c r="C563" s="2">
        <f t="shared" si="25"/>
        <v>0.85358599056454487</v>
      </c>
      <c r="D563" s="4">
        <v>43192</v>
      </c>
      <c r="E563" s="13">
        <v>6915.1098629999997</v>
      </c>
      <c r="F563" s="2">
        <f t="shared" si="27"/>
        <v>1.8299252969636635</v>
      </c>
      <c r="G563" s="4">
        <v>43191</v>
      </c>
      <c r="H563" s="13">
        <v>23932.759765999999</v>
      </c>
      <c r="I563" s="2">
        <f t="shared" si="26"/>
        <v>0.84799777397299381</v>
      </c>
    </row>
    <row r="564" spans="1:9" x14ac:dyDescent="0.25">
      <c r="A564" s="9">
        <v>43198</v>
      </c>
      <c r="B564" s="13">
        <v>2656.3000489999999</v>
      </c>
      <c r="C564" s="2">
        <f t="shared" si="25"/>
        <v>0.86324353695492972</v>
      </c>
      <c r="D564" s="4">
        <v>43199</v>
      </c>
      <c r="E564" s="13">
        <v>7106.6499020000001</v>
      </c>
      <c r="F564" s="2">
        <f t="shared" si="27"/>
        <v>1.8456465437531109</v>
      </c>
      <c r="G564" s="4">
        <v>43198</v>
      </c>
      <c r="H564" s="13">
        <v>24360.140625</v>
      </c>
      <c r="I564" s="2">
        <f t="shared" si="26"/>
        <v>0.85579625133958459</v>
      </c>
    </row>
    <row r="565" spans="1:9" x14ac:dyDescent="0.25">
      <c r="A565" s="9">
        <v>43205</v>
      </c>
      <c r="B565" s="13">
        <v>2670.139893</v>
      </c>
      <c r="C565" s="2">
        <f t="shared" si="25"/>
        <v>0.86308305449743905</v>
      </c>
      <c r="D565" s="4">
        <v>43206</v>
      </c>
      <c r="E565" s="13">
        <v>7146.1298829999996</v>
      </c>
      <c r="F565" s="2">
        <f t="shared" si="27"/>
        <v>1.8351616943753111</v>
      </c>
      <c r="G565" s="4">
        <v>43205</v>
      </c>
      <c r="H565" s="13">
        <v>24462.939452999999</v>
      </c>
      <c r="I565" s="2">
        <f t="shared" si="26"/>
        <v>0.8442842626972612</v>
      </c>
    </row>
    <row r="566" spans="1:9" x14ac:dyDescent="0.25">
      <c r="A566" s="9">
        <v>43212</v>
      </c>
      <c r="B566" s="13">
        <v>2669.9099120000001</v>
      </c>
      <c r="C566" s="2">
        <f t="shared" si="25"/>
        <v>0.85855429105919989</v>
      </c>
      <c r="D566" s="4">
        <v>43213</v>
      </c>
      <c r="E566" s="13">
        <v>7119.7998049999997</v>
      </c>
      <c r="F566" s="2">
        <f t="shared" si="27"/>
        <v>1.8709288668989548</v>
      </c>
      <c r="G566" s="4">
        <v>43212</v>
      </c>
      <c r="H566" s="13">
        <v>24311.189452999999</v>
      </c>
      <c r="I566" s="2">
        <f t="shared" si="26"/>
        <v>0.84059134669162128</v>
      </c>
    </row>
    <row r="567" spans="1:9" x14ac:dyDescent="0.25">
      <c r="A567" s="9">
        <v>43219</v>
      </c>
      <c r="B567" s="13">
        <v>2663.419922</v>
      </c>
      <c r="C567" s="2">
        <f t="shared" si="25"/>
        <v>0.90342334493881815</v>
      </c>
      <c r="D567" s="4">
        <v>43220</v>
      </c>
      <c r="E567" s="13">
        <v>7209.6201170000004</v>
      </c>
      <c r="F567" s="2">
        <f t="shared" si="27"/>
        <v>1.9478864641114981</v>
      </c>
      <c r="G567" s="4">
        <v>43219</v>
      </c>
      <c r="H567" s="13">
        <v>24262.509765999999</v>
      </c>
      <c r="I567" s="2">
        <f t="shared" si="26"/>
        <v>0.88373078166502417</v>
      </c>
    </row>
    <row r="568" spans="1:9" x14ac:dyDescent="0.25">
      <c r="A568" s="9">
        <v>43226</v>
      </c>
      <c r="B568" s="13">
        <v>2727.719971</v>
      </c>
      <c r="C568" s="2">
        <f t="shared" si="25"/>
        <v>0.89313068490174152</v>
      </c>
      <c r="D568" s="4">
        <v>43227</v>
      </c>
      <c r="E568" s="13">
        <v>7402.8798829999996</v>
      </c>
      <c r="F568" s="2">
        <f t="shared" si="27"/>
        <v>1.9285574291687406</v>
      </c>
      <c r="G568" s="4">
        <v>43226</v>
      </c>
      <c r="H568" s="13">
        <v>24831.169922000001</v>
      </c>
      <c r="I568" s="2">
        <f t="shared" si="26"/>
        <v>0.87492476822491838</v>
      </c>
    </row>
    <row r="569" spans="1:9" x14ac:dyDescent="0.25">
      <c r="A569" s="9">
        <v>43233</v>
      </c>
      <c r="B569" s="13">
        <v>2712.969971</v>
      </c>
      <c r="C569" s="2">
        <f t="shared" si="25"/>
        <v>0.89896442993391679</v>
      </c>
      <c r="D569" s="4">
        <v>43234</v>
      </c>
      <c r="E569" s="13">
        <v>7354.3398440000001</v>
      </c>
      <c r="F569" s="2">
        <f t="shared" si="27"/>
        <v>1.9602190534594326</v>
      </c>
      <c r="G569" s="4">
        <v>43233</v>
      </c>
      <c r="H569" s="13">
        <v>24715.089843999998</v>
      </c>
      <c r="I569" s="2">
        <f t="shared" si="26"/>
        <v>0.87780750673172758</v>
      </c>
    </row>
    <row r="570" spans="1:9" x14ac:dyDescent="0.25">
      <c r="A570" s="9">
        <v>43240</v>
      </c>
      <c r="B570" s="13">
        <v>2721.330078</v>
      </c>
      <c r="C570" s="2">
        <f t="shared" si="25"/>
        <v>0.90823831829367874</v>
      </c>
      <c r="D570" s="4">
        <v>43241</v>
      </c>
      <c r="E570" s="13">
        <v>7433.8500979999999</v>
      </c>
      <c r="F570" s="2">
        <f t="shared" si="27"/>
        <v>2.0081951530114486</v>
      </c>
      <c r="G570" s="4">
        <v>43240</v>
      </c>
      <c r="H570" s="13">
        <v>24753.089843999998</v>
      </c>
      <c r="I570" s="2">
        <f t="shared" si="26"/>
        <v>0.86886503142997151</v>
      </c>
    </row>
    <row r="571" spans="1:9" x14ac:dyDescent="0.25">
      <c r="A571" s="9">
        <v>43247</v>
      </c>
      <c r="B571" s="13">
        <v>2734.6201169999999</v>
      </c>
      <c r="C571" s="2">
        <f t="shared" si="25"/>
        <v>0.93922788619147479</v>
      </c>
      <c r="D571" s="4">
        <v>43248</v>
      </c>
      <c r="E571" s="13">
        <v>7554.330078</v>
      </c>
      <c r="F571" s="2">
        <f t="shared" si="27"/>
        <v>2.0445036400199106</v>
      </c>
      <c r="G571" s="4">
        <v>43247</v>
      </c>
      <c r="H571" s="13">
        <v>24635.210938</v>
      </c>
      <c r="I571" s="2">
        <f t="shared" si="26"/>
        <v>0.92055089113748023</v>
      </c>
    </row>
    <row r="572" spans="1:9" x14ac:dyDescent="0.25">
      <c r="A572" s="9">
        <v>43254</v>
      </c>
      <c r="B572" s="13">
        <v>2779.030029</v>
      </c>
      <c r="C572" s="2">
        <f t="shared" si="25"/>
        <v>0.93966742324789077</v>
      </c>
      <c r="D572" s="4">
        <v>43255</v>
      </c>
      <c r="E572" s="13">
        <v>7645.5097660000001</v>
      </c>
      <c r="F572" s="2">
        <f t="shared" si="27"/>
        <v>2.0846709339970131</v>
      </c>
      <c r="G572" s="4">
        <v>43254</v>
      </c>
      <c r="H572" s="13">
        <v>25316.529297000001</v>
      </c>
      <c r="I572" s="2">
        <f t="shared" si="26"/>
        <v>0.90340247900867265</v>
      </c>
    </row>
    <row r="573" spans="1:9" x14ac:dyDescent="0.25">
      <c r="A573" s="9">
        <v>43261</v>
      </c>
      <c r="B573" s="13">
        <v>2779.6599120000001</v>
      </c>
      <c r="C573" s="2">
        <f t="shared" si="25"/>
        <v>0.92237573414918561</v>
      </c>
      <c r="D573" s="4">
        <v>43262</v>
      </c>
      <c r="E573" s="13">
        <v>7746.3798829999996</v>
      </c>
      <c r="F573" s="2">
        <f t="shared" si="27"/>
        <v>2.0633428866102541</v>
      </c>
      <c r="G573" s="4">
        <v>43261</v>
      </c>
      <c r="H573" s="13">
        <v>25090.480468999998</v>
      </c>
      <c r="I573" s="2">
        <f t="shared" si="26"/>
        <v>0.86474420885136549</v>
      </c>
    </row>
    <row r="574" spans="1:9" x14ac:dyDescent="0.25">
      <c r="A574" s="9">
        <v>43268</v>
      </c>
      <c r="B574" s="13">
        <v>2754.8798830000001</v>
      </c>
      <c r="C574" s="2">
        <f t="shared" si="25"/>
        <v>0.89689894706639095</v>
      </c>
      <c r="D574" s="4">
        <v>43269</v>
      </c>
      <c r="E574" s="13">
        <v>7692.8198240000002</v>
      </c>
      <c r="F574" s="2">
        <f t="shared" si="27"/>
        <v>1.9906619432553507</v>
      </c>
      <c r="G574" s="4">
        <v>43268</v>
      </c>
      <c r="H574" s="13">
        <v>24580.890625</v>
      </c>
      <c r="I574" s="2">
        <f t="shared" si="26"/>
        <v>0.84126654398053247</v>
      </c>
    </row>
    <row r="575" spans="1:9" x14ac:dyDescent="0.25">
      <c r="A575" s="9">
        <v>43275</v>
      </c>
      <c r="B575" s="13">
        <v>2718.3701169999999</v>
      </c>
      <c r="C575" s="2">
        <f t="shared" si="25"/>
        <v>0.92582303209666117</v>
      </c>
      <c r="D575" s="4">
        <v>43276</v>
      </c>
      <c r="E575" s="13">
        <v>7510.2998049999997</v>
      </c>
      <c r="F575" s="2">
        <f t="shared" si="27"/>
        <v>2.0615789495271279</v>
      </c>
      <c r="G575" s="4">
        <v>43275</v>
      </c>
      <c r="H575" s="13">
        <v>24271.410156000002</v>
      </c>
      <c r="I575" s="2">
        <f t="shared" si="26"/>
        <v>0.85530626286875133</v>
      </c>
    </row>
    <row r="576" spans="1:9" x14ac:dyDescent="0.25">
      <c r="A576" s="9">
        <v>43282</v>
      </c>
      <c r="B576" s="13">
        <v>2759.820068</v>
      </c>
      <c r="C576" s="2">
        <f t="shared" si="25"/>
        <v>0.95477505733763535</v>
      </c>
      <c r="D576" s="4">
        <v>43283</v>
      </c>
      <c r="E576" s="13">
        <v>7688.3901370000003</v>
      </c>
      <c r="F576" s="2">
        <f t="shared" si="27"/>
        <v>2.1163683344947737</v>
      </c>
      <c r="G576" s="4">
        <v>43282</v>
      </c>
      <c r="H576" s="13">
        <v>24456.480468999998</v>
      </c>
      <c r="I576" s="2">
        <f t="shared" si="26"/>
        <v>0.89801097564088128</v>
      </c>
    </row>
    <row r="577" spans="1:9" x14ac:dyDescent="0.25">
      <c r="A577" s="9">
        <v>43289</v>
      </c>
      <c r="B577" s="13">
        <v>2801.3100589999999</v>
      </c>
      <c r="C577" s="2">
        <f t="shared" si="25"/>
        <v>0.95513793047525031</v>
      </c>
      <c r="D577" s="4">
        <v>43290</v>
      </c>
      <c r="E577" s="13">
        <v>7825.9799800000001</v>
      </c>
      <c r="F577" s="2">
        <f t="shared" si="27"/>
        <v>2.1140667775012445</v>
      </c>
      <c r="G577" s="4">
        <v>43289</v>
      </c>
      <c r="H577" s="13">
        <v>25019.410156000002</v>
      </c>
      <c r="I577" s="2">
        <f t="shared" si="26"/>
        <v>0.90094749884138103</v>
      </c>
    </row>
    <row r="578" spans="1:9" x14ac:dyDescent="0.25">
      <c r="A578" s="9">
        <v>43296</v>
      </c>
      <c r="B578" s="13">
        <v>2801.830078</v>
      </c>
      <c r="C578" s="2">
        <f t="shared" si="25"/>
        <v>0.96699367224496779</v>
      </c>
      <c r="D578" s="4">
        <v>43297</v>
      </c>
      <c r="E578" s="13">
        <v>7820.2001950000003</v>
      </c>
      <c r="F578" s="2">
        <f t="shared" si="27"/>
        <v>2.0811030052762569</v>
      </c>
      <c r="G578" s="4">
        <v>43296</v>
      </c>
      <c r="H578" s="13">
        <v>25058.119140999999</v>
      </c>
      <c r="I578" s="2">
        <f t="shared" si="26"/>
        <v>0.93075663889390581</v>
      </c>
    </row>
    <row r="579" spans="1:9" x14ac:dyDescent="0.25">
      <c r="A579" s="9">
        <v>43303</v>
      </c>
      <c r="B579" s="13">
        <v>2818.820068</v>
      </c>
      <c r="C579" s="2">
        <f t="shared" si="25"/>
        <v>0.98201748779602271</v>
      </c>
      <c r="D579" s="4">
        <v>43304</v>
      </c>
      <c r="E579" s="13">
        <v>7737.419922</v>
      </c>
      <c r="F579" s="2">
        <f t="shared" si="27"/>
        <v>2.1108052826281734</v>
      </c>
      <c r="G579" s="4">
        <v>43303</v>
      </c>
      <c r="H579" s="13">
        <v>25451.060547000001</v>
      </c>
      <c r="I579" s="2">
        <f t="shared" si="26"/>
        <v>0.93163052825164461</v>
      </c>
    </row>
    <row r="580" spans="1:9" x14ac:dyDescent="0.25">
      <c r="A580" s="9">
        <v>43310</v>
      </c>
      <c r="B580" s="13">
        <v>2840.3500979999999</v>
      </c>
      <c r="C580" s="2">
        <f t="shared" si="25"/>
        <v>0.97708394090411266</v>
      </c>
      <c r="D580" s="4">
        <v>43311</v>
      </c>
      <c r="E580" s="13">
        <v>7812.0097660000001</v>
      </c>
      <c r="F580" s="2">
        <f t="shared" si="27"/>
        <v>2.1215967597809855</v>
      </c>
      <c r="G580" s="4">
        <v>43310</v>
      </c>
      <c r="H580" s="13">
        <v>25462.580077999999</v>
      </c>
      <c r="I580" s="2">
        <f t="shared" si="26"/>
        <v>0.92029382126218162</v>
      </c>
    </row>
    <row r="581" spans="1:9" x14ac:dyDescent="0.25">
      <c r="A581" s="9">
        <v>43317</v>
      </c>
      <c r="B581" s="13">
        <v>2833.280029</v>
      </c>
      <c r="C581" s="2">
        <f t="shared" si="25"/>
        <v>0.98884189472759576</v>
      </c>
      <c r="D581" s="4">
        <v>43318</v>
      </c>
      <c r="E581" s="13">
        <v>7839.1098629999997</v>
      </c>
      <c r="F581" s="2">
        <f t="shared" si="27"/>
        <v>2.1125256657043305</v>
      </c>
      <c r="G581" s="4">
        <v>43317</v>
      </c>
      <c r="H581" s="13">
        <v>25313.140625</v>
      </c>
      <c r="I581" s="2">
        <f t="shared" si="26"/>
        <v>0.94731416078694142</v>
      </c>
    </row>
    <row r="582" spans="1:9" x14ac:dyDescent="0.25">
      <c r="A582" s="9">
        <v>43324</v>
      </c>
      <c r="B582" s="13">
        <v>2850.1298830000001</v>
      </c>
      <c r="C582" s="2">
        <f t="shared" si="25"/>
        <v>1.0059800864214863</v>
      </c>
      <c r="D582" s="4">
        <v>43325</v>
      </c>
      <c r="E582" s="13">
        <v>7816.330078</v>
      </c>
      <c r="F582" s="2">
        <f t="shared" si="27"/>
        <v>2.1641533021403685</v>
      </c>
      <c r="G582" s="4">
        <v>43324</v>
      </c>
      <c r="H582" s="13">
        <v>25669.320313</v>
      </c>
      <c r="I582" s="2">
        <f t="shared" si="26"/>
        <v>0.95649562952460476</v>
      </c>
    </row>
    <row r="583" spans="1:9" x14ac:dyDescent="0.25">
      <c r="A583" s="9">
        <v>43331</v>
      </c>
      <c r="B583" s="13">
        <v>2874.6899410000001</v>
      </c>
      <c r="C583" s="2">
        <f t="shared" ref="C583:C630" si="28">(B584-$B$6)/$B$6</f>
        <v>1.0247023157038528</v>
      </c>
      <c r="D583" s="4">
        <v>43332</v>
      </c>
      <c r="E583" s="13">
        <v>7945.9799800000001</v>
      </c>
      <c r="F583" s="2">
        <f t="shared" si="27"/>
        <v>2.22928423653559</v>
      </c>
      <c r="G583" s="4">
        <v>43331</v>
      </c>
      <c r="H583" s="13">
        <v>25790.349609000001</v>
      </c>
      <c r="I583" s="2">
        <f t="shared" ref="I583:I630" si="29">(H584-$H$6)/$H$6</f>
        <v>0.96973124575436531</v>
      </c>
    </row>
    <row r="584" spans="1:9" x14ac:dyDescent="0.25">
      <c r="A584" s="9">
        <v>43338</v>
      </c>
      <c r="B584" s="13">
        <v>2901.5200199999999</v>
      </c>
      <c r="C584" s="2">
        <f t="shared" si="28"/>
        <v>1.0038796796861953</v>
      </c>
      <c r="D584" s="4">
        <v>43339</v>
      </c>
      <c r="E584" s="13">
        <v>8109.5400390000004</v>
      </c>
      <c r="F584" s="2">
        <f t="shared" si="27"/>
        <v>2.1468551673469389</v>
      </c>
      <c r="G584" s="4">
        <v>43338</v>
      </c>
      <c r="H584" s="13">
        <v>25964.820313</v>
      </c>
      <c r="I584" s="2">
        <f t="shared" si="29"/>
        <v>0.96606855579300011</v>
      </c>
    </row>
    <row r="585" spans="1:9" x14ac:dyDescent="0.25">
      <c r="A585" s="9">
        <v>43345</v>
      </c>
      <c r="B585" s="13">
        <v>2871.679932</v>
      </c>
      <c r="C585" s="2">
        <f t="shared" si="28"/>
        <v>1.0271167016036418</v>
      </c>
      <c r="D585" s="4">
        <v>43346</v>
      </c>
      <c r="E585" s="13">
        <v>7902.5400390000004</v>
      </c>
      <c r="F585" s="2">
        <f t="shared" si="27"/>
        <v>2.1896625341961178</v>
      </c>
      <c r="G585" s="4">
        <v>43345</v>
      </c>
      <c r="H585" s="13">
        <v>25916.539063</v>
      </c>
      <c r="I585" s="2">
        <f t="shared" si="29"/>
        <v>0.98413352939560128</v>
      </c>
    </row>
    <row r="586" spans="1:9" x14ac:dyDescent="0.25">
      <c r="A586" s="9">
        <v>43352</v>
      </c>
      <c r="B586" s="13">
        <v>2904.9799800000001</v>
      </c>
      <c r="C586" s="2">
        <f t="shared" si="28"/>
        <v>1.0443455273216851</v>
      </c>
      <c r="D586" s="4">
        <v>43353</v>
      </c>
      <c r="E586" s="13">
        <v>8010.0400390000004</v>
      </c>
      <c r="F586" s="2">
        <f t="shared" si="27"/>
        <v>2.1804718610253855</v>
      </c>
      <c r="G586" s="4">
        <v>43352</v>
      </c>
      <c r="H586" s="13">
        <v>26154.669922000001</v>
      </c>
      <c r="I586" s="2">
        <f t="shared" si="29"/>
        <v>1.0288030857066024</v>
      </c>
    </row>
    <row r="587" spans="1:9" x14ac:dyDescent="0.25">
      <c r="A587" s="9">
        <v>43359</v>
      </c>
      <c r="B587" s="13">
        <v>2929.669922</v>
      </c>
      <c r="C587" s="2">
        <f t="shared" si="28"/>
        <v>1.0333969687449089</v>
      </c>
      <c r="D587" s="4">
        <v>43360</v>
      </c>
      <c r="E587" s="13">
        <v>7986.9599609999996</v>
      </c>
      <c r="F587" s="2">
        <f t="shared" si="27"/>
        <v>2.2041214924838228</v>
      </c>
      <c r="G587" s="4">
        <v>43359</v>
      </c>
      <c r="H587" s="13">
        <v>26743.5</v>
      </c>
      <c r="I587" s="2">
        <f t="shared" si="29"/>
        <v>1.0071681747092618</v>
      </c>
    </row>
    <row r="588" spans="1:9" x14ac:dyDescent="0.25">
      <c r="A588" s="9">
        <v>43366</v>
      </c>
      <c r="B588" s="13">
        <v>2913.9799800000001</v>
      </c>
      <c r="C588" s="2">
        <f t="shared" si="28"/>
        <v>1.0135723202093654</v>
      </c>
      <c r="D588" s="4">
        <v>43367</v>
      </c>
      <c r="E588" s="13">
        <v>8046.3500979999999</v>
      </c>
      <c r="F588" s="2">
        <f t="shared" si="27"/>
        <v>2.1014236714783476</v>
      </c>
      <c r="G588" s="4">
        <v>43366</v>
      </c>
      <c r="H588" s="13">
        <v>26458.310547000001</v>
      </c>
      <c r="I588" s="2">
        <f t="shared" si="29"/>
        <v>1.0063139915243708</v>
      </c>
    </row>
    <row r="589" spans="1:9" x14ac:dyDescent="0.25">
      <c r="A589" s="9">
        <v>43373</v>
      </c>
      <c r="B589" s="13">
        <v>2885.570068</v>
      </c>
      <c r="C589" s="2">
        <f t="shared" si="28"/>
        <v>0.93092387553591027</v>
      </c>
      <c r="D589" s="4">
        <v>43374</v>
      </c>
      <c r="E589" s="13">
        <v>7788.4501950000003</v>
      </c>
      <c r="F589" s="2">
        <f t="shared" si="27"/>
        <v>1.985322105326033</v>
      </c>
      <c r="G589" s="4">
        <v>43373</v>
      </c>
      <c r="H589" s="13">
        <v>26447.050781000002</v>
      </c>
      <c r="I589" s="2">
        <f t="shared" si="29"/>
        <v>0.92233067393999923</v>
      </c>
    </row>
    <row r="590" spans="1:9" x14ac:dyDescent="0.25">
      <c r="A590" s="9">
        <v>43380</v>
      </c>
      <c r="B590" s="13">
        <v>2767.1298830000001</v>
      </c>
      <c r="C590" s="2">
        <f t="shared" si="28"/>
        <v>0.93137755226489094</v>
      </c>
      <c r="D590" s="4">
        <v>43381</v>
      </c>
      <c r="E590" s="13">
        <v>7496.8901370000003</v>
      </c>
      <c r="F590" s="2">
        <f t="shared" si="27"/>
        <v>1.9662637272274763</v>
      </c>
      <c r="G590" s="4">
        <v>43380</v>
      </c>
      <c r="H590" s="13">
        <v>25339.990234000001</v>
      </c>
      <c r="I590" s="2">
        <f t="shared" si="29"/>
        <v>0.93024679601677585</v>
      </c>
    </row>
    <row r="591" spans="1:9" x14ac:dyDescent="0.25">
      <c r="A591" s="9">
        <v>43387</v>
      </c>
      <c r="B591" s="13">
        <v>2767.780029</v>
      </c>
      <c r="C591" s="2">
        <f t="shared" si="28"/>
        <v>0.85525367503107574</v>
      </c>
      <c r="D591" s="4">
        <v>43388</v>
      </c>
      <c r="E591" s="13">
        <v>7449.0297849999997</v>
      </c>
      <c r="F591" s="2">
        <f t="shared" si="27"/>
        <v>1.854040800796416</v>
      </c>
      <c r="G591" s="4">
        <v>43387</v>
      </c>
      <c r="H591" s="13">
        <v>25444.339843999998</v>
      </c>
      <c r="I591" s="2">
        <f t="shared" si="29"/>
        <v>0.87289324952367708</v>
      </c>
    </row>
    <row r="592" spans="1:9" x14ac:dyDescent="0.25">
      <c r="A592" s="9">
        <v>43394</v>
      </c>
      <c r="B592" s="13">
        <v>2658.6899410000001</v>
      </c>
      <c r="C592" s="2">
        <f t="shared" si="28"/>
        <v>0.90017162358161851</v>
      </c>
      <c r="D592" s="4">
        <v>43395</v>
      </c>
      <c r="E592" s="13">
        <v>7167.2099609999996</v>
      </c>
      <c r="F592" s="2">
        <f t="shared" si="27"/>
        <v>1.9296128358387257</v>
      </c>
      <c r="G592" s="4">
        <v>43394</v>
      </c>
      <c r="H592" s="13">
        <v>24688.310547000001</v>
      </c>
      <c r="I592" s="2">
        <f t="shared" si="29"/>
        <v>0.91708407802320624</v>
      </c>
    </row>
    <row r="593" spans="1:9" x14ac:dyDescent="0.25">
      <c r="A593" s="9">
        <v>43401</v>
      </c>
      <c r="B593" s="13">
        <v>2723.0600589999999</v>
      </c>
      <c r="C593" s="2">
        <f t="shared" si="28"/>
        <v>0.9406095317042118</v>
      </c>
      <c r="D593" s="4">
        <v>43402</v>
      </c>
      <c r="E593" s="13">
        <v>7356.9902339999999</v>
      </c>
      <c r="F593" s="2">
        <f t="shared" si="27"/>
        <v>1.9494872680935789</v>
      </c>
      <c r="G593" s="4">
        <v>43401</v>
      </c>
      <c r="H593" s="13">
        <v>25270.830077999999</v>
      </c>
      <c r="I593" s="2">
        <f t="shared" si="29"/>
        <v>0.97158837174826829</v>
      </c>
    </row>
    <row r="594" spans="1:9" x14ac:dyDescent="0.25">
      <c r="A594" s="9">
        <v>43408</v>
      </c>
      <c r="B594" s="13">
        <v>2781.01001</v>
      </c>
      <c r="C594" s="2">
        <f t="shared" si="28"/>
        <v>0.9093896329155875</v>
      </c>
      <c r="D594" s="4">
        <v>43409</v>
      </c>
      <c r="E594" s="13">
        <v>7406.8999020000001</v>
      </c>
      <c r="F594" s="2">
        <f t="shared" si="27"/>
        <v>1.8861603253359882</v>
      </c>
      <c r="G594" s="4">
        <v>43408</v>
      </c>
      <c r="H594" s="13">
        <v>25989.300781000002</v>
      </c>
      <c r="I594" s="2">
        <f t="shared" si="29"/>
        <v>0.92788605006784108</v>
      </c>
    </row>
    <row r="595" spans="1:9" x14ac:dyDescent="0.25">
      <c r="A595" s="9">
        <v>43415</v>
      </c>
      <c r="B595" s="13">
        <v>2736.2700199999999</v>
      </c>
      <c r="C595" s="2">
        <f t="shared" si="28"/>
        <v>0.83702004843887712</v>
      </c>
      <c r="D595" s="4">
        <v>43416</v>
      </c>
      <c r="E595" s="13">
        <v>7247.8701170000004</v>
      </c>
      <c r="F595" s="2">
        <f t="shared" si="27"/>
        <v>1.7631577819810851</v>
      </c>
      <c r="G595" s="4">
        <v>43415</v>
      </c>
      <c r="H595" s="13">
        <v>25413.220702999999</v>
      </c>
      <c r="I595" s="2">
        <f t="shared" si="29"/>
        <v>0.84236949968482233</v>
      </c>
    </row>
    <row r="596" spans="1:9" x14ac:dyDescent="0.25">
      <c r="A596" s="9">
        <v>43422</v>
      </c>
      <c r="B596" s="13">
        <v>2632.5600589999999</v>
      </c>
      <c r="C596" s="2">
        <f t="shared" si="28"/>
        <v>0.92606716282782131</v>
      </c>
      <c r="D596" s="4">
        <v>43423</v>
      </c>
      <c r="E596" s="13">
        <v>6938.9799800000001</v>
      </c>
      <c r="F596" s="2">
        <f t="shared" si="27"/>
        <v>1.919080154902937</v>
      </c>
      <c r="G596" s="4">
        <v>43422</v>
      </c>
      <c r="H596" s="13">
        <v>24285.949218999998</v>
      </c>
      <c r="I596" s="2">
        <f t="shared" si="29"/>
        <v>0.93738696712142877</v>
      </c>
    </row>
    <row r="597" spans="1:9" x14ac:dyDescent="0.25">
      <c r="A597" s="9">
        <v>43429</v>
      </c>
      <c r="B597" s="13">
        <v>2760.169922</v>
      </c>
      <c r="C597" s="2">
        <f t="shared" si="28"/>
        <v>0.83738292157649208</v>
      </c>
      <c r="D597" s="4">
        <v>43430</v>
      </c>
      <c r="E597" s="13">
        <v>7330.5400390000004</v>
      </c>
      <c r="F597" s="2">
        <f t="shared" si="27"/>
        <v>1.7752115480338477</v>
      </c>
      <c r="G597" s="4">
        <v>43429</v>
      </c>
      <c r="H597" s="13">
        <v>25538.460938</v>
      </c>
      <c r="I597" s="2">
        <f t="shared" si="29"/>
        <v>0.85018323826906828</v>
      </c>
    </row>
    <row r="598" spans="1:9" x14ac:dyDescent="0.25">
      <c r="A598" s="9">
        <v>43436</v>
      </c>
      <c r="B598" s="13">
        <v>2633.080078</v>
      </c>
      <c r="C598" s="2">
        <f t="shared" si="28"/>
        <v>0.81426447180048034</v>
      </c>
      <c r="D598" s="4">
        <v>43437</v>
      </c>
      <c r="E598" s="13">
        <v>6969.25</v>
      </c>
      <c r="F598" s="2">
        <f t="shared" si="27"/>
        <v>1.751880599701344</v>
      </c>
      <c r="G598" s="4">
        <v>43436</v>
      </c>
      <c r="H598" s="13">
        <v>24388.949218999998</v>
      </c>
      <c r="I598" s="2">
        <f t="shared" si="29"/>
        <v>0.82830177726785592</v>
      </c>
    </row>
    <row r="599" spans="1:9" x14ac:dyDescent="0.25">
      <c r="A599" s="9">
        <v>43443</v>
      </c>
      <c r="B599" s="13">
        <v>2599.9499510000001</v>
      </c>
      <c r="C599" s="2">
        <f t="shared" si="28"/>
        <v>0.68633554596890767</v>
      </c>
      <c r="D599" s="4">
        <v>43444</v>
      </c>
      <c r="E599" s="13">
        <v>6910.6601559999999</v>
      </c>
      <c r="F599" s="2">
        <f t="shared" si="27"/>
        <v>1.5218477785963165</v>
      </c>
      <c r="G599" s="4">
        <v>43443</v>
      </c>
      <c r="H599" s="13">
        <v>24100.509765999999</v>
      </c>
      <c r="I599" s="2">
        <f t="shared" si="29"/>
        <v>0.70274026111333776</v>
      </c>
    </row>
    <row r="600" spans="1:9" x14ac:dyDescent="0.25">
      <c r="A600" s="9">
        <v>43450</v>
      </c>
      <c r="B600" s="13">
        <v>2416.6201169999999</v>
      </c>
      <c r="C600" s="2">
        <f t="shared" si="28"/>
        <v>0.73456790899229174</v>
      </c>
      <c r="D600" s="4">
        <v>43451</v>
      </c>
      <c r="E600" s="13">
        <v>6332.9902339999999</v>
      </c>
      <c r="F600" s="2">
        <f t="shared" si="27"/>
        <v>1.6220089676455949</v>
      </c>
      <c r="G600" s="4">
        <v>43450</v>
      </c>
      <c r="H600" s="13">
        <v>22445.369140999999</v>
      </c>
      <c r="I600" s="2">
        <f t="shared" si="29"/>
        <v>0.74954920175227446</v>
      </c>
    </row>
    <row r="601" spans="1:9" x14ac:dyDescent="0.25">
      <c r="A601" s="9">
        <v>43457</v>
      </c>
      <c r="B601" s="13">
        <v>2485.73999</v>
      </c>
      <c r="C601" s="2">
        <f t="shared" si="28"/>
        <v>0.76680657945823072</v>
      </c>
      <c r="D601" s="4">
        <v>43458</v>
      </c>
      <c r="E601" s="13">
        <v>6584.5200199999999</v>
      </c>
      <c r="F601" s="2">
        <f t="shared" si="27"/>
        <v>1.6834683376804378</v>
      </c>
      <c r="G601" s="4">
        <v>43457</v>
      </c>
      <c r="H601" s="13">
        <v>23062.400390999999</v>
      </c>
      <c r="I601" s="2">
        <f t="shared" si="29"/>
        <v>0.77767560836651195</v>
      </c>
    </row>
    <row r="602" spans="1:9" x14ac:dyDescent="0.25">
      <c r="A602" s="9">
        <v>43464</v>
      </c>
      <c r="B602" s="13">
        <v>2531.9399410000001</v>
      </c>
      <c r="C602" s="2">
        <f t="shared" si="28"/>
        <v>0.81168960344320096</v>
      </c>
      <c r="D602" s="4">
        <v>43465</v>
      </c>
      <c r="E602" s="13">
        <v>6738.8598629999997</v>
      </c>
      <c r="F602" s="2">
        <f t="shared" si="27"/>
        <v>1.7760995440517671</v>
      </c>
      <c r="G602" s="4">
        <v>43464</v>
      </c>
      <c r="H602" s="13">
        <v>23433.160156000002</v>
      </c>
      <c r="I602" s="2">
        <f t="shared" si="29"/>
        <v>0.82036965318548927</v>
      </c>
    </row>
    <row r="603" spans="1:9" x14ac:dyDescent="0.25">
      <c r="A603" s="9">
        <v>43471</v>
      </c>
      <c r="B603" s="13">
        <v>2596.26001</v>
      </c>
      <c r="C603" s="2">
        <f t="shared" si="28"/>
        <v>0.86364133465811721</v>
      </c>
      <c r="D603" s="4">
        <v>43472</v>
      </c>
      <c r="E603" s="13">
        <v>6971.4799800000001</v>
      </c>
      <c r="F603" s="2">
        <f t="shared" si="27"/>
        <v>1.8500666918865107</v>
      </c>
      <c r="G603" s="4">
        <v>43471</v>
      </c>
      <c r="H603" s="13">
        <v>23995.949218999998</v>
      </c>
      <c r="I603" s="2">
        <f t="shared" si="29"/>
        <v>0.87426172054089069</v>
      </c>
    </row>
    <row r="604" spans="1:9" x14ac:dyDescent="0.25">
      <c r="A604" s="9">
        <v>43478</v>
      </c>
      <c r="B604" s="13">
        <v>2670.709961</v>
      </c>
      <c r="C604" s="2">
        <f t="shared" si="28"/>
        <v>0.85948941446284499</v>
      </c>
      <c r="D604" s="4">
        <v>43479</v>
      </c>
      <c r="E604" s="13">
        <v>7157.2299800000001</v>
      </c>
      <c r="F604" s="2">
        <f t="shared" si="27"/>
        <v>1.8531049728222995</v>
      </c>
      <c r="G604" s="4">
        <v>43478</v>
      </c>
      <c r="H604" s="13">
        <v>24706.349609000001</v>
      </c>
      <c r="I604" s="2">
        <f t="shared" si="29"/>
        <v>0.87660201945318117</v>
      </c>
    </row>
    <row r="605" spans="1:9" x14ac:dyDescent="0.25">
      <c r="A605" s="9">
        <v>43485</v>
      </c>
      <c r="B605" s="13">
        <v>2664.76001</v>
      </c>
      <c r="C605" s="2">
        <f t="shared" si="28"/>
        <v>0.88863684533126752</v>
      </c>
      <c r="D605" s="4">
        <v>43486</v>
      </c>
      <c r="E605" s="13">
        <v>7164.8598629999997</v>
      </c>
      <c r="F605" s="2">
        <f t="shared" si="27"/>
        <v>1.8925316543554009</v>
      </c>
      <c r="G605" s="4">
        <v>43485</v>
      </c>
      <c r="H605" s="13">
        <v>24737.199218999998</v>
      </c>
      <c r="I605" s="2">
        <f t="shared" si="29"/>
        <v>0.90138533250370301</v>
      </c>
    </row>
    <row r="606" spans="1:9" x14ac:dyDescent="0.25">
      <c r="A606" s="9">
        <v>43492</v>
      </c>
      <c r="B606" s="13">
        <v>2706.530029</v>
      </c>
      <c r="C606" s="2">
        <f t="shared" si="28"/>
        <v>0.88957878352256847</v>
      </c>
      <c r="D606" s="4">
        <v>43493</v>
      </c>
      <c r="E606" s="13">
        <v>7263.8701170000004</v>
      </c>
      <c r="F606" s="2">
        <f t="shared" si="27"/>
        <v>1.9062021682429071</v>
      </c>
      <c r="G606" s="4">
        <v>43492</v>
      </c>
      <c r="H606" s="13">
        <v>25063.890625</v>
      </c>
      <c r="I606" s="2">
        <f t="shared" si="29"/>
        <v>0.90460485475030872</v>
      </c>
    </row>
    <row r="607" spans="1:9" x14ac:dyDescent="0.25">
      <c r="A607" s="9">
        <v>43499</v>
      </c>
      <c r="B607" s="13">
        <v>2707.8798830000001</v>
      </c>
      <c r="C607" s="2">
        <f t="shared" si="28"/>
        <v>0.93683445475190652</v>
      </c>
      <c r="D607" s="4">
        <v>43500</v>
      </c>
      <c r="E607" s="13">
        <v>7298.2001950000003</v>
      </c>
      <c r="F607" s="2">
        <f t="shared" si="27"/>
        <v>1.9755739794922846</v>
      </c>
      <c r="G607" s="4">
        <v>43499</v>
      </c>
      <c r="H607" s="13">
        <v>25106.330077999999</v>
      </c>
      <c r="I607" s="2">
        <f t="shared" si="29"/>
        <v>0.96354319622021856</v>
      </c>
    </row>
    <row r="608" spans="1:9" x14ac:dyDescent="0.25">
      <c r="A608" s="9">
        <v>43506</v>
      </c>
      <c r="B608" s="13">
        <v>2775.6000979999999</v>
      </c>
      <c r="C608" s="2">
        <f t="shared" si="28"/>
        <v>0.948745905282397</v>
      </c>
      <c r="D608" s="4">
        <v>43507</v>
      </c>
      <c r="E608" s="13">
        <v>7472.4101559999999</v>
      </c>
      <c r="F608" s="2">
        <f t="shared" si="27"/>
        <v>1.997527143454455</v>
      </c>
      <c r="G608" s="4">
        <v>43506</v>
      </c>
      <c r="H608" s="13">
        <v>25883.25</v>
      </c>
      <c r="I608" s="2">
        <f t="shared" si="29"/>
        <v>0.97481322804731163</v>
      </c>
    </row>
    <row r="609" spans="1:9" x14ac:dyDescent="0.25">
      <c r="A609" s="9">
        <v>43513</v>
      </c>
      <c r="B609" s="13">
        <v>2792.669922</v>
      </c>
      <c r="C609" s="2">
        <f t="shared" si="28"/>
        <v>0.95643575675149028</v>
      </c>
      <c r="D609" s="4">
        <v>43514</v>
      </c>
      <c r="E609" s="13">
        <v>7527.5400390000004</v>
      </c>
      <c r="F609" s="2">
        <f t="shared" si="27"/>
        <v>2.024529655749129</v>
      </c>
      <c r="G609" s="4">
        <v>43513</v>
      </c>
      <c r="H609" s="13">
        <v>26031.810547000001</v>
      </c>
      <c r="I609" s="2">
        <f t="shared" si="29"/>
        <v>0.974396730443017</v>
      </c>
    </row>
    <row r="610" spans="1:9" x14ac:dyDescent="0.25">
      <c r="A610" s="9">
        <v>43520</v>
      </c>
      <c r="B610" s="13">
        <v>2803.6899410000001</v>
      </c>
      <c r="C610" s="2">
        <f t="shared" si="28"/>
        <v>0.91413475713930292</v>
      </c>
      <c r="D610" s="4">
        <v>43521</v>
      </c>
      <c r="E610" s="13">
        <v>7595.3500979999999</v>
      </c>
      <c r="F610" s="2">
        <f t="shared" si="27"/>
        <v>1.9499811396714786</v>
      </c>
      <c r="G610" s="4">
        <v>43520</v>
      </c>
      <c r="H610" s="13">
        <v>26026.320313</v>
      </c>
      <c r="I610" s="2">
        <f t="shared" si="29"/>
        <v>0.93069440868672848</v>
      </c>
    </row>
    <row r="611" spans="1:9" x14ac:dyDescent="0.25">
      <c r="A611" s="9">
        <v>43527</v>
      </c>
      <c r="B611" s="13">
        <v>2743.070068</v>
      </c>
      <c r="C611" s="2">
        <f t="shared" si="28"/>
        <v>0.96954758614202663</v>
      </c>
      <c r="D611" s="4">
        <v>43528</v>
      </c>
      <c r="E611" s="13">
        <v>7408.1401370000003</v>
      </c>
      <c r="F611" s="2">
        <f t="shared" si="27"/>
        <v>2.0616345584868094</v>
      </c>
      <c r="G611" s="4">
        <v>43527</v>
      </c>
      <c r="H611" s="13">
        <v>25450.240234000001</v>
      </c>
      <c r="I611" s="2">
        <f t="shared" si="29"/>
        <v>0.96093501132189019</v>
      </c>
    </row>
    <row r="612" spans="1:9" x14ac:dyDescent="0.25">
      <c r="A612" s="9">
        <v>43534</v>
      </c>
      <c r="B612" s="13">
        <v>2822.4799800000001</v>
      </c>
      <c r="C612" s="2">
        <f t="shared" si="28"/>
        <v>0.95435630447641984</v>
      </c>
      <c r="D612" s="4">
        <v>43535</v>
      </c>
      <c r="E612" s="13">
        <v>7688.5297849999997</v>
      </c>
      <c r="F612" s="2">
        <f t="shared" si="27"/>
        <v>2.0433727912394226</v>
      </c>
      <c r="G612" s="4">
        <v>43534</v>
      </c>
      <c r="H612" s="13">
        <v>25848.869140999999</v>
      </c>
      <c r="I612" s="2">
        <f t="shared" si="29"/>
        <v>0.93464528366491173</v>
      </c>
    </row>
    <row r="613" spans="1:9" x14ac:dyDescent="0.25">
      <c r="A613" s="9">
        <v>43541</v>
      </c>
      <c r="B613" s="13">
        <v>2800.709961</v>
      </c>
      <c r="C613" s="2">
        <f t="shared" si="28"/>
        <v>0.97786539663792293</v>
      </c>
      <c r="D613" s="4">
        <v>43542</v>
      </c>
      <c r="E613" s="13">
        <v>7642.669922</v>
      </c>
      <c r="F613" s="2">
        <f t="shared" si="27"/>
        <v>2.0778774809357889</v>
      </c>
      <c r="G613" s="4">
        <v>43541</v>
      </c>
      <c r="H613" s="13">
        <v>25502.320313</v>
      </c>
      <c r="I613" s="2">
        <f t="shared" si="29"/>
        <v>0.96698956229784827</v>
      </c>
    </row>
    <row r="614" spans="1:9" x14ac:dyDescent="0.25">
      <c r="A614" s="9">
        <v>43548</v>
      </c>
      <c r="B614" s="13">
        <v>2834.3999020000001</v>
      </c>
      <c r="C614" s="2">
        <f t="shared" si="28"/>
        <v>1.018575545269593</v>
      </c>
      <c r="D614" s="4">
        <v>43549</v>
      </c>
      <c r="E614" s="13">
        <v>7729.3198240000002</v>
      </c>
      <c r="F614" s="2">
        <f t="shared" si="27"/>
        <v>2.1612503498257838</v>
      </c>
      <c r="G614" s="4">
        <v>43548</v>
      </c>
      <c r="H614" s="13">
        <v>25928.679688</v>
      </c>
      <c r="I614" s="2">
        <f t="shared" si="29"/>
        <v>1.0046404444633663</v>
      </c>
    </row>
    <row r="615" spans="1:9" x14ac:dyDescent="0.25">
      <c r="A615" s="9">
        <v>43555</v>
      </c>
      <c r="B615" s="13">
        <v>2892.73999</v>
      </c>
      <c r="C615" s="2">
        <f t="shared" si="28"/>
        <v>1.0288123262808766</v>
      </c>
      <c r="D615" s="4">
        <v>43556</v>
      </c>
      <c r="E615" s="13">
        <v>7938.6899409999996</v>
      </c>
      <c r="F615" s="2">
        <f t="shared" si="27"/>
        <v>2.179356956097561</v>
      </c>
      <c r="G615" s="4">
        <v>43555</v>
      </c>
      <c r="H615" s="13">
        <v>26424.990234000001</v>
      </c>
      <c r="I615" s="2">
        <f t="shared" si="29"/>
        <v>1.0036778030214335</v>
      </c>
    </row>
    <row r="616" spans="1:9" x14ac:dyDescent="0.25">
      <c r="A616" s="9">
        <v>43562</v>
      </c>
      <c r="B616" s="13">
        <v>2907.4099120000001</v>
      </c>
      <c r="C616" s="2">
        <f t="shared" si="28"/>
        <v>1.0271516261692144</v>
      </c>
      <c r="D616" s="4">
        <v>43563</v>
      </c>
      <c r="E616" s="13">
        <v>7984.1601559999999</v>
      </c>
      <c r="F616" s="2">
        <f t="shared" si="27"/>
        <v>2.1848920095569935</v>
      </c>
      <c r="G616" s="4">
        <v>43562</v>
      </c>
      <c r="H616" s="13">
        <v>26412.300781000002</v>
      </c>
      <c r="I616" s="2">
        <f t="shared" si="29"/>
        <v>1.0148475257897973</v>
      </c>
    </row>
    <row r="617" spans="1:9" x14ac:dyDescent="0.25">
      <c r="A617" s="9">
        <v>43569</v>
      </c>
      <c r="B617" s="13">
        <v>2905.030029</v>
      </c>
      <c r="C617" s="2">
        <f t="shared" si="28"/>
        <v>1.0514701142752316</v>
      </c>
      <c r="D617" s="4">
        <v>43570</v>
      </c>
      <c r="E617" s="13">
        <v>7998.0600590000004</v>
      </c>
      <c r="F617" s="2">
        <f t="shared" si="27"/>
        <v>2.2439621312095572</v>
      </c>
      <c r="G617" s="4">
        <v>43569</v>
      </c>
      <c r="H617" s="13">
        <v>26559.539063</v>
      </c>
      <c r="I617" s="2">
        <f t="shared" si="29"/>
        <v>1.0136178872314869</v>
      </c>
    </row>
    <row r="618" spans="1:9" x14ac:dyDescent="0.25">
      <c r="A618" s="9">
        <v>43576</v>
      </c>
      <c r="B618" s="13">
        <v>2939.8798830000001</v>
      </c>
      <c r="C618" s="2">
        <f t="shared" si="28"/>
        <v>1.0554894922237172</v>
      </c>
      <c r="D618" s="4">
        <v>43577</v>
      </c>
      <c r="E618" s="13">
        <v>8146.3999020000001</v>
      </c>
      <c r="F618" s="2">
        <f t="shared" si="27"/>
        <v>2.2509706321553011</v>
      </c>
      <c r="G618" s="4">
        <v>43576</v>
      </c>
      <c r="H618" s="13">
        <v>26543.330077999999</v>
      </c>
      <c r="I618" s="2">
        <f t="shared" si="29"/>
        <v>1.010706256174547</v>
      </c>
    </row>
    <row r="619" spans="1:9" x14ac:dyDescent="0.25">
      <c r="A619" s="9">
        <v>43583</v>
      </c>
      <c r="B619" s="13">
        <v>2945.639893</v>
      </c>
      <c r="C619" s="2">
        <f t="shared" si="28"/>
        <v>1.0106623472645402</v>
      </c>
      <c r="D619" s="4">
        <v>43584</v>
      </c>
      <c r="E619" s="13">
        <v>8164</v>
      </c>
      <c r="F619" s="2">
        <f t="shared" si="27"/>
        <v>2.1525893244400196</v>
      </c>
      <c r="G619" s="4">
        <v>43583</v>
      </c>
      <c r="H619" s="13">
        <v>26504.949218999998</v>
      </c>
      <c r="I619" s="2">
        <f t="shared" si="29"/>
        <v>0.96802806527943375</v>
      </c>
    </row>
    <row r="620" spans="1:9" x14ac:dyDescent="0.25">
      <c r="A620" s="9">
        <v>43590</v>
      </c>
      <c r="B620" s="13">
        <v>2881.3999020000001</v>
      </c>
      <c r="C620" s="2">
        <f t="shared" si="28"/>
        <v>0.99540138673280842</v>
      </c>
      <c r="D620" s="4">
        <v>43591</v>
      </c>
      <c r="E620" s="13">
        <v>7916.9399409999996</v>
      </c>
      <c r="F620" s="2">
        <f t="shared" si="27"/>
        <v>2.1125056386261822</v>
      </c>
      <c r="G620" s="4">
        <v>43590</v>
      </c>
      <c r="H620" s="13">
        <v>25942.369140999999</v>
      </c>
      <c r="I620" s="2">
        <f t="shared" si="29"/>
        <v>0.95449670761661354</v>
      </c>
    </row>
    <row r="621" spans="1:9" x14ac:dyDescent="0.25">
      <c r="A621" s="9">
        <v>43597</v>
      </c>
      <c r="B621" s="13">
        <v>2859.530029</v>
      </c>
      <c r="C621" s="2">
        <f t="shared" si="28"/>
        <v>0.97204579197611984</v>
      </c>
      <c r="D621" s="4">
        <v>43598</v>
      </c>
      <c r="E621" s="13">
        <v>7816.2797849999997</v>
      </c>
      <c r="F621" s="2">
        <f t="shared" si="27"/>
        <v>2.0411188714783477</v>
      </c>
      <c r="G621" s="4">
        <v>43597</v>
      </c>
      <c r="H621" s="13">
        <v>25764</v>
      </c>
      <c r="I621" s="2">
        <f t="shared" si="29"/>
        <v>0.94096979498484745</v>
      </c>
    </row>
    <row r="622" spans="1:9" x14ac:dyDescent="0.25">
      <c r="A622" s="9">
        <v>43604</v>
      </c>
      <c r="B622" s="13">
        <v>2826.0600589999999</v>
      </c>
      <c r="C622" s="2">
        <f t="shared" si="28"/>
        <v>0.92040803992570142</v>
      </c>
      <c r="D622" s="4">
        <v>43605</v>
      </c>
      <c r="E622" s="13">
        <v>7637.0097660000001</v>
      </c>
      <c r="F622" s="2">
        <f t="shared" ref="F622:F630" si="30">(E623-$E$6)/$E$6</f>
        <v>1.9679043910403187</v>
      </c>
      <c r="G622" s="4">
        <v>43604</v>
      </c>
      <c r="H622" s="13">
        <v>25585.689452999999</v>
      </c>
      <c r="I622" s="2">
        <f t="shared" si="29"/>
        <v>0.88250706986536076</v>
      </c>
    </row>
    <row r="623" spans="1:9" x14ac:dyDescent="0.25">
      <c r="A623" s="9">
        <v>43611</v>
      </c>
      <c r="B623" s="13">
        <v>2752.0600589999999</v>
      </c>
      <c r="C623" s="2">
        <f t="shared" si="28"/>
        <v>1.0050381489279927</v>
      </c>
      <c r="D623" s="4">
        <v>43612</v>
      </c>
      <c r="E623" s="13">
        <v>7453.1499020000001</v>
      </c>
      <c r="F623" s="2">
        <f t="shared" si="30"/>
        <v>2.0829666890990541</v>
      </c>
      <c r="G623" s="4">
        <v>43611</v>
      </c>
      <c r="H623" s="13">
        <v>24815.039063</v>
      </c>
      <c r="I623" s="2">
        <f t="shared" si="29"/>
        <v>0.9711816531516041</v>
      </c>
    </row>
    <row r="624" spans="1:9" x14ac:dyDescent="0.25">
      <c r="A624" s="9">
        <v>43618</v>
      </c>
      <c r="B624" s="13">
        <v>2873.3400879999999</v>
      </c>
      <c r="C624" s="2">
        <f t="shared" si="28"/>
        <v>1.0145561673211076</v>
      </c>
      <c r="D624" s="4">
        <v>43619</v>
      </c>
      <c r="E624" s="13">
        <v>7742.1000979999999</v>
      </c>
      <c r="F624" s="2">
        <f t="shared" si="30"/>
        <v>2.1046929441513189</v>
      </c>
      <c r="G624" s="4">
        <v>43618</v>
      </c>
      <c r="H624" s="13">
        <v>25983.939452999999</v>
      </c>
      <c r="I624" s="2">
        <f t="shared" si="29"/>
        <v>0.97919793612952311</v>
      </c>
    </row>
    <row r="625" spans="1:9" x14ac:dyDescent="0.25">
      <c r="A625" s="9">
        <v>43625</v>
      </c>
      <c r="B625" s="13">
        <v>2886.9799800000001</v>
      </c>
      <c r="C625" s="2">
        <f t="shared" si="28"/>
        <v>1.058852971632503</v>
      </c>
      <c r="D625" s="4">
        <v>43626</v>
      </c>
      <c r="E625" s="13">
        <v>7796.6601559999999</v>
      </c>
      <c r="F625" s="2">
        <f t="shared" si="30"/>
        <v>2.1982916718765555</v>
      </c>
      <c r="G625" s="4">
        <v>43625</v>
      </c>
      <c r="H625" s="13">
        <v>26089.609375</v>
      </c>
      <c r="I625" s="2">
        <f t="shared" si="29"/>
        <v>1.0269544051503245</v>
      </c>
    </row>
    <row r="626" spans="1:9" x14ac:dyDescent="0.25">
      <c r="A626" s="9">
        <v>43632</v>
      </c>
      <c r="B626" s="13">
        <v>2950.459961</v>
      </c>
      <c r="C626" s="2">
        <f t="shared" si="28"/>
        <v>1.0527820809218438</v>
      </c>
      <c r="D626" s="4">
        <v>43633</v>
      </c>
      <c r="E626" s="13">
        <v>8031.7099609999996</v>
      </c>
      <c r="F626" s="2">
        <f t="shared" si="30"/>
        <v>2.1881494212045793</v>
      </c>
      <c r="G626" s="4">
        <v>43632</v>
      </c>
      <c r="H626" s="13">
        <v>26719.130859000001</v>
      </c>
      <c r="I626" s="2">
        <f t="shared" si="29"/>
        <v>1.0179139914629531</v>
      </c>
    </row>
    <row r="627" spans="1:9" x14ac:dyDescent="0.25">
      <c r="A627" s="9">
        <v>43639</v>
      </c>
      <c r="B627" s="13">
        <v>2941.76001</v>
      </c>
      <c r="C627" s="2">
        <f t="shared" si="28"/>
        <v>1.0867303454725621</v>
      </c>
      <c r="D627" s="4">
        <v>43640</v>
      </c>
      <c r="E627" s="13">
        <v>8006.2402339999999</v>
      </c>
      <c r="F627" s="2">
        <f t="shared" si="30"/>
        <v>2.2500906078646095</v>
      </c>
      <c r="G627" s="4">
        <v>43639</v>
      </c>
      <c r="H627" s="13">
        <v>26599.960938</v>
      </c>
      <c r="I627" s="2">
        <f t="shared" si="29"/>
        <v>1.0423534087543358</v>
      </c>
    </row>
    <row r="628" spans="1:9" x14ac:dyDescent="0.25">
      <c r="A628" s="9">
        <v>43646</v>
      </c>
      <c r="B628" s="13">
        <v>2990.4099120000001</v>
      </c>
      <c r="C628" s="2">
        <f t="shared" si="28"/>
        <v>1.1030312031046565</v>
      </c>
      <c r="D628" s="4">
        <v>43647</v>
      </c>
      <c r="E628" s="13">
        <v>8161.7900390000004</v>
      </c>
      <c r="F628" s="2">
        <f t="shared" si="30"/>
        <v>2.2828828862120458</v>
      </c>
      <c r="G628" s="4">
        <v>43646</v>
      </c>
      <c r="H628" s="13">
        <v>26922.119140999999</v>
      </c>
      <c r="I628" s="2">
        <f t="shared" si="29"/>
        <v>1.0734498243078452</v>
      </c>
    </row>
    <row r="629" spans="1:9" x14ac:dyDescent="0.25">
      <c r="A629" s="9">
        <v>43653</v>
      </c>
      <c r="B629" s="13">
        <v>3013.7700199999999</v>
      </c>
      <c r="C629" s="2">
        <f t="shared" si="28"/>
        <v>1.0771007385950739</v>
      </c>
      <c r="D629" s="4">
        <v>43654</v>
      </c>
      <c r="E629" s="13">
        <v>8244.1396480000003</v>
      </c>
      <c r="F629" s="2">
        <f t="shared" si="30"/>
        <v>2.2439981021403681</v>
      </c>
      <c r="G629" s="4">
        <v>43653</v>
      </c>
      <c r="H629" s="13">
        <v>27332.029297000001</v>
      </c>
      <c r="I629" s="2">
        <f t="shared" si="29"/>
        <v>1.0599593607941746</v>
      </c>
    </row>
    <row r="630" spans="1:9" x14ac:dyDescent="0.25">
      <c r="A630" s="9">
        <v>43660</v>
      </c>
      <c r="B630" s="13">
        <v>2976.610107</v>
      </c>
      <c r="C630" s="2">
        <f t="shared" si="28"/>
        <v>1.0972393669929226</v>
      </c>
      <c r="D630" s="4">
        <v>43661</v>
      </c>
      <c r="E630" s="13">
        <v>8146.4902339999999</v>
      </c>
      <c r="F630" s="2">
        <f t="shared" si="30"/>
        <v>2.2857741726231953</v>
      </c>
      <c r="G630" s="4">
        <v>43660</v>
      </c>
      <c r="H630" s="13">
        <v>27154.199218999998</v>
      </c>
      <c r="I630" s="2">
        <f t="shared" si="29"/>
        <v>1.0747516201626885</v>
      </c>
    </row>
    <row r="631" spans="1:9" x14ac:dyDescent="0.25">
      <c r="A631" s="9">
        <v>43667</v>
      </c>
      <c r="B631" s="13">
        <v>3005.469971</v>
      </c>
      <c r="C631" s="2"/>
      <c r="D631" s="4">
        <v>43668</v>
      </c>
      <c r="E631" s="13">
        <v>8251.4003909999992</v>
      </c>
      <c r="F631" s="2"/>
      <c r="G631" s="4">
        <v>43667</v>
      </c>
      <c r="H631" s="13">
        <v>27349.189452999999</v>
      </c>
      <c r="I631" s="2"/>
    </row>
  </sheetData>
  <sortState xmlns:xlrd2="http://schemas.microsoft.com/office/spreadsheetml/2017/richdata2" ref="G3:H494">
    <sortCondition ref="G1"/>
  </sortState>
  <mergeCells count="9">
    <mergeCell ref="A1:C1"/>
    <mergeCell ref="D1:F1"/>
    <mergeCell ref="G1:I1"/>
    <mergeCell ref="H3:I3"/>
    <mergeCell ref="B3:C3"/>
    <mergeCell ref="E2:F2"/>
    <mergeCell ref="E3:F3"/>
    <mergeCell ref="B2:C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Sheet1</vt:lpstr>
      <vt:lpstr>Sheet2</vt:lpstr>
      <vt:lpstr>Bi_Weekly</vt:lpstr>
      <vt:lpstr>Bi_weekly_2</vt:lpstr>
      <vt:lpstr>inter</vt:lpstr>
      <vt:lpstr>Monthly</vt:lpstr>
      <vt:lpstr>Monthly_2</vt:lpstr>
      <vt:lpstr>None</vt:lpstr>
      <vt:lpstr>None_2</vt:lpstr>
      <vt:lpstr>Quarterly</vt:lpstr>
      <vt:lpstr>Quarterly_2</vt:lpstr>
      <vt:lpstr>Weekly</vt:lpstr>
      <vt:lpstr>Weekly_2</vt:lpstr>
      <vt:lpstr>Yearly</vt:lpstr>
      <vt:lpstr>Yearly_2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Fleming</dc:creator>
  <cp:keywords>Value Cost Averaging (VCA)</cp:keywords>
  <cp:lastModifiedBy>Keith Fleming</cp:lastModifiedBy>
  <dcterms:created xsi:type="dcterms:W3CDTF">2017-01-01T01:45:43Z</dcterms:created>
  <dcterms:modified xsi:type="dcterms:W3CDTF">2025-12-15T16:34:18Z</dcterms:modified>
</cp:coreProperties>
</file>