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jfle\Workspace\ordinis\docs\knowledge-base\inbox\"/>
    </mc:Choice>
  </mc:AlternateContent>
  <xr:revisionPtr revIDLastSave="0" documentId="8_{A4198AD0-1361-4C44-9E30-C05C300C620F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Sheet 1" sheetId="1" r:id="rId1"/>
    <sheet name="Sheet 2" sheetId="2" r:id="rId2"/>
    <sheet name="Sheet 3" sheetId="3" r:id="rId3"/>
  </sheets>
  <definedNames>
    <definedName name="data_type">'Sheet 2'!#REF!</definedName>
    <definedName name="debt">'Sheet 1'!$Z$3</definedName>
    <definedName name="effc">'Sheet 1'!$AD$3</definedName>
    <definedName name="proft">'Sheet 1'!$AA$3</definedName>
    <definedName name="ratio">'Sheet 1'!$X$3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I10" i="2"/>
  <c r="J10" i="2"/>
  <c r="F10" i="2"/>
  <c r="W20" i="2"/>
  <c r="W19" i="2"/>
  <c r="W18" i="2"/>
  <c r="W16" i="2"/>
  <c r="W6" i="2"/>
  <c r="W9" i="2" s="1"/>
  <c r="W378" i="2" l="1"/>
  <c r="AB377" i="2"/>
  <c r="W377" i="2"/>
  <c r="AJ376" i="2"/>
  <c r="AI376" i="2"/>
  <c r="AH376" i="2"/>
  <c r="AG376" i="2"/>
  <c r="AF376" i="2"/>
  <c r="AB376" i="2"/>
  <c r="W376" i="2"/>
  <c r="AJ375" i="2"/>
  <c r="AI375" i="2"/>
  <c r="AH375" i="2"/>
  <c r="AG375" i="2"/>
  <c r="AF375" i="2"/>
  <c r="AB375" i="2"/>
  <c r="W375" i="2"/>
  <c r="AJ374" i="2"/>
  <c r="AI374" i="2"/>
  <c r="AH374" i="2"/>
  <c r="AG374" i="2"/>
  <c r="AF374" i="2"/>
  <c r="AJ373" i="2"/>
  <c r="AI373" i="2"/>
  <c r="AH373" i="2"/>
  <c r="AG373" i="2"/>
  <c r="AF373" i="2"/>
  <c r="AB372" i="2"/>
  <c r="W372" i="2"/>
  <c r="Q372" i="2"/>
  <c r="P372" i="2"/>
  <c r="O372" i="2"/>
  <c r="N372" i="2"/>
  <c r="M372" i="2"/>
  <c r="J372" i="2"/>
  <c r="I372" i="2"/>
  <c r="H372" i="2"/>
  <c r="G372" i="2"/>
  <c r="F372" i="2"/>
  <c r="AJ371" i="2"/>
  <c r="AI371" i="2"/>
  <c r="AH371" i="2"/>
  <c r="AG371" i="2"/>
  <c r="AF371" i="2"/>
  <c r="AB371" i="2"/>
  <c r="W371" i="2"/>
  <c r="AJ370" i="2"/>
  <c r="AI370" i="2"/>
  <c r="AH370" i="2"/>
  <c r="AG370" i="2"/>
  <c r="AF370" i="2"/>
  <c r="AB370" i="2"/>
  <c r="W370" i="2"/>
  <c r="AJ369" i="2"/>
  <c r="AI369" i="2"/>
  <c r="AH369" i="2"/>
  <c r="AG369" i="2"/>
  <c r="AF369" i="2"/>
  <c r="AB369" i="2"/>
  <c r="W369" i="2"/>
  <c r="AJ368" i="2"/>
  <c r="AI368" i="2"/>
  <c r="AH368" i="2"/>
  <c r="AG368" i="2"/>
  <c r="AF368" i="2"/>
  <c r="AJ367" i="2"/>
  <c r="AI367" i="2"/>
  <c r="AH367" i="2"/>
  <c r="AG367" i="2"/>
  <c r="AF367" i="2"/>
  <c r="AB366" i="2"/>
  <c r="AJ365" i="2"/>
  <c r="AI365" i="2"/>
  <c r="AH365" i="2"/>
  <c r="AG365" i="2"/>
  <c r="AF365" i="2"/>
  <c r="AB365" i="2"/>
  <c r="AJ364" i="2"/>
  <c r="AI364" i="2"/>
  <c r="AH364" i="2"/>
  <c r="AG364" i="2"/>
  <c r="AF364" i="2"/>
  <c r="AB364" i="2"/>
  <c r="W364" i="2"/>
  <c r="AJ363" i="2"/>
  <c r="AI363" i="2"/>
  <c r="AH363" i="2"/>
  <c r="AG363" i="2"/>
  <c r="AF363" i="2"/>
  <c r="AB363" i="2"/>
  <c r="W363" i="2"/>
  <c r="AJ362" i="2"/>
  <c r="AI362" i="2"/>
  <c r="AH362" i="2"/>
  <c r="AG362" i="2"/>
  <c r="AF362" i="2"/>
  <c r="W362" i="2"/>
  <c r="AJ361" i="2"/>
  <c r="AI361" i="2"/>
  <c r="AH361" i="2"/>
  <c r="AG361" i="2"/>
  <c r="AF361" i="2"/>
  <c r="W361" i="2"/>
  <c r="Q361" i="2"/>
  <c r="P361" i="2"/>
  <c r="O361" i="2"/>
  <c r="N361" i="2"/>
  <c r="M361" i="2"/>
  <c r="J361" i="2"/>
  <c r="I361" i="2"/>
  <c r="H361" i="2"/>
  <c r="G361" i="2"/>
  <c r="F361" i="2"/>
  <c r="AJ360" i="2"/>
  <c r="AI360" i="2"/>
  <c r="AH360" i="2"/>
  <c r="AG360" i="2"/>
  <c r="AF360" i="2"/>
  <c r="AB360" i="2"/>
  <c r="W360" i="2"/>
  <c r="AJ359" i="2"/>
  <c r="AI359" i="2"/>
  <c r="AH359" i="2"/>
  <c r="AG359" i="2"/>
  <c r="AF359" i="2"/>
  <c r="AB359" i="2"/>
  <c r="AJ358" i="2"/>
  <c r="AI358" i="2"/>
  <c r="AH358" i="2"/>
  <c r="AG358" i="2"/>
  <c r="AF358" i="2"/>
  <c r="AB358" i="2"/>
  <c r="AJ355" i="2"/>
  <c r="AI355" i="2"/>
  <c r="AH355" i="2"/>
  <c r="AG355" i="2"/>
  <c r="AF355" i="2"/>
  <c r="AJ353" i="2"/>
  <c r="AI353" i="2"/>
  <c r="AH353" i="2"/>
  <c r="AG353" i="2"/>
  <c r="AB353" i="2" s="1"/>
  <c r="W353" i="2"/>
  <c r="AJ352" i="2"/>
  <c r="AI352" i="2"/>
  <c r="AH352" i="2"/>
  <c r="AB352" i="2" s="1"/>
  <c r="AG352" i="2"/>
  <c r="W352" i="2"/>
  <c r="AJ351" i="2"/>
  <c r="AI351" i="2"/>
  <c r="AH351" i="2"/>
  <c r="AG351" i="2"/>
  <c r="W351" i="2"/>
  <c r="W365" i="2" s="1"/>
  <c r="AJ350" i="2"/>
  <c r="AI350" i="2"/>
  <c r="AH350" i="2"/>
  <c r="AG350" i="2"/>
  <c r="AJ349" i="2"/>
  <c r="AI349" i="2"/>
  <c r="AH349" i="2"/>
  <c r="AG349" i="2"/>
  <c r="W344" i="2"/>
  <c r="AB343" i="2"/>
  <c r="W343" i="2"/>
  <c r="AJ342" i="2"/>
  <c r="AI342" i="2"/>
  <c r="AH342" i="2"/>
  <c r="AG342" i="2"/>
  <c r="AF342" i="2"/>
  <c r="AB342" i="2"/>
  <c r="W342" i="2"/>
  <c r="AJ341" i="2"/>
  <c r="AI341" i="2"/>
  <c r="AH341" i="2"/>
  <c r="AG341" i="2"/>
  <c r="AF341" i="2"/>
  <c r="AB341" i="2"/>
  <c r="W341" i="2"/>
  <c r="AJ340" i="2"/>
  <c r="AI340" i="2"/>
  <c r="AH340" i="2"/>
  <c r="AG340" i="2"/>
  <c r="AF340" i="2"/>
  <c r="AJ339" i="2"/>
  <c r="AI339" i="2"/>
  <c r="AH339" i="2"/>
  <c r="AG339" i="2"/>
  <c r="AF339" i="2"/>
  <c r="AB338" i="2"/>
  <c r="W338" i="2"/>
  <c r="Q338" i="2"/>
  <c r="P338" i="2"/>
  <c r="O338" i="2"/>
  <c r="N338" i="2"/>
  <c r="M338" i="2"/>
  <c r="J338" i="2"/>
  <c r="I338" i="2"/>
  <c r="H338" i="2"/>
  <c r="G338" i="2"/>
  <c r="F338" i="2"/>
  <c r="AJ337" i="2"/>
  <c r="AI337" i="2"/>
  <c r="AH337" i="2"/>
  <c r="AG337" i="2"/>
  <c r="AF337" i="2"/>
  <c r="AB337" i="2"/>
  <c r="W337" i="2"/>
  <c r="AJ336" i="2"/>
  <c r="AI336" i="2"/>
  <c r="AH336" i="2"/>
  <c r="AG336" i="2"/>
  <c r="AF336" i="2"/>
  <c r="AB336" i="2"/>
  <c r="W336" i="2"/>
  <c r="AJ335" i="2"/>
  <c r="AI335" i="2"/>
  <c r="AH335" i="2"/>
  <c r="AG335" i="2"/>
  <c r="AF335" i="2"/>
  <c r="AB335" i="2"/>
  <c r="W335" i="2"/>
  <c r="AJ334" i="2"/>
  <c r="AI334" i="2"/>
  <c r="AH334" i="2"/>
  <c r="AG334" i="2"/>
  <c r="AF334" i="2"/>
  <c r="AJ333" i="2"/>
  <c r="AI333" i="2"/>
  <c r="AH333" i="2"/>
  <c r="AG333" i="2"/>
  <c r="AF333" i="2"/>
  <c r="AB332" i="2"/>
  <c r="AJ331" i="2"/>
  <c r="AI331" i="2"/>
  <c r="AH331" i="2"/>
  <c r="AG331" i="2"/>
  <c r="AF331" i="2"/>
  <c r="AB331" i="2"/>
  <c r="AJ330" i="2"/>
  <c r="AI330" i="2"/>
  <c r="AH330" i="2"/>
  <c r="AG330" i="2"/>
  <c r="AF330" i="2"/>
  <c r="AB330" i="2"/>
  <c r="W330" i="2"/>
  <c r="AJ329" i="2"/>
  <c r="AI329" i="2"/>
  <c r="AH329" i="2"/>
  <c r="AG329" i="2"/>
  <c r="AF329" i="2"/>
  <c r="AB329" i="2"/>
  <c r="W329" i="2"/>
  <c r="AJ328" i="2"/>
  <c r="AI328" i="2"/>
  <c r="AH328" i="2"/>
  <c r="AG328" i="2"/>
  <c r="AF328" i="2"/>
  <c r="W328" i="2"/>
  <c r="AJ327" i="2"/>
  <c r="AI327" i="2"/>
  <c r="AH327" i="2"/>
  <c r="AG327" i="2"/>
  <c r="AF327" i="2"/>
  <c r="W327" i="2"/>
  <c r="Q327" i="2"/>
  <c r="P327" i="2"/>
  <c r="O327" i="2"/>
  <c r="N327" i="2"/>
  <c r="M327" i="2"/>
  <c r="J327" i="2"/>
  <c r="I327" i="2"/>
  <c r="H327" i="2"/>
  <c r="G327" i="2"/>
  <c r="F327" i="2"/>
  <c r="AJ326" i="2"/>
  <c r="AI326" i="2"/>
  <c r="AH326" i="2"/>
  <c r="AG326" i="2"/>
  <c r="AF326" i="2"/>
  <c r="AB326" i="2"/>
  <c r="W326" i="2"/>
  <c r="AJ325" i="2"/>
  <c r="AI325" i="2"/>
  <c r="AH325" i="2"/>
  <c r="AG325" i="2"/>
  <c r="AF325" i="2"/>
  <c r="AB325" i="2"/>
  <c r="AJ324" i="2"/>
  <c r="AI324" i="2"/>
  <c r="AH324" i="2"/>
  <c r="AG324" i="2"/>
  <c r="AF324" i="2"/>
  <c r="AB324" i="2"/>
  <c r="AJ321" i="2"/>
  <c r="AI321" i="2"/>
  <c r="AH321" i="2"/>
  <c r="AG321" i="2"/>
  <c r="AF321" i="2"/>
  <c r="AJ319" i="2"/>
  <c r="AI319" i="2"/>
  <c r="AH319" i="2"/>
  <c r="AG319" i="2"/>
  <c r="W319" i="2"/>
  <c r="AJ318" i="2"/>
  <c r="AI318" i="2"/>
  <c r="AH318" i="2"/>
  <c r="AG318" i="2"/>
  <c r="AJ317" i="2"/>
  <c r="AI317" i="2"/>
  <c r="AH317" i="2"/>
  <c r="AG317" i="2"/>
  <c r="W317" i="2"/>
  <c r="W331" i="2" s="1"/>
  <c r="S14" i="1" s="1" a="1"/>
  <c r="S14" i="1" s="1"/>
  <c r="AJ316" i="2"/>
  <c r="AI316" i="2"/>
  <c r="AH316" i="2"/>
  <c r="AG316" i="2"/>
  <c r="AJ315" i="2"/>
  <c r="AI315" i="2"/>
  <c r="AH315" i="2"/>
  <c r="AG315" i="2"/>
  <c r="W310" i="2"/>
  <c r="AB309" i="2"/>
  <c r="W309" i="2"/>
  <c r="AJ308" i="2"/>
  <c r="AI308" i="2"/>
  <c r="AH308" i="2"/>
  <c r="AG308" i="2"/>
  <c r="AF308" i="2"/>
  <c r="AB308" i="2"/>
  <c r="W308" i="2"/>
  <c r="AJ307" i="2"/>
  <c r="AI307" i="2"/>
  <c r="AH307" i="2"/>
  <c r="AG307" i="2"/>
  <c r="AF307" i="2"/>
  <c r="AB307" i="2"/>
  <c r="W307" i="2"/>
  <c r="AJ306" i="2"/>
  <c r="AI306" i="2"/>
  <c r="AH306" i="2"/>
  <c r="AG306" i="2"/>
  <c r="AF306" i="2"/>
  <c r="AJ305" i="2"/>
  <c r="AI305" i="2"/>
  <c r="AH305" i="2"/>
  <c r="AG305" i="2"/>
  <c r="AF305" i="2"/>
  <c r="AB304" i="2"/>
  <c r="W304" i="2"/>
  <c r="Q304" i="2"/>
  <c r="P304" i="2"/>
  <c r="O304" i="2"/>
  <c r="N304" i="2"/>
  <c r="M304" i="2"/>
  <c r="J304" i="2"/>
  <c r="I304" i="2"/>
  <c r="H304" i="2"/>
  <c r="G304" i="2"/>
  <c r="F304" i="2"/>
  <c r="AJ303" i="2"/>
  <c r="AI303" i="2"/>
  <c r="AH303" i="2"/>
  <c r="AG303" i="2"/>
  <c r="AF303" i="2"/>
  <c r="AB303" i="2"/>
  <c r="W303" i="2"/>
  <c r="AJ302" i="2"/>
  <c r="AI302" i="2"/>
  <c r="AH302" i="2"/>
  <c r="AG302" i="2"/>
  <c r="AF302" i="2"/>
  <c r="AB302" i="2"/>
  <c r="W302" i="2"/>
  <c r="AJ301" i="2"/>
  <c r="AI301" i="2"/>
  <c r="AH301" i="2"/>
  <c r="AG301" i="2"/>
  <c r="AF301" i="2"/>
  <c r="AB301" i="2"/>
  <c r="W301" i="2"/>
  <c r="AJ300" i="2"/>
  <c r="AI300" i="2"/>
  <c r="AH300" i="2"/>
  <c r="AG300" i="2"/>
  <c r="AF300" i="2"/>
  <c r="AJ299" i="2"/>
  <c r="AI299" i="2"/>
  <c r="AH299" i="2"/>
  <c r="AG299" i="2"/>
  <c r="AF299" i="2"/>
  <c r="AB298" i="2"/>
  <c r="AJ297" i="2"/>
  <c r="AI297" i="2"/>
  <c r="AH297" i="2"/>
  <c r="AG297" i="2"/>
  <c r="AF297" i="2"/>
  <c r="AB297" i="2"/>
  <c r="AJ296" i="2"/>
  <c r="AI296" i="2"/>
  <c r="AH296" i="2"/>
  <c r="AG296" i="2"/>
  <c r="AF296" i="2"/>
  <c r="AB296" i="2"/>
  <c r="W296" i="2"/>
  <c r="AJ295" i="2"/>
  <c r="AI295" i="2"/>
  <c r="AH295" i="2"/>
  <c r="AG295" i="2"/>
  <c r="AF295" i="2"/>
  <c r="AB295" i="2"/>
  <c r="W295" i="2"/>
  <c r="AJ294" i="2"/>
  <c r="AI294" i="2"/>
  <c r="AH294" i="2"/>
  <c r="AG294" i="2"/>
  <c r="AF294" i="2"/>
  <c r="W294" i="2"/>
  <c r="AJ293" i="2"/>
  <c r="AI293" i="2"/>
  <c r="AH293" i="2"/>
  <c r="AG293" i="2"/>
  <c r="AF293" i="2"/>
  <c r="W293" i="2"/>
  <c r="Q293" i="2"/>
  <c r="P293" i="2"/>
  <c r="O293" i="2"/>
  <c r="N293" i="2"/>
  <c r="M293" i="2"/>
  <c r="J293" i="2"/>
  <c r="I293" i="2"/>
  <c r="H293" i="2"/>
  <c r="G293" i="2"/>
  <c r="F293" i="2"/>
  <c r="AJ292" i="2"/>
  <c r="AI292" i="2"/>
  <c r="AH292" i="2"/>
  <c r="AG292" i="2"/>
  <c r="AF292" i="2"/>
  <c r="AB292" i="2"/>
  <c r="W292" i="2"/>
  <c r="AJ291" i="2"/>
  <c r="AI291" i="2"/>
  <c r="AH291" i="2"/>
  <c r="AG291" i="2"/>
  <c r="AF291" i="2"/>
  <c r="AB291" i="2"/>
  <c r="AJ290" i="2"/>
  <c r="AI290" i="2"/>
  <c r="AH290" i="2"/>
  <c r="AG290" i="2"/>
  <c r="AF290" i="2"/>
  <c r="AB290" i="2"/>
  <c r="AJ287" i="2"/>
  <c r="AI287" i="2"/>
  <c r="AH287" i="2"/>
  <c r="AG287" i="2"/>
  <c r="AF287" i="2"/>
  <c r="AJ285" i="2"/>
  <c r="AI285" i="2"/>
  <c r="AH285" i="2"/>
  <c r="AG285" i="2"/>
  <c r="W285" i="2"/>
  <c r="AJ284" i="2"/>
  <c r="AI284" i="2"/>
  <c r="AH284" i="2"/>
  <c r="AG284" i="2"/>
  <c r="W284" i="2"/>
  <c r="AJ283" i="2"/>
  <c r="AI283" i="2"/>
  <c r="AH283" i="2"/>
  <c r="AG283" i="2"/>
  <c r="AB283" i="2" s="1"/>
  <c r="W283" i="2"/>
  <c r="W297" i="2" s="1"/>
  <c r="S13" i="1" s="1" a="1"/>
  <c r="S13" i="1" s="1"/>
  <c r="AJ282" i="2"/>
  <c r="AI282" i="2"/>
  <c r="AH282" i="2"/>
  <c r="AB282" i="2" s="1"/>
  <c r="AG282" i="2"/>
  <c r="AJ281" i="2"/>
  <c r="AI281" i="2"/>
  <c r="AH281" i="2"/>
  <c r="AG281" i="2"/>
  <c r="W276" i="2"/>
  <c r="AB275" i="2"/>
  <c r="W275" i="2"/>
  <c r="AJ274" i="2"/>
  <c r="AI274" i="2"/>
  <c r="AH274" i="2"/>
  <c r="AG274" i="2"/>
  <c r="AF274" i="2"/>
  <c r="AB274" i="2"/>
  <c r="W274" i="2"/>
  <c r="AJ273" i="2"/>
  <c r="AI273" i="2"/>
  <c r="AH273" i="2"/>
  <c r="AG273" i="2"/>
  <c r="AF273" i="2"/>
  <c r="AB273" i="2"/>
  <c r="W273" i="2"/>
  <c r="AJ272" i="2"/>
  <c r="AI272" i="2"/>
  <c r="AH272" i="2"/>
  <c r="AG272" i="2"/>
  <c r="AF272" i="2"/>
  <c r="AJ271" i="2"/>
  <c r="AI271" i="2"/>
  <c r="AH271" i="2"/>
  <c r="AG271" i="2"/>
  <c r="AF271" i="2"/>
  <c r="AB270" i="2"/>
  <c r="W270" i="2"/>
  <c r="Q270" i="2"/>
  <c r="P270" i="2"/>
  <c r="O270" i="2"/>
  <c r="N270" i="2"/>
  <c r="M270" i="2"/>
  <c r="J270" i="2"/>
  <c r="I270" i="2"/>
  <c r="H270" i="2"/>
  <c r="G270" i="2"/>
  <c r="F270" i="2"/>
  <c r="AJ269" i="2"/>
  <c r="AI269" i="2"/>
  <c r="AH269" i="2"/>
  <c r="AG269" i="2"/>
  <c r="AF269" i="2"/>
  <c r="AB269" i="2"/>
  <c r="W269" i="2"/>
  <c r="AJ268" i="2"/>
  <c r="AI268" i="2"/>
  <c r="AH268" i="2"/>
  <c r="AG268" i="2"/>
  <c r="AF268" i="2"/>
  <c r="AB268" i="2"/>
  <c r="W268" i="2"/>
  <c r="AJ267" i="2"/>
  <c r="AI267" i="2"/>
  <c r="AH267" i="2"/>
  <c r="AG267" i="2"/>
  <c r="AF267" i="2"/>
  <c r="AB267" i="2"/>
  <c r="W267" i="2"/>
  <c r="AJ266" i="2"/>
  <c r="AI266" i="2"/>
  <c r="AH266" i="2"/>
  <c r="AG266" i="2"/>
  <c r="AF266" i="2"/>
  <c r="AJ265" i="2"/>
  <c r="AI265" i="2"/>
  <c r="AH265" i="2"/>
  <c r="AG265" i="2"/>
  <c r="AF265" i="2"/>
  <c r="AB264" i="2"/>
  <c r="AJ263" i="2"/>
  <c r="AI263" i="2"/>
  <c r="AH263" i="2"/>
  <c r="AG263" i="2"/>
  <c r="AF263" i="2"/>
  <c r="AB263" i="2"/>
  <c r="AJ262" i="2"/>
  <c r="AI262" i="2"/>
  <c r="AH262" i="2"/>
  <c r="AG262" i="2"/>
  <c r="AF262" i="2"/>
  <c r="AB262" i="2"/>
  <c r="W262" i="2"/>
  <c r="AJ261" i="2"/>
  <c r="AI261" i="2"/>
  <c r="AH261" i="2"/>
  <c r="AG261" i="2"/>
  <c r="AF261" i="2"/>
  <c r="AB261" i="2"/>
  <c r="W261" i="2"/>
  <c r="AJ260" i="2"/>
  <c r="AI260" i="2"/>
  <c r="AH260" i="2"/>
  <c r="AG260" i="2"/>
  <c r="AF260" i="2"/>
  <c r="W260" i="2"/>
  <c r="AJ259" i="2"/>
  <c r="AI259" i="2"/>
  <c r="AH259" i="2"/>
  <c r="AG259" i="2"/>
  <c r="AF259" i="2"/>
  <c r="W259" i="2"/>
  <c r="Q259" i="2"/>
  <c r="P259" i="2"/>
  <c r="O259" i="2"/>
  <c r="N259" i="2"/>
  <c r="M259" i="2"/>
  <c r="J259" i="2"/>
  <c r="I259" i="2"/>
  <c r="H259" i="2"/>
  <c r="G259" i="2"/>
  <c r="F259" i="2"/>
  <c r="AJ258" i="2"/>
  <c r="AI258" i="2"/>
  <c r="AH258" i="2"/>
  <c r="AG258" i="2"/>
  <c r="AF258" i="2"/>
  <c r="AB258" i="2"/>
  <c r="W258" i="2"/>
  <c r="AJ257" i="2"/>
  <c r="AI257" i="2"/>
  <c r="AH257" i="2"/>
  <c r="AG257" i="2"/>
  <c r="AF257" i="2"/>
  <c r="AB257" i="2"/>
  <c r="AJ256" i="2"/>
  <c r="AI256" i="2"/>
  <c r="AH256" i="2"/>
  <c r="AG256" i="2"/>
  <c r="AF256" i="2"/>
  <c r="AB256" i="2"/>
  <c r="AJ253" i="2"/>
  <c r="AI253" i="2"/>
  <c r="AH253" i="2"/>
  <c r="AG253" i="2"/>
  <c r="AF253" i="2"/>
  <c r="AJ251" i="2"/>
  <c r="AI251" i="2"/>
  <c r="AH251" i="2"/>
  <c r="AG251" i="2"/>
  <c r="AB251" i="2" s="1"/>
  <c r="W251" i="2"/>
  <c r="AJ250" i="2"/>
  <c r="AI250" i="2"/>
  <c r="AH250" i="2"/>
  <c r="AG250" i="2"/>
  <c r="AJ249" i="2"/>
  <c r="AI249" i="2"/>
  <c r="AH249" i="2"/>
  <c r="AG249" i="2"/>
  <c r="W249" i="2"/>
  <c r="W263" i="2" s="1"/>
  <c r="S12" i="1" s="1" a="1"/>
  <c r="S12" i="1" s="1"/>
  <c r="AJ248" i="2"/>
  <c r="AI248" i="2"/>
  <c r="AH248" i="2"/>
  <c r="AG248" i="2"/>
  <c r="AJ247" i="2"/>
  <c r="AI247" i="2"/>
  <c r="AH247" i="2"/>
  <c r="AG247" i="2"/>
  <c r="W242" i="2"/>
  <c r="AB241" i="2"/>
  <c r="W241" i="2"/>
  <c r="AJ240" i="2"/>
  <c r="AI240" i="2"/>
  <c r="AH240" i="2"/>
  <c r="AG240" i="2"/>
  <c r="AF240" i="2"/>
  <c r="AB240" i="2"/>
  <c r="W240" i="2"/>
  <c r="AJ239" i="2"/>
  <c r="AI239" i="2"/>
  <c r="AH239" i="2"/>
  <c r="AG239" i="2"/>
  <c r="AF239" i="2"/>
  <c r="AB239" i="2"/>
  <c r="W239" i="2"/>
  <c r="AJ238" i="2"/>
  <c r="AI238" i="2"/>
  <c r="AH238" i="2"/>
  <c r="AG238" i="2"/>
  <c r="AF238" i="2"/>
  <c r="AJ237" i="2"/>
  <c r="AI237" i="2"/>
  <c r="AH237" i="2"/>
  <c r="AG237" i="2"/>
  <c r="AF237" i="2"/>
  <c r="AB236" i="2"/>
  <c r="W236" i="2"/>
  <c r="Q236" i="2"/>
  <c r="P236" i="2"/>
  <c r="O236" i="2"/>
  <c r="N236" i="2"/>
  <c r="M236" i="2"/>
  <c r="J236" i="2"/>
  <c r="I236" i="2"/>
  <c r="H236" i="2"/>
  <c r="G236" i="2"/>
  <c r="F236" i="2"/>
  <c r="AJ235" i="2"/>
  <c r="AI235" i="2"/>
  <c r="AH235" i="2"/>
  <c r="AG235" i="2"/>
  <c r="AF235" i="2"/>
  <c r="AB235" i="2"/>
  <c r="W235" i="2"/>
  <c r="AJ234" i="2"/>
  <c r="AI234" i="2"/>
  <c r="AH234" i="2"/>
  <c r="AG234" i="2"/>
  <c r="AF234" i="2"/>
  <c r="AB234" i="2"/>
  <c r="W234" i="2"/>
  <c r="AJ233" i="2"/>
  <c r="AI233" i="2"/>
  <c r="AH233" i="2"/>
  <c r="AG233" i="2"/>
  <c r="AF233" i="2"/>
  <c r="AB233" i="2"/>
  <c r="W233" i="2"/>
  <c r="AJ232" i="2"/>
  <c r="AI232" i="2"/>
  <c r="AH232" i="2"/>
  <c r="AG232" i="2"/>
  <c r="AF232" i="2"/>
  <c r="AJ231" i="2"/>
  <c r="AI231" i="2"/>
  <c r="AH231" i="2"/>
  <c r="AG231" i="2"/>
  <c r="AF231" i="2"/>
  <c r="AB230" i="2"/>
  <c r="AJ229" i="2"/>
  <c r="AI229" i="2"/>
  <c r="AH229" i="2"/>
  <c r="AG229" i="2"/>
  <c r="AF229" i="2"/>
  <c r="AB229" i="2"/>
  <c r="AJ228" i="2"/>
  <c r="AI228" i="2"/>
  <c r="AH228" i="2"/>
  <c r="AG228" i="2"/>
  <c r="AF228" i="2"/>
  <c r="AB228" i="2"/>
  <c r="W228" i="2"/>
  <c r="AJ227" i="2"/>
  <c r="AI227" i="2"/>
  <c r="AH227" i="2"/>
  <c r="AG227" i="2"/>
  <c r="AF227" i="2"/>
  <c r="AB227" i="2"/>
  <c r="W227" i="2"/>
  <c r="AJ226" i="2"/>
  <c r="AI226" i="2"/>
  <c r="AH226" i="2"/>
  <c r="AG226" i="2"/>
  <c r="AF226" i="2"/>
  <c r="W226" i="2"/>
  <c r="AJ225" i="2"/>
  <c r="AI225" i="2"/>
  <c r="AH225" i="2"/>
  <c r="AG225" i="2"/>
  <c r="AF225" i="2"/>
  <c r="W225" i="2"/>
  <c r="Q225" i="2"/>
  <c r="P225" i="2"/>
  <c r="O225" i="2"/>
  <c r="N225" i="2"/>
  <c r="M225" i="2"/>
  <c r="J225" i="2"/>
  <c r="I225" i="2"/>
  <c r="H225" i="2"/>
  <c r="G225" i="2"/>
  <c r="F225" i="2"/>
  <c r="AJ224" i="2"/>
  <c r="AI224" i="2"/>
  <c r="AH224" i="2"/>
  <c r="AG224" i="2"/>
  <c r="AF224" i="2"/>
  <c r="AB224" i="2"/>
  <c r="W224" i="2"/>
  <c r="AJ223" i="2"/>
  <c r="AI223" i="2"/>
  <c r="AH223" i="2"/>
  <c r="AG223" i="2"/>
  <c r="AF223" i="2"/>
  <c r="AB223" i="2"/>
  <c r="AJ222" i="2"/>
  <c r="AI222" i="2"/>
  <c r="AH222" i="2"/>
  <c r="AG222" i="2"/>
  <c r="AF222" i="2"/>
  <c r="AB222" i="2"/>
  <c r="AJ219" i="2"/>
  <c r="AI219" i="2"/>
  <c r="AH219" i="2"/>
  <c r="AG219" i="2"/>
  <c r="AF219" i="2"/>
  <c r="AJ217" i="2"/>
  <c r="AI217" i="2"/>
  <c r="AH217" i="2"/>
  <c r="AG217" i="2"/>
  <c r="W217" i="2"/>
  <c r="AJ216" i="2"/>
  <c r="AI216" i="2"/>
  <c r="AH216" i="2"/>
  <c r="AG216" i="2"/>
  <c r="AJ215" i="2"/>
  <c r="AI215" i="2"/>
  <c r="AH215" i="2"/>
  <c r="AG215" i="2"/>
  <c r="W215" i="2"/>
  <c r="W229" i="2" s="1"/>
  <c r="S11" i="1" s="1" a="1"/>
  <c r="S11" i="1" s="1"/>
  <c r="AJ214" i="2"/>
  <c r="AI214" i="2"/>
  <c r="AH214" i="2"/>
  <c r="AG214" i="2"/>
  <c r="AJ213" i="2"/>
  <c r="AI213" i="2"/>
  <c r="AH213" i="2"/>
  <c r="AG213" i="2"/>
  <c r="W208" i="2"/>
  <c r="AB207" i="2"/>
  <c r="W207" i="2"/>
  <c r="AJ206" i="2"/>
  <c r="AI206" i="2"/>
  <c r="AH206" i="2"/>
  <c r="AG206" i="2"/>
  <c r="AF206" i="2"/>
  <c r="AB206" i="2"/>
  <c r="W206" i="2"/>
  <c r="AJ205" i="2"/>
  <c r="AI205" i="2"/>
  <c r="AH205" i="2"/>
  <c r="AG205" i="2"/>
  <c r="AF205" i="2"/>
  <c r="AB205" i="2"/>
  <c r="W205" i="2"/>
  <c r="AJ204" i="2"/>
  <c r="AI204" i="2"/>
  <c r="AH204" i="2"/>
  <c r="AG204" i="2"/>
  <c r="AF204" i="2"/>
  <c r="AJ203" i="2"/>
  <c r="AI203" i="2"/>
  <c r="AH203" i="2"/>
  <c r="AG203" i="2"/>
  <c r="AF203" i="2"/>
  <c r="AB202" i="2"/>
  <c r="W202" i="2"/>
  <c r="Q202" i="2"/>
  <c r="P202" i="2"/>
  <c r="O202" i="2"/>
  <c r="N202" i="2"/>
  <c r="M202" i="2"/>
  <c r="J202" i="2"/>
  <c r="I202" i="2"/>
  <c r="H202" i="2"/>
  <c r="G202" i="2"/>
  <c r="F202" i="2"/>
  <c r="AJ201" i="2"/>
  <c r="AI201" i="2"/>
  <c r="AH201" i="2"/>
  <c r="AG201" i="2"/>
  <c r="AF201" i="2"/>
  <c r="AB201" i="2"/>
  <c r="W201" i="2"/>
  <c r="AJ200" i="2"/>
  <c r="AI200" i="2"/>
  <c r="AH200" i="2"/>
  <c r="AG200" i="2"/>
  <c r="AF200" i="2"/>
  <c r="AB200" i="2"/>
  <c r="W200" i="2"/>
  <c r="AJ199" i="2"/>
  <c r="AI199" i="2"/>
  <c r="AH199" i="2"/>
  <c r="AG199" i="2"/>
  <c r="AF199" i="2"/>
  <c r="AB199" i="2"/>
  <c r="W199" i="2"/>
  <c r="AJ198" i="2"/>
  <c r="AI198" i="2"/>
  <c r="AH198" i="2"/>
  <c r="AG198" i="2"/>
  <c r="AF198" i="2"/>
  <c r="AJ197" i="2"/>
  <c r="AI197" i="2"/>
  <c r="AH197" i="2"/>
  <c r="AG197" i="2"/>
  <c r="AF197" i="2"/>
  <c r="AB196" i="2"/>
  <c r="AJ195" i="2"/>
  <c r="AI195" i="2"/>
  <c r="AH195" i="2"/>
  <c r="AG195" i="2"/>
  <c r="AF195" i="2"/>
  <c r="AB195" i="2"/>
  <c r="AJ194" i="2"/>
  <c r="AI194" i="2"/>
  <c r="AH194" i="2"/>
  <c r="AG194" i="2"/>
  <c r="AF194" i="2"/>
  <c r="AB194" i="2"/>
  <c r="W194" i="2"/>
  <c r="AJ193" i="2"/>
  <c r="AI193" i="2"/>
  <c r="AH193" i="2"/>
  <c r="AG193" i="2"/>
  <c r="AF193" i="2"/>
  <c r="AB193" i="2"/>
  <c r="W193" i="2"/>
  <c r="AJ192" i="2"/>
  <c r="AI192" i="2"/>
  <c r="AH192" i="2"/>
  <c r="AG192" i="2"/>
  <c r="AF192" i="2"/>
  <c r="W192" i="2"/>
  <c r="AJ191" i="2"/>
  <c r="AI191" i="2"/>
  <c r="AH191" i="2"/>
  <c r="AG191" i="2"/>
  <c r="AF191" i="2"/>
  <c r="W191" i="2"/>
  <c r="Q191" i="2"/>
  <c r="P191" i="2"/>
  <c r="O191" i="2"/>
  <c r="N191" i="2"/>
  <c r="M191" i="2"/>
  <c r="J191" i="2"/>
  <c r="I191" i="2"/>
  <c r="H191" i="2"/>
  <c r="G191" i="2"/>
  <c r="F191" i="2"/>
  <c r="AJ190" i="2"/>
  <c r="AI190" i="2"/>
  <c r="AH190" i="2"/>
  <c r="AG190" i="2"/>
  <c r="AF190" i="2"/>
  <c r="AB190" i="2"/>
  <c r="W190" i="2"/>
  <c r="I10" i="1" s="1" a="1"/>
  <c r="I10" i="1" s="1"/>
  <c r="AJ189" i="2"/>
  <c r="AI189" i="2"/>
  <c r="AH189" i="2"/>
  <c r="AG189" i="2"/>
  <c r="AF189" i="2"/>
  <c r="AB189" i="2"/>
  <c r="AJ188" i="2"/>
  <c r="AI188" i="2"/>
  <c r="AH188" i="2"/>
  <c r="AG188" i="2"/>
  <c r="AF188" i="2"/>
  <c r="AB188" i="2"/>
  <c r="AJ185" i="2"/>
  <c r="AI185" i="2"/>
  <c r="AH185" i="2"/>
  <c r="AG185" i="2"/>
  <c r="AF185" i="2"/>
  <c r="AJ183" i="2"/>
  <c r="AI183" i="2"/>
  <c r="AH183" i="2"/>
  <c r="AG183" i="2"/>
  <c r="AB183" i="2"/>
  <c r="W183" i="2"/>
  <c r="AJ182" i="2"/>
  <c r="AI182" i="2"/>
  <c r="AH182" i="2"/>
  <c r="AG182" i="2"/>
  <c r="AJ181" i="2"/>
  <c r="AI181" i="2"/>
  <c r="AH181" i="2"/>
  <c r="AG181" i="2"/>
  <c r="AB181" i="2" s="1"/>
  <c r="W181" i="2"/>
  <c r="W195" i="2" s="1"/>
  <c r="S10" i="1" s="1" a="1"/>
  <c r="S10" i="1" s="1"/>
  <c r="AJ180" i="2"/>
  <c r="AI180" i="2"/>
  <c r="AH180" i="2"/>
  <c r="AG180" i="2"/>
  <c r="AJ179" i="2"/>
  <c r="AI179" i="2"/>
  <c r="AH179" i="2"/>
  <c r="AG179" i="2"/>
  <c r="W174" i="2"/>
  <c r="AB173" i="2"/>
  <c r="W173" i="2"/>
  <c r="AJ172" i="2"/>
  <c r="AI172" i="2"/>
  <c r="AH172" i="2"/>
  <c r="AG172" i="2"/>
  <c r="AF172" i="2"/>
  <c r="AB172" i="2"/>
  <c r="W172" i="2"/>
  <c r="AJ171" i="2"/>
  <c r="AI171" i="2"/>
  <c r="AH171" i="2"/>
  <c r="AG171" i="2"/>
  <c r="AF171" i="2"/>
  <c r="AB171" i="2"/>
  <c r="W171" i="2"/>
  <c r="AJ170" i="2"/>
  <c r="AI170" i="2"/>
  <c r="AH170" i="2"/>
  <c r="AG170" i="2"/>
  <c r="AF170" i="2"/>
  <c r="AJ169" i="2"/>
  <c r="AI169" i="2"/>
  <c r="AH169" i="2"/>
  <c r="AG169" i="2"/>
  <c r="AF169" i="2"/>
  <c r="AB168" i="2"/>
  <c r="W168" i="2"/>
  <c r="Q168" i="2"/>
  <c r="P168" i="2"/>
  <c r="O168" i="2"/>
  <c r="N168" i="2"/>
  <c r="M168" i="2"/>
  <c r="J168" i="2"/>
  <c r="I168" i="2"/>
  <c r="H168" i="2"/>
  <c r="G168" i="2"/>
  <c r="F168" i="2"/>
  <c r="AJ167" i="2"/>
  <c r="AI167" i="2"/>
  <c r="AH167" i="2"/>
  <c r="AG167" i="2"/>
  <c r="AF167" i="2"/>
  <c r="AB167" i="2"/>
  <c r="W167" i="2"/>
  <c r="AJ166" i="2"/>
  <c r="AI166" i="2"/>
  <c r="AH166" i="2"/>
  <c r="AG166" i="2"/>
  <c r="AF166" i="2"/>
  <c r="AB166" i="2"/>
  <c r="W166" i="2"/>
  <c r="AJ165" i="2"/>
  <c r="AI165" i="2"/>
  <c r="AH165" i="2"/>
  <c r="AG165" i="2"/>
  <c r="AF165" i="2"/>
  <c r="AB165" i="2"/>
  <c r="W165" i="2"/>
  <c r="AJ164" i="2"/>
  <c r="AI164" i="2"/>
  <c r="AH164" i="2"/>
  <c r="AG164" i="2"/>
  <c r="AF164" i="2"/>
  <c r="AJ163" i="2"/>
  <c r="AI163" i="2"/>
  <c r="AH163" i="2"/>
  <c r="AG163" i="2"/>
  <c r="AF163" i="2"/>
  <c r="AB162" i="2"/>
  <c r="AJ161" i="2"/>
  <c r="AI161" i="2"/>
  <c r="AH161" i="2"/>
  <c r="AG161" i="2"/>
  <c r="AF161" i="2"/>
  <c r="AB161" i="2"/>
  <c r="AJ160" i="2"/>
  <c r="AI160" i="2"/>
  <c r="AH160" i="2"/>
  <c r="AG160" i="2"/>
  <c r="AF160" i="2"/>
  <c r="AB160" i="2"/>
  <c r="W160" i="2"/>
  <c r="AJ159" i="2"/>
  <c r="AI159" i="2"/>
  <c r="AH159" i="2"/>
  <c r="AG159" i="2"/>
  <c r="AF159" i="2"/>
  <c r="AB159" i="2"/>
  <c r="W159" i="2"/>
  <c r="AJ158" i="2"/>
  <c r="AI158" i="2"/>
  <c r="AH158" i="2"/>
  <c r="AG158" i="2"/>
  <c r="AF158" i="2"/>
  <c r="W158" i="2"/>
  <c r="AJ157" i="2"/>
  <c r="AI157" i="2"/>
  <c r="AH157" i="2"/>
  <c r="AG157" i="2"/>
  <c r="AF157" i="2"/>
  <c r="W157" i="2"/>
  <c r="Q157" i="2"/>
  <c r="P157" i="2"/>
  <c r="O157" i="2"/>
  <c r="N157" i="2"/>
  <c r="M157" i="2"/>
  <c r="J157" i="2"/>
  <c r="I157" i="2"/>
  <c r="H157" i="2"/>
  <c r="G157" i="2"/>
  <c r="F157" i="2"/>
  <c r="AJ156" i="2"/>
  <c r="AI156" i="2"/>
  <c r="AH156" i="2"/>
  <c r="AG156" i="2"/>
  <c r="AF156" i="2"/>
  <c r="AB156" i="2"/>
  <c r="W156" i="2"/>
  <c r="I9" i="1" s="1" a="1"/>
  <c r="I9" i="1" s="1"/>
  <c r="AJ155" i="2"/>
  <c r="AI155" i="2"/>
  <c r="AH155" i="2"/>
  <c r="AG155" i="2"/>
  <c r="AF155" i="2"/>
  <c r="AB155" i="2"/>
  <c r="AJ154" i="2"/>
  <c r="AI154" i="2"/>
  <c r="AH154" i="2"/>
  <c r="AG154" i="2"/>
  <c r="AF154" i="2"/>
  <c r="AB154" i="2"/>
  <c r="AJ151" i="2"/>
  <c r="AI151" i="2"/>
  <c r="AH151" i="2"/>
  <c r="AG151" i="2"/>
  <c r="AF151" i="2"/>
  <c r="AJ149" i="2"/>
  <c r="AI149" i="2"/>
  <c r="AH149" i="2"/>
  <c r="AG149" i="2"/>
  <c r="W149" i="2"/>
  <c r="AJ148" i="2"/>
  <c r="AI148" i="2"/>
  <c r="AH148" i="2"/>
  <c r="AG148" i="2"/>
  <c r="AJ147" i="2"/>
  <c r="AI147" i="2"/>
  <c r="AH147" i="2"/>
  <c r="AG147" i="2"/>
  <c r="AB147" i="2" s="1"/>
  <c r="W147" i="2"/>
  <c r="W161" i="2" s="1"/>
  <c r="S9" i="1" s="1" a="1"/>
  <c r="S9" i="1" s="1"/>
  <c r="AJ146" i="2"/>
  <c r="AI146" i="2"/>
  <c r="AH146" i="2"/>
  <c r="AB146" i="2" s="1"/>
  <c r="AG146" i="2"/>
  <c r="AJ145" i="2"/>
  <c r="AI145" i="2"/>
  <c r="AH145" i="2"/>
  <c r="AG145" i="2"/>
  <c r="W140" i="2"/>
  <c r="AB139" i="2"/>
  <c r="W139" i="2"/>
  <c r="AJ138" i="2"/>
  <c r="AI138" i="2"/>
  <c r="AH138" i="2"/>
  <c r="AG138" i="2"/>
  <c r="AF138" i="2"/>
  <c r="AB138" i="2"/>
  <c r="W138" i="2"/>
  <c r="AJ137" i="2"/>
  <c r="AI137" i="2"/>
  <c r="AH137" i="2"/>
  <c r="AG137" i="2"/>
  <c r="AF137" i="2"/>
  <c r="AB137" i="2"/>
  <c r="W137" i="2"/>
  <c r="AJ136" i="2"/>
  <c r="AI136" i="2"/>
  <c r="AH136" i="2"/>
  <c r="AG136" i="2"/>
  <c r="AF136" i="2"/>
  <c r="AJ135" i="2"/>
  <c r="AI135" i="2"/>
  <c r="AH135" i="2"/>
  <c r="AG135" i="2"/>
  <c r="AF135" i="2"/>
  <c r="AB134" i="2"/>
  <c r="W134" i="2"/>
  <c r="Q134" i="2"/>
  <c r="P134" i="2"/>
  <c r="O134" i="2"/>
  <c r="N134" i="2"/>
  <c r="M134" i="2"/>
  <c r="J134" i="2"/>
  <c r="I134" i="2"/>
  <c r="H134" i="2"/>
  <c r="G134" i="2"/>
  <c r="F134" i="2"/>
  <c r="AJ133" i="2"/>
  <c r="AI133" i="2"/>
  <c r="AH133" i="2"/>
  <c r="AG133" i="2"/>
  <c r="AF133" i="2"/>
  <c r="AB133" i="2"/>
  <c r="W133" i="2"/>
  <c r="AJ132" i="2"/>
  <c r="AI132" i="2"/>
  <c r="AH132" i="2"/>
  <c r="AG132" i="2"/>
  <c r="AF132" i="2"/>
  <c r="AB132" i="2"/>
  <c r="W132" i="2"/>
  <c r="AJ131" i="2"/>
  <c r="AI131" i="2"/>
  <c r="AH131" i="2"/>
  <c r="AG131" i="2"/>
  <c r="AF131" i="2"/>
  <c r="AB131" i="2"/>
  <c r="W131" i="2"/>
  <c r="AJ130" i="2"/>
  <c r="AI130" i="2"/>
  <c r="AH130" i="2"/>
  <c r="AG130" i="2"/>
  <c r="AF130" i="2"/>
  <c r="AJ129" i="2"/>
  <c r="AI129" i="2"/>
  <c r="AH129" i="2"/>
  <c r="AG129" i="2"/>
  <c r="AF129" i="2"/>
  <c r="AB128" i="2"/>
  <c r="AJ127" i="2"/>
  <c r="AI127" i="2"/>
  <c r="AH127" i="2"/>
  <c r="AG127" i="2"/>
  <c r="AF127" i="2"/>
  <c r="AB127" i="2"/>
  <c r="AJ126" i="2"/>
  <c r="AI126" i="2"/>
  <c r="AH126" i="2"/>
  <c r="AG126" i="2"/>
  <c r="AF126" i="2"/>
  <c r="AB126" i="2"/>
  <c r="W126" i="2"/>
  <c r="AJ125" i="2"/>
  <c r="AI125" i="2"/>
  <c r="AH125" i="2"/>
  <c r="AG125" i="2"/>
  <c r="AF125" i="2"/>
  <c r="AB125" i="2"/>
  <c r="W125" i="2"/>
  <c r="Q8" i="1" s="1" a="1"/>
  <c r="Q8" i="1" s="1"/>
  <c r="AJ124" i="2"/>
  <c r="AI124" i="2"/>
  <c r="AH124" i="2"/>
  <c r="AG124" i="2"/>
  <c r="AF124" i="2"/>
  <c r="W124" i="2"/>
  <c r="AJ123" i="2"/>
  <c r="AI123" i="2"/>
  <c r="AH123" i="2"/>
  <c r="AG123" i="2"/>
  <c r="AF123" i="2"/>
  <c r="W123" i="2"/>
  <c r="Q123" i="2"/>
  <c r="P123" i="2"/>
  <c r="O123" i="2"/>
  <c r="N123" i="2"/>
  <c r="M123" i="2"/>
  <c r="J123" i="2"/>
  <c r="I123" i="2"/>
  <c r="H123" i="2"/>
  <c r="G123" i="2"/>
  <c r="F123" i="2"/>
  <c r="AJ122" i="2"/>
  <c r="AI122" i="2"/>
  <c r="AH122" i="2"/>
  <c r="AG122" i="2"/>
  <c r="AF122" i="2"/>
  <c r="AB122" i="2"/>
  <c r="Z8" i="1" s="1" a="1"/>
  <c r="Z8" i="1" s="1"/>
  <c r="W122" i="2"/>
  <c r="I8" i="1" s="1" a="1"/>
  <c r="I8" i="1" s="1"/>
  <c r="AJ121" i="2"/>
  <c r="AI121" i="2"/>
  <c r="AH121" i="2"/>
  <c r="AG121" i="2"/>
  <c r="AF121" i="2"/>
  <c r="AB121" i="2"/>
  <c r="AJ120" i="2"/>
  <c r="AI120" i="2"/>
  <c r="AH120" i="2"/>
  <c r="AG120" i="2"/>
  <c r="AF120" i="2"/>
  <c r="AB120" i="2"/>
  <c r="AJ117" i="2"/>
  <c r="AI117" i="2"/>
  <c r="AH117" i="2"/>
  <c r="AG117" i="2"/>
  <c r="AF117" i="2"/>
  <c r="AJ115" i="2"/>
  <c r="AI115" i="2"/>
  <c r="AH115" i="2"/>
  <c r="AG115" i="2"/>
  <c r="W115" i="2"/>
  <c r="AJ114" i="2"/>
  <c r="AI114" i="2"/>
  <c r="AH114" i="2"/>
  <c r="AG114" i="2"/>
  <c r="AJ113" i="2"/>
  <c r="AI113" i="2"/>
  <c r="AH113" i="2"/>
  <c r="AG113" i="2"/>
  <c r="W113" i="2"/>
  <c r="W127" i="2" s="1"/>
  <c r="S8" i="1" s="1" a="1"/>
  <c r="S8" i="1" s="1"/>
  <c r="AJ112" i="2"/>
  <c r="AI112" i="2"/>
  <c r="AH112" i="2"/>
  <c r="AG112" i="2"/>
  <c r="AJ111" i="2"/>
  <c r="AI111" i="2"/>
  <c r="AH111" i="2"/>
  <c r="AG111" i="2"/>
  <c r="W106" i="2"/>
  <c r="AB105" i="2"/>
  <c r="W105" i="2"/>
  <c r="AJ104" i="2"/>
  <c r="AI104" i="2"/>
  <c r="AH104" i="2"/>
  <c r="AG104" i="2"/>
  <c r="AF104" i="2"/>
  <c r="AB104" i="2"/>
  <c r="W104" i="2"/>
  <c r="AJ103" i="2"/>
  <c r="AI103" i="2"/>
  <c r="AH103" i="2"/>
  <c r="AG103" i="2"/>
  <c r="AF103" i="2"/>
  <c r="AB103" i="2"/>
  <c r="W103" i="2"/>
  <c r="AJ102" i="2"/>
  <c r="AI102" i="2"/>
  <c r="AH102" i="2"/>
  <c r="AG102" i="2"/>
  <c r="AF102" i="2"/>
  <c r="AJ101" i="2"/>
  <c r="AI101" i="2"/>
  <c r="AH101" i="2"/>
  <c r="AG101" i="2"/>
  <c r="AF101" i="2"/>
  <c r="AB100" i="2"/>
  <c r="W100" i="2"/>
  <c r="Q100" i="2"/>
  <c r="P100" i="2"/>
  <c r="O100" i="2"/>
  <c r="N100" i="2"/>
  <c r="M100" i="2"/>
  <c r="J100" i="2"/>
  <c r="I100" i="2"/>
  <c r="H100" i="2"/>
  <c r="G100" i="2"/>
  <c r="F100" i="2"/>
  <c r="AJ99" i="2"/>
  <c r="AI99" i="2"/>
  <c r="AH99" i="2"/>
  <c r="AG99" i="2"/>
  <c r="AF99" i="2"/>
  <c r="AB99" i="2"/>
  <c r="W99" i="2"/>
  <c r="AJ98" i="2"/>
  <c r="AI98" i="2"/>
  <c r="AH98" i="2"/>
  <c r="AG98" i="2"/>
  <c r="AF98" i="2"/>
  <c r="AB98" i="2"/>
  <c r="W98" i="2"/>
  <c r="AJ97" i="2"/>
  <c r="AI97" i="2"/>
  <c r="AH97" i="2"/>
  <c r="AG97" i="2"/>
  <c r="AF97" i="2"/>
  <c r="AB97" i="2"/>
  <c r="W97" i="2"/>
  <c r="AJ96" i="2"/>
  <c r="AI96" i="2"/>
  <c r="AH96" i="2"/>
  <c r="AG96" i="2"/>
  <c r="AF96" i="2"/>
  <c r="AJ95" i="2"/>
  <c r="AI95" i="2"/>
  <c r="AH95" i="2"/>
  <c r="AG95" i="2"/>
  <c r="AF95" i="2"/>
  <c r="AB94" i="2"/>
  <c r="AJ93" i="2"/>
  <c r="AI93" i="2"/>
  <c r="AH93" i="2"/>
  <c r="AG93" i="2"/>
  <c r="AF93" i="2"/>
  <c r="AB93" i="2"/>
  <c r="AJ92" i="2"/>
  <c r="AI92" i="2"/>
  <c r="AH92" i="2"/>
  <c r="AG92" i="2"/>
  <c r="AF92" i="2"/>
  <c r="AB92" i="2"/>
  <c r="W92" i="2"/>
  <c r="AJ91" i="2"/>
  <c r="AI91" i="2"/>
  <c r="AH91" i="2"/>
  <c r="AG91" i="2"/>
  <c r="AF91" i="2"/>
  <c r="AB91" i="2"/>
  <c r="W91" i="2"/>
  <c r="AJ90" i="2"/>
  <c r="AI90" i="2"/>
  <c r="AH90" i="2"/>
  <c r="AG90" i="2"/>
  <c r="AF90" i="2"/>
  <c r="W90" i="2"/>
  <c r="AJ89" i="2"/>
  <c r="AI89" i="2"/>
  <c r="AH89" i="2"/>
  <c r="AG89" i="2"/>
  <c r="AF89" i="2"/>
  <c r="W89" i="2"/>
  <c r="Q89" i="2"/>
  <c r="P89" i="2"/>
  <c r="O89" i="2"/>
  <c r="N89" i="2"/>
  <c r="M89" i="2"/>
  <c r="J89" i="2"/>
  <c r="I89" i="2"/>
  <c r="H89" i="2"/>
  <c r="G89" i="2"/>
  <c r="F89" i="2"/>
  <c r="AJ88" i="2"/>
  <c r="AI88" i="2"/>
  <c r="AH88" i="2"/>
  <c r="AG88" i="2"/>
  <c r="AF88" i="2"/>
  <c r="AB88" i="2"/>
  <c r="W88" i="2"/>
  <c r="AJ87" i="2"/>
  <c r="AI87" i="2"/>
  <c r="AH87" i="2"/>
  <c r="AG87" i="2"/>
  <c r="AF87" i="2"/>
  <c r="AB87" i="2"/>
  <c r="AJ86" i="2"/>
  <c r="AI86" i="2"/>
  <c r="AH86" i="2"/>
  <c r="AG86" i="2"/>
  <c r="AF86" i="2"/>
  <c r="AB86" i="2"/>
  <c r="AJ83" i="2"/>
  <c r="AI83" i="2"/>
  <c r="AH83" i="2"/>
  <c r="AG83" i="2"/>
  <c r="AF83" i="2"/>
  <c r="W82" i="2"/>
  <c r="AJ81" i="2"/>
  <c r="AI81" i="2"/>
  <c r="AH81" i="2"/>
  <c r="AG81" i="2"/>
  <c r="W81" i="2"/>
  <c r="AJ80" i="2"/>
  <c r="AI80" i="2"/>
  <c r="AH80" i="2"/>
  <c r="AB80" i="2" s="1"/>
  <c r="AG80" i="2"/>
  <c r="W80" i="2"/>
  <c r="AJ79" i="2"/>
  <c r="AI79" i="2"/>
  <c r="AH79" i="2"/>
  <c r="AG79" i="2"/>
  <c r="W79" i="2"/>
  <c r="W93" i="2" s="1"/>
  <c r="AJ78" i="2"/>
  <c r="AI78" i="2"/>
  <c r="AH78" i="2"/>
  <c r="AG78" i="2"/>
  <c r="AJ77" i="2"/>
  <c r="AI77" i="2"/>
  <c r="AH77" i="2"/>
  <c r="AG77" i="2"/>
  <c r="W72" i="2"/>
  <c r="AB71" i="2"/>
  <c r="W71" i="2"/>
  <c r="AJ70" i="2"/>
  <c r="AI70" i="2"/>
  <c r="AH70" i="2"/>
  <c r="AG70" i="2"/>
  <c r="AF70" i="2"/>
  <c r="AB70" i="2"/>
  <c r="W70" i="2"/>
  <c r="AJ69" i="2"/>
  <c r="AI69" i="2"/>
  <c r="AH69" i="2"/>
  <c r="AG69" i="2"/>
  <c r="AF69" i="2"/>
  <c r="AB69" i="2"/>
  <c r="W69" i="2"/>
  <c r="AJ68" i="2"/>
  <c r="AI68" i="2"/>
  <c r="AH68" i="2"/>
  <c r="AG68" i="2"/>
  <c r="AF68" i="2"/>
  <c r="AJ67" i="2"/>
  <c r="AI67" i="2"/>
  <c r="AH67" i="2"/>
  <c r="AG67" i="2"/>
  <c r="AF67" i="2"/>
  <c r="AB66" i="2"/>
  <c r="W66" i="2"/>
  <c r="Q66" i="2"/>
  <c r="P66" i="2"/>
  <c r="O66" i="2"/>
  <c r="N66" i="2"/>
  <c r="M66" i="2"/>
  <c r="J66" i="2"/>
  <c r="I66" i="2"/>
  <c r="H66" i="2"/>
  <c r="G66" i="2"/>
  <c r="F66" i="2"/>
  <c r="AJ65" i="2"/>
  <c r="AI65" i="2"/>
  <c r="AH65" i="2"/>
  <c r="AG65" i="2"/>
  <c r="AF65" i="2"/>
  <c r="AB65" i="2"/>
  <c r="W65" i="2"/>
  <c r="AJ64" i="2"/>
  <c r="AI64" i="2"/>
  <c r="AH64" i="2"/>
  <c r="AG64" i="2"/>
  <c r="AF64" i="2"/>
  <c r="AB64" i="2"/>
  <c r="W64" i="2"/>
  <c r="AJ63" i="2"/>
  <c r="AI63" i="2"/>
  <c r="AH63" i="2"/>
  <c r="AG63" i="2"/>
  <c r="AF63" i="2"/>
  <c r="AB63" i="2"/>
  <c r="W63" i="2"/>
  <c r="AJ62" i="2"/>
  <c r="AI62" i="2"/>
  <c r="AH62" i="2"/>
  <c r="AG62" i="2"/>
  <c r="AF62" i="2"/>
  <c r="AJ61" i="2"/>
  <c r="AI61" i="2"/>
  <c r="AH61" i="2"/>
  <c r="AG61" i="2"/>
  <c r="AF61" i="2"/>
  <c r="AB60" i="2"/>
  <c r="AJ59" i="2"/>
  <c r="AI59" i="2"/>
  <c r="AH59" i="2"/>
  <c r="AG59" i="2"/>
  <c r="AF59" i="2"/>
  <c r="AB59" i="2"/>
  <c r="AL8" i="1" s="1" a="1"/>
  <c r="AL8" i="1" s="1"/>
  <c r="AJ58" i="2"/>
  <c r="AI58" i="2"/>
  <c r="AH58" i="2"/>
  <c r="AG58" i="2"/>
  <c r="AF58" i="2"/>
  <c r="AB58" i="2"/>
  <c r="W58" i="2"/>
  <c r="AJ57" i="2"/>
  <c r="AI57" i="2"/>
  <c r="AH57" i="2"/>
  <c r="AG57" i="2"/>
  <c r="AF57" i="2"/>
  <c r="AB57" i="2"/>
  <c r="AH8" i="1" s="1" a="1"/>
  <c r="AH8" i="1" s="1"/>
  <c r="W57" i="2"/>
  <c r="AJ56" i="2"/>
  <c r="AI56" i="2"/>
  <c r="AH56" i="2"/>
  <c r="AG56" i="2"/>
  <c r="AF56" i="2"/>
  <c r="W56" i="2"/>
  <c r="AJ55" i="2"/>
  <c r="AI55" i="2"/>
  <c r="AH55" i="2"/>
  <c r="AG55" i="2"/>
  <c r="AF55" i="2"/>
  <c r="W55" i="2"/>
  <c r="Q55" i="2"/>
  <c r="P55" i="2"/>
  <c r="O55" i="2"/>
  <c r="N55" i="2"/>
  <c r="M55" i="2"/>
  <c r="J55" i="2"/>
  <c r="I55" i="2"/>
  <c r="H55" i="2"/>
  <c r="G55" i="2"/>
  <c r="F55" i="2"/>
  <c r="AJ54" i="2"/>
  <c r="AI54" i="2"/>
  <c r="AH54" i="2"/>
  <c r="AG54" i="2"/>
  <c r="AF54" i="2"/>
  <c r="AB54" i="2"/>
  <c r="W54" i="2"/>
  <c r="AJ53" i="2"/>
  <c r="AI53" i="2"/>
  <c r="AH53" i="2"/>
  <c r="AG53" i="2"/>
  <c r="AF53" i="2"/>
  <c r="AB53" i="2"/>
  <c r="AJ52" i="2"/>
  <c r="AI52" i="2"/>
  <c r="AH52" i="2"/>
  <c r="AG52" i="2"/>
  <c r="AF52" i="2"/>
  <c r="AB52" i="2"/>
  <c r="AJ49" i="2"/>
  <c r="AI49" i="2"/>
  <c r="AH49" i="2"/>
  <c r="AG49" i="2"/>
  <c r="AF49" i="2"/>
  <c r="AJ47" i="2"/>
  <c r="AI47" i="2"/>
  <c r="AH47" i="2"/>
  <c r="AG47" i="2"/>
  <c r="W47" i="2"/>
  <c r="AJ46" i="2"/>
  <c r="AI46" i="2"/>
  <c r="AH46" i="2"/>
  <c r="AG46" i="2"/>
  <c r="AJ45" i="2"/>
  <c r="AI45" i="2"/>
  <c r="AH45" i="2"/>
  <c r="AG45" i="2"/>
  <c r="W45" i="2"/>
  <c r="W59" i="2" s="1"/>
  <c r="AJ44" i="2"/>
  <c r="AI44" i="2"/>
  <c r="AH44" i="2"/>
  <c r="AG44" i="2"/>
  <c r="AJ43" i="2"/>
  <c r="AI43" i="2"/>
  <c r="AH43" i="2"/>
  <c r="AG43" i="2"/>
  <c r="A8" i="1" a="1"/>
  <c r="A8" i="1" s="1"/>
  <c r="B8" i="1" a="1"/>
  <c r="B8" i="1" s="1"/>
  <c r="E8" i="1" a="1"/>
  <c r="E8" i="1" s="1"/>
  <c r="F8" i="1" a="1"/>
  <c r="F8" i="1" s="1"/>
  <c r="K8" i="1" a="1"/>
  <c r="K8" i="1" s="1"/>
  <c r="M8" i="1" a="1"/>
  <c r="M8" i="1" s="1"/>
  <c r="O8" i="1" a="1"/>
  <c r="O8" i="1" s="1"/>
  <c r="U8" i="1" a="1"/>
  <c r="U8" i="1" s="1"/>
  <c r="X8" i="1" a="1"/>
  <c r="X8" i="1" s="1"/>
  <c r="Y8" i="1" a="1"/>
  <c r="Y8" i="1" s="1"/>
  <c r="AA8" i="1" a="1"/>
  <c r="AA8" i="1" s="1"/>
  <c r="AB8" i="1" a="1"/>
  <c r="AB8" i="1" s="1"/>
  <c r="AC8" i="1" a="1"/>
  <c r="AC8" i="1" s="1"/>
  <c r="AD8" i="1" a="1"/>
  <c r="AD8" i="1" s="1"/>
  <c r="AE8" i="1" a="1"/>
  <c r="AE8" i="1" s="1"/>
  <c r="AF8" i="1" a="1"/>
  <c r="AF8" i="1" s="1"/>
  <c r="AJ8" i="1" a="1"/>
  <c r="AJ8" i="1" s="1"/>
  <c r="AN8" i="1" a="1"/>
  <c r="AN8" i="1" s="1"/>
  <c r="A9" i="1" a="1"/>
  <c r="A9" i="1" s="1"/>
  <c r="B9" i="1" a="1"/>
  <c r="B9" i="1" s="1"/>
  <c r="E9" i="1" a="1"/>
  <c r="E9" i="1" s="1"/>
  <c r="F9" i="1" a="1"/>
  <c r="F9" i="1" s="1"/>
  <c r="K9" i="1" a="1"/>
  <c r="K9" i="1" s="1"/>
  <c r="M9" i="1" a="1"/>
  <c r="M9" i="1" s="1"/>
  <c r="O9" i="1" a="1"/>
  <c r="O9" i="1" s="1"/>
  <c r="Q9" i="1" a="1"/>
  <c r="Q9" i="1" s="1"/>
  <c r="U9" i="1" a="1"/>
  <c r="U9" i="1" s="1"/>
  <c r="X9" i="1" a="1"/>
  <c r="X9" i="1" s="1"/>
  <c r="Y9" i="1" a="1"/>
  <c r="Y9" i="1" s="1"/>
  <c r="Z9" i="1" a="1"/>
  <c r="Z9" i="1" s="1"/>
  <c r="AA9" i="1" a="1"/>
  <c r="AA9" i="1" s="1"/>
  <c r="AB9" i="1" a="1"/>
  <c r="AB9" i="1" s="1"/>
  <c r="AC9" i="1" a="1"/>
  <c r="AC9" i="1" s="1"/>
  <c r="AD9" i="1" a="1"/>
  <c r="AD9" i="1" s="1"/>
  <c r="AE9" i="1" a="1"/>
  <c r="AE9" i="1" s="1"/>
  <c r="AF9" i="1" a="1"/>
  <c r="AF9" i="1" s="1"/>
  <c r="AJ9" i="1" a="1"/>
  <c r="AJ9" i="1" s="1"/>
  <c r="A10" i="1" a="1"/>
  <c r="A10" i="1" s="1"/>
  <c r="B10" i="1" a="1"/>
  <c r="B10" i="1" s="1"/>
  <c r="C10" i="1" a="1"/>
  <c r="C10" i="1" s="1"/>
  <c r="E10" i="1" a="1"/>
  <c r="E10" i="1" s="1"/>
  <c r="F10" i="1" a="1"/>
  <c r="F10" i="1" s="1"/>
  <c r="K10" i="1" a="1"/>
  <c r="K10" i="1" s="1"/>
  <c r="M10" i="1" a="1"/>
  <c r="M10" i="1" s="1"/>
  <c r="O10" i="1" a="1"/>
  <c r="O10" i="1" s="1"/>
  <c r="Q10" i="1" a="1"/>
  <c r="Q10" i="1" s="1"/>
  <c r="U10" i="1" a="1"/>
  <c r="U10" i="1" s="1"/>
  <c r="X10" i="1" a="1"/>
  <c r="X10" i="1" s="1"/>
  <c r="Y10" i="1" a="1"/>
  <c r="Y10" i="1" s="1"/>
  <c r="Z10" i="1" a="1"/>
  <c r="Z10" i="1" s="1"/>
  <c r="AA10" i="1" a="1"/>
  <c r="AA10" i="1" s="1"/>
  <c r="AB10" i="1" a="1"/>
  <c r="AB10" i="1" s="1"/>
  <c r="AC10" i="1" a="1"/>
  <c r="AC10" i="1" s="1"/>
  <c r="AD10" i="1" a="1"/>
  <c r="AD10" i="1" s="1"/>
  <c r="AE10" i="1" a="1"/>
  <c r="AE10" i="1" s="1"/>
  <c r="AF10" i="1" a="1"/>
  <c r="AF10" i="1" s="1"/>
  <c r="AH10" i="1" a="1"/>
  <c r="AH10" i="1" s="1"/>
  <c r="AJ10" i="1" a="1"/>
  <c r="AJ10" i="1" s="1"/>
  <c r="AL10" i="1" a="1"/>
  <c r="AL10" i="1" s="1"/>
  <c r="AN10" i="1" a="1"/>
  <c r="AN10" i="1" s="1"/>
  <c r="A11" i="1" a="1"/>
  <c r="A11" i="1" s="1"/>
  <c r="B11" i="1" a="1"/>
  <c r="B11" i="1" s="1"/>
  <c r="C11" i="1" a="1"/>
  <c r="C11" i="1" s="1"/>
  <c r="E11" i="1" a="1"/>
  <c r="E11" i="1" s="1"/>
  <c r="F11" i="1" a="1"/>
  <c r="F11" i="1" s="1"/>
  <c r="I11" i="1" a="1"/>
  <c r="I11" i="1" s="1"/>
  <c r="K11" i="1" a="1"/>
  <c r="K11" i="1" s="1"/>
  <c r="M11" i="1" a="1"/>
  <c r="M11" i="1" s="1"/>
  <c r="O11" i="1" a="1"/>
  <c r="O11" i="1" s="1"/>
  <c r="Q11" i="1" a="1"/>
  <c r="Q11" i="1" s="1"/>
  <c r="U11" i="1" a="1"/>
  <c r="U11" i="1" s="1"/>
  <c r="X11" i="1" a="1"/>
  <c r="X11" i="1" s="1"/>
  <c r="Y11" i="1" a="1"/>
  <c r="Y11" i="1" s="1"/>
  <c r="Z11" i="1" a="1"/>
  <c r="Z11" i="1" s="1"/>
  <c r="AA11" i="1" a="1"/>
  <c r="AA11" i="1" s="1"/>
  <c r="AB11" i="1" a="1"/>
  <c r="AB11" i="1" s="1"/>
  <c r="AC11" i="1" a="1"/>
  <c r="AC11" i="1" s="1"/>
  <c r="AD11" i="1" a="1"/>
  <c r="AD11" i="1" s="1"/>
  <c r="AE11" i="1" a="1"/>
  <c r="AE11" i="1" s="1"/>
  <c r="AF11" i="1" a="1"/>
  <c r="AF11" i="1" s="1"/>
  <c r="AJ11" i="1" a="1"/>
  <c r="AJ11" i="1" s="1"/>
  <c r="A12" i="1" a="1"/>
  <c r="A12" i="1" s="1"/>
  <c r="B12" i="1" a="1"/>
  <c r="B12" i="1" s="1"/>
  <c r="C12" i="1" a="1"/>
  <c r="C12" i="1" s="1"/>
  <c r="E12" i="1" a="1"/>
  <c r="E12" i="1" s="1"/>
  <c r="F12" i="1" a="1"/>
  <c r="F12" i="1" s="1"/>
  <c r="I12" i="1" a="1"/>
  <c r="I12" i="1" s="1"/>
  <c r="K12" i="1" a="1"/>
  <c r="K12" i="1" s="1"/>
  <c r="M12" i="1" a="1"/>
  <c r="M12" i="1" s="1"/>
  <c r="O12" i="1" a="1"/>
  <c r="O12" i="1" s="1"/>
  <c r="Q12" i="1" a="1"/>
  <c r="Q12" i="1" s="1"/>
  <c r="U12" i="1" a="1"/>
  <c r="U12" i="1" s="1"/>
  <c r="X12" i="1" a="1"/>
  <c r="X12" i="1" s="1"/>
  <c r="Y12" i="1" a="1"/>
  <c r="Y12" i="1" s="1"/>
  <c r="Z12" i="1" a="1"/>
  <c r="Z12" i="1" s="1"/>
  <c r="AA12" i="1" a="1"/>
  <c r="AA12" i="1" s="1"/>
  <c r="AB12" i="1" a="1"/>
  <c r="AB12" i="1" s="1"/>
  <c r="AC12" i="1" a="1"/>
  <c r="AC12" i="1" s="1"/>
  <c r="AD12" i="1" a="1"/>
  <c r="AD12" i="1" s="1"/>
  <c r="AE12" i="1" a="1"/>
  <c r="AE12" i="1" s="1"/>
  <c r="AF12" i="1" a="1"/>
  <c r="AF12" i="1" s="1"/>
  <c r="AH12" i="1" a="1"/>
  <c r="AH12" i="1" s="1"/>
  <c r="AJ12" i="1" a="1"/>
  <c r="AJ12" i="1" s="1"/>
  <c r="AL12" i="1" a="1"/>
  <c r="AL12" i="1" s="1"/>
  <c r="AN12" i="1" a="1"/>
  <c r="AN12" i="1" s="1"/>
  <c r="A13" i="1" a="1"/>
  <c r="A13" i="1" s="1"/>
  <c r="B13" i="1" a="1"/>
  <c r="B13" i="1" s="1"/>
  <c r="C13" i="1" a="1"/>
  <c r="C13" i="1" s="1"/>
  <c r="D13" i="1" a="1"/>
  <c r="D13" i="1" s="1"/>
  <c r="E13" i="1" a="1"/>
  <c r="E13" i="1" s="1"/>
  <c r="F13" i="1" a="1"/>
  <c r="F13" i="1" s="1"/>
  <c r="I13" i="1" a="1"/>
  <c r="I13" i="1" s="1"/>
  <c r="K13" i="1" a="1"/>
  <c r="K13" i="1" s="1"/>
  <c r="M13" i="1" a="1"/>
  <c r="M13" i="1" s="1"/>
  <c r="O13" i="1" a="1"/>
  <c r="O13" i="1" s="1"/>
  <c r="Q13" i="1" a="1"/>
  <c r="Q13" i="1" s="1"/>
  <c r="U13" i="1" a="1"/>
  <c r="U13" i="1" s="1"/>
  <c r="X13" i="1" a="1"/>
  <c r="X13" i="1" s="1"/>
  <c r="Y13" i="1" a="1"/>
  <c r="Y13" i="1" s="1"/>
  <c r="Z13" i="1" a="1"/>
  <c r="Z13" i="1" s="1"/>
  <c r="AA13" i="1" a="1"/>
  <c r="AA13" i="1" s="1"/>
  <c r="AB13" i="1" a="1"/>
  <c r="AB13" i="1" s="1"/>
  <c r="AC13" i="1" a="1"/>
  <c r="AC13" i="1" s="1"/>
  <c r="AD13" i="1" a="1"/>
  <c r="AD13" i="1" s="1"/>
  <c r="AE13" i="1" a="1"/>
  <c r="AE13" i="1" s="1"/>
  <c r="AF13" i="1" a="1"/>
  <c r="AF13" i="1" s="1"/>
  <c r="AJ13" i="1" a="1"/>
  <c r="AJ13" i="1" s="1"/>
  <c r="A14" i="1" a="1"/>
  <c r="A14" i="1" s="1"/>
  <c r="B14" i="1" a="1"/>
  <c r="B14" i="1" s="1"/>
  <c r="C14" i="1" a="1"/>
  <c r="C14" i="1" s="1"/>
  <c r="E14" i="1" a="1"/>
  <c r="E14" i="1" s="1"/>
  <c r="F14" i="1" a="1"/>
  <c r="F14" i="1" s="1"/>
  <c r="I14" i="1" a="1"/>
  <c r="I14" i="1" s="1"/>
  <c r="K14" i="1" a="1"/>
  <c r="K14" i="1" s="1"/>
  <c r="M14" i="1" a="1"/>
  <c r="M14" i="1" s="1"/>
  <c r="O14" i="1" a="1"/>
  <c r="O14" i="1" s="1"/>
  <c r="Q14" i="1" a="1"/>
  <c r="Q14" i="1" s="1"/>
  <c r="U14" i="1" a="1"/>
  <c r="U14" i="1" s="1"/>
  <c r="X14" i="1" a="1"/>
  <c r="X14" i="1" s="1"/>
  <c r="Y14" i="1" a="1"/>
  <c r="Y14" i="1" s="1"/>
  <c r="Z14" i="1" a="1"/>
  <c r="Z14" i="1" s="1"/>
  <c r="AA14" i="1" a="1"/>
  <c r="AA14" i="1" s="1"/>
  <c r="AB14" i="1" a="1"/>
  <c r="AB14" i="1" s="1"/>
  <c r="AC14" i="1" a="1"/>
  <c r="AC14" i="1" s="1"/>
  <c r="AD14" i="1" a="1"/>
  <c r="AD14" i="1" s="1"/>
  <c r="AE14" i="1" a="1"/>
  <c r="AE14" i="1" s="1"/>
  <c r="AF14" i="1" a="1"/>
  <c r="AF14" i="1" s="1"/>
  <c r="AH14" i="1" a="1"/>
  <c r="AH14" i="1" s="1"/>
  <c r="AJ14" i="1" a="1"/>
  <c r="AJ14" i="1" s="1"/>
  <c r="AL14" i="1" a="1"/>
  <c r="AL14" i="1" s="1"/>
  <c r="AN14" i="1" a="1"/>
  <c r="AN14" i="1" s="1"/>
  <c r="AB248" i="2" l="1"/>
  <c r="C9" i="1" a="1"/>
  <c r="C9" i="1" s="1"/>
  <c r="AB214" i="2"/>
  <c r="W114" i="2"/>
  <c r="D8" i="1" s="1" a="1"/>
  <c r="D8" i="1" s="1"/>
  <c r="W148" i="2"/>
  <c r="D9" i="1" s="1" a="1"/>
  <c r="D9" i="1" s="1"/>
  <c r="W216" i="2"/>
  <c r="D11" i="1" s="1" a="1"/>
  <c r="D11" i="1" s="1"/>
  <c r="AB250" i="2"/>
  <c r="AB182" i="2"/>
  <c r="AB81" i="2"/>
  <c r="W48" i="2"/>
  <c r="W150" i="2"/>
  <c r="W286" i="2"/>
  <c r="W354" i="2"/>
  <c r="C8" i="1" a="1"/>
  <c r="C8" i="1" s="1"/>
  <c r="AB44" i="2"/>
  <c r="AB45" i="2"/>
  <c r="AB78" i="2"/>
  <c r="AB79" i="2"/>
  <c r="AB148" i="2"/>
  <c r="AL13" i="1" s="1" a="1"/>
  <c r="AL13" i="1" s="1"/>
  <c r="AB149" i="2"/>
  <c r="AN13" i="1" s="1" a="1"/>
  <c r="AN13" i="1" s="1"/>
  <c r="W182" i="2"/>
  <c r="AB284" i="2"/>
  <c r="AB285" i="2"/>
  <c r="AB350" i="2"/>
  <c r="AB351" i="2"/>
  <c r="AB46" i="2"/>
  <c r="AB47" i="2"/>
  <c r="AB112" i="2"/>
  <c r="AB113" i="2"/>
  <c r="AB215" i="2"/>
  <c r="AB318" i="2"/>
  <c r="AB319" i="2"/>
  <c r="W320" i="2"/>
  <c r="W252" i="2"/>
  <c r="AB114" i="2"/>
  <c r="AL11" i="1" s="1" a="1"/>
  <c r="AL11" i="1" s="1"/>
  <c r="AB115" i="2"/>
  <c r="AN11" i="1" s="1" a="1"/>
  <c r="AN11" i="1" s="1"/>
  <c r="W116" i="2"/>
  <c r="AB180" i="2"/>
  <c r="AB216" i="2"/>
  <c r="AB217" i="2"/>
  <c r="W218" i="2"/>
  <c r="AB249" i="2"/>
  <c r="W250" i="2"/>
  <c r="D12" i="1" s="1" a="1"/>
  <c r="D12" i="1" s="1"/>
  <c r="AB316" i="2"/>
  <c r="AB317" i="2"/>
  <c r="W318" i="2"/>
  <c r="D14" i="1" s="1" a="1"/>
  <c r="D14" i="1" s="1"/>
  <c r="W46" i="2"/>
  <c r="W184" i="2"/>
  <c r="D10" i="1" a="1"/>
  <c r="D10" i="1" s="1"/>
  <c r="AH13" i="1" a="1"/>
  <c r="AH13" i="1" s="1"/>
  <c r="AH11" i="1" a="1"/>
  <c r="AH11" i="1" s="1"/>
  <c r="AN9" i="1" a="1"/>
  <c r="AN9" i="1" s="1"/>
  <c r="AL9" i="1" a="1"/>
  <c r="AL9" i="1" s="1"/>
  <c r="AH9" i="1" a="1"/>
  <c r="AH9" i="1" s="1"/>
  <c r="A6" i="1" a="1"/>
  <c r="A6" i="1" s="1"/>
  <c r="B6" i="1" a="1"/>
  <c r="B6" i="1" s="1"/>
  <c r="AJ6" i="1" a="1"/>
  <c r="AJ6" i="1" s="1"/>
  <c r="A7" i="1" a="1"/>
  <c r="A7" i="1" s="1"/>
  <c r="B7" i="1" a="1"/>
  <c r="B7" i="1" s="1"/>
  <c r="AJ7" i="1" a="1"/>
  <c r="AJ7" i="1" s="1"/>
  <c r="AF7" i="1" a="1"/>
  <c r="AF7" i="1" s="1"/>
  <c r="AE7" i="1" a="1"/>
  <c r="AE7" i="1" s="1"/>
  <c r="AD7" i="1" a="1"/>
  <c r="AD7" i="1" s="1"/>
  <c r="AC7" i="1" a="1"/>
  <c r="AC7" i="1" s="1"/>
  <c r="AB7" i="1" a="1"/>
  <c r="AB7" i="1" s="1"/>
  <c r="AA7" i="1" a="1"/>
  <c r="AA7" i="1" s="1"/>
  <c r="F7" i="1" a="1"/>
  <c r="F7" i="1" s="1"/>
  <c r="O7" i="1" a="1"/>
  <c r="O7" i="1" s="1"/>
  <c r="Q7" i="1" a="1"/>
  <c r="Q7" i="1" s="1"/>
  <c r="K7" i="1" a="1"/>
  <c r="K7" i="1" s="1"/>
  <c r="M7" i="1" a="1"/>
  <c r="M7" i="1" s="1"/>
  <c r="Z7" i="1" a="1"/>
  <c r="Z7" i="1" s="1"/>
  <c r="I7" i="1" a="1"/>
  <c r="I7" i="1" s="1"/>
  <c r="Y7" i="1" a="1"/>
  <c r="Y7" i="1" s="1"/>
  <c r="X7" i="1" a="1"/>
  <c r="X7" i="1" s="1"/>
  <c r="E7" i="1" a="1"/>
  <c r="E7" i="1" s="1"/>
  <c r="U7" i="1" a="1"/>
  <c r="U7" i="1" s="1"/>
  <c r="AF6" i="1" a="1"/>
  <c r="AF6" i="1" s="1"/>
  <c r="AE6" i="1" a="1"/>
  <c r="AE6" i="1" s="1"/>
  <c r="AD6" i="1" a="1"/>
  <c r="AD6" i="1" s="1"/>
  <c r="AC6" i="1" a="1"/>
  <c r="AC6" i="1" s="1"/>
  <c r="AB6" i="1" a="1"/>
  <c r="AB6" i="1" s="1"/>
  <c r="AA6" i="1" a="1"/>
  <c r="AA6" i="1" s="1"/>
  <c r="F6" i="1" a="1"/>
  <c r="F6" i="1" s="1"/>
  <c r="O6" i="1" a="1"/>
  <c r="O6" i="1" s="1"/>
  <c r="Q6" i="1" a="1"/>
  <c r="Q6" i="1" s="1"/>
  <c r="K6" i="1" a="1"/>
  <c r="K6" i="1" s="1"/>
  <c r="M6" i="1" a="1"/>
  <c r="M6" i="1" s="1"/>
  <c r="Z6" i="1" a="1"/>
  <c r="Z6" i="1" s="1"/>
  <c r="I6" i="1" a="1"/>
  <c r="I6" i="1" s="1"/>
  <c r="Y6" i="1" a="1"/>
  <c r="Y6" i="1" s="1"/>
  <c r="X6" i="1" a="1"/>
  <c r="X6" i="1" s="1"/>
  <c r="E6" i="1" a="1"/>
  <c r="E6" i="1" s="1"/>
  <c r="AL7" i="1" a="1"/>
  <c r="AL7" i="1" s="1"/>
  <c r="U6" i="1" a="1"/>
  <c r="U6" i="1" s="1"/>
  <c r="W33" i="2"/>
  <c r="AF5" i="1" s="1" a="1"/>
  <c r="AF5" i="1" s="1"/>
  <c r="AB33" i="2"/>
  <c r="W32" i="2"/>
  <c r="AJ36" i="2"/>
  <c r="AI36" i="2"/>
  <c r="AH36" i="2"/>
  <c r="AG36" i="2"/>
  <c r="AF36" i="2"/>
  <c r="AB32" i="2"/>
  <c r="W31" i="2"/>
  <c r="AE5" i="1" s="1" a="1"/>
  <c r="AE5" i="1" s="1"/>
  <c r="AE4" i="1" s="1"/>
  <c r="AJ35" i="2"/>
  <c r="AI35" i="2"/>
  <c r="AH35" i="2"/>
  <c r="AG35" i="2"/>
  <c r="AF35" i="2"/>
  <c r="AB31" i="2"/>
  <c r="W30" i="2"/>
  <c r="AD5" i="1" s="1" a="1"/>
  <c r="AD5" i="1" s="1"/>
  <c r="AJ34" i="2"/>
  <c r="AI34" i="2"/>
  <c r="AH34" i="2"/>
  <c r="AG34" i="2"/>
  <c r="AF34" i="2"/>
  <c r="AJ33" i="2"/>
  <c r="AI33" i="2"/>
  <c r="AH33" i="2"/>
  <c r="AG33" i="2"/>
  <c r="AF33" i="2"/>
  <c r="AB28" i="2"/>
  <c r="W27" i="2"/>
  <c r="AC5" i="1" s="1" a="1"/>
  <c r="AC5" i="1" s="1"/>
  <c r="Q32" i="2"/>
  <c r="P32" i="2"/>
  <c r="O32" i="2"/>
  <c r="N32" i="2"/>
  <c r="M32" i="2"/>
  <c r="J32" i="2"/>
  <c r="I32" i="2"/>
  <c r="H32" i="2"/>
  <c r="G32" i="2"/>
  <c r="F32" i="2"/>
  <c r="AJ31" i="2"/>
  <c r="AI31" i="2"/>
  <c r="AH31" i="2"/>
  <c r="AG31" i="2"/>
  <c r="AF31" i="2"/>
  <c r="AB27" i="2"/>
  <c r="W26" i="2"/>
  <c r="AJ30" i="2"/>
  <c r="AI30" i="2"/>
  <c r="AH30" i="2"/>
  <c r="AG30" i="2"/>
  <c r="AF30" i="2"/>
  <c r="AB26" i="2"/>
  <c r="W25" i="2"/>
  <c r="AA5" i="1" s="1" a="1"/>
  <c r="AA5" i="1" s="1"/>
  <c r="AA4" i="1" s="1"/>
  <c r="AJ29" i="2"/>
  <c r="AI29" i="2"/>
  <c r="AH29" i="2"/>
  <c r="AG29" i="2"/>
  <c r="AF29" i="2"/>
  <c r="AB25" i="2"/>
  <c r="W24" i="2"/>
  <c r="AJ28" i="2"/>
  <c r="AI28" i="2"/>
  <c r="AH28" i="2"/>
  <c r="AG28" i="2"/>
  <c r="AF28" i="2"/>
  <c r="AJ26" i="2"/>
  <c r="AI26" i="2"/>
  <c r="AH26" i="2"/>
  <c r="AG26" i="2"/>
  <c r="AF26" i="2"/>
  <c r="AB21" i="2"/>
  <c r="AN6" i="1" s="1" a="1"/>
  <c r="AN6" i="1" s="1"/>
  <c r="AJ24" i="2"/>
  <c r="AI24" i="2"/>
  <c r="AH24" i="2"/>
  <c r="AG24" i="2"/>
  <c r="AF24" i="2"/>
  <c r="AB20" i="2"/>
  <c r="AL6" i="1" s="1" a="1"/>
  <c r="AL6" i="1" s="1"/>
  <c r="AJ23" i="2"/>
  <c r="AI23" i="2"/>
  <c r="AH23" i="2"/>
  <c r="AG23" i="2"/>
  <c r="AF23" i="2"/>
  <c r="AB19" i="2"/>
  <c r="AJ22" i="2"/>
  <c r="AI22" i="2"/>
  <c r="AH22" i="2"/>
  <c r="AG22" i="2"/>
  <c r="AF22" i="2"/>
  <c r="AB18" i="2"/>
  <c r="AH6" i="1" s="1" a="1"/>
  <c r="AH6" i="1" s="1"/>
  <c r="Q5" i="1" a="1"/>
  <c r="Q5" i="1" s="1"/>
  <c r="Q4" i="1" s="1"/>
  <c r="AJ21" i="2"/>
  <c r="AI21" i="2"/>
  <c r="AH21" i="2"/>
  <c r="AG21" i="2"/>
  <c r="AF21" i="2"/>
  <c r="K5" i="1" a="1"/>
  <c r="K5" i="1" s="1"/>
  <c r="AJ17" i="2"/>
  <c r="AI17" i="2"/>
  <c r="AH17" i="2"/>
  <c r="AG17" i="2"/>
  <c r="AF17" i="2"/>
  <c r="W17" i="2"/>
  <c r="M5" i="1" s="1" a="1"/>
  <c r="M5" i="1" s="1"/>
  <c r="AJ16" i="2"/>
  <c r="AI16" i="2"/>
  <c r="AH16" i="2"/>
  <c r="AG16" i="2"/>
  <c r="AF16" i="2"/>
  <c r="AB15" i="2"/>
  <c r="Z5" i="1" s="1" a="1"/>
  <c r="Z5" i="1" s="1"/>
  <c r="AJ15" i="2"/>
  <c r="AI15" i="2"/>
  <c r="AH15" i="2"/>
  <c r="AG15" i="2"/>
  <c r="AF15" i="2"/>
  <c r="AB14" i="2"/>
  <c r="Y5" i="1" s="1" a="1"/>
  <c r="Y5" i="1" s="1"/>
  <c r="AJ14" i="2"/>
  <c r="AI14" i="2"/>
  <c r="AH14" i="2"/>
  <c r="AG14" i="2"/>
  <c r="AF14" i="2"/>
  <c r="AB13" i="2"/>
  <c r="X5" i="1" s="1" a="1"/>
  <c r="X5" i="1" s="1"/>
  <c r="AJ11" i="2"/>
  <c r="AI11" i="2"/>
  <c r="AH11" i="2"/>
  <c r="AG11" i="2"/>
  <c r="AF11" i="2"/>
  <c r="AJ9" i="2"/>
  <c r="AI9" i="2"/>
  <c r="AH9" i="2"/>
  <c r="AG9" i="2"/>
  <c r="W8" i="2"/>
  <c r="E5" i="1" s="1" a="1"/>
  <c r="E5" i="1" s="1"/>
  <c r="AJ8" i="2"/>
  <c r="AI8" i="2"/>
  <c r="AH8" i="2"/>
  <c r="AG8" i="2"/>
  <c r="AJ7" i="2"/>
  <c r="AI7" i="2"/>
  <c r="AH7" i="2"/>
  <c r="AG7" i="2"/>
  <c r="C5" i="1" a="1"/>
  <c r="C5" i="1" s="1"/>
  <c r="AJ6" i="2"/>
  <c r="AI6" i="2"/>
  <c r="AH6" i="2"/>
  <c r="AG6" i="2"/>
  <c r="AJ4" i="2"/>
  <c r="AI4" i="2"/>
  <c r="AH4" i="2"/>
  <c r="AG4" i="2"/>
  <c r="AJ5" i="1" a="1"/>
  <c r="AJ5" i="1" s="1"/>
  <c r="AJ4" i="1" s="1"/>
  <c r="AB5" i="1" a="1"/>
  <c r="AB5" i="1" s="1"/>
  <c r="AB4" i="1" s="1"/>
  <c r="O5" i="1" a="1"/>
  <c r="O5" i="1" s="1"/>
  <c r="I5" i="1" a="1"/>
  <c r="I5" i="1" s="1"/>
  <c r="F5" i="1" a="1"/>
  <c r="F5" i="1" s="1"/>
  <c r="B5" i="1" a="1"/>
  <c r="B5" i="1" s="1"/>
  <c r="A5" i="1" a="1"/>
  <c r="A5" i="1" s="1"/>
  <c r="AP4" i="1"/>
  <c r="AI4" i="1"/>
  <c r="Z4" i="1" l="1"/>
  <c r="Y4" i="1"/>
  <c r="AC4" i="1"/>
  <c r="M4" i="1"/>
  <c r="AB8" i="2"/>
  <c r="AN5" i="1" s="1" a="1"/>
  <c r="AN5" i="1" s="1"/>
  <c r="AB7" i="2"/>
  <c r="AL5" i="1" s="1" a="1"/>
  <c r="AL5" i="1" s="1"/>
  <c r="AL4" i="1" s="1"/>
  <c r="AB6" i="2"/>
  <c r="K4" i="1"/>
  <c r="O4" i="1"/>
  <c r="X4" i="1"/>
  <c r="W21" i="2"/>
  <c r="S5" i="1" s="1" a="1"/>
  <c r="S5" i="1" s="1"/>
  <c r="W7" i="2"/>
  <c r="D5" i="1" s="1" a="1"/>
  <c r="D5" i="1" s="1"/>
  <c r="U5" i="1" a="1"/>
  <c r="U5" i="1" s="1"/>
  <c r="U4" i="1" s="1"/>
  <c r="AB5" i="2"/>
  <c r="AH5" i="1" s="1" a="1"/>
  <c r="AH5" i="1" s="1"/>
  <c r="S6" i="1" a="1"/>
  <c r="S6" i="1" s="1"/>
  <c r="C6" i="1" a="1"/>
  <c r="C6" i="1" s="1"/>
  <c r="D6" i="1" a="1"/>
  <c r="D6" i="1" s="1"/>
  <c r="AH7" i="1" a="1"/>
  <c r="AH7" i="1" s="1"/>
  <c r="AN7" i="1" a="1"/>
  <c r="AN7" i="1" s="1"/>
  <c r="S7" i="1" a="1"/>
  <c r="S7" i="1" s="1"/>
  <c r="C7" i="1" a="1"/>
  <c r="C7" i="1" s="1"/>
  <c r="AD4" i="1"/>
  <c r="AF4" i="1"/>
  <c r="I4" i="1"/>
  <c r="D7" i="1" a="1"/>
  <c r="D7" i="1" s="1"/>
  <c r="AN4" i="1" l="1"/>
  <c r="AH4" i="1"/>
  <c r="S4" i="1"/>
</calcChain>
</file>

<file path=xl/sharedStrings.xml><?xml version="1.0" encoding="utf-8"?>
<sst xmlns="http://schemas.openxmlformats.org/spreadsheetml/2006/main" count="1189" uniqueCount="117">
  <si>
    <t>Quote</t>
  </si>
  <si>
    <t xml:space="preserve">Valuation </t>
  </si>
  <si>
    <t>Financial Health</t>
  </si>
  <si>
    <t>Profitability</t>
  </si>
  <si>
    <t>Effectiveness</t>
  </si>
  <si>
    <t>Growth</t>
  </si>
  <si>
    <t>Dividend</t>
  </si>
  <si>
    <t>Symbol</t>
  </si>
  <si>
    <t>Last Price</t>
  </si>
  <si>
    <t>Market Capitalization</t>
  </si>
  <si>
    <t xml:space="preserve">Enterprise Value </t>
  </si>
  <si>
    <t>Book Value</t>
  </si>
  <si>
    <t>Sales</t>
  </si>
  <si>
    <t>P / E</t>
  </si>
  <si>
    <t>P / S</t>
  </si>
  <si>
    <t>P / B</t>
  </si>
  <si>
    <t>P / FCF</t>
  </si>
  <si>
    <t>P / CFO</t>
  </si>
  <si>
    <t>EV / EBITDA</t>
  </si>
  <si>
    <t>EV / S</t>
  </si>
  <si>
    <t>Current Ratio</t>
  </si>
  <si>
    <t>Financial Leverage</t>
  </si>
  <si>
    <t>Debt / Equity</t>
  </si>
  <si>
    <t>Gross Margin</t>
  </si>
  <si>
    <t>Net Margin</t>
  </si>
  <si>
    <t>Operating Margin</t>
  </si>
  <si>
    <t>Return on Equity</t>
  </si>
  <si>
    <t>Return on Assets</t>
  </si>
  <si>
    <t>Asset Turnover</t>
  </si>
  <si>
    <t>Revenue</t>
  </si>
  <si>
    <t>Operating Income %</t>
  </si>
  <si>
    <t>Net Income</t>
  </si>
  <si>
    <t>Earnings Per Share</t>
  </si>
  <si>
    <t>Yield</t>
  </si>
  <si>
    <t>CCUR</t>
  </si>
  <si>
    <t>USD</t>
  </si>
  <si>
    <t>Income Statement</t>
  </si>
  <si>
    <t>2016-10</t>
  </si>
  <si>
    <t>2017-01</t>
  </si>
  <si>
    <t>2017-04</t>
  </si>
  <si>
    <t>2017-07</t>
  </si>
  <si>
    <t>2017-10</t>
  </si>
  <si>
    <t>TTM</t>
  </si>
  <si>
    <t>5-Year Average</t>
  </si>
  <si>
    <t>Key Ratios ― Growth, YOY</t>
  </si>
  <si>
    <t>Revenue %</t>
  </si>
  <si>
    <t>Cost of revenue</t>
  </si>
  <si>
    <t>Operating Income</t>
  </si>
  <si>
    <t>Gross profit</t>
  </si>
  <si>
    <t>Net Income %</t>
  </si>
  <si>
    <t>Operating income</t>
  </si>
  <si>
    <t>Earnings per share %</t>
  </si>
  <si>
    <t>Net income</t>
  </si>
  <si>
    <t>Type</t>
  </si>
  <si>
    <t>Earnings per share</t>
  </si>
  <si>
    <t>Dividend Yield</t>
  </si>
  <si>
    <t>Financials</t>
  </si>
  <si>
    <t>Weighted average share…</t>
  </si>
  <si>
    <t>EBITDA</t>
  </si>
  <si>
    <t>Valuation</t>
  </si>
  <si>
    <t>Gross Margin %</t>
  </si>
  <si>
    <t>Balance Sheet</t>
  </si>
  <si>
    <t>Operating Margin %</t>
  </si>
  <si>
    <t>Cash and cash equivale…</t>
  </si>
  <si>
    <t>Total cash</t>
  </si>
  <si>
    <t>Total current assets</t>
  </si>
  <si>
    <t>Gross Profit</t>
  </si>
  <si>
    <t>Shares</t>
  </si>
  <si>
    <t>Total assets</t>
  </si>
  <si>
    <t>Book Value Per Share</t>
  </si>
  <si>
    <t>Short-term debt</t>
  </si>
  <si>
    <t>Total current liabilities</t>
  </si>
  <si>
    <t>Long-term debt</t>
  </si>
  <si>
    <t>Net Margin %</t>
  </si>
  <si>
    <t>Total liabilities</t>
  </si>
  <si>
    <t>Total Cash</t>
  </si>
  <si>
    <t>Return on Equity %</t>
  </si>
  <si>
    <t>Total stockholders' eq…</t>
  </si>
  <si>
    <t xml:space="preserve">Current Assets </t>
  </si>
  <si>
    <t>Return on Assets %</t>
  </si>
  <si>
    <t>Current Liabilities</t>
  </si>
  <si>
    <t>Cash Flow</t>
  </si>
  <si>
    <t>Total Debt</t>
  </si>
  <si>
    <t>Operating cash flow</t>
  </si>
  <si>
    <t>Capital expenditure</t>
  </si>
  <si>
    <t>Cash Flow Statement</t>
  </si>
  <si>
    <t>Free cash flow</t>
  </si>
  <si>
    <t>Operating Cash Flow</t>
  </si>
  <si>
    <t>Capital Expenditure</t>
  </si>
  <si>
    <t>Return on Capital Employed</t>
  </si>
  <si>
    <t>Free Cash Flow</t>
  </si>
  <si>
    <t>source</t>
  </si>
  <si>
    <t>USD in Billion</t>
  </si>
  <si>
    <t>Year over Year</t>
  </si>
  <si>
    <t>Quick Ratio</t>
  </si>
  <si>
    <t>USD in Million</t>
  </si>
  <si>
    <t>3-Year Average</t>
  </si>
  <si>
    <t>USD in Thousand</t>
  </si>
  <si>
    <t>Total Revenue</t>
  </si>
  <si>
    <t>Cost of Revenue</t>
  </si>
  <si>
    <t>Total Operating Profit/Loss</t>
  </si>
  <si>
    <t>Total Assets</t>
  </si>
  <si>
    <t>Total Current Assets</t>
  </si>
  <si>
    <t>Cash and Cash Equivalents</t>
  </si>
  <si>
    <t>Cash, Cash Equivalents and Short Term Investments</t>
  </si>
  <si>
    <t>Total Liabilities</t>
  </si>
  <si>
    <t>Total Current Liabilities</t>
  </si>
  <si>
    <t>Current Debt</t>
  </si>
  <si>
    <t>Long Term Debt</t>
  </si>
  <si>
    <t>Total Equity</t>
  </si>
  <si>
    <t>Q2 2018</t>
  </si>
  <si>
    <t>Q3 2018</t>
  </si>
  <si>
    <t>Q4 2018</t>
  </si>
  <si>
    <t>Q1 2019</t>
  </si>
  <si>
    <t>Q2 2019</t>
  </si>
  <si>
    <t>AES</t>
  </si>
  <si>
    <t>Common Shares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</si>
</sst>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0.0"/>
    <numFmt numFmtId="165" formatCode="0_);[Red]\(0\)"/>
    <numFmt numFmtId="166" formatCode="0.00_);[Red]\(0.00\)"/>
    <numFmt numFmtId="167" formatCode="0.0%"/>
    <numFmt numFmtId="168" formatCode="#,##0.0"/>
    <numFmt numFmtId="169" formatCode="&quot;$&quot;#,##0.0"/>
    <numFmt numFmtId="170" formatCode="&quot;$&quot;#,##0.00"/>
    <numFmt numFmtId="171" formatCode="0.0_);[Red]\(0.0\)"/>
  </numFmts>
  <fonts count="2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29292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indexed="64"/>
      </left>
      <right/>
      <top/>
      <bottom/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/>
      <right/>
      <top/>
      <bottom style="medium">
        <color rgb="FF333333"/>
      </bottom>
      <diagonal/>
    </border>
    <border>
      <left/>
      <right/>
      <top style="medium">
        <color rgb="FF333333"/>
      </top>
      <bottom style="medium">
        <color rgb="FF333333"/>
      </bottom>
      <diagonal/>
    </border>
    <border>
      <left/>
      <right style="thin">
        <color indexed="64"/>
      </right>
      <top style="medium">
        <color rgb="FF333333"/>
      </top>
      <bottom style="medium">
        <color rgb="FF333333"/>
      </bottom>
      <diagonal/>
    </border>
    <border>
      <left/>
      <right/>
      <top style="medium">
        <color rgb="FF333333"/>
      </top>
      <bottom/>
      <diagonal/>
    </border>
    <border>
      <left/>
      <right style="medium">
        <color rgb="FF333333"/>
      </right>
      <top/>
      <bottom/>
      <diagonal/>
    </border>
    <border>
      <left/>
      <right style="medium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rgb="FF333333"/>
      </left>
      <right style="medium">
        <color rgb="FF333333"/>
      </right>
      <top/>
      <bottom/>
      <diagonal/>
    </border>
    <border>
      <left style="medium">
        <color rgb="FF333333"/>
      </left>
      <right style="medium">
        <color rgb="FF333333"/>
      </right>
      <top style="thin">
        <color rgb="FF333333"/>
      </top>
      <bottom style="thin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theme="1"/>
      </left>
      <right/>
      <top style="medium">
        <color rgb="FF333333"/>
      </top>
      <bottom style="medium">
        <color rgb="FF333333"/>
      </bottom>
      <diagonal/>
    </border>
    <border>
      <left style="thin">
        <color theme="1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/>
      <right style="thin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rgb="FF333333"/>
      </left>
      <right style="thin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 style="thin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>
      <left/>
      <right style="medium">
        <color rgb="FF333333"/>
      </right>
      <top/>
      <bottom style="thin">
        <color rgb="FF333333"/>
      </bottom>
      <diagonal/>
    </border>
    <border>
      <left style="medium">
        <color rgb="FF333333"/>
      </left>
      <right style="medium">
        <color rgb="FF333333"/>
      </right>
      <top/>
      <bottom style="thin">
        <color rgb="FF333333"/>
      </bottom>
      <diagonal/>
    </border>
  </borders>
  <cellStyleXfs count="8">
    <xf numFmtId="0" fontId="0" fillId="0" borderId="0"/>
    <xf numFmtId="0" fontId="1" fillId="0" borderId="1"/>
    <xf numFmtId="0" fontId="2" fillId="0" borderId="2"/>
    <xf numFmtId="0" fontId="3" fillId="0" borderId="3"/>
    <xf numFmtId="0" fontId="4" fillId="0" borderId="4"/>
    <xf numFmtId="0" fontId="5" fillId="2" borderId="5"/>
    <xf numFmtId="0" fontId="6" fillId="3" borderId="5"/>
    <xf numFmtId="0" fontId="23" fillId="0" borderId="0" applyNumberFormat="0" applyFont="0" applyFill="0" applyBorder="0" applyAlignment="0" applyProtection="0"/>
  </cellStyleXfs>
  <cellXfs count="26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/>
    <xf numFmtId="0" fontId="8" fillId="4" borderId="0" xfId="2" applyFont="1" applyFill="1" applyBorder="1" applyAlignment="1">
      <alignment horizontal="right"/>
    </xf>
    <xf numFmtId="0" fontId="8" fillId="4" borderId="0" xfId="2" applyFont="1" applyFill="1" applyBorder="1" applyAlignment="1">
      <alignment horizontal="left" vertical="center" indent="1"/>
    </xf>
    <xf numFmtId="0" fontId="14" fillId="4" borderId="0" xfId="2" applyFont="1" applyFill="1" applyBorder="1" applyAlignment="1">
      <alignment vertical="center"/>
    </xf>
    <xf numFmtId="0" fontId="14" fillId="4" borderId="0" xfId="2" applyFont="1" applyFill="1" applyBorder="1" applyAlignment="1">
      <alignment horizontal="right" vertical="center"/>
    </xf>
    <xf numFmtId="2" fontId="14" fillId="4" borderId="0" xfId="2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right" indent="1"/>
    </xf>
    <xf numFmtId="0" fontId="14" fillId="4" borderId="0" xfId="0" applyFont="1" applyFill="1" applyAlignment="1">
      <alignment horizontal="center" vertical="center"/>
    </xf>
    <xf numFmtId="0" fontId="14" fillId="4" borderId="0" xfId="0" applyFont="1" applyFill="1"/>
    <xf numFmtId="0" fontId="8" fillId="4" borderId="0" xfId="1" applyFont="1" applyFill="1" applyBorder="1" applyAlignment="1">
      <alignment vertical="center"/>
    </xf>
    <xf numFmtId="38" fontId="7" fillId="4" borderId="0" xfId="2" applyNumberFormat="1" applyFont="1" applyFill="1" applyBorder="1" applyAlignment="1">
      <alignment horizontal="right" vertical="center" indent="1"/>
    </xf>
    <xf numFmtId="38" fontId="16" fillId="4" borderId="0" xfId="1" applyNumberFormat="1" applyFont="1" applyFill="1" applyBorder="1" applyAlignment="1">
      <alignment horizontal="right" vertical="center" indent="1"/>
    </xf>
    <xf numFmtId="0" fontId="8" fillId="4" borderId="0" xfId="1" applyFont="1" applyFill="1" applyBorder="1" applyAlignment="1">
      <alignment horizontal="right" vertical="center"/>
    </xf>
    <xf numFmtId="38" fontId="7" fillId="4" borderId="0" xfId="1" applyNumberFormat="1" applyFont="1" applyFill="1" applyBorder="1" applyAlignment="1">
      <alignment horizontal="right" vertical="center" indent="1"/>
    </xf>
    <xf numFmtId="2" fontId="9" fillId="4" borderId="0" xfId="5" applyNumberFormat="1" applyFont="1" applyFill="1" applyBorder="1" applyAlignment="1">
      <alignment horizontal="right" vertical="center"/>
    </xf>
    <xf numFmtId="0" fontId="7" fillId="4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right" vertical="center" indent="2"/>
    </xf>
    <xf numFmtId="40" fontId="7" fillId="4" borderId="0" xfId="2" applyNumberFormat="1" applyFont="1" applyFill="1" applyBorder="1" applyAlignment="1">
      <alignment horizontal="right" vertical="center" indent="1"/>
    </xf>
    <xf numFmtId="0" fontId="8" fillId="4" borderId="0" xfId="1" applyFont="1" applyFill="1" applyBorder="1"/>
    <xf numFmtId="0" fontId="7" fillId="4" borderId="0" xfId="1" applyFont="1" applyFill="1" applyBorder="1" applyAlignment="1">
      <alignment horizontal="left" vertical="center" indent="1"/>
    </xf>
    <xf numFmtId="0" fontId="14" fillId="4" borderId="0" xfId="1" applyFont="1" applyFill="1" applyBorder="1" applyAlignment="1">
      <alignment vertical="center"/>
    </xf>
    <xf numFmtId="38" fontId="16" fillId="4" borderId="0" xfId="1" applyNumberFormat="1" applyFont="1" applyFill="1" applyBorder="1" applyAlignment="1">
      <alignment horizontal="right" vertical="center" indent="2"/>
    </xf>
    <xf numFmtId="0" fontId="7" fillId="4" borderId="0" xfId="4" applyFont="1" applyFill="1" applyBorder="1" applyAlignment="1">
      <alignment horizontal="right" indent="1"/>
    </xf>
    <xf numFmtId="38" fontId="14" fillId="4" borderId="0" xfId="2" applyNumberFormat="1" applyFont="1" applyFill="1" applyBorder="1" applyAlignment="1">
      <alignment horizontal="right" vertical="center" indent="1"/>
    </xf>
    <xf numFmtId="0" fontId="8" fillId="4" borderId="0" xfId="1" applyFont="1" applyFill="1" applyBorder="1" applyAlignment="1">
      <alignment horizontal="left" vertical="center"/>
    </xf>
    <xf numFmtId="2" fontId="16" fillId="4" borderId="0" xfId="1" applyNumberFormat="1" applyFont="1" applyFill="1" applyBorder="1" applyAlignment="1">
      <alignment horizontal="right" vertical="center" indent="3"/>
    </xf>
    <xf numFmtId="0" fontId="9" fillId="4" borderId="0" xfId="1" applyFont="1" applyFill="1" applyBorder="1" applyAlignment="1">
      <alignment horizontal="right" vertical="center"/>
    </xf>
    <xf numFmtId="2" fontId="17" fillId="4" borderId="0" xfId="1" applyNumberFormat="1" applyFont="1" applyFill="1" applyBorder="1" applyAlignment="1">
      <alignment horizontal="right" vertical="center" indent="1"/>
    </xf>
    <xf numFmtId="0" fontId="8" fillId="4" borderId="0" xfId="1" applyFont="1" applyFill="1" applyBorder="1" applyAlignment="1">
      <alignment horizontal="right" indent="1"/>
    </xf>
    <xf numFmtId="10" fontId="17" fillId="4" borderId="0" xfId="1" applyNumberFormat="1" applyFont="1" applyFill="1" applyBorder="1" applyAlignment="1">
      <alignment horizontal="right" vertical="center" indent="1"/>
    </xf>
    <xf numFmtId="0" fontId="7" fillId="5" borderId="0" xfId="0" applyFont="1" applyFill="1"/>
    <xf numFmtId="0" fontId="8" fillId="5" borderId="0" xfId="2" applyFont="1" applyFill="1" applyBorder="1" applyAlignment="1">
      <alignment horizontal="right"/>
    </xf>
    <xf numFmtId="0" fontId="14" fillId="5" borderId="0" xfId="2" applyFont="1" applyFill="1" applyBorder="1" applyAlignment="1">
      <alignment horizontal="right" vertical="center"/>
    </xf>
    <xf numFmtId="0" fontId="11" fillId="5" borderId="0" xfId="3" applyFont="1" applyFill="1" applyBorder="1" applyAlignment="1">
      <alignment horizontal="left" vertical="center"/>
    </xf>
    <xf numFmtId="0" fontId="8" fillId="5" borderId="0" xfId="1" applyFont="1" applyFill="1" applyBorder="1" applyAlignment="1">
      <alignment vertical="center"/>
    </xf>
    <xf numFmtId="0" fontId="8" fillId="5" borderId="0" xfId="1" applyFont="1" applyFill="1" applyBorder="1" applyAlignment="1">
      <alignment horizontal="right" vertical="center"/>
    </xf>
    <xf numFmtId="0" fontId="8" fillId="5" borderId="0" xfId="1" applyFont="1" applyFill="1" applyBorder="1"/>
    <xf numFmtId="0" fontId="8" fillId="5" borderId="0" xfId="1" applyFont="1" applyFill="1" applyBorder="1" applyAlignment="1">
      <alignment horizontal="left" vertical="center"/>
    </xf>
    <xf numFmtId="0" fontId="9" fillId="5" borderId="0" xfId="1" applyFont="1" applyFill="1" applyBorder="1" applyAlignment="1">
      <alignment horizontal="right" vertical="center"/>
    </xf>
    <xf numFmtId="0" fontId="8" fillId="5" borderId="0" xfId="1" applyFont="1" applyFill="1" applyBorder="1" applyAlignment="1">
      <alignment horizontal="right" indent="1"/>
    </xf>
    <xf numFmtId="0" fontId="7" fillId="4" borderId="0" xfId="0" applyFont="1" applyFill="1"/>
    <xf numFmtId="2" fontId="7" fillId="4" borderId="0" xfId="2" applyNumberFormat="1" applyFont="1" applyFill="1" applyBorder="1" applyAlignment="1">
      <alignment horizontal="left" vertical="center" indent="1"/>
    </xf>
    <xf numFmtId="0" fontId="14" fillId="4" borderId="0" xfId="2" applyFont="1" applyFill="1" applyBorder="1" applyAlignment="1">
      <alignment horizontal="left" vertical="center" indent="1"/>
    </xf>
    <xf numFmtId="0" fontId="7" fillId="4" borderId="0" xfId="0" applyFont="1" applyFill="1" applyAlignment="1">
      <alignment horizontal="left" indent="1"/>
    </xf>
    <xf numFmtId="2" fontId="14" fillId="4" borderId="0" xfId="2" applyNumberFormat="1" applyFont="1" applyFill="1" applyBorder="1" applyAlignment="1">
      <alignment horizontal="left" vertical="center" indent="1"/>
    </xf>
    <xf numFmtId="2" fontId="14" fillId="4" borderId="0" xfId="2" applyNumberFormat="1" applyFont="1" applyFill="1" applyBorder="1" applyAlignment="1">
      <alignment horizontal="left" vertical="center"/>
    </xf>
    <xf numFmtId="0" fontId="14" fillId="4" borderId="0" xfId="0" applyFont="1" applyFill="1" applyAlignment="1">
      <alignment horizontal="left" vertical="center" indent="1"/>
    </xf>
    <xf numFmtId="0" fontId="14" fillId="4" borderId="0" xfId="0" applyFont="1" applyFill="1" applyAlignment="1">
      <alignment horizontal="left" vertical="center"/>
    </xf>
    <xf numFmtId="0" fontId="7" fillId="4" borderId="0" xfId="4" applyFont="1" applyFill="1" applyBorder="1" applyAlignment="1">
      <alignment horizontal="right" vertical="center" indent="3"/>
    </xf>
    <xf numFmtId="167" fontId="13" fillId="4" borderId="0" xfId="0" applyNumberFormat="1" applyFont="1" applyFill="1"/>
    <xf numFmtId="165" fontId="7" fillId="4" borderId="0" xfId="0" applyNumberFormat="1" applyFont="1" applyFill="1"/>
    <xf numFmtId="44" fontId="14" fillId="4" borderId="0" xfId="2" applyNumberFormat="1" applyFont="1" applyFill="1" applyBorder="1" applyAlignment="1">
      <alignment horizontal="center" vertical="center"/>
    </xf>
    <xf numFmtId="165" fontId="14" fillId="4" borderId="0" xfId="2" applyNumberFormat="1" applyFont="1" applyFill="1" applyBorder="1" applyAlignment="1">
      <alignment vertical="center"/>
    </xf>
    <xf numFmtId="164" fontId="9" fillId="4" borderId="0" xfId="5" applyNumberFormat="1" applyFont="1" applyFill="1" applyBorder="1" applyAlignment="1">
      <alignment vertical="center"/>
    </xf>
    <xf numFmtId="164" fontId="9" fillId="4" borderId="0" xfId="5" applyNumberFormat="1" applyFont="1" applyFill="1" applyBorder="1" applyAlignment="1">
      <alignment horizontal="right" vertical="center"/>
    </xf>
    <xf numFmtId="167" fontId="16" fillId="4" borderId="0" xfId="6" applyNumberFormat="1" applyFont="1" applyFill="1" applyBorder="1" applyAlignment="1">
      <alignment horizontal="right" vertical="center" indent="3"/>
    </xf>
    <xf numFmtId="167" fontId="16" fillId="4" borderId="0" xfId="1" applyNumberFormat="1" applyFont="1" applyFill="1" applyBorder="1" applyAlignment="1">
      <alignment horizontal="right" vertical="center" indent="2"/>
    </xf>
    <xf numFmtId="168" fontId="9" fillId="4" borderId="0" xfId="5" applyNumberFormat="1" applyFont="1" applyFill="1" applyBorder="1" applyAlignment="1">
      <alignment horizontal="right" vertical="center"/>
    </xf>
    <xf numFmtId="167" fontId="9" fillId="4" borderId="0" xfId="5" applyNumberFormat="1" applyFont="1" applyFill="1" applyBorder="1" applyAlignment="1">
      <alignment horizontal="right" vertical="center"/>
    </xf>
    <xf numFmtId="170" fontId="17" fillId="4" borderId="0" xfId="0" applyNumberFormat="1" applyFont="1" applyFill="1" applyAlignment="1">
      <alignment horizontal="right" vertical="center"/>
    </xf>
    <xf numFmtId="166" fontId="16" fillId="4" borderId="0" xfId="1" applyNumberFormat="1" applyFont="1" applyFill="1" applyBorder="1" applyAlignment="1">
      <alignment horizontal="right" vertical="center" indent="2"/>
    </xf>
    <xf numFmtId="171" fontId="16" fillId="4" borderId="0" xfId="1" applyNumberFormat="1" applyFont="1" applyFill="1" applyBorder="1" applyAlignment="1">
      <alignment horizontal="right" vertical="center" indent="2"/>
    </xf>
    <xf numFmtId="167" fontId="16" fillId="4" borderId="0" xfId="1" applyNumberFormat="1" applyFont="1" applyFill="1" applyBorder="1" applyAlignment="1">
      <alignment horizontal="right" vertical="center" indent="3"/>
    </xf>
    <xf numFmtId="0" fontId="19" fillId="4" borderId="0" xfId="0" applyFont="1" applyFill="1" applyAlignment="1">
      <alignment horizontal="center" vertical="center"/>
    </xf>
    <xf numFmtId="0" fontId="19" fillId="4" borderId="0" xfId="0" applyFont="1" applyFill="1"/>
    <xf numFmtId="0" fontId="10" fillId="5" borderId="0" xfId="3" applyFont="1" applyFill="1" applyBorder="1" applyAlignment="1">
      <alignment horizontal="left" vertical="center" indent="1"/>
    </xf>
    <xf numFmtId="0" fontId="10" fillId="5" borderId="0" xfId="3" applyFont="1" applyFill="1" applyBorder="1"/>
    <xf numFmtId="0" fontId="10" fillId="5" borderId="0" xfId="3" applyFont="1" applyFill="1" applyBorder="1" applyAlignment="1">
      <alignment horizontal="left" vertical="center"/>
    </xf>
    <xf numFmtId="0" fontId="21" fillId="5" borderId="0" xfId="3" applyFont="1" applyFill="1" applyBorder="1" applyAlignment="1">
      <alignment horizontal="left" vertical="center"/>
    </xf>
    <xf numFmtId="0" fontId="21" fillId="5" borderId="0" xfId="3" applyFont="1" applyFill="1" applyBorder="1"/>
    <xf numFmtId="0" fontId="10" fillId="5" borderId="6" xfId="3" applyFont="1" applyFill="1" applyBorder="1" applyAlignment="1">
      <alignment horizontal="left" vertical="center" indent="1"/>
    </xf>
    <xf numFmtId="0" fontId="10" fillId="5" borderId="0" xfId="3" applyFont="1" applyFill="1" applyBorder="1" applyAlignment="1">
      <alignment vertical="center"/>
    </xf>
    <xf numFmtId="169" fontId="13" fillId="4" borderId="7" xfId="2" applyNumberFormat="1" applyFont="1" applyFill="1" applyBorder="1" applyAlignment="1">
      <alignment horizontal="center" vertical="center"/>
    </xf>
    <xf numFmtId="2" fontId="19" fillId="4" borderId="7" xfId="2" applyNumberFormat="1" applyFont="1" applyFill="1" applyBorder="1" applyAlignment="1">
      <alignment horizontal="center" vertical="center"/>
    </xf>
    <xf numFmtId="2" fontId="13" fillId="4" borderId="7" xfId="2" applyNumberFormat="1" applyFont="1" applyFill="1" applyBorder="1" applyAlignment="1">
      <alignment horizontal="center" vertical="center"/>
    </xf>
    <xf numFmtId="164" fontId="13" fillId="4" borderId="7" xfId="2" applyNumberFormat="1" applyFont="1" applyFill="1" applyBorder="1" applyAlignment="1">
      <alignment horizontal="center" vertical="center"/>
    </xf>
    <xf numFmtId="167" fontId="13" fillId="4" borderId="7" xfId="2" applyNumberFormat="1" applyFont="1" applyFill="1" applyBorder="1" applyAlignment="1">
      <alignment horizontal="center" vertical="center"/>
    </xf>
    <xf numFmtId="0" fontId="13" fillId="4" borderId="7" xfId="2" applyFont="1" applyFill="1" applyBorder="1" applyAlignment="1">
      <alignment horizontal="center"/>
    </xf>
    <xf numFmtId="170" fontId="22" fillId="4" borderId="7" xfId="2" applyNumberFormat="1" applyFont="1" applyFill="1" applyBorder="1" applyAlignment="1">
      <alignment horizontal="left" vertical="center" indent="1"/>
    </xf>
    <xf numFmtId="38" fontId="22" fillId="4" borderId="7" xfId="2" applyNumberFormat="1" applyFont="1" applyFill="1" applyBorder="1" applyAlignment="1">
      <alignment horizontal="left" vertical="center" indent="1"/>
    </xf>
    <xf numFmtId="0" fontId="22" fillId="4" borderId="0" xfId="0" applyFont="1" applyFill="1"/>
    <xf numFmtId="38" fontId="22" fillId="4" borderId="0" xfId="0" applyNumberFormat="1" applyFont="1" applyFill="1"/>
    <xf numFmtId="0" fontId="7" fillId="4" borderId="0" xfId="0" applyFont="1" applyFill="1" applyAlignment="1">
      <alignment vertical="center"/>
    </xf>
    <xf numFmtId="0" fontId="7" fillId="4" borderId="0" xfId="2" applyFont="1" applyFill="1" applyBorder="1" applyAlignment="1">
      <alignment horizontal="left" vertical="center" indent="1"/>
    </xf>
    <xf numFmtId="0" fontId="7" fillId="4" borderId="0" xfId="2" applyFont="1" applyFill="1" applyBorder="1" applyAlignment="1">
      <alignment horizontal="left" vertical="center"/>
    </xf>
    <xf numFmtId="4" fontId="7" fillId="4" borderId="0" xfId="2" applyNumberFormat="1" applyFont="1" applyFill="1" applyBorder="1" applyAlignment="1">
      <alignment horizontal="center" vertical="center"/>
    </xf>
    <xf numFmtId="4" fontId="7" fillId="4" borderId="0" xfId="2" applyNumberFormat="1" applyFont="1" applyFill="1" applyBorder="1" applyAlignment="1">
      <alignment horizontal="left" vertical="center"/>
    </xf>
    <xf numFmtId="10" fontId="16" fillId="4" borderId="0" xfId="0" applyNumberFormat="1" applyFont="1" applyFill="1" applyAlignment="1">
      <alignment horizontal="right" vertical="center" indent="2"/>
    </xf>
    <xf numFmtId="0" fontId="7" fillId="4" borderId="0" xfId="0" applyFont="1" applyFill="1" applyAlignment="1">
      <alignment horizontal="left"/>
    </xf>
    <xf numFmtId="2" fontId="7" fillId="4" borderId="0" xfId="2" applyNumberFormat="1" applyFont="1" applyFill="1" applyBorder="1" applyAlignment="1">
      <alignment horizontal="left" vertical="center"/>
    </xf>
    <xf numFmtId="0" fontId="14" fillId="4" borderId="9" xfId="2" applyFont="1" applyFill="1" applyBorder="1" applyAlignment="1">
      <alignment horizontal="left" vertical="center" indent="1"/>
    </xf>
    <xf numFmtId="0" fontId="14" fillId="4" borderId="9" xfId="2" applyFont="1" applyFill="1" applyBorder="1" applyAlignment="1">
      <alignment horizontal="left" vertical="center"/>
    </xf>
    <xf numFmtId="2" fontId="14" fillId="4" borderId="9" xfId="2" applyNumberFormat="1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indent="1"/>
    </xf>
    <xf numFmtId="0" fontId="14" fillId="4" borderId="9" xfId="0" applyFont="1" applyFill="1" applyBorder="1" applyAlignment="1">
      <alignment horizontal="left" vertical="center"/>
    </xf>
    <xf numFmtId="2" fontId="14" fillId="4" borderId="9" xfId="2" applyNumberFormat="1" applyFont="1" applyFill="1" applyBorder="1" applyAlignment="1">
      <alignment horizontal="left" vertical="center" indent="1"/>
    </xf>
    <xf numFmtId="170" fontId="17" fillId="4" borderId="0" xfId="4" applyNumberFormat="1" applyFont="1" applyFill="1" applyBorder="1" applyAlignment="1">
      <alignment horizontal="right" vertical="center" indent="1"/>
    </xf>
    <xf numFmtId="3" fontId="16" fillId="4" borderId="0" xfId="5" applyNumberFormat="1" applyFont="1" applyFill="1" applyBorder="1" applyAlignment="1">
      <alignment horizontal="right" vertical="center" indent="1"/>
    </xf>
    <xf numFmtId="4" fontId="7" fillId="4" borderId="0" xfId="2" applyNumberFormat="1" applyFont="1" applyFill="1" applyBorder="1" applyAlignment="1">
      <alignment horizontal="right" vertical="center" indent="1"/>
    </xf>
    <xf numFmtId="10" fontId="16" fillId="4" borderId="0" xfId="0" applyNumberFormat="1" applyFont="1" applyFill="1" applyAlignment="1">
      <alignment horizontal="right" vertical="center" indent="1"/>
    </xf>
    <xf numFmtId="2" fontId="17" fillId="4" borderId="0" xfId="5" applyNumberFormat="1" applyFont="1" applyFill="1" applyBorder="1" applyAlignment="1">
      <alignment horizontal="right" vertical="center" indent="1"/>
    </xf>
    <xf numFmtId="0" fontId="7" fillId="4" borderId="9" xfId="0" applyFont="1" applyFill="1" applyBorder="1" applyAlignment="1">
      <alignment horizontal="right" indent="1"/>
    </xf>
    <xf numFmtId="3" fontId="17" fillId="4" borderId="0" xfId="5" applyNumberFormat="1" applyFont="1" applyFill="1" applyBorder="1" applyAlignment="1">
      <alignment horizontal="right" vertical="center" indent="1"/>
    </xf>
    <xf numFmtId="167" fontId="17" fillId="4" borderId="0" xfId="5" applyNumberFormat="1" applyFont="1" applyFill="1" applyBorder="1" applyAlignment="1">
      <alignment horizontal="right" vertical="center" indent="1"/>
    </xf>
    <xf numFmtId="2" fontId="14" fillId="4" borderId="9" xfId="2" applyNumberFormat="1" applyFont="1" applyFill="1" applyBorder="1" applyAlignment="1">
      <alignment horizontal="right" vertical="center" indent="1"/>
    </xf>
    <xf numFmtId="0" fontId="7" fillId="4" borderId="9" xfId="0" applyFont="1" applyFill="1" applyBorder="1" applyAlignment="1">
      <alignment horizontal="center"/>
    </xf>
    <xf numFmtId="2" fontId="14" fillId="4" borderId="9" xfId="2" applyNumberFormat="1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right" vertical="center" indent="1"/>
    </xf>
    <xf numFmtId="165" fontId="7" fillId="4" borderId="0" xfId="0" applyNumberFormat="1" applyFont="1" applyFill="1" applyAlignment="1">
      <alignment horizontal="right" indent="1"/>
    </xf>
    <xf numFmtId="164" fontId="14" fillId="4" borderId="9" xfId="0" applyNumberFormat="1" applyFont="1" applyFill="1" applyBorder="1" applyAlignment="1">
      <alignment horizontal="right" indent="1"/>
    </xf>
    <xf numFmtId="164" fontId="14" fillId="4" borderId="0" xfId="0" applyNumberFormat="1" applyFont="1" applyFill="1" applyAlignment="1">
      <alignment horizontal="right" indent="1"/>
    </xf>
    <xf numFmtId="165" fontId="14" fillId="4" borderId="9" xfId="2" applyNumberFormat="1" applyFont="1" applyFill="1" applyBorder="1" applyAlignment="1">
      <alignment horizontal="right" vertical="center" indent="1"/>
    </xf>
    <xf numFmtId="38" fontId="16" fillId="4" borderId="0" xfId="5" applyNumberFormat="1" applyFont="1" applyFill="1" applyBorder="1" applyAlignment="1">
      <alignment horizontal="right" vertical="center" indent="1"/>
    </xf>
    <xf numFmtId="166" fontId="16" fillId="4" borderId="0" xfId="5" applyNumberFormat="1" applyFont="1" applyFill="1" applyBorder="1" applyAlignment="1">
      <alignment horizontal="right" vertical="center" indent="1"/>
    </xf>
    <xf numFmtId="165" fontId="7" fillId="4" borderId="9" xfId="2" applyNumberFormat="1" applyFont="1" applyFill="1" applyBorder="1" applyAlignment="1">
      <alignment horizontal="right" vertical="center" indent="1"/>
    </xf>
    <xf numFmtId="3" fontId="16" fillId="4" borderId="0" xfId="0" applyNumberFormat="1" applyFont="1" applyFill="1" applyAlignment="1">
      <alignment horizontal="right" vertical="center" indent="1"/>
    </xf>
    <xf numFmtId="38" fontId="7" fillId="4" borderId="0" xfId="0" applyNumberFormat="1" applyFont="1" applyFill="1" applyAlignment="1">
      <alignment horizontal="right" vertical="center" indent="1"/>
    </xf>
    <xf numFmtId="38" fontId="17" fillId="4" borderId="0" xfId="1" applyNumberFormat="1" applyFont="1" applyFill="1" applyBorder="1" applyAlignment="1">
      <alignment horizontal="right" vertical="center" indent="1"/>
    </xf>
    <xf numFmtId="38" fontId="14" fillId="4" borderId="0" xfId="0" applyNumberFormat="1" applyFont="1" applyFill="1" applyAlignment="1">
      <alignment horizontal="right" vertical="center" indent="1"/>
    </xf>
    <xf numFmtId="0" fontId="7" fillId="6" borderId="0" xfId="1" applyFont="1" applyFill="1" applyBorder="1" applyAlignment="1">
      <alignment horizontal="left" vertical="center" indent="1"/>
    </xf>
    <xf numFmtId="0" fontId="7" fillId="6" borderId="0" xfId="1" applyFont="1" applyFill="1" applyBorder="1" applyAlignment="1">
      <alignment vertical="center"/>
    </xf>
    <xf numFmtId="0" fontId="14" fillId="6" borderId="9" xfId="2" applyFont="1" applyFill="1" applyBorder="1" applyAlignment="1">
      <alignment horizontal="left" vertical="center" indent="1"/>
    </xf>
    <xf numFmtId="0" fontId="14" fillId="6" borderId="9" xfId="2" applyFont="1" applyFill="1" applyBorder="1" applyAlignment="1">
      <alignment vertical="center"/>
    </xf>
    <xf numFmtId="0" fontId="7" fillId="4" borderId="9" xfId="0" applyFont="1" applyFill="1" applyBorder="1" applyAlignment="1">
      <alignment horizontal="right" vertical="center" indent="3"/>
    </xf>
    <xf numFmtId="0" fontId="7" fillId="4" borderId="9" xfId="4" applyFont="1" applyFill="1" applyBorder="1" applyAlignment="1">
      <alignment horizontal="right" vertical="center" indent="3"/>
    </xf>
    <xf numFmtId="0" fontId="14" fillId="5" borderId="9" xfId="0" applyFont="1" applyFill="1" applyBorder="1" applyAlignment="1">
      <alignment horizontal="center" vertical="center"/>
    </xf>
    <xf numFmtId="0" fontId="14" fillId="5" borderId="9" xfId="1" applyFont="1" applyFill="1" applyBorder="1" applyAlignment="1">
      <alignment horizontal="center" vertical="center"/>
    </xf>
    <xf numFmtId="0" fontId="14" fillId="5" borderId="9" xfId="1" applyFont="1" applyFill="1" applyBorder="1" applyAlignment="1">
      <alignment horizontal="left" vertical="center" indent="1"/>
    </xf>
    <xf numFmtId="165" fontId="14" fillId="5" borderId="9" xfId="1" applyNumberFormat="1" applyFont="1" applyFill="1" applyBorder="1" applyAlignment="1">
      <alignment horizontal="center" vertical="center"/>
    </xf>
    <xf numFmtId="0" fontId="7" fillId="5" borderId="9" xfId="0" applyFont="1" applyFill="1" applyBorder="1"/>
    <xf numFmtId="0" fontId="14" fillId="5" borderId="10" xfId="4" applyFont="1" applyFill="1" applyBorder="1" applyAlignment="1">
      <alignment horizontal="center" vertical="center"/>
    </xf>
    <xf numFmtId="0" fontId="8" fillId="5" borderId="11" xfId="4" applyFont="1" applyFill="1" applyBorder="1" applyAlignment="1">
      <alignment horizontal="left" vertical="center"/>
    </xf>
    <xf numFmtId="0" fontId="8" fillId="5" borderId="10" xfId="4" applyFont="1" applyFill="1" applyBorder="1" applyAlignment="1">
      <alignment horizontal="left" vertical="center"/>
    </xf>
    <xf numFmtId="0" fontId="14" fillId="5" borderId="10" xfId="4" applyFont="1" applyFill="1" applyBorder="1" applyAlignment="1">
      <alignment horizontal="left" vertical="center" indent="1"/>
    </xf>
    <xf numFmtId="0" fontId="15" fillId="5" borderId="10" xfId="4" applyFont="1" applyFill="1" applyBorder="1" applyAlignment="1">
      <alignment horizontal="left" vertical="center" indent="1"/>
    </xf>
    <xf numFmtId="0" fontId="7" fillId="5" borderId="10" xfId="4" applyFont="1" applyFill="1" applyBorder="1" applyAlignment="1">
      <alignment horizontal="left"/>
    </xf>
    <xf numFmtId="0" fontId="7" fillId="5" borderId="10" xfId="4" applyFont="1" applyFill="1" applyBorder="1" applyAlignment="1">
      <alignment horizontal="center"/>
    </xf>
    <xf numFmtId="0" fontId="8" fillId="5" borderId="10" xfId="4" applyFont="1" applyFill="1" applyBorder="1"/>
    <xf numFmtId="0" fontId="8" fillId="5" borderId="10" xfId="4" applyFont="1" applyFill="1" applyBorder="1" applyAlignment="1">
      <alignment horizontal="left"/>
    </xf>
    <xf numFmtId="0" fontId="8" fillId="5" borderId="10" xfId="4" applyFont="1" applyFill="1" applyBorder="1" applyAlignment="1">
      <alignment horizontal="center" vertical="center"/>
    </xf>
    <xf numFmtId="0" fontId="8" fillId="5" borderId="10" xfId="4" applyFont="1" applyFill="1" applyBorder="1" applyAlignment="1">
      <alignment horizontal="left" indent="1"/>
    </xf>
    <xf numFmtId="165" fontId="8" fillId="5" borderId="10" xfId="4" applyNumberFormat="1" applyFont="1" applyFill="1" applyBorder="1" applyAlignment="1">
      <alignment vertical="center"/>
    </xf>
    <xf numFmtId="0" fontId="8" fillId="5" borderId="10" xfId="4" applyFont="1" applyFill="1" applyBorder="1" applyAlignment="1">
      <alignment vertical="center"/>
    </xf>
    <xf numFmtId="0" fontId="8" fillId="5" borderId="10" xfId="4" applyFont="1" applyFill="1" applyBorder="1" applyAlignment="1">
      <alignment horizontal="left" vertical="center" indent="1"/>
    </xf>
    <xf numFmtId="0" fontId="7" fillId="5" borderId="10" xfId="0" applyFont="1" applyFill="1" applyBorder="1"/>
    <xf numFmtId="38" fontId="16" fillId="4" borderId="12" xfId="1" applyNumberFormat="1" applyFont="1" applyFill="1" applyBorder="1" applyAlignment="1">
      <alignment horizontal="right" vertical="center" indent="1"/>
    </xf>
    <xf numFmtId="165" fontId="14" fillId="4" borderId="0" xfId="2" applyNumberFormat="1" applyFont="1" applyFill="1" applyBorder="1" applyAlignment="1">
      <alignment horizontal="right" vertical="center" indent="2"/>
    </xf>
    <xf numFmtId="38" fontId="17" fillId="4" borderId="9" xfId="1" applyNumberFormat="1" applyFont="1" applyFill="1" applyBorder="1" applyAlignment="1">
      <alignment horizontal="right" vertical="center" indent="1"/>
    </xf>
    <xf numFmtId="38" fontId="16" fillId="4" borderId="9" xfId="1" applyNumberFormat="1" applyFont="1" applyFill="1" applyBorder="1" applyAlignment="1">
      <alignment horizontal="right" vertical="center" indent="1"/>
    </xf>
    <xf numFmtId="0" fontId="14" fillId="5" borderId="0" xfId="1" applyFont="1" applyFill="1" applyBorder="1" applyAlignment="1">
      <alignment horizontal="center" vertical="center"/>
    </xf>
    <xf numFmtId="0" fontId="8" fillId="5" borderId="0" xfId="4" applyFont="1" applyFill="1" applyBorder="1"/>
    <xf numFmtId="0" fontId="14" fillId="5" borderId="0" xfId="1" applyFont="1" applyFill="1" applyBorder="1" applyAlignment="1">
      <alignment horizontal="left" vertical="center" indent="1"/>
    </xf>
    <xf numFmtId="0" fontId="7" fillId="5" borderId="9" xfId="0" applyFont="1" applyFill="1" applyBorder="1" applyAlignment="1">
      <alignment horizontal="left" vertical="center" indent="1"/>
    </xf>
    <xf numFmtId="0" fontId="15" fillId="5" borderId="9" xfId="4" applyFont="1" applyFill="1" applyBorder="1" applyAlignment="1">
      <alignment horizontal="left" vertical="center" indent="1"/>
    </xf>
    <xf numFmtId="0" fontId="7" fillId="5" borderId="9" xfId="0" applyFont="1" applyFill="1" applyBorder="1" applyAlignment="1">
      <alignment horizontal="left" indent="1"/>
    </xf>
    <xf numFmtId="38" fontId="7" fillId="5" borderId="9" xfId="0" applyNumberFormat="1" applyFont="1" applyFill="1" applyBorder="1"/>
    <xf numFmtId="165" fontId="7" fillId="5" borderId="9" xfId="0" applyNumberFormat="1" applyFont="1" applyFill="1" applyBorder="1"/>
    <xf numFmtId="0" fontId="12" fillId="5" borderId="9" xfId="4" applyFont="1" applyFill="1" applyBorder="1"/>
    <xf numFmtId="0" fontId="12" fillId="5" borderId="9" xfId="4" applyFont="1" applyFill="1" applyBorder="1" applyAlignment="1">
      <alignment vertical="center"/>
    </xf>
    <xf numFmtId="0" fontId="12" fillId="4" borderId="9" xfId="4" applyFont="1" applyFill="1" applyBorder="1" applyAlignment="1">
      <alignment vertical="center"/>
    </xf>
    <xf numFmtId="0" fontId="12" fillId="4" borderId="9" xfId="4" applyFont="1" applyFill="1" applyBorder="1" applyAlignment="1">
      <alignment horizontal="left" vertical="center" indent="1"/>
    </xf>
    <xf numFmtId="38" fontId="12" fillId="4" borderId="9" xfId="4" applyNumberFormat="1" applyFont="1" applyFill="1" applyBorder="1" applyAlignment="1">
      <alignment horizontal="center"/>
    </xf>
    <xf numFmtId="38" fontId="12" fillId="4" borderId="9" xfId="4" applyNumberFormat="1" applyFont="1" applyFill="1" applyBorder="1" applyAlignment="1">
      <alignment vertical="center"/>
    </xf>
    <xf numFmtId="38" fontId="12" fillId="4" borderId="9" xfId="4" applyNumberFormat="1" applyFont="1" applyFill="1" applyBorder="1" applyAlignment="1">
      <alignment horizontal="right" vertical="center"/>
    </xf>
    <xf numFmtId="38" fontId="12" fillId="4" borderId="9" xfId="4" applyNumberFormat="1" applyFont="1" applyFill="1" applyBorder="1" applyAlignment="1">
      <alignment horizontal="center" vertical="center"/>
    </xf>
    <xf numFmtId="0" fontId="12" fillId="4" borderId="9" xfId="4" applyFont="1" applyFill="1" applyBorder="1" applyAlignment="1">
      <alignment horizontal="left" indent="1"/>
    </xf>
    <xf numFmtId="0" fontId="12" fillId="4" borderId="9" xfId="4" applyFont="1" applyFill="1" applyBorder="1"/>
    <xf numFmtId="165" fontId="12" fillId="4" borderId="9" xfId="4" applyNumberFormat="1" applyFont="1" applyFill="1" applyBorder="1"/>
    <xf numFmtId="0" fontId="10" fillId="5" borderId="13" xfId="3" applyFont="1" applyFill="1" applyBorder="1"/>
    <xf numFmtId="38" fontId="22" fillId="4" borderId="14" xfId="2" applyNumberFormat="1" applyFont="1" applyFill="1" applyBorder="1" applyAlignment="1">
      <alignment horizontal="left" vertical="center" indent="1"/>
    </xf>
    <xf numFmtId="38" fontId="22" fillId="4" borderId="13" xfId="0" applyNumberFormat="1" applyFont="1" applyFill="1" applyBorder="1"/>
    <xf numFmtId="164" fontId="13" fillId="4" borderId="14" xfId="2" applyNumberFormat="1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13" xfId="0" applyFont="1" applyFill="1" applyBorder="1"/>
    <xf numFmtId="2" fontId="13" fillId="4" borderId="14" xfId="2" applyNumberFormat="1" applyFont="1" applyFill="1" applyBorder="1" applyAlignment="1">
      <alignment horizontal="center" vertical="center"/>
    </xf>
    <xf numFmtId="0" fontId="10" fillId="5" borderId="13" xfId="3" applyFont="1" applyFill="1" applyBorder="1" applyAlignment="1">
      <alignment horizontal="left" vertical="center" indent="1"/>
    </xf>
    <xf numFmtId="167" fontId="13" fillId="4" borderId="14" xfId="2" applyNumberFormat="1" applyFont="1" applyFill="1" applyBorder="1" applyAlignment="1">
      <alignment horizontal="center" vertical="center"/>
    </xf>
    <xf numFmtId="2" fontId="13" fillId="4" borderId="13" xfId="0" applyNumberFormat="1" applyFont="1" applyFill="1" applyBorder="1" applyAlignment="1">
      <alignment horizontal="center" vertical="center"/>
    </xf>
    <xf numFmtId="2" fontId="13" fillId="4" borderId="13" xfId="0" applyNumberFormat="1" applyFont="1" applyFill="1" applyBorder="1"/>
    <xf numFmtId="0" fontId="11" fillId="5" borderId="0" xfId="0" applyFont="1" applyFill="1"/>
    <xf numFmtId="10" fontId="13" fillId="4" borderId="13" xfId="2" applyNumberFormat="1" applyFont="1" applyFill="1" applyBorder="1" applyAlignment="1">
      <alignment horizontal="center" vertical="center"/>
    </xf>
    <xf numFmtId="0" fontId="10" fillId="5" borderId="15" xfId="3" applyFont="1" applyFill="1" applyBorder="1" applyAlignment="1">
      <alignment horizontal="left" vertical="center" indent="1"/>
    </xf>
    <xf numFmtId="10" fontId="13" fillId="4" borderId="16" xfId="2" applyNumberFormat="1" applyFont="1" applyFill="1" applyBorder="1" applyAlignment="1">
      <alignment horizontal="center" vertical="center"/>
    </xf>
    <xf numFmtId="0" fontId="13" fillId="4" borderId="15" xfId="0" applyFont="1" applyFill="1" applyBorder="1"/>
    <xf numFmtId="0" fontId="10" fillId="5" borderId="17" xfId="1" applyFont="1" applyFill="1" applyBorder="1" applyAlignment="1">
      <alignment horizontal="left" vertical="center" wrapText="1" indent="1"/>
    </xf>
    <xf numFmtId="0" fontId="10" fillId="5" borderId="10" xfId="1" applyFont="1" applyFill="1" applyBorder="1" applyAlignment="1">
      <alignment horizontal="center" vertical="center" wrapText="1"/>
    </xf>
    <xf numFmtId="0" fontId="10" fillId="5" borderId="17" xfId="1" applyFont="1" applyFill="1" applyBorder="1" applyAlignment="1">
      <alignment horizontal="center" vertical="center" wrapText="1"/>
    </xf>
    <xf numFmtId="0" fontId="10" fillId="5" borderId="18" xfId="1" applyFont="1" applyFill="1" applyBorder="1" applyAlignment="1">
      <alignment horizontal="center" vertical="center" wrapText="1"/>
    </xf>
    <xf numFmtId="0" fontId="10" fillId="5" borderId="19" xfId="1" applyFont="1" applyFill="1" applyBorder="1" applyAlignment="1">
      <alignment horizontal="center" vertical="center" wrapText="1"/>
    </xf>
    <xf numFmtId="0" fontId="10" fillId="5" borderId="20" xfId="1" applyFont="1" applyFill="1" applyBorder="1" applyAlignment="1">
      <alignment horizontal="center" vertical="center"/>
    </xf>
    <xf numFmtId="0" fontId="10" fillId="5" borderId="10" xfId="1" applyFont="1" applyFill="1" applyBorder="1" applyAlignment="1">
      <alignment horizontal="center"/>
    </xf>
    <xf numFmtId="0" fontId="10" fillId="5" borderId="21" xfId="1" applyFont="1" applyFill="1" applyBorder="1" applyAlignment="1">
      <alignment horizontal="left" vertical="center" wrapText="1" indent="1"/>
    </xf>
    <xf numFmtId="0" fontId="10" fillId="5" borderId="22" xfId="1" applyFont="1" applyFill="1" applyBorder="1" applyAlignment="1">
      <alignment horizontal="left" vertical="center" wrapText="1" indent="1"/>
    </xf>
    <xf numFmtId="0" fontId="10" fillId="5" borderId="23" xfId="1" applyFont="1" applyFill="1" applyBorder="1" applyAlignment="1">
      <alignment horizontal="center" vertical="center" wrapText="1"/>
    </xf>
    <xf numFmtId="0" fontId="10" fillId="5" borderId="22" xfId="1" applyFont="1" applyFill="1" applyBorder="1" applyAlignment="1">
      <alignment horizontal="center" vertical="center" wrapText="1"/>
    </xf>
    <xf numFmtId="0" fontId="10" fillId="5" borderId="24" xfId="1" applyFont="1" applyFill="1" applyBorder="1" applyAlignment="1">
      <alignment horizontal="center" vertical="center" wrapText="1"/>
    </xf>
    <xf numFmtId="170" fontId="22" fillId="4" borderId="8" xfId="2" applyNumberFormat="1" applyFont="1" applyFill="1" applyBorder="1" applyAlignment="1">
      <alignment horizontal="left" vertical="center" indent="1"/>
    </xf>
    <xf numFmtId="38" fontId="22" fillId="4" borderId="8" xfId="2" applyNumberFormat="1" applyFont="1" applyFill="1" applyBorder="1" applyAlignment="1">
      <alignment horizontal="left" vertical="center" indent="1"/>
    </xf>
    <xf numFmtId="38" fontId="22" fillId="4" borderId="25" xfId="2" applyNumberFormat="1" applyFont="1" applyFill="1" applyBorder="1" applyAlignment="1">
      <alignment horizontal="left" vertical="center" indent="1"/>
    </xf>
    <xf numFmtId="169" fontId="13" fillId="4" borderId="8" xfId="2" applyNumberFormat="1" applyFont="1" applyFill="1" applyBorder="1" applyAlignment="1">
      <alignment horizontal="center" vertical="center"/>
    </xf>
    <xf numFmtId="2" fontId="19" fillId="4" borderId="8" xfId="2" applyNumberFormat="1" applyFont="1" applyFill="1" applyBorder="1" applyAlignment="1">
      <alignment horizontal="center" vertical="center"/>
    </xf>
    <xf numFmtId="2" fontId="13" fillId="4" borderId="8" xfId="2" applyNumberFormat="1" applyFont="1" applyFill="1" applyBorder="1" applyAlignment="1">
      <alignment horizontal="center" vertical="center"/>
    </xf>
    <xf numFmtId="164" fontId="13" fillId="4" borderId="8" xfId="2" applyNumberFormat="1" applyFont="1" applyFill="1" applyBorder="1" applyAlignment="1">
      <alignment horizontal="center" vertical="center"/>
    </xf>
    <xf numFmtId="164" fontId="13" fillId="4" borderId="25" xfId="2" applyNumberFormat="1" applyFont="1" applyFill="1" applyBorder="1" applyAlignment="1">
      <alignment horizontal="center" vertical="center"/>
    </xf>
    <xf numFmtId="2" fontId="13" fillId="4" borderId="25" xfId="2" applyNumberFormat="1" applyFont="1" applyFill="1" applyBorder="1" applyAlignment="1">
      <alignment horizontal="center" vertical="center"/>
    </xf>
    <xf numFmtId="167" fontId="13" fillId="4" borderId="8" xfId="2" applyNumberFormat="1" applyFont="1" applyFill="1" applyBorder="1" applyAlignment="1">
      <alignment horizontal="center" vertical="center"/>
    </xf>
    <xf numFmtId="167" fontId="13" fillId="4" borderId="25" xfId="2" applyNumberFormat="1" applyFont="1" applyFill="1" applyBorder="1" applyAlignment="1">
      <alignment horizontal="center" vertical="center"/>
    </xf>
    <xf numFmtId="10" fontId="13" fillId="4" borderId="26" xfId="2" applyNumberFormat="1" applyFont="1" applyFill="1" applyBorder="1" applyAlignment="1">
      <alignment horizontal="center" vertical="center"/>
    </xf>
    <xf numFmtId="0" fontId="13" fillId="4" borderId="8" xfId="2" applyFont="1" applyFill="1" applyBorder="1" applyAlignment="1">
      <alignment horizontal="center"/>
    </xf>
    <xf numFmtId="2" fontId="10" fillId="5" borderId="10" xfId="1" applyNumberFormat="1" applyFont="1" applyFill="1" applyBorder="1" applyAlignment="1">
      <alignment horizontal="center" vertical="center" wrapText="1"/>
    </xf>
    <xf numFmtId="38" fontId="10" fillId="5" borderId="10" xfId="1" applyNumberFormat="1" applyFont="1" applyFill="1" applyBorder="1" applyAlignment="1">
      <alignment horizontal="center" vertical="center" wrapText="1"/>
    </xf>
    <xf numFmtId="38" fontId="22" fillId="5" borderId="17" xfId="2" applyNumberFormat="1" applyFont="1" applyFill="1" applyBorder="1" applyAlignment="1">
      <alignment horizontal="center" vertical="center"/>
    </xf>
    <xf numFmtId="2" fontId="13" fillId="5" borderId="10" xfId="2" applyNumberFormat="1" applyFont="1" applyFill="1" applyBorder="1" applyAlignment="1">
      <alignment horizontal="center" vertical="center"/>
    </xf>
    <xf numFmtId="2" fontId="13" fillId="5" borderId="17" xfId="2" applyNumberFormat="1" applyFont="1" applyFill="1" applyBorder="1" applyAlignment="1">
      <alignment horizontal="center" vertical="center"/>
    </xf>
    <xf numFmtId="167" fontId="13" fillId="5" borderId="10" xfId="2" applyNumberFormat="1" applyFont="1" applyFill="1" applyBorder="1" applyAlignment="1">
      <alignment horizontal="center" vertical="center"/>
    </xf>
    <xf numFmtId="167" fontId="13" fillId="5" borderId="17" xfId="2" applyNumberFormat="1" applyFont="1" applyFill="1" applyBorder="1" applyAlignment="1">
      <alignment horizontal="center" vertical="center"/>
    </xf>
    <xf numFmtId="2" fontId="13" fillId="5" borderId="20" xfId="2" applyNumberFormat="1" applyFont="1" applyFill="1" applyBorder="1" applyAlignment="1">
      <alignment horizontal="center" vertical="center"/>
    </xf>
    <xf numFmtId="2" fontId="10" fillId="5" borderId="10" xfId="1" applyNumberFormat="1" applyFont="1" applyFill="1" applyBorder="1" applyAlignment="1">
      <alignment horizontal="center"/>
    </xf>
    <xf numFmtId="0" fontId="11" fillId="5" borderId="0" xfId="0" applyFont="1" applyFill="1" applyAlignment="1">
      <alignment horizontal="left" vertical="center" indent="1"/>
    </xf>
    <xf numFmtId="0" fontId="10" fillId="5" borderId="0" xfId="0" applyFont="1" applyFill="1" applyAlignment="1">
      <alignment horizontal="left" vertical="center" indent="1"/>
    </xf>
    <xf numFmtId="0" fontId="20" fillId="5" borderId="0" xfId="0" applyFont="1" applyFill="1"/>
    <xf numFmtId="0" fontId="11" fillId="5" borderId="13" xfId="0" applyFont="1" applyFill="1" applyBorder="1" applyAlignment="1">
      <alignment horizontal="left" vertical="center" indent="1"/>
    </xf>
    <xf numFmtId="2" fontId="10" fillId="5" borderId="17" xfId="1" applyNumberFormat="1" applyFont="1" applyFill="1" applyBorder="1" applyAlignment="1">
      <alignment horizontal="center" vertical="center" wrapText="1"/>
    </xf>
    <xf numFmtId="0" fontId="13" fillId="5" borderId="25" xfId="2" applyFont="1" applyFill="1" applyBorder="1" applyAlignment="1">
      <alignment horizontal="left" vertical="center" indent="1"/>
    </xf>
    <xf numFmtId="0" fontId="13" fillId="5" borderId="14" xfId="2" applyFont="1" applyFill="1" applyBorder="1" applyAlignment="1">
      <alignment horizontal="left" vertical="center" indent="1"/>
    </xf>
    <xf numFmtId="0" fontId="13" fillId="5" borderId="13" xfId="0" applyFont="1" applyFill="1" applyBorder="1" applyAlignment="1">
      <alignment horizontal="left" indent="1"/>
    </xf>
    <xf numFmtId="0" fontId="7" fillId="6" borderId="12" xfId="1" applyFont="1" applyFill="1" applyBorder="1" applyAlignment="1">
      <alignment horizontal="left" vertical="center" indent="1"/>
    </xf>
    <xf numFmtId="0" fontId="7" fillId="6" borderId="12" xfId="1" applyFont="1" applyFill="1" applyBorder="1" applyAlignment="1">
      <alignment vertical="center"/>
    </xf>
    <xf numFmtId="0" fontId="7" fillId="6" borderId="9" xfId="1" applyFont="1" applyFill="1" applyBorder="1" applyAlignment="1">
      <alignment horizontal="left" vertical="center" indent="1"/>
    </xf>
    <xf numFmtId="0" fontId="7" fillId="6" borderId="9" xfId="1" applyFont="1" applyFill="1" applyBorder="1" applyAlignment="1">
      <alignment vertical="center"/>
    </xf>
    <xf numFmtId="165" fontId="14" fillId="6" borderId="9" xfId="4" applyNumberFormat="1" applyFont="1" applyFill="1" applyBorder="1" applyAlignment="1">
      <alignment horizontal="right" vertical="center" indent="2"/>
    </xf>
    <xf numFmtId="165" fontId="7" fillId="6" borderId="9" xfId="2" applyNumberFormat="1" applyFont="1" applyFill="1" applyBorder="1" applyAlignment="1">
      <alignment horizontal="right" vertical="center" indent="2"/>
    </xf>
    <xf numFmtId="165" fontId="7" fillId="6" borderId="9" xfId="1" applyNumberFormat="1" applyFont="1" applyFill="1" applyBorder="1" applyAlignment="1">
      <alignment horizontal="right" vertical="center" wrapText="1" indent="2"/>
    </xf>
    <xf numFmtId="165" fontId="7" fillId="6" borderId="9" xfId="4" applyNumberFormat="1" applyFont="1" applyFill="1" applyBorder="1" applyAlignment="1">
      <alignment horizontal="right" vertical="center" indent="2"/>
    </xf>
    <xf numFmtId="0" fontId="14" fillId="6" borderId="12" xfId="1" applyFont="1" applyFill="1" applyBorder="1" applyAlignment="1">
      <alignment vertical="center"/>
    </xf>
    <xf numFmtId="0" fontId="14" fillId="6" borderId="0" xfId="1" applyFont="1" applyFill="1" applyBorder="1" applyAlignment="1">
      <alignment horizontal="left" vertical="center" indent="1"/>
    </xf>
    <xf numFmtId="0" fontId="14" fillId="6" borderId="0" xfId="1" applyFont="1" applyFill="1" applyBorder="1" applyAlignment="1">
      <alignment vertical="center"/>
    </xf>
    <xf numFmtId="0" fontId="14" fillId="6" borderId="9" xfId="1" applyFont="1" applyFill="1" applyBorder="1" applyAlignment="1">
      <alignment horizontal="left" vertical="center" indent="1"/>
    </xf>
    <xf numFmtId="0" fontId="14" fillId="6" borderId="9" xfId="1" applyFont="1" applyFill="1" applyBorder="1" applyAlignment="1">
      <alignment vertical="center"/>
    </xf>
    <xf numFmtId="165" fontId="7" fillId="6" borderId="9" xfId="0" applyNumberFormat="1" applyFont="1" applyFill="1" applyBorder="1" applyAlignment="1">
      <alignment horizontal="right" vertical="center" indent="2"/>
    </xf>
    <xf numFmtId="165" fontId="14" fillId="6" borderId="0" xfId="4" applyNumberFormat="1" applyFont="1" applyFill="1" applyBorder="1" applyAlignment="1">
      <alignment horizontal="right" vertical="center" indent="2"/>
    </xf>
    <xf numFmtId="0" fontId="7" fillId="4" borderId="0" xfId="0" applyFont="1" applyFill="1" applyAlignment="1">
      <alignment horizontal="center"/>
    </xf>
    <xf numFmtId="0" fontId="7" fillId="4" borderId="0" xfId="0" applyFont="1" applyFill="1" applyAlignment="1">
      <alignment horizontal="right" vertical="center" indent="3"/>
    </xf>
    <xf numFmtId="0" fontId="7" fillId="5" borderId="0" xfId="4" applyFont="1" applyFill="1" applyBorder="1" applyAlignment="1">
      <alignment horizontal="center"/>
    </xf>
    <xf numFmtId="165" fontId="7" fillId="6" borderId="0" xfId="2" applyNumberFormat="1" applyFont="1" applyFill="1" applyBorder="1" applyAlignment="1">
      <alignment horizontal="right" vertical="center" indent="2"/>
    </xf>
    <xf numFmtId="0" fontId="7" fillId="6" borderId="0" xfId="1" applyFont="1" applyFill="1" applyBorder="1" applyAlignment="1">
      <alignment horizontal="left" vertical="center" indent="2"/>
    </xf>
    <xf numFmtId="0" fontId="7" fillId="6" borderId="0" xfId="1" applyFont="1" applyFill="1" applyBorder="1" applyAlignment="1">
      <alignment horizontal="left" vertical="center" indent="3"/>
    </xf>
    <xf numFmtId="0" fontId="7" fillId="6" borderId="0" xfId="1" applyFont="1" applyFill="1" applyBorder="1" applyAlignment="1">
      <alignment horizontal="left" vertical="center" indent="4"/>
    </xf>
    <xf numFmtId="40" fontId="16" fillId="4" borderId="0" xfId="1" applyNumberFormat="1" applyFont="1" applyFill="1" applyBorder="1" applyAlignment="1">
      <alignment horizontal="right" vertical="center" indent="1"/>
    </xf>
    <xf numFmtId="0" fontId="8" fillId="5" borderId="9" xfId="4" applyFont="1" applyFill="1" applyBorder="1" applyAlignment="1">
      <alignment horizontal="left" vertical="center" indent="1"/>
    </xf>
    <xf numFmtId="0" fontId="9" fillId="5" borderId="9" xfId="0" applyFont="1" applyFill="1" applyBorder="1" applyAlignment="1">
      <alignment horizontal="left" indent="1"/>
    </xf>
  </cellXfs>
  <cellStyles count="8">
    <cellStyle name="Calculation" xfId="6" builtinId="22"/>
    <cellStyle name="Heading 1" xfId="3" builtinId="16"/>
    <cellStyle name="Heading 2" xfId="4" builtinId="17"/>
    <cellStyle name="Heading 3" xfId="1" builtinId="18"/>
    <cellStyle name="Input" xfId="5" builtinId="20"/>
    <cellStyle name="Normal" xfId="0" builtinId="0"/>
    <cellStyle name="Normal 2" xfId="7" xr:uid="{B85F0263-1CD8-4A6C-8D5F-CB026886A0DC}"/>
    <cellStyle name="Total" xfId="2" builtinId="25"/>
  </cellStyles>
  <dxfs count="0"/>
  <tableStyles count="0" defaultTableStyle="TableStyleMedium9" defaultPivotStyle="PivotStyleLight16"/>
  <colors>
    <mruColors>
      <color rgb="FF333333"/>
      <color rgb="FF29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P423"/>
  <sheetViews>
    <sheetView tabSelected="1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defaultColWidth="14" defaultRowHeight="21.75" customHeight="1" x14ac:dyDescent="0.25"/>
  <cols>
    <col min="1" max="1" width="16.7109375" style="234" customWidth="1"/>
    <col min="2" max="2" width="17.42578125" style="88" customWidth="1"/>
    <col min="3" max="5" width="25.7109375" style="89" customWidth="1"/>
    <col min="6" max="6" width="25.7109375" style="179" customWidth="1"/>
    <col min="7" max="8" width="2.7109375" style="7" customWidth="1"/>
    <col min="9" max="9" width="11.7109375" style="72" customWidth="1"/>
    <col min="10" max="10" width="2.7109375" style="7" customWidth="1"/>
    <col min="11" max="11" width="11.7109375" style="72" customWidth="1"/>
    <col min="12" max="12" width="2.7109375" style="7" customWidth="1"/>
    <col min="13" max="13" width="11.7109375" style="72" customWidth="1"/>
    <col min="14" max="14" width="2.7109375" style="7" customWidth="1"/>
    <col min="15" max="15" width="11.7109375" style="72" customWidth="1"/>
    <col min="16" max="16" width="2.7109375" style="7" customWidth="1"/>
    <col min="17" max="17" width="11.7109375" style="72" customWidth="1"/>
    <col min="18" max="18" width="2.7109375" style="7" customWidth="1"/>
    <col min="19" max="19" width="11.7109375" style="72" customWidth="1"/>
    <col min="20" max="20" width="2.7109375" style="7" customWidth="1"/>
    <col min="21" max="21" width="11.7109375" style="72" customWidth="1"/>
    <col min="22" max="22" width="2.7109375" style="7" customWidth="1"/>
    <col min="23" max="23" width="2.7109375" style="182" customWidth="1"/>
    <col min="24" max="25" width="22.85546875" style="7" customWidth="1"/>
    <col min="26" max="26" width="22.85546875" style="182" customWidth="1"/>
    <col min="27" max="28" width="22.85546875" style="7" customWidth="1"/>
    <col min="29" max="29" width="22.85546875" style="182" customWidth="1"/>
    <col min="30" max="31" width="22.85546875" style="7" customWidth="1"/>
    <col min="32" max="32" width="22.85546875" style="187" customWidth="1"/>
    <col min="33" max="33" width="2.42578125" style="7" customWidth="1"/>
    <col min="34" max="34" width="20.7109375" style="57" customWidth="1"/>
    <col min="35" max="35" width="2.42578125" style="57" hidden="1" customWidth="1"/>
    <col min="36" max="36" width="18.85546875" style="57" hidden="1" customWidth="1"/>
    <col min="37" max="37" width="2.42578125" style="57" customWidth="1"/>
    <col min="38" max="38" width="20.7109375" style="57" customWidth="1"/>
    <col min="39" max="39" width="2.42578125" style="57" customWidth="1"/>
    <col min="40" max="40" width="20.7109375" style="57" customWidth="1"/>
    <col min="41" max="41" width="2.42578125" style="182" customWidth="1"/>
    <col min="42" max="42" width="16.42578125" style="192" customWidth="1"/>
    <col min="43" max="47" width="14" style="7" customWidth="1"/>
    <col min="48" max="16384" width="14" style="7"/>
  </cols>
  <sheetData>
    <row r="1" spans="1:42" s="188" customFormat="1" ht="22.5" hidden="1" customHeight="1" x14ac:dyDescent="0.25">
      <c r="A1" s="230"/>
      <c r="B1" s="228"/>
      <c r="C1" s="228"/>
      <c r="D1" s="228"/>
      <c r="E1" s="228"/>
      <c r="F1" s="228"/>
      <c r="G1" s="227"/>
      <c r="H1" s="227"/>
      <c r="I1" s="229"/>
      <c r="K1" s="229"/>
      <c r="M1" s="229"/>
      <c r="O1" s="229"/>
      <c r="Q1" s="229"/>
      <c r="S1" s="229"/>
      <c r="U1" s="229"/>
    </row>
    <row r="2" spans="1:42" s="74" customFormat="1" ht="22.5" customHeight="1" thickBot="1" x14ac:dyDescent="0.3">
      <c r="A2" s="184"/>
      <c r="B2" s="73" t="s">
        <v>0</v>
      </c>
      <c r="F2" s="177"/>
      <c r="G2" s="73" t="s">
        <v>1</v>
      </c>
      <c r="H2" s="75"/>
      <c r="I2" s="76"/>
      <c r="K2" s="77"/>
      <c r="M2" s="77"/>
      <c r="O2" s="77"/>
      <c r="Q2" s="77"/>
      <c r="S2" s="77"/>
      <c r="U2" s="77"/>
      <c r="W2" s="177"/>
      <c r="X2" s="73" t="s">
        <v>2</v>
      </c>
      <c r="Y2" s="73"/>
      <c r="Z2" s="177"/>
      <c r="AA2" s="73" t="s">
        <v>3</v>
      </c>
      <c r="AB2" s="73"/>
      <c r="AC2" s="184"/>
      <c r="AD2" s="73" t="s">
        <v>4</v>
      </c>
      <c r="AE2" s="73"/>
      <c r="AF2" s="184"/>
      <c r="AG2" s="73" t="s">
        <v>5</v>
      </c>
      <c r="AH2" s="78"/>
      <c r="AI2" s="73"/>
      <c r="AJ2" s="79"/>
      <c r="AK2" s="79"/>
      <c r="AO2" s="177"/>
      <c r="AP2" s="190" t="s">
        <v>6</v>
      </c>
    </row>
    <row r="3" spans="1:42" s="199" customFormat="1" ht="32.25" customHeight="1" thickBot="1" x14ac:dyDescent="0.3">
      <c r="A3" s="193" t="s">
        <v>7</v>
      </c>
      <c r="B3" s="200" t="s">
        <v>8</v>
      </c>
      <c r="C3" s="201" t="s">
        <v>9</v>
      </c>
      <c r="D3" s="201" t="s">
        <v>10</v>
      </c>
      <c r="E3" s="201" t="s">
        <v>11</v>
      </c>
      <c r="F3" s="193" t="s">
        <v>12</v>
      </c>
      <c r="G3" s="194"/>
      <c r="H3" s="194"/>
      <c r="I3" s="194" t="s">
        <v>13</v>
      </c>
      <c r="J3" s="194"/>
      <c r="K3" s="194" t="s">
        <v>14</v>
      </c>
      <c r="L3" s="194"/>
      <c r="M3" s="194" t="s">
        <v>15</v>
      </c>
      <c r="N3" s="194"/>
      <c r="O3" s="194" t="s">
        <v>16</v>
      </c>
      <c r="P3" s="194"/>
      <c r="Q3" s="194" t="s">
        <v>17</v>
      </c>
      <c r="R3" s="194"/>
      <c r="S3" s="194" t="s">
        <v>18</v>
      </c>
      <c r="T3" s="194"/>
      <c r="U3" s="194" t="s">
        <v>19</v>
      </c>
      <c r="V3" s="194"/>
      <c r="W3" s="195"/>
      <c r="X3" s="202" t="s">
        <v>20</v>
      </c>
      <c r="Y3" s="203" t="s">
        <v>21</v>
      </c>
      <c r="Z3" s="195" t="s">
        <v>22</v>
      </c>
      <c r="AA3" s="202" t="s">
        <v>23</v>
      </c>
      <c r="AB3" s="203" t="s">
        <v>24</v>
      </c>
      <c r="AC3" s="195" t="s">
        <v>25</v>
      </c>
      <c r="AD3" s="194" t="s">
        <v>26</v>
      </c>
      <c r="AE3" s="196" t="s">
        <v>27</v>
      </c>
      <c r="AF3" s="197" t="s">
        <v>28</v>
      </c>
      <c r="AG3" s="204"/>
      <c r="AH3" s="194" t="s">
        <v>29</v>
      </c>
      <c r="AI3" s="194"/>
      <c r="AJ3" s="194" t="s">
        <v>30</v>
      </c>
      <c r="AK3" s="194"/>
      <c r="AL3" s="194" t="s">
        <v>31</v>
      </c>
      <c r="AM3" s="194"/>
      <c r="AN3" s="194" t="s">
        <v>32</v>
      </c>
      <c r="AO3" s="195"/>
      <c r="AP3" s="198" t="s">
        <v>33</v>
      </c>
    </row>
    <row r="4" spans="1:42" s="226" customFormat="1" ht="22.5" customHeight="1" thickBot="1" x14ac:dyDescent="0.3">
      <c r="A4" s="231"/>
      <c r="B4" s="218"/>
      <c r="C4" s="219"/>
      <c r="D4" s="219"/>
      <c r="E4" s="219"/>
      <c r="F4" s="220"/>
      <c r="G4" s="221"/>
      <c r="H4" s="221"/>
      <c r="I4" s="221">
        <f>AVERAGE(I5:I500)</f>
        <v>24.471061249599998</v>
      </c>
      <c r="J4" s="221"/>
      <c r="K4" s="221" t="e">
        <f>AVERAGE(K5:K500)</f>
        <v>#DIV/0!</v>
      </c>
      <c r="L4" s="221"/>
      <c r="M4" s="221" t="e">
        <f>AVERAGE(M5:M500)</f>
        <v>#DIV/0!</v>
      </c>
      <c r="N4" s="221"/>
      <c r="O4" s="221" t="e">
        <f>AVERAGE(O5:O500)</f>
        <v>#DIV/0!</v>
      </c>
      <c r="P4" s="221"/>
      <c r="Q4" s="221" t="e">
        <f>AVERAGE(Q5:Q500)</f>
        <v>#DIV/0!</v>
      </c>
      <c r="R4" s="221"/>
      <c r="S4" s="221" t="e">
        <f>AVERAGE(S5:S500)</f>
        <v>#DIV/0!</v>
      </c>
      <c r="T4" s="221"/>
      <c r="U4" s="221" t="e">
        <f>AVERAGE(U5:U500)</f>
        <v>#NUM!</v>
      </c>
      <c r="V4" s="221"/>
      <c r="W4" s="222"/>
      <c r="X4" s="221" t="e">
        <f t="shared" ref="X4:AC4" si="0">AVERAGE(X5:X500)</f>
        <v>#DIV/0!</v>
      </c>
      <c r="Y4" s="221" t="e">
        <f t="shared" si="0"/>
        <v>#DIV/0!</v>
      </c>
      <c r="Z4" s="222" t="e">
        <f t="shared" si="0"/>
        <v>#DIV/0!</v>
      </c>
      <c r="AA4" s="223" t="e">
        <f t="shared" si="0"/>
        <v>#DIV/0!</v>
      </c>
      <c r="AB4" s="223" t="e">
        <f t="shared" si="0"/>
        <v>#DIV/0!</v>
      </c>
      <c r="AC4" s="224" t="e">
        <f t="shared" si="0"/>
        <v>#DIV/0!</v>
      </c>
      <c r="AD4" s="223" t="e">
        <f>AVERAGE(AD5:AD39)</f>
        <v>#DIV/0!</v>
      </c>
      <c r="AE4" s="223" t="e">
        <f>AVERAGE(AE5:AE39)</f>
        <v>#DIV/0!</v>
      </c>
      <c r="AF4" s="222" t="e">
        <f>AVERAGE(AF5:AF39)</f>
        <v>#DIV/0!</v>
      </c>
      <c r="AG4" s="223"/>
      <c r="AH4" s="223" t="e">
        <f>AVERAGE(AH5:AH500)</f>
        <v>#DIV/0!</v>
      </c>
      <c r="AI4" s="223" t="e">
        <f>AVERAGE(AI5:AI500)</f>
        <v>#DIV/0!</v>
      </c>
      <c r="AJ4" s="223" t="e">
        <f>AVERAGE(AJ5:AJ500)</f>
        <v>#NUM!</v>
      </c>
      <c r="AK4" s="223"/>
      <c r="AL4" s="223" t="e">
        <f>AVERAGE(AL5:AL500)</f>
        <v>#DIV/0!</v>
      </c>
      <c r="AM4" s="223"/>
      <c r="AN4" s="223" t="e">
        <f>AVERAGE(AN5:AN500)</f>
        <v>#DIV/0!</v>
      </c>
      <c r="AO4" s="222"/>
      <c r="AP4" s="225" t="e">
        <f>AVERAGE(AP5:AP500)</f>
        <v>#DIV/0!</v>
      </c>
    </row>
    <row r="5" spans="1:42" s="217" customFormat="1" ht="22.5" customHeight="1" x14ac:dyDescent="0.25">
      <c r="A5" s="232" t="str">
        <f t="array" ref="A5">INDEX('Sheet 2'!U$2:U$3178,SMALL(IF(A$3='Sheet 2'!$T$2:$T$3178,ROW('Sheet 2'!U$2:U$3178)-ROW('Sheet 2'!$U$2)+1),ROW(1:1)))</f>
        <v>AES</v>
      </c>
      <c r="B5" s="205">
        <f t="array" ref="B5">INDEX('Sheet 2'!W$5:W$3178,SMALL(IF(B$3='Sheet 2'!T$5:T$3178,ROW('Sheet 2'!W$5:W$3178)-ROW('Sheet 2'!W$5)+1),ROW(1:1)))</f>
        <v>14.77</v>
      </c>
      <c r="C5" s="206">
        <f t="array" ref="C5">INDEX('Sheet 2'!W$5:W$3178,SMALL(IF(C$3='Sheet 2'!T$5:T$3178,ROW('Sheet 2'!W$5:W$3178)-ROW('Sheet 2'!W$5)+1),ROW(1:1)))</f>
        <v>9804290463.3799992</v>
      </c>
      <c r="D5" s="206">
        <f t="array" ref="D5">INDEX('Sheet 2'!W$5:W$3178,SMALL(IF(D$3='Sheet 2'!T$5:T$3178,ROW('Sheet 2'!W$5:W$3178)-ROW('Sheet 2'!W$5)+1),ROW(1:1)))</f>
        <v>28390290463.379997</v>
      </c>
      <c r="E5" s="206">
        <f t="array" ref="E5">INDEX('Sheet 2'!W$5:W$3178,SMALL(IF(E$3='Sheet 2'!T$5:T$3178,ROW('Sheet 2'!W$5:W$3178)-ROW('Sheet 2'!W$5)+1),ROW(1:1)))</f>
        <v>5468000000</v>
      </c>
      <c r="F5" s="207">
        <f t="array" ref="F5">INDEX('Sheet 2'!W$5:W$3178,SMALL(IF(F$3='Sheet 2'!T$5:T$3178,ROW('Sheet 2'!W$5:W$3178)-ROW('Sheet 2'!W$5)+1),ROW(1:1)))</f>
        <v>10592000000</v>
      </c>
      <c r="G5" s="208"/>
      <c r="H5" s="208"/>
      <c r="I5" s="209">
        <f t="array" ref="I5">INDEX('Sheet 2'!W$5:W$3178,SMALL(IF(I$3='Sheet 2'!T$5:T$3178,ROW('Sheet 2'!W$5:W$3178)-ROW('Sheet 2'!W$5)+1),ROW(1:1)))</f>
        <v>24.471061249599998</v>
      </c>
      <c r="J5" s="210"/>
      <c r="K5" s="209">
        <f t="array" ref="K5">INDEX('Sheet 2'!W$5:W$3178,SMALL(IF(K$3='Sheet 2'!T$5:T$3178,ROW('Sheet 2'!W$5:W$3178)-ROW('Sheet 2'!W$5)+1),ROW(1:1)))</f>
        <v>0.92413373299093649</v>
      </c>
      <c r="L5" s="210"/>
      <c r="M5" s="209">
        <f t="array" ref="M5">INDEX('Sheet 2'!W$5:W$3178,SMALL(IF(M$3='Sheet 2'!T$5:T$3178,ROW('Sheet 2'!W$5:W$3178)-ROW('Sheet 2'!W$5)+1),ROW(1:1)))</f>
        <v>1.7930304431931237</v>
      </c>
      <c r="N5" s="210"/>
      <c r="O5" s="209" t="e">
        <f t="array" ref="O5">INDEX('Sheet 2'!W$5:W$3178,SMALL(IF(O$3='Sheet 2'!T$5:T$3178,ROW('Sheet 2'!W$5:W$3178)-ROW('Sheet 2'!W$5)+1),ROW(1:1)))</f>
        <v>#DIV/0!</v>
      </c>
      <c r="P5" s="210"/>
      <c r="Q5" s="209" t="e">
        <f t="array" ref="Q5">INDEX('Sheet 2'!W$5:W$3178,SMALL(IF(Q$3='Sheet 2'!T$5:T$3178,ROW('Sheet 2'!W$5:W$3178)-ROW('Sheet 2'!W$5)+1),ROW(1:1)))</f>
        <v>#DIV/0!</v>
      </c>
      <c r="R5" s="211"/>
      <c r="S5" s="209" t="e">
        <f t="array" ref="S5">INDEX('Sheet 2'!W$5:W$3178,SMALL(IF(S$3='Sheet 2'!T$5:T$3178,ROW('Sheet 2'!W$5:W$3178)-ROW('Sheet 2'!W$5)+1),ROW(1:1)))</f>
        <v>#DIV/0!</v>
      </c>
      <c r="T5" s="211"/>
      <c r="U5" s="209" t="e">
        <f t="array" ref="U5">INDEX('Sheet 2'!W$5:W$3178,SMALL(IF(U$3='Sheet 2'!T$5:T$3178,ROW('Sheet 2'!W$5:W$3178)-ROW('Sheet 2'!W$5)+1),ROW(1:1)))</f>
        <v>#NUM!</v>
      </c>
      <c r="V5" s="211"/>
      <c r="W5" s="212"/>
      <c r="X5" s="210">
        <f t="array" ref="X5">INDEX('Sheet 2'!AB$13:AB$3178,SMALL(IF(X$3='Sheet 2'!Y$13:Y$3178,ROW('Sheet 2'!AB$13:AB$3178)-ROW('Sheet 2'!AB$13)+1),ROW(1:1)))</f>
        <v>1.2705253784505788</v>
      </c>
      <c r="Y5" s="210">
        <f t="array" ref="Y5">INDEX('Sheet 2'!AB$13:AB$3178,SMALL(IF(Y$3='Sheet 2'!Y$13:Y$3178,ROW('Sheet 2'!AB$13:AB$3178)-ROW('Sheet 2'!AB$13)+1),ROW(1:1)))</f>
        <v>5.8724476148016054</v>
      </c>
      <c r="Z5" s="213">
        <f t="array" ref="Z5">INDEX('Sheet 2'!AB$13:AB$3178,SMALL(IF(Z$3='Sheet 2'!Y$13:Y$3178,ROW('Sheet 2'!AB$13:AB$3178)-ROW('Sheet 2'!AB$13)+1),ROW(1:1)))</f>
        <v>3.2473027195720019</v>
      </c>
      <c r="AA5" s="214">
        <f t="array" ref="AA5">INDEX('Sheet 2'!W$5:W$3178,SMALL(IF(AA$3='Sheet 2'!T$5:T$3178,ROW('Sheet 2'!W$5:W$3178)-ROW('Sheet 2'!W$5)+1),ROW(1:1)))</f>
        <v>1.7729418429003021</v>
      </c>
      <c r="AB5" s="214">
        <f t="array" ref="AB5">INDEX('Sheet 2'!W$5:W$3178,SMALL(IF(AB$3='Sheet 2'!T$5:T$3178,ROW('Sheet 2'!W$5:W$3178)-ROW('Sheet 2'!W$5)+1),ROW(1:1)))</f>
        <v>3.7764350453172203E-2</v>
      </c>
      <c r="AC5" s="215">
        <f t="array" ref="AC5">INDEX('Sheet 2'!W$5:W$3178,SMALL(IF(AC$3='Sheet 2'!T$5:T$3178,ROW('Sheet 2'!W$5:W$3178)-ROW('Sheet 2'!W$5)+1),ROW(1:1)))</f>
        <v>0.20817598187311179</v>
      </c>
      <c r="AD5" s="214">
        <f t="array" ref="AD5">INDEX('Sheet 2'!W$5:W$3178,SMALL(IF(AD$3='Sheet 2'!T$5:T$3178,ROW('Sheet 2'!W$5:W$3178)-ROW('Sheet 2'!W$5)+1),ROW(1:1)))</f>
        <v>7.1333036112349535E-2</v>
      </c>
      <c r="AE5" s="214">
        <f t="array" ref="AE5">INDEX('Sheet 2'!W$5:W$3178,SMALL(IF(AE$3='Sheet 2'!T$5:T$3178,ROW('Sheet 2'!W$5:W$3178)-ROW('Sheet 2'!W$5)+1),ROW(1:1)))</f>
        <v>1.2147070657991635E-2</v>
      </c>
      <c r="AF5" s="213">
        <f t="array" ref="AF5">INDEX('Sheet 2'!W$5:W$3178,SMALL(IF(AF$3='Sheet 2'!T$5:T$3178,ROW('Sheet 2'!W$5:W$3178)-ROW('Sheet 2'!W$5)+1),ROW(1:1)))</f>
        <v>0.32165443102361846</v>
      </c>
      <c r="AG5" s="210"/>
      <c r="AH5" s="214">
        <f t="array" ref="AH5">INDEX('Sheet 2'!AB$5:AB$3178,SMALL(IF(AH$3='Sheet 2'!Y$5:Y$3178,ROW('Sheet 2'!AB$5:AB$3178)-ROW('Sheet 2'!AB$5)+1),ROW(1:1)))</f>
        <v>-0.10617990190147578</v>
      </c>
      <c r="AI5" s="214"/>
      <c r="AJ5" s="214" t="e">
        <f t="array" ref="AJ5">INDEX('Sheet 2'!W$5:W$3178,SMALL(IF(AJ$3='Sheet 2'!T$5:T$3178,ROW('Sheet 2'!W$5:W$3178)-ROW('Sheet 2'!W$5)+1),ROW(1:1)))</f>
        <v>#NUM!</v>
      </c>
      <c r="AK5" s="214"/>
      <c r="AL5" s="214">
        <f t="array" ref="AL5">INDEX('Sheet 2'!AB$5:AB$3178,SMALL(IF(AL$3='Sheet 2'!Y$5:Y$3178,ROW('Sheet 2'!AB$5:AB$3178)-ROW('Sheet 2'!AB$5)+1),ROW(1:1)))</f>
        <v>-0.31475712625292013</v>
      </c>
      <c r="AM5" s="214"/>
      <c r="AN5" s="214" t="e">
        <f t="array" ref="AN5">INDEX('Sheet 2'!AB$5:AB$3178,SMALL(IF(AN$3='Sheet 2'!Y$5:Y$3178,ROW('Sheet 2'!AB$5:AB$3178)-ROW('Sheet 2'!AB$5)+1),ROW(1:1)))</f>
        <v>#DIV/0!</v>
      </c>
      <c r="AO5" s="189"/>
      <c r="AP5" s="216"/>
    </row>
    <row r="6" spans="1:42" s="85" customFormat="1" ht="22.5" customHeight="1" x14ac:dyDescent="0.25">
      <c r="A6" s="233" t="str">
        <f t="array" ref="A6">INDEX('Sheet 2'!U$2:U$3178,SMALL(IF(A$3='Sheet 2'!$T$2:$T$3178,ROW('Sheet 2'!U$2:U$3178)-ROW('Sheet 2'!$U$2)+1),ROW(2:2)))</f>
        <v>CCUR</v>
      </c>
      <c r="B6" s="86">
        <f t="array" ref="B6">INDEX('Sheet 2'!W$5:W$3178,SMALL(IF(B$3='Sheet 2'!T$5:T$3178,ROW('Sheet 2'!W$5:W$3178)-ROW('Sheet 2'!W$5)+1),ROW(2:2)))</f>
        <v>5.42</v>
      </c>
      <c r="C6" s="87">
        <f t="array" ref="C6">INDEX('Sheet 2'!W$5:W$3178,SMALL(IF(C$3='Sheet 2'!T$5:T$3178,ROW('Sheet 2'!W$5:W$3178)-ROW('Sheet 2'!W$5)+1),ROW(2:2)))</f>
        <v>0</v>
      </c>
      <c r="D6" s="87">
        <f t="array" ref="D6">INDEX('Sheet 2'!W$5:W$3178,SMALL(IF(D$3='Sheet 2'!T$5:T$3178,ROW('Sheet 2'!W$5:W$3178)-ROW('Sheet 2'!W$5)+1),ROW(2:2)))</f>
        <v>0</v>
      </c>
      <c r="E6" s="87">
        <f t="array" ref="E6">INDEX('Sheet 2'!W$5:W$3178,SMALL(IF(E$3='Sheet 2'!T$5:T$3178,ROW('Sheet 2'!W$5:W$3178)-ROW('Sheet 2'!W$5)+1),ROW(2:2)))</f>
        <v>0</v>
      </c>
      <c r="F6" s="178">
        <f t="array" ref="F6">INDEX('Sheet 2'!W$5:W$3178,SMALL(IF(F$3='Sheet 2'!T$5:T$3178,ROW('Sheet 2'!W$5:W$3178)-ROW('Sheet 2'!W$5)+1),ROW(2:2)))</f>
        <v>0</v>
      </c>
      <c r="G6" s="80"/>
      <c r="H6" s="80"/>
      <c r="I6" s="81" t="str">
        <f t="array" ref="I6">INDEX('Sheet 2'!W$5:W$3178,SMALL(IF(I$3='Sheet 2'!T$5:T$3178,ROW('Sheet 2'!W$5:W$3178)-ROW('Sheet 2'!W$5)+1),ROW(2:2)))</f>
        <v/>
      </c>
      <c r="J6" s="82"/>
      <c r="K6" s="81" t="e">
        <f t="array" ref="K6">INDEX('Sheet 2'!W$5:W$3178,SMALL(IF(K$3='Sheet 2'!T$5:T$3178,ROW('Sheet 2'!W$5:W$3178)-ROW('Sheet 2'!W$5)+1),ROW(2:2)))</f>
        <v>#DIV/0!</v>
      </c>
      <c r="L6" s="82"/>
      <c r="M6" s="81" t="e">
        <f t="array" ref="M6">INDEX('Sheet 2'!W$5:W$3178,SMALL(IF(M$3='Sheet 2'!T$5:T$3178,ROW('Sheet 2'!W$5:W$3178)-ROW('Sheet 2'!W$5)+1),ROW(2:2)))</f>
        <v>#DIV/0!</v>
      </c>
      <c r="N6" s="82"/>
      <c r="O6" s="81" t="e">
        <f t="array" ref="O6">INDEX('Sheet 2'!W$5:W$3178,SMALL(IF(O$3='Sheet 2'!T$5:T$3178,ROW('Sheet 2'!W$5:W$3178)-ROW('Sheet 2'!W$5)+1),ROW(2:2)))</f>
        <v>#DIV/0!</v>
      </c>
      <c r="P6" s="82"/>
      <c r="Q6" s="81" t="e">
        <f t="array" ref="Q6">INDEX('Sheet 2'!W$5:W$3178,SMALL(IF(Q$3='Sheet 2'!T$5:T$3178,ROW('Sheet 2'!W$5:W$3178)-ROW('Sheet 2'!W$5)+1),ROW(2:2)))</f>
        <v>#DIV/0!</v>
      </c>
      <c r="R6" s="83"/>
      <c r="S6" s="81" t="e">
        <f t="array" ref="S6">INDEX('Sheet 2'!W$5:W$3178,SMALL(IF(S$3='Sheet 2'!T$5:T$3178,ROW('Sheet 2'!W$5:W$3178)-ROW('Sheet 2'!W$5)+1),ROW(2:2)))</f>
        <v>#DIV/0!</v>
      </c>
      <c r="T6" s="83"/>
      <c r="U6" s="81" t="e">
        <f t="array" ref="U6">INDEX('Sheet 2'!W$5:W$3178,SMALL(IF(U$3='Sheet 2'!T$5:T$3178,ROW('Sheet 2'!W$5:W$3178)-ROW('Sheet 2'!W$5)+1),ROW(2:2)))</f>
        <v>#NUM!</v>
      </c>
      <c r="V6" s="83"/>
      <c r="W6" s="180"/>
      <c r="X6" s="82" t="e">
        <f t="array" ref="X6">INDEX('Sheet 2'!AB$13:AB$3178,SMALL(IF(X$3='Sheet 2'!Y$13:Y$3178,ROW('Sheet 2'!AB$13:AB$3178)-ROW('Sheet 2'!AB$13)+1),ROW(2:2)))</f>
        <v>#DIV/0!</v>
      </c>
      <c r="Y6" s="82" t="e">
        <f t="array" ref="Y6">INDEX('Sheet 2'!AB$13:AB$3178,SMALL(IF(Y$3='Sheet 2'!Y$13:Y$3178,ROW('Sheet 2'!AB$13:AB$3178)-ROW('Sheet 2'!AB$13)+1),ROW(2:2)))</f>
        <v>#DIV/0!</v>
      </c>
      <c r="Z6" s="183" t="e">
        <f t="array" ref="Z6">INDEX('Sheet 2'!AB$13:AB$3178,SMALL(IF(Z$3='Sheet 2'!Y$13:Y$3178,ROW('Sheet 2'!AB$13:AB$3178)-ROW('Sheet 2'!AB$13)+1),ROW(2:2)))</f>
        <v>#DIV/0!</v>
      </c>
      <c r="AA6" s="84" t="e">
        <f t="array" ref="AA6">INDEX('Sheet 2'!W$5:W$3178,SMALL(IF(AA$3='Sheet 2'!T$5:T$3178,ROW('Sheet 2'!W$5:W$3178)-ROW('Sheet 2'!W$5)+1),ROW(2:2)))</f>
        <v>#DIV/0!</v>
      </c>
      <c r="AB6" s="84" t="e">
        <f t="array" ref="AB6">INDEX('Sheet 2'!W$5:W$3178,SMALL(IF(AB$3='Sheet 2'!T$5:T$3178,ROW('Sheet 2'!W$5:W$3178)-ROW('Sheet 2'!W$5)+1),ROW(2:2)))</f>
        <v>#DIV/0!</v>
      </c>
      <c r="AC6" s="185" t="e">
        <f t="array" ref="AC6">INDEX('Sheet 2'!W$5:W$3178,SMALL(IF(AC$3='Sheet 2'!T$5:T$3178,ROW('Sheet 2'!W$5:W$3178)-ROW('Sheet 2'!W$5)+1),ROW(2:2)))</f>
        <v>#DIV/0!</v>
      </c>
      <c r="AD6" s="84" t="e">
        <f t="array" ref="AD6">INDEX('Sheet 2'!W$5:W$3178,SMALL(IF(AD$3='Sheet 2'!T$5:T$3178,ROW('Sheet 2'!W$5:W$3178)-ROW('Sheet 2'!W$5)+1),ROW(2:2)))</f>
        <v>#DIV/0!</v>
      </c>
      <c r="AE6" s="84" t="e">
        <f t="array" ref="AE6">INDEX('Sheet 2'!W$5:W$3178,SMALL(IF(AE$3='Sheet 2'!T$5:T$3178,ROW('Sheet 2'!W$5:W$3178)-ROW('Sheet 2'!W$5)+1),ROW(2:2)))</f>
        <v>#DIV/0!</v>
      </c>
      <c r="AF6" s="183" t="e">
        <f t="array" ref="AF6">INDEX('Sheet 2'!W$5:W$3178,SMALL(IF(AF$3='Sheet 2'!T$5:T$3178,ROW('Sheet 2'!W$5:W$3178)-ROW('Sheet 2'!W$5)+1),ROW(2:2)))</f>
        <v>#DIV/0!</v>
      </c>
      <c r="AG6" s="82"/>
      <c r="AH6" s="84">
        <f t="array" ref="AH6">INDEX('Sheet 2'!AB$5:AB$3178,SMALL(IF(AH$3='Sheet 2'!Y$5:Y$3178,ROW('Sheet 2'!AB$5:AB$3178)-ROW('Sheet 2'!AB$5)+1),ROW(2:2)))</f>
        <v>10592000000</v>
      </c>
      <c r="AI6" s="84"/>
      <c r="AJ6" s="84" t="e">
        <f t="array" ref="AJ6">INDEX('Sheet 2'!W$5:W$3178,SMALL(IF(AJ$3='Sheet 2'!T$5:T$3178,ROW('Sheet 2'!W$5:W$3178)-ROW('Sheet 2'!W$5)+1),ROW(2:2)))</f>
        <v>#NUM!</v>
      </c>
      <c r="AK6" s="84"/>
      <c r="AL6" s="84">
        <f t="array" ref="AL6">INDEX('Sheet 2'!AB$5:AB$3178,SMALL(IF(AL$3='Sheet 2'!Y$5:Y$3178,ROW('Sheet 2'!AB$5:AB$3178)-ROW('Sheet 2'!AB$5)+1),ROW(2:2)))</f>
        <v>400000000</v>
      </c>
      <c r="AM6" s="84"/>
      <c r="AN6" s="84">
        <f t="array" ref="AN6">INDEX('Sheet 2'!AB$5:AB$3178,SMALL(IF(AN$3='Sheet 2'!Y$5:Y$3178,ROW('Sheet 2'!AB$5:AB$3178)-ROW('Sheet 2'!AB$5)+1),ROW(2:2)))</f>
        <v>0</v>
      </c>
      <c r="AO6" s="189"/>
      <c r="AP6" s="191"/>
    </row>
    <row r="7" spans="1:42" s="85" customFormat="1" ht="22.5" customHeight="1" x14ac:dyDescent="0.25">
      <c r="A7" s="233" t="str">
        <f t="array" ref="A7">INDEX('Sheet 2'!U$2:U$3178,SMALL(IF(A$3='Sheet 2'!$T$2:$T$3178,ROW('Sheet 2'!U$2:U$3178)-ROW('Sheet 2'!$U$2)+1),ROW(3:3)))</f>
        <v>CCUR</v>
      </c>
      <c r="B7" s="86">
        <f t="array" ref="B7">INDEX('Sheet 2'!W$5:W$3178,SMALL(IF(B$3='Sheet 2'!T$5:T$3178,ROW('Sheet 2'!W$5:W$3178)-ROW('Sheet 2'!W$5)+1),ROW(3:3)))</f>
        <v>5.42</v>
      </c>
      <c r="C7" s="87">
        <f t="array" ref="C7">INDEX('Sheet 2'!W$5:W$3178,SMALL(IF(C$3='Sheet 2'!T$5:T$3178,ROW('Sheet 2'!W$5:W$3178)-ROW('Sheet 2'!W$5)+1),ROW(3:3)))</f>
        <v>0</v>
      </c>
      <c r="D7" s="87">
        <f t="array" ref="D7">INDEX('Sheet 2'!W$5:W$3178,SMALL(IF(D$3='Sheet 2'!T$5:T$3178,ROW('Sheet 2'!W$5:W$3178)-ROW('Sheet 2'!W$5)+1),ROW(3:3)))</f>
        <v>0</v>
      </c>
      <c r="E7" s="87">
        <f t="array" ref="E7">INDEX('Sheet 2'!W$5:W$3178,SMALL(IF(E$3='Sheet 2'!T$5:T$3178,ROW('Sheet 2'!W$5:W$3178)-ROW('Sheet 2'!W$5)+1),ROW(3:3)))</f>
        <v>0</v>
      </c>
      <c r="F7" s="178">
        <f t="array" ref="F7">INDEX('Sheet 2'!W$5:W$3178,SMALL(IF(F$3='Sheet 2'!T$5:T$3178,ROW('Sheet 2'!W$5:W$3178)-ROW('Sheet 2'!W$5)+1),ROW(3:3)))</f>
        <v>0</v>
      </c>
      <c r="G7" s="80"/>
      <c r="H7" s="80"/>
      <c r="I7" s="81" t="str">
        <f t="array" ref="I7">INDEX('Sheet 2'!W$5:W$3178,SMALL(IF(I$3='Sheet 2'!T$5:T$3178,ROW('Sheet 2'!W$5:W$3178)-ROW('Sheet 2'!W$5)+1),ROW(3:3)))</f>
        <v/>
      </c>
      <c r="J7" s="82"/>
      <c r="K7" s="81" t="e">
        <f t="array" ref="K7">INDEX('Sheet 2'!W$5:W$3178,SMALL(IF(K$3='Sheet 2'!T$5:T$3178,ROW('Sheet 2'!W$5:W$3178)-ROW('Sheet 2'!W$5)+1),ROW(3:3)))</f>
        <v>#DIV/0!</v>
      </c>
      <c r="L7" s="82"/>
      <c r="M7" s="81" t="e">
        <f t="array" ref="M7">INDEX('Sheet 2'!W$5:W$3178,SMALL(IF(M$3='Sheet 2'!T$5:T$3178,ROW('Sheet 2'!W$5:W$3178)-ROW('Sheet 2'!W$5)+1),ROW(3:3)))</f>
        <v>#DIV/0!</v>
      </c>
      <c r="N7" s="82"/>
      <c r="O7" s="81" t="e">
        <f t="array" ref="O7">INDEX('Sheet 2'!W$5:W$3178,SMALL(IF(O$3='Sheet 2'!T$5:T$3178,ROW('Sheet 2'!W$5:W$3178)-ROW('Sheet 2'!W$5)+1),ROW(3:3)))</f>
        <v>#DIV/0!</v>
      </c>
      <c r="P7" s="82"/>
      <c r="Q7" s="81" t="e">
        <f t="array" ref="Q7">INDEX('Sheet 2'!W$5:W$3178,SMALL(IF(Q$3='Sheet 2'!T$5:T$3178,ROW('Sheet 2'!W$5:W$3178)-ROW('Sheet 2'!W$5)+1),ROW(3:3)))</f>
        <v>#DIV/0!</v>
      </c>
      <c r="R7" s="83"/>
      <c r="S7" s="81" t="e">
        <f t="array" ref="S7">INDEX('Sheet 2'!W$5:W$3178,SMALL(IF(S$3='Sheet 2'!T$5:T$3178,ROW('Sheet 2'!W$5:W$3178)-ROW('Sheet 2'!W$5)+1),ROW(3:3)))</f>
        <v>#DIV/0!</v>
      </c>
      <c r="T7" s="83"/>
      <c r="U7" s="81" t="e">
        <f t="array" ref="U7">INDEX('Sheet 2'!W$5:W$3178,SMALL(IF(U$3='Sheet 2'!T$5:T$3178,ROW('Sheet 2'!W$5:W$3178)-ROW('Sheet 2'!W$5)+1),ROW(3:3)))</f>
        <v>#NUM!</v>
      </c>
      <c r="V7" s="83"/>
      <c r="W7" s="180"/>
      <c r="X7" s="82" t="e">
        <f t="array" ref="X7">INDEX('Sheet 2'!AB$13:AB$3178,SMALL(IF(X$3='Sheet 2'!Y$13:Y$3178,ROW('Sheet 2'!AB$13:AB$3178)-ROW('Sheet 2'!AB$13)+1),ROW(3:3)))</f>
        <v>#DIV/0!</v>
      </c>
      <c r="Y7" s="82" t="e">
        <f t="array" ref="Y7">INDEX('Sheet 2'!AB$13:AB$3178,SMALL(IF(Y$3='Sheet 2'!Y$13:Y$3178,ROW('Sheet 2'!AB$13:AB$3178)-ROW('Sheet 2'!AB$13)+1),ROW(3:3)))</f>
        <v>#DIV/0!</v>
      </c>
      <c r="Z7" s="183" t="e">
        <f t="array" ref="Z7">INDEX('Sheet 2'!AB$13:AB$3178,SMALL(IF(Z$3='Sheet 2'!Y$13:Y$3178,ROW('Sheet 2'!AB$13:AB$3178)-ROW('Sheet 2'!AB$13)+1),ROW(3:3)))</f>
        <v>#DIV/0!</v>
      </c>
      <c r="AA7" s="84" t="e">
        <f t="array" ref="AA7">INDEX('Sheet 2'!W$5:W$3178,SMALL(IF(AA$3='Sheet 2'!T$5:T$3178,ROW('Sheet 2'!W$5:W$3178)-ROW('Sheet 2'!W$5)+1),ROW(3:3)))</f>
        <v>#DIV/0!</v>
      </c>
      <c r="AB7" s="84" t="e">
        <f t="array" ref="AB7">INDEX('Sheet 2'!W$5:W$3178,SMALL(IF(AB$3='Sheet 2'!T$5:T$3178,ROW('Sheet 2'!W$5:W$3178)-ROW('Sheet 2'!W$5)+1),ROW(3:3)))</f>
        <v>#DIV/0!</v>
      </c>
      <c r="AC7" s="185" t="e">
        <f t="array" ref="AC7">INDEX('Sheet 2'!W$5:W$3178,SMALL(IF(AC$3='Sheet 2'!T$5:T$3178,ROW('Sheet 2'!W$5:W$3178)-ROW('Sheet 2'!W$5)+1),ROW(3:3)))</f>
        <v>#DIV/0!</v>
      </c>
      <c r="AD7" s="84" t="e">
        <f t="array" ref="AD7">INDEX('Sheet 2'!W$5:W$3178,SMALL(IF(AD$3='Sheet 2'!T$5:T$3178,ROW('Sheet 2'!W$5:W$3178)-ROW('Sheet 2'!W$5)+1),ROW(3:3)))</f>
        <v>#DIV/0!</v>
      </c>
      <c r="AE7" s="84" t="e">
        <f t="array" ref="AE7">INDEX('Sheet 2'!W$5:W$3178,SMALL(IF(AE$3='Sheet 2'!T$5:T$3178,ROW('Sheet 2'!W$5:W$3178)-ROW('Sheet 2'!W$5)+1),ROW(3:3)))</f>
        <v>#DIV/0!</v>
      </c>
      <c r="AF7" s="183" t="e">
        <f t="array" ref="AF7">INDEX('Sheet 2'!W$5:W$3178,SMALL(IF(AF$3='Sheet 2'!T$5:T$3178,ROW('Sheet 2'!W$5:W$3178)-ROW('Sheet 2'!W$5)+1),ROW(3:3)))</f>
        <v>#DIV/0!</v>
      </c>
      <c r="AG7" s="82"/>
      <c r="AH7" s="84" t="e">
        <f t="array" ref="AH7">INDEX('Sheet 2'!AB$5:AB$3178,SMALL(IF(AH$3='Sheet 2'!Y$5:Y$3178,ROW('Sheet 2'!AB$5:AB$3178)-ROW('Sheet 2'!AB$5)+1),ROW(3:3)))</f>
        <v>#DIV/0!</v>
      </c>
      <c r="AI7" s="84"/>
      <c r="AJ7" s="84" t="e">
        <f t="array" ref="AJ7">INDEX('Sheet 2'!W$5:W$3178,SMALL(IF(AJ$3='Sheet 2'!T$5:T$3178,ROW('Sheet 2'!W$5:W$3178)-ROW('Sheet 2'!W$5)+1),ROW(3:3)))</f>
        <v>#NUM!</v>
      </c>
      <c r="AK7" s="84"/>
      <c r="AL7" s="84" t="e">
        <f t="array" ref="AL7">INDEX('Sheet 2'!AB$5:AB$3178,SMALL(IF(AL$3='Sheet 2'!Y$5:Y$3178,ROW('Sheet 2'!AB$5:AB$3178)-ROW('Sheet 2'!AB$5)+1),ROW(3:3)))</f>
        <v>#DIV/0!</v>
      </c>
      <c r="AM7" s="84"/>
      <c r="AN7" s="84" t="e">
        <f t="array" ref="AN7">INDEX('Sheet 2'!AB$5:AB$3178,SMALL(IF(AN$3='Sheet 2'!Y$5:Y$3178,ROW('Sheet 2'!AB$5:AB$3178)-ROW('Sheet 2'!AB$5)+1),ROW(3:3)))</f>
        <v>#DIV/0!</v>
      </c>
      <c r="AO7" s="189"/>
      <c r="AP7" s="191"/>
    </row>
    <row r="8" spans="1:42" s="85" customFormat="1" ht="22.5" customHeight="1" x14ac:dyDescent="0.25">
      <c r="A8" s="233" t="str">
        <f t="array" ref="A8">INDEX('Sheet 2'!U$2:U$3178,SMALL(IF(A$3='Sheet 2'!$T$2:$T$3178,ROW('Sheet 2'!U$2:U$3178)-ROW('Sheet 2'!$U$2)+1),ROW(4:4)))</f>
        <v>CCUR</v>
      </c>
      <c r="B8" s="86">
        <f t="array" ref="B8">INDEX('Sheet 2'!W$5:W$3178,SMALL(IF(B$3='Sheet 2'!T$5:T$3178,ROW('Sheet 2'!W$5:W$3178)-ROW('Sheet 2'!W$5)+1),ROW(4:4)))</f>
        <v>5.42</v>
      </c>
      <c r="C8" s="87">
        <f t="array" ref="C8">INDEX('Sheet 2'!W$5:W$3178,SMALL(IF(C$3='Sheet 2'!T$5:T$3178,ROW('Sheet 2'!W$5:W$3178)-ROW('Sheet 2'!W$5)+1),ROW(4:4)))</f>
        <v>0</v>
      </c>
      <c r="D8" s="87">
        <f t="array" ref="D8">INDEX('Sheet 2'!W$5:W$3178,SMALL(IF(D$3='Sheet 2'!T$5:T$3178,ROW('Sheet 2'!W$5:W$3178)-ROW('Sheet 2'!W$5)+1),ROW(4:4)))</f>
        <v>0</v>
      </c>
      <c r="E8" s="87">
        <f t="array" ref="E8">INDEX('Sheet 2'!W$5:W$3178,SMALL(IF(E$3='Sheet 2'!T$5:T$3178,ROW('Sheet 2'!W$5:W$3178)-ROW('Sheet 2'!W$5)+1),ROW(4:4)))</f>
        <v>0</v>
      </c>
      <c r="F8" s="178">
        <f t="array" ref="F8">INDEX('Sheet 2'!W$5:W$3178,SMALL(IF(F$3='Sheet 2'!T$5:T$3178,ROW('Sheet 2'!W$5:W$3178)-ROW('Sheet 2'!W$5)+1),ROW(4:4)))</f>
        <v>0</v>
      </c>
      <c r="G8" s="80"/>
      <c r="H8" s="80"/>
      <c r="I8" s="81" t="str">
        <f t="array" ref="I8">INDEX('Sheet 2'!W$5:W$3178,SMALL(IF(I$3='Sheet 2'!T$5:T$3178,ROW('Sheet 2'!W$5:W$3178)-ROW('Sheet 2'!W$5)+1),ROW(4:4)))</f>
        <v/>
      </c>
      <c r="J8" s="82"/>
      <c r="K8" s="81" t="e">
        <f t="array" ref="K8">INDEX('Sheet 2'!W$5:W$3178,SMALL(IF(K$3='Sheet 2'!T$5:T$3178,ROW('Sheet 2'!W$5:W$3178)-ROW('Sheet 2'!W$5)+1),ROW(4:4)))</f>
        <v>#DIV/0!</v>
      </c>
      <c r="L8" s="82"/>
      <c r="M8" s="81" t="e">
        <f t="array" ref="M8">INDEX('Sheet 2'!W$5:W$3178,SMALL(IF(M$3='Sheet 2'!T$5:T$3178,ROW('Sheet 2'!W$5:W$3178)-ROW('Sheet 2'!W$5)+1),ROW(4:4)))</f>
        <v>#DIV/0!</v>
      </c>
      <c r="N8" s="82"/>
      <c r="O8" s="81" t="e">
        <f t="array" ref="O8">INDEX('Sheet 2'!W$5:W$3178,SMALL(IF(O$3='Sheet 2'!T$5:T$3178,ROW('Sheet 2'!W$5:W$3178)-ROW('Sheet 2'!W$5)+1),ROW(4:4)))</f>
        <v>#DIV/0!</v>
      </c>
      <c r="P8" s="82"/>
      <c r="Q8" s="81" t="e">
        <f t="array" ref="Q8">INDEX('Sheet 2'!W$5:W$3178,SMALL(IF(Q$3='Sheet 2'!T$5:T$3178,ROW('Sheet 2'!W$5:W$3178)-ROW('Sheet 2'!W$5)+1),ROW(4:4)))</f>
        <v>#DIV/0!</v>
      </c>
      <c r="R8" s="83"/>
      <c r="S8" s="81" t="e">
        <f t="array" ref="S8">INDEX('Sheet 2'!W$5:W$3178,SMALL(IF(S$3='Sheet 2'!T$5:T$3178,ROW('Sheet 2'!W$5:W$3178)-ROW('Sheet 2'!W$5)+1),ROW(4:4)))</f>
        <v>#DIV/0!</v>
      </c>
      <c r="T8" s="83"/>
      <c r="U8" s="81" t="e">
        <f t="array" ref="U8">INDEX('Sheet 2'!W$5:W$3178,SMALL(IF(U$3='Sheet 2'!T$5:T$3178,ROW('Sheet 2'!W$5:W$3178)-ROW('Sheet 2'!W$5)+1),ROW(4:4)))</f>
        <v>#NUM!</v>
      </c>
      <c r="V8" s="83"/>
      <c r="W8" s="180"/>
      <c r="X8" s="82" t="e">
        <f t="array" ref="X8">INDEX('Sheet 2'!AB$13:AB$3178,SMALL(IF(X$3='Sheet 2'!Y$13:Y$3178,ROW('Sheet 2'!AB$13:AB$3178)-ROW('Sheet 2'!AB$13)+1),ROW(4:4)))</f>
        <v>#DIV/0!</v>
      </c>
      <c r="Y8" s="82" t="e">
        <f t="array" ref="Y8">INDEX('Sheet 2'!AB$13:AB$3178,SMALL(IF(Y$3='Sheet 2'!Y$13:Y$3178,ROW('Sheet 2'!AB$13:AB$3178)-ROW('Sheet 2'!AB$13)+1),ROW(4:4)))</f>
        <v>#DIV/0!</v>
      </c>
      <c r="Z8" s="183" t="e">
        <f t="array" ref="Z8">INDEX('Sheet 2'!AB$13:AB$3178,SMALL(IF(Z$3='Sheet 2'!Y$13:Y$3178,ROW('Sheet 2'!AB$13:AB$3178)-ROW('Sheet 2'!AB$13)+1),ROW(4:4)))</f>
        <v>#DIV/0!</v>
      </c>
      <c r="AA8" s="84" t="e">
        <f t="array" ref="AA8">INDEX('Sheet 2'!W$5:W$3178,SMALL(IF(AA$3='Sheet 2'!T$5:T$3178,ROW('Sheet 2'!W$5:W$3178)-ROW('Sheet 2'!W$5)+1),ROW(4:4)))</f>
        <v>#DIV/0!</v>
      </c>
      <c r="AB8" s="84" t="e">
        <f t="array" ref="AB8">INDEX('Sheet 2'!W$5:W$3178,SMALL(IF(AB$3='Sheet 2'!T$5:T$3178,ROW('Sheet 2'!W$5:W$3178)-ROW('Sheet 2'!W$5)+1),ROW(4:4)))</f>
        <v>#DIV/0!</v>
      </c>
      <c r="AC8" s="185" t="e">
        <f t="array" ref="AC8">INDEX('Sheet 2'!W$5:W$3178,SMALL(IF(AC$3='Sheet 2'!T$5:T$3178,ROW('Sheet 2'!W$5:W$3178)-ROW('Sheet 2'!W$5)+1),ROW(4:4)))</f>
        <v>#DIV/0!</v>
      </c>
      <c r="AD8" s="84" t="e">
        <f t="array" ref="AD8">INDEX('Sheet 2'!W$5:W$3178,SMALL(IF(AD$3='Sheet 2'!T$5:T$3178,ROW('Sheet 2'!W$5:W$3178)-ROW('Sheet 2'!W$5)+1),ROW(4:4)))</f>
        <v>#DIV/0!</v>
      </c>
      <c r="AE8" s="84" t="e">
        <f t="array" ref="AE8">INDEX('Sheet 2'!W$5:W$3178,SMALL(IF(AE$3='Sheet 2'!T$5:T$3178,ROW('Sheet 2'!W$5:W$3178)-ROW('Sheet 2'!W$5)+1),ROW(4:4)))</f>
        <v>#DIV/0!</v>
      </c>
      <c r="AF8" s="183" t="e">
        <f t="array" ref="AF8">INDEX('Sheet 2'!W$5:W$3178,SMALL(IF(AF$3='Sheet 2'!T$5:T$3178,ROW('Sheet 2'!W$5:W$3178)-ROW('Sheet 2'!W$5)+1),ROW(4:4)))</f>
        <v>#DIV/0!</v>
      </c>
      <c r="AG8" s="82"/>
      <c r="AH8" s="84">
        <f t="array" ref="AH8">INDEX('Sheet 2'!AB$5:AB$3178,SMALL(IF(AH$3='Sheet 2'!Y$5:Y$3178,ROW('Sheet 2'!AB$5:AB$3178)-ROW('Sheet 2'!AB$5)+1),ROW(4:4)))</f>
        <v>0</v>
      </c>
      <c r="AI8" s="84"/>
      <c r="AJ8" s="84" t="e">
        <f t="array" ref="AJ8">INDEX('Sheet 2'!W$5:W$3178,SMALL(IF(AJ$3='Sheet 2'!T$5:T$3178,ROW('Sheet 2'!W$5:W$3178)-ROW('Sheet 2'!W$5)+1),ROW(4:4)))</f>
        <v>#NUM!</v>
      </c>
      <c r="AK8" s="84"/>
      <c r="AL8" s="84">
        <f t="array" ref="AL8">INDEX('Sheet 2'!AB$5:AB$3178,SMALL(IF(AL$3='Sheet 2'!Y$5:Y$3178,ROW('Sheet 2'!AB$5:AB$3178)-ROW('Sheet 2'!AB$5)+1),ROW(4:4)))</f>
        <v>0</v>
      </c>
      <c r="AM8" s="84"/>
      <c r="AN8" s="84">
        <f t="array" ref="AN8">INDEX('Sheet 2'!AB$5:AB$3178,SMALL(IF(AN$3='Sheet 2'!Y$5:Y$3178,ROW('Sheet 2'!AB$5:AB$3178)-ROW('Sheet 2'!AB$5)+1),ROW(4:4)))</f>
        <v>0</v>
      </c>
      <c r="AO8" s="189"/>
      <c r="AP8" s="191"/>
    </row>
    <row r="9" spans="1:42" s="85" customFormat="1" ht="22.5" customHeight="1" x14ac:dyDescent="0.25">
      <c r="A9" s="233" t="str">
        <f t="array" ref="A9">INDEX('Sheet 2'!U$2:U$3178,SMALL(IF(A$3='Sheet 2'!$T$2:$T$3178,ROW('Sheet 2'!U$2:U$3178)-ROW('Sheet 2'!$U$2)+1),ROW(5:5)))</f>
        <v>CCUR</v>
      </c>
      <c r="B9" s="86">
        <f t="array" ref="B9">INDEX('Sheet 2'!W$5:W$3178,SMALL(IF(B$3='Sheet 2'!T$5:T$3178,ROW('Sheet 2'!W$5:W$3178)-ROW('Sheet 2'!W$5)+1),ROW(5:5)))</f>
        <v>5.42</v>
      </c>
      <c r="C9" s="87">
        <f t="array" ref="C9">INDEX('Sheet 2'!W$5:W$3178,SMALL(IF(C$3='Sheet 2'!T$5:T$3178,ROW('Sheet 2'!W$5:W$3178)-ROW('Sheet 2'!W$5)+1),ROW(5:5)))</f>
        <v>0</v>
      </c>
      <c r="D9" s="87">
        <f t="array" ref="D9">INDEX('Sheet 2'!W$5:W$3178,SMALL(IF(D$3='Sheet 2'!T$5:T$3178,ROW('Sheet 2'!W$5:W$3178)-ROW('Sheet 2'!W$5)+1),ROW(5:5)))</f>
        <v>0</v>
      </c>
      <c r="E9" s="87">
        <f t="array" ref="E9">INDEX('Sheet 2'!W$5:W$3178,SMALL(IF(E$3='Sheet 2'!T$5:T$3178,ROW('Sheet 2'!W$5:W$3178)-ROW('Sheet 2'!W$5)+1),ROW(5:5)))</f>
        <v>0</v>
      </c>
      <c r="F9" s="178">
        <f t="array" ref="F9">INDEX('Sheet 2'!W$5:W$3178,SMALL(IF(F$3='Sheet 2'!T$5:T$3178,ROW('Sheet 2'!W$5:W$3178)-ROW('Sheet 2'!W$5)+1),ROW(5:5)))</f>
        <v>0</v>
      </c>
      <c r="G9" s="80"/>
      <c r="H9" s="80"/>
      <c r="I9" s="81" t="str">
        <f t="array" ref="I9">INDEX('Sheet 2'!W$5:W$3178,SMALL(IF(I$3='Sheet 2'!T$5:T$3178,ROW('Sheet 2'!W$5:W$3178)-ROW('Sheet 2'!W$5)+1),ROW(5:5)))</f>
        <v/>
      </c>
      <c r="J9" s="82"/>
      <c r="K9" s="81" t="e">
        <f t="array" ref="K9">INDEX('Sheet 2'!W$5:W$3178,SMALL(IF(K$3='Sheet 2'!T$5:T$3178,ROW('Sheet 2'!W$5:W$3178)-ROW('Sheet 2'!W$5)+1),ROW(5:5)))</f>
        <v>#DIV/0!</v>
      </c>
      <c r="L9" s="82"/>
      <c r="M9" s="81" t="e">
        <f t="array" ref="M9">INDEX('Sheet 2'!W$5:W$3178,SMALL(IF(M$3='Sheet 2'!T$5:T$3178,ROW('Sheet 2'!W$5:W$3178)-ROW('Sheet 2'!W$5)+1),ROW(5:5)))</f>
        <v>#DIV/0!</v>
      </c>
      <c r="N9" s="82"/>
      <c r="O9" s="81" t="e">
        <f t="array" ref="O9">INDEX('Sheet 2'!W$5:W$3178,SMALL(IF(O$3='Sheet 2'!T$5:T$3178,ROW('Sheet 2'!W$5:W$3178)-ROW('Sheet 2'!W$5)+1),ROW(5:5)))</f>
        <v>#DIV/0!</v>
      </c>
      <c r="P9" s="82"/>
      <c r="Q9" s="81" t="e">
        <f t="array" ref="Q9">INDEX('Sheet 2'!W$5:W$3178,SMALL(IF(Q$3='Sheet 2'!T$5:T$3178,ROW('Sheet 2'!W$5:W$3178)-ROW('Sheet 2'!W$5)+1),ROW(5:5)))</f>
        <v>#DIV/0!</v>
      </c>
      <c r="R9" s="83"/>
      <c r="S9" s="81" t="e">
        <f t="array" ref="S9">INDEX('Sheet 2'!W$5:W$3178,SMALL(IF(S$3='Sheet 2'!T$5:T$3178,ROW('Sheet 2'!W$5:W$3178)-ROW('Sheet 2'!W$5)+1),ROW(5:5)))</f>
        <v>#DIV/0!</v>
      </c>
      <c r="T9" s="83"/>
      <c r="U9" s="81" t="e">
        <f t="array" ref="U9">INDEX('Sheet 2'!W$5:W$3178,SMALL(IF(U$3='Sheet 2'!T$5:T$3178,ROW('Sheet 2'!W$5:W$3178)-ROW('Sheet 2'!W$5)+1),ROW(5:5)))</f>
        <v>#NUM!</v>
      </c>
      <c r="V9" s="83"/>
      <c r="W9" s="180"/>
      <c r="X9" s="82" t="e">
        <f t="array" ref="X9">INDEX('Sheet 2'!AB$13:AB$3178,SMALL(IF(X$3='Sheet 2'!Y$13:Y$3178,ROW('Sheet 2'!AB$13:AB$3178)-ROW('Sheet 2'!AB$13)+1),ROW(5:5)))</f>
        <v>#DIV/0!</v>
      </c>
      <c r="Y9" s="82" t="e">
        <f t="array" ref="Y9">INDEX('Sheet 2'!AB$13:AB$3178,SMALL(IF(Y$3='Sheet 2'!Y$13:Y$3178,ROW('Sheet 2'!AB$13:AB$3178)-ROW('Sheet 2'!AB$13)+1),ROW(5:5)))</f>
        <v>#DIV/0!</v>
      </c>
      <c r="Z9" s="183" t="e">
        <f t="array" ref="Z9">INDEX('Sheet 2'!AB$13:AB$3178,SMALL(IF(Z$3='Sheet 2'!Y$13:Y$3178,ROW('Sheet 2'!AB$13:AB$3178)-ROW('Sheet 2'!AB$13)+1),ROW(5:5)))</f>
        <v>#DIV/0!</v>
      </c>
      <c r="AA9" s="84" t="e">
        <f t="array" ref="AA9">INDEX('Sheet 2'!W$5:W$3178,SMALL(IF(AA$3='Sheet 2'!T$5:T$3178,ROW('Sheet 2'!W$5:W$3178)-ROW('Sheet 2'!W$5)+1),ROW(5:5)))</f>
        <v>#DIV/0!</v>
      </c>
      <c r="AB9" s="84" t="e">
        <f t="array" ref="AB9">INDEX('Sheet 2'!W$5:W$3178,SMALL(IF(AB$3='Sheet 2'!T$5:T$3178,ROW('Sheet 2'!W$5:W$3178)-ROW('Sheet 2'!W$5)+1),ROW(5:5)))</f>
        <v>#DIV/0!</v>
      </c>
      <c r="AC9" s="185" t="e">
        <f t="array" ref="AC9">INDEX('Sheet 2'!W$5:W$3178,SMALL(IF(AC$3='Sheet 2'!T$5:T$3178,ROW('Sheet 2'!W$5:W$3178)-ROW('Sheet 2'!W$5)+1),ROW(5:5)))</f>
        <v>#DIV/0!</v>
      </c>
      <c r="AD9" s="84" t="e">
        <f t="array" ref="AD9">INDEX('Sheet 2'!W$5:W$3178,SMALL(IF(AD$3='Sheet 2'!T$5:T$3178,ROW('Sheet 2'!W$5:W$3178)-ROW('Sheet 2'!W$5)+1),ROW(5:5)))</f>
        <v>#DIV/0!</v>
      </c>
      <c r="AE9" s="84" t="e">
        <f t="array" ref="AE9">INDEX('Sheet 2'!W$5:W$3178,SMALL(IF(AE$3='Sheet 2'!T$5:T$3178,ROW('Sheet 2'!W$5:W$3178)-ROW('Sheet 2'!W$5)+1),ROW(5:5)))</f>
        <v>#DIV/0!</v>
      </c>
      <c r="AF9" s="183" t="e">
        <f t="array" ref="AF9">INDEX('Sheet 2'!W$5:W$3178,SMALL(IF(AF$3='Sheet 2'!T$5:T$3178,ROW('Sheet 2'!W$5:W$3178)-ROW('Sheet 2'!W$5)+1),ROW(5:5)))</f>
        <v>#DIV/0!</v>
      </c>
      <c r="AG9" s="82"/>
      <c r="AH9" s="84" t="e">
        <f t="array" ref="AH9">INDEX('Sheet 2'!AB$5:AB$3178,SMALL(IF(AH$3='Sheet 2'!Y$5:Y$3178,ROW('Sheet 2'!AB$5:AB$3178)-ROW('Sheet 2'!AB$5)+1),ROW(5:5)))</f>
        <v>#DIV/0!</v>
      </c>
      <c r="AI9" s="84"/>
      <c r="AJ9" s="84" t="e">
        <f t="array" ref="AJ9">INDEX('Sheet 2'!W$5:W$3178,SMALL(IF(AJ$3='Sheet 2'!T$5:T$3178,ROW('Sheet 2'!W$5:W$3178)-ROW('Sheet 2'!W$5)+1),ROW(5:5)))</f>
        <v>#NUM!</v>
      </c>
      <c r="AK9" s="84"/>
      <c r="AL9" s="84" t="e">
        <f t="array" ref="AL9">INDEX('Sheet 2'!AB$5:AB$3178,SMALL(IF(AL$3='Sheet 2'!Y$5:Y$3178,ROW('Sheet 2'!AB$5:AB$3178)-ROW('Sheet 2'!AB$5)+1),ROW(5:5)))</f>
        <v>#DIV/0!</v>
      </c>
      <c r="AM9" s="84"/>
      <c r="AN9" s="84" t="e">
        <f t="array" ref="AN9">INDEX('Sheet 2'!AB$5:AB$3178,SMALL(IF(AN$3='Sheet 2'!Y$5:Y$3178,ROW('Sheet 2'!AB$5:AB$3178)-ROW('Sheet 2'!AB$5)+1),ROW(5:5)))</f>
        <v>#DIV/0!</v>
      </c>
      <c r="AO9" s="189"/>
      <c r="AP9" s="191"/>
    </row>
    <row r="10" spans="1:42" s="85" customFormat="1" ht="22.5" customHeight="1" x14ac:dyDescent="0.25">
      <c r="A10" s="233" t="str">
        <f t="array" ref="A10">INDEX('Sheet 2'!U$2:U$3178,SMALL(IF(A$3='Sheet 2'!$T$2:$T$3178,ROW('Sheet 2'!U$2:U$3178)-ROW('Sheet 2'!$U$2)+1),ROW(6:6)))</f>
        <v>CCUR</v>
      </c>
      <c r="B10" s="86">
        <f t="array" ref="B10">INDEX('Sheet 2'!W$5:W$3178,SMALL(IF(B$3='Sheet 2'!T$5:T$3178,ROW('Sheet 2'!W$5:W$3178)-ROW('Sheet 2'!W$5)+1),ROW(6:6)))</f>
        <v>5.42</v>
      </c>
      <c r="C10" s="87">
        <f t="array" ref="C10">INDEX('Sheet 2'!W$5:W$3178,SMALL(IF(C$3='Sheet 2'!T$5:T$3178,ROW('Sheet 2'!W$5:W$3178)-ROW('Sheet 2'!W$5)+1),ROW(6:6)))</f>
        <v>0</v>
      </c>
      <c r="D10" s="87">
        <f t="array" ref="D10">INDEX('Sheet 2'!W$5:W$3178,SMALL(IF(D$3='Sheet 2'!T$5:T$3178,ROW('Sheet 2'!W$5:W$3178)-ROW('Sheet 2'!W$5)+1),ROW(6:6)))</f>
        <v>0</v>
      </c>
      <c r="E10" s="87">
        <f t="array" ref="E10">INDEX('Sheet 2'!W$5:W$3178,SMALL(IF(E$3='Sheet 2'!T$5:T$3178,ROW('Sheet 2'!W$5:W$3178)-ROW('Sheet 2'!W$5)+1),ROW(6:6)))</f>
        <v>0</v>
      </c>
      <c r="F10" s="178">
        <f t="array" ref="F10">INDEX('Sheet 2'!W$5:W$3178,SMALL(IF(F$3='Sheet 2'!T$5:T$3178,ROW('Sheet 2'!W$5:W$3178)-ROW('Sheet 2'!W$5)+1),ROW(6:6)))</f>
        <v>0</v>
      </c>
      <c r="G10" s="80"/>
      <c r="H10" s="80"/>
      <c r="I10" s="81" t="str">
        <f t="array" ref="I10">INDEX('Sheet 2'!W$5:W$3178,SMALL(IF(I$3='Sheet 2'!T$5:T$3178,ROW('Sheet 2'!W$5:W$3178)-ROW('Sheet 2'!W$5)+1),ROW(6:6)))</f>
        <v/>
      </c>
      <c r="J10" s="82"/>
      <c r="K10" s="81" t="e">
        <f t="array" ref="K10">INDEX('Sheet 2'!W$5:W$3178,SMALL(IF(K$3='Sheet 2'!T$5:T$3178,ROW('Sheet 2'!W$5:W$3178)-ROW('Sheet 2'!W$5)+1),ROW(6:6)))</f>
        <v>#DIV/0!</v>
      </c>
      <c r="L10" s="82"/>
      <c r="M10" s="81" t="e">
        <f t="array" ref="M10">INDEX('Sheet 2'!W$5:W$3178,SMALL(IF(M$3='Sheet 2'!T$5:T$3178,ROW('Sheet 2'!W$5:W$3178)-ROW('Sheet 2'!W$5)+1),ROW(6:6)))</f>
        <v>#DIV/0!</v>
      </c>
      <c r="N10" s="82"/>
      <c r="O10" s="81" t="e">
        <f t="array" ref="O10">INDEX('Sheet 2'!W$5:W$3178,SMALL(IF(O$3='Sheet 2'!T$5:T$3178,ROW('Sheet 2'!W$5:W$3178)-ROW('Sheet 2'!W$5)+1),ROW(6:6)))</f>
        <v>#DIV/0!</v>
      </c>
      <c r="P10" s="82"/>
      <c r="Q10" s="81" t="e">
        <f t="array" ref="Q10">INDEX('Sheet 2'!W$5:W$3178,SMALL(IF(Q$3='Sheet 2'!T$5:T$3178,ROW('Sheet 2'!W$5:W$3178)-ROW('Sheet 2'!W$5)+1),ROW(6:6)))</f>
        <v>#DIV/0!</v>
      </c>
      <c r="R10" s="83"/>
      <c r="S10" s="81" t="e">
        <f t="array" ref="S10">INDEX('Sheet 2'!W$5:W$3178,SMALL(IF(S$3='Sheet 2'!T$5:T$3178,ROW('Sheet 2'!W$5:W$3178)-ROW('Sheet 2'!W$5)+1),ROW(6:6)))</f>
        <v>#DIV/0!</v>
      </c>
      <c r="T10" s="83"/>
      <c r="U10" s="81" t="e">
        <f t="array" ref="U10">INDEX('Sheet 2'!W$5:W$3178,SMALL(IF(U$3='Sheet 2'!T$5:T$3178,ROW('Sheet 2'!W$5:W$3178)-ROW('Sheet 2'!W$5)+1),ROW(6:6)))</f>
        <v>#NUM!</v>
      </c>
      <c r="V10" s="83"/>
      <c r="W10" s="180"/>
      <c r="X10" s="82" t="e">
        <f t="array" ref="X10">INDEX('Sheet 2'!AB$13:AB$3178,SMALL(IF(X$3='Sheet 2'!Y$13:Y$3178,ROW('Sheet 2'!AB$13:AB$3178)-ROW('Sheet 2'!AB$13)+1),ROW(6:6)))</f>
        <v>#DIV/0!</v>
      </c>
      <c r="Y10" s="82" t="e">
        <f t="array" ref="Y10">INDEX('Sheet 2'!AB$13:AB$3178,SMALL(IF(Y$3='Sheet 2'!Y$13:Y$3178,ROW('Sheet 2'!AB$13:AB$3178)-ROW('Sheet 2'!AB$13)+1),ROW(6:6)))</f>
        <v>#DIV/0!</v>
      </c>
      <c r="Z10" s="183" t="e">
        <f t="array" ref="Z10">INDEX('Sheet 2'!AB$13:AB$3178,SMALL(IF(Z$3='Sheet 2'!Y$13:Y$3178,ROW('Sheet 2'!AB$13:AB$3178)-ROW('Sheet 2'!AB$13)+1),ROW(6:6)))</f>
        <v>#DIV/0!</v>
      </c>
      <c r="AA10" s="84" t="e">
        <f t="array" ref="AA10">INDEX('Sheet 2'!W$5:W$3178,SMALL(IF(AA$3='Sheet 2'!T$5:T$3178,ROW('Sheet 2'!W$5:W$3178)-ROW('Sheet 2'!W$5)+1),ROW(6:6)))</f>
        <v>#DIV/0!</v>
      </c>
      <c r="AB10" s="84" t="e">
        <f t="array" ref="AB10">INDEX('Sheet 2'!W$5:W$3178,SMALL(IF(AB$3='Sheet 2'!T$5:T$3178,ROW('Sheet 2'!W$5:W$3178)-ROW('Sheet 2'!W$5)+1),ROW(6:6)))</f>
        <v>#DIV/0!</v>
      </c>
      <c r="AC10" s="185" t="e">
        <f t="array" ref="AC10">INDEX('Sheet 2'!W$5:W$3178,SMALL(IF(AC$3='Sheet 2'!T$5:T$3178,ROW('Sheet 2'!W$5:W$3178)-ROW('Sheet 2'!W$5)+1),ROW(6:6)))</f>
        <v>#DIV/0!</v>
      </c>
      <c r="AD10" s="84" t="e">
        <f t="array" ref="AD10">INDEX('Sheet 2'!W$5:W$3178,SMALL(IF(AD$3='Sheet 2'!T$5:T$3178,ROW('Sheet 2'!W$5:W$3178)-ROW('Sheet 2'!W$5)+1),ROW(6:6)))</f>
        <v>#DIV/0!</v>
      </c>
      <c r="AE10" s="84" t="e">
        <f t="array" ref="AE10">INDEX('Sheet 2'!W$5:W$3178,SMALL(IF(AE$3='Sheet 2'!T$5:T$3178,ROW('Sheet 2'!W$5:W$3178)-ROW('Sheet 2'!W$5)+1),ROW(6:6)))</f>
        <v>#DIV/0!</v>
      </c>
      <c r="AF10" s="183" t="e">
        <f t="array" ref="AF10">INDEX('Sheet 2'!W$5:W$3178,SMALL(IF(AF$3='Sheet 2'!T$5:T$3178,ROW('Sheet 2'!W$5:W$3178)-ROW('Sheet 2'!W$5)+1),ROW(6:6)))</f>
        <v>#DIV/0!</v>
      </c>
      <c r="AG10" s="82"/>
      <c r="AH10" s="84">
        <f t="array" ref="AH10">INDEX('Sheet 2'!AB$5:AB$3178,SMALL(IF(AH$3='Sheet 2'!Y$5:Y$3178,ROW('Sheet 2'!AB$5:AB$3178)-ROW('Sheet 2'!AB$5)+1),ROW(6:6)))</f>
        <v>0</v>
      </c>
      <c r="AI10" s="84"/>
      <c r="AJ10" s="84" t="e">
        <f t="array" ref="AJ10">INDEX('Sheet 2'!W$5:W$3178,SMALL(IF(AJ$3='Sheet 2'!T$5:T$3178,ROW('Sheet 2'!W$5:W$3178)-ROW('Sheet 2'!W$5)+1),ROW(6:6)))</f>
        <v>#NUM!</v>
      </c>
      <c r="AK10" s="84"/>
      <c r="AL10" s="84">
        <f t="array" ref="AL10">INDEX('Sheet 2'!AB$5:AB$3178,SMALL(IF(AL$3='Sheet 2'!Y$5:Y$3178,ROW('Sheet 2'!AB$5:AB$3178)-ROW('Sheet 2'!AB$5)+1),ROW(6:6)))</f>
        <v>0</v>
      </c>
      <c r="AM10" s="84"/>
      <c r="AN10" s="84">
        <f t="array" ref="AN10">INDEX('Sheet 2'!AB$5:AB$3178,SMALL(IF(AN$3='Sheet 2'!Y$5:Y$3178,ROW('Sheet 2'!AB$5:AB$3178)-ROW('Sheet 2'!AB$5)+1),ROW(6:6)))</f>
        <v>0</v>
      </c>
      <c r="AO10" s="189"/>
      <c r="AP10" s="191"/>
    </row>
    <row r="11" spans="1:42" s="85" customFormat="1" ht="22.5" customHeight="1" x14ac:dyDescent="0.25">
      <c r="A11" s="233" t="str">
        <f t="array" ref="A11">INDEX('Sheet 2'!U$2:U$3178,SMALL(IF(A$3='Sheet 2'!$T$2:$T$3178,ROW('Sheet 2'!U$2:U$3178)-ROW('Sheet 2'!$U$2)+1),ROW(7:7)))</f>
        <v>CCUR</v>
      </c>
      <c r="B11" s="86">
        <f t="array" ref="B11">INDEX('Sheet 2'!W$5:W$3178,SMALL(IF(B$3='Sheet 2'!T$5:T$3178,ROW('Sheet 2'!W$5:W$3178)-ROW('Sheet 2'!W$5)+1),ROW(7:7)))</f>
        <v>5.42</v>
      </c>
      <c r="C11" s="87">
        <f t="array" ref="C11">INDEX('Sheet 2'!W$5:W$3178,SMALL(IF(C$3='Sheet 2'!T$5:T$3178,ROW('Sheet 2'!W$5:W$3178)-ROW('Sheet 2'!W$5)+1),ROW(7:7)))</f>
        <v>0</v>
      </c>
      <c r="D11" s="87">
        <f t="array" ref="D11">INDEX('Sheet 2'!W$5:W$3178,SMALL(IF(D$3='Sheet 2'!T$5:T$3178,ROW('Sheet 2'!W$5:W$3178)-ROW('Sheet 2'!W$5)+1),ROW(7:7)))</f>
        <v>0</v>
      </c>
      <c r="E11" s="87">
        <f t="array" ref="E11">INDEX('Sheet 2'!W$5:W$3178,SMALL(IF(E$3='Sheet 2'!T$5:T$3178,ROW('Sheet 2'!W$5:W$3178)-ROW('Sheet 2'!W$5)+1),ROW(7:7)))</f>
        <v>0</v>
      </c>
      <c r="F11" s="178">
        <f t="array" ref="F11">INDEX('Sheet 2'!W$5:W$3178,SMALL(IF(F$3='Sheet 2'!T$5:T$3178,ROW('Sheet 2'!W$5:W$3178)-ROW('Sheet 2'!W$5)+1),ROW(7:7)))</f>
        <v>0</v>
      </c>
      <c r="G11" s="80"/>
      <c r="H11" s="80"/>
      <c r="I11" s="81" t="str">
        <f t="array" ref="I11">INDEX('Sheet 2'!W$5:W$3178,SMALL(IF(I$3='Sheet 2'!T$5:T$3178,ROW('Sheet 2'!W$5:W$3178)-ROW('Sheet 2'!W$5)+1),ROW(7:7)))</f>
        <v/>
      </c>
      <c r="J11" s="82"/>
      <c r="K11" s="81" t="e">
        <f t="array" ref="K11">INDEX('Sheet 2'!W$5:W$3178,SMALL(IF(K$3='Sheet 2'!T$5:T$3178,ROW('Sheet 2'!W$5:W$3178)-ROW('Sheet 2'!W$5)+1),ROW(7:7)))</f>
        <v>#DIV/0!</v>
      </c>
      <c r="L11" s="82"/>
      <c r="M11" s="81" t="e">
        <f t="array" ref="M11">INDEX('Sheet 2'!W$5:W$3178,SMALL(IF(M$3='Sheet 2'!T$5:T$3178,ROW('Sheet 2'!W$5:W$3178)-ROW('Sheet 2'!W$5)+1),ROW(7:7)))</f>
        <v>#DIV/0!</v>
      </c>
      <c r="N11" s="82"/>
      <c r="O11" s="81" t="e">
        <f t="array" ref="O11">INDEX('Sheet 2'!W$5:W$3178,SMALL(IF(O$3='Sheet 2'!T$5:T$3178,ROW('Sheet 2'!W$5:W$3178)-ROW('Sheet 2'!W$5)+1),ROW(7:7)))</f>
        <v>#DIV/0!</v>
      </c>
      <c r="P11" s="82"/>
      <c r="Q11" s="81" t="e">
        <f t="array" ref="Q11">INDEX('Sheet 2'!W$5:W$3178,SMALL(IF(Q$3='Sheet 2'!T$5:T$3178,ROW('Sheet 2'!W$5:W$3178)-ROW('Sheet 2'!W$5)+1),ROW(7:7)))</f>
        <v>#DIV/0!</v>
      </c>
      <c r="R11" s="83"/>
      <c r="S11" s="81" t="e">
        <f t="array" ref="S11">INDEX('Sheet 2'!W$5:W$3178,SMALL(IF(S$3='Sheet 2'!T$5:T$3178,ROW('Sheet 2'!W$5:W$3178)-ROW('Sheet 2'!W$5)+1),ROW(7:7)))</f>
        <v>#DIV/0!</v>
      </c>
      <c r="T11" s="83"/>
      <c r="U11" s="81" t="e">
        <f t="array" ref="U11">INDEX('Sheet 2'!W$5:W$3178,SMALL(IF(U$3='Sheet 2'!T$5:T$3178,ROW('Sheet 2'!W$5:W$3178)-ROW('Sheet 2'!W$5)+1),ROW(7:7)))</f>
        <v>#NUM!</v>
      </c>
      <c r="V11" s="83"/>
      <c r="W11" s="180"/>
      <c r="X11" s="82" t="e">
        <f t="array" ref="X11">INDEX('Sheet 2'!AB$13:AB$3178,SMALL(IF(X$3='Sheet 2'!Y$13:Y$3178,ROW('Sheet 2'!AB$13:AB$3178)-ROW('Sheet 2'!AB$13)+1),ROW(7:7)))</f>
        <v>#DIV/0!</v>
      </c>
      <c r="Y11" s="82" t="e">
        <f t="array" ref="Y11">INDEX('Sheet 2'!AB$13:AB$3178,SMALL(IF(Y$3='Sheet 2'!Y$13:Y$3178,ROW('Sheet 2'!AB$13:AB$3178)-ROW('Sheet 2'!AB$13)+1),ROW(7:7)))</f>
        <v>#DIV/0!</v>
      </c>
      <c r="Z11" s="183" t="e">
        <f t="array" ref="Z11">INDEX('Sheet 2'!AB$13:AB$3178,SMALL(IF(Z$3='Sheet 2'!Y$13:Y$3178,ROW('Sheet 2'!AB$13:AB$3178)-ROW('Sheet 2'!AB$13)+1),ROW(7:7)))</f>
        <v>#DIV/0!</v>
      </c>
      <c r="AA11" s="84" t="e">
        <f t="array" ref="AA11">INDEX('Sheet 2'!W$5:W$3178,SMALL(IF(AA$3='Sheet 2'!T$5:T$3178,ROW('Sheet 2'!W$5:W$3178)-ROW('Sheet 2'!W$5)+1),ROW(7:7)))</f>
        <v>#DIV/0!</v>
      </c>
      <c r="AB11" s="84" t="e">
        <f t="array" ref="AB11">INDEX('Sheet 2'!W$5:W$3178,SMALL(IF(AB$3='Sheet 2'!T$5:T$3178,ROW('Sheet 2'!W$5:W$3178)-ROW('Sheet 2'!W$5)+1),ROW(7:7)))</f>
        <v>#DIV/0!</v>
      </c>
      <c r="AC11" s="185" t="e">
        <f t="array" ref="AC11">INDEX('Sheet 2'!W$5:W$3178,SMALL(IF(AC$3='Sheet 2'!T$5:T$3178,ROW('Sheet 2'!W$5:W$3178)-ROW('Sheet 2'!W$5)+1),ROW(7:7)))</f>
        <v>#DIV/0!</v>
      </c>
      <c r="AD11" s="84" t="e">
        <f t="array" ref="AD11">INDEX('Sheet 2'!W$5:W$3178,SMALL(IF(AD$3='Sheet 2'!T$5:T$3178,ROW('Sheet 2'!W$5:W$3178)-ROW('Sheet 2'!W$5)+1),ROW(7:7)))</f>
        <v>#DIV/0!</v>
      </c>
      <c r="AE11" s="84" t="e">
        <f t="array" ref="AE11">INDEX('Sheet 2'!W$5:W$3178,SMALL(IF(AE$3='Sheet 2'!T$5:T$3178,ROW('Sheet 2'!W$5:W$3178)-ROW('Sheet 2'!W$5)+1),ROW(7:7)))</f>
        <v>#DIV/0!</v>
      </c>
      <c r="AF11" s="183" t="e">
        <f t="array" ref="AF11">INDEX('Sheet 2'!W$5:W$3178,SMALL(IF(AF$3='Sheet 2'!T$5:T$3178,ROW('Sheet 2'!W$5:W$3178)-ROW('Sheet 2'!W$5)+1),ROW(7:7)))</f>
        <v>#DIV/0!</v>
      </c>
      <c r="AG11" s="82"/>
      <c r="AH11" s="84" t="e">
        <f t="array" ref="AH11">INDEX('Sheet 2'!AB$5:AB$3178,SMALL(IF(AH$3='Sheet 2'!Y$5:Y$3178,ROW('Sheet 2'!AB$5:AB$3178)-ROW('Sheet 2'!AB$5)+1),ROW(7:7)))</f>
        <v>#DIV/0!</v>
      </c>
      <c r="AI11" s="84"/>
      <c r="AJ11" s="84" t="e">
        <f t="array" ref="AJ11">INDEX('Sheet 2'!W$5:W$3178,SMALL(IF(AJ$3='Sheet 2'!T$5:T$3178,ROW('Sheet 2'!W$5:W$3178)-ROW('Sheet 2'!W$5)+1),ROW(7:7)))</f>
        <v>#NUM!</v>
      </c>
      <c r="AK11" s="84"/>
      <c r="AL11" s="84" t="e">
        <f t="array" ref="AL11">INDEX('Sheet 2'!AB$5:AB$3178,SMALL(IF(AL$3='Sheet 2'!Y$5:Y$3178,ROW('Sheet 2'!AB$5:AB$3178)-ROW('Sheet 2'!AB$5)+1),ROW(7:7)))</f>
        <v>#DIV/0!</v>
      </c>
      <c r="AM11" s="84"/>
      <c r="AN11" s="84" t="e">
        <f t="array" ref="AN11">INDEX('Sheet 2'!AB$5:AB$3178,SMALL(IF(AN$3='Sheet 2'!Y$5:Y$3178,ROW('Sheet 2'!AB$5:AB$3178)-ROW('Sheet 2'!AB$5)+1),ROW(7:7)))</f>
        <v>#DIV/0!</v>
      </c>
      <c r="AO11" s="189"/>
      <c r="AP11" s="191"/>
    </row>
    <row r="12" spans="1:42" s="85" customFormat="1" ht="22.5" customHeight="1" x14ac:dyDescent="0.25">
      <c r="A12" s="233" t="str">
        <f t="array" ref="A12">INDEX('Sheet 2'!U$2:U$3178,SMALL(IF(A$3='Sheet 2'!$T$2:$T$3178,ROW('Sheet 2'!U$2:U$3178)-ROW('Sheet 2'!$U$2)+1),ROW(8:8)))</f>
        <v>CCUR</v>
      </c>
      <c r="B12" s="86">
        <f t="array" ref="B12">INDEX('Sheet 2'!W$5:W$3178,SMALL(IF(B$3='Sheet 2'!T$5:T$3178,ROW('Sheet 2'!W$5:W$3178)-ROW('Sheet 2'!W$5)+1),ROW(8:8)))</f>
        <v>5.42</v>
      </c>
      <c r="C12" s="87">
        <f t="array" ref="C12">INDEX('Sheet 2'!W$5:W$3178,SMALL(IF(C$3='Sheet 2'!T$5:T$3178,ROW('Sheet 2'!W$5:W$3178)-ROW('Sheet 2'!W$5)+1),ROW(8:8)))</f>
        <v>0</v>
      </c>
      <c r="D12" s="87">
        <f t="array" ref="D12">INDEX('Sheet 2'!W$5:W$3178,SMALL(IF(D$3='Sheet 2'!T$5:T$3178,ROW('Sheet 2'!W$5:W$3178)-ROW('Sheet 2'!W$5)+1),ROW(8:8)))</f>
        <v>0</v>
      </c>
      <c r="E12" s="87">
        <f t="array" ref="E12">INDEX('Sheet 2'!W$5:W$3178,SMALL(IF(E$3='Sheet 2'!T$5:T$3178,ROW('Sheet 2'!W$5:W$3178)-ROW('Sheet 2'!W$5)+1),ROW(8:8)))</f>
        <v>0</v>
      </c>
      <c r="F12" s="178">
        <f t="array" ref="F12">INDEX('Sheet 2'!W$5:W$3178,SMALL(IF(F$3='Sheet 2'!T$5:T$3178,ROW('Sheet 2'!W$5:W$3178)-ROW('Sheet 2'!W$5)+1),ROW(8:8)))</f>
        <v>0</v>
      </c>
      <c r="G12" s="80"/>
      <c r="H12" s="80"/>
      <c r="I12" s="81" t="str">
        <f t="array" ref="I12">INDEX('Sheet 2'!W$5:W$3178,SMALL(IF(I$3='Sheet 2'!T$5:T$3178,ROW('Sheet 2'!W$5:W$3178)-ROW('Sheet 2'!W$5)+1),ROW(8:8)))</f>
        <v/>
      </c>
      <c r="J12" s="82"/>
      <c r="K12" s="81" t="e">
        <f t="array" ref="K12">INDEX('Sheet 2'!W$5:W$3178,SMALL(IF(K$3='Sheet 2'!T$5:T$3178,ROW('Sheet 2'!W$5:W$3178)-ROW('Sheet 2'!W$5)+1),ROW(8:8)))</f>
        <v>#DIV/0!</v>
      </c>
      <c r="L12" s="82"/>
      <c r="M12" s="81" t="e">
        <f t="array" ref="M12">INDEX('Sheet 2'!W$5:W$3178,SMALL(IF(M$3='Sheet 2'!T$5:T$3178,ROW('Sheet 2'!W$5:W$3178)-ROW('Sheet 2'!W$5)+1),ROW(8:8)))</f>
        <v>#DIV/0!</v>
      </c>
      <c r="N12" s="82"/>
      <c r="O12" s="81" t="e">
        <f t="array" ref="O12">INDEX('Sheet 2'!W$5:W$3178,SMALL(IF(O$3='Sheet 2'!T$5:T$3178,ROW('Sheet 2'!W$5:W$3178)-ROW('Sheet 2'!W$5)+1),ROW(8:8)))</f>
        <v>#DIV/0!</v>
      </c>
      <c r="P12" s="82"/>
      <c r="Q12" s="81" t="e">
        <f t="array" ref="Q12">INDEX('Sheet 2'!W$5:W$3178,SMALL(IF(Q$3='Sheet 2'!T$5:T$3178,ROW('Sheet 2'!W$5:W$3178)-ROW('Sheet 2'!W$5)+1),ROW(8:8)))</f>
        <v>#DIV/0!</v>
      </c>
      <c r="R12" s="83"/>
      <c r="S12" s="81" t="e">
        <f t="array" ref="S12">INDEX('Sheet 2'!W$5:W$3178,SMALL(IF(S$3='Sheet 2'!T$5:T$3178,ROW('Sheet 2'!W$5:W$3178)-ROW('Sheet 2'!W$5)+1),ROW(8:8)))</f>
        <v>#DIV/0!</v>
      </c>
      <c r="T12" s="83"/>
      <c r="U12" s="81" t="e">
        <f t="array" ref="U12">INDEX('Sheet 2'!W$5:W$3178,SMALL(IF(U$3='Sheet 2'!T$5:T$3178,ROW('Sheet 2'!W$5:W$3178)-ROW('Sheet 2'!W$5)+1),ROW(8:8)))</f>
        <v>#NUM!</v>
      </c>
      <c r="V12" s="83"/>
      <c r="W12" s="180"/>
      <c r="X12" s="82" t="e">
        <f t="array" ref="X12">INDEX('Sheet 2'!AB$13:AB$3178,SMALL(IF(X$3='Sheet 2'!Y$13:Y$3178,ROW('Sheet 2'!AB$13:AB$3178)-ROW('Sheet 2'!AB$13)+1),ROW(8:8)))</f>
        <v>#DIV/0!</v>
      </c>
      <c r="Y12" s="82" t="e">
        <f t="array" ref="Y12">INDEX('Sheet 2'!AB$13:AB$3178,SMALL(IF(Y$3='Sheet 2'!Y$13:Y$3178,ROW('Sheet 2'!AB$13:AB$3178)-ROW('Sheet 2'!AB$13)+1),ROW(8:8)))</f>
        <v>#DIV/0!</v>
      </c>
      <c r="Z12" s="183" t="e">
        <f t="array" ref="Z12">INDEX('Sheet 2'!AB$13:AB$3178,SMALL(IF(Z$3='Sheet 2'!Y$13:Y$3178,ROW('Sheet 2'!AB$13:AB$3178)-ROW('Sheet 2'!AB$13)+1),ROW(8:8)))</f>
        <v>#DIV/0!</v>
      </c>
      <c r="AA12" s="84" t="e">
        <f t="array" ref="AA12">INDEX('Sheet 2'!W$5:W$3178,SMALL(IF(AA$3='Sheet 2'!T$5:T$3178,ROW('Sheet 2'!W$5:W$3178)-ROW('Sheet 2'!W$5)+1),ROW(8:8)))</f>
        <v>#DIV/0!</v>
      </c>
      <c r="AB12" s="84" t="e">
        <f t="array" ref="AB12">INDEX('Sheet 2'!W$5:W$3178,SMALL(IF(AB$3='Sheet 2'!T$5:T$3178,ROW('Sheet 2'!W$5:W$3178)-ROW('Sheet 2'!W$5)+1),ROW(8:8)))</f>
        <v>#DIV/0!</v>
      </c>
      <c r="AC12" s="185" t="e">
        <f t="array" ref="AC12">INDEX('Sheet 2'!W$5:W$3178,SMALL(IF(AC$3='Sheet 2'!T$5:T$3178,ROW('Sheet 2'!W$5:W$3178)-ROW('Sheet 2'!W$5)+1),ROW(8:8)))</f>
        <v>#DIV/0!</v>
      </c>
      <c r="AD12" s="84" t="e">
        <f t="array" ref="AD12">INDEX('Sheet 2'!W$5:W$3178,SMALL(IF(AD$3='Sheet 2'!T$5:T$3178,ROW('Sheet 2'!W$5:W$3178)-ROW('Sheet 2'!W$5)+1),ROW(8:8)))</f>
        <v>#DIV/0!</v>
      </c>
      <c r="AE12" s="84" t="e">
        <f t="array" ref="AE12">INDEX('Sheet 2'!W$5:W$3178,SMALL(IF(AE$3='Sheet 2'!T$5:T$3178,ROW('Sheet 2'!W$5:W$3178)-ROW('Sheet 2'!W$5)+1),ROW(8:8)))</f>
        <v>#DIV/0!</v>
      </c>
      <c r="AF12" s="183" t="e">
        <f t="array" ref="AF12">INDEX('Sheet 2'!W$5:W$3178,SMALL(IF(AF$3='Sheet 2'!T$5:T$3178,ROW('Sheet 2'!W$5:W$3178)-ROW('Sheet 2'!W$5)+1),ROW(8:8)))</f>
        <v>#DIV/0!</v>
      </c>
      <c r="AG12" s="82"/>
      <c r="AH12" s="84">
        <f t="array" ref="AH12">INDEX('Sheet 2'!AB$5:AB$3178,SMALL(IF(AH$3='Sheet 2'!Y$5:Y$3178,ROW('Sheet 2'!AB$5:AB$3178)-ROW('Sheet 2'!AB$5)+1),ROW(8:8)))</f>
        <v>0</v>
      </c>
      <c r="AI12" s="84"/>
      <c r="AJ12" s="84" t="e">
        <f t="array" ref="AJ12">INDEX('Sheet 2'!W$5:W$3178,SMALL(IF(AJ$3='Sheet 2'!T$5:T$3178,ROW('Sheet 2'!W$5:W$3178)-ROW('Sheet 2'!W$5)+1),ROW(8:8)))</f>
        <v>#NUM!</v>
      </c>
      <c r="AK12" s="84"/>
      <c r="AL12" s="84">
        <f t="array" ref="AL12">INDEX('Sheet 2'!AB$5:AB$3178,SMALL(IF(AL$3='Sheet 2'!Y$5:Y$3178,ROW('Sheet 2'!AB$5:AB$3178)-ROW('Sheet 2'!AB$5)+1),ROW(8:8)))</f>
        <v>0</v>
      </c>
      <c r="AM12" s="84"/>
      <c r="AN12" s="84">
        <f t="array" ref="AN12">INDEX('Sheet 2'!AB$5:AB$3178,SMALL(IF(AN$3='Sheet 2'!Y$5:Y$3178,ROW('Sheet 2'!AB$5:AB$3178)-ROW('Sheet 2'!AB$5)+1),ROW(8:8)))</f>
        <v>0</v>
      </c>
      <c r="AO12" s="189"/>
      <c r="AP12" s="191"/>
    </row>
    <row r="13" spans="1:42" s="85" customFormat="1" ht="22.5" customHeight="1" x14ac:dyDescent="0.25">
      <c r="A13" s="233" t="str">
        <f t="array" ref="A13">INDEX('Sheet 2'!U$2:U$3178,SMALL(IF(A$3='Sheet 2'!$T$2:$T$3178,ROW('Sheet 2'!U$2:U$3178)-ROW('Sheet 2'!$U$2)+1),ROW(9:9)))</f>
        <v>CCUR</v>
      </c>
      <c r="B13" s="86">
        <f t="array" ref="B13">INDEX('Sheet 2'!W$5:W$3178,SMALL(IF(B$3='Sheet 2'!T$5:T$3178,ROW('Sheet 2'!W$5:W$3178)-ROW('Sheet 2'!W$5)+1),ROW(9:9)))</f>
        <v>5.42</v>
      </c>
      <c r="C13" s="87">
        <f t="array" ref="C13">INDEX('Sheet 2'!W$5:W$3178,SMALL(IF(C$3='Sheet 2'!T$5:T$3178,ROW('Sheet 2'!W$5:W$3178)-ROW('Sheet 2'!W$5)+1),ROW(9:9)))</f>
        <v>0</v>
      </c>
      <c r="D13" s="87">
        <f t="array" ref="D13">INDEX('Sheet 2'!W$5:W$3178,SMALL(IF(D$3='Sheet 2'!T$5:T$3178,ROW('Sheet 2'!W$5:W$3178)-ROW('Sheet 2'!W$5)+1),ROW(9:9)))</f>
        <v>0</v>
      </c>
      <c r="E13" s="87">
        <f t="array" ref="E13">INDEX('Sheet 2'!W$5:W$3178,SMALL(IF(E$3='Sheet 2'!T$5:T$3178,ROW('Sheet 2'!W$5:W$3178)-ROW('Sheet 2'!W$5)+1),ROW(9:9)))</f>
        <v>0</v>
      </c>
      <c r="F13" s="178">
        <f t="array" ref="F13">INDEX('Sheet 2'!W$5:W$3178,SMALL(IF(F$3='Sheet 2'!T$5:T$3178,ROW('Sheet 2'!W$5:W$3178)-ROW('Sheet 2'!W$5)+1),ROW(9:9)))</f>
        <v>0</v>
      </c>
      <c r="G13" s="80"/>
      <c r="H13" s="80"/>
      <c r="I13" s="81" t="str">
        <f t="array" ref="I13">INDEX('Sheet 2'!W$5:W$3178,SMALL(IF(I$3='Sheet 2'!T$5:T$3178,ROW('Sheet 2'!W$5:W$3178)-ROW('Sheet 2'!W$5)+1),ROW(9:9)))</f>
        <v/>
      </c>
      <c r="J13" s="82"/>
      <c r="K13" s="81" t="e">
        <f t="array" ref="K13">INDEX('Sheet 2'!W$5:W$3178,SMALL(IF(K$3='Sheet 2'!T$5:T$3178,ROW('Sheet 2'!W$5:W$3178)-ROW('Sheet 2'!W$5)+1),ROW(9:9)))</f>
        <v>#DIV/0!</v>
      </c>
      <c r="L13" s="82"/>
      <c r="M13" s="81" t="e">
        <f t="array" ref="M13">INDEX('Sheet 2'!W$5:W$3178,SMALL(IF(M$3='Sheet 2'!T$5:T$3178,ROW('Sheet 2'!W$5:W$3178)-ROW('Sheet 2'!W$5)+1),ROW(9:9)))</f>
        <v>#DIV/0!</v>
      </c>
      <c r="N13" s="82"/>
      <c r="O13" s="81" t="e">
        <f t="array" ref="O13">INDEX('Sheet 2'!W$5:W$3178,SMALL(IF(O$3='Sheet 2'!T$5:T$3178,ROW('Sheet 2'!W$5:W$3178)-ROW('Sheet 2'!W$5)+1),ROW(9:9)))</f>
        <v>#DIV/0!</v>
      </c>
      <c r="P13" s="82"/>
      <c r="Q13" s="81" t="e">
        <f t="array" ref="Q13">INDEX('Sheet 2'!W$5:W$3178,SMALL(IF(Q$3='Sheet 2'!T$5:T$3178,ROW('Sheet 2'!W$5:W$3178)-ROW('Sheet 2'!W$5)+1),ROW(9:9)))</f>
        <v>#DIV/0!</v>
      </c>
      <c r="R13" s="83"/>
      <c r="S13" s="81" t="e">
        <f t="array" ref="S13">INDEX('Sheet 2'!W$5:W$3178,SMALL(IF(S$3='Sheet 2'!T$5:T$3178,ROW('Sheet 2'!W$5:W$3178)-ROW('Sheet 2'!W$5)+1),ROW(9:9)))</f>
        <v>#DIV/0!</v>
      </c>
      <c r="T13" s="83"/>
      <c r="U13" s="81" t="e">
        <f t="array" ref="U13">INDEX('Sheet 2'!W$5:W$3178,SMALL(IF(U$3='Sheet 2'!T$5:T$3178,ROW('Sheet 2'!W$5:W$3178)-ROW('Sheet 2'!W$5)+1),ROW(9:9)))</f>
        <v>#NUM!</v>
      </c>
      <c r="V13" s="83"/>
      <c r="W13" s="180"/>
      <c r="X13" s="82" t="e">
        <f t="array" ref="X13">INDEX('Sheet 2'!AB$13:AB$3178,SMALL(IF(X$3='Sheet 2'!Y$13:Y$3178,ROW('Sheet 2'!AB$13:AB$3178)-ROW('Sheet 2'!AB$13)+1),ROW(9:9)))</f>
        <v>#DIV/0!</v>
      </c>
      <c r="Y13" s="82" t="e">
        <f t="array" ref="Y13">INDEX('Sheet 2'!AB$13:AB$3178,SMALL(IF(Y$3='Sheet 2'!Y$13:Y$3178,ROW('Sheet 2'!AB$13:AB$3178)-ROW('Sheet 2'!AB$13)+1),ROW(9:9)))</f>
        <v>#DIV/0!</v>
      </c>
      <c r="Z13" s="183" t="e">
        <f t="array" ref="Z13">INDEX('Sheet 2'!AB$13:AB$3178,SMALL(IF(Z$3='Sheet 2'!Y$13:Y$3178,ROW('Sheet 2'!AB$13:AB$3178)-ROW('Sheet 2'!AB$13)+1),ROW(9:9)))</f>
        <v>#DIV/0!</v>
      </c>
      <c r="AA13" s="84" t="e">
        <f t="array" ref="AA13">INDEX('Sheet 2'!W$5:W$3178,SMALL(IF(AA$3='Sheet 2'!T$5:T$3178,ROW('Sheet 2'!W$5:W$3178)-ROW('Sheet 2'!W$5)+1),ROW(9:9)))</f>
        <v>#DIV/0!</v>
      </c>
      <c r="AB13" s="84" t="e">
        <f t="array" ref="AB13">INDEX('Sheet 2'!W$5:W$3178,SMALL(IF(AB$3='Sheet 2'!T$5:T$3178,ROW('Sheet 2'!W$5:W$3178)-ROW('Sheet 2'!W$5)+1),ROW(9:9)))</f>
        <v>#DIV/0!</v>
      </c>
      <c r="AC13" s="185" t="e">
        <f t="array" ref="AC13">INDEX('Sheet 2'!W$5:W$3178,SMALL(IF(AC$3='Sheet 2'!T$5:T$3178,ROW('Sheet 2'!W$5:W$3178)-ROW('Sheet 2'!W$5)+1),ROW(9:9)))</f>
        <v>#DIV/0!</v>
      </c>
      <c r="AD13" s="84" t="e">
        <f t="array" ref="AD13">INDEX('Sheet 2'!W$5:W$3178,SMALL(IF(AD$3='Sheet 2'!T$5:T$3178,ROW('Sheet 2'!W$5:W$3178)-ROW('Sheet 2'!W$5)+1),ROW(9:9)))</f>
        <v>#DIV/0!</v>
      </c>
      <c r="AE13" s="84" t="e">
        <f t="array" ref="AE13">INDEX('Sheet 2'!W$5:W$3178,SMALL(IF(AE$3='Sheet 2'!T$5:T$3178,ROW('Sheet 2'!W$5:W$3178)-ROW('Sheet 2'!W$5)+1),ROW(9:9)))</f>
        <v>#DIV/0!</v>
      </c>
      <c r="AF13" s="183" t="e">
        <f t="array" ref="AF13">INDEX('Sheet 2'!W$5:W$3178,SMALL(IF(AF$3='Sheet 2'!T$5:T$3178,ROW('Sheet 2'!W$5:W$3178)-ROW('Sheet 2'!W$5)+1),ROW(9:9)))</f>
        <v>#DIV/0!</v>
      </c>
      <c r="AG13" s="82"/>
      <c r="AH13" s="84" t="e">
        <f t="array" ref="AH13">INDEX('Sheet 2'!AB$5:AB$3178,SMALL(IF(AH$3='Sheet 2'!Y$5:Y$3178,ROW('Sheet 2'!AB$5:AB$3178)-ROW('Sheet 2'!AB$5)+1),ROW(9:9)))</f>
        <v>#DIV/0!</v>
      </c>
      <c r="AI13" s="84"/>
      <c r="AJ13" s="84" t="e">
        <f t="array" ref="AJ13">INDEX('Sheet 2'!W$5:W$3178,SMALL(IF(AJ$3='Sheet 2'!T$5:T$3178,ROW('Sheet 2'!W$5:W$3178)-ROW('Sheet 2'!W$5)+1),ROW(9:9)))</f>
        <v>#NUM!</v>
      </c>
      <c r="AK13" s="84"/>
      <c r="AL13" s="84" t="e">
        <f t="array" ref="AL13">INDEX('Sheet 2'!AB$5:AB$3178,SMALL(IF(AL$3='Sheet 2'!Y$5:Y$3178,ROW('Sheet 2'!AB$5:AB$3178)-ROW('Sheet 2'!AB$5)+1),ROW(9:9)))</f>
        <v>#DIV/0!</v>
      </c>
      <c r="AM13" s="84"/>
      <c r="AN13" s="84" t="e">
        <f t="array" ref="AN13">INDEX('Sheet 2'!AB$5:AB$3178,SMALL(IF(AN$3='Sheet 2'!Y$5:Y$3178,ROW('Sheet 2'!AB$5:AB$3178)-ROW('Sheet 2'!AB$5)+1),ROW(9:9)))</f>
        <v>#DIV/0!</v>
      </c>
      <c r="AO13" s="189"/>
      <c r="AP13" s="191"/>
    </row>
    <row r="14" spans="1:42" s="85" customFormat="1" ht="22.5" customHeight="1" x14ac:dyDescent="0.25">
      <c r="A14" s="233" t="str">
        <f t="array" ref="A14">INDEX('Sheet 2'!U$2:U$3178,SMALL(IF(A$3='Sheet 2'!$T$2:$T$3178,ROW('Sheet 2'!U$2:U$3178)-ROW('Sheet 2'!$U$2)+1),ROW(10:10)))</f>
        <v>CCUR</v>
      </c>
      <c r="B14" s="86">
        <f t="array" ref="B14">INDEX('Sheet 2'!W$5:W$3178,SMALL(IF(B$3='Sheet 2'!T$5:T$3178,ROW('Sheet 2'!W$5:W$3178)-ROW('Sheet 2'!W$5)+1),ROW(10:10)))</f>
        <v>5.42</v>
      </c>
      <c r="C14" s="87">
        <f t="array" ref="C14">INDEX('Sheet 2'!W$5:W$3178,SMALL(IF(C$3='Sheet 2'!T$5:T$3178,ROW('Sheet 2'!W$5:W$3178)-ROW('Sheet 2'!W$5)+1),ROW(10:10)))</f>
        <v>0</v>
      </c>
      <c r="D14" s="87">
        <f t="array" ref="D14">INDEX('Sheet 2'!W$5:W$3178,SMALL(IF(D$3='Sheet 2'!T$5:T$3178,ROW('Sheet 2'!W$5:W$3178)-ROW('Sheet 2'!W$5)+1),ROW(10:10)))</f>
        <v>0</v>
      </c>
      <c r="E14" s="87">
        <f t="array" ref="E14">INDEX('Sheet 2'!W$5:W$3178,SMALL(IF(E$3='Sheet 2'!T$5:T$3178,ROW('Sheet 2'!W$5:W$3178)-ROW('Sheet 2'!W$5)+1),ROW(10:10)))</f>
        <v>0</v>
      </c>
      <c r="F14" s="178">
        <f t="array" ref="F14">INDEX('Sheet 2'!W$5:W$3178,SMALL(IF(F$3='Sheet 2'!T$5:T$3178,ROW('Sheet 2'!W$5:W$3178)-ROW('Sheet 2'!W$5)+1),ROW(10:10)))</f>
        <v>0</v>
      </c>
      <c r="G14" s="80"/>
      <c r="H14" s="80"/>
      <c r="I14" s="81" t="str">
        <f t="array" ref="I14">INDEX('Sheet 2'!W$5:W$3178,SMALL(IF(I$3='Sheet 2'!T$5:T$3178,ROW('Sheet 2'!W$5:W$3178)-ROW('Sheet 2'!W$5)+1),ROW(10:10)))</f>
        <v/>
      </c>
      <c r="J14" s="82"/>
      <c r="K14" s="81" t="e">
        <f t="array" ref="K14">INDEX('Sheet 2'!W$5:W$3178,SMALL(IF(K$3='Sheet 2'!T$5:T$3178,ROW('Sheet 2'!W$5:W$3178)-ROW('Sheet 2'!W$5)+1),ROW(10:10)))</f>
        <v>#DIV/0!</v>
      </c>
      <c r="L14" s="82"/>
      <c r="M14" s="81" t="e">
        <f t="array" ref="M14">INDEX('Sheet 2'!W$5:W$3178,SMALL(IF(M$3='Sheet 2'!T$5:T$3178,ROW('Sheet 2'!W$5:W$3178)-ROW('Sheet 2'!W$5)+1),ROW(10:10)))</f>
        <v>#DIV/0!</v>
      </c>
      <c r="N14" s="82"/>
      <c r="O14" s="81" t="e">
        <f t="array" ref="O14">INDEX('Sheet 2'!W$5:W$3178,SMALL(IF(O$3='Sheet 2'!T$5:T$3178,ROW('Sheet 2'!W$5:W$3178)-ROW('Sheet 2'!W$5)+1),ROW(10:10)))</f>
        <v>#DIV/0!</v>
      </c>
      <c r="P14" s="82"/>
      <c r="Q14" s="81" t="e">
        <f t="array" ref="Q14">INDEX('Sheet 2'!W$5:W$3178,SMALL(IF(Q$3='Sheet 2'!T$5:T$3178,ROW('Sheet 2'!W$5:W$3178)-ROW('Sheet 2'!W$5)+1),ROW(10:10)))</f>
        <v>#DIV/0!</v>
      </c>
      <c r="R14" s="83"/>
      <c r="S14" s="81" t="e">
        <f t="array" ref="S14">INDEX('Sheet 2'!W$5:W$3178,SMALL(IF(S$3='Sheet 2'!T$5:T$3178,ROW('Sheet 2'!W$5:W$3178)-ROW('Sheet 2'!W$5)+1),ROW(10:10)))</f>
        <v>#DIV/0!</v>
      </c>
      <c r="T14" s="83"/>
      <c r="U14" s="81" t="e">
        <f t="array" ref="U14">INDEX('Sheet 2'!W$5:W$3178,SMALL(IF(U$3='Sheet 2'!T$5:T$3178,ROW('Sheet 2'!W$5:W$3178)-ROW('Sheet 2'!W$5)+1),ROW(10:10)))</f>
        <v>#NUM!</v>
      </c>
      <c r="V14" s="83"/>
      <c r="W14" s="180"/>
      <c r="X14" s="82" t="e">
        <f t="array" ref="X14">INDEX('Sheet 2'!AB$13:AB$3178,SMALL(IF(X$3='Sheet 2'!Y$13:Y$3178,ROW('Sheet 2'!AB$13:AB$3178)-ROW('Sheet 2'!AB$13)+1),ROW(10:10)))</f>
        <v>#DIV/0!</v>
      </c>
      <c r="Y14" s="82" t="e">
        <f t="array" ref="Y14">INDEX('Sheet 2'!AB$13:AB$3178,SMALL(IF(Y$3='Sheet 2'!Y$13:Y$3178,ROW('Sheet 2'!AB$13:AB$3178)-ROW('Sheet 2'!AB$13)+1),ROW(10:10)))</f>
        <v>#DIV/0!</v>
      </c>
      <c r="Z14" s="183" t="e">
        <f t="array" ref="Z14">INDEX('Sheet 2'!AB$13:AB$3178,SMALL(IF(Z$3='Sheet 2'!Y$13:Y$3178,ROW('Sheet 2'!AB$13:AB$3178)-ROW('Sheet 2'!AB$13)+1),ROW(10:10)))</f>
        <v>#DIV/0!</v>
      </c>
      <c r="AA14" s="84" t="e">
        <f t="array" ref="AA14">INDEX('Sheet 2'!W$5:W$3178,SMALL(IF(AA$3='Sheet 2'!T$5:T$3178,ROW('Sheet 2'!W$5:W$3178)-ROW('Sheet 2'!W$5)+1),ROW(10:10)))</f>
        <v>#DIV/0!</v>
      </c>
      <c r="AB14" s="84" t="e">
        <f t="array" ref="AB14">INDEX('Sheet 2'!W$5:W$3178,SMALL(IF(AB$3='Sheet 2'!T$5:T$3178,ROW('Sheet 2'!W$5:W$3178)-ROW('Sheet 2'!W$5)+1),ROW(10:10)))</f>
        <v>#DIV/0!</v>
      </c>
      <c r="AC14" s="185" t="e">
        <f t="array" ref="AC14">INDEX('Sheet 2'!W$5:W$3178,SMALL(IF(AC$3='Sheet 2'!T$5:T$3178,ROW('Sheet 2'!W$5:W$3178)-ROW('Sheet 2'!W$5)+1),ROW(10:10)))</f>
        <v>#DIV/0!</v>
      </c>
      <c r="AD14" s="84" t="e">
        <f t="array" ref="AD14">INDEX('Sheet 2'!W$5:W$3178,SMALL(IF(AD$3='Sheet 2'!T$5:T$3178,ROW('Sheet 2'!W$5:W$3178)-ROW('Sheet 2'!W$5)+1),ROW(10:10)))</f>
        <v>#DIV/0!</v>
      </c>
      <c r="AE14" s="84" t="e">
        <f t="array" ref="AE14">INDEX('Sheet 2'!W$5:W$3178,SMALL(IF(AE$3='Sheet 2'!T$5:T$3178,ROW('Sheet 2'!W$5:W$3178)-ROW('Sheet 2'!W$5)+1),ROW(10:10)))</f>
        <v>#DIV/0!</v>
      </c>
      <c r="AF14" s="183" t="e">
        <f t="array" ref="AF14">INDEX('Sheet 2'!W$5:W$3178,SMALL(IF(AF$3='Sheet 2'!T$5:T$3178,ROW('Sheet 2'!W$5:W$3178)-ROW('Sheet 2'!W$5)+1),ROW(10:10)))</f>
        <v>#DIV/0!</v>
      </c>
      <c r="AG14" s="82"/>
      <c r="AH14" s="84">
        <f t="array" ref="AH14">INDEX('Sheet 2'!AB$5:AB$3178,SMALL(IF(AH$3='Sheet 2'!Y$5:Y$3178,ROW('Sheet 2'!AB$5:AB$3178)-ROW('Sheet 2'!AB$5)+1),ROW(10:10)))</f>
        <v>0</v>
      </c>
      <c r="AI14" s="84"/>
      <c r="AJ14" s="84" t="e">
        <f t="array" ref="AJ14">INDEX('Sheet 2'!W$5:W$3178,SMALL(IF(AJ$3='Sheet 2'!T$5:T$3178,ROW('Sheet 2'!W$5:W$3178)-ROW('Sheet 2'!W$5)+1),ROW(10:10)))</f>
        <v>#NUM!</v>
      </c>
      <c r="AK14" s="84"/>
      <c r="AL14" s="84">
        <f t="array" ref="AL14">INDEX('Sheet 2'!AB$5:AB$3178,SMALL(IF(AL$3='Sheet 2'!Y$5:Y$3178,ROW('Sheet 2'!AB$5:AB$3178)-ROW('Sheet 2'!AB$5)+1),ROW(10:10)))</f>
        <v>0</v>
      </c>
      <c r="AM14" s="84"/>
      <c r="AN14" s="84">
        <f t="array" ref="AN14">INDEX('Sheet 2'!AB$5:AB$3178,SMALL(IF(AN$3='Sheet 2'!Y$5:Y$3178,ROW('Sheet 2'!AB$5:AB$3178)-ROW('Sheet 2'!AB$5)+1),ROW(10:10)))</f>
        <v>0</v>
      </c>
      <c r="AO14" s="189"/>
      <c r="AP14" s="191"/>
    </row>
    <row r="15" spans="1:42" s="85" customFormat="1" ht="22.5" customHeight="1" x14ac:dyDescent="0.25">
      <c r="A15" s="233"/>
      <c r="B15" s="86"/>
      <c r="C15" s="87"/>
      <c r="D15" s="87"/>
      <c r="E15" s="87"/>
      <c r="F15" s="178"/>
      <c r="G15" s="80"/>
      <c r="H15" s="80"/>
      <c r="I15" s="81"/>
      <c r="J15" s="82"/>
      <c r="K15" s="81"/>
      <c r="L15" s="82"/>
      <c r="M15" s="81"/>
      <c r="N15" s="82"/>
      <c r="O15" s="81"/>
      <c r="P15" s="82"/>
      <c r="Q15" s="81"/>
      <c r="R15" s="83"/>
      <c r="S15" s="81"/>
      <c r="T15" s="83"/>
      <c r="U15" s="81"/>
      <c r="V15" s="83"/>
      <c r="W15" s="180"/>
      <c r="X15" s="82"/>
      <c r="Y15" s="82"/>
      <c r="Z15" s="183"/>
      <c r="AA15" s="84"/>
      <c r="AB15" s="84"/>
      <c r="AC15" s="185"/>
      <c r="AD15" s="84"/>
      <c r="AE15" s="84"/>
      <c r="AF15" s="183"/>
      <c r="AG15" s="82"/>
      <c r="AH15" s="84"/>
      <c r="AI15" s="84"/>
      <c r="AJ15" s="84"/>
      <c r="AK15" s="84"/>
      <c r="AL15" s="84"/>
      <c r="AM15" s="84"/>
      <c r="AN15" s="84"/>
      <c r="AO15" s="189"/>
      <c r="AP15" s="191"/>
    </row>
    <row r="16" spans="1:42" s="85" customFormat="1" ht="22.5" customHeight="1" x14ac:dyDescent="0.25">
      <c r="A16" s="233"/>
      <c r="B16" s="86"/>
      <c r="C16" s="87"/>
      <c r="D16" s="87"/>
      <c r="E16" s="87"/>
      <c r="F16" s="178"/>
      <c r="G16" s="80"/>
      <c r="H16" s="80"/>
      <c r="I16" s="81"/>
      <c r="J16" s="82"/>
      <c r="K16" s="81"/>
      <c r="L16" s="82"/>
      <c r="M16" s="81"/>
      <c r="N16" s="82"/>
      <c r="O16" s="81"/>
      <c r="P16" s="82"/>
      <c r="Q16" s="81"/>
      <c r="R16" s="83"/>
      <c r="S16" s="81"/>
      <c r="T16" s="83"/>
      <c r="U16" s="81"/>
      <c r="V16" s="83"/>
      <c r="W16" s="180"/>
      <c r="X16" s="82"/>
      <c r="Y16" s="82"/>
      <c r="Z16" s="183"/>
      <c r="AA16" s="84"/>
      <c r="AB16" s="84"/>
      <c r="AC16" s="185"/>
      <c r="AD16" s="84"/>
      <c r="AE16" s="84"/>
      <c r="AF16" s="183"/>
      <c r="AG16" s="82"/>
      <c r="AH16" s="84"/>
      <c r="AI16" s="84"/>
      <c r="AJ16" s="84"/>
      <c r="AK16" s="84"/>
      <c r="AL16" s="84"/>
      <c r="AM16" s="84"/>
      <c r="AN16" s="84"/>
      <c r="AO16" s="189"/>
      <c r="AP16" s="191"/>
    </row>
    <row r="17" spans="1:42" s="85" customFormat="1" ht="22.5" customHeight="1" x14ac:dyDescent="0.25">
      <c r="A17" s="233"/>
      <c r="B17" s="86"/>
      <c r="C17" s="87"/>
      <c r="D17" s="87"/>
      <c r="E17" s="87"/>
      <c r="F17" s="178"/>
      <c r="G17" s="80"/>
      <c r="H17" s="80"/>
      <c r="I17" s="81"/>
      <c r="J17" s="82"/>
      <c r="K17" s="81"/>
      <c r="L17" s="82"/>
      <c r="M17" s="81"/>
      <c r="N17" s="82"/>
      <c r="O17" s="81"/>
      <c r="P17" s="82"/>
      <c r="Q17" s="81"/>
      <c r="R17" s="83"/>
      <c r="S17" s="81"/>
      <c r="T17" s="83"/>
      <c r="U17" s="81"/>
      <c r="V17" s="83"/>
      <c r="W17" s="180"/>
      <c r="X17" s="82"/>
      <c r="Y17" s="82"/>
      <c r="Z17" s="183"/>
      <c r="AA17" s="84"/>
      <c r="AB17" s="84"/>
      <c r="AC17" s="185"/>
      <c r="AD17" s="84"/>
      <c r="AE17" s="84"/>
      <c r="AF17" s="183"/>
      <c r="AG17" s="82"/>
      <c r="AH17" s="84"/>
      <c r="AI17" s="84"/>
      <c r="AJ17" s="84"/>
      <c r="AK17" s="84"/>
      <c r="AL17" s="84"/>
      <c r="AM17" s="84"/>
      <c r="AN17" s="84"/>
      <c r="AO17" s="189"/>
      <c r="AP17" s="191"/>
    </row>
    <row r="18" spans="1:42" s="85" customFormat="1" ht="22.5" customHeight="1" x14ac:dyDescent="0.25">
      <c r="A18" s="233"/>
      <c r="B18" s="86"/>
      <c r="C18" s="87"/>
      <c r="D18" s="87"/>
      <c r="E18" s="87"/>
      <c r="F18" s="178"/>
      <c r="G18" s="80"/>
      <c r="H18" s="80"/>
      <c r="I18" s="81"/>
      <c r="J18" s="82"/>
      <c r="K18" s="81"/>
      <c r="L18" s="82"/>
      <c r="M18" s="81"/>
      <c r="N18" s="82"/>
      <c r="O18" s="81"/>
      <c r="P18" s="82"/>
      <c r="Q18" s="81"/>
      <c r="R18" s="83"/>
      <c r="S18" s="81"/>
      <c r="T18" s="83"/>
      <c r="U18" s="81"/>
      <c r="V18" s="83"/>
      <c r="W18" s="180"/>
      <c r="X18" s="82"/>
      <c r="Y18" s="82"/>
      <c r="Z18" s="183"/>
      <c r="AA18" s="84"/>
      <c r="AB18" s="84"/>
      <c r="AC18" s="185"/>
      <c r="AD18" s="84"/>
      <c r="AE18" s="84"/>
      <c r="AF18" s="183"/>
      <c r="AG18" s="82"/>
      <c r="AH18" s="84"/>
      <c r="AI18" s="84"/>
      <c r="AJ18" s="84"/>
      <c r="AK18" s="84"/>
      <c r="AL18" s="84"/>
      <c r="AM18" s="84"/>
      <c r="AN18" s="84"/>
      <c r="AO18" s="189"/>
      <c r="AP18" s="191"/>
    </row>
    <row r="19" spans="1:42" s="85" customFormat="1" ht="22.5" customHeight="1" x14ac:dyDescent="0.25">
      <c r="A19" s="233"/>
      <c r="B19" s="86"/>
      <c r="C19" s="87"/>
      <c r="D19" s="87"/>
      <c r="E19" s="87"/>
      <c r="F19" s="178"/>
      <c r="G19" s="80"/>
      <c r="H19" s="80"/>
      <c r="I19" s="81"/>
      <c r="J19" s="82"/>
      <c r="K19" s="81"/>
      <c r="L19" s="82"/>
      <c r="M19" s="81"/>
      <c r="N19" s="82"/>
      <c r="O19" s="81"/>
      <c r="P19" s="82"/>
      <c r="Q19" s="81"/>
      <c r="R19" s="83"/>
      <c r="S19" s="81"/>
      <c r="T19" s="83"/>
      <c r="U19" s="81"/>
      <c r="V19" s="83"/>
      <c r="W19" s="180"/>
      <c r="X19" s="82"/>
      <c r="Y19" s="82"/>
      <c r="Z19" s="183"/>
      <c r="AA19" s="84"/>
      <c r="AB19" s="84"/>
      <c r="AC19" s="185"/>
      <c r="AD19" s="84"/>
      <c r="AE19" s="84"/>
      <c r="AF19" s="183"/>
      <c r="AG19" s="82"/>
      <c r="AH19" s="84"/>
      <c r="AI19" s="84"/>
      <c r="AJ19" s="84"/>
      <c r="AK19" s="84"/>
      <c r="AL19" s="84"/>
      <c r="AM19" s="84"/>
      <c r="AN19" s="84"/>
      <c r="AO19" s="189"/>
      <c r="AP19" s="191"/>
    </row>
    <row r="20" spans="1:42" s="85" customFormat="1" ht="22.5" customHeight="1" x14ac:dyDescent="0.25">
      <c r="A20" s="233"/>
      <c r="B20" s="86"/>
      <c r="C20" s="87"/>
      <c r="D20" s="87"/>
      <c r="E20" s="87"/>
      <c r="F20" s="178"/>
      <c r="G20" s="80"/>
      <c r="H20" s="80"/>
      <c r="I20" s="81"/>
      <c r="J20" s="82"/>
      <c r="K20" s="81"/>
      <c r="L20" s="82"/>
      <c r="M20" s="81"/>
      <c r="N20" s="82"/>
      <c r="O20" s="81"/>
      <c r="P20" s="82"/>
      <c r="Q20" s="81"/>
      <c r="R20" s="83"/>
      <c r="S20" s="81"/>
      <c r="T20" s="83"/>
      <c r="U20" s="81"/>
      <c r="V20" s="83"/>
      <c r="W20" s="180"/>
      <c r="X20" s="82"/>
      <c r="Y20" s="82"/>
      <c r="Z20" s="183"/>
      <c r="AA20" s="84"/>
      <c r="AB20" s="84"/>
      <c r="AC20" s="185"/>
      <c r="AD20" s="84"/>
      <c r="AE20" s="84"/>
      <c r="AF20" s="183"/>
      <c r="AG20" s="82"/>
      <c r="AH20" s="84"/>
      <c r="AI20" s="84"/>
      <c r="AJ20" s="84"/>
      <c r="AK20" s="84"/>
      <c r="AL20" s="84"/>
      <c r="AM20" s="84"/>
      <c r="AN20" s="84"/>
      <c r="AO20" s="189"/>
      <c r="AP20" s="191"/>
    </row>
    <row r="21" spans="1:42" s="85" customFormat="1" ht="22.5" customHeight="1" x14ac:dyDescent="0.25">
      <c r="A21" s="233"/>
      <c r="B21" s="86"/>
      <c r="C21" s="87"/>
      <c r="D21" s="87"/>
      <c r="E21" s="87"/>
      <c r="F21" s="178"/>
      <c r="G21" s="80"/>
      <c r="H21" s="80"/>
      <c r="I21" s="81"/>
      <c r="J21" s="82"/>
      <c r="K21" s="81"/>
      <c r="L21" s="82"/>
      <c r="M21" s="81"/>
      <c r="N21" s="82"/>
      <c r="O21" s="81"/>
      <c r="P21" s="82"/>
      <c r="Q21" s="81"/>
      <c r="R21" s="83"/>
      <c r="S21" s="81"/>
      <c r="T21" s="83"/>
      <c r="U21" s="81"/>
      <c r="V21" s="83"/>
      <c r="W21" s="180"/>
      <c r="X21" s="82"/>
      <c r="Y21" s="82"/>
      <c r="Z21" s="183"/>
      <c r="AA21" s="84"/>
      <c r="AB21" s="84"/>
      <c r="AC21" s="185"/>
      <c r="AD21" s="84"/>
      <c r="AE21" s="84"/>
      <c r="AF21" s="183"/>
      <c r="AG21" s="82"/>
      <c r="AH21" s="84"/>
      <c r="AI21" s="84"/>
      <c r="AJ21" s="84"/>
      <c r="AK21" s="84"/>
      <c r="AL21" s="84"/>
      <c r="AM21" s="84"/>
      <c r="AN21" s="84"/>
      <c r="AO21" s="189"/>
      <c r="AP21" s="191"/>
    </row>
    <row r="22" spans="1:42" s="85" customFormat="1" ht="22.5" customHeight="1" x14ac:dyDescent="0.25">
      <c r="A22" s="233"/>
      <c r="B22" s="86"/>
      <c r="C22" s="87"/>
      <c r="D22" s="87"/>
      <c r="E22" s="87"/>
      <c r="F22" s="178"/>
      <c r="G22" s="80"/>
      <c r="H22" s="80"/>
      <c r="I22" s="81"/>
      <c r="J22" s="82"/>
      <c r="K22" s="81"/>
      <c r="L22" s="82"/>
      <c r="M22" s="81"/>
      <c r="N22" s="82"/>
      <c r="O22" s="81"/>
      <c r="P22" s="82"/>
      <c r="Q22" s="81"/>
      <c r="R22" s="83"/>
      <c r="S22" s="81"/>
      <c r="T22" s="83"/>
      <c r="U22" s="81"/>
      <c r="V22" s="83"/>
      <c r="W22" s="180"/>
      <c r="X22" s="82"/>
      <c r="Y22" s="82"/>
      <c r="Z22" s="183"/>
      <c r="AA22" s="84"/>
      <c r="AB22" s="84"/>
      <c r="AC22" s="185"/>
      <c r="AD22" s="84"/>
      <c r="AE22" s="84"/>
      <c r="AF22" s="183"/>
      <c r="AG22" s="82"/>
      <c r="AH22" s="84"/>
      <c r="AI22" s="84"/>
      <c r="AJ22" s="84"/>
      <c r="AK22" s="84"/>
      <c r="AL22" s="84"/>
      <c r="AM22" s="84"/>
      <c r="AN22" s="84"/>
      <c r="AO22" s="189"/>
      <c r="AP22" s="191"/>
    </row>
    <row r="23" spans="1:42" s="85" customFormat="1" ht="22.5" customHeight="1" x14ac:dyDescent="0.25">
      <c r="A23" s="233"/>
      <c r="B23" s="86"/>
      <c r="C23" s="87"/>
      <c r="D23" s="87"/>
      <c r="E23" s="87"/>
      <c r="F23" s="178"/>
      <c r="G23" s="80"/>
      <c r="H23" s="80"/>
      <c r="I23" s="81"/>
      <c r="J23" s="82"/>
      <c r="K23" s="81"/>
      <c r="L23" s="82"/>
      <c r="M23" s="81"/>
      <c r="N23" s="82"/>
      <c r="O23" s="81"/>
      <c r="P23" s="82"/>
      <c r="Q23" s="81"/>
      <c r="R23" s="83"/>
      <c r="S23" s="81"/>
      <c r="T23" s="83"/>
      <c r="U23" s="81"/>
      <c r="V23" s="83"/>
      <c r="W23" s="180"/>
      <c r="X23" s="82"/>
      <c r="Y23" s="82"/>
      <c r="Z23" s="183"/>
      <c r="AA23" s="84"/>
      <c r="AB23" s="84"/>
      <c r="AC23" s="185"/>
      <c r="AD23" s="84"/>
      <c r="AE23" s="84"/>
      <c r="AF23" s="183"/>
      <c r="AG23" s="82"/>
      <c r="AH23" s="84"/>
      <c r="AI23" s="84"/>
      <c r="AJ23" s="84"/>
      <c r="AK23" s="84"/>
      <c r="AL23" s="84"/>
      <c r="AM23" s="84"/>
      <c r="AN23" s="84"/>
      <c r="AO23" s="189"/>
      <c r="AP23" s="191"/>
    </row>
    <row r="24" spans="1:42" s="85" customFormat="1" ht="22.5" customHeight="1" x14ac:dyDescent="0.25">
      <c r="A24" s="233"/>
      <c r="B24" s="86"/>
      <c r="C24" s="87"/>
      <c r="D24" s="87"/>
      <c r="E24" s="87"/>
      <c r="F24" s="178"/>
      <c r="G24" s="80"/>
      <c r="H24" s="80"/>
      <c r="I24" s="81"/>
      <c r="J24" s="82"/>
      <c r="K24" s="81"/>
      <c r="L24" s="82"/>
      <c r="M24" s="81"/>
      <c r="N24" s="82"/>
      <c r="O24" s="81"/>
      <c r="P24" s="82"/>
      <c r="Q24" s="81"/>
      <c r="R24" s="83"/>
      <c r="S24" s="81"/>
      <c r="T24" s="83"/>
      <c r="U24" s="81"/>
      <c r="V24" s="83"/>
      <c r="W24" s="180"/>
      <c r="X24" s="82"/>
      <c r="Y24" s="82"/>
      <c r="Z24" s="183"/>
      <c r="AA24" s="84"/>
      <c r="AB24" s="84"/>
      <c r="AC24" s="185"/>
      <c r="AD24" s="84"/>
      <c r="AE24" s="84"/>
      <c r="AF24" s="183"/>
      <c r="AG24" s="82"/>
      <c r="AH24" s="84"/>
      <c r="AI24" s="84"/>
      <c r="AJ24" s="84"/>
      <c r="AK24" s="84"/>
      <c r="AL24" s="84"/>
      <c r="AM24" s="84"/>
      <c r="AN24" s="84"/>
      <c r="AO24" s="189"/>
      <c r="AP24" s="191"/>
    </row>
    <row r="25" spans="1:42" s="85" customFormat="1" ht="22.5" customHeight="1" x14ac:dyDescent="0.25">
      <c r="A25" s="233"/>
      <c r="B25" s="86"/>
      <c r="C25" s="87"/>
      <c r="D25" s="87"/>
      <c r="E25" s="87"/>
      <c r="F25" s="178"/>
      <c r="G25" s="80"/>
      <c r="H25" s="80"/>
      <c r="I25" s="81"/>
      <c r="J25" s="82"/>
      <c r="K25" s="81"/>
      <c r="L25" s="82"/>
      <c r="M25" s="81"/>
      <c r="N25" s="82"/>
      <c r="O25" s="81"/>
      <c r="P25" s="82"/>
      <c r="Q25" s="81"/>
      <c r="R25" s="83"/>
      <c r="S25" s="81"/>
      <c r="T25" s="83"/>
      <c r="U25" s="81"/>
      <c r="V25" s="83"/>
      <c r="W25" s="180"/>
      <c r="X25" s="82"/>
      <c r="Y25" s="82"/>
      <c r="Z25" s="183"/>
      <c r="AA25" s="84"/>
      <c r="AB25" s="84"/>
      <c r="AC25" s="185"/>
      <c r="AD25" s="84"/>
      <c r="AE25" s="84"/>
      <c r="AF25" s="183"/>
      <c r="AG25" s="82"/>
      <c r="AH25" s="84"/>
      <c r="AI25" s="84"/>
      <c r="AJ25" s="84"/>
      <c r="AK25" s="84"/>
      <c r="AL25" s="84"/>
      <c r="AM25" s="84"/>
      <c r="AN25" s="84"/>
      <c r="AO25" s="189"/>
      <c r="AP25" s="191"/>
    </row>
    <row r="26" spans="1:42" s="85" customFormat="1" ht="22.5" customHeight="1" x14ac:dyDescent="0.25">
      <c r="A26" s="233"/>
      <c r="B26" s="86"/>
      <c r="C26" s="87"/>
      <c r="D26" s="87"/>
      <c r="E26" s="87"/>
      <c r="F26" s="178"/>
      <c r="G26" s="80"/>
      <c r="H26" s="80"/>
      <c r="I26" s="81"/>
      <c r="J26" s="82"/>
      <c r="K26" s="81"/>
      <c r="L26" s="82"/>
      <c r="M26" s="81"/>
      <c r="N26" s="82"/>
      <c r="O26" s="81"/>
      <c r="P26" s="82"/>
      <c r="Q26" s="81"/>
      <c r="R26" s="83"/>
      <c r="S26" s="81"/>
      <c r="T26" s="83"/>
      <c r="U26" s="81"/>
      <c r="V26" s="83"/>
      <c r="W26" s="180"/>
      <c r="X26" s="82"/>
      <c r="Y26" s="82"/>
      <c r="Z26" s="183"/>
      <c r="AA26" s="84"/>
      <c r="AB26" s="84"/>
      <c r="AC26" s="185"/>
      <c r="AD26" s="84"/>
      <c r="AE26" s="84"/>
      <c r="AF26" s="183"/>
      <c r="AG26" s="82"/>
      <c r="AH26" s="84"/>
      <c r="AI26" s="84"/>
      <c r="AJ26" s="84"/>
      <c r="AK26" s="84"/>
      <c r="AL26" s="84"/>
      <c r="AM26" s="84"/>
      <c r="AN26" s="84"/>
      <c r="AO26" s="189"/>
      <c r="AP26" s="191"/>
    </row>
    <row r="27" spans="1:42" s="85" customFormat="1" ht="22.5" customHeight="1" x14ac:dyDescent="0.25">
      <c r="A27" s="233"/>
      <c r="B27" s="86"/>
      <c r="C27" s="87"/>
      <c r="D27" s="87"/>
      <c r="E27" s="87"/>
      <c r="F27" s="178"/>
      <c r="G27" s="80"/>
      <c r="H27" s="80"/>
      <c r="I27" s="81"/>
      <c r="J27" s="82"/>
      <c r="K27" s="81"/>
      <c r="L27" s="82"/>
      <c r="M27" s="81"/>
      <c r="N27" s="82"/>
      <c r="O27" s="81"/>
      <c r="P27" s="82"/>
      <c r="Q27" s="81"/>
      <c r="R27" s="83"/>
      <c r="S27" s="81"/>
      <c r="T27" s="83"/>
      <c r="U27" s="81"/>
      <c r="V27" s="83"/>
      <c r="W27" s="180"/>
      <c r="X27" s="82"/>
      <c r="Y27" s="82"/>
      <c r="Z27" s="183"/>
      <c r="AA27" s="84"/>
      <c r="AB27" s="84"/>
      <c r="AC27" s="185"/>
      <c r="AD27" s="84"/>
      <c r="AE27" s="84"/>
      <c r="AF27" s="183"/>
      <c r="AG27" s="82"/>
      <c r="AH27" s="84"/>
      <c r="AI27" s="84"/>
      <c r="AJ27" s="84"/>
      <c r="AK27" s="84"/>
      <c r="AL27" s="84"/>
      <c r="AM27" s="84"/>
      <c r="AN27" s="84"/>
      <c r="AO27" s="189"/>
      <c r="AP27" s="191"/>
    </row>
    <row r="28" spans="1:42" s="85" customFormat="1" ht="22.5" customHeight="1" x14ac:dyDescent="0.25">
      <c r="A28" s="233"/>
      <c r="B28" s="86"/>
      <c r="C28" s="87"/>
      <c r="D28" s="87"/>
      <c r="E28" s="87"/>
      <c r="F28" s="178"/>
      <c r="G28" s="80"/>
      <c r="H28" s="80"/>
      <c r="I28" s="81"/>
      <c r="J28" s="82"/>
      <c r="K28" s="81"/>
      <c r="L28" s="82"/>
      <c r="M28" s="81"/>
      <c r="N28" s="82"/>
      <c r="O28" s="81"/>
      <c r="P28" s="82"/>
      <c r="Q28" s="81"/>
      <c r="R28" s="83"/>
      <c r="S28" s="81"/>
      <c r="T28" s="83"/>
      <c r="U28" s="81"/>
      <c r="V28" s="83"/>
      <c r="W28" s="180"/>
      <c r="X28" s="82"/>
      <c r="Y28" s="82"/>
      <c r="Z28" s="183"/>
      <c r="AA28" s="84"/>
      <c r="AB28" s="84"/>
      <c r="AC28" s="185"/>
      <c r="AD28" s="84"/>
      <c r="AE28" s="84"/>
      <c r="AF28" s="183"/>
      <c r="AG28" s="82"/>
      <c r="AH28" s="84"/>
      <c r="AI28" s="84"/>
      <c r="AJ28" s="84"/>
      <c r="AK28" s="84"/>
      <c r="AL28" s="84"/>
      <c r="AM28" s="84"/>
      <c r="AN28" s="84"/>
      <c r="AO28" s="189"/>
      <c r="AP28" s="191"/>
    </row>
    <row r="29" spans="1:42" s="85" customFormat="1" ht="22.5" customHeight="1" x14ac:dyDescent="0.25">
      <c r="A29" s="233"/>
      <c r="B29" s="86"/>
      <c r="C29" s="87"/>
      <c r="D29" s="87"/>
      <c r="E29" s="87"/>
      <c r="F29" s="178"/>
      <c r="G29" s="80"/>
      <c r="H29" s="80"/>
      <c r="I29" s="81"/>
      <c r="J29" s="82"/>
      <c r="K29" s="81"/>
      <c r="L29" s="82"/>
      <c r="M29" s="81"/>
      <c r="N29" s="82"/>
      <c r="O29" s="81"/>
      <c r="P29" s="82"/>
      <c r="Q29" s="81"/>
      <c r="R29" s="83"/>
      <c r="S29" s="81"/>
      <c r="T29" s="83"/>
      <c r="U29" s="81"/>
      <c r="V29" s="83"/>
      <c r="W29" s="180"/>
      <c r="X29" s="82"/>
      <c r="Y29" s="82"/>
      <c r="Z29" s="183"/>
      <c r="AA29" s="84"/>
      <c r="AB29" s="84"/>
      <c r="AC29" s="185"/>
      <c r="AD29" s="84"/>
      <c r="AE29" s="84"/>
      <c r="AF29" s="183"/>
      <c r="AG29" s="82"/>
      <c r="AH29" s="84"/>
      <c r="AI29" s="84"/>
      <c r="AJ29" s="84"/>
      <c r="AK29" s="84"/>
      <c r="AL29" s="84"/>
      <c r="AM29" s="84"/>
      <c r="AN29" s="84"/>
      <c r="AO29" s="189"/>
      <c r="AP29" s="191"/>
    </row>
    <row r="30" spans="1:42" s="85" customFormat="1" ht="22.5" customHeight="1" x14ac:dyDescent="0.25">
      <c r="A30" s="233"/>
      <c r="B30" s="86"/>
      <c r="C30" s="87"/>
      <c r="D30" s="87"/>
      <c r="E30" s="87"/>
      <c r="F30" s="178"/>
      <c r="G30" s="80"/>
      <c r="H30" s="80"/>
      <c r="I30" s="81"/>
      <c r="J30" s="82"/>
      <c r="K30" s="81"/>
      <c r="L30" s="82"/>
      <c r="M30" s="81"/>
      <c r="N30" s="82"/>
      <c r="O30" s="81"/>
      <c r="P30" s="82"/>
      <c r="Q30" s="81"/>
      <c r="R30" s="83"/>
      <c r="S30" s="81"/>
      <c r="T30" s="83"/>
      <c r="U30" s="81"/>
      <c r="V30" s="83"/>
      <c r="W30" s="180"/>
      <c r="X30" s="82"/>
      <c r="Y30" s="82"/>
      <c r="Z30" s="183"/>
      <c r="AA30" s="84"/>
      <c r="AB30" s="84"/>
      <c r="AC30" s="185"/>
      <c r="AD30" s="84"/>
      <c r="AE30" s="84"/>
      <c r="AF30" s="183"/>
      <c r="AG30" s="82"/>
      <c r="AH30" s="84"/>
      <c r="AI30" s="84"/>
      <c r="AJ30" s="84"/>
      <c r="AK30" s="84"/>
      <c r="AL30" s="84"/>
      <c r="AM30" s="84"/>
      <c r="AN30" s="84"/>
      <c r="AO30" s="189"/>
      <c r="AP30" s="191"/>
    </row>
    <row r="31" spans="1:42" s="85" customFormat="1" ht="22.5" customHeight="1" x14ac:dyDescent="0.25">
      <c r="A31" s="233"/>
      <c r="B31" s="86"/>
      <c r="C31" s="87"/>
      <c r="D31" s="87"/>
      <c r="E31" s="87"/>
      <c r="F31" s="178"/>
      <c r="G31" s="80"/>
      <c r="H31" s="80"/>
      <c r="I31" s="81"/>
      <c r="J31" s="82"/>
      <c r="K31" s="81"/>
      <c r="L31" s="82"/>
      <c r="M31" s="81"/>
      <c r="N31" s="82"/>
      <c r="O31" s="81"/>
      <c r="P31" s="82"/>
      <c r="Q31" s="81"/>
      <c r="R31" s="83"/>
      <c r="S31" s="81"/>
      <c r="T31" s="83"/>
      <c r="U31" s="81"/>
      <c r="V31" s="83"/>
      <c r="W31" s="180"/>
      <c r="X31" s="82"/>
      <c r="Y31" s="82"/>
      <c r="Z31" s="183"/>
      <c r="AA31" s="84"/>
      <c r="AB31" s="84"/>
      <c r="AC31" s="185"/>
      <c r="AD31" s="84"/>
      <c r="AE31" s="84"/>
      <c r="AF31" s="183"/>
      <c r="AG31" s="82"/>
      <c r="AH31" s="84"/>
      <c r="AI31" s="84"/>
      <c r="AJ31" s="84"/>
      <c r="AK31" s="84"/>
      <c r="AL31" s="84"/>
      <c r="AM31" s="84"/>
      <c r="AN31" s="84"/>
      <c r="AO31" s="189"/>
      <c r="AP31" s="191"/>
    </row>
    <row r="32" spans="1:42" s="85" customFormat="1" ht="22.5" customHeight="1" x14ac:dyDescent="0.25">
      <c r="A32" s="233"/>
      <c r="B32" s="86"/>
      <c r="C32" s="87"/>
      <c r="D32" s="87"/>
      <c r="E32" s="87"/>
      <c r="F32" s="178"/>
      <c r="G32" s="80"/>
      <c r="H32" s="80"/>
      <c r="I32" s="81"/>
      <c r="J32" s="82"/>
      <c r="K32" s="81"/>
      <c r="L32" s="82"/>
      <c r="M32" s="81"/>
      <c r="N32" s="82"/>
      <c r="O32" s="81"/>
      <c r="P32" s="82"/>
      <c r="Q32" s="81"/>
      <c r="R32" s="83"/>
      <c r="S32" s="81"/>
      <c r="T32" s="83"/>
      <c r="U32" s="81"/>
      <c r="V32" s="83"/>
      <c r="W32" s="180"/>
      <c r="X32" s="82"/>
      <c r="Y32" s="82"/>
      <c r="Z32" s="183"/>
      <c r="AA32" s="84"/>
      <c r="AB32" s="84"/>
      <c r="AC32" s="185"/>
      <c r="AD32" s="84"/>
      <c r="AE32" s="84"/>
      <c r="AF32" s="183"/>
      <c r="AG32" s="82"/>
      <c r="AH32" s="84"/>
      <c r="AI32" s="84"/>
      <c r="AJ32" s="84"/>
      <c r="AK32" s="84"/>
      <c r="AL32" s="84"/>
      <c r="AM32" s="84"/>
      <c r="AN32" s="84"/>
      <c r="AO32" s="189"/>
      <c r="AP32" s="191"/>
    </row>
    <row r="33" spans="1:42" s="85" customFormat="1" ht="22.5" customHeight="1" x14ac:dyDescent="0.25">
      <c r="A33" s="233"/>
      <c r="B33" s="86"/>
      <c r="C33" s="87"/>
      <c r="D33" s="87"/>
      <c r="E33" s="87"/>
      <c r="F33" s="178"/>
      <c r="G33" s="80"/>
      <c r="H33" s="80"/>
      <c r="I33" s="81"/>
      <c r="J33" s="82"/>
      <c r="K33" s="81"/>
      <c r="L33" s="82"/>
      <c r="M33" s="81"/>
      <c r="N33" s="82"/>
      <c r="O33" s="81"/>
      <c r="P33" s="82"/>
      <c r="Q33" s="81"/>
      <c r="R33" s="83"/>
      <c r="S33" s="81"/>
      <c r="T33" s="83"/>
      <c r="U33" s="81"/>
      <c r="V33" s="83"/>
      <c r="W33" s="180"/>
      <c r="X33" s="82"/>
      <c r="Y33" s="82"/>
      <c r="Z33" s="183"/>
      <c r="AA33" s="84"/>
      <c r="AB33" s="84"/>
      <c r="AC33" s="185"/>
      <c r="AD33" s="84"/>
      <c r="AE33" s="84"/>
      <c r="AF33" s="183"/>
      <c r="AG33" s="82"/>
      <c r="AH33" s="84"/>
      <c r="AI33" s="84"/>
      <c r="AJ33" s="84"/>
      <c r="AK33" s="84"/>
      <c r="AL33" s="84"/>
      <c r="AM33" s="84"/>
      <c r="AN33" s="84"/>
      <c r="AO33" s="189"/>
      <c r="AP33" s="191"/>
    </row>
    <row r="34" spans="1:42" s="85" customFormat="1" ht="22.5" customHeight="1" x14ac:dyDescent="0.25">
      <c r="A34" s="233"/>
      <c r="B34" s="86"/>
      <c r="C34" s="87"/>
      <c r="D34" s="87"/>
      <c r="E34" s="87"/>
      <c r="F34" s="178"/>
      <c r="G34" s="80"/>
      <c r="H34" s="80"/>
      <c r="I34" s="81"/>
      <c r="J34" s="82"/>
      <c r="K34" s="81"/>
      <c r="L34" s="82"/>
      <c r="M34" s="81"/>
      <c r="N34" s="82"/>
      <c r="O34" s="81"/>
      <c r="P34" s="82"/>
      <c r="Q34" s="81"/>
      <c r="R34" s="83"/>
      <c r="S34" s="81"/>
      <c r="T34" s="83"/>
      <c r="U34" s="81"/>
      <c r="V34" s="83"/>
      <c r="W34" s="180"/>
      <c r="X34" s="82"/>
      <c r="Y34" s="82"/>
      <c r="Z34" s="183"/>
      <c r="AA34" s="84"/>
      <c r="AB34" s="84"/>
      <c r="AC34" s="185"/>
      <c r="AD34" s="84"/>
      <c r="AE34" s="84"/>
      <c r="AF34" s="183"/>
      <c r="AG34" s="82"/>
      <c r="AH34" s="84"/>
      <c r="AI34" s="84"/>
      <c r="AJ34" s="84"/>
      <c r="AK34" s="84"/>
      <c r="AL34" s="84"/>
      <c r="AM34" s="84"/>
      <c r="AN34" s="84"/>
      <c r="AO34" s="189"/>
      <c r="AP34" s="191"/>
    </row>
    <row r="35" spans="1:42" s="85" customFormat="1" ht="22.5" customHeight="1" x14ac:dyDescent="0.25">
      <c r="A35" s="233"/>
      <c r="B35" s="86"/>
      <c r="C35" s="87"/>
      <c r="D35" s="87"/>
      <c r="E35" s="87"/>
      <c r="F35" s="178"/>
      <c r="G35" s="80"/>
      <c r="H35" s="80"/>
      <c r="I35" s="81"/>
      <c r="J35" s="82"/>
      <c r="K35" s="81"/>
      <c r="L35" s="82"/>
      <c r="M35" s="81"/>
      <c r="N35" s="82"/>
      <c r="O35" s="81"/>
      <c r="P35" s="82"/>
      <c r="Q35" s="81"/>
      <c r="R35" s="83"/>
      <c r="S35" s="81"/>
      <c r="T35" s="83"/>
      <c r="U35" s="81"/>
      <c r="V35" s="83"/>
      <c r="W35" s="180"/>
      <c r="X35" s="82"/>
      <c r="Y35" s="82"/>
      <c r="Z35" s="183"/>
      <c r="AA35" s="84"/>
      <c r="AB35" s="84"/>
      <c r="AC35" s="185"/>
      <c r="AD35" s="84"/>
      <c r="AE35" s="84"/>
      <c r="AF35" s="183"/>
      <c r="AG35" s="82"/>
      <c r="AH35" s="84"/>
      <c r="AI35" s="84"/>
      <c r="AJ35" s="84"/>
      <c r="AK35" s="84"/>
      <c r="AL35" s="84"/>
      <c r="AM35" s="84"/>
      <c r="AN35" s="84"/>
      <c r="AO35" s="189"/>
      <c r="AP35" s="191"/>
    </row>
    <row r="36" spans="1:42" s="85" customFormat="1" ht="22.5" customHeight="1" x14ac:dyDescent="0.25">
      <c r="A36" s="233"/>
      <c r="B36" s="86"/>
      <c r="C36" s="87"/>
      <c r="D36" s="87"/>
      <c r="E36" s="87"/>
      <c r="F36" s="178"/>
      <c r="G36" s="80"/>
      <c r="H36" s="80"/>
      <c r="I36" s="81"/>
      <c r="J36" s="82"/>
      <c r="K36" s="81"/>
      <c r="L36" s="82"/>
      <c r="M36" s="81"/>
      <c r="N36" s="82"/>
      <c r="O36" s="81"/>
      <c r="P36" s="82"/>
      <c r="Q36" s="81"/>
      <c r="R36" s="83"/>
      <c r="S36" s="81"/>
      <c r="T36" s="83"/>
      <c r="U36" s="81"/>
      <c r="V36" s="83"/>
      <c r="W36" s="180"/>
      <c r="X36" s="82"/>
      <c r="Y36" s="82"/>
      <c r="Z36" s="183"/>
      <c r="AA36" s="84"/>
      <c r="AB36" s="84"/>
      <c r="AC36" s="185"/>
      <c r="AD36" s="84"/>
      <c r="AE36" s="84"/>
      <c r="AF36" s="183"/>
      <c r="AG36" s="82"/>
      <c r="AH36" s="84"/>
      <c r="AI36" s="84"/>
      <c r="AJ36" s="84"/>
      <c r="AK36" s="84"/>
      <c r="AL36" s="84"/>
      <c r="AM36" s="84"/>
      <c r="AN36" s="84"/>
      <c r="AO36" s="189"/>
      <c r="AP36" s="191"/>
    </row>
    <row r="37" spans="1:42" s="85" customFormat="1" ht="22.5" customHeight="1" x14ac:dyDescent="0.25">
      <c r="A37" s="233"/>
      <c r="B37" s="86"/>
      <c r="C37" s="87"/>
      <c r="D37" s="87"/>
      <c r="E37" s="87"/>
      <c r="F37" s="178"/>
      <c r="G37" s="80"/>
      <c r="H37" s="80"/>
      <c r="I37" s="81"/>
      <c r="J37" s="82"/>
      <c r="K37" s="81"/>
      <c r="L37" s="82"/>
      <c r="M37" s="81"/>
      <c r="N37" s="82"/>
      <c r="O37" s="81"/>
      <c r="P37" s="82"/>
      <c r="Q37" s="81"/>
      <c r="R37" s="83"/>
      <c r="S37" s="81"/>
      <c r="T37" s="83"/>
      <c r="U37" s="81"/>
      <c r="V37" s="83"/>
      <c r="W37" s="180"/>
      <c r="X37" s="82"/>
      <c r="Y37" s="82"/>
      <c r="Z37" s="183"/>
      <c r="AA37" s="84"/>
      <c r="AB37" s="84"/>
      <c r="AC37" s="185"/>
      <c r="AD37" s="84"/>
      <c r="AE37" s="84"/>
      <c r="AF37" s="183"/>
      <c r="AG37" s="82"/>
      <c r="AH37" s="84"/>
      <c r="AI37" s="84"/>
      <c r="AJ37" s="84"/>
      <c r="AK37" s="84"/>
      <c r="AL37" s="84"/>
      <c r="AM37" s="84"/>
      <c r="AN37" s="84"/>
      <c r="AO37" s="189"/>
      <c r="AP37" s="191"/>
    </row>
    <row r="38" spans="1:42" s="85" customFormat="1" ht="22.5" customHeight="1" x14ac:dyDescent="0.25">
      <c r="A38" s="233"/>
      <c r="B38" s="86"/>
      <c r="C38" s="87"/>
      <c r="D38" s="87"/>
      <c r="E38" s="87"/>
      <c r="F38" s="178"/>
      <c r="G38" s="80"/>
      <c r="H38" s="80"/>
      <c r="I38" s="81"/>
      <c r="J38" s="82"/>
      <c r="K38" s="81"/>
      <c r="L38" s="82"/>
      <c r="M38" s="81"/>
      <c r="N38" s="82"/>
      <c r="O38" s="81"/>
      <c r="P38" s="82"/>
      <c r="Q38" s="81"/>
      <c r="R38" s="83"/>
      <c r="S38" s="81"/>
      <c r="T38" s="83"/>
      <c r="U38" s="81"/>
      <c r="V38" s="83"/>
      <c r="W38" s="180"/>
      <c r="X38" s="82"/>
      <c r="Y38" s="82"/>
      <c r="Z38" s="183"/>
      <c r="AA38" s="84"/>
      <c r="AB38" s="84"/>
      <c r="AC38" s="185"/>
      <c r="AD38" s="84"/>
      <c r="AE38" s="84"/>
      <c r="AF38" s="183"/>
      <c r="AG38" s="82"/>
      <c r="AH38" s="84"/>
      <c r="AI38" s="84"/>
      <c r="AJ38" s="84"/>
      <c r="AK38" s="84"/>
      <c r="AL38" s="84"/>
      <c r="AM38" s="84"/>
      <c r="AN38" s="84"/>
      <c r="AO38" s="189"/>
      <c r="AP38" s="191"/>
    </row>
    <row r="39" spans="1:42" s="85" customFormat="1" ht="22.5" customHeight="1" x14ac:dyDescent="0.25">
      <c r="A39" s="233"/>
      <c r="B39" s="86"/>
      <c r="C39" s="87"/>
      <c r="D39" s="87"/>
      <c r="E39" s="87"/>
      <c r="F39" s="178"/>
      <c r="G39" s="80"/>
      <c r="H39" s="80"/>
      <c r="I39" s="81"/>
      <c r="J39" s="82"/>
      <c r="K39" s="81"/>
      <c r="L39" s="82"/>
      <c r="M39" s="81"/>
      <c r="N39" s="82"/>
      <c r="O39" s="81"/>
      <c r="P39" s="82"/>
      <c r="Q39" s="81"/>
      <c r="R39" s="83"/>
      <c r="S39" s="81"/>
      <c r="T39" s="83"/>
      <c r="U39" s="81"/>
      <c r="V39" s="83"/>
      <c r="W39" s="180"/>
      <c r="X39" s="82"/>
      <c r="Y39" s="82"/>
      <c r="Z39" s="183"/>
      <c r="AA39" s="84"/>
      <c r="AB39" s="84"/>
      <c r="AC39" s="185"/>
      <c r="AD39" s="84"/>
      <c r="AE39" s="84"/>
      <c r="AF39" s="183"/>
      <c r="AG39" s="82"/>
      <c r="AH39" s="84"/>
      <c r="AI39" s="84"/>
      <c r="AJ39" s="84"/>
      <c r="AK39" s="84"/>
      <c r="AL39" s="84"/>
      <c r="AM39" s="84"/>
      <c r="AN39" s="84"/>
      <c r="AO39" s="189"/>
      <c r="AP39" s="191"/>
    </row>
    <row r="40" spans="1:42" s="85" customFormat="1" ht="22.5" customHeight="1" x14ac:dyDescent="0.25">
      <c r="A40" s="233"/>
      <c r="B40" s="86"/>
      <c r="C40" s="87"/>
      <c r="D40" s="87"/>
      <c r="E40" s="87"/>
      <c r="F40" s="178"/>
      <c r="G40" s="80"/>
      <c r="H40" s="80"/>
      <c r="I40" s="81"/>
      <c r="J40" s="82"/>
      <c r="K40" s="81"/>
      <c r="L40" s="82"/>
      <c r="M40" s="81"/>
      <c r="N40" s="82"/>
      <c r="O40" s="81"/>
      <c r="P40" s="82"/>
      <c r="Q40" s="81"/>
      <c r="R40" s="83"/>
      <c r="S40" s="81"/>
      <c r="T40" s="83"/>
      <c r="U40" s="81"/>
      <c r="V40" s="83"/>
      <c r="W40" s="180"/>
      <c r="X40" s="82"/>
      <c r="Y40" s="82"/>
      <c r="Z40" s="183"/>
      <c r="AA40" s="84"/>
      <c r="AB40" s="84"/>
      <c r="AC40" s="185"/>
      <c r="AD40" s="84"/>
      <c r="AE40" s="84"/>
      <c r="AF40" s="183"/>
      <c r="AG40" s="82"/>
      <c r="AH40" s="84"/>
      <c r="AI40" s="84"/>
      <c r="AJ40" s="84"/>
      <c r="AK40" s="84"/>
      <c r="AL40" s="84"/>
      <c r="AM40" s="84"/>
      <c r="AN40" s="84"/>
      <c r="AO40" s="189"/>
      <c r="AP40" s="191"/>
    </row>
    <row r="41" spans="1:42" s="85" customFormat="1" ht="22.5" customHeight="1" x14ac:dyDescent="0.25">
      <c r="A41" s="233"/>
      <c r="B41" s="86"/>
      <c r="C41" s="87"/>
      <c r="D41" s="87"/>
      <c r="E41" s="87"/>
      <c r="F41" s="178"/>
      <c r="G41" s="80"/>
      <c r="H41" s="80"/>
      <c r="I41" s="81"/>
      <c r="J41" s="82"/>
      <c r="K41" s="81"/>
      <c r="L41" s="82"/>
      <c r="M41" s="81"/>
      <c r="N41" s="82"/>
      <c r="O41" s="81"/>
      <c r="P41" s="82"/>
      <c r="Q41" s="81"/>
      <c r="R41" s="83"/>
      <c r="S41" s="81"/>
      <c r="T41" s="83"/>
      <c r="U41" s="81"/>
      <c r="V41" s="83"/>
      <c r="W41" s="180"/>
      <c r="X41" s="82"/>
      <c r="Y41" s="82"/>
      <c r="Z41" s="183"/>
      <c r="AA41" s="84"/>
      <c r="AB41" s="84"/>
      <c r="AC41" s="185"/>
      <c r="AD41" s="84"/>
      <c r="AE41" s="84"/>
      <c r="AF41" s="183"/>
      <c r="AG41" s="82"/>
      <c r="AH41" s="84"/>
      <c r="AI41" s="84"/>
      <c r="AJ41" s="84"/>
      <c r="AK41" s="84"/>
      <c r="AL41" s="84"/>
      <c r="AM41" s="84"/>
      <c r="AN41" s="84"/>
      <c r="AO41" s="189"/>
      <c r="AP41" s="191"/>
    </row>
    <row r="42" spans="1:42" s="85" customFormat="1" ht="22.5" customHeight="1" x14ac:dyDescent="0.25">
      <c r="A42" s="233"/>
      <c r="B42" s="86"/>
      <c r="C42" s="87"/>
      <c r="D42" s="87"/>
      <c r="E42" s="87"/>
      <c r="F42" s="178"/>
      <c r="G42" s="80"/>
      <c r="H42" s="80"/>
      <c r="I42" s="81"/>
      <c r="J42" s="82"/>
      <c r="K42" s="81"/>
      <c r="L42" s="82"/>
      <c r="M42" s="81"/>
      <c r="N42" s="82"/>
      <c r="O42" s="81"/>
      <c r="P42" s="82"/>
      <c r="Q42" s="81"/>
      <c r="R42" s="83"/>
      <c r="S42" s="81"/>
      <c r="T42" s="83"/>
      <c r="U42" s="81"/>
      <c r="V42" s="83"/>
      <c r="W42" s="180"/>
      <c r="X42" s="82"/>
      <c r="Y42" s="82"/>
      <c r="Z42" s="183"/>
      <c r="AA42" s="84"/>
      <c r="AB42" s="84"/>
      <c r="AC42" s="185"/>
      <c r="AD42" s="84"/>
      <c r="AE42" s="84"/>
      <c r="AF42" s="183"/>
      <c r="AG42" s="82"/>
      <c r="AH42" s="84"/>
      <c r="AI42" s="84"/>
      <c r="AJ42" s="84"/>
      <c r="AK42" s="84"/>
      <c r="AL42" s="84"/>
      <c r="AM42" s="84"/>
      <c r="AN42" s="84"/>
      <c r="AO42" s="189"/>
      <c r="AP42" s="191"/>
    </row>
    <row r="43" spans="1:42" s="85" customFormat="1" ht="22.5" customHeight="1" x14ac:dyDescent="0.25">
      <c r="A43" s="233"/>
      <c r="B43" s="86"/>
      <c r="C43" s="87"/>
      <c r="D43" s="87"/>
      <c r="E43" s="87"/>
      <c r="F43" s="178"/>
      <c r="G43" s="80"/>
      <c r="H43" s="80"/>
      <c r="I43" s="81"/>
      <c r="J43" s="82"/>
      <c r="K43" s="81"/>
      <c r="L43" s="82"/>
      <c r="M43" s="81"/>
      <c r="N43" s="82"/>
      <c r="O43" s="81"/>
      <c r="P43" s="82"/>
      <c r="Q43" s="81"/>
      <c r="R43" s="83"/>
      <c r="S43" s="81"/>
      <c r="T43" s="83"/>
      <c r="U43" s="81"/>
      <c r="V43" s="83"/>
      <c r="W43" s="180"/>
      <c r="X43" s="82"/>
      <c r="Y43" s="82"/>
      <c r="Z43" s="183"/>
      <c r="AA43" s="84"/>
      <c r="AB43" s="84"/>
      <c r="AC43" s="185"/>
      <c r="AD43" s="84"/>
      <c r="AE43" s="84"/>
      <c r="AF43" s="183"/>
      <c r="AG43" s="82"/>
      <c r="AH43" s="84"/>
      <c r="AI43" s="84"/>
      <c r="AJ43" s="84"/>
      <c r="AK43" s="84"/>
      <c r="AL43" s="84"/>
      <c r="AM43" s="84"/>
      <c r="AN43" s="84"/>
      <c r="AO43" s="189"/>
      <c r="AP43" s="191"/>
    </row>
    <row r="44" spans="1:42" s="85" customFormat="1" ht="22.5" customHeight="1" x14ac:dyDescent="0.25">
      <c r="A44" s="233"/>
      <c r="B44" s="86"/>
      <c r="C44" s="87"/>
      <c r="D44" s="87"/>
      <c r="E44" s="87"/>
      <c r="F44" s="178"/>
      <c r="G44" s="80"/>
      <c r="H44" s="80"/>
      <c r="I44" s="81"/>
      <c r="J44" s="82"/>
      <c r="K44" s="81"/>
      <c r="L44" s="82"/>
      <c r="M44" s="81"/>
      <c r="N44" s="82"/>
      <c r="O44" s="81"/>
      <c r="P44" s="82"/>
      <c r="Q44" s="81"/>
      <c r="R44" s="83"/>
      <c r="S44" s="81"/>
      <c r="T44" s="83"/>
      <c r="U44" s="81"/>
      <c r="V44" s="83"/>
      <c r="W44" s="180"/>
      <c r="X44" s="82"/>
      <c r="Y44" s="82"/>
      <c r="Z44" s="183"/>
      <c r="AA44" s="84"/>
      <c r="AB44" s="84"/>
      <c r="AC44" s="185"/>
      <c r="AD44" s="84"/>
      <c r="AE44" s="84"/>
      <c r="AF44" s="183"/>
      <c r="AG44" s="82"/>
      <c r="AH44" s="84"/>
      <c r="AI44" s="84"/>
      <c r="AJ44" s="84"/>
      <c r="AK44" s="84"/>
      <c r="AL44" s="84"/>
      <c r="AM44" s="84"/>
      <c r="AN44" s="84"/>
      <c r="AO44" s="189"/>
      <c r="AP44" s="191"/>
    </row>
    <row r="45" spans="1:42" s="85" customFormat="1" ht="22.5" customHeight="1" x14ac:dyDescent="0.25">
      <c r="A45" s="233"/>
      <c r="B45" s="86"/>
      <c r="C45" s="87"/>
      <c r="D45" s="87"/>
      <c r="E45" s="87"/>
      <c r="F45" s="178"/>
      <c r="G45" s="80"/>
      <c r="H45" s="80"/>
      <c r="I45" s="81"/>
      <c r="J45" s="82"/>
      <c r="K45" s="81"/>
      <c r="L45" s="82"/>
      <c r="M45" s="81"/>
      <c r="N45" s="82"/>
      <c r="O45" s="81"/>
      <c r="P45" s="82"/>
      <c r="Q45" s="81"/>
      <c r="R45" s="83"/>
      <c r="S45" s="81"/>
      <c r="T45" s="83"/>
      <c r="U45" s="81"/>
      <c r="V45" s="83"/>
      <c r="W45" s="180"/>
      <c r="X45" s="82"/>
      <c r="Y45" s="82"/>
      <c r="Z45" s="183"/>
      <c r="AA45" s="84"/>
      <c r="AB45" s="84"/>
      <c r="AC45" s="185"/>
      <c r="AD45" s="84"/>
      <c r="AE45" s="84"/>
      <c r="AF45" s="183"/>
      <c r="AG45" s="82"/>
      <c r="AH45" s="84"/>
      <c r="AI45" s="84"/>
      <c r="AJ45" s="84"/>
      <c r="AK45" s="84"/>
      <c r="AL45" s="84"/>
      <c r="AM45" s="84"/>
      <c r="AN45" s="84"/>
      <c r="AO45" s="189"/>
      <c r="AP45" s="191"/>
    </row>
    <row r="46" spans="1:42" s="85" customFormat="1" ht="22.5" customHeight="1" x14ac:dyDescent="0.25">
      <c r="A46" s="233"/>
      <c r="B46" s="86"/>
      <c r="C46" s="87"/>
      <c r="D46" s="87"/>
      <c r="E46" s="87"/>
      <c r="F46" s="178"/>
      <c r="G46" s="80"/>
      <c r="H46" s="80"/>
      <c r="I46" s="81"/>
      <c r="J46" s="82"/>
      <c r="K46" s="81"/>
      <c r="L46" s="82"/>
      <c r="M46" s="81"/>
      <c r="N46" s="82"/>
      <c r="O46" s="81"/>
      <c r="P46" s="82"/>
      <c r="Q46" s="81"/>
      <c r="R46" s="83"/>
      <c r="S46" s="81"/>
      <c r="T46" s="83"/>
      <c r="U46" s="81"/>
      <c r="V46" s="83"/>
      <c r="W46" s="180"/>
      <c r="X46" s="82"/>
      <c r="Y46" s="82"/>
      <c r="Z46" s="183"/>
      <c r="AA46" s="84"/>
      <c r="AB46" s="84"/>
      <c r="AC46" s="185"/>
      <c r="AD46" s="84"/>
      <c r="AE46" s="84"/>
      <c r="AF46" s="183"/>
      <c r="AG46" s="82"/>
      <c r="AH46" s="84"/>
      <c r="AI46" s="84"/>
      <c r="AJ46" s="84"/>
      <c r="AK46" s="84"/>
      <c r="AL46" s="84"/>
      <c r="AM46" s="84"/>
      <c r="AN46" s="84"/>
      <c r="AO46" s="189"/>
      <c r="AP46" s="191"/>
    </row>
    <row r="47" spans="1:42" s="85" customFormat="1" ht="22.5" customHeight="1" x14ac:dyDescent="0.25">
      <c r="A47" s="233"/>
      <c r="B47" s="86"/>
      <c r="C47" s="87"/>
      <c r="D47" s="87"/>
      <c r="E47" s="87"/>
      <c r="F47" s="178"/>
      <c r="G47" s="80"/>
      <c r="H47" s="80"/>
      <c r="I47" s="81"/>
      <c r="J47" s="82"/>
      <c r="K47" s="81"/>
      <c r="L47" s="82"/>
      <c r="M47" s="81"/>
      <c r="N47" s="82"/>
      <c r="O47" s="81"/>
      <c r="P47" s="82"/>
      <c r="Q47" s="81"/>
      <c r="R47" s="83"/>
      <c r="S47" s="81"/>
      <c r="T47" s="83"/>
      <c r="U47" s="81"/>
      <c r="V47" s="83"/>
      <c r="W47" s="180"/>
      <c r="X47" s="82"/>
      <c r="Y47" s="82"/>
      <c r="Z47" s="183"/>
      <c r="AA47" s="84"/>
      <c r="AB47" s="84"/>
      <c r="AC47" s="185"/>
      <c r="AD47" s="84"/>
      <c r="AE47" s="84"/>
      <c r="AF47" s="183"/>
      <c r="AG47" s="82"/>
      <c r="AH47" s="84"/>
      <c r="AI47" s="84"/>
      <c r="AJ47" s="84"/>
      <c r="AK47" s="84"/>
      <c r="AL47" s="84"/>
      <c r="AM47" s="84"/>
      <c r="AN47" s="84"/>
      <c r="AO47" s="189"/>
      <c r="AP47" s="191"/>
    </row>
    <row r="48" spans="1:42" s="85" customFormat="1" ht="22.5" customHeight="1" x14ac:dyDescent="0.25">
      <c r="A48" s="233"/>
      <c r="B48" s="86"/>
      <c r="C48" s="87"/>
      <c r="D48" s="87"/>
      <c r="E48" s="87"/>
      <c r="F48" s="178"/>
      <c r="G48" s="80"/>
      <c r="H48" s="80"/>
      <c r="I48" s="81"/>
      <c r="J48" s="82"/>
      <c r="K48" s="81"/>
      <c r="L48" s="82"/>
      <c r="M48" s="81"/>
      <c r="N48" s="82"/>
      <c r="O48" s="81"/>
      <c r="P48" s="82"/>
      <c r="Q48" s="81"/>
      <c r="R48" s="83"/>
      <c r="S48" s="81"/>
      <c r="T48" s="83"/>
      <c r="U48" s="81"/>
      <c r="V48" s="83"/>
      <c r="W48" s="180"/>
      <c r="X48" s="82"/>
      <c r="Y48" s="82"/>
      <c r="Z48" s="183"/>
      <c r="AA48" s="84"/>
      <c r="AB48" s="84"/>
      <c r="AC48" s="185"/>
      <c r="AD48" s="84"/>
      <c r="AE48" s="84"/>
      <c r="AF48" s="183"/>
      <c r="AG48" s="82"/>
      <c r="AH48" s="84"/>
      <c r="AI48" s="84"/>
      <c r="AJ48" s="84"/>
      <c r="AK48" s="84"/>
      <c r="AL48" s="84"/>
      <c r="AM48" s="84"/>
      <c r="AN48" s="84"/>
      <c r="AO48" s="189"/>
      <c r="AP48" s="191"/>
    </row>
    <row r="49" spans="1:42" s="85" customFormat="1" ht="22.5" customHeight="1" x14ac:dyDescent="0.25">
      <c r="A49" s="233"/>
      <c r="B49" s="86"/>
      <c r="C49" s="87"/>
      <c r="D49" s="87"/>
      <c r="E49" s="87"/>
      <c r="F49" s="178"/>
      <c r="G49" s="80"/>
      <c r="H49" s="80"/>
      <c r="I49" s="81"/>
      <c r="J49" s="82"/>
      <c r="K49" s="81"/>
      <c r="L49" s="82"/>
      <c r="M49" s="81"/>
      <c r="N49" s="82"/>
      <c r="O49" s="81"/>
      <c r="P49" s="82"/>
      <c r="Q49" s="81"/>
      <c r="R49" s="83"/>
      <c r="S49" s="81"/>
      <c r="T49" s="83"/>
      <c r="U49" s="81"/>
      <c r="V49" s="83"/>
      <c r="W49" s="180"/>
      <c r="X49" s="82"/>
      <c r="Y49" s="82"/>
      <c r="Z49" s="183"/>
      <c r="AA49" s="84"/>
      <c r="AB49" s="84"/>
      <c r="AC49" s="185"/>
      <c r="AD49" s="84"/>
      <c r="AE49" s="84"/>
      <c r="AF49" s="183"/>
      <c r="AG49" s="82"/>
      <c r="AH49" s="84"/>
      <c r="AI49" s="84"/>
      <c r="AJ49" s="84"/>
      <c r="AK49" s="84"/>
      <c r="AL49" s="84"/>
      <c r="AM49" s="84"/>
      <c r="AN49" s="84"/>
      <c r="AO49" s="189"/>
      <c r="AP49" s="191"/>
    </row>
    <row r="50" spans="1:42" s="85" customFormat="1" ht="22.5" customHeight="1" x14ac:dyDescent="0.25">
      <c r="A50" s="233"/>
      <c r="B50" s="86"/>
      <c r="C50" s="87"/>
      <c r="D50" s="87"/>
      <c r="E50" s="87"/>
      <c r="F50" s="178"/>
      <c r="G50" s="80"/>
      <c r="H50" s="80"/>
      <c r="I50" s="81"/>
      <c r="J50" s="82"/>
      <c r="K50" s="81"/>
      <c r="L50" s="82"/>
      <c r="M50" s="81"/>
      <c r="N50" s="82"/>
      <c r="O50" s="81"/>
      <c r="P50" s="82"/>
      <c r="Q50" s="81"/>
      <c r="R50" s="83"/>
      <c r="S50" s="81"/>
      <c r="T50" s="83"/>
      <c r="U50" s="81"/>
      <c r="V50" s="83"/>
      <c r="W50" s="180"/>
      <c r="X50" s="82"/>
      <c r="Y50" s="82"/>
      <c r="Z50" s="183"/>
      <c r="AA50" s="84"/>
      <c r="AB50" s="84"/>
      <c r="AC50" s="185"/>
      <c r="AD50" s="84"/>
      <c r="AE50" s="84"/>
      <c r="AF50" s="183"/>
      <c r="AG50" s="82"/>
      <c r="AH50" s="84"/>
      <c r="AI50" s="84"/>
      <c r="AJ50" s="84"/>
      <c r="AK50" s="84"/>
      <c r="AL50" s="84"/>
      <c r="AM50" s="84"/>
      <c r="AN50" s="84"/>
      <c r="AO50" s="189"/>
      <c r="AP50" s="191"/>
    </row>
    <row r="51" spans="1:42" s="85" customFormat="1" ht="22.5" customHeight="1" x14ac:dyDescent="0.25">
      <c r="A51" s="233"/>
      <c r="B51" s="86"/>
      <c r="C51" s="87"/>
      <c r="D51" s="87"/>
      <c r="E51" s="87"/>
      <c r="F51" s="178"/>
      <c r="G51" s="80"/>
      <c r="H51" s="80"/>
      <c r="I51" s="81"/>
      <c r="J51" s="82"/>
      <c r="K51" s="81"/>
      <c r="L51" s="82"/>
      <c r="M51" s="81"/>
      <c r="N51" s="82"/>
      <c r="O51" s="81"/>
      <c r="P51" s="82"/>
      <c r="Q51" s="81"/>
      <c r="R51" s="83"/>
      <c r="S51" s="81"/>
      <c r="T51" s="83"/>
      <c r="U51" s="81"/>
      <c r="V51" s="83"/>
      <c r="W51" s="180"/>
      <c r="X51" s="82"/>
      <c r="Y51" s="82"/>
      <c r="Z51" s="183"/>
      <c r="AA51" s="84"/>
      <c r="AB51" s="84"/>
      <c r="AC51" s="185"/>
      <c r="AD51" s="84"/>
      <c r="AE51" s="84"/>
      <c r="AF51" s="183"/>
      <c r="AG51" s="82"/>
      <c r="AH51" s="84"/>
      <c r="AI51" s="84"/>
      <c r="AJ51" s="84"/>
      <c r="AK51" s="84"/>
      <c r="AL51" s="84"/>
      <c r="AM51" s="84"/>
      <c r="AN51" s="84"/>
      <c r="AO51" s="189"/>
      <c r="AP51" s="191"/>
    </row>
    <row r="52" spans="1:42" s="85" customFormat="1" ht="22.5" customHeight="1" x14ac:dyDescent="0.25">
      <c r="A52" s="233"/>
      <c r="B52" s="86"/>
      <c r="C52" s="87"/>
      <c r="D52" s="87"/>
      <c r="E52" s="87"/>
      <c r="F52" s="178"/>
      <c r="G52" s="80"/>
      <c r="H52" s="80"/>
      <c r="I52" s="81"/>
      <c r="J52" s="82"/>
      <c r="K52" s="81"/>
      <c r="L52" s="82"/>
      <c r="M52" s="81"/>
      <c r="N52" s="82"/>
      <c r="O52" s="81"/>
      <c r="P52" s="82"/>
      <c r="Q52" s="81"/>
      <c r="R52" s="83"/>
      <c r="S52" s="81"/>
      <c r="T52" s="83"/>
      <c r="U52" s="81"/>
      <c r="V52" s="83"/>
      <c r="W52" s="180"/>
      <c r="X52" s="82"/>
      <c r="Y52" s="82"/>
      <c r="Z52" s="183"/>
      <c r="AA52" s="84"/>
      <c r="AB52" s="84"/>
      <c r="AC52" s="185"/>
      <c r="AD52" s="84"/>
      <c r="AE52" s="84"/>
      <c r="AF52" s="183"/>
      <c r="AG52" s="82"/>
      <c r="AH52" s="84"/>
      <c r="AI52" s="84"/>
      <c r="AJ52" s="84"/>
      <c r="AK52" s="84"/>
      <c r="AL52" s="84"/>
      <c r="AM52" s="84"/>
      <c r="AN52" s="84"/>
      <c r="AO52" s="189"/>
      <c r="AP52" s="191"/>
    </row>
    <row r="53" spans="1:42" s="85" customFormat="1" ht="22.5" customHeight="1" x14ac:dyDescent="0.25">
      <c r="A53" s="233"/>
      <c r="B53" s="86"/>
      <c r="C53" s="87"/>
      <c r="D53" s="87"/>
      <c r="E53" s="87"/>
      <c r="F53" s="178"/>
      <c r="G53" s="80"/>
      <c r="H53" s="80"/>
      <c r="I53" s="81"/>
      <c r="J53" s="82"/>
      <c r="K53" s="81"/>
      <c r="L53" s="82"/>
      <c r="M53" s="81"/>
      <c r="N53" s="82"/>
      <c r="O53" s="81"/>
      <c r="P53" s="82"/>
      <c r="Q53" s="81"/>
      <c r="R53" s="83"/>
      <c r="S53" s="81"/>
      <c r="T53" s="83"/>
      <c r="U53" s="81"/>
      <c r="V53" s="83"/>
      <c r="W53" s="180"/>
      <c r="X53" s="82"/>
      <c r="Y53" s="82"/>
      <c r="Z53" s="183"/>
      <c r="AA53" s="84"/>
      <c r="AB53" s="84"/>
      <c r="AC53" s="185"/>
      <c r="AD53" s="84"/>
      <c r="AE53" s="84"/>
      <c r="AF53" s="183"/>
      <c r="AG53" s="82"/>
      <c r="AH53" s="84"/>
      <c r="AI53" s="84"/>
      <c r="AJ53" s="84"/>
      <c r="AK53" s="84"/>
      <c r="AL53" s="84"/>
      <c r="AM53" s="84"/>
      <c r="AN53" s="84"/>
      <c r="AO53" s="189"/>
      <c r="AP53" s="191"/>
    </row>
    <row r="54" spans="1:42" s="85" customFormat="1" ht="22.5" customHeight="1" x14ac:dyDescent="0.25">
      <c r="A54" s="233"/>
      <c r="B54" s="86"/>
      <c r="C54" s="87"/>
      <c r="D54" s="87"/>
      <c r="E54" s="87"/>
      <c r="F54" s="178"/>
      <c r="G54" s="80"/>
      <c r="H54" s="80"/>
      <c r="I54" s="81"/>
      <c r="J54" s="82"/>
      <c r="K54" s="81"/>
      <c r="L54" s="82"/>
      <c r="M54" s="81"/>
      <c r="N54" s="82"/>
      <c r="O54" s="81"/>
      <c r="P54" s="82"/>
      <c r="Q54" s="81"/>
      <c r="R54" s="83"/>
      <c r="S54" s="81"/>
      <c r="T54" s="83"/>
      <c r="U54" s="81"/>
      <c r="V54" s="83"/>
      <c r="W54" s="180"/>
      <c r="X54" s="82"/>
      <c r="Y54" s="82"/>
      <c r="Z54" s="183"/>
      <c r="AA54" s="84"/>
      <c r="AB54" s="84"/>
      <c r="AC54" s="185"/>
      <c r="AD54" s="84"/>
      <c r="AE54" s="84"/>
      <c r="AF54" s="183"/>
      <c r="AG54" s="82"/>
      <c r="AH54" s="84"/>
      <c r="AI54" s="84"/>
      <c r="AJ54" s="84"/>
      <c r="AK54" s="84"/>
      <c r="AL54" s="84"/>
      <c r="AM54" s="84"/>
      <c r="AN54" s="84"/>
      <c r="AO54" s="189"/>
      <c r="AP54" s="191"/>
    </row>
    <row r="55" spans="1:42" s="85" customFormat="1" ht="22.5" customHeight="1" x14ac:dyDescent="0.25">
      <c r="A55" s="233"/>
      <c r="B55" s="86"/>
      <c r="C55" s="87"/>
      <c r="D55" s="87"/>
      <c r="E55" s="87"/>
      <c r="F55" s="178"/>
      <c r="G55" s="80"/>
      <c r="H55" s="80"/>
      <c r="I55" s="81"/>
      <c r="J55" s="82"/>
      <c r="K55" s="81"/>
      <c r="L55" s="82"/>
      <c r="M55" s="81"/>
      <c r="N55" s="82"/>
      <c r="O55" s="81"/>
      <c r="P55" s="82"/>
      <c r="Q55" s="81"/>
      <c r="R55" s="83"/>
      <c r="S55" s="81"/>
      <c r="T55" s="83"/>
      <c r="U55" s="81"/>
      <c r="V55" s="83"/>
      <c r="W55" s="180"/>
      <c r="X55" s="82"/>
      <c r="Y55" s="82"/>
      <c r="Z55" s="183"/>
      <c r="AA55" s="84"/>
      <c r="AB55" s="84"/>
      <c r="AC55" s="185"/>
      <c r="AD55" s="84"/>
      <c r="AE55" s="84"/>
      <c r="AF55" s="183"/>
      <c r="AG55" s="82"/>
      <c r="AH55" s="84"/>
      <c r="AI55" s="84"/>
      <c r="AJ55" s="84"/>
      <c r="AK55" s="84"/>
      <c r="AL55" s="84"/>
      <c r="AM55" s="84"/>
      <c r="AN55" s="84"/>
      <c r="AO55" s="189"/>
      <c r="AP55" s="191"/>
    </row>
    <row r="56" spans="1:42" s="85" customFormat="1" ht="22.5" customHeight="1" x14ac:dyDescent="0.25">
      <c r="A56" s="233"/>
      <c r="B56" s="86"/>
      <c r="C56" s="87"/>
      <c r="D56" s="87"/>
      <c r="E56" s="87"/>
      <c r="F56" s="178"/>
      <c r="G56" s="80"/>
      <c r="H56" s="80"/>
      <c r="I56" s="81"/>
      <c r="J56" s="82"/>
      <c r="K56" s="81"/>
      <c r="L56" s="82"/>
      <c r="M56" s="81"/>
      <c r="N56" s="82"/>
      <c r="O56" s="81"/>
      <c r="P56" s="82"/>
      <c r="Q56" s="81"/>
      <c r="R56" s="83"/>
      <c r="S56" s="81"/>
      <c r="T56" s="83"/>
      <c r="U56" s="81"/>
      <c r="V56" s="83"/>
      <c r="W56" s="180"/>
      <c r="X56" s="82"/>
      <c r="Y56" s="82"/>
      <c r="Z56" s="183"/>
      <c r="AA56" s="84"/>
      <c r="AB56" s="84"/>
      <c r="AC56" s="185"/>
      <c r="AD56" s="84"/>
      <c r="AE56" s="84"/>
      <c r="AF56" s="183"/>
      <c r="AG56" s="82"/>
      <c r="AH56" s="84"/>
      <c r="AI56" s="84"/>
      <c r="AJ56" s="84"/>
      <c r="AK56" s="84"/>
      <c r="AL56" s="84"/>
      <c r="AM56" s="84"/>
      <c r="AN56" s="84"/>
      <c r="AO56" s="189"/>
      <c r="AP56" s="191"/>
    </row>
    <row r="57" spans="1:42" s="85" customFormat="1" ht="22.5" customHeight="1" x14ac:dyDescent="0.25">
      <c r="A57" s="233"/>
      <c r="B57" s="86"/>
      <c r="C57" s="87"/>
      <c r="D57" s="87"/>
      <c r="E57" s="87"/>
      <c r="F57" s="178"/>
      <c r="G57" s="80"/>
      <c r="H57" s="80"/>
      <c r="I57" s="81"/>
      <c r="J57" s="82"/>
      <c r="K57" s="81"/>
      <c r="L57" s="82"/>
      <c r="M57" s="81"/>
      <c r="N57" s="82"/>
      <c r="O57" s="81"/>
      <c r="P57" s="82"/>
      <c r="Q57" s="81"/>
      <c r="R57" s="83"/>
      <c r="S57" s="81"/>
      <c r="T57" s="83"/>
      <c r="U57" s="81"/>
      <c r="V57" s="83"/>
      <c r="W57" s="180"/>
      <c r="X57" s="82"/>
      <c r="Y57" s="82"/>
      <c r="Z57" s="183"/>
      <c r="AA57" s="84"/>
      <c r="AB57" s="84"/>
      <c r="AC57" s="185"/>
      <c r="AD57" s="84"/>
      <c r="AE57" s="84"/>
      <c r="AF57" s="183"/>
      <c r="AG57" s="82"/>
      <c r="AH57" s="84"/>
      <c r="AI57" s="84"/>
      <c r="AJ57" s="84"/>
      <c r="AK57" s="84"/>
      <c r="AL57" s="84"/>
      <c r="AM57" s="84"/>
      <c r="AN57" s="84"/>
      <c r="AO57" s="189"/>
      <c r="AP57" s="191"/>
    </row>
    <row r="58" spans="1:42" s="85" customFormat="1" ht="22.5" customHeight="1" x14ac:dyDescent="0.25">
      <c r="A58" s="233"/>
      <c r="B58" s="86"/>
      <c r="C58" s="87"/>
      <c r="D58" s="87"/>
      <c r="E58" s="87"/>
      <c r="F58" s="178"/>
      <c r="G58" s="80"/>
      <c r="H58" s="80"/>
      <c r="I58" s="81"/>
      <c r="J58" s="82"/>
      <c r="K58" s="81"/>
      <c r="L58" s="82"/>
      <c r="M58" s="81"/>
      <c r="N58" s="82"/>
      <c r="O58" s="81"/>
      <c r="P58" s="82"/>
      <c r="Q58" s="81"/>
      <c r="R58" s="83"/>
      <c r="S58" s="81"/>
      <c r="T58" s="83"/>
      <c r="U58" s="81"/>
      <c r="V58" s="83"/>
      <c r="W58" s="180"/>
      <c r="X58" s="82"/>
      <c r="Y58" s="82"/>
      <c r="Z58" s="183"/>
      <c r="AA58" s="84"/>
      <c r="AB58" s="84"/>
      <c r="AC58" s="185"/>
      <c r="AD58" s="84"/>
      <c r="AE58" s="84"/>
      <c r="AF58" s="183"/>
      <c r="AG58" s="82"/>
      <c r="AH58" s="84"/>
      <c r="AI58" s="84"/>
      <c r="AJ58" s="84"/>
      <c r="AK58" s="84"/>
      <c r="AL58" s="84"/>
      <c r="AM58" s="84"/>
      <c r="AN58" s="84"/>
      <c r="AO58" s="189"/>
      <c r="AP58" s="191"/>
    </row>
    <row r="59" spans="1:42" s="85" customFormat="1" ht="22.5" customHeight="1" x14ac:dyDescent="0.25">
      <c r="A59" s="233"/>
      <c r="B59" s="86"/>
      <c r="C59" s="87"/>
      <c r="D59" s="87"/>
      <c r="E59" s="87"/>
      <c r="F59" s="178"/>
      <c r="G59" s="80"/>
      <c r="H59" s="80"/>
      <c r="I59" s="81"/>
      <c r="J59" s="82"/>
      <c r="K59" s="81"/>
      <c r="L59" s="82"/>
      <c r="M59" s="81"/>
      <c r="N59" s="82"/>
      <c r="O59" s="81"/>
      <c r="P59" s="82"/>
      <c r="Q59" s="81"/>
      <c r="R59" s="83"/>
      <c r="S59" s="81"/>
      <c r="T59" s="83"/>
      <c r="U59" s="81"/>
      <c r="V59" s="83"/>
      <c r="W59" s="180"/>
      <c r="X59" s="82"/>
      <c r="Y59" s="82"/>
      <c r="Z59" s="183"/>
      <c r="AA59" s="84"/>
      <c r="AB59" s="84"/>
      <c r="AC59" s="185"/>
      <c r="AD59" s="84"/>
      <c r="AE59" s="84"/>
      <c r="AF59" s="183"/>
      <c r="AG59" s="82"/>
      <c r="AH59" s="84"/>
      <c r="AI59" s="84"/>
      <c r="AJ59" s="84"/>
      <c r="AK59" s="84"/>
      <c r="AL59" s="84"/>
      <c r="AM59" s="84"/>
      <c r="AN59" s="84"/>
      <c r="AO59" s="189"/>
      <c r="AP59" s="191"/>
    </row>
    <row r="60" spans="1:42" s="85" customFormat="1" ht="22.5" customHeight="1" x14ac:dyDescent="0.25">
      <c r="A60" s="233"/>
      <c r="B60" s="86"/>
      <c r="C60" s="87"/>
      <c r="D60" s="87"/>
      <c r="E60" s="87"/>
      <c r="F60" s="178"/>
      <c r="G60" s="80"/>
      <c r="H60" s="80"/>
      <c r="I60" s="81"/>
      <c r="J60" s="82"/>
      <c r="K60" s="81"/>
      <c r="L60" s="82"/>
      <c r="M60" s="81"/>
      <c r="N60" s="82"/>
      <c r="O60" s="81"/>
      <c r="P60" s="82"/>
      <c r="Q60" s="81"/>
      <c r="R60" s="83"/>
      <c r="S60" s="81"/>
      <c r="T60" s="83"/>
      <c r="U60" s="81"/>
      <c r="V60" s="83"/>
      <c r="W60" s="180"/>
      <c r="X60" s="82"/>
      <c r="Y60" s="82"/>
      <c r="Z60" s="183"/>
      <c r="AA60" s="84"/>
      <c r="AB60" s="84"/>
      <c r="AC60" s="185"/>
      <c r="AD60" s="84"/>
      <c r="AE60" s="84"/>
      <c r="AF60" s="183"/>
      <c r="AG60" s="82"/>
      <c r="AH60" s="84"/>
      <c r="AI60" s="84"/>
      <c r="AJ60" s="84"/>
      <c r="AK60" s="84"/>
      <c r="AL60" s="84"/>
      <c r="AM60" s="84"/>
      <c r="AN60" s="84"/>
      <c r="AO60" s="189"/>
      <c r="AP60" s="191"/>
    </row>
    <row r="61" spans="1:42" s="85" customFormat="1" ht="22.5" customHeight="1" x14ac:dyDescent="0.25">
      <c r="A61" s="233"/>
      <c r="B61" s="86"/>
      <c r="C61" s="87"/>
      <c r="D61" s="87"/>
      <c r="E61" s="87"/>
      <c r="F61" s="178"/>
      <c r="G61" s="80"/>
      <c r="H61" s="80"/>
      <c r="I61" s="81"/>
      <c r="J61" s="82"/>
      <c r="K61" s="81"/>
      <c r="L61" s="82"/>
      <c r="M61" s="81"/>
      <c r="N61" s="82"/>
      <c r="O61" s="81"/>
      <c r="P61" s="82"/>
      <c r="Q61" s="81"/>
      <c r="R61" s="83"/>
      <c r="S61" s="81"/>
      <c r="T61" s="83"/>
      <c r="U61" s="81"/>
      <c r="V61" s="83"/>
      <c r="W61" s="180"/>
      <c r="X61" s="82"/>
      <c r="Y61" s="82"/>
      <c r="Z61" s="183"/>
      <c r="AA61" s="84"/>
      <c r="AB61" s="84"/>
      <c r="AC61" s="185"/>
      <c r="AD61" s="84"/>
      <c r="AE61" s="84"/>
      <c r="AF61" s="183"/>
      <c r="AG61" s="82"/>
      <c r="AH61" s="84"/>
      <c r="AI61" s="84"/>
      <c r="AJ61" s="84"/>
      <c r="AK61" s="84"/>
      <c r="AL61" s="84"/>
      <c r="AM61" s="84"/>
      <c r="AN61" s="84"/>
      <c r="AO61" s="189"/>
      <c r="AP61" s="191"/>
    </row>
    <row r="62" spans="1:42" s="85" customFormat="1" ht="22.5" customHeight="1" x14ac:dyDescent="0.25">
      <c r="A62" s="233"/>
      <c r="B62" s="86"/>
      <c r="C62" s="87"/>
      <c r="D62" s="87"/>
      <c r="E62" s="87"/>
      <c r="F62" s="178"/>
      <c r="G62" s="80"/>
      <c r="H62" s="80"/>
      <c r="I62" s="81"/>
      <c r="J62" s="82"/>
      <c r="K62" s="81"/>
      <c r="L62" s="82"/>
      <c r="M62" s="81"/>
      <c r="N62" s="82"/>
      <c r="O62" s="81"/>
      <c r="P62" s="82"/>
      <c r="Q62" s="81"/>
      <c r="R62" s="83"/>
      <c r="S62" s="81"/>
      <c r="T62" s="83"/>
      <c r="U62" s="81"/>
      <c r="V62" s="83"/>
      <c r="W62" s="180"/>
      <c r="X62" s="82"/>
      <c r="Y62" s="82"/>
      <c r="Z62" s="183"/>
      <c r="AA62" s="84"/>
      <c r="AB62" s="84"/>
      <c r="AC62" s="185"/>
      <c r="AD62" s="84"/>
      <c r="AE62" s="84"/>
      <c r="AF62" s="183"/>
      <c r="AG62" s="82"/>
      <c r="AH62" s="84"/>
      <c r="AI62" s="84"/>
      <c r="AJ62" s="84"/>
      <c r="AK62" s="84"/>
      <c r="AL62" s="84"/>
      <c r="AM62" s="84"/>
      <c r="AN62" s="84"/>
      <c r="AO62" s="189"/>
      <c r="AP62" s="191"/>
    </row>
    <row r="63" spans="1:42" s="85" customFormat="1" ht="22.5" customHeight="1" x14ac:dyDescent="0.25">
      <c r="A63" s="233"/>
      <c r="B63" s="86"/>
      <c r="C63" s="87"/>
      <c r="D63" s="87"/>
      <c r="E63" s="87"/>
      <c r="F63" s="178"/>
      <c r="G63" s="80"/>
      <c r="H63" s="80"/>
      <c r="I63" s="81"/>
      <c r="J63" s="82"/>
      <c r="K63" s="81"/>
      <c r="L63" s="82"/>
      <c r="M63" s="81"/>
      <c r="N63" s="82"/>
      <c r="O63" s="81"/>
      <c r="P63" s="82"/>
      <c r="Q63" s="81"/>
      <c r="R63" s="83"/>
      <c r="S63" s="81"/>
      <c r="T63" s="83"/>
      <c r="U63" s="81"/>
      <c r="V63" s="83"/>
      <c r="W63" s="180"/>
      <c r="X63" s="82"/>
      <c r="Y63" s="82"/>
      <c r="Z63" s="183"/>
      <c r="AA63" s="84"/>
      <c r="AB63" s="84"/>
      <c r="AC63" s="185"/>
      <c r="AD63" s="84"/>
      <c r="AE63" s="84"/>
      <c r="AF63" s="183"/>
      <c r="AG63" s="82"/>
      <c r="AH63" s="84"/>
      <c r="AI63" s="84"/>
      <c r="AJ63" s="84"/>
      <c r="AK63" s="84"/>
      <c r="AL63" s="84"/>
      <c r="AM63" s="84"/>
      <c r="AN63" s="84"/>
      <c r="AO63" s="189"/>
      <c r="AP63" s="191"/>
    </row>
    <row r="64" spans="1:42" s="85" customFormat="1" ht="22.5" customHeight="1" x14ac:dyDescent="0.25">
      <c r="A64" s="233"/>
      <c r="B64" s="86"/>
      <c r="C64" s="87"/>
      <c r="D64" s="87"/>
      <c r="E64" s="87"/>
      <c r="F64" s="178"/>
      <c r="G64" s="80"/>
      <c r="H64" s="80"/>
      <c r="I64" s="81"/>
      <c r="J64" s="82"/>
      <c r="K64" s="81"/>
      <c r="L64" s="82"/>
      <c r="M64" s="81"/>
      <c r="N64" s="82"/>
      <c r="O64" s="81"/>
      <c r="P64" s="82"/>
      <c r="Q64" s="81"/>
      <c r="R64" s="83"/>
      <c r="S64" s="81"/>
      <c r="T64" s="83"/>
      <c r="U64" s="81"/>
      <c r="V64" s="83"/>
      <c r="W64" s="180"/>
      <c r="X64" s="82"/>
      <c r="Y64" s="82"/>
      <c r="Z64" s="183"/>
      <c r="AA64" s="84"/>
      <c r="AB64" s="84"/>
      <c r="AC64" s="185"/>
      <c r="AD64" s="84"/>
      <c r="AE64" s="84"/>
      <c r="AF64" s="183"/>
      <c r="AG64" s="82"/>
      <c r="AH64" s="84"/>
      <c r="AI64" s="84"/>
      <c r="AJ64" s="84"/>
      <c r="AK64" s="84"/>
      <c r="AL64" s="84"/>
      <c r="AM64" s="84"/>
      <c r="AN64" s="84"/>
      <c r="AO64" s="189"/>
      <c r="AP64" s="191"/>
    </row>
    <row r="65" spans="1:42" s="85" customFormat="1" ht="22.5" customHeight="1" x14ac:dyDescent="0.25">
      <c r="A65" s="233"/>
      <c r="B65" s="86"/>
      <c r="C65" s="87"/>
      <c r="D65" s="87"/>
      <c r="E65" s="87"/>
      <c r="F65" s="178"/>
      <c r="G65" s="80"/>
      <c r="H65" s="80"/>
      <c r="I65" s="81"/>
      <c r="J65" s="82"/>
      <c r="K65" s="81"/>
      <c r="L65" s="82"/>
      <c r="M65" s="81"/>
      <c r="N65" s="82"/>
      <c r="O65" s="81"/>
      <c r="P65" s="82"/>
      <c r="Q65" s="81"/>
      <c r="R65" s="83"/>
      <c r="S65" s="81"/>
      <c r="T65" s="83"/>
      <c r="U65" s="81"/>
      <c r="V65" s="83"/>
      <c r="W65" s="180"/>
      <c r="X65" s="82"/>
      <c r="Y65" s="82"/>
      <c r="Z65" s="183"/>
      <c r="AA65" s="84"/>
      <c r="AB65" s="84"/>
      <c r="AC65" s="185"/>
      <c r="AD65" s="84"/>
      <c r="AE65" s="84"/>
      <c r="AF65" s="183"/>
      <c r="AG65" s="82"/>
      <c r="AH65" s="84"/>
      <c r="AI65" s="84"/>
      <c r="AJ65" s="84"/>
      <c r="AK65" s="84"/>
      <c r="AL65" s="84"/>
      <c r="AM65" s="84"/>
      <c r="AN65" s="84"/>
      <c r="AO65" s="189"/>
      <c r="AP65" s="191"/>
    </row>
    <row r="66" spans="1:42" s="85" customFormat="1" ht="22.5" customHeight="1" x14ac:dyDescent="0.25">
      <c r="A66" s="233"/>
      <c r="B66" s="86"/>
      <c r="C66" s="87"/>
      <c r="D66" s="87"/>
      <c r="E66" s="87"/>
      <c r="F66" s="178"/>
      <c r="G66" s="80"/>
      <c r="H66" s="80"/>
      <c r="I66" s="81"/>
      <c r="J66" s="82"/>
      <c r="K66" s="81"/>
      <c r="L66" s="82"/>
      <c r="M66" s="81"/>
      <c r="N66" s="82"/>
      <c r="O66" s="81"/>
      <c r="P66" s="82"/>
      <c r="Q66" s="81"/>
      <c r="R66" s="83"/>
      <c r="S66" s="81"/>
      <c r="T66" s="83"/>
      <c r="U66" s="81"/>
      <c r="V66" s="83"/>
      <c r="W66" s="180"/>
      <c r="X66" s="82"/>
      <c r="Y66" s="82"/>
      <c r="Z66" s="183"/>
      <c r="AA66" s="84"/>
      <c r="AB66" s="84"/>
      <c r="AC66" s="185"/>
      <c r="AD66" s="84"/>
      <c r="AE66" s="84"/>
      <c r="AF66" s="183"/>
      <c r="AG66" s="82"/>
      <c r="AH66" s="84"/>
      <c r="AI66" s="84"/>
      <c r="AJ66" s="84"/>
      <c r="AK66" s="84"/>
      <c r="AL66" s="84"/>
      <c r="AM66" s="84"/>
      <c r="AN66" s="84"/>
      <c r="AO66" s="189"/>
      <c r="AP66" s="191"/>
    </row>
    <row r="67" spans="1:42" s="85" customFormat="1" ht="22.5" customHeight="1" x14ac:dyDescent="0.25">
      <c r="A67" s="233"/>
      <c r="B67" s="86"/>
      <c r="C67" s="87"/>
      <c r="D67" s="87"/>
      <c r="E67" s="87"/>
      <c r="F67" s="178"/>
      <c r="G67" s="80"/>
      <c r="H67" s="80"/>
      <c r="I67" s="81"/>
      <c r="J67" s="82"/>
      <c r="K67" s="81"/>
      <c r="L67" s="82"/>
      <c r="M67" s="81"/>
      <c r="N67" s="82"/>
      <c r="O67" s="81"/>
      <c r="P67" s="82"/>
      <c r="Q67" s="81"/>
      <c r="R67" s="83"/>
      <c r="S67" s="81"/>
      <c r="T67" s="83"/>
      <c r="U67" s="81"/>
      <c r="V67" s="83"/>
      <c r="W67" s="180"/>
      <c r="X67" s="82"/>
      <c r="Y67" s="82"/>
      <c r="Z67" s="183"/>
      <c r="AA67" s="84"/>
      <c r="AB67" s="84"/>
      <c r="AC67" s="185"/>
      <c r="AD67" s="84"/>
      <c r="AE67" s="84"/>
      <c r="AF67" s="183"/>
      <c r="AG67" s="82"/>
      <c r="AH67" s="84"/>
      <c r="AI67" s="84"/>
      <c r="AJ67" s="84"/>
      <c r="AK67" s="84"/>
      <c r="AL67" s="84"/>
      <c r="AM67" s="84"/>
      <c r="AN67" s="84"/>
      <c r="AO67" s="189"/>
      <c r="AP67" s="191"/>
    </row>
    <row r="68" spans="1:42" s="85" customFormat="1" ht="22.5" customHeight="1" x14ac:dyDescent="0.25">
      <c r="A68" s="233"/>
      <c r="B68" s="86"/>
      <c r="C68" s="87"/>
      <c r="D68" s="87"/>
      <c r="E68" s="87"/>
      <c r="F68" s="178"/>
      <c r="G68" s="80"/>
      <c r="H68" s="80"/>
      <c r="I68" s="81"/>
      <c r="J68" s="82"/>
      <c r="K68" s="81"/>
      <c r="L68" s="82"/>
      <c r="M68" s="81"/>
      <c r="N68" s="82"/>
      <c r="O68" s="81"/>
      <c r="P68" s="82"/>
      <c r="Q68" s="81"/>
      <c r="R68" s="83"/>
      <c r="S68" s="81"/>
      <c r="T68" s="83"/>
      <c r="U68" s="81"/>
      <c r="V68" s="83"/>
      <c r="W68" s="180"/>
      <c r="X68" s="82"/>
      <c r="Y68" s="82"/>
      <c r="Z68" s="183"/>
      <c r="AA68" s="84"/>
      <c r="AB68" s="84"/>
      <c r="AC68" s="185"/>
      <c r="AD68" s="84"/>
      <c r="AE68" s="84"/>
      <c r="AF68" s="183"/>
      <c r="AG68" s="82"/>
      <c r="AH68" s="84"/>
      <c r="AI68" s="84"/>
      <c r="AJ68" s="84"/>
      <c r="AK68" s="84"/>
      <c r="AL68" s="84"/>
      <c r="AM68" s="84"/>
      <c r="AN68" s="84"/>
      <c r="AO68" s="189"/>
      <c r="AP68" s="191"/>
    </row>
    <row r="69" spans="1:42" s="85" customFormat="1" ht="22.5" customHeight="1" x14ac:dyDescent="0.25">
      <c r="A69" s="233"/>
      <c r="B69" s="86"/>
      <c r="C69" s="87"/>
      <c r="D69" s="87"/>
      <c r="E69" s="87"/>
      <c r="F69" s="178"/>
      <c r="G69" s="80"/>
      <c r="H69" s="80"/>
      <c r="I69" s="81"/>
      <c r="J69" s="82"/>
      <c r="K69" s="81"/>
      <c r="L69" s="82"/>
      <c r="M69" s="81"/>
      <c r="N69" s="82"/>
      <c r="O69" s="81"/>
      <c r="P69" s="82"/>
      <c r="Q69" s="81"/>
      <c r="R69" s="83"/>
      <c r="S69" s="81"/>
      <c r="T69" s="83"/>
      <c r="U69" s="81"/>
      <c r="V69" s="83"/>
      <c r="W69" s="180"/>
      <c r="X69" s="82"/>
      <c r="Y69" s="82"/>
      <c r="Z69" s="183"/>
      <c r="AA69" s="84"/>
      <c r="AB69" s="84"/>
      <c r="AC69" s="185"/>
      <c r="AD69" s="84"/>
      <c r="AE69" s="84"/>
      <c r="AF69" s="183"/>
      <c r="AG69" s="82"/>
      <c r="AH69" s="84"/>
      <c r="AI69" s="84"/>
      <c r="AJ69" s="84"/>
      <c r="AK69" s="84"/>
      <c r="AL69" s="84"/>
      <c r="AM69" s="84"/>
      <c r="AN69" s="84"/>
      <c r="AO69" s="189"/>
      <c r="AP69" s="191"/>
    </row>
    <row r="70" spans="1:42" s="85" customFormat="1" ht="22.5" customHeight="1" x14ac:dyDescent="0.25">
      <c r="A70" s="233"/>
      <c r="B70" s="86"/>
      <c r="C70" s="87"/>
      <c r="D70" s="87"/>
      <c r="E70" s="87"/>
      <c r="F70" s="178"/>
      <c r="G70" s="80"/>
      <c r="H70" s="80"/>
      <c r="I70" s="81"/>
      <c r="J70" s="82"/>
      <c r="K70" s="81"/>
      <c r="L70" s="82"/>
      <c r="M70" s="81"/>
      <c r="N70" s="82"/>
      <c r="O70" s="81"/>
      <c r="P70" s="82"/>
      <c r="Q70" s="81"/>
      <c r="R70" s="83"/>
      <c r="S70" s="81"/>
      <c r="T70" s="83"/>
      <c r="U70" s="81"/>
      <c r="V70" s="83"/>
      <c r="W70" s="180"/>
      <c r="X70" s="82"/>
      <c r="Y70" s="82"/>
      <c r="Z70" s="183"/>
      <c r="AA70" s="84"/>
      <c r="AB70" s="84"/>
      <c r="AC70" s="185"/>
      <c r="AD70" s="84"/>
      <c r="AE70" s="84"/>
      <c r="AF70" s="183"/>
      <c r="AG70" s="82"/>
      <c r="AH70" s="84"/>
      <c r="AI70" s="84"/>
      <c r="AJ70" s="84"/>
      <c r="AK70" s="84"/>
      <c r="AL70" s="84"/>
      <c r="AM70" s="84"/>
      <c r="AN70" s="84"/>
      <c r="AO70" s="189"/>
      <c r="AP70" s="191"/>
    </row>
    <row r="71" spans="1:42" s="85" customFormat="1" ht="22.5" customHeight="1" x14ac:dyDescent="0.25">
      <c r="A71" s="233"/>
      <c r="B71" s="86"/>
      <c r="C71" s="87"/>
      <c r="D71" s="87"/>
      <c r="E71" s="87"/>
      <c r="F71" s="178"/>
      <c r="G71" s="80"/>
      <c r="H71" s="80"/>
      <c r="I71" s="81"/>
      <c r="J71" s="82"/>
      <c r="K71" s="81"/>
      <c r="L71" s="82"/>
      <c r="M71" s="81"/>
      <c r="N71" s="82"/>
      <c r="O71" s="81"/>
      <c r="P71" s="82"/>
      <c r="Q71" s="81"/>
      <c r="R71" s="83"/>
      <c r="S71" s="81"/>
      <c r="T71" s="83"/>
      <c r="U71" s="81"/>
      <c r="V71" s="83"/>
      <c r="W71" s="180"/>
      <c r="X71" s="82"/>
      <c r="Y71" s="82"/>
      <c r="Z71" s="183"/>
      <c r="AA71" s="84"/>
      <c r="AB71" s="84"/>
      <c r="AC71" s="185"/>
      <c r="AD71" s="84"/>
      <c r="AE71" s="84"/>
      <c r="AF71" s="183"/>
      <c r="AG71" s="82"/>
      <c r="AH71" s="84"/>
      <c r="AI71" s="84"/>
      <c r="AJ71" s="84"/>
      <c r="AK71" s="84"/>
      <c r="AL71" s="84"/>
      <c r="AM71" s="84"/>
      <c r="AN71" s="84"/>
      <c r="AO71" s="189"/>
      <c r="AP71" s="191"/>
    </row>
    <row r="72" spans="1:42" s="85" customFormat="1" ht="22.5" customHeight="1" x14ac:dyDescent="0.25">
      <c r="A72" s="233"/>
      <c r="B72" s="86"/>
      <c r="C72" s="87"/>
      <c r="D72" s="87"/>
      <c r="E72" s="87"/>
      <c r="F72" s="178"/>
      <c r="G72" s="80"/>
      <c r="H72" s="80"/>
      <c r="I72" s="81"/>
      <c r="J72" s="82"/>
      <c r="K72" s="81"/>
      <c r="L72" s="82"/>
      <c r="M72" s="81"/>
      <c r="N72" s="82"/>
      <c r="O72" s="81"/>
      <c r="P72" s="82"/>
      <c r="Q72" s="81"/>
      <c r="R72" s="83"/>
      <c r="S72" s="81"/>
      <c r="T72" s="83"/>
      <c r="U72" s="81"/>
      <c r="V72" s="83"/>
      <c r="W72" s="180"/>
      <c r="X72" s="82"/>
      <c r="Y72" s="82"/>
      <c r="Z72" s="183"/>
      <c r="AA72" s="84"/>
      <c r="AB72" s="84"/>
      <c r="AC72" s="185"/>
      <c r="AD72" s="84"/>
      <c r="AE72" s="84"/>
      <c r="AF72" s="183"/>
      <c r="AG72" s="82"/>
      <c r="AH72" s="84"/>
      <c r="AI72" s="84"/>
      <c r="AJ72" s="84"/>
      <c r="AK72" s="84"/>
      <c r="AL72" s="84"/>
      <c r="AM72" s="84"/>
      <c r="AN72" s="84"/>
      <c r="AO72" s="189"/>
      <c r="AP72" s="191"/>
    </row>
    <row r="73" spans="1:42" s="85" customFormat="1" ht="22.5" customHeight="1" x14ac:dyDescent="0.25">
      <c r="A73" s="233"/>
      <c r="B73" s="86"/>
      <c r="C73" s="87"/>
      <c r="D73" s="87"/>
      <c r="E73" s="87"/>
      <c r="F73" s="178"/>
      <c r="G73" s="80"/>
      <c r="H73" s="80"/>
      <c r="I73" s="81"/>
      <c r="J73" s="82"/>
      <c r="K73" s="81"/>
      <c r="L73" s="82"/>
      <c r="M73" s="81"/>
      <c r="N73" s="82"/>
      <c r="O73" s="81"/>
      <c r="P73" s="82"/>
      <c r="Q73" s="81"/>
      <c r="R73" s="83"/>
      <c r="S73" s="81"/>
      <c r="T73" s="83"/>
      <c r="U73" s="81"/>
      <c r="V73" s="83"/>
      <c r="W73" s="180"/>
      <c r="X73" s="82"/>
      <c r="Y73" s="82"/>
      <c r="Z73" s="183"/>
      <c r="AA73" s="84"/>
      <c r="AB73" s="84"/>
      <c r="AC73" s="185"/>
      <c r="AD73" s="84"/>
      <c r="AE73" s="84"/>
      <c r="AF73" s="183"/>
      <c r="AG73" s="82"/>
      <c r="AH73" s="84"/>
      <c r="AI73" s="84"/>
      <c r="AJ73" s="84"/>
      <c r="AK73" s="84"/>
      <c r="AL73" s="84"/>
      <c r="AM73" s="84"/>
      <c r="AN73" s="84"/>
      <c r="AO73" s="189"/>
      <c r="AP73" s="191"/>
    </row>
    <row r="74" spans="1:42" s="85" customFormat="1" ht="22.5" customHeight="1" x14ac:dyDescent="0.25">
      <c r="A74" s="233"/>
      <c r="B74" s="86"/>
      <c r="C74" s="87"/>
      <c r="D74" s="87"/>
      <c r="E74" s="87"/>
      <c r="F74" s="178"/>
      <c r="G74" s="80"/>
      <c r="H74" s="80"/>
      <c r="I74" s="81"/>
      <c r="J74" s="82"/>
      <c r="K74" s="81"/>
      <c r="L74" s="82"/>
      <c r="M74" s="81"/>
      <c r="N74" s="82"/>
      <c r="O74" s="81"/>
      <c r="P74" s="82"/>
      <c r="Q74" s="81"/>
      <c r="R74" s="83"/>
      <c r="S74" s="81"/>
      <c r="T74" s="83"/>
      <c r="U74" s="81"/>
      <c r="V74" s="83"/>
      <c r="W74" s="180"/>
      <c r="X74" s="82"/>
      <c r="Y74" s="82"/>
      <c r="Z74" s="183"/>
      <c r="AA74" s="84"/>
      <c r="AB74" s="84"/>
      <c r="AC74" s="185"/>
      <c r="AD74" s="84"/>
      <c r="AE74" s="84"/>
      <c r="AF74" s="183"/>
      <c r="AG74" s="82"/>
      <c r="AH74" s="84"/>
      <c r="AI74" s="84"/>
      <c r="AJ74" s="84"/>
      <c r="AK74" s="84"/>
      <c r="AL74" s="84"/>
      <c r="AM74" s="84"/>
      <c r="AN74" s="84"/>
      <c r="AO74" s="189"/>
      <c r="AP74" s="191"/>
    </row>
    <row r="75" spans="1:42" s="85" customFormat="1" ht="22.5" customHeight="1" x14ac:dyDescent="0.25">
      <c r="A75" s="233"/>
      <c r="B75" s="86"/>
      <c r="C75" s="87"/>
      <c r="D75" s="87"/>
      <c r="E75" s="87"/>
      <c r="F75" s="178"/>
      <c r="G75" s="80"/>
      <c r="H75" s="80"/>
      <c r="I75" s="81"/>
      <c r="J75" s="82"/>
      <c r="K75" s="81"/>
      <c r="L75" s="82"/>
      <c r="M75" s="81"/>
      <c r="N75" s="82"/>
      <c r="O75" s="81"/>
      <c r="P75" s="82"/>
      <c r="Q75" s="81"/>
      <c r="R75" s="83"/>
      <c r="S75" s="81"/>
      <c r="T75" s="83"/>
      <c r="U75" s="81"/>
      <c r="V75" s="83"/>
      <c r="W75" s="180"/>
      <c r="X75" s="82"/>
      <c r="Y75" s="82"/>
      <c r="Z75" s="183"/>
      <c r="AA75" s="84"/>
      <c r="AB75" s="84"/>
      <c r="AC75" s="185"/>
      <c r="AD75" s="84"/>
      <c r="AE75" s="84"/>
      <c r="AF75" s="183"/>
      <c r="AG75" s="82"/>
      <c r="AH75" s="84"/>
      <c r="AI75" s="84"/>
      <c r="AJ75" s="84"/>
      <c r="AK75" s="84"/>
      <c r="AL75" s="84"/>
      <c r="AM75" s="84"/>
      <c r="AN75" s="84"/>
      <c r="AO75" s="189"/>
      <c r="AP75" s="191"/>
    </row>
    <row r="76" spans="1:42" s="85" customFormat="1" ht="22.5" customHeight="1" x14ac:dyDescent="0.25">
      <c r="A76" s="233"/>
      <c r="B76" s="86"/>
      <c r="C76" s="87"/>
      <c r="D76" s="87"/>
      <c r="E76" s="87"/>
      <c r="F76" s="178"/>
      <c r="G76" s="80"/>
      <c r="H76" s="80"/>
      <c r="I76" s="81"/>
      <c r="J76" s="82"/>
      <c r="K76" s="81"/>
      <c r="L76" s="82"/>
      <c r="M76" s="81"/>
      <c r="N76" s="82"/>
      <c r="O76" s="81"/>
      <c r="P76" s="82"/>
      <c r="Q76" s="81"/>
      <c r="R76" s="83"/>
      <c r="S76" s="81"/>
      <c r="T76" s="83"/>
      <c r="U76" s="81"/>
      <c r="V76" s="83"/>
      <c r="W76" s="180"/>
      <c r="X76" s="82"/>
      <c r="Y76" s="82"/>
      <c r="Z76" s="183"/>
      <c r="AA76" s="84"/>
      <c r="AB76" s="84"/>
      <c r="AC76" s="185"/>
      <c r="AD76" s="84"/>
      <c r="AE76" s="84"/>
      <c r="AF76" s="183"/>
      <c r="AG76" s="82"/>
      <c r="AH76" s="84"/>
      <c r="AI76" s="84"/>
      <c r="AJ76" s="84"/>
      <c r="AK76" s="84"/>
      <c r="AL76" s="84"/>
      <c r="AM76" s="84"/>
      <c r="AN76" s="84"/>
      <c r="AO76" s="189"/>
      <c r="AP76" s="191"/>
    </row>
    <row r="77" spans="1:42" s="85" customFormat="1" ht="22.5" customHeight="1" x14ac:dyDescent="0.25">
      <c r="A77" s="233"/>
      <c r="B77" s="86"/>
      <c r="C77" s="87"/>
      <c r="D77" s="87"/>
      <c r="E77" s="87"/>
      <c r="F77" s="178"/>
      <c r="G77" s="80"/>
      <c r="H77" s="80"/>
      <c r="I77" s="81"/>
      <c r="J77" s="82"/>
      <c r="K77" s="81"/>
      <c r="L77" s="82"/>
      <c r="M77" s="81"/>
      <c r="N77" s="82"/>
      <c r="O77" s="81"/>
      <c r="P77" s="82"/>
      <c r="Q77" s="81"/>
      <c r="R77" s="83"/>
      <c r="S77" s="81"/>
      <c r="T77" s="83"/>
      <c r="U77" s="81"/>
      <c r="V77" s="83"/>
      <c r="W77" s="180"/>
      <c r="X77" s="82"/>
      <c r="Y77" s="82"/>
      <c r="Z77" s="183"/>
      <c r="AA77" s="84"/>
      <c r="AB77" s="84"/>
      <c r="AC77" s="185"/>
      <c r="AD77" s="84"/>
      <c r="AE77" s="84"/>
      <c r="AF77" s="183"/>
      <c r="AG77" s="82"/>
      <c r="AH77" s="84"/>
      <c r="AI77" s="84"/>
      <c r="AJ77" s="84"/>
      <c r="AK77" s="84"/>
      <c r="AL77" s="84"/>
      <c r="AM77" s="84"/>
      <c r="AN77" s="84"/>
      <c r="AO77" s="189"/>
      <c r="AP77" s="191"/>
    </row>
    <row r="78" spans="1:42" s="85" customFormat="1" ht="22.5" customHeight="1" x14ac:dyDescent="0.25">
      <c r="A78" s="233"/>
      <c r="B78" s="86"/>
      <c r="C78" s="87"/>
      <c r="D78" s="87"/>
      <c r="E78" s="87"/>
      <c r="F78" s="178"/>
      <c r="G78" s="80"/>
      <c r="H78" s="80"/>
      <c r="I78" s="81"/>
      <c r="J78" s="82"/>
      <c r="K78" s="81"/>
      <c r="L78" s="82"/>
      <c r="M78" s="81"/>
      <c r="N78" s="82"/>
      <c r="O78" s="81"/>
      <c r="P78" s="82"/>
      <c r="Q78" s="81"/>
      <c r="R78" s="83"/>
      <c r="S78" s="81"/>
      <c r="T78" s="83"/>
      <c r="U78" s="81"/>
      <c r="V78" s="83"/>
      <c r="W78" s="180"/>
      <c r="X78" s="82"/>
      <c r="Y78" s="82"/>
      <c r="Z78" s="183"/>
      <c r="AA78" s="84"/>
      <c r="AB78" s="84"/>
      <c r="AC78" s="185"/>
      <c r="AD78" s="84"/>
      <c r="AE78" s="84"/>
      <c r="AF78" s="183"/>
      <c r="AG78" s="82"/>
      <c r="AH78" s="84"/>
      <c r="AI78" s="84"/>
      <c r="AJ78" s="84"/>
      <c r="AK78" s="84"/>
      <c r="AL78" s="84"/>
      <c r="AM78" s="84"/>
      <c r="AN78" s="84"/>
      <c r="AO78" s="189"/>
      <c r="AP78" s="191"/>
    </row>
    <row r="79" spans="1:42" s="85" customFormat="1" ht="22.5" customHeight="1" x14ac:dyDescent="0.25">
      <c r="A79" s="233"/>
      <c r="B79" s="86"/>
      <c r="C79" s="87"/>
      <c r="D79" s="87"/>
      <c r="E79" s="87"/>
      <c r="F79" s="178"/>
      <c r="G79" s="80"/>
      <c r="H79" s="80"/>
      <c r="I79" s="81"/>
      <c r="J79" s="82"/>
      <c r="K79" s="81"/>
      <c r="L79" s="82"/>
      <c r="M79" s="81"/>
      <c r="N79" s="82"/>
      <c r="O79" s="81"/>
      <c r="P79" s="82"/>
      <c r="Q79" s="81"/>
      <c r="R79" s="83"/>
      <c r="S79" s="81"/>
      <c r="T79" s="83"/>
      <c r="U79" s="81"/>
      <c r="V79" s="83"/>
      <c r="W79" s="180"/>
      <c r="X79" s="82"/>
      <c r="Y79" s="82"/>
      <c r="Z79" s="183"/>
      <c r="AA79" s="84"/>
      <c r="AB79" s="84"/>
      <c r="AC79" s="185"/>
      <c r="AD79" s="84"/>
      <c r="AE79" s="84"/>
      <c r="AF79" s="183"/>
      <c r="AG79" s="82"/>
      <c r="AH79" s="84"/>
      <c r="AI79" s="84"/>
      <c r="AJ79" s="84"/>
      <c r="AK79" s="84"/>
      <c r="AL79" s="84"/>
      <c r="AM79" s="84"/>
      <c r="AN79" s="84"/>
      <c r="AO79" s="189"/>
      <c r="AP79" s="191"/>
    </row>
    <row r="80" spans="1:42" s="85" customFormat="1" ht="22.5" customHeight="1" x14ac:dyDescent="0.25">
      <c r="A80" s="233"/>
      <c r="B80" s="86"/>
      <c r="C80" s="87"/>
      <c r="D80" s="87"/>
      <c r="E80" s="87"/>
      <c r="F80" s="178"/>
      <c r="G80" s="80"/>
      <c r="H80" s="80"/>
      <c r="I80" s="81"/>
      <c r="J80" s="82"/>
      <c r="K80" s="81"/>
      <c r="L80" s="82"/>
      <c r="M80" s="81"/>
      <c r="N80" s="82"/>
      <c r="O80" s="81"/>
      <c r="P80" s="82"/>
      <c r="Q80" s="81"/>
      <c r="R80" s="83"/>
      <c r="S80" s="81"/>
      <c r="T80" s="83"/>
      <c r="U80" s="81"/>
      <c r="V80" s="83"/>
      <c r="W80" s="180"/>
      <c r="X80" s="82"/>
      <c r="Y80" s="82"/>
      <c r="Z80" s="183"/>
      <c r="AA80" s="84"/>
      <c r="AB80" s="84"/>
      <c r="AC80" s="185"/>
      <c r="AD80" s="84"/>
      <c r="AE80" s="84"/>
      <c r="AF80" s="183"/>
      <c r="AG80" s="82"/>
      <c r="AH80" s="84"/>
      <c r="AI80" s="84"/>
      <c r="AJ80" s="84"/>
      <c r="AK80" s="84"/>
      <c r="AL80" s="84"/>
      <c r="AM80" s="84"/>
      <c r="AN80" s="84"/>
      <c r="AO80" s="189"/>
      <c r="AP80" s="191"/>
    </row>
    <row r="81" spans="1:42" s="85" customFormat="1" ht="22.5" customHeight="1" x14ac:dyDescent="0.25">
      <c r="A81" s="233"/>
      <c r="B81" s="86"/>
      <c r="C81" s="87"/>
      <c r="D81" s="87"/>
      <c r="E81" s="87"/>
      <c r="F81" s="178"/>
      <c r="G81" s="80"/>
      <c r="H81" s="80"/>
      <c r="I81" s="81"/>
      <c r="J81" s="82"/>
      <c r="K81" s="81"/>
      <c r="L81" s="82"/>
      <c r="M81" s="81"/>
      <c r="N81" s="82"/>
      <c r="O81" s="81"/>
      <c r="P81" s="82"/>
      <c r="Q81" s="81"/>
      <c r="R81" s="83"/>
      <c r="S81" s="81"/>
      <c r="T81" s="83"/>
      <c r="U81" s="81"/>
      <c r="V81" s="83"/>
      <c r="W81" s="180"/>
      <c r="X81" s="82"/>
      <c r="Y81" s="82"/>
      <c r="Z81" s="183"/>
      <c r="AA81" s="84"/>
      <c r="AB81" s="84"/>
      <c r="AC81" s="185"/>
      <c r="AD81" s="84"/>
      <c r="AE81" s="84"/>
      <c r="AF81" s="183"/>
      <c r="AG81" s="82"/>
      <c r="AH81" s="84"/>
      <c r="AI81" s="84"/>
      <c r="AJ81" s="84"/>
      <c r="AK81" s="84"/>
      <c r="AL81" s="84"/>
      <c r="AM81" s="84"/>
      <c r="AN81" s="84"/>
      <c r="AO81" s="189"/>
      <c r="AP81" s="191"/>
    </row>
    <row r="82" spans="1:42" s="85" customFormat="1" ht="22.5" customHeight="1" x14ac:dyDescent="0.25">
      <c r="A82" s="233"/>
      <c r="B82" s="86"/>
      <c r="C82" s="87"/>
      <c r="D82" s="87"/>
      <c r="E82" s="87"/>
      <c r="F82" s="178"/>
      <c r="G82" s="80"/>
      <c r="H82" s="80"/>
      <c r="I82" s="81"/>
      <c r="J82" s="82"/>
      <c r="K82" s="81"/>
      <c r="L82" s="82"/>
      <c r="M82" s="81"/>
      <c r="N82" s="82"/>
      <c r="O82" s="81"/>
      <c r="P82" s="82"/>
      <c r="Q82" s="81"/>
      <c r="R82" s="83"/>
      <c r="S82" s="81"/>
      <c r="T82" s="83"/>
      <c r="U82" s="81"/>
      <c r="V82" s="83"/>
      <c r="W82" s="180"/>
      <c r="X82" s="82"/>
      <c r="Y82" s="82"/>
      <c r="Z82" s="183"/>
      <c r="AA82" s="84"/>
      <c r="AB82" s="84"/>
      <c r="AC82" s="185"/>
      <c r="AD82" s="84"/>
      <c r="AE82" s="84"/>
      <c r="AF82" s="183"/>
      <c r="AG82" s="82"/>
      <c r="AH82" s="84"/>
      <c r="AI82" s="84"/>
      <c r="AJ82" s="84"/>
      <c r="AK82" s="84"/>
      <c r="AL82" s="84"/>
      <c r="AM82" s="84"/>
      <c r="AN82" s="84"/>
      <c r="AO82" s="189"/>
      <c r="AP82" s="191"/>
    </row>
    <row r="83" spans="1:42" s="85" customFormat="1" ht="22.5" customHeight="1" x14ac:dyDescent="0.25">
      <c r="A83" s="233"/>
      <c r="B83" s="86"/>
      <c r="C83" s="87"/>
      <c r="D83" s="87"/>
      <c r="E83" s="87"/>
      <c r="F83" s="178"/>
      <c r="G83" s="80"/>
      <c r="H83" s="80"/>
      <c r="I83" s="81"/>
      <c r="J83" s="82"/>
      <c r="K83" s="81"/>
      <c r="L83" s="82"/>
      <c r="M83" s="81"/>
      <c r="N83" s="82"/>
      <c r="O83" s="81"/>
      <c r="P83" s="82"/>
      <c r="Q83" s="81"/>
      <c r="R83" s="83"/>
      <c r="S83" s="81"/>
      <c r="T83" s="83"/>
      <c r="U83" s="81"/>
      <c r="V83" s="83"/>
      <c r="W83" s="180"/>
      <c r="X83" s="82"/>
      <c r="Y83" s="82"/>
      <c r="Z83" s="183"/>
      <c r="AA83" s="84"/>
      <c r="AB83" s="84"/>
      <c r="AC83" s="185"/>
      <c r="AD83" s="84"/>
      <c r="AE83" s="84"/>
      <c r="AF83" s="183"/>
      <c r="AG83" s="82"/>
      <c r="AH83" s="84"/>
      <c r="AI83" s="84"/>
      <c r="AJ83" s="84"/>
      <c r="AK83" s="84"/>
      <c r="AL83" s="84"/>
      <c r="AM83" s="84"/>
      <c r="AN83" s="84"/>
      <c r="AO83" s="189"/>
      <c r="AP83" s="191"/>
    </row>
    <row r="84" spans="1:42" s="85" customFormat="1" ht="22.5" customHeight="1" x14ac:dyDescent="0.25">
      <c r="A84" s="233"/>
      <c r="B84" s="86"/>
      <c r="C84" s="87"/>
      <c r="D84" s="87"/>
      <c r="E84" s="87"/>
      <c r="F84" s="178"/>
      <c r="G84" s="80"/>
      <c r="H84" s="80"/>
      <c r="I84" s="81"/>
      <c r="J84" s="82"/>
      <c r="K84" s="81"/>
      <c r="L84" s="82"/>
      <c r="M84" s="81"/>
      <c r="N84" s="82"/>
      <c r="O84" s="81"/>
      <c r="P84" s="82"/>
      <c r="Q84" s="81"/>
      <c r="R84" s="83"/>
      <c r="S84" s="81"/>
      <c r="T84" s="83"/>
      <c r="U84" s="81"/>
      <c r="V84" s="83"/>
      <c r="W84" s="180"/>
      <c r="X84" s="82"/>
      <c r="Y84" s="82"/>
      <c r="Z84" s="183"/>
      <c r="AA84" s="84"/>
      <c r="AB84" s="84"/>
      <c r="AC84" s="185"/>
      <c r="AD84" s="84"/>
      <c r="AE84" s="84"/>
      <c r="AF84" s="183"/>
      <c r="AG84" s="82"/>
      <c r="AH84" s="84"/>
      <c r="AI84" s="84"/>
      <c r="AJ84" s="84"/>
      <c r="AK84" s="84"/>
      <c r="AL84" s="84"/>
      <c r="AM84" s="84"/>
      <c r="AN84" s="84"/>
      <c r="AO84" s="189"/>
      <c r="AP84" s="191"/>
    </row>
    <row r="85" spans="1:42" s="85" customFormat="1" ht="22.5" customHeight="1" x14ac:dyDescent="0.25">
      <c r="A85" s="233"/>
      <c r="B85" s="86"/>
      <c r="C85" s="87"/>
      <c r="D85" s="87"/>
      <c r="E85" s="87"/>
      <c r="F85" s="178"/>
      <c r="G85" s="80"/>
      <c r="H85" s="80"/>
      <c r="I85" s="81"/>
      <c r="J85" s="82"/>
      <c r="K85" s="81"/>
      <c r="L85" s="82"/>
      <c r="M85" s="81"/>
      <c r="N85" s="82"/>
      <c r="O85" s="81"/>
      <c r="P85" s="82"/>
      <c r="Q85" s="81"/>
      <c r="R85" s="83"/>
      <c r="S85" s="81"/>
      <c r="T85" s="83"/>
      <c r="U85" s="81"/>
      <c r="V85" s="83"/>
      <c r="W85" s="180"/>
      <c r="X85" s="82"/>
      <c r="Y85" s="82"/>
      <c r="Z85" s="183"/>
      <c r="AA85" s="84"/>
      <c r="AB85" s="84"/>
      <c r="AC85" s="185"/>
      <c r="AD85" s="84"/>
      <c r="AE85" s="84"/>
      <c r="AF85" s="183"/>
      <c r="AG85" s="82"/>
      <c r="AH85" s="84"/>
      <c r="AI85" s="84"/>
      <c r="AJ85" s="84"/>
      <c r="AK85" s="84"/>
      <c r="AL85" s="84"/>
      <c r="AM85" s="84"/>
      <c r="AN85" s="84"/>
      <c r="AO85" s="189"/>
      <c r="AP85" s="191"/>
    </row>
    <row r="86" spans="1:42" s="85" customFormat="1" ht="22.5" customHeight="1" x14ac:dyDescent="0.25">
      <c r="A86" s="233"/>
      <c r="B86" s="86"/>
      <c r="C86" s="87"/>
      <c r="D86" s="87"/>
      <c r="E86" s="87"/>
      <c r="F86" s="178"/>
      <c r="G86" s="80"/>
      <c r="H86" s="80"/>
      <c r="I86" s="81"/>
      <c r="J86" s="82"/>
      <c r="K86" s="81"/>
      <c r="L86" s="82"/>
      <c r="M86" s="81"/>
      <c r="N86" s="82"/>
      <c r="O86" s="81"/>
      <c r="P86" s="82"/>
      <c r="Q86" s="81"/>
      <c r="R86" s="83"/>
      <c r="S86" s="81"/>
      <c r="T86" s="83"/>
      <c r="U86" s="81"/>
      <c r="V86" s="83"/>
      <c r="W86" s="180"/>
      <c r="X86" s="82"/>
      <c r="Y86" s="82"/>
      <c r="Z86" s="183"/>
      <c r="AA86" s="84"/>
      <c r="AB86" s="84"/>
      <c r="AC86" s="185"/>
      <c r="AD86" s="84"/>
      <c r="AE86" s="84"/>
      <c r="AF86" s="183"/>
      <c r="AG86" s="82"/>
      <c r="AH86" s="84"/>
      <c r="AI86" s="84"/>
      <c r="AJ86" s="84"/>
      <c r="AK86" s="84"/>
      <c r="AL86" s="84"/>
      <c r="AM86" s="84"/>
      <c r="AN86" s="84"/>
      <c r="AO86" s="189"/>
      <c r="AP86" s="191"/>
    </row>
    <row r="87" spans="1:42" s="85" customFormat="1" ht="22.5" customHeight="1" x14ac:dyDescent="0.25">
      <c r="A87" s="233"/>
      <c r="B87" s="86"/>
      <c r="C87" s="87"/>
      <c r="D87" s="87"/>
      <c r="E87" s="87"/>
      <c r="F87" s="178"/>
      <c r="G87" s="80"/>
      <c r="H87" s="80"/>
      <c r="I87" s="81"/>
      <c r="J87" s="82"/>
      <c r="K87" s="81"/>
      <c r="L87" s="82"/>
      <c r="M87" s="81"/>
      <c r="N87" s="82"/>
      <c r="O87" s="81"/>
      <c r="P87" s="82"/>
      <c r="Q87" s="81"/>
      <c r="R87" s="83"/>
      <c r="S87" s="81"/>
      <c r="T87" s="83"/>
      <c r="U87" s="81"/>
      <c r="V87" s="83"/>
      <c r="W87" s="180"/>
      <c r="X87" s="82"/>
      <c r="Y87" s="82"/>
      <c r="Z87" s="183"/>
      <c r="AA87" s="84"/>
      <c r="AB87" s="84"/>
      <c r="AC87" s="185"/>
      <c r="AD87" s="84"/>
      <c r="AE87" s="84"/>
      <c r="AF87" s="183"/>
      <c r="AG87" s="82"/>
      <c r="AH87" s="84"/>
      <c r="AI87" s="84"/>
      <c r="AJ87" s="84"/>
      <c r="AK87" s="84"/>
      <c r="AL87" s="84"/>
      <c r="AM87" s="84"/>
      <c r="AN87" s="84"/>
      <c r="AO87" s="189"/>
      <c r="AP87" s="191"/>
    </row>
    <row r="88" spans="1:42" s="85" customFormat="1" ht="22.5" customHeight="1" x14ac:dyDescent="0.25">
      <c r="A88" s="233"/>
      <c r="B88" s="86"/>
      <c r="C88" s="87"/>
      <c r="D88" s="87"/>
      <c r="E88" s="87"/>
      <c r="F88" s="178"/>
      <c r="G88" s="80"/>
      <c r="H88" s="80"/>
      <c r="I88" s="81"/>
      <c r="J88" s="82"/>
      <c r="K88" s="81"/>
      <c r="L88" s="82"/>
      <c r="M88" s="81"/>
      <c r="N88" s="82"/>
      <c r="O88" s="81"/>
      <c r="P88" s="82"/>
      <c r="Q88" s="81"/>
      <c r="R88" s="83"/>
      <c r="S88" s="81"/>
      <c r="T88" s="83"/>
      <c r="U88" s="81"/>
      <c r="V88" s="83"/>
      <c r="W88" s="180"/>
      <c r="X88" s="82"/>
      <c r="Y88" s="82"/>
      <c r="Z88" s="183"/>
      <c r="AA88" s="84"/>
      <c r="AB88" s="84"/>
      <c r="AC88" s="185"/>
      <c r="AD88" s="84"/>
      <c r="AE88" s="84"/>
      <c r="AF88" s="183"/>
      <c r="AG88" s="82"/>
      <c r="AH88" s="84"/>
      <c r="AI88" s="84"/>
      <c r="AJ88" s="84"/>
      <c r="AK88" s="84"/>
      <c r="AL88" s="84"/>
      <c r="AM88" s="84"/>
      <c r="AN88" s="84"/>
      <c r="AO88" s="189"/>
      <c r="AP88" s="191"/>
    </row>
    <row r="89" spans="1:42" s="85" customFormat="1" ht="22.5" customHeight="1" x14ac:dyDescent="0.25">
      <c r="A89" s="233"/>
      <c r="B89" s="86"/>
      <c r="C89" s="87"/>
      <c r="D89" s="87"/>
      <c r="E89" s="87"/>
      <c r="F89" s="178"/>
      <c r="G89" s="80"/>
      <c r="H89" s="80"/>
      <c r="I89" s="81"/>
      <c r="J89" s="82"/>
      <c r="K89" s="81"/>
      <c r="L89" s="82"/>
      <c r="M89" s="81"/>
      <c r="N89" s="82"/>
      <c r="O89" s="81"/>
      <c r="P89" s="82"/>
      <c r="Q89" s="81"/>
      <c r="R89" s="83"/>
      <c r="S89" s="81"/>
      <c r="T89" s="83"/>
      <c r="U89" s="81"/>
      <c r="V89" s="83"/>
      <c r="W89" s="180"/>
      <c r="X89" s="82"/>
      <c r="Y89" s="82"/>
      <c r="Z89" s="183"/>
      <c r="AA89" s="84"/>
      <c r="AB89" s="84"/>
      <c r="AC89" s="185"/>
      <c r="AD89" s="84"/>
      <c r="AE89" s="84"/>
      <c r="AF89" s="183"/>
      <c r="AG89" s="82"/>
      <c r="AH89" s="84"/>
      <c r="AI89" s="84"/>
      <c r="AJ89" s="84"/>
      <c r="AK89" s="84"/>
      <c r="AL89" s="84"/>
      <c r="AM89" s="84"/>
      <c r="AN89" s="84"/>
      <c r="AO89" s="189"/>
      <c r="AP89" s="191"/>
    </row>
    <row r="90" spans="1:42" s="85" customFormat="1" ht="22.5" customHeight="1" x14ac:dyDescent="0.25">
      <c r="A90" s="233"/>
      <c r="B90" s="86"/>
      <c r="C90" s="87"/>
      <c r="D90" s="87"/>
      <c r="E90" s="87"/>
      <c r="F90" s="178"/>
      <c r="G90" s="80"/>
      <c r="H90" s="80"/>
      <c r="I90" s="81"/>
      <c r="J90" s="82"/>
      <c r="K90" s="81"/>
      <c r="L90" s="82"/>
      <c r="M90" s="81"/>
      <c r="N90" s="82"/>
      <c r="O90" s="81"/>
      <c r="P90" s="82"/>
      <c r="Q90" s="81"/>
      <c r="R90" s="83"/>
      <c r="S90" s="81"/>
      <c r="T90" s="83"/>
      <c r="U90" s="81"/>
      <c r="V90" s="83"/>
      <c r="W90" s="180"/>
      <c r="X90" s="82"/>
      <c r="Y90" s="82"/>
      <c r="Z90" s="183"/>
      <c r="AA90" s="84"/>
      <c r="AB90" s="84"/>
      <c r="AC90" s="185"/>
      <c r="AD90" s="84"/>
      <c r="AE90" s="84"/>
      <c r="AF90" s="183"/>
      <c r="AG90" s="82"/>
      <c r="AH90" s="84"/>
      <c r="AI90" s="84"/>
      <c r="AJ90" s="84"/>
      <c r="AK90" s="84"/>
      <c r="AL90" s="84"/>
      <c r="AM90" s="84"/>
      <c r="AN90" s="84"/>
      <c r="AO90" s="189"/>
      <c r="AP90" s="191"/>
    </row>
    <row r="91" spans="1:42" s="85" customFormat="1" ht="22.5" customHeight="1" x14ac:dyDescent="0.25">
      <c r="A91" s="233"/>
      <c r="B91" s="86"/>
      <c r="C91" s="87"/>
      <c r="D91" s="87"/>
      <c r="E91" s="87"/>
      <c r="F91" s="178"/>
      <c r="G91" s="80"/>
      <c r="H91" s="80"/>
      <c r="I91" s="81"/>
      <c r="J91" s="82"/>
      <c r="K91" s="81"/>
      <c r="L91" s="82"/>
      <c r="M91" s="81"/>
      <c r="N91" s="82"/>
      <c r="O91" s="81"/>
      <c r="P91" s="82"/>
      <c r="Q91" s="81"/>
      <c r="R91" s="83"/>
      <c r="S91" s="81"/>
      <c r="T91" s="83"/>
      <c r="U91" s="81"/>
      <c r="V91" s="83"/>
      <c r="W91" s="180"/>
      <c r="X91" s="82"/>
      <c r="Y91" s="82"/>
      <c r="Z91" s="183"/>
      <c r="AA91" s="84"/>
      <c r="AB91" s="84"/>
      <c r="AC91" s="185"/>
      <c r="AD91" s="84"/>
      <c r="AE91" s="84"/>
      <c r="AF91" s="183"/>
      <c r="AG91" s="82"/>
      <c r="AH91" s="84"/>
      <c r="AI91" s="84"/>
      <c r="AJ91" s="84"/>
      <c r="AK91" s="84"/>
      <c r="AL91" s="84"/>
      <c r="AM91" s="84"/>
      <c r="AN91" s="84"/>
      <c r="AO91" s="189"/>
      <c r="AP91" s="191"/>
    </row>
    <row r="92" spans="1:42" s="85" customFormat="1" ht="22.5" customHeight="1" x14ac:dyDescent="0.25">
      <c r="A92" s="233"/>
      <c r="B92" s="86"/>
      <c r="C92" s="87"/>
      <c r="D92" s="87"/>
      <c r="E92" s="87"/>
      <c r="F92" s="178"/>
      <c r="G92" s="80"/>
      <c r="H92" s="80"/>
      <c r="I92" s="81"/>
      <c r="J92" s="82"/>
      <c r="K92" s="81"/>
      <c r="L92" s="82"/>
      <c r="M92" s="81"/>
      <c r="N92" s="82"/>
      <c r="O92" s="81"/>
      <c r="P92" s="82"/>
      <c r="Q92" s="81"/>
      <c r="R92" s="83"/>
      <c r="S92" s="81"/>
      <c r="T92" s="83"/>
      <c r="U92" s="81"/>
      <c r="V92" s="83"/>
      <c r="W92" s="180"/>
      <c r="X92" s="82"/>
      <c r="Y92" s="82"/>
      <c r="Z92" s="183"/>
      <c r="AA92" s="84"/>
      <c r="AB92" s="84"/>
      <c r="AC92" s="185"/>
      <c r="AD92" s="84"/>
      <c r="AE92" s="84"/>
      <c r="AF92" s="183"/>
      <c r="AG92" s="82"/>
      <c r="AH92" s="84"/>
      <c r="AI92" s="84"/>
      <c r="AJ92" s="84"/>
      <c r="AK92" s="84"/>
      <c r="AL92" s="84"/>
      <c r="AM92" s="84"/>
      <c r="AN92" s="84"/>
      <c r="AO92" s="189"/>
      <c r="AP92" s="191"/>
    </row>
    <row r="93" spans="1:42" s="85" customFormat="1" ht="22.5" customHeight="1" x14ac:dyDescent="0.25">
      <c r="A93" s="233"/>
      <c r="B93" s="86"/>
      <c r="C93" s="87"/>
      <c r="D93" s="87"/>
      <c r="E93" s="87"/>
      <c r="F93" s="178"/>
      <c r="G93" s="80"/>
      <c r="H93" s="80"/>
      <c r="I93" s="81"/>
      <c r="J93" s="82"/>
      <c r="K93" s="81"/>
      <c r="L93" s="82"/>
      <c r="M93" s="81"/>
      <c r="N93" s="82"/>
      <c r="O93" s="81"/>
      <c r="P93" s="82"/>
      <c r="Q93" s="81"/>
      <c r="R93" s="83"/>
      <c r="S93" s="81"/>
      <c r="T93" s="83"/>
      <c r="U93" s="81"/>
      <c r="V93" s="83"/>
      <c r="W93" s="180"/>
      <c r="X93" s="82"/>
      <c r="Y93" s="82"/>
      <c r="Z93" s="183"/>
      <c r="AA93" s="84"/>
      <c r="AB93" s="84"/>
      <c r="AC93" s="185"/>
      <c r="AD93" s="84"/>
      <c r="AE93" s="84"/>
      <c r="AF93" s="183"/>
      <c r="AG93" s="82"/>
      <c r="AH93" s="84"/>
      <c r="AI93" s="84"/>
      <c r="AJ93" s="84"/>
      <c r="AK93" s="84"/>
      <c r="AL93" s="84"/>
      <c r="AM93" s="84"/>
      <c r="AN93" s="84"/>
      <c r="AO93" s="189"/>
      <c r="AP93" s="191"/>
    </row>
    <row r="94" spans="1:42" s="85" customFormat="1" ht="22.5" customHeight="1" x14ac:dyDescent="0.25">
      <c r="A94" s="233"/>
      <c r="B94" s="86"/>
      <c r="C94" s="87"/>
      <c r="D94" s="87"/>
      <c r="E94" s="87"/>
      <c r="F94" s="178"/>
      <c r="G94" s="80"/>
      <c r="H94" s="80"/>
      <c r="I94" s="81"/>
      <c r="J94" s="82"/>
      <c r="K94" s="81"/>
      <c r="L94" s="82"/>
      <c r="M94" s="81"/>
      <c r="N94" s="82"/>
      <c r="O94" s="81"/>
      <c r="P94" s="82"/>
      <c r="Q94" s="81"/>
      <c r="R94" s="83"/>
      <c r="S94" s="81"/>
      <c r="T94" s="83"/>
      <c r="U94" s="81"/>
      <c r="V94" s="83"/>
      <c r="W94" s="180"/>
      <c r="X94" s="82"/>
      <c r="Y94" s="82"/>
      <c r="Z94" s="183"/>
      <c r="AA94" s="84"/>
      <c r="AB94" s="84"/>
      <c r="AC94" s="185"/>
      <c r="AD94" s="84"/>
      <c r="AE94" s="84"/>
      <c r="AF94" s="183"/>
      <c r="AG94" s="82"/>
      <c r="AH94" s="84"/>
      <c r="AI94" s="84"/>
      <c r="AJ94" s="84"/>
      <c r="AK94" s="84"/>
      <c r="AL94" s="84"/>
      <c r="AM94" s="84"/>
      <c r="AN94" s="84"/>
      <c r="AO94" s="189"/>
      <c r="AP94" s="191"/>
    </row>
    <row r="95" spans="1:42" s="85" customFormat="1" ht="22.5" customHeight="1" x14ac:dyDescent="0.25">
      <c r="A95" s="233"/>
      <c r="B95" s="86"/>
      <c r="C95" s="87"/>
      <c r="D95" s="87"/>
      <c r="E95" s="87"/>
      <c r="F95" s="178"/>
      <c r="G95" s="80"/>
      <c r="H95" s="80"/>
      <c r="I95" s="81"/>
      <c r="J95" s="82"/>
      <c r="K95" s="81"/>
      <c r="L95" s="82"/>
      <c r="M95" s="81"/>
      <c r="N95" s="82"/>
      <c r="O95" s="81"/>
      <c r="P95" s="82"/>
      <c r="Q95" s="81"/>
      <c r="R95" s="83"/>
      <c r="S95" s="81"/>
      <c r="T95" s="83"/>
      <c r="U95" s="81"/>
      <c r="V95" s="83"/>
      <c r="W95" s="180"/>
      <c r="X95" s="82"/>
      <c r="Y95" s="82"/>
      <c r="Z95" s="183"/>
      <c r="AA95" s="84"/>
      <c r="AB95" s="84"/>
      <c r="AC95" s="185"/>
      <c r="AD95" s="84"/>
      <c r="AE95" s="84"/>
      <c r="AF95" s="183"/>
      <c r="AG95" s="82"/>
      <c r="AH95" s="84"/>
      <c r="AI95" s="84"/>
      <c r="AJ95" s="84"/>
      <c r="AK95" s="84"/>
      <c r="AL95" s="84"/>
      <c r="AM95" s="84"/>
      <c r="AN95" s="84"/>
      <c r="AO95" s="189"/>
      <c r="AP95" s="191"/>
    </row>
    <row r="96" spans="1:42" s="85" customFormat="1" ht="22.5" customHeight="1" x14ac:dyDescent="0.25">
      <c r="A96" s="233"/>
      <c r="B96" s="86"/>
      <c r="C96" s="87"/>
      <c r="D96" s="87"/>
      <c r="E96" s="87"/>
      <c r="F96" s="178"/>
      <c r="G96" s="80"/>
      <c r="H96" s="80"/>
      <c r="I96" s="81"/>
      <c r="J96" s="82"/>
      <c r="K96" s="81"/>
      <c r="L96" s="82"/>
      <c r="M96" s="81"/>
      <c r="N96" s="82"/>
      <c r="O96" s="81"/>
      <c r="P96" s="82"/>
      <c r="Q96" s="81"/>
      <c r="R96" s="83"/>
      <c r="S96" s="81"/>
      <c r="T96" s="83"/>
      <c r="U96" s="81"/>
      <c r="V96" s="83"/>
      <c r="W96" s="180"/>
      <c r="X96" s="82"/>
      <c r="Y96" s="82"/>
      <c r="Z96" s="183"/>
      <c r="AA96" s="84"/>
      <c r="AB96" s="84"/>
      <c r="AC96" s="185"/>
      <c r="AD96" s="84"/>
      <c r="AE96" s="84"/>
      <c r="AF96" s="183"/>
      <c r="AG96" s="82"/>
      <c r="AH96" s="84"/>
      <c r="AI96" s="84"/>
      <c r="AJ96" s="84"/>
      <c r="AK96" s="84"/>
      <c r="AL96" s="84"/>
      <c r="AM96" s="84"/>
      <c r="AN96" s="84"/>
      <c r="AO96" s="189"/>
      <c r="AP96" s="191"/>
    </row>
    <row r="97" spans="1:42" s="85" customFormat="1" ht="22.5" customHeight="1" x14ac:dyDescent="0.25">
      <c r="A97" s="233"/>
      <c r="B97" s="86"/>
      <c r="C97" s="87"/>
      <c r="D97" s="87"/>
      <c r="E97" s="87"/>
      <c r="F97" s="178"/>
      <c r="G97" s="80"/>
      <c r="H97" s="80"/>
      <c r="I97" s="81"/>
      <c r="J97" s="82"/>
      <c r="K97" s="81"/>
      <c r="L97" s="82"/>
      <c r="M97" s="81"/>
      <c r="N97" s="82"/>
      <c r="O97" s="81"/>
      <c r="P97" s="82"/>
      <c r="Q97" s="81"/>
      <c r="R97" s="83"/>
      <c r="S97" s="81"/>
      <c r="T97" s="83"/>
      <c r="U97" s="81"/>
      <c r="V97" s="83"/>
      <c r="W97" s="180"/>
      <c r="X97" s="82"/>
      <c r="Y97" s="82"/>
      <c r="Z97" s="183"/>
      <c r="AA97" s="84"/>
      <c r="AB97" s="84"/>
      <c r="AC97" s="185"/>
      <c r="AD97" s="84"/>
      <c r="AE97" s="84"/>
      <c r="AF97" s="183"/>
      <c r="AG97" s="82"/>
      <c r="AH97" s="84"/>
      <c r="AI97" s="84"/>
      <c r="AJ97" s="84"/>
      <c r="AK97" s="84"/>
      <c r="AL97" s="84"/>
      <c r="AM97" s="84"/>
      <c r="AN97" s="84"/>
      <c r="AO97" s="189"/>
      <c r="AP97" s="191"/>
    </row>
    <row r="98" spans="1:42" s="85" customFormat="1" ht="22.5" customHeight="1" x14ac:dyDescent="0.25">
      <c r="A98" s="233"/>
      <c r="B98" s="86"/>
      <c r="C98" s="87"/>
      <c r="D98" s="87"/>
      <c r="E98" s="87"/>
      <c r="F98" s="178"/>
      <c r="G98" s="80"/>
      <c r="H98" s="80"/>
      <c r="I98" s="81"/>
      <c r="J98" s="82"/>
      <c r="K98" s="81"/>
      <c r="L98" s="82"/>
      <c r="M98" s="81"/>
      <c r="N98" s="82"/>
      <c r="O98" s="81"/>
      <c r="P98" s="82"/>
      <c r="Q98" s="81"/>
      <c r="R98" s="83"/>
      <c r="S98" s="81"/>
      <c r="T98" s="83"/>
      <c r="U98" s="81"/>
      <c r="V98" s="83"/>
      <c r="W98" s="180"/>
      <c r="X98" s="82"/>
      <c r="Y98" s="82"/>
      <c r="Z98" s="183"/>
      <c r="AA98" s="84"/>
      <c r="AB98" s="84"/>
      <c r="AC98" s="185"/>
      <c r="AD98" s="84"/>
      <c r="AE98" s="84"/>
      <c r="AF98" s="183"/>
      <c r="AG98" s="82"/>
      <c r="AH98" s="84"/>
      <c r="AI98" s="84"/>
      <c r="AJ98" s="84"/>
      <c r="AK98" s="84"/>
      <c r="AL98" s="84"/>
      <c r="AM98" s="84"/>
      <c r="AN98" s="84"/>
      <c r="AO98" s="189"/>
      <c r="AP98" s="191"/>
    </row>
    <row r="99" spans="1:42" s="85" customFormat="1" ht="22.5" customHeight="1" x14ac:dyDescent="0.25">
      <c r="A99" s="233"/>
      <c r="B99" s="86"/>
      <c r="C99" s="87"/>
      <c r="D99" s="87"/>
      <c r="E99" s="87"/>
      <c r="F99" s="178"/>
      <c r="G99" s="80"/>
      <c r="H99" s="80"/>
      <c r="I99" s="81"/>
      <c r="J99" s="82"/>
      <c r="K99" s="81"/>
      <c r="L99" s="82"/>
      <c r="M99" s="81"/>
      <c r="N99" s="82"/>
      <c r="O99" s="81"/>
      <c r="P99" s="82"/>
      <c r="Q99" s="81"/>
      <c r="R99" s="83"/>
      <c r="S99" s="81"/>
      <c r="T99" s="83"/>
      <c r="U99" s="81"/>
      <c r="V99" s="83"/>
      <c r="W99" s="180"/>
      <c r="X99" s="82"/>
      <c r="Y99" s="82"/>
      <c r="Z99" s="183"/>
      <c r="AA99" s="84"/>
      <c r="AB99" s="84"/>
      <c r="AC99" s="185"/>
      <c r="AD99" s="84"/>
      <c r="AE99" s="84"/>
      <c r="AF99" s="183"/>
      <c r="AG99" s="82"/>
      <c r="AH99" s="84"/>
      <c r="AI99" s="84"/>
      <c r="AJ99" s="84"/>
      <c r="AK99" s="84"/>
      <c r="AL99" s="84"/>
      <c r="AM99" s="84"/>
      <c r="AN99" s="84"/>
      <c r="AO99" s="189"/>
      <c r="AP99" s="191"/>
    </row>
    <row r="100" spans="1:42" s="85" customFormat="1" ht="22.5" customHeight="1" x14ac:dyDescent="0.25">
      <c r="A100" s="233"/>
      <c r="B100" s="86"/>
      <c r="C100" s="87"/>
      <c r="D100" s="87"/>
      <c r="E100" s="87"/>
      <c r="F100" s="178"/>
      <c r="G100" s="80"/>
      <c r="H100" s="80"/>
      <c r="I100" s="81"/>
      <c r="J100" s="82"/>
      <c r="K100" s="81"/>
      <c r="L100" s="82"/>
      <c r="M100" s="81"/>
      <c r="N100" s="82"/>
      <c r="O100" s="81"/>
      <c r="P100" s="82"/>
      <c r="Q100" s="81"/>
      <c r="R100" s="83"/>
      <c r="S100" s="81"/>
      <c r="T100" s="83"/>
      <c r="U100" s="81"/>
      <c r="V100" s="83"/>
      <c r="W100" s="180"/>
      <c r="X100" s="82"/>
      <c r="Y100" s="82"/>
      <c r="Z100" s="183"/>
      <c r="AA100" s="84"/>
      <c r="AB100" s="84"/>
      <c r="AC100" s="185"/>
      <c r="AD100" s="84"/>
      <c r="AE100" s="84"/>
      <c r="AF100" s="183"/>
      <c r="AG100" s="82"/>
      <c r="AH100" s="84"/>
      <c r="AI100" s="84"/>
      <c r="AJ100" s="84"/>
      <c r="AK100" s="84"/>
      <c r="AL100" s="84"/>
      <c r="AM100" s="84"/>
      <c r="AN100" s="84"/>
      <c r="AO100" s="189"/>
      <c r="AP100" s="191"/>
    </row>
    <row r="101" spans="1:42" s="85" customFormat="1" ht="22.5" customHeight="1" x14ac:dyDescent="0.25">
      <c r="A101" s="233"/>
      <c r="B101" s="86"/>
      <c r="C101" s="87"/>
      <c r="D101" s="87"/>
      <c r="E101" s="87"/>
      <c r="F101" s="178"/>
      <c r="G101" s="80"/>
      <c r="H101" s="80"/>
      <c r="I101" s="81"/>
      <c r="J101" s="82"/>
      <c r="K101" s="81"/>
      <c r="L101" s="82"/>
      <c r="M101" s="81"/>
      <c r="N101" s="82"/>
      <c r="O101" s="81"/>
      <c r="P101" s="82"/>
      <c r="Q101" s="81"/>
      <c r="R101" s="83"/>
      <c r="S101" s="81"/>
      <c r="T101" s="83"/>
      <c r="U101" s="81"/>
      <c r="V101" s="83"/>
      <c r="W101" s="180"/>
      <c r="X101" s="82"/>
      <c r="Y101" s="82"/>
      <c r="Z101" s="183"/>
      <c r="AA101" s="84"/>
      <c r="AB101" s="84"/>
      <c r="AC101" s="185"/>
      <c r="AD101" s="84"/>
      <c r="AE101" s="84"/>
      <c r="AF101" s="183"/>
      <c r="AG101" s="82"/>
      <c r="AH101" s="84"/>
      <c r="AI101" s="84"/>
      <c r="AJ101" s="84"/>
      <c r="AK101" s="84"/>
      <c r="AL101" s="84"/>
      <c r="AM101" s="84"/>
      <c r="AN101" s="84"/>
      <c r="AO101" s="189"/>
      <c r="AP101" s="191"/>
    </row>
    <row r="102" spans="1:42" s="85" customFormat="1" ht="22.5" customHeight="1" x14ac:dyDescent="0.25">
      <c r="A102" s="233"/>
      <c r="B102" s="86"/>
      <c r="C102" s="87"/>
      <c r="D102" s="87"/>
      <c r="E102" s="87"/>
      <c r="F102" s="178"/>
      <c r="G102" s="80"/>
      <c r="H102" s="80"/>
      <c r="I102" s="81"/>
      <c r="J102" s="82"/>
      <c r="K102" s="81"/>
      <c r="L102" s="82"/>
      <c r="M102" s="81"/>
      <c r="N102" s="82"/>
      <c r="O102" s="81"/>
      <c r="P102" s="82"/>
      <c r="Q102" s="81"/>
      <c r="R102" s="83"/>
      <c r="S102" s="81"/>
      <c r="T102" s="83"/>
      <c r="U102" s="81"/>
      <c r="V102" s="83"/>
      <c r="W102" s="180"/>
      <c r="X102" s="82"/>
      <c r="Y102" s="82"/>
      <c r="Z102" s="183"/>
      <c r="AA102" s="84"/>
      <c r="AB102" s="84"/>
      <c r="AC102" s="185"/>
      <c r="AD102" s="84"/>
      <c r="AE102" s="84"/>
      <c r="AF102" s="183"/>
      <c r="AG102" s="82"/>
      <c r="AH102" s="84"/>
      <c r="AI102" s="84"/>
      <c r="AJ102" s="84"/>
      <c r="AK102" s="84"/>
      <c r="AL102" s="84"/>
      <c r="AM102" s="84"/>
      <c r="AN102" s="84"/>
      <c r="AO102" s="189"/>
      <c r="AP102" s="191"/>
    </row>
    <row r="103" spans="1:42" s="85" customFormat="1" ht="22.5" customHeight="1" x14ac:dyDescent="0.25">
      <c r="A103" s="233"/>
      <c r="B103" s="86"/>
      <c r="C103" s="87"/>
      <c r="D103" s="87"/>
      <c r="E103" s="87"/>
      <c r="F103" s="178"/>
      <c r="G103" s="80"/>
      <c r="H103" s="80"/>
      <c r="I103" s="81"/>
      <c r="J103" s="82"/>
      <c r="K103" s="81"/>
      <c r="L103" s="82"/>
      <c r="M103" s="81"/>
      <c r="N103" s="82"/>
      <c r="O103" s="81"/>
      <c r="P103" s="82"/>
      <c r="Q103" s="81"/>
      <c r="R103" s="83"/>
      <c r="S103" s="81"/>
      <c r="T103" s="83"/>
      <c r="U103" s="81"/>
      <c r="V103" s="83"/>
      <c r="W103" s="180"/>
      <c r="X103" s="82"/>
      <c r="Y103" s="82"/>
      <c r="Z103" s="183"/>
      <c r="AA103" s="84"/>
      <c r="AB103" s="84"/>
      <c r="AC103" s="185"/>
      <c r="AD103" s="84"/>
      <c r="AE103" s="84"/>
      <c r="AF103" s="183"/>
      <c r="AG103" s="82"/>
      <c r="AH103" s="84"/>
      <c r="AI103" s="84"/>
      <c r="AJ103" s="84"/>
      <c r="AK103" s="84"/>
      <c r="AL103" s="84"/>
      <c r="AM103" s="84"/>
      <c r="AN103" s="84"/>
      <c r="AO103" s="189"/>
      <c r="AP103" s="191"/>
    </row>
    <row r="104" spans="1:42" s="85" customFormat="1" ht="22.5" customHeight="1" x14ac:dyDescent="0.25">
      <c r="A104" s="233"/>
      <c r="B104" s="86"/>
      <c r="C104" s="87"/>
      <c r="D104" s="87"/>
      <c r="E104" s="87"/>
      <c r="F104" s="178"/>
      <c r="G104" s="80"/>
      <c r="H104" s="80"/>
      <c r="I104" s="81"/>
      <c r="J104" s="82"/>
      <c r="K104" s="81"/>
      <c r="L104" s="82"/>
      <c r="M104" s="81"/>
      <c r="N104" s="82"/>
      <c r="O104" s="81"/>
      <c r="P104" s="82"/>
      <c r="Q104" s="81"/>
      <c r="R104" s="83"/>
      <c r="S104" s="81"/>
      <c r="T104" s="83"/>
      <c r="U104" s="81"/>
      <c r="V104" s="83"/>
      <c r="W104" s="180"/>
      <c r="X104" s="82"/>
      <c r="Y104" s="82"/>
      <c r="Z104" s="183"/>
      <c r="AA104" s="84"/>
      <c r="AB104" s="84"/>
      <c r="AC104" s="185"/>
      <c r="AD104" s="84"/>
      <c r="AE104" s="84"/>
      <c r="AF104" s="183"/>
      <c r="AG104" s="82"/>
      <c r="AH104" s="84"/>
      <c r="AI104" s="84"/>
      <c r="AJ104" s="84"/>
      <c r="AK104" s="84"/>
      <c r="AL104" s="84"/>
      <c r="AM104" s="84"/>
      <c r="AN104" s="84"/>
      <c r="AO104" s="189"/>
      <c r="AP104" s="191"/>
    </row>
    <row r="105" spans="1:42" s="85" customFormat="1" ht="22.5" customHeight="1" x14ac:dyDescent="0.25">
      <c r="A105" s="233"/>
      <c r="B105" s="86"/>
      <c r="C105" s="87"/>
      <c r="D105" s="87"/>
      <c r="E105" s="87"/>
      <c r="F105" s="178"/>
      <c r="G105" s="80"/>
      <c r="H105" s="80"/>
      <c r="I105" s="81"/>
      <c r="J105" s="82"/>
      <c r="K105" s="81"/>
      <c r="L105" s="82"/>
      <c r="M105" s="81"/>
      <c r="N105" s="82"/>
      <c r="O105" s="81"/>
      <c r="P105" s="82"/>
      <c r="Q105" s="81"/>
      <c r="R105" s="83"/>
      <c r="S105" s="81"/>
      <c r="T105" s="83"/>
      <c r="U105" s="81"/>
      <c r="V105" s="83"/>
      <c r="W105" s="180"/>
      <c r="X105" s="82"/>
      <c r="Y105" s="82"/>
      <c r="Z105" s="183"/>
      <c r="AA105" s="84"/>
      <c r="AB105" s="84"/>
      <c r="AC105" s="185"/>
      <c r="AD105" s="84"/>
      <c r="AE105" s="84"/>
      <c r="AF105" s="183"/>
      <c r="AG105" s="82"/>
      <c r="AH105" s="84"/>
      <c r="AI105" s="84"/>
      <c r="AJ105" s="84"/>
      <c r="AK105" s="84"/>
      <c r="AL105" s="84"/>
      <c r="AM105" s="84"/>
      <c r="AN105" s="84"/>
      <c r="AO105" s="189"/>
      <c r="AP105" s="191"/>
    </row>
    <row r="106" spans="1:42" s="85" customFormat="1" ht="22.5" customHeight="1" x14ac:dyDescent="0.25">
      <c r="A106" s="233"/>
      <c r="B106" s="86"/>
      <c r="C106" s="87"/>
      <c r="D106" s="87"/>
      <c r="E106" s="87"/>
      <c r="F106" s="178"/>
      <c r="G106" s="80"/>
      <c r="H106" s="80"/>
      <c r="I106" s="81"/>
      <c r="J106" s="82"/>
      <c r="K106" s="81"/>
      <c r="L106" s="82"/>
      <c r="M106" s="81"/>
      <c r="N106" s="82"/>
      <c r="O106" s="81"/>
      <c r="P106" s="82"/>
      <c r="Q106" s="81"/>
      <c r="R106" s="83"/>
      <c r="S106" s="81"/>
      <c r="T106" s="83"/>
      <c r="U106" s="81"/>
      <c r="V106" s="83"/>
      <c r="W106" s="180"/>
      <c r="X106" s="82"/>
      <c r="Y106" s="82"/>
      <c r="Z106" s="183"/>
      <c r="AA106" s="84"/>
      <c r="AB106" s="84"/>
      <c r="AC106" s="185"/>
      <c r="AD106" s="84"/>
      <c r="AE106" s="84"/>
      <c r="AF106" s="183"/>
      <c r="AG106" s="82"/>
      <c r="AH106" s="84"/>
      <c r="AI106" s="84"/>
      <c r="AJ106" s="84"/>
      <c r="AK106" s="84"/>
      <c r="AL106" s="84"/>
      <c r="AM106" s="84"/>
      <c r="AN106" s="84"/>
      <c r="AO106" s="189"/>
      <c r="AP106" s="191"/>
    </row>
    <row r="107" spans="1:42" s="85" customFormat="1" ht="22.5" customHeight="1" x14ac:dyDescent="0.25">
      <c r="A107" s="233"/>
      <c r="B107" s="86"/>
      <c r="C107" s="87"/>
      <c r="D107" s="87"/>
      <c r="E107" s="87"/>
      <c r="F107" s="178"/>
      <c r="G107" s="80"/>
      <c r="H107" s="80"/>
      <c r="I107" s="81"/>
      <c r="J107" s="82"/>
      <c r="K107" s="81"/>
      <c r="L107" s="82"/>
      <c r="M107" s="81"/>
      <c r="N107" s="82"/>
      <c r="O107" s="81"/>
      <c r="P107" s="82"/>
      <c r="Q107" s="81"/>
      <c r="R107" s="83"/>
      <c r="S107" s="81"/>
      <c r="T107" s="83"/>
      <c r="U107" s="81"/>
      <c r="V107" s="83"/>
      <c r="W107" s="180"/>
      <c r="X107" s="82"/>
      <c r="Y107" s="82"/>
      <c r="Z107" s="183"/>
      <c r="AA107" s="84"/>
      <c r="AB107" s="84"/>
      <c r="AC107" s="185"/>
      <c r="AD107" s="84"/>
      <c r="AE107" s="84"/>
      <c r="AF107" s="183"/>
      <c r="AG107" s="82"/>
      <c r="AH107" s="84"/>
      <c r="AI107" s="84"/>
      <c r="AJ107" s="84"/>
      <c r="AK107" s="84"/>
      <c r="AL107" s="84"/>
      <c r="AM107" s="84"/>
      <c r="AN107" s="84"/>
      <c r="AO107" s="189"/>
      <c r="AP107" s="191"/>
    </row>
    <row r="108" spans="1:42" s="85" customFormat="1" ht="22.5" customHeight="1" x14ac:dyDescent="0.25">
      <c r="A108" s="233"/>
      <c r="B108" s="86"/>
      <c r="C108" s="87"/>
      <c r="D108" s="87"/>
      <c r="E108" s="87"/>
      <c r="F108" s="178"/>
      <c r="G108" s="80"/>
      <c r="H108" s="80"/>
      <c r="I108" s="81"/>
      <c r="J108" s="82"/>
      <c r="K108" s="81"/>
      <c r="L108" s="82"/>
      <c r="M108" s="81"/>
      <c r="N108" s="82"/>
      <c r="O108" s="81"/>
      <c r="P108" s="82"/>
      <c r="Q108" s="81"/>
      <c r="R108" s="83"/>
      <c r="S108" s="81"/>
      <c r="T108" s="83"/>
      <c r="U108" s="81"/>
      <c r="V108" s="83"/>
      <c r="W108" s="180"/>
      <c r="X108" s="82"/>
      <c r="Y108" s="82"/>
      <c r="Z108" s="183"/>
      <c r="AA108" s="84"/>
      <c r="AB108" s="84"/>
      <c r="AC108" s="185"/>
      <c r="AD108" s="84"/>
      <c r="AE108" s="84"/>
      <c r="AF108" s="183"/>
      <c r="AG108" s="82"/>
      <c r="AH108" s="84"/>
      <c r="AI108" s="84"/>
      <c r="AJ108" s="84"/>
      <c r="AK108" s="84"/>
      <c r="AL108" s="84"/>
      <c r="AM108" s="84"/>
      <c r="AN108" s="84"/>
      <c r="AO108" s="189"/>
      <c r="AP108" s="191"/>
    </row>
    <row r="109" spans="1:42" s="85" customFormat="1" ht="22.5" customHeight="1" x14ac:dyDescent="0.25">
      <c r="A109" s="233"/>
      <c r="B109" s="86"/>
      <c r="C109" s="87"/>
      <c r="D109" s="87"/>
      <c r="E109" s="87"/>
      <c r="F109" s="178"/>
      <c r="G109" s="80"/>
      <c r="H109" s="80"/>
      <c r="I109" s="81"/>
      <c r="J109" s="82"/>
      <c r="K109" s="81"/>
      <c r="L109" s="82"/>
      <c r="M109" s="81"/>
      <c r="N109" s="82"/>
      <c r="O109" s="81"/>
      <c r="P109" s="82"/>
      <c r="Q109" s="81"/>
      <c r="R109" s="83"/>
      <c r="S109" s="81"/>
      <c r="T109" s="83"/>
      <c r="U109" s="81"/>
      <c r="V109" s="83"/>
      <c r="W109" s="180"/>
      <c r="X109" s="82"/>
      <c r="Y109" s="82"/>
      <c r="Z109" s="183"/>
      <c r="AA109" s="84"/>
      <c r="AB109" s="84"/>
      <c r="AC109" s="185"/>
      <c r="AD109" s="84"/>
      <c r="AE109" s="84"/>
      <c r="AF109" s="183"/>
      <c r="AG109" s="82"/>
      <c r="AH109" s="84"/>
      <c r="AI109" s="84"/>
      <c r="AJ109" s="84"/>
      <c r="AK109" s="84"/>
      <c r="AL109" s="84"/>
      <c r="AM109" s="84"/>
      <c r="AN109" s="84"/>
      <c r="AO109" s="189"/>
      <c r="AP109" s="191"/>
    </row>
    <row r="110" spans="1:42" s="85" customFormat="1" ht="22.5" customHeight="1" x14ac:dyDescent="0.25">
      <c r="A110" s="233"/>
      <c r="B110" s="86"/>
      <c r="C110" s="87"/>
      <c r="D110" s="87"/>
      <c r="E110" s="87"/>
      <c r="F110" s="178"/>
      <c r="G110" s="80"/>
      <c r="H110" s="80"/>
      <c r="I110" s="81"/>
      <c r="J110" s="82"/>
      <c r="K110" s="81"/>
      <c r="L110" s="82"/>
      <c r="M110" s="81"/>
      <c r="N110" s="82"/>
      <c r="O110" s="81"/>
      <c r="P110" s="82"/>
      <c r="Q110" s="81"/>
      <c r="R110" s="83"/>
      <c r="S110" s="81"/>
      <c r="T110" s="83"/>
      <c r="U110" s="81"/>
      <c r="V110" s="83"/>
      <c r="W110" s="180"/>
      <c r="X110" s="82"/>
      <c r="Y110" s="82"/>
      <c r="Z110" s="183"/>
      <c r="AA110" s="84"/>
      <c r="AB110" s="84"/>
      <c r="AC110" s="185"/>
      <c r="AD110" s="84"/>
      <c r="AE110" s="84"/>
      <c r="AF110" s="183"/>
      <c r="AG110" s="82"/>
      <c r="AH110" s="84"/>
      <c r="AI110" s="84"/>
      <c r="AJ110" s="84"/>
      <c r="AK110" s="84"/>
      <c r="AL110" s="84"/>
      <c r="AM110" s="84"/>
      <c r="AN110" s="84"/>
      <c r="AO110" s="189"/>
      <c r="AP110" s="191"/>
    </row>
    <row r="111" spans="1:42" s="85" customFormat="1" ht="22.5" customHeight="1" x14ac:dyDescent="0.25">
      <c r="A111" s="233"/>
      <c r="B111" s="86"/>
      <c r="C111" s="87"/>
      <c r="D111" s="87"/>
      <c r="E111" s="87"/>
      <c r="F111" s="178"/>
      <c r="G111" s="80"/>
      <c r="H111" s="80"/>
      <c r="I111" s="81"/>
      <c r="J111" s="82"/>
      <c r="K111" s="81"/>
      <c r="L111" s="82"/>
      <c r="M111" s="81"/>
      <c r="N111" s="82"/>
      <c r="O111" s="81"/>
      <c r="P111" s="82"/>
      <c r="Q111" s="81"/>
      <c r="R111" s="83"/>
      <c r="S111" s="81"/>
      <c r="T111" s="83"/>
      <c r="U111" s="81"/>
      <c r="V111" s="83"/>
      <c r="W111" s="180"/>
      <c r="X111" s="82"/>
      <c r="Y111" s="82"/>
      <c r="Z111" s="183"/>
      <c r="AA111" s="84"/>
      <c r="AB111" s="84"/>
      <c r="AC111" s="185"/>
      <c r="AD111" s="84"/>
      <c r="AE111" s="84"/>
      <c r="AF111" s="183"/>
      <c r="AG111" s="82"/>
      <c r="AH111" s="84"/>
      <c r="AI111" s="84"/>
      <c r="AJ111" s="84"/>
      <c r="AK111" s="84"/>
      <c r="AL111" s="84"/>
      <c r="AM111" s="84"/>
      <c r="AN111" s="84"/>
      <c r="AO111" s="189"/>
      <c r="AP111" s="191"/>
    </row>
    <row r="112" spans="1:42" s="85" customFormat="1" ht="22.5" customHeight="1" x14ac:dyDescent="0.25">
      <c r="A112" s="233"/>
      <c r="B112" s="86"/>
      <c r="C112" s="87"/>
      <c r="D112" s="87"/>
      <c r="E112" s="87"/>
      <c r="F112" s="178"/>
      <c r="G112" s="80"/>
      <c r="H112" s="80"/>
      <c r="I112" s="81"/>
      <c r="J112" s="82"/>
      <c r="K112" s="81"/>
      <c r="L112" s="82"/>
      <c r="M112" s="81"/>
      <c r="N112" s="82"/>
      <c r="O112" s="81"/>
      <c r="P112" s="82"/>
      <c r="Q112" s="81"/>
      <c r="R112" s="83"/>
      <c r="S112" s="81"/>
      <c r="T112" s="83"/>
      <c r="U112" s="81"/>
      <c r="V112" s="83"/>
      <c r="W112" s="180"/>
      <c r="X112" s="82"/>
      <c r="Y112" s="82"/>
      <c r="Z112" s="183"/>
      <c r="AA112" s="84"/>
      <c r="AB112" s="84"/>
      <c r="AC112" s="185"/>
      <c r="AD112" s="84"/>
      <c r="AE112" s="84"/>
      <c r="AF112" s="183"/>
      <c r="AG112" s="82"/>
      <c r="AH112" s="84"/>
      <c r="AI112" s="84"/>
      <c r="AJ112" s="84"/>
      <c r="AK112" s="84"/>
      <c r="AL112" s="84"/>
      <c r="AM112" s="84"/>
      <c r="AN112" s="84"/>
      <c r="AO112" s="189"/>
      <c r="AP112" s="191"/>
    </row>
    <row r="113" spans="1:42" s="85" customFormat="1" ht="22.5" customHeight="1" x14ac:dyDescent="0.25">
      <c r="A113" s="233"/>
      <c r="B113" s="86"/>
      <c r="C113" s="87"/>
      <c r="D113" s="87"/>
      <c r="E113" s="87"/>
      <c r="F113" s="178"/>
      <c r="G113" s="80"/>
      <c r="H113" s="80"/>
      <c r="I113" s="81"/>
      <c r="J113" s="82"/>
      <c r="K113" s="81"/>
      <c r="L113" s="82"/>
      <c r="M113" s="81"/>
      <c r="N113" s="82"/>
      <c r="O113" s="81"/>
      <c r="P113" s="82"/>
      <c r="Q113" s="81"/>
      <c r="R113" s="83"/>
      <c r="S113" s="81"/>
      <c r="T113" s="83"/>
      <c r="U113" s="81"/>
      <c r="V113" s="83"/>
      <c r="W113" s="180"/>
      <c r="X113" s="82"/>
      <c r="Y113" s="82"/>
      <c r="Z113" s="183"/>
      <c r="AA113" s="84"/>
      <c r="AB113" s="84"/>
      <c r="AC113" s="185"/>
      <c r="AD113" s="84"/>
      <c r="AE113" s="84"/>
      <c r="AF113" s="183"/>
      <c r="AG113" s="82"/>
      <c r="AH113" s="84"/>
      <c r="AI113" s="84"/>
      <c r="AJ113" s="84"/>
      <c r="AK113" s="84"/>
      <c r="AL113" s="84"/>
      <c r="AM113" s="84"/>
      <c r="AN113" s="84"/>
      <c r="AO113" s="189"/>
      <c r="AP113" s="191"/>
    </row>
    <row r="114" spans="1:42" s="85" customFormat="1" ht="22.5" customHeight="1" x14ac:dyDescent="0.25">
      <c r="A114" s="233"/>
      <c r="B114" s="86"/>
      <c r="C114" s="87"/>
      <c r="D114" s="87"/>
      <c r="E114" s="87"/>
      <c r="F114" s="178"/>
      <c r="G114" s="80"/>
      <c r="H114" s="80"/>
      <c r="I114" s="81"/>
      <c r="J114" s="82"/>
      <c r="K114" s="81"/>
      <c r="L114" s="82"/>
      <c r="M114" s="81"/>
      <c r="N114" s="82"/>
      <c r="O114" s="81"/>
      <c r="P114" s="82"/>
      <c r="Q114" s="81"/>
      <c r="R114" s="83"/>
      <c r="S114" s="81"/>
      <c r="T114" s="83"/>
      <c r="U114" s="81"/>
      <c r="V114" s="83"/>
      <c r="W114" s="180"/>
      <c r="X114" s="82"/>
      <c r="Y114" s="82"/>
      <c r="Z114" s="183"/>
      <c r="AA114" s="84"/>
      <c r="AB114" s="84"/>
      <c r="AC114" s="185"/>
      <c r="AD114" s="84"/>
      <c r="AE114" s="84"/>
      <c r="AF114" s="183"/>
      <c r="AG114" s="82"/>
      <c r="AH114" s="84"/>
      <c r="AI114" s="84"/>
      <c r="AJ114" s="84"/>
      <c r="AK114" s="84"/>
      <c r="AL114" s="84"/>
      <c r="AM114" s="84"/>
      <c r="AN114" s="84"/>
      <c r="AO114" s="189"/>
      <c r="AP114" s="191"/>
    </row>
    <row r="115" spans="1:42" s="85" customFormat="1" ht="22.5" customHeight="1" x14ac:dyDescent="0.25">
      <c r="A115" s="233"/>
      <c r="B115" s="86"/>
      <c r="C115" s="87"/>
      <c r="D115" s="87"/>
      <c r="E115" s="87"/>
      <c r="F115" s="178"/>
      <c r="G115" s="80"/>
      <c r="H115" s="80"/>
      <c r="I115" s="81"/>
      <c r="J115" s="82"/>
      <c r="K115" s="81"/>
      <c r="L115" s="82"/>
      <c r="M115" s="81"/>
      <c r="N115" s="82"/>
      <c r="O115" s="81"/>
      <c r="P115" s="82"/>
      <c r="Q115" s="81"/>
      <c r="R115" s="83"/>
      <c r="S115" s="81"/>
      <c r="T115" s="83"/>
      <c r="U115" s="81"/>
      <c r="V115" s="83"/>
      <c r="W115" s="180"/>
      <c r="X115" s="82"/>
      <c r="Y115" s="82"/>
      <c r="Z115" s="183"/>
      <c r="AA115" s="84"/>
      <c r="AB115" s="84"/>
      <c r="AC115" s="185"/>
      <c r="AD115" s="84"/>
      <c r="AE115" s="84"/>
      <c r="AF115" s="183"/>
      <c r="AG115" s="82"/>
      <c r="AH115" s="84"/>
      <c r="AI115" s="84"/>
      <c r="AJ115" s="84"/>
      <c r="AK115" s="84"/>
      <c r="AL115" s="84"/>
      <c r="AM115" s="84"/>
      <c r="AN115" s="84"/>
      <c r="AO115" s="189"/>
      <c r="AP115" s="191"/>
    </row>
    <row r="116" spans="1:42" s="85" customFormat="1" ht="22.5" customHeight="1" x14ac:dyDescent="0.25">
      <c r="A116" s="233"/>
      <c r="B116" s="86"/>
      <c r="C116" s="87"/>
      <c r="D116" s="87"/>
      <c r="E116" s="87"/>
      <c r="F116" s="178"/>
      <c r="G116" s="80"/>
      <c r="H116" s="80"/>
      <c r="I116" s="81"/>
      <c r="J116" s="82"/>
      <c r="K116" s="81"/>
      <c r="L116" s="82"/>
      <c r="M116" s="81"/>
      <c r="N116" s="82"/>
      <c r="O116" s="81"/>
      <c r="P116" s="82"/>
      <c r="Q116" s="81"/>
      <c r="R116" s="83"/>
      <c r="S116" s="81"/>
      <c r="T116" s="83"/>
      <c r="U116" s="81"/>
      <c r="V116" s="83"/>
      <c r="W116" s="180"/>
      <c r="X116" s="82"/>
      <c r="Y116" s="82"/>
      <c r="Z116" s="183"/>
      <c r="AA116" s="84"/>
      <c r="AB116" s="84"/>
      <c r="AC116" s="185"/>
      <c r="AD116" s="84"/>
      <c r="AE116" s="84"/>
      <c r="AF116" s="183"/>
      <c r="AG116" s="82"/>
      <c r="AH116" s="84"/>
      <c r="AI116" s="84"/>
      <c r="AJ116" s="84"/>
      <c r="AK116" s="84"/>
      <c r="AL116" s="84"/>
      <c r="AM116" s="84"/>
      <c r="AN116" s="84"/>
      <c r="AO116" s="189"/>
      <c r="AP116" s="191"/>
    </row>
    <row r="117" spans="1:42" s="85" customFormat="1" ht="22.5" customHeight="1" x14ac:dyDescent="0.25">
      <c r="A117" s="233"/>
      <c r="B117" s="86"/>
      <c r="C117" s="87"/>
      <c r="D117" s="87"/>
      <c r="E117" s="87"/>
      <c r="F117" s="178"/>
      <c r="G117" s="80"/>
      <c r="H117" s="80"/>
      <c r="I117" s="81"/>
      <c r="J117" s="82"/>
      <c r="K117" s="81"/>
      <c r="L117" s="82"/>
      <c r="M117" s="81"/>
      <c r="N117" s="82"/>
      <c r="O117" s="81"/>
      <c r="P117" s="82"/>
      <c r="Q117" s="81"/>
      <c r="R117" s="83"/>
      <c r="S117" s="81"/>
      <c r="T117" s="83"/>
      <c r="U117" s="81"/>
      <c r="V117" s="83"/>
      <c r="W117" s="180"/>
      <c r="X117" s="82"/>
      <c r="Y117" s="82"/>
      <c r="Z117" s="183"/>
      <c r="AA117" s="84"/>
      <c r="AB117" s="84"/>
      <c r="AC117" s="185"/>
      <c r="AD117" s="84"/>
      <c r="AE117" s="84"/>
      <c r="AF117" s="183"/>
      <c r="AG117" s="82"/>
      <c r="AH117" s="84"/>
      <c r="AI117" s="84"/>
      <c r="AJ117" s="84"/>
      <c r="AK117" s="84"/>
      <c r="AL117" s="84"/>
      <c r="AM117" s="84"/>
      <c r="AN117" s="84"/>
      <c r="AO117" s="189"/>
      <c r="AP117" s="191"/>
    </row>
    <row r="118" spans="1:42" s="85" customFormat="1" ht="22.5" customHeight="1" x14ac:dyDescent="0.25">
      <c r="A118" s="233"/>
      <c r="B118" s="86"/>
      <c r="C118" s="87"/>
      <c r="D118" s="87"/>
      <c r="E118" s="87"/>
      <c r="F118" s="178"/>
      <c r="G118" s="80"/>
      <c r="H118" s="80"/>
      <c r="I118" s="81"/>
      <c r="J118" s="82"/>
      <c r="K118" s="81"/>
      <c r="L118" s="82"/>
      <c r="M118" s="81"/>
      <c r="N118" s="82"/>
      <c r="O118" s="81"/>
      <c r="P118" s="82"/>
      <c r="Q118" s="81"/>
      <c r="R118" s="83"/>
      <c r="S118" s="81"/>
      <c r="T118" s="83"/>
      <c r="U118" s="81"/>
      <c r="V118" s="83"/>
      <c r="W118" s="180"/>
      <c r="X118" s="82"/>
      <c r="Y118" s="82"/>
      <c r="Z118" s="183"/>
      <c r="AA118" s="84"/>
      <c r="AB118" s="84"/>
      <c r="AC118" s="185"/>
      <c r="AD118" s="84"/>
      <c r="AE118" s="84"/>
      <c r="AF118" s="183"/>
      <c r="AG118" s="82"/>
      <c r="AH118" s="84"/>
      <c r="AI118" s="84"/>
      <c r="AJ118" s="84"/>
      <c r="AK118" s="84"/>
      <c r="AL118" s="84"/>
      <c r="AM118" s="84"/>
      <c r="AN118" s="84"/>
      <c r="AO118" s="189"/>
      <c r="AP118" s="191"/>
    </row>
    <row r="119" spans="1:42" s="85" customFormat="1" ht="22.5" customHeight="1" x14ac:dyDescent="0.25">
      <c r="A119" s="233"/>
      <c r="B119" s="86"/>
      <c r="C119" s="87"/>
      <c r="D119" s="87"/>
      <c r="E119" s="87"/>
      <c r="F119" s="178"/>
      <c r="G119" s="80"/>
      <c r="H119" s="80"/>
      <c r="I119" s="81"/>
      <c r="J119" s="82"/>
      <c r="K119" s="81"/>
      <c r="L119" s="82"/>
      <c r="M119" s="81"/>
      <c r="N119" s="82"/>
      <c r="O119" s="81"/>
      <c r="P119" s="82"/>
      <c r="Q119" s="81"/>
      <c r="R119" s="83"/>
      <c r="S119" s="81"/>
      <c r="T119" s="83"/>
      <c r="U119" s="81"/>
      <c r="V119" s="83"/>
      <c r="W119" s="180"/>
      <c r="X119" s="82"/>
      <c r="Y119" s="82"/>
      <c r="Z119" s="183"/>
      <c r="AA119" s="84"/>
      <c r="AB119" s="84"/>
      <c r="AC119" s="185"/>
      <c r="AD119" s="84"/>
      <c r="AE119" s="84"/>
      <c r="AF119" s="183"/>
      <c r="AG119" s="82"/>
      <c r="AH119" s="84"/>
      <c r="AI119" s="84"/>
      <c r="AJ119" s="84"/>
      <c r="AK119" s="84"/>
      <c r="AL119" s="84"/>
      <c r="AM119" s="84"/>
      <c r="AN119" s="84"/>
      <c r="AO119" s="189"/>
      <c r="AP119" s="191"/>
    </row>
    <row r="120" spans="1:42" s="85" customFormat="1" ht="22.5" customHeight="1" x14ac:dyDescent="0.25">
      <c r="A120" s="233"/>
      <c r="B120" s="86"/>
      <c r="C120" s="87"/>
      <c r="D120" s="87"/>
      <c r="E120" s="87"/>
      <c r="F120" s="178"/>
      <c r="G120" s="80"/>
      <c r="H120" s="80"/>
      <c r="I120" s="81"/>
      <c r="J120" s="82"/>
      <c r="K120" s="81"/>
      <c r="L120" s="82"/>
      <c r="M120" s="81"/>
      <c r="N120" s="82"/>
      <c r="O120" s="81"/>
      <c r="P120" s="82"/>
      <c r="Q120" s="81"/>
      <c r="R120" s="83"/>
      <c r="S120" s="81"/>
      <c r="T120" s="83"/>
      <c r="U120" s="81"/>
      <c r="V120" s="83"/>
      <c r="W120" s="180"/>
      <c r="X120" s="82"/>
      <c r="Y120" s="82"/>
      <c r="Z120" s="183"/>
      <c r="AA120" s="84"/>
      <c r="AB120" s="84"/>
      <c r="AC120" s="185"/>
      <c r="AD120" s="84"/>
      <c r="AE120" s="84"/>
      <c r="AF120" s="183"/>
      <c r="AG120" s="82"/>
      <c r="AH120" s="84"/>
      <c r="AI120" s="84"/>
      <c r="AJ120" s="84"/>
      <c r="AK120" s="84"/>
      <c r="AL120" s="84"/>
      <c r="AM120" s="84"/>
      <c r="AN120" s="84"/>
      <c r="AO120" s="189"/>
      <c r="AP120" s="191"/>
    </row>
    <row r="121" spans="1:42" s="85" customFormat="1" ht="22.5" customHeight="1" x14ac:dyDescent="0.25">
      <c r="A121" s="233"/>
      <c r="B121" s="86"/>
      <c r="C121" s="87"/>
      <c r="D121" s="87"/>
      <c r="E121" s="87"/>
      <c r="F121" s="178"/>
      <c r="G121" s="80"/>
      <c r="H121" s="80"/>
      <c r="I121" s="81"/>
      <c r="J121" s="82"/>
      <c r="K121" s="81"/>
      <c r="L121" s="82"/>
      <c r="M121" s="81"/>
      <c r="N121" s="82"/>
      <c r="O121" s="81"/>
      <c r="P121" s="82"/>
      <c r="Q121" s="81"/>
      <c r="R121" s="83"/>
      <c r="S121" s="81"/>
      <c r="T121" s="83"/>
      <c r="U121" s="81"/>
      <c r="V121" s="83"/>
      <c r="W121" s="180"/>
      <c r="X121" s="82"/>
      <c r="Y121" s="82"/>
      <c r="Z121" s="183"/>
      <c r="AA121" s="84"/>
      <c r="AB121" s="84"/>
      <c r="AC121" s="185"/>
      <c r="AD121" s="84"/>
      <c r="AE121" s="84"/>
      <c r="AF121" s="183"/>
      <c r="AG121" s="82"/>
      <c r="AH121" s="84"/>
      <c r="AI121" s="84"/>
      <c r="AJ121" s="84"/>
      <c r="AK121" s="84"/>
      <c r="AL121" s="84"/>
      <c r="AM121" s="84"/>
      <c r="AN121" s="84"/>
      <c r="AO121" s="189"/>
      <c r="AP121" s="191"/>
    </row>
    <row r="122" spans="1:42" s="85" customFormat="1" ht="22.5" customHeight="1" x14ac:dyDescent="0.25">
      <c r="A122" s="233"/>
      <c r="B122" s="86"/>
      <c r="C122" s="87"/>
      <c r="D122" s="87"/>
      <c r="E122" s="87"/>
      <c r="F122" s="178"/>
      <c r="G122" s="80"/>
      <c r="H122" s="80"/>
      <c r="I122" s="81"/>
      <c r="J122" s="82"/>
      <c r="K122" s="81"/>
      <c r="L122" s="82"/>
      <c r="M122" s="81"/>
      <c r="N122" s="82"/>
      <c r="O122" s="81"/>
      <c r="P122" s="82"/>
      <c r="Q122" s="81"/>
      <c r="R122" s="83"/>
      <c r="S122" s="81"/>
      <c r="T122" s="83"/>
      <c r="U122" s="81"/>
      <c r="V122" s="83"/>
      <c r="W122" s="180"/>
      <c r="X122" s="82"/>
      <c r="Y122" s="82"/>
      <c r="Z122" s="183"/>
      <c r="AA122" s="84"/>
      <c r="AB122" s="84"/>
      <c r="AC122" s="185"/>
      <c r="AD122" s="84"/>
      <c r="AE122" s="84"/>
      <c r="AF122" s="183"/>
      <c r="AG122" s="82"/>
      <c r="AH122" s="84"/>
      <c r="AI122" s="84"/>
      <c r="AJ122" s="84"/>
      <c r="AK122" s="84"/>
      <c r="AL122" s="84"/>
      <c r="AM122" s="84"/>
      <c r="AN122" s="84"/>
      <c r="AO122" s="189"/>
      <c r="AP122" s="191"/>
    </row>
    <row r="123" spans="1:42" s="85" customFormat="1" ht="22.5" customHeight="1" x14ac:dyDescent="0.25">
      <c r="A123" s="233"/>
      <c r="B123" s="86"/>
      <c r="C123" s="87"/>
      <c r="D123" s="87"/>
      <c r="E123" s="87"/>
      <c r="F123" s="178"/>
      <c r="G123" s="80"/>
      <c r="H123" s="80"/>
      <c r="I123" s="81"/>
      <c r="J123" s="82"/>
      <c r="K123" s="81"/>
      <c r="L123" s="82"/>
      <c r="M123" s="81"/>
      <c r="N123" s="82"/>
      <c r="O123" s="81"/>
      <c r="P123" s="82"/>
      <c r="Q123" s="81"/>
      <c r="R123" s="83"/>
      <c r="S123" s="81"/>
      <c r="T123" s="83"/>
      <c r="U123" s="81"/>
      <c r="V123" s="83"/>
      <c r="W123" s="180"/>
      <c r="X123" s="82"/>
      <c r="Y123" s="82"/>
      <c r="Z123" s="183"/>
      <c r="AA123" s="84"/>
      <c r="AB123" s="84"/>
      <c r="AC123" s="185"/>
      <c r="AD123" s="84"/>
      <c r="AE123" s="84"/>
      <c r="AF123" s="183"/>
      <c r="AG123" s="82"/>
      <c r="AH123" s="84"/>
      <c r="AI123" s="84"/>
      <c r="AJ123" s="84"/>
      <c r="AK123" s="84"/>
      <c r="AL123" s="84"/>
      <c r="AM123" s="84"/>
      <c r="AN123" s="84"/>
      <c r="AO123" s="189"/>
      <c r="AP123" s="191"/>
    </row>
    <row r="124" spans="1:42" s="85" customFormat="1" ht="22.5" customHeight="1" x14ac:dyDescent="0.25">
      <c r="A124" s="233"/>
      <c r="B124" s="86"/>
      <c r="C124" s="87"/>
      <c r="D124" s="87"/>
      <c r="E124" s="87"/>
      <c r="F124" s="178"/>
      <c r="G124" s="80"/>
      <c r="H124" s="80"/>
      <c r="I124" s="81"/>
      <c r="J124" s="82"/>
      <c r="K124" s="81"/>
      <c r="L124" s="82"/>
      <c r="M124" s="81"/>
      <c r="N124" s="82"/>
      <c r="O124" s="81"/>
      <c r="P124" s="82"/>
      <c r="Q124" s="81"/>
      <c r="R124" s="83"/>
      <c r="S124" s="81"/>
      <c r="T124" s="83"/>
      <c r="U124" s="81"/>
      <c r="V124" s="83"/>
      <c r="W124" s="180"/>
      <c r="X124" s="82"/>
      <c r="Y124" s="82"/>
      <c r="Z124" s="183"/>
      <c r="AA124" s="84"/>
      <c r="AB124" s="84"/>
      <c r="AC124" s="185"/>
      <c r="AD124" s="84"/>
      <c r="AE124" s="84"/>
      <c r="AF124" s="183"/>
      <c r="AG124" s="82"/>
      <c r="AH124" s="84"/>
      <c r="AI124" s="84"/>
      <c r="AJ124" s="84"/>
      <c r="AK124" s="84"/>
      <c r="AL124" s="84"/>
      <c r="AM124" s="84"/>
      <c r="AN124" s="84"/>
      <c r="AO124" s="189"/>
      <c r="AP124" s="191"/>
    </row>
    <row r="125" spans="1:42" s="85" customFormat="1" ht="22.5" customHeight="1" x14ac:dyDescent="0.25">
      <c r="A125" s="233"/>
      <c r="B125" s="86"/>
      <c r="C125" s="87"/>
      <c r="D125" s="87"/>
      <c r="E125" s="87"/>
      <c r="F125" s="178"/>
      <c r="G125" s="80"/>
      <c r="H125" s="80"/>
      <c r="I125" s="81"/>
      <c r="J125" s="82"/>
      <c r="K125" s="81"/>
      <c r="L125" s="82"/>
      <c r="M125" s="81"/>
      <c r="N125" s="82"/>
      <c r="O125" s="81"/>
      <c r="P125" s="82"/>
      <c r="Q125" s="81"/>
      <c r="R125" s="83"/>
      <c r="S125" s="81"/>
      <c r="T125" s="83"/>
      <c r="U125" s="81"/>
      <c r="V125" s="83"/>
      <c r="W125" s="180"/>
      <c r="X125" s="82"/>
      <c r="Y125" s="82"/>
      <c r="Z125" s="183"/>
      <c r="AA125" s="84"/>
      <c r="AB125" s="84"/>
      <c r="AC125" s="185"/>
      <c r="AD125" s="84"/>
      <c r="AE125" s="84"/>
      <c r="AF125" s="183"/>
      <c r="AG125" s="82"/>
      <c r="AH125" s="84"/>
      <c r="AI125" s="84"/>
      <c r="AJ125" s="84"/>
      <c r="AK125" s="84"/>
      <c r="AL125" s="84"/>
      <c r="AM125" s="84"/>
      <c r="AN125" s="84"/>
      <c r="AO125" s="189"/>
      <c r="AP125" s="191"/>
    </row>
    <row r="126" spans="1:42" s="85" customFormat="1" ht="22.5" customHeight="1" x14ac:dyDescent="0.25">
      <c r="A126" s="233"/>
      <c r="B126" s="86"/>
      <c r="C126" s="87"/>
      <c r="D126" s="87"/>
      <c r="E126" s="87"/>
      <c r="F126" s="178"/>
      <c r="G126" s="80"/>
      <c r="H126" s="80"/>
      <c r="I126" s="81"/>
      <c r="J126" s="82"/>
      <c r="K126" s="81"/>
      <c r="L126" s="82"/>
      <c r="M126" s="81"/>
      <c r="N126" s="82"/>
      <c r="O126" s="81"/>
      <c r="P126" s="82"/>
      <c r="Q126" s="81"/>
      <c r="R126" s="83"/>
      <c r="S126" s="81"/>
      <c r="T126" s="83"/>
      <c r="U126" s="81"/>
      <c r="V126" s="83"/>
      <c r="W126" s="180"/>
      <c r="X126" s="82"/>
      <c r="Y126" s="82"/>
      <c r="Z126" s="183"/>
      <c r="AA126" s="84"/>
      <c r="AB126" s="84"/>
      <c r="AC126" s="185"/>
      <c r="AD126" s="84"/>
      <c r="AE126" s="84"/>
      <c r="AF126" s="183"/>
      <c r="AG126" s="82"/>
      <c r="AH126" s="84"/>
      <c r="AI126" s="84"/>
      <c r="AJ126" s="84"/>
      <c r="AK126" s="84"/>
      <c r="AL126" s="84"/>
      <c r="AM126" s="84"/>
      <c r="AN126" s="84"/>
      <c r="AO126" s="189"/>
      <c r="AP126" s="191"/>
    </row>
    <row r="127" spans="1:42" s="85" customFormat="1" ht="22.5" customHeight="1" x14ac:dyDescent="0.25">
      <c r="A127" s="233"/>
      <c r="B127" s="86"/>
      <c r="C127" s="87"/>
      <c r="D127" s="87"/>
      <c r="E127" s="87"/>
      <c r="F127" s="178"/>
      <c r="G127" s="80"/>
      <c r="H127" s="80"/>
      <c r="I127" s="81"/>
      <c r="J127" s="82"/>
      <c r="K127" s="81"/>
      <c r="L127" s="82"/>
      <c r="M127" s="81"/>
      <c r="N127" s="82"/>
      <c r="O127" s="81"/>
      <c r="P127" s="82"/>
      <c r="Q127" s="81"/>
      <c r="R127" s="83"/>
      <c r="S127" s="81"/>
      <c r="T127" s="83"/>
      <c r="U127" s="81"/>
      <c r="V127" s="83"/>
      <c r="W127" s="180"/>
      <c r="X127" s="82"/>
      <c r="Y127" s="82"/>
      <c r="Z127" s="183"/>
      <c r="AA127" s="84"/>
      <c r="AB127" s="84"/>
      <c r="AC127" s="185"/>
      <c r="AD127" s="84"/>
      <c r="AE127" s="84"/>
      <c r="AF127" s="183"/>
      <c r="AG127" s="82"/>
      <c r="AH127" s="84"/>
      <c r="AI127" s="84"/>
      <c r="AJ127" s="84"/>
      <c r="AK127" s="84"/>
      <c r="AL127" s="84"/>
      <c r="AM127" s="84"/>
      <c r="AN127" s="84"/>
      <c r="AO127" s="189"/>
      <c r="AP127" s="191"/>
    </row>
    <row r="128" spans="1:42" s="85" customFormat="1" ht="22.5" customHeight="1" x14ac:dyDescent="0.25">
      <c r="A128" s="233"/>
      <c r="B128" s="86"/>
      <c r="C128" s="87"/>
      <c r="D128" s="87"/>
      <c r="E128" s="87"/>
      <c r="F128" s="178"/>
      <c r="G128" s="80"/>
      <c r="H128" s="80"/>
      <c r="I128" s="81"/>
      <c r="J128" s="82"/>
      <c r="K128" s="81"/>
      <c r="L128" s="82"/>
      <c r="M128" s="81"/>
      <c r="N128" s="82"/>
      <c r="O128" s="81"/>
      <c r="P128" s="82"/>
      <c r="Q128" s="81"/>
      <c r="R128" s="83"/>
      <c r="S128" s="81"/>
      <c r="T128" s="83"/>
      <c r="U128" s="81"/>
      <c r="V128" s="83"/>
      <c r="W128" s="180"/>
      <c r="X128" s="82"/>
      <c r="Y128" s="82"/>
      <c r="Z128" s="183"/>
      <c r="AA128" s="84"/>
      <c r="AB128" s="84"/>
      <c r="AC128" s="185"/>
      <c r="AD128" s="84"/>
      <c r="AE128" s="84"/>
      <c r="AF128" s="183"/>
      <c r="AG128" s="82"/>
      <c r="AH128" s="84"/>
      <c r="AI128" s="84"/>
      <c r="AJ128" s="84"/>
      <c r="AK128" s="84"/>
      <c r="AL128" s="84"/>
      <c r="AM128" s="84"/>
      <c r="AN128" s="84"/>
      <c r="AO128" s="189"/>
      <c r="AP128" s="191"/>
    </row>
    <row r="129" spans="1:42" s="85" customFormat="1" ht="22.5" customHeight="1" x14ac:dyDescent="0.25">
      <c r="A129" s="233"/>
      <c r="B129" s="86"/>
      <c r="C129" s="87"/>
      <c r="D129" s="87"/>
      <c r="E129" s="87"/>
      <c r="F129" s="178"/>
      <c r="G129" s="80"/>
      <c r="H129" s="80"/>
      <c r="I129" s="81"/>
      <c r="J129" s="82"/>
      <c r="K129" s="81"/>
      <c r="L129" s="82"/>
      <c r="M129" s="81"/>
      <c r="N129" s="82"/>
      <c r="O129" s="81"/>
      <c r="P129" s="82"/>
      <c r="Q129" s="81"/>
      <c r="R129" s="83"/>
      <c r="S129" s="81"/>
      <c r="T129" s="83"/>
      <c r="U129" s="81"/>
      <c r="V129" s="83"/>
      <c r="W129" s="180"/>
      <c r="X129" s="82"/>
      <c r="Y129" s="82"/>
      <c r="Z129" s="183"/>
      <c r="AA129" s="84"/>
      <c r="AB129" s="84"/>
      <c r="AC129" s="185"/>
      <c r="AD129" s="84"/>
      <c r="AE129" s="84"/>
      <c r="AF129" s="183"/>
      <c r="AG129" s="82"/>
      <c r="AH129" s="84"/>
      <c r="AI129" s="84"/>
      <c r="AJ129" s="84"/>
      <c r="AK129" s="84"/>
      <c r="AL129" s="84"/>
      <c r="AM129" s="84"/>
      <c r="AN129" s="84"/>
      <c r="AO129" s="189"/>
      <c r="AP129" s="191"/>
    </row>
    <row r="130" spans="1:42" s="85" customFormat="1" ht="22.5" customHeight="1" x14ac:dyDescent="0.25">
      <c r="A130" s="233"/>
      <c r="B130" s="86"/>
      <c r="C130" s="87"/>
      <c r="D130" s="87"/>
      <c r="E130" s="87"/>
      <c r="F130" s="178"/>
      <c r="G130" s="80"/>
      <c r="H130" s="80"/>
      <c r="I130" s="81"/>
      <c r="J130" s="82"/>
      <c r="K130" s="81"/>
      <c r="L130" s="82"/>
      <c r="M130" s="81"/>
      <c r="N130" s="82"/>
      <c r="O130" s="81"/>
      <c r="P130" s="82"/>
      <c r="Q130" s="81"/>
      <c r="R130" s="83"/>
      <c r="S130" s="81"/>
      <c r="T130" s="83"/>
      <c r="U130" s="81"/>
      <c r="V130" s="83"/>
      <c r="W130" s="180"/>
      <c r="X130" s="82"/>
      <c r="Y130" s="82"/>
      <c r="Z130" s="183"/>
      <c r="AA130" s="84"/>
      <c r="AB130" s="84"/>
      <c r="AC130" s="185"/>
      <c r="AD130" s="84"/>
      <c r="AE130" s="84"/>
      <c r="AF130" s="183"/>
      <c r="AG130" s="82"/>
      <c r="AH130" s="84"/>
      <c r="AI130" s="84"/>
      <c r="AJ130" s="84"/>
      <c r="AK130" s="84"/>
      <c r="AL130" s="84"/>
      <c r="AM130" s="84"/>
      <c r="AN130" s="84"/>
      <c r="AO130" s="189"/>
      <c r="AP130" s="191"/>
    </row>
    <row r="131" spans="1:42" s="85" customFormat="1" ht="22.5" customHeight="1" x14ac:dyDescent="0.25">
      <c r="A131" s="233"/>
      <c r="B131" s="86"/>
      <c r="C131" s="87"/>
      <c r="D131" s="87"/>
      <c r="E131" s="87"/>
      <c r="F131" s="178"/>
      <c r="G131" s="80"/>
      <c r="H131" s="80"/>
      <c r="I131" s="81"/>
      <c r="J131" s="82"/>
      <c r="K131" s="81"/>
      <c r="L131" s="82"/>
      <c r="M131" s="81"/>
      <c r="N131" s="82"/>
      <c r="O131" s="81"/>
      <c r="P131" s="82"/>
      <c r="Q131" s="81"/>
      <c r="R131" s="83"/>
      <c r="S131" s="81"/>
      <c r="T131" s="83"/>
      <c r="U131" s="81"/>
      <c r="V131" s="83"/>
      <c r="W131" s="180"/>
      <c r="X131" s="82"/>
      <c r="Y131" s="82"/>
      <c r="Z131" s="183"/>
      <c r="AA131" s="84"/>
      <c r="AB131" s="84"/>
      <c r="AC131" s="185"/>
      <c r="AD131" s="84"/>
      <c r="AE131" s="84"/>
      <c r="AF131" s="183"/>
      <c r="AG131" s="82"/>
      <c r="AH131" s="84"/>
      <c r="AI131" s="84"/>
      <c r="AJ131" s="84"/>
      <c r="AK131" s="84"/>
      <c r="AL131" s="84"/>
      <c r="AM131" s="84"/>
      <c r="AN131" s="84"/>
      <c r="AO131" s="189"/>
      <c r="AP131" s="191"/>
    </row>
    <row r="132" spans="1:42" s="85" customFormat="1" ht="22.5" customHeight="1" x14ac:dyDescent="0.25">
      <c r="A132" s="233"/>
      <c r="B132" s="86"/>
      <c r="C132" s="87"/>
      <c r="D132" s="87"/>
      <c r="E132" s="87"/>
      <c r="F132" s="178"/>
      <c r="G132" s="80"/>
      <c r="H132" s="80"/>
      <c r="I132" s="81"/>
      <c r="J132" s="82"/>
      <c r="K132" s="81"/>
      <c r="L132" s="82"/>
      <c r="M132" s="81"/>
      <c r="N132" s="82"/>
      <c r="O132" s="81"/>
      <c r="P132" s="82"/>
      <c r="Q132" s="81"/>
      <c r="R132" s="83"/>
      <c r="S132" s="81"/>
      <c r="T132" s="83"/>
      <c r="U132" s="81"/>
      <c r="V132" s="83"/>
      <c r="W132" s="180"/>
      <c r="X132" s="82"/>
      <c r="Y132" s="82"/>
      <c r="Z132" s="183"/>
      <c r="AA132" s="84"/>
      <c r="AB132" s="84"/>
      <c r="AC132" s="185"/>
      <c r="AD132" s="84"/>
      <c r="AE132" s="84"/>
      <c r="AF132" s="183"/>
      <c r="AG132" s="82"/>
      <c r="AH132" s="84"/>
      <c r="AI132" s="84"/>
      <c r="AJ132" s="84"/>
      <c r="AK132" s="84"/>
      <c r="AL132" s="84"/>
      <c r="AM132" s="84"/>
      <c r="AN132" s="84"/>
      <c r="AO132" s="189"/>
      <c r="AP132" s="191"/>
    </row>
    <row r="133" spans="1:42" s="85" customFormat="1" ht="22.5" customHeight="1" x14ac:dyDescent="0.25">
      <c r="A133" s="233"/>
      <c r="B133" s="86"/>
      <c r="C133" s="87"/>
      <c r="D133" s="87"/>
      <c r="E133" s="87"/>
      <c r="F133" s="178"/>
      <c r="G133" s="80"/>
      <c r="H133" s="80"/>
      <c r="I133" s="81"/>
      <c r="J133" s="82"/>
      <c r="K133" s="81"/>
      <c r="L133" s="82"/>
      <c r="M133" s="81"/>
      <c r="N133" s="82"/>
      <c r="O133" s="81"/>
      <c r="P133" s="82"/>
      <c r="Q133" s="81"/>
      <c r="R133" s="83"/>
      <c r="S133" s="81"/>
      <c r="T133" s="83"/>
      <c r="U133" s="81"/>
      <c r="V133" s="83"/>
      <c r="W133" s="180"/>
      <c r="X133" s="82"/>
      <c r="Y133" s="82"/>
      <c r="Z133" s="183"/>
      <c r="AA133" s="84"/>
      <c r="AB133" s="84"/>
      <c r="AC133" s="185"/>
      <c r="AD133" s="84"/>
      <c r="AE133" s="84"/>
      <c r="AF133" s="183"/>
      <c r="AG133" s="82"/>
      <c r="AH133" s="84"/>
      <c r="AI133" s="84"/>
      <c r="AJ133" s="84"/>
      <c r="AK133" s="84"/>
      <c r="AL133" s="84"/>
      <c r="AM133" s="84"/>
      <c r="AN133" s="84"/>
      <c r="AO133" s="189"/>
      <c r="AP133" s="191"/>
    </row>
    <row r="134" spans="1:42" s="85" customFormat="1" ht="22.5" customHeight="1" x14ac:dyDescent="0.25">
      <c r="A134" s="233"/>
      <c r="B134" s="86"/>
      <c r="C134" s="87"/>
      <c r="D134" s="87"/>
      <c r="E134" s="87"/>
      <c r="F134" s="178"/>
      <c r="G134" s="80"/>
      <c r="H134" s="80"/>
      <c r="I134" s="81"/>
      <c r="J134" s="82"/>
      <c r="K134" s="81"/>
      <c r="L134" s="82"/>
      <c r="M134" s="81"/>
      <c r="N134" s="82"/>
      <c r="O134" s="81"/>
      <c r="P134" s="82"/>
      <c r="Q134" s="81"/>
      <c r="R134" s="83"/>
      <c r="S134" s="81"/>
      <c r="T134" s="83"/>
      <c r="U134" s="81"/>
      <c r="V134" s="83"/>
      <c r="W134" s="180"/>
      <c r="X134" s="82"/>
      <c r="Y134" s="82"/>
      <c r="Z134" s="183"/>
      <c r="AA134" s="84"/>
      <c r="AB134" s="84"/>
      <c r="AC134" s="185"/>
      <c r="AD134" s="84"/>
      <c r="AE134" s="84"/>
      <c r="AF134" s="183"/>
      <c r="AG134" s="82"/>
      <c r="AH134" s="84"/>
      <c r="AI134" s="84"/>
      <c r="AJ134" s="84"/>
      <c r="AK134" s="84"/>
      <c r="AL134" s="84"/>
      <c r="AM134" s="84"/>
      <c r="AN134" s="84"/>
      <c r="AO134" s="189"/>
      <c r="AP134" s="191"/>
    </row>
    <row r="135" spans="1:42" s="85" customFormat="1" ht="22.5" customHeight="1" x14ac:dyDescent="0.25">
      <c r="A135" s="233"/>
      <c r="B135" s="86"/>
      <c r="C135" s="87"/>
      <c r="D135" s="87"/>
      <c r="E135" s="87"/>
      <c r="F135" s="178"/>
      <c r="G135" s="80"/>
      <c r="H135" s="80"/>
      <c r="I135" s="81"/>
      <c r="J135" s="82"/>
      <c r="K135" s="81"/>
      <c r="L135" s="82"/>
      <c r="M135" s="81"/>
      <c r="N135" s="82"/>
      <c r="O135" s="81"/>
      <c r="P135" s="82"/>
      <c r="Q135" s="81"/>
      <c r="R135" s="83"/>
      <c r="S135" s="81"/>
      <c r="T135" s="83"/>
      <c r="U135" s="81"/>
      <c r="V135" s="83"/>
      <c r="W135" s="180"/>
      <c r="X135" s="82"/>
      <c r="Y135" s="82"/>
      <c r="Z135" s="183"/>
      <c r="AA135" s="84"/>
      <c r="AB135" s="84"/>
      <c r="AC135" s="185"/>
      <c r="AD135" s="84"/>
      <c r="AE135" s="84"/>
      <c r="AF135" s="183"/>
      <c r="AG135" s="82"/>
      <c r="AH135" s="84"/>
      <c r="AI135" s="84"/>
      <c r="AJ135" s="84"/>
      <c r="AK135" s="84"/>
      <c r="AL135" s="84"/>
      <c r="AM135" s="84"/>
      <c r="AN135" s="84"/>
      <c r="AO135" s="189"/>
      <c r="AP135" s="191"/>
    </row>
    <row r="136" spans="1:42" s="85" customFormat="1" ht="22.5" customHeight="1" x14ac:dyDescent="0.25">
      <c r="A136" s="233"/>
      <c r="B136" s="86"/>
      <c r="C136" s="87"/>
      <c r="D136" s="87"/>
      <c r="E136" s="87"/>
      <c r="F136" s="178"/>
      <c r="G136" s="80"/>
      <c r="H136" s="80"/>
      <c r="I136" s="81"/>
      <c r="J136" s="82"/>
      <c r="K136" s="81"/>
      <c r="L136" s="82"/>
      <c r="M136" s="81"/>
      <c r="N136" s="82"/>
      <c r="O136" s="81"/>
      <c r="P136" s="82"/>
      <c r="Q136" s="81"/>
      <c r="R136" s="83"/>
      <c r="S136" s="81"/>
      <c r="T136" s="83"/>
      <c r="U136" s="81"/>
      <c r="V136" s="83"/>
      <c r="W136" s="180"/>
      <c r="X136" s="82"/>
      <c r="Y136" s="82"/>
      <c r="Z136" s="183"/>
      <c r="AA136" s="84"/>
      <c r="AB136" s="84"/>
      <c r="AC136" s="185"/>
      <c r="AD136" s="84"/>
      <c r="AE136" s="84"/>
      <c r="AF136" s="183"/>
      <c r="AG136" s="82"/>
      <c r="AH136" s="84"/>
      <c r="AI136" s="84"/>
      <c r="AJ136" s="84"/>
      <c r="AK136" s="84"/>
      <c r="AL136" s="84"/>
      <c r="AM136" s="84"/>
      <c r="AN136" s="84"/>
      <c r="AO136" s="189"/>
      <c r="AP136" s="191"/>
    </row>
    <row r="137" spans="1:42" s="85" customFormat="1" ht="22.5" customHeight="1" x14ac:dyDescent="0.25">
      <c r="A137" s="233"/>
      <c r="B137" s="86"/>
      <c r="C137" s="87"/>
      <c r="D137" s="87"/>
      <c r="E137" s="87"/>
      <c r="F137" s="178"/>
      <c r="G137" s="80"/>
      <c r="H137" s="80"/>
      <c r="I137" s="81"/>
      <c r="J137" s="82"/>
      <c r="K137" s="81"/>
      <c r="L137" s="82"/>
      <c r="M137" s="81"/>
      <c r="N137" s="82"/>
      <c r="O137" s="81"/>
      <c r="P137" s="82"/>
      <c r="Q137" s="81"/>
      <c r="R137" s="83"/>
      <c r="S137" s="81"/>
      <c r="T137" s="83"/>
      <c r="U137" s="81"/>
      <c r="V137" s="83"/>
      <c r="W137" s="180"/>
      <c r="X137" s="82"/>
      <c r="Y137" s="82"/>
      <c r="Z137" s="183"/>
      <c r="AA137" s="84"/>
      <c r="AB137" s="84"/>
      <c r="AC137" s="185"/>
      <c r="AD137" s="84"/>
      <c r="AE137" s="84"/>
      <c r="AF137" s="183"/>
      <c r="AG137" s="82"/>
      <c r="AH137" s="84"/>
      <c r="AI137" s="84"/>
      <c r="AJ137" s="84"/>
      <c r="AK137" s="84"/>
      <c r="AL137" s="84"/>
      <c r="AM137" s="84"/>
      <c r="AN137" s="84"/>
      <c r="AO137" s="189"/>
      <c r="AP137" s="191"/>
    </row>
    <row r="138" spans="1:42" s="85" customFormat="1" ht="22.5" customHeight="1" x14ac:dyDescent="0.25">
      <c r="A138" s="233"/>
      <c r="B138" s="86"/>
      <c r="C138" s="87"/>
      <c r="D138" s="87"/>
      <c r="E138" s="87"/>
      <c r="F138" s="178"/>
      <c r="G138" s="80"/>
      <c r="H138" s="80"/>
      <c r="I138" s="81"/>
      <c r="J138" s="82"/>
      <c r="K138" s="81"/>
      <c r="L138" s="82"/>
      <c r="M138" s="81"/>
      <c r="N138" s="82"/>
      <c r="O138" s="81"/>
      <c r="P138" s="82"/>
      <c r="Q138" s="81"/>
      <c r="R138" s="83"/>
      <c r="S138" s="81"/>
      <c r="T138" s="83"/>
      <c r="U138" s="81"/>
      <c r="V138" s="83"/>
      <c r="W138" s="180"/>
      <c r="X138" s="82"/>
      <c r="Y138" s="82"/>
      <c r="Z138" s="183"/>
      <c r="AA138" s="84"/>
      <c r="AB138" s="84"/>
      <c r="AC138" s="185"/>
      <c r="AD138" s="84"/>
      <c r="AE138" s="84"/>
      <c r="AF138" s="183"/>
      <c r="AG138" s="82"/>
      <c r="AH138" s="84"/>
      <c r="AI138" s="84"/>
      <c r="AJ138" s="84"/>
      <c r="AK138" s="84"/>
      <c r="AL138" s="84"/>
      <c r="AM138" s="84"/>
      <c r="AN138" s="84"/>
      <c r="AO138" s="189"/>
      <c r="AP138" s="191"/>
    </row>
    <row r="139" spans="1:42" s="85" customFormat="1" ht="22.5" customHeight="1" x14ac:dyDescent="0.25">
      <c r="A139" s="233"/>
      <c r="B139" s="86"/>
      <c r="C139" s="87"/>
      <c r="D139" s="87"/>
      <c r="E139" s="87"/>
      <c r="F139" s="178"/>
      <c r="G139" s="80"/>
      <c r="H139" s="80"/>
      <c r="I139" s="81"/>
      <c r="J139" s="82"/>
      <c r="K139" s="81"/>
      <c r="L139" s="82"/>
      <c r="M139" s="81"/>
      <c r="N139" s="82"/>
      <c r="O139" s="81"/>
      <c r="P139" s="82"/>
      <c r="Q139" s="81"/>
      <c r="R139" s="83"/>
      <c r="S139" s="81"/>
      <c r="T139" s="83"/>
      <c r="U139" s="81"/>
      <c r="V139" s="83"/>
      <c r="W139" s="180"/>
      <c r="X139" s="82"/>
      <c r="Y139" s="82"/>
      <c r="Z139" s="183"/>
      <c r="AA139" s="84"/>
      <c r="AB139" s="84"/>
      <c r="AC139" s="185"/>
      <c r="AD139" s="84"/>
      <c r="AE139" s="84"/>
      <c r="AF139" s="183"/>
      <c r="AG139" s="82"/>
      <c r="AH139" s="84"/>
      <c r="AI139" s="84"/>
      <c r="AJ139" s="84"/>
      <c r="AK139" s="84"/>
      <c r="AL139" s="84"/>
      <c r="AM139" s="84"/>
      <c r="AN139" s="84"/>
      <c r="AO139" s="189"/>
      <c r="AP139" s="191"/>
    </row>
    <row r="140" spans="1:42" s="85" customFormat="1" ht="22.5" customHeight="1" x14ac:dyDescent="0.25">
      <c r="A140" s="233"/>
      <c r="B140" s="86"/>
      <c r="C140" s="87"/>
      <c r="D140" s="87"/>
      <c r="E140" s="87"/>
      <c r="F140" s="178"/>
      <c r="G140" s="80"/>
      <c r="H140" s="80"/>
      <c r="I140" s="81"/>
      <c r="J140" s="82"/>
      <c r="K140" s="81"/>
      <c r="L140" s="82"/>
      <c r="M140" s="81"/>
      <c r="N140" s="82"/>
      <c r="O140" s="81"/>
      <c r="P140" s="82"/>
      <c r="Q140" s="81"/>
      <c r="R140" s="83"/>
      <c r="S140" s="81"/>
      <c r="T140" s="83"/>
      <c r="U140" s="81"/>
      <c r="V140" s="83"/>
      <c r="W140" s="180"/>
      <c r="X140" s="82"/>
      <c r="Y140" s="82"/>
      <c r="Z140" s="183"/>
      <c r="AA140" s="84"/>
      <c r="AB140" s="84"/>
      <c r="AC140" s="185"/>
      <c r="AD140" s="84"/>
      <c r="AE140" s="84"/>
      <c r="AF140" s="183"/>
      <c r="AG140" s="82"/>
      <c r="AH140" s="84"/>
      <c r="AI140" s="84"/>
      <c r="AJ140" s="84"/>
      <c r="AK140" s="84"/>
      <c r="AL140" s="84"/>
      <c r="AM140" s="84"/>
      <c r="AN140" s="84"/>
      <c r="AO140" s="189"/>
      <c r="AP140" s="191"/>
    </row>
    <row r="141" spans="1:42" s="85" customFormat="1" ht="22.5" customHeight="1" x14ac:dyDescent="0.25">
      <c r="A141" s="233"/>
      <c r="B141" s="86"/>
      <c r="C141" s="87"/>
      <c r="D141" s="87"/>
      <c r="E141" s="87"/>
      <c r="F141" s="178"/>
      <c r="G141" s="80"/>
      <c r="H141" s="80"/>
      <c r="I141" s="81"/>
      <c r="J141" s="82"/>
      <c r="K141" s="81"/>
      <c r="L141" s="82"/>
      <c r="M141" s="81"/>
      <c r="N141" s="82"/>
      <c r="O141" s="81"/>
      <c r="P141" s="82"/>
      <c r="Q141" s="81"/>
      <c r="R141" s="83"/>
      <c r="S141" s="81"/>
      <c r="T141" s="83"/>
      <c r="U141" s="81"/>
      <c r="V141" s="83"/>
      <c r="W141" s="180"/>
      <c r="X141" s="82"/>
      <c r="Y141" s="82"/>
      <c r="Z141" s="183"/>
      <c r="AA141" s="84"/>
      <c r="AB141" s="84"/>
      <c r="AC141" s="185"/>
      <c r="AD141" s="84"/>
      <c r="AE141" s="84"/>
      <c r="AF141" s="183"/>
      <c r="AG141" s="82"/>
      <c r="AH141" s="84"/>
      <c r="AI141" s="84"/>
      <c r="AJ141" s="84"/>
      <c r="AK141" s="84"/>
      <c r="AL141" s="84"/>
      <c r="AM141" s="84"/>
      <c r="AN141" s="84"/>
      <c r="AO141" s="189"/>
      <c r="AP141" s="191"/>
    </row>
    <row r="142" spans="1:42" s="85" customFormat="1" ht="22.5" customHeight="1" x14ac:dyDescent="0.25">
      <c r="A142" s="233"/>
      <c r="B142" s="86"/>
      <c r="C142" s="87"/>
      <c r="D142" s="87"/>
      <c r="E142" s="87"/>
      <c r="F142" s="178"/>
      <c r="G142" s="80"/>
      <c r="H142" s="80"/>
      <c r="I142" s="81"/>
      <c r="J142" s="82"/>
      <c r="K142" s="81"/>
      <c r="L142" s="82"/>
      <c r="M142" s="81"/>
      <c r="N142" s="82"/>
      <c r="O142" s="81"/>
      <c r="P142" s="82"/>
      <c r="Q142" s="81"/>
      <c r="R142" s="83"/>
      <c r="S142" s="81"/>
      <c r="T142" s="83"/>
      <c r="U142" s="81"/>
      <c r="V142" s="83"/>
      <c r="W142" s="180"/>
      <c r="X142" s="82"/>
      <c r="Y142" s="82"/>
      <c r="Z142" s="183"/>
      <c r="AA142" s="84"/>
      <c r="AB142" s="84"/>
      <c r="AC142" s="185"/>
      <c r="AD142" s="84"/>
      <c r="AE142" s="84"/>
      <c r="AF142" s="183"/>
      <c r="AG142" s="82"/>
      <c r="AH142" s="84"/>
      <c r="AI142" s="84"/>
      <c r="AJ142" s="84"/>
      <c r="AK142" s="84"/>
      <c r="AL142" s="84"/>
      <c r="AM142" s="84"/>
      <c r="AN142" s="84"/>
      <c r="AO142" s="189"/>
      <c r="AP142" s="191"/>
    </row>
    <row r="143" spans="1:42" s="85" customFormat="1" ht="22.5" customHeight="1" x14ac:dyDescent="0.25">
      <c r="A143" s="233"/>
      <c r="B143" s="86"/>
      <c r="C143" s="87"/>
      <c r="D143" s="87"/>
      <c r="E143" s="87"/>
      <c r="F143" s="178"/>
      <c r="G143" s="80"/>
      <c r="H143" s="80"/>
      <c r="I143" s="81"/>
      <c r="J143" s="82"/>
      <c r="K143" s="81"/>
      <c r="L143" s="82"/>
      <c r="M143" s="81"/>
      <c r="N143" s="82"/>
      <c r="O143" s="81"/>
      <c r="P143" s="82"/>
      <c r="Q143" s="81"/>
      <c r="R143" s="83"/>
      <c r="S143" s="81"/>
      <c r="T143" s="83"/>
      <c r="U143" s="81"/>
      <c r="V143" s="83"/>
      <c r="W143" s="180"/>
      <c r="X143" s="82"/>
      <c r="Y143" s="82"/>
      <c r="Z143" s="183"/>
      <c r="AA143" s="84"/>
      <c r="AB143" s="84"/>
      <c r="AC143" s="185"/>
      <c r="AD143" s="84"/>
      <c r="AE143" s="84"/>
      <c r="AF143" s="183"/>
      <c r="AG143" s="82"/>
      <c r="AH143" s="84"/>
      <c r="AI143" s="84"/>
      <c r="AJ143" s="84"/>
      <c r="AK143" s="84"/>
      <c r="AL143" s="84"/>
      <c r="AM143" s="84"/>
      <c r="AN143" s="84"/>
      <c r="AO143" s="189"/>
      <c r="AP143" s="191"/>
    </row>
    <row r="144" spans="1:42" ht="21.75" customHeight="1" x14ac:dyDescent="0.25">
      <c r="I144" s="71"/>
      <c r="J144" s="6"/>
      <c r="K144" s="71"/>
      <c r="L144" s="6"/>
      <c r="M144" s="71"/>
      <c r="N144" s="6"/>
      <c r="O144" s="71"/>
      <c r="P144" s="6"/>
      <c r="Q144" s="71"/>
      <c r="R144" s="6"/>
      <c r="S144" s="71"/>
      <c r="T144" s="6"/>
      <c r="U144" s="71"/>
      <c r="V144" s="6"/>
      <c r="W144" s="181"/>
      <c r="X144" s="6"/>
      <c r="Y144" s="6"/>
      <c r="Z144" s="181"/>
      <c r="AA144" s="6"/>
      <c r="AB144" s="6"/>
      <c r="AC144" s="181"/>
      <c r="AD144" s="6"/>
      <c r="AE144" s="6"/>
      <c r="AF144" s="186"/>
      <c r="AG144" s="6"/>
    </row>
    <row r="145" spans="9:33" ht="21.75" customHeight="1" x14ac:dyDescent="0.25">
      <c r="I145" s="71"/>
      <c r="J145" s="6"/>
      <c r="K145" s="71"/>
      <c r="L145" s="6"/>
      <c r="M145" s="71"/>
      <c r="N145" s="6"/>
      <c r="O145" s="71"/>
      <c r="P145" s="6"/>
      <c r="Q145" s="71"/>
      <c r="R145" s="6"/>
      <c r="S145" s="71"/>
      <c r="T145" s="6"/>
      <c r="U145" s="71"/>
      <c r="V145" s="6"/>
      <c r="W145" s="181"/>
      <c r="X145" s="6"/>
      <c r="Y145" s="6"/>
      <c r="Z145" s="181"/>
      <c r="AA145" s="6"/>
      <c r="AB145" s="6"/>
      <c r="AC145" s="181"/>
      <c r="AD145" s="6"/>
      <c r="AE145" s="6"/>
      <c r="AF145" s="186"/>
      <c r="AG145" s="6"/>
    </row>
    <row r="146" spans="9:33" ht="21.75" customHeight="1" x14ac:dyDescent="0.25">
      <c r="I146" s="71"/>
      <c r="J146" s="6"/>
      <c r="K146" s="71"/>
      <c r="L146" s="6"/>
      <c r="M146" s="71"/>
      <c r="N146" s="6"/>
      <c r="O146" s="71"/>
      <c r="P146" s="6"/>
      <c r="Q146" s="71"/>
      <c r="R146" s="6"/>
      <c r="S146" s="71"/>
      <c r="T146" s="6"/>
      <c r="U146" s="71"/>
      <c r="V146" s="6"/>
      <c r="W146" s="181"/>
      <c r="X146" s="6"/>
      <c r="Y146" s="6"/>
      <c r="Z146" s="181"/>
      <c r="AA146" s="6"/>
      <c r="AB146" s="6"/>
      <c r="AC146" s="181"/>
      <c r="AD146" s="6"/>
      <c r="AE146" s="6"/>
      <c r="AF146" s="186"/>
      <c r="AG146" s="6"/>
    </row>
    <row r="147" spans="9:33" ht="21.75" customHeight="1" x14ac:dyDescent="0.25">
      <c r="I147" s="71"/>
      <c r="J147" s="6"/>
      <c r="K147" s="71"/>
      <c r="L147" s="6"/>
      <c r="M147" s="71"/>
      <c r="N147" s="6"/>
      <c r="O147" s="71"/>
      <c r="P147" s="6"/>
      <c r="Q147" s="71"/>
      <c r="R147" s="6"/>
      <c r="S147" s="71"/>
      <c r="T147" s="6"/>
      <c r="U147" s="71"/>
      <c r="V147" s="6"/>
      <c r="W147" s="181"/>
      <c r="X147" s="6"/>
      <c r="Y147" s="6"/>
      <c r="Z147" s="181"/>
      <c r="AA147" s="6"/>
      <c r="AB147" s="6"/>
      <c r="AC147" s="181"/>
      <c r="AD147" s="6"/>
      <c r="AE147" s="6"/>
      <c r="AF147" s="186"/>
      <c r="AG147" s="6"/>
    </row>
    <row r="148" spans="9:33" ht="21.75" customHeight="1" x14ac:dyDescent="0.25">
      <c r="I148" s="71"/>
      <c r="J148" s="6"/>
      <c r="K148" s="71"/>
      <c r="L148" s="6"/>
      <c r="M148" s="71"/>
      <c r="N148" s="6"/>
      <c r="O148" s="71"/>
      <c r="P148" s="6"/>
      <c r="Q148" s="71"/>
      <c r="R148" s="6"/>
      <c r="S148" s="71"/>
      <c r="T148" s="6"/>
      <c r="U148" s="71"/>
      <c r="V148" s="6"/>
      <c r="W148" s="181"/>
      <c r="X148" s="6"/>
      <c r="Y148" s="6"/>
      <c r="Z148" s="181"/>
      <c r="AA148" s="6"/>
      <c r="AB148" s="6"/>
      <c r="AC148" s="181"/>
      <c r="AD148" s="6"/>
      <c r="AE148" s="6"/>
      <c r="AF148" s="186"/>
      <c r="AG148" s="6"/>
    </row>
    <row r="149" spans="9:33" ht="21.75" customHeight="1" x14ac:dyDescent="0.25">
      <c r="I149" s="71"/>
      <c r="J149" s="6"/>
      <c r="K149" s="71"/>
      <c r="L149" s="6"/>
      <c r="M149" s="71"/>
      <c r="N149" s="6"/>
      <c r="O149" s="71"/>
      <c r="P149" s="6"/>
      <c r="Q149" s="71"/>
      <c r="R149" s="6"/>
      <c r="S149" s="71"/>
      <c r="T149" s="6"/>
      <c r="U149" s="71"/>
      <c r="V149" s="6"/>
      <c r="W149" s="181"/>
      <c r="X149" s="6"/>
      <c r="Y149" s="6"/>
      <c r="Z149" s="181"/>
      <c r="AA149" s="6"/>
      <c r="AB149" s="6"/>
      <c r="AC149" s="181"/>
      <c r="AD149" s="6"/>
      <c r="AE149" s="6"/>
      <c r="AF149" s="186"/>
      <c r="AG149" s="6"/>
    </row>
    <row r="150" spans="9:33" ht="21.75" customHeight="1" x14ac:dyDescent="0.25">
      <c r="I150" s="71"/>
      <c r="J150" s="6"/>
      <c r="K150" s="71"/>
      <c r="L150" s="6"/>
      <c r="M150" s="71"/>
      <c r="N150" s="6"/>
      <c r="O150" s="71"/>
      <c r="P150" s="6"/>
      <c r="Q150" s="71"/>
      <c r="R150" s="6"/>
      <c r="S150" s="71"/>
      <c r="T150" s="6"/>
      <c r="U150" s="71"/>
      <c r="V150" s="6"/>
      <c r="W150" s="181"/>
      <c r="X150" s="6"/>
      <c r="Y150" s="6"/>
      <c r="Z150" s="181"/>
      <c r="AA150" s="6"/>
      <c r="AB150" s="6"/>
      <c r="AC150" s="181"/>
      <c r="AD150" s="6"/>
      <c r="AE150" s="6"/>
      <c r="AF150" s="186"/>
      <c r="AG150" s="6"/>
    </row>
    <row r="151" spans="9:33" ht="21.75" customHeight="1" x14ac:dyDescent="0.25">
      <c r="I151" s="71"/>
      <c r="J151" s="6"/>
      <c r="K151" s="71"/>
      <c r="L151" s="6"/>
      <c r="M151" s="71"/>
      <c r="N151" s="6"/>
      <c r="O151" s="71"/>
      <c r="P151" s="6"/>
      <c r="Q151" s="71"/>
      <c r="R151" s="6"/>
      <c r="S151" s="71"/>
      <c r="T151" s="6"/>
      <c r="U151" s="71"/>
      <c r="V151" s="6"/>
      <c r="W151" s="181"/>
      <c r="X151" s="6"/>
      <c r="Y151" s="6"/>
      <c r="Z151" s="181"/>
      <c r="AA151" s="6"/>
      <c r="AB151" s="6"/>
      <c r="AC151" s="181"/>
      <c r="AD151" s="6"/>
      <c r="AE151" s="6"/>
      <c r="AF151" s="186"/>
      <c r="AG151" s="6"/>
    </row>
    <row r="152" spans="9:33" ht="21.75" customHeight="1" x14ac:dyDescent="0.25">
      <c r="I152" s="71"/>
      <c r="J152" s="6"/>
      <c r="K152" s="71"/>
      <c r="L152" s="6"/>
      <c r="M152" s="71"/>
      <c r="N152" s="6"/>
      <c r="O152" s="71"/>
      <c r="P152" s="6"/>
      <c r="Q152" s="71"/>
      <c r="R152" s="6"/>
      <c r="S152" s="71"/>
      <c r="T152" s="6"/>
      <c r="U152" s="71"/>
      <c r="V152" s="6"/>
      <c r="W152" s="181"/>
      <c r="X152" s="6"/>
      <c r="Y152" s="6"/>
      <c r="Z152" s="181"/>
      <c r="AA152" s="6"/>
      <c r="AB152" s="6"/>
      <c r="AC152" s="181"/>
      <c r="AD152" s="6"/>
      <c r="AE152" s="6"/>
      <c r="AF152" s="186"/>
      <c r="AG152" s="6"/>
    </row>
    <row r="153" spans="9:33" ht="21.75" customHeight="1" x14ac:dyDescent="0.25">
      <c r="I153" s="71"/>
      <c r="J153" s="6"/>
      <c r="K153" s="71"/>
      <c r="L153" s="6"/>
      <c r="M153" s="71"/>
      <c r="N153" s="6"/>
      <c r="O153" s="71"/>
      <c r="P153" s="6"/>
      <c r="Q153" s="71"/>
      <c r="R153" s="6"/>
      <c r="S153" s="71"/>
      <c r="T153" s="6"/>
      <c r="U153" s="71"/>
      <c r="V153" s="6"/>
      <c r="W153" s="181"/>
      <c r="X153" s="6"/>
      <c r="Y153" s="6"/>
      <c r="Z153" s="181"/>
      <c r="AA153" s="6"/>
      <c r="AB153" s="6"/>
      <c r="AC153" s="181"/>
      <c r="AD153" s="6"/>
      <c r="AE153" s="6"/>
      <c r="AF153" s="186"/>
      <c r="AG153" s="6"/>
    </row>
    <row r="154" spans="9:33" ht="21.75" customHeight="1" x14ac:dyDescent="0.25">
      <c r="I154" s="71"/>
      <c r="J154" s="6"/>
      <c r="K154" s="71"/>
      <c r="L154" s="6"/>
      <c r="M154" s="71"/>
      <c r="N154" s="6"/>
      <c r="O154" s="71"/>
      <c r="P154" s="6"/>
      <c r="Q154" s="71"/>
      <c r="R154" s="6"/>
      <c r="S154" s="71"/>
      <c r="T154" s="6"/>
      <c r="U154" s="71"/>
      <c r="V154" s="6"/>
      <c r="W154" s="181"/>
      <c r="X154" s="6"/>
      <c r="Y154" s="6"/>
      <c r="Z154" s="181"/>
      <c r="AA154" s="6"/>
      <c r="AB154" s="6"/>
      <c r="AC154" s="181"/>
      <c r="AD154" s="6"/>
      <c r="AE154" s="6"/>
      <c r="AF154" s="186"/>
      <c r="AG154" s="6"/>
    </row>
    <row r="155" spans="9:33" ht="21.75" customHeight="1" x14ac:dyDescent="0.25">
      <c r="I155" s="71"/>
      <c r="J155" s="6"/>
      <c r="K155" s="71"/>
      <c r="L155" s="6"/>
      <c r="M155" s="71"/>
      <c r="N155" s="6"/>
      <c r="O155" s="71"/>
      <c r="P155" s="6"/>
      <c r="Q155" s="71"/>
      <c r="R155" s="6"/>
      <c r="S155" s="71"/>
      <c r="T155" s="6"/>
      <c r="U155" s="71"/>
      <c r="V155" s="6"/>
      <c r="W155" s="181"/>
      <c r="X155" s="6"/>
      <c r="Y155" s="6"/>
      <c r="Z155" s="181"/>
      <c r="AA155" s="6"/>
      <c r="AB155" s="6"/>
      <c r="AC155" s="181"/>
      <c r="AD155" s="6"/>
      <c r="AE155" s="6"/>
      <c r="AF155" s="186"/>
      <c r="AG155" s="6"/>
    </row>
    <row r="156" spans="9:33" ht="21.75" customHeight="1" x14ac:dyDescent="0.25">
      <c r="I156" s="71"/>
      <c r="J156" s="6"/>
      <c r="K156" s="71"/>
      <c r="L156" s="6"/>
      <c r="M156" s="71"/>
      <c r="N156" s="6"/>
      <c r="O156" s="71"/>
      <c r="P156" s="6"/>
      <c r="Q156" s="71"/>
      <c r="R156" s="6"/>
      <c r="S156" s="71"/>
      <c r="T156" s="6"/>
      <c r="U156" s="71"/>
      <c r="V156" s="6"/>
      <c r="W156" s="181"/>
      <c r="X156" s="6"/>
      <c r="Y156" s="6"/>
      <c r="Z156" s="181"/>
      <c r="AA156" s="6"/>
      <c r="AB156" s="6"/>
      <c r="AC156" s="181"/>
      <c r="AD156" s="6"/>
      <c r="AE156" s="6"/>
      <c r="AF156" s="186"/>
      <c r="AG156" s="6"/>
    </row>
    <row r="157" spans="9:33" ht="21.75" customHeight="1" x14ac:dyDescent="0.25">
      <c r="I157" s="71"/>
      <c r="J157" s="6"/>
      <c r="K157" s="71"/>
      <c r="L157" s="6"/>
      <c r="M157" s="71"/>
      <c r="N157" s="6"/>
      <c r="O157" s="71"/>
      <c r="P157" s="6"/>
      <c r="Q157" s="71"/>
      <c r="R157" s="6"/>
      <c r="S157" s="71"/>
      <c r="T157" s="6"/>
      <c r="U157" s="71"/>
      <c r="V157" s="6"/>
      <c r="W157" s="181"/>
      <c r="X157" s="6"/>
      <c r="Y157" s="6"/>
      <c r="Z157" s="181"/>
      <c r="AA157" s="6"/>
      <c r="AB157" s="6"/>
      <c r="AC157" s="181"/>
      <c r="AD157" s="6"/>
      <c r="AE157" s="6"/>
      <c r="AF157" s="186"/>
      <c r="AG157" s="6"/>
    </row>
    <row r="158" spans="9:33" ht="21.75" customHeight="1" x14ac:dyDescent="0.25">
      <c r="I158" s="71"/>
      <c r="J158" s="6"/>
      <c r="K158" s="71"/>
      <c r="L158" s="6"/>
      <c r="M158" s="71"/>
      <c r="N158" s="6"/>
      <c r="O158" s="71"/>
      <c r="P158" s="6"/>
      <c r="Q158" s="71"/>
      <c r="R158" s="6"/>
      <c r="S158" s="71"/>
      <c r="T158" s="6"/>
      <c r="U158" s="71"/>
      <c r="V158" s="6"/>
      <c r="W158" s="181"/>
      <c r="X158" s="6"/>
      <c r="Y158" s="6"/>
      <c r="Z158" s="181"/>
      <c r="AA158" s="6"/>
      <c r="AB158" s="6"/>
      <c r="AC158" s="181"/>
      <c r="AD158" s="6"/>
      <c r="AE158" s="6"/>
      <c r="AF158" s="186"/>
      <c r="AG158" s="6"/>
    </row>
    <row r="159" spans="9:33" ht="21.75" customHeight="1" x14ac:dyDescent="0.25">
      <c r="I159" s="71"/>
      <c r="J159" s="6"/>
      <c r="K159" s="71"/>
      <c r="L159" s="6"/>
      <c r="M159" s="71"/>
      <c r="N159" s="6"/>
      <c r="O159" s="71"/>
      <c r="P159" s="6"/>
      <c r="Q159" s="71"/>
      <c r="R159" s="6"/>
      <c r="S159" s="71"/>
      <c r="T159" s="6"/>
      <c r="U159" s="71"/>
      <c r="V159" s="6"/>
      <c r="W159" s="181"/>
      <c r="X159" s="6"/>
      <c r="Y159" s="6"/>
      <c r="Z159" s="181"/>
      <c r="AA159" s="6"/>
      <c r="AB159" s="6"/>
      <c r="AC159" s="181"/>
      <c r="AD159" s="6"/>
      <c r="AE159" s="6"/>
      <c r="AF159" s="186"/>
      <c r="AG159" s="6"/>
    </row>
    <row r="160" spans="9:33" ht="21.75" customHeight="1" x14ac:dyDescent="0.25">
      <c r="I160" s="71"/>
      <c r="J160" s="6"/>
      <c r="K160" s="71"/>
      <c r="L160" s="6"/>
      <c r="M160" s="71"/>
      <c r="N160" s="6"/>
      <c r="O160" s="71"/>
      <c r="P160" s="6"/>
      <c r="Q160" s="71"/>
      <c r="R160" s="6"/>
      <c r="S160" s="71"/>
      <c r="T160" s="6"/>
      <c r="U160" s="71"/>
      <c r="V160" s="6"/>
      <c r="W160" s="181"/>
      <c r="X160" s="6"/>
      <c r="Y160" s="6"/>
      <c r="Z160" s="181"/>
      <c r="AA160" s="6"/>
      <c r="AB160" s="6"/>
      <c r="AC160" s="181"/>
      <c r="AD160" s="6"/>
      <c r="AE160" s="6"/>
      <c r="AF160" s="186"/>
      <c r="AG160" s="6"/>
    </row>
    <row r="161" spans="9:33" ht="21.75" customHeight="1" x14ac:dyDescent="0.25">
      <c r="I161" s="71"/>
      <c r="J161" s="6"/>
      <c r="K161" s="71"/>
      <c r="L161" s="6"/>
      <c r="M161" s="71"/>
      <c r="N161" s="6"/>
      <c r="O161" s="71"/>
      <c r="P161" s="6"/>
      <c r="Q161" s="71"/>
      <c r="R161" s="6"/>
      <c r="S161" s="71"/>
      <c r="T161" s="6"/>
      <c r="U161" s="71"/>
      <c r="V161" s="6"/>
      <c r="W161" s="181"/>
      <c r="X161" s="6"/>
      <c r="Y161" s="6"/>
      <c r="Z161" s="181"/>
      <c r="AA161" s="6"/>
      <c r="AB161" s="6"/>
      <c r="AC161" s="181"/>
      <c r="AD161" s="6"/>
      <c r="AE161" s="6"/>
      <c r="AF161" s="186"/>
      <c r="AG161" s="6"/>
    </row>
    <row r="162" spans="9:33" ht="21.75" customHeight="1" x14ac:dyDescent="0.25">
      <c r="I162" s="71"/>
      <c r="J162" s="6"/>
      <c r="K162" s="71"/>
      <c r="L162" s="6"/>
      <c r="M162" s="71"/>
      <c r="N162" s="6"/>
      <c r="O162" s="71"/>
      <c r="P162" s="6"/>
      <c r="Q162" s="71"/>
      <c r="R162" s="6"/>
      <c r="S162" s="71"/>
      <c r="T162" s="6"/>
      <c r="U162" s="71"/>
      <c r="V162" s="6"/>
      <c r="W162" s="181"/>
      <c r="X162" s="6"/>
      <c r="Y162" s="6"/>
      <c r="Z162" s="181"/>
      <c r="AA162" s="6"/>
      <c r="AB162" s="6"/>
      <c r="AC162" s="181"/>
      <c r="AD162" s="6"/>
      <c r="AE162" s="6"/>
      <c r="AF162" s="186"/>
      <c r="AG162" s="6"/>
    </row>
    <row r="163" spans="9:33" ht="21.75" customHeight="1" x14ac:dyDescent="0.25">
      <c r="I163" s="71"/>
      <c r="J163" s="6"/>
      <c r="K163" s="71"/>
      <c r="L163" s="6"/>
      <c r="M163" s="71"/>
      <c r="N163" s="6"/>
      <c r="O163" s="71"/>
      <c r="P163" s="6"/>
      <c r="Q163" s="71"/>
      <c r="R163" s="6"/>
      <c r="S163" s="71"/>
      <c r="T163" s="6"/>
      <c r="U163" s="71"/>
      <c r="V163" s="6"/>
      <c r="W163" s="181"/>
      <c r="X163" s="6"/>
      <c r="Y163" s="6"/>
      <c r="Z163" s="181"/>
      <c r="AA163" s="6"/>
      <c r="AB163" s="6"/>
      <c r="AC163" s="181"/>
      <c r="AD163" s="6"/>
      <c r="AE163" s="6"/>
      <c r="AF163" s="186"/>
      <c r="AG163" s="6"/>
    </row>
    <row r="164" spans="9:33" ht="21.75" customHeight="1" x14ac:dyDescent="0.25">
      <c r="I164" s="71"/>
      <c r="J164" s="6"/>
      <c r="K164" s="71"/>
      <c r="L164" s="6"/>
      <c r="M164" s="71"/>
      <c r="N164" s="6"/>
      <c r="O164" s="71"/>
      <c r="P164" s="6"/>
      <c r="Q164" s="71"/>
      <c r="R164" s="6"/>
      <c r="S164" s="71"/>
      <c r="T164" s="6"/>
      <c r="U164" s="71"/>
      <c r="V164" s="6"/>
      <c r="W164" s="181"/>
      <c r="X164" s="6"/>
      <c r="Y164" s="6"/>
      <c r="Z164" s="181"/>
      <c r="AA164" s="6"/>
      <c r="AB164" s="6"/>
      <c r="AC164" s="181"/>
      <c r="AD164" s="6"/>
      <c r="AE164" s="6"/>
      <c r="AF164" s="186"/>
      <c r="AG164" s="6"/>
    </row>
    <row r="165" spans="9:33" ht="21.75" customHeight="1" x14ac:dyDescent="0.25">
      <c r="I165" s="71"/>
      <c r="J165" s="6"/>
      <c r="K165" s="71"/>
      <c r="L165" s="6"/>
      <c r="M165" s="71"/>
      <c r="N165" s="6"/>
      <c r="O165" s="71"/>
      <c r="P165" s="6"/>
      <c r="Q165" s="71"/>
      <c r="R165" s="6"/>
      <c r="S165" s="71"/>
      <c r="T165" s="6"/>
      <c r="U165" s="71"/>
      <c r="V165" s="6"/>
      <c r="W165" s="181"/>
      <c r="X165" s="6"/>
      <c r="Y165" s="6"/>
      <c r="Z165" s="181"/>
      <c r="AA165" s="6"/>
      <c r="AB165" s="6"/>
      <c r="AC165" s="181"/>
      <c r="AD165" s="6"/>
      <c r="AE165" s="6"/>
      <c r="AF165" s="186"/>
      <c r="AG165" s="6"/>
    </row>
    <row r="166" spans="9:33" ht="21.75" customHeight="1" x14ac:dyDescent="0.25">
      <c r="I166" s="71"/>
      <c r="J166" s="6"/>
      <c r="K166" s="71"/>
      <c r="L166" s="6"/>
      <c r="M166" s="71"/>
      <c r="N166" s="6"/>
      <c r="O166" s="71"/>
      <c r="P166" s="6"/>
      <c r="Q166" s="71"/>
      <c r="R166" s="6"/>
      <c r="S166" s="71"/>
      <c r="T166" s="6"/>
      <c r="U166" s="71"/>
      <c r="V166" s="6"/>
      <c r="W166" s="181"/>
      <c r="X166" s="6"/>
      <c r="Y166" s="6"/>
      <c r="Z166" s="181"/>
      <c r="AA166" s="6"/>
      <c r="AB166" s="6"/>
      <c r="AC166" s="181"/>
      <c r="AD166" s="6"/>
      <c r="AE166" s="6"/>
      <c r="AF166" s="186"/>
      <c r="AG166" s="6"/>
    </row>
    <row r="167" spans="9:33" ht="21.75" customHeight="1" x14ac:dyDescent="0.25">
      <c r="I167" s="71"/>
      <c r="J167" s="6"/>
      <c r="K167" s="71"/>
      <c r="L167" s="6"/>
      <c r="M167" s="71"/>
      <c r="N167" s="6"/>
      <c r="O167" s="71"/>
      <c r="P167" s="6"/>
      <c r="Q167" s="71"/>
      <c r="R167" s="6"/>
      <c r="S167" s="71"/>
      <c r="T167" s="6"/>
      <c r="U167" s="71"/>
      <c r="V167" s="6"/>
      <c r="W167" s="181"/>
      <c r="X167" s="6"/>
      <c r="Y167" s="6"/>
      <c r="Z167" s="181"/>
      <c r="AA167" s="6"/>
      <c r="AB167" s="6"/>
      <c r="AC167" s="181"/>
      <c r="AD167" s="6"/>
      <c r="AE167" s="6"/>
      <c r="AF167" s="186"/>
      <c r="AG167" s="6"/>
    </row>
    <row r="168" spans="9:33" ht="21.75" customHeight="1" x14ac:dyDescent="0.25">
      <c r="I168" s="71"/>
      <c r="J168" s="6"/>
      <c r="K168" s="71"/>
      <c r="L168" s="6"/>
      <c r="M168" s="71"/>
      <c r="N168" s="6"/>
      <c r="O168" s="71"/>
      <c r="P168" s="6"/>
      <c r="Q168" s="71"/>
      <c r="R168" s="6"/>
      <c r="S168" s="71"/>
      <c r="T168" s="6"/>
      <c r="U168" s="71"/>
      <c r="V168" s="6"/>
      <c r="W168" s="181"/>
      <c r="X168" s="6"/>
      <c r="Y168" s="6"/>
      <c r="Z168" s="181"/>
      <c r="AA168" s="6"/>
      <c r="AB168" s="6"/>
      <c r="AC168" s="181"/>
      <c r="AD168" s="6"/>
      <c r="AE168" s="6"/>
      <c r="AF168" s="186"/>
      <c r="AG168" s="6"/>
    </row>
    <row r="169" spans="9:33" ht="21.75" customHeight="1" x14ac:dyDescent="0.25">
      <c r="I169" s="71"/>
      <c r="J169" s="6"/>
      <c r="K169" s="71"/>
      <c r="L169" s="6"/>
      <c r="M169" s="71"/>
      <c r="N169" s="6"/>
      <c r="O169" s="71"/>
      <c r="P169" s="6"/>
      <c r="Q169" s="71"/>
      <c r="R169" s="6"/>
      <c r="S169" s="71"/>
      <c r="T169" s="6"/>
      <c r="U169" s="71"/>
      <c r="V169" s="6"/>
      <c r="W169" s="181"/>
      <c r="X169" s="6"/>
      <c r="Y169" s="6"/>
      <c r="Z169" s="181"/>
      <c r="AA169" s="6"/>
      <c r="AB169" s="6"/>
      <c r="AC169" s="181"/>
      <c r="AD169" s="6"/>
      <c r="AE169" s="6"/>
      <c r="AF169" s="186"/>
      <c r="AG169" s="6"/>
    </row>
    <row r="170" spans="9:33" ht="21.75" customHeight="1" x14ac:dyDescent="0.25">
      <c r="I170" s="71"/>
      <c r="J170" s="6"/>
      <c r="K170" s="71"/>
      <c r="L170" s="6"/>
      <c r="M170" s="71"/>
      <c r="N170" s="6"/>
      <c r="O170" s="71"/>
      <c r="P170" s="6"/>
      <c r="Q170" s="71"/>
      <c r="R170" s="6"/>
      <c r="S170" s="71"/>
      <c r="T170" s="6"/>
      <c r="U170" s="71"/>
      <c r="V170" s="6"/>
      <c r="W170" s="181"/>
      <c r="X170" s="6"/>
      <c r="Y170" s="6"/>
      <c r="Z170" s="181"/>
      <c r="AA170" s="6"/>
      <c r="AB170" s="6"/>
      <c r="AC170" s="181"/>
      <c r="AD170" s="6"/>
      <c r="AE170" s="6"/>
      <c r="AF170" s="186"/>
      <c r="AG170" s="6"/>
    </row>
    <row r="171" spans="9:33" ht="21.75" customHeight="1" x14ac:dyDescent="0.25">
      <c r="I171" s="71"/>
      <c r="J171" s="6"/>
      <c r="K171" s="71"/>
      <c r="L171" s="6"/>
      <c r="M171" s="71"/>
      <c r="N171" s="6"/>
      <c r="O171" s="71"/>
      <c r="P171" s="6"/>
      <c r="Q171" s="71"/>
      <c r="R171" s="6"/>
      <c r="S171" s="71"/>
      <c r="T171" s="6"/>
      <c r="U171" s="71"/>
      <c r="V171" s="6"/>
      <c r="W171" s="181"/>
      <c r="X171" s="6"/>
      <c r="Y171" s="6"/>
      <c r="Z171" s="181"/>
      <c r="AA171" s="6"/>
      <c r="AB171" s="6"/>
      <c r="AC171" s="181"/>
      <c r="AD171" s="6"/>
      <c r="AE171" s="6"/>
      <c r="AF171" s="186"/>
      <c r="AG171" s="6"/>
    </row>
    <row r="172" spans="9:33" ht="21.75" customHeight="1" x14ac:dyDescent="0.25">
      <c r="I172" s="71"/>
      <c r="J172" s="6"/>
      <c r="K172" s="71"/>
      <c r="L172" s="6"/>
      <c r="M172" s="71"/>
      <c r="N172" s="6"/>
      <c r="O172" s="71"/>
      <c r="P172" s="6"/>
      <c r="Q172" s="71"/>
      <c r="R172" s="6"/>
      <c r="S172" s="71"/>
      <c r="T172" s="6"/>
      <c r="U172" s="71"/>
      <c r="V172" s="6"/>
      <c r="W172" s="181"/>
      <c r="X172" s="6"/>
      <c r="Y172" s="6"/>
      <c r="Z172" s="181"/>
      <c r="AA172" s="6"/>
      <c r="AB172" s="6"/>
      <c r="AC172" s="181"/>
      <c r="AD172" s="6"/>
      <c r="AE172" s="6"/>
      <c r="AF172" s="186"/>
      <c r="AG172" s="6"/>
    </row>
    <row r="173" spans="9:33" ht="21.75" customHeight="1" x14ac:dyDescent="0.25">
      <c r="I173" s="71"/>
      <c r="J173" s="6"/>
      <c r="K173" s="71"/>
      <c r="L173" s="6"/>
      <c r="M173" s="71"/>
      <c r="N173" s="6"/>
      <c r="O173" s="71"/>
      <c r="P173" s="6"/>
      <c r="Q173" s="71"/>
      <c r="R173" s="6"/>
      <c r="S173" s="71"/>
      <c r="T173" s="6"/>
      <c r="U173" s="71"/>
      <c r="V173" s="6"/>
      <c r="W173" s="181"/>
      <c r="X173" s="6"/>
      <c r="Y173" s="6"/>
      <c r="Z173" s="181"/>
      <c r="AA173" s="6"/>
      <c r="AB173" s="6"/>
      <c r="AC173" s="181"/>
      <c r="AD173" s="6"/>
      <c r="AE173" s="6"/>
      <c r="AF173" s="186"/>
      <c r="AG173" s="6"/>
    </row>
    <row r="174" spans="9:33" ht="21.75" customHeight="1" x14ac:dyDescent="0.25">
      <c r="I174" s="71"/>
      <c r="J174" s="6"/>
      <c r="K174" s="71"/>
      <c r="L174" s="6"/>
      <c r="M174" s="71"/>
      <c r="N174" s="6"/>
      <c r="O174" s="71"/>
      <c r="P174" s="6"/>
      <c r="Q174" s="71"/>
      <c r="R174" s="6"/>
      <c r="S174" s="71"/>
      <c r="T174" s="6"/>
      <c r="U174" s="71"/>
      <c r="V174" s="6"/>
      <c r="W174" s="181"/>
      <c r="X174" s="6"/>
      <c r="Y174" s="6"/>
      <c r="Z174" s="181"/>
      <c r="AA174" s="6"/>
      <c r="AB174" s="6"/>
      <c r="AC174" s="181"/>
      <c r="AD174" s="6"/>
      <c r="AE174" s="6"/>
      <c r="AF174" s="186"/>
      <c r="AG174" s="6"/>
    </row>
    <row r="175" spans="9:33" ht="21.75" customHeight="1" x14ac:dyDescent="0.25">
      <c r="I175" s="71"/>
      <c r="J175" s="6"/>
      <c r="K175" s="71"/>
      <c r="L175" s="6"/>
      <c r="M175" s="71"/>
      <c r="N175" s="6"/>
      <c r="O175" s="71"/>
      <c r="P175" s="6"/>
      <c r="Q175" s="71"/>
      <c r="R175" s="6"/>
      <c r="S175" s="71"/>
      <c r="T175" s="6"/>
      <c r="U175" s="71"/>
      <c r="V175" s="6"/>
      <c r="W175" s="181"/>
      <c r="X175" s="6"/>
      <c r="Y175" s="6"/>
      <c r="Z175" s="181"/>
      <c r="AA175" s="6"/>
      <c r="AB175" s="6"/>
      <c r="AC175" s="181"/>
      <c r="AD175" s="6"/>
      <c r="AE175" s="6"/>
      <c r="AF175" s="186"/>
      <c r="AG175" s="6"/>
    </row>
    <row r="176" spans="9:33" ht="21.75" customHeight="1" x14ac:dyDescent="0.25">
      <c r="I176" s="71"/>
      <c r="J176" s="6"/>
      <c r="K176" s="71"/>
      <c r="L176" s="6"/>
      <c r="M176" s="71"/>
      <c r="N176" s="6"/>
      <c r="O176" s="71"/>
      <c r="P176" s="6"/>
      <c r="Q176" s="71"/>
      <c r="R176" s="6"/>
      <c r="S176" s="71"/>
      <c r="T176" s="6"/>
      <c r="U176" s="71"/>
      <c r="V176" s="6"/>
      <c r="W176" s="181"/>
      <c r="X176" s="6"/>
      <c r="Y176" s="6"/>
      <c r="Z176" s="181"/>
      <c r="AA176" s="6"/>
      <c r="AB176" s="6"/>
      <c r="AC176" s="181"/>
      <c r="AD176" s="6"/>
      <c r="AE176" s="6"/>
      <c r="AF176" s="186"/>
      <c r="AG176" s="6"/>
    </row>
    <row r="177" spans="9:33" ht="21.75" customHeight="1" x14ac:dyDescent="0.25">
      <c r="I177" s="71"/>
      <c r="J177" s="6"/>
      <c r="K177" s="71"/>
      <c r="L177" s="6"/>
      <c r="M177" s="71"/>
      <c r="N177" s="6"/>
      <c r="O177" s="71"/>
      <c r="P177" s="6"/>
      <c r="Q177" s="71"/>
      <c r="R177" s="6"/>
      <c r="S177" s="71"/>
      <c r="T177" s="6"/>
      <c r="U177" s="71"/>
      <c r="V177" s="6"/>
      <c r="W177" s="181"/>
      <c r="X177" s="6"/>
      <c r="Y177" s="6"/>
      <c r="Z177" s="181"/>
      <c r="AA177" s="6"/>
      <c r="AB177" s="6"/>
      <c r="AC177" s="181"/>
      <c r="AD177" s="6"/>
      <c r="AE177" s="6"/>
      <c r="AF177" s="186"/>
      <c r="AG177" s="6"/>
    </row>
    <row r="178" spans="9:33" ht="21.75" customHeight="1" x14ac:dyDescent="0.25">
      <c r="I178" s="71"/>
      <c r="J178" s="6"/>
      <c r="K178" s="71"/>
      <c r="L178" s="6"/>
      <c r="M178" s="71"/>
      <c r="N178" s="6"/>
      <c r="O178" s="71"/>
      <c r="P178" s="6"/>
      <c r="Q178" s="71"/>
      <c r="R178" s="6"/>
      <c r="S178" s="71"/>
      <c r="T178" s="6"/>
      <c r="U178" s="71"/>
      <c r="V178" s="6"/>
      <c r="W178" s="181"/>
      <c r="X178" s="6"/>
      <c r="Y178" s="6"/>
      <c r="Z178" s="181"/>
      <c r="AA178" s="6"/>
      <c r="AB178" s="6"/>
      <c r="AC178" s="181"/>
      <c r="AD178" s="6"/>
      <c r="AE178" s="6"/>
      <c r="AF178" s="186"/>
      <c r="AG178" s="6"/>
    </row>
    <row r="179" spans="9:33" ht="21.75" customHeight="1" x14ac:dyDescent="0.25">
      <c r="I179" s="71"/>
      <c r="J179" s="6"/>
      <c r="K179" s="71"/>
      <c r="L179" s="6"/>
      <c r="M179" s="71"/>
      <c r="N179" s="6"/>
      <c r="O179" s="71"/>
      <c r="P179" s="6"/>
      <c r="Q179" s="71"/>
      <c r="R179" s="6"/>
      <c r="S179" s="71"/>
      <c r="T179" s="6"/>
      <c r="U179" s="71"/>
      <c r="V179" s="6"/>
      <c r="W179" s="181"/>
      <c r="X179" s="6"/>
      <c r="Y179" s="6"/>
      <c r="Z179" s="181"/>
      <c r="AA179" s="6"/>
      <c r="AB179" s="6"/>
      <c r="AC179" s="181"/>
      <c r="AD179" s="6"/>
      <c r="AE179" s="6"/>
      <c r="AF179" s="186"/>
      <c r="AG179" s="6"/>
    </row>
    <row r="180" spans="9:33" ht="21.75" customHeight="1" x14ac:dyDescent="0.25">
      <c r="I180" s="71"/>
      <c r="J180" s="6"/>
      <c r="K180" s="71"/>
      <c r="L180" s="6"/>
      <c r="M180" s="71"/>
      <c r="N180" s="6"/>
      <c r="O180" s="71"/>
      <c r="P180" s="6"/>
      <c r="Q180" s="71"/>
      <c r="R180" s="6"/>
      <c r="S180" s="71"/>
      <c r="T180" s="6"/>
      <c r="U180" s="71"/>
      <c r="V180" s="6"/>
      <c r="W180" s="181"/>
      <c r="X180" s="6"/>
      <c r="Y180" s="6"/>
      <c r="Z180" s="181"/>
      <c r="AA180" s="6"/>
      <c r="AB180" s="6"/>
      <c r="AC180" s="181"/>
      <c r="AD180" s="6"/>
      <c r="AE180" s="6"/>
      <c r="AF180" s="186"/>
      <c r="AG180" s="6"/>
    </row>
    <row r="181" spans="9:33" ht="21.75" customHeight="1" x14ac:dyDescent="0.25">
      <c r="I181" s="71"/>
      <c r="J181" s="6"/>
      <c r="K181" s="71"/>
      <c r="L181" s="6"/>
      <c r="M181" s="71"/>
      <c r="N181" s="6"/>
      <c r="O181" s="71"/>
      <c r="P181" s="6"/>
      <c r="Q181" s="71"/>
      <c r="R181" s="6"/>
      <c r="S181" s="71"/>
      <c r="T181" s="6"/>
      <c r="U181" s="71"/>
      <c r="V181" s="6"/>
      <c r="W181" s="181"/>
      <c r="X181" s="6"/>
      <c r="Y181" s="6"/>
      <c r="Z181" s="181"/>
      <c r="AA181" s="6"/>
      <c r="AB181" s="6"/>
      <c r="AC181" s="181"/>
      <c r="AD181" s="6"/>
      <c r="AE181" s="6"/>
      <c r="AF181" s="186"/>
      <c r="AG181" s="6"/>
    </row>
    <row r="182" spans="9:33" ht="21.75" customHeight="1" x14ac:dyDescent="0.25">
      <c r="I182" s="71"/>
      <c r="J182" s="6"/>
      <c r="K182" s="71"/>
      <c r="L182" s="6"/>
      <c r="M182" s="71"/>
      <c r="N182" s="6"/>
      <c r="O182" s="71"/>
      <c r="P182" s="6"/>
      <c r="Q182" s="71"/>
      <c r="R182" s="6"/>
      <c r="S182" s="71"/>
      <c r="T182" s="6"/>
      <c r="U182" s="71"/>
      <c r="V182" s="6"/>
      <c r="W182" s="181"/>
      <c r="X182" s="6"/>
      <c r="Y182" s="6"/>
      <c r="Z182" s="181"/>
      <c r="AA182" s="6"/>
      <c r="AB182" s="6"/>
      <c r="AC182" s="181"/>
      <c r="AD182" s="6"/>
      <c r="AE182" s="6"/>
      <c r="AF182" s="186"/>
      <c r="AG182" s="6"/>
    </row>
    <row r="183" spans="9:33" ht="21.75" customHeight="1" x14ac:dyDescent="0.25">
      <c r="I183" s="71"/>
      <c r="J183" s="6"/>
      <c r="K183" s="71"/>
      <c r="L183" s="6"/>
      <c r="M183" s="71"/>
      <c r="N183" s="6"/>
      <c r="O183" s="71"/>
      <c r="P183" s="6"/>
      <c r="Q183" s="71"/>
      <c r="R183" s="6"/>
      <c r="S183" s="71"/>
      <c r="T183" s="6"/>
      <c r="U183" s="71"/>
      <c r="V183" s="6"/>
      <c r="W183" s="181"/>
      <c r="X183" s="6"/>
      <c r="Y183" s="6"/>
      <c r="Z183" s="181"/>
      <c r="AA183" s="6"/>
      <c r="AB183" s="6"/>
      <c r="AC183" s="181"/>
      <c r="AD183" s="6"/>
      <c r="AE183" s="6"/>
      <c r="AF183" s="186"/>
      <c r="AG183" s="6"/>
    </row>
    <row r="184" spans="9:33" ht="21.75" customHeight="1" x14ac:dyDescent="0.25">
      <c r="I184" s="71"/>
      <c r="J184" s="6"/>
      <c r="K184" s="71"/>
      <c r="L184" s="6"/>
      <c r="M184" s="71"/>
      <c r="N184" s="6"/>
      <c r="O184" s="71"/>
      <c r="P184" s="6"/>
      <c r="Q184" s="71"/>
      <c r="R184" s="6"/>
      <c r="S184" s="71"/>
      <c r="T184" s="6"/>
      <c r="U184" s="71"/>
      <c r="V184" s="6"/>
      <c r="W184" s="181"/>
      <c r="X184" s="6"/>
      <c r="Y184" s="6"/>
      <c r="Z184" s="181"/>
      <c r="AA184" s="6"/>
      <c r="AB184" s="6"/>
      <c r="AC184" s="181"/>
      <c r="AD184" s="6"/>
      <c r="AE184" s="6"/>
      <c r="AF184" s="186"/>
      <c r="AG184" s="6"/>
    </row>
    <row r="185" spans="9:33" ht="21.75" customHeight="1" x14ac:dyDescent="0.25">
      <c r="I185" s="71"/>
      <c r="J185" s="6"/>
      <c r="K185" s="71"/>
      <c r="L185" s="6"/>
      <c r="M185" s="71"/>
      <c r="N185" s="6"/>
      <c r="O185" s="71"/>
      <c r="P185" s="6"/>
      <c r="Q185" s="71"/>
      <c r="R185" s="6"/>
      <c r="S185" s="71"/>
      <c r="T185" s="6"/>
      <c r="U185" s="71"/>
      <c r="V185" s="6"/>
      <c r="W185" s="181"/>
      <c r="X185" s="6"/>
      <c r="Y185" s="6"/>
      <c r="Z185" s="181"/>
      <c r="AA185" s="6"/>
      <c r="AB185" s="6"/>
      <c r="AC185" s="181"/>
      <c r="AD185" s="6"/>
      <c r="AE185" s="6"/>
      <c r="AF185" s="186"/>
      <c r="AG185" s="6"/>
    </row>
    <row r="186" spans="9:33" ht="21.75" customHeight="1" x14ac:dyDescent="0.25">
      <c r="I186" s="71"/>
      <c r="J186" s="6"/>
      <c r="K186" s="71"/>
      <c r="L186" s="6"/>
      <c r="M186" s="71"/>
      <c r="N186" s="6"/>
      <c r="O186" s="71"/>
      <c r="P186" s="6"/>
      <c r="Q186" s="71"/>
      <c r="R186" s="6"/>
      <c r="S186" s="71"/>
      <c r="T186" s="6"/>
      <c r="U186" s="71"/>
      <c r="V186" s="6"/>
      <c r="W186" s="181"/>
      <c r="X186" s="6"/>
      <c r="Y186" s="6"/>
      <c r="Z186" s="181"/>
      <c r="AA186" s="6"/>
      <c r="AB186" s="6"/>
      <c r="AC186" s="181"/>
      <c r="AD186" s="6"/>
      <c r="AE186" s="6"/>
      <c r="AF186" s="186"/>
      <c r="AG186" s="6"/>
    </row>
    <row r="187" spans="9:33" ht="21.75" customHeight="1" x14ac:dyDescent="0.25">
      <c r="I187" s="71"/>
      <c r="J187" s="6"/>
      <c r="K187" s="71"/>
      <c r="L187" s="6"/>
      <c r="M187" s="71"/>
      <c r="N187" s="6"/>
      <c r="O187" s="71"/>
      <c r="P187" s="6"/>
      <c r="Q187" s="71"/>
      <c r="R187" s="6"/>
      <c r="S187" s="71"/>
      <c r="T187" s="6"/>
      <c r="U187" s="71"/>
      <c r="V187" s="6"/>
      <c r="W187" s="181"/>
      <c r="X187" s="6"/>
      <c r="Y187" s="6"/>
      <c r="Z187" s="181"/>
      <c r="AA187" s="6"/>
      <c r="AB187" s="6"/>
      <c r="AC187" s="181"/>
      <c r="AD187" s="6"/>
      <c r="AE187" s="6"/>
      <c r="AF187" s="186"/>
      <c r="AG187" s="6"/>
    </row>
    <row r="188" spans="9:33" ht="21.75" customHeight="1" x14ac:dyDescent="0.25">
      <c r="I188" s="71"/>
      <c r="J188" s="6"/>
      <c r="K188" s="71"/>
      <c r="L188" s="6"/>
      <c r="M188" s="71"/>
      <c r="N188" s="6"/>
      <c r="O188" s="71"/>
      <c r="P188" s="6"/>
      <c r="Q188" s="71"/>
      <c r="R188" s="6"/>
      <c r="S188" s="71"/>
      <c r="T188" s="6"/>
      <c r="U188" s="71"/>
      <c r="V188" s="6"/>
      <c r="W188" s="181"/>
      <c r="X188" s="6"/>
      <c r="Y188" s="6"/>
      <c r="Z188" s="181"/>
      <c r="AA188" s="6"/>
      <c r="AB188" s="6"/>
      <c r="AC188" s="181"/>
      <c r="AD188" s="6"/>
      <c r="AE188" s="6"/>
      <c r="AF188" s="186"/>
      <c r="AG188" s="6"/>
    </row>
    <row r="189" spans="9:33" ht="21.75" customHeight="1" x14ac:dyDescent="0.25">
      <c r="I189" s="71"/>
      <c r="J189" s="6"/>
      <c r="K189" s="71"/>
      <c r="L189" s="6"/>
      <c r="M189" s="71"/>
      <c r="N189" s="6"/>
      <c r="O189" s="71"/>
      <c r="P189" s="6"/>
      <c r="Q189" s="71"/>
      <c r="R189" s="6"/>
      <c r="S189" s="71"/>
      <c r="T189" s="6"/>
      <c r="U189" s="71"/>
      <c r="V189" s="6"/>
      <c r="W189" s="181"/>
      <c r="X189" s="6"/>
      <c r="Y189" s="6"/>
      <c r="Z189" s="181"/>
      <c r="AA189" s="6"/>
      <c r="AB189" s="6"/>
      <c r="AC189" s="181"/>
      <c r="AD189" s="6"/>
      <c r="AE189" s="6"/>
      <c r="AF189" s="186"/>
      <c r="AG189" s="6"/>
    </row>
    <row r="190" spans="9:33" ht="21.75" customHeight="1" x14ac:dyDescent="0.25">
      <c r="I190" s="71"/>
      <c r="J190" s="6"/>
      <c r="K190" s="71"/>
      <c r="L190" s="6"/>
      <c r="M190" s="71"/>
      <c r="N190" s="6"/>
      <c r="O190" s="71"/>
      <c r="P190" s="6"/>
      <c r="Q190" s="71"/>
      <c r="R190" s="6"/>
      <c r="S190" s="71"/>
      <c r="T190" s="6"/>
      <c r="U190" s="71"/>
      <c r="V190" s="6"/>
      <c r="W190" s="181"/>
      <c r="X190" s="6"/>
      <c r="Y190" s="6"/>
      <c r="Z190" s="181"/>
      <c r="AA190" s="6"/>
      <c r="AB190" s="6"/>
      <c r="AC190" s="181"/>
      <c r="AD190" s="6"/>
      <c r="AE190" s="6"/>
      <c r="AF190" s="186"/>
      <c r="AG190" s="6"/>
    </row>
    <row r="191" spans="9:33" ht="21.75" customHeight="1" x14ac:dyDescent="0.25">
      <c r="I191" s="71"/>
      <c r="J191" s="6"/>
      <c r="K191" s="71"/>
      <c r="L191" s="6"/>
      <c r="M191" s="71"/>
      <c r="N191" s="6"/>
      <c r="O191" s="71"/>
      <c r="P191" s="6"/>
      <c r="Q191" s="71"/>
      <c r="R191" s="6"/>
      <c r="S191" s="71"/>
      <c r="T191" s="6"/>
      <c r="U191" s="71"/>
      <c r="V191" s="6"/>
      <c r="W191" s="181"/>
      <c r="X191" s="6"/>
      <c r="Y191" s="6"/>
      <c r="Z191" s="181"/>
      <c r="AA191" s="6"/>
      <c r="AB191" s="6"/>
      <c r="AC191" s="181"/>
      <c r="AD191" s="6"/>
      <c r="AE191" s="6"/>
      <c r="AF191" s="186"/>
      <c r="AG191" s="6"/>
    </row>
    <row r="192" spans="9:33" ht="21.75" customHeight="1" x14ac:dyDescent="0.25">
      <c r="I192" s="71"/>
      <c r="J192" s="6"/>
      <c r="K192" s="71"/>
      <c r="L192" s="6"/>
      <c r="M192" s="71"/>
      <c r="N192" s="6"/>
      <c r="O192" s="71"/>
      <c r="P192" s="6"/>
      <c r="Q192" s="71"/>
      <c r="R192" s="6"/>
      <c r="S192" s="71"/>
      <c r="T192" s="6"/>
      <c r="U192" s="71"/>
      <c r="V192" s="6"/>
      <c r="W192" s="181"/>
      <c r="X192" s="6"/>
      <c r="Y192" s="6"/>
      <c r="Z192" s="181"/>
      <c r="AA192" s="6"/>
      <c r="AB192" s="6"/>
      <c r="AC192" s="181"/>
      <c r="AD192" s="6"/>
      <c r="AE192" s="6"/>
      <c r="AF192" s="186"/>
      <c r="AG192" s="6"/>
    </row>
    <row r="193" spans="9:33" ht="21.75" customHeight="1" x14ac:dyDescent="0.25">
      <c r="I193" s="71"/>
      <c r="J193" s="6"/>
      <c r="K193" s="71"/>
      <c r="L193" s="6"/>
      <c r="M193" s="71"/>
      <c r="N193" s="6"/>
      <c r="O193" s="71"/>
      <c r="P193" s="6"/>
      <c r="Q193" s="71"/>
      <c r="R193" s="6"/>
      <c r="S193" s="71"/>
      <c r="T193" s="6"/>
      <c r="U193" s="71"/>
      <c r="V193" s="6"/>
      <c r="W193" s="181"/>
      <c r="X193" s="6"/>
      <c r="Y193" s="6"/>
      <c r="Z193" s="181"/>
      <c r="AA193" s="6"/>
      <c r="AB193" s="6"/>
      <c r="AC193" s="181"/>
      <c r="AD193" s="6"/>
      <c r="AE193" s="6"/>
      <c r="AF193" s="186"/>
      <c r="AG193" s="6"/>
    </row>
    <row r="194" spans="9:33" ht="21.75" customHeight="1" x14ac:dyDescent="0.25">
      <c r="I194" s="71"/>
      <c r="J194" s="6"/>
      <c r="K194" s="71"/>
      <c r="L194" s="6"/>
      <c r="M194" s="71"/>
      <c r="N194" s="6"/>
      <c r="O194" s="71"/>
      <c r="P194" s="6"/>
      <c r="Q194" s="71"/>
      <c r="R194" s="6"/>
      <c r="S194" s="71"/>
      <c r="T194" s="6"/>
      <c r="U194" s="71"/>
      <c r="V194" s="6"/>
      <c r="W194" s="181"/>
      <c r="X194" s="6"/>
      <c r="Y194" s="6"/>
      <c r="Z194" s="181"/>
      <c r="AA194" s="6"/>
      <c r="AB194" s="6"/>
      <c r="AC194" s="181"/>
      <c r="AD194" s="6"/>
      <c r="AE194" s="6"/>
      <c r="AF194" s="186"/>
      <c r="AG194" s="6"/>
    </row>
    <row r="195" spans="9:33" ht="21.75" customHeight="1" x14ac:dyDescent="0.25">
      <c r="I195" s="71"/>
      <c r="J195" s="6"/>
      <c r="K195" s="71"/>
      <c r="L195" s="6"/>
      <c r="M195" s="71"/>
      <c r="N195" s="6"/>
      <c r="O195" s="71"/>
      <c r="P195" s="6"/>
      <c r="Q195" s="71"/>
      <c r="R195" s="6"/>
      <c r="S195" s="71"/>
      <c r="T195" s="6"/>
      <c r="U195" s="71"/>
      <c r="V195" s="6"/>
      <c r="W195" s="181"/>
      <c r="X195" s="6"/>
      <c r="Y195" s="6"/>
      <c r="Z195" s="181"/>
      <c r="AA195" s="6"/>
      <c r="AB195" s="6"/>
      <c r="AC195" s="181"/>
      <c r="AD195" s="6"/>
      <c r="AE195" s="6"/>
      <c r="AF195" s="186"/>
      <c r="AG195" s="6"/>
    </row>
    <row r="196" spans="9:33" ht="21.75" customHeight="1" x14ac:dyDescent="0.25">
      <c r="I196" s="71"/>
      <c r="J196" s="6"/>
      <c r="K196" s="71"/>
      <c r="L196" s="6"/>
      <c r="M196" s="71"/>
      <c r="N196" s="6"/>
      <c r="O196" s="71"/>
      <c r="P196" s="6"/>
      <c r="Q196" s="71"/>
      <c r="R196" s="6"/>
      <c r="S196" s="71"/>
      <c r="T196" s="6"/>
      <c r="U196" s="71"/>
      <c r="V196" s="6"/>
      <c r="W196" s="181"/>
      <c r="X196" s="6"/>
      <c r="Y196" s="6"/>
      <c r="Z196" s="181"/>
      <c r="AA196" s="6"/>
      <c r="AB196" s="6"/>
      <c r="AC196" s="181"/>
      <c r="AD196" s="6"/>
      <c r="AE196" s="6"/>
      <c r="AF196" s="186"/>
      <c r="AG196" s="6"/>
    </row>
    <row r="197" spans="9:33" ht="21.75" customHeight="1" x14ac:dyDescent="0.25">
      <c r="I197" s="71"/>
      <c r="J197" s="6"/>
      <c r="K197" s="71"/>
      <c r="L197" s="6"/>
      <c r="M197" s="71"/>
      <c r="N197" s="6"/>
      <c r="O197" s="71"/>
      <c r="P197" s="6"/>
      <c r="Q197" s="71"/>
      <c r="R197" s="6"/>
      <c r="S197" s="71"/>
      <c r="T197" s="6"/>
      <c r="U197" s="71"/>
      <c r="V197" s="6"/>
      <c r="W197" s="181"/>
      <c r="X197" s="6"/>
      <c r="Y197" s="6"/>
      <c r="Z197" s="181"/>
      <c r="AA197" s="6"/>
      <c r="AB197" s="6"/>
      <c r="AC197" s="181"/>
      <c r="AD197" s="6"/>
      <c r="AE197" s="6"/>
      <c r="AF197" s="186"/>
      <c r="AG197" s="6"/>
    </row>
    <row r="198" spans="9:33" ht="21.75" customHeight="1" x14ac:dyDescent="0.25">
      <c r="I198" s="71"/>
      <c r="J198" s="6"/>
      <c r="K198" s="71"/>
      <c r="L198" s="6"/>
      <c r="M198" s="71"/>
      <c r="N198" s="6"/>
      <c r="O198" s="71"/>
      <c r="P198" s="6"/>
      <c r="Q198" s="71"/>
      <c r="R198" s="6"/>
      <c r="S198" s="71"/>
      <c r="T198" s="6"/>
      <c r="U198" s="71"/>
      <c r="V198" s="6"/>
      <c r="W198" s="181"/>
      <c r="X198" s="6"/>
      <c r="Y198" s="6"/>
      <c r="Z198" s="181"/>
      <c r="AA198" s="6"/>
      <c r="AB198" s="6"/>
      <c r="AC198" s="181"/>
      <c r="AD198" s="6"/>
      <c r="AE198" s="6"/>
      <c r="AF198" s="186"/>
      <c r="AG198" s="6"/>
    </row>
    <row r="199" spans="9:33" ht="21.75" customHeight="1" x14ac:dyDescent="0.25">
      <c r="I199" s="71"/>
      <c r="J199" s="6"/>
      <c r="K199" s="71"/>
      <c r="L199" s="6"/>
      <c r="M199" s="71"/>
      <c r="N199" s="6"/>
      <c r="O199" s="71"/>
      <c r="P199" s="6"/>
      <c r="Q199" s="71"/>
      <c r="R199" s="6"/>
      <c r="S199" s="71"/>
      <c r="T199" s="6"/>
      <c r="U199" s="71"/>
      <c r="V199" s="6"/>
      <c r="W199" s="181"/>
      <c r="X199" s="6"/>
      <c r="Y199" s="6"/>
      <c r="Z199" s="181"/>
      <c r="AA199" s="6"/>
      <c r="AB199" s="6"/>
      <c r="AC199" s="181"/>
      <c r="AD199" s="6"/>
      <c r="AE199" s="6"/>
      <c r="AF199" s="186"/>
      <c r="AG199" s="6"/>
    </row>
    <row r="200" spans="9:33" ht="21.75" customHeight="1" x14ac:dyDescent="0.25">
      <c r="I200" s="71"/>
      <c r="J200" s="6"/>
      <c r="K200" s="71"/>
      <c r="L200" s="6"/>
      <c r="M200" s="71"/>
      <c r="N200" s="6"/>
      <c r="O200" s="71"/>
      <c r="P200" s="6"/>
      <c r="Q200" s="71"/>
      <c r="R200" s="6"/>
      <c r="S200" s="71"/>
      <c r="T200" s="6"/>
      <c r="U200" s="71"/>
      <c r="V200" s="6"/>
      <c r="W200" s="181"/>
      <c r="X200" s="6"/>
      <c r="Y200" s="6"/>
      <c r="Z200" s="181"/>
      <c r="AA200" s="6"/>
      <c r="AB200" s="6"/>
      <c r="AC200" s="181"/>
      <c r="AD200" s="6"/>
      <c r="AE200" s="6"/>
      <c r="AF200" s="186"/>
      <c r="AG200" s="6"/>
    </row>
    <row r="201" spans="9:33" ht="21.75" customHeight="1" x14ac:dyDescent="0.25">
      <c r="I201" s="71"/>
      <c r="J201" s="6"/>
      <c r="K201" s="71"/>
      <c r="L201" s="6"/>
      <c r="M201" s="71"/>
      <c r="N201" s="6"/>
      <c r="O201" s="71"/>
      <c r="P201" s="6"/>
      <c r="Q201" s="71"/>
      <c r="R201" s="6"/>
      <c r="S201" s="71"/>
      <c r="T201" s="6"/>
      <c r="U201" s="71"/>
      <c r="V201" s="6"/>
      <c r="W201" s="181"/>
      <c r="X201" s="6"/>
      <c r="Y201" s="6"/>
      <c r="Z201" s="181"/>
      <c r="AA201" s="6"/>
      <c r="AB201" s="6"/>
      <c r="AC201" s="181"/>
      <c r="AD201" s="6"/>
      <c r="AE201" s="6"/>
      <c r="AF201" s="186"/>
      <c r="AG201" s="6"/>
    </row>
    <row r="202" spans="9:33" ht="21.75" customHeight="1" x14ac:dyDescent="0.25">
      <c r="I202" s="71"/>
      <c r="J202" s="6"/>
      <c r="K202" s="71"/>
      <c r="L202" s="6"/>
      <c r="M202" s="71"/>
      <c r="N202" s="6"/>
      <c r="O202" s="71"/>
      <c r="P202" s="6"/>
      <c r="Q202" s="71"/>
      <c r="R202" s="6"/>
      <c r="S202" s="71"/>
      <c r="T202" s="6"/>
      <c r="U202" s="71"/>
      <c r="V202" s="6"/>
      <c r="W202" s="181"/>
      <c r="X202" s="6"/>
      <c r="Y202" s="6"/>
      <c r="Z202" s="181"/>
      <c r="AA202" s="6"/>
      <c r="AB202" s="6"/>
      <c r="AC202" s="181"/>
      <c r="AD202" s="6"/>
      <c r="AE202" s="6"/>
      <c r="AF202" s="186"/>
      <c r="AG202" s="6"/>
    </row>
    <row r="203" spans="9:33" ht="21.75" customHeight="1" x14ac:dyDescent="0.25">
      <c r="I203" s="71"/>
      <c r="J203" s="6"/>
      <c r="K203" s="71"/>
      <c r="L203" s="6"/>
      <c r="M203" s="71"/>
      <c r="N203" s="6"/>
      <c r="O203" s="71"/>
      <c r="P203" s="6"/>
      <c r="Q203" s="71"/>
      <c r="R203" s="6"/>
      <c r="S203" s="71"/>
      <c r="T203" s="6"/>
      <c r="U203" s="71"/>
      <c r="V203" s="6"/>
      <c r="W203" s="181"/>
      <c r="X203" s="6"/>
      <c r="Y203" s="6"/>
      <c r="Z203" s="181"/>
      <c r="AA203" s="6"/>
      <c r="AB203" s="6"/>
      <c r="AC203" s="181"/>
      <c r="AD203" s="6"/>
      <c r="AE203" s="6"/>
      <c r="AF203" s="186"/>
      <c r="AG203" s="6"/>
    </row>
    <row r="204" spans="9:33" ht="21.75" customHeight="1" x14ac:dyDescent="0.25">
      <c r="I204" s="71"/>
      <c r="J204" s="6"/>
      <c r="K204" s="71"/>
      <c r="L204" s="6"/>
      <c r="M204" s="71"/>
      <c r="N204" s="6"/>
      <c r="O204" s="71"/>
      <c r="P204" s="6"/>
      <c r="Q204" s="71"/>
      <c r="R204" s="6"/>
      <c r="S204" s="71"/>
      <c r="T204" s="6"/>
      <c r="U204" s="71"/>
      <c r="V204" s="6"/>
      <c r="W204" s="181"/>
      <c r="X204" s="6"/>
      <c r="Y204" s="6"/>
      <c r="Z204" s="181"/>
      <c r="AA204" s="6"/>
      <c r="AB204" s="6"/>
      <c r="AC204" s="181"/>
      <c r="AD204" s="6"/>
      <c r="AE204" s="6"/>
      <c r="AF204" s="186"/>
      <c r="AG204" s="6"/>
    </row>
    <row r="205" spans="9:33" ht="21.75" customHeight="1" x14ac:dyDescent="0.25">
      <c r="I205" s="71"/>
      <c r="J205" s="6"/>
      <c r="K205" s="71"/>
      <c r="L205" s="6"/>
      <c r="M205" s="71"/>
      <c r="N205" s="6"/>
      <c r="O205" s="71"/>
      <c r="P205" s="6"/>
      <c r="Q205" s="71"/>
      <c r="R205" s="6"/>
      <c r="S205" s="71"/>
      <c r="T205" s="6"/>
      <c r="U205" s="71"/>
      <c r="V205" s="6"/>
      <c r="W205" s="181"/>
      <c r="X205" s="6"/>
      <c r="Y205" s="6"/>
      <c r="Z205" s="181"/>
      <c r="AA205" s="6"/>
      <c r="AB205" s="6"/>
      <c r="AC205" s="181"/>
      <c r="AD205" s="6"/>
      <c r="AE205" s="6"/>
      <c r="AF205" s="186"/>
      <c r="AG205" s="6"/>
    </row>
    <row r="206" spans="9:33" ht="21.75" customHeight="1" x14ac:dyDescent="0.25">
      <c r="I206" s="71"/>
      <c r="J206" s="6"/>
      <c r="K206" s="71"/>
      <c r="L206" s="6"/>
      <c r="M206" s="71"/>
      <c r="N206" s="6"/>
      <c r="O206" s="71"/>
      <c r="P206" s="6"/>
      <c r="Q206" s="71"/>
      <c r="R206" s="6"/>
      <c r="S206" s="71"/>
      <c r="T206" s="6"/>
      <c r="U206" s="71"/>
      <c r="V206" s="6"/>
      <c r="W206" s="181"/>
      <c r="X206" s="6"/>
      <c r="Y206" s="6"/>
      <c r="Z206" s="181"/>
      <c r="AA206" s="6"/>
      <c r="AB206" s="6"/>
      <c r="AC206" s="181"/>
      <c r="AD206" s="6"/>
      <c r="AE206" s="6"/>
      <c r="AF206" s="186"/>
      <c r="AG206" s="6"/>
    </row>
    <row r="207" spans="9:33" ht="21.75" customHeight="1" x14ac:dyDescent="0.25">
      <c r="I207" s="71"/>
      <c r="J207" s="6"/>
      <c r="K207" s="71"/>
      <c r="L207" s="6"/>
      <c r="M207" s="71"/>
      <c r="N207" s="6"/>
      <c r="O207" s="71"/>
      <c r="P207" s="6"/>
      <c r="Q207" s="71"/>
      <c r="R207" s="6"/>
      <c r="S207" s="71"/>
      <c r="T207" s="6"/>
      <c r="U207" s="71"/>
      <c r="V207" s="6"/>
      <c r="W207" s="181"/>
      <c r="X207" s="6"/>
      <c r="Y207" s="6"/>
      <c r="Z207" s="181"/>
      <c r="AA207" s="6"/>
      <c r="AB207" s="6"/>
      <c r="AC207" s="181"/>
      <c r="AD207" s="6"/>
      <c r="AE207" s="6"/>
      <c r="AF207" s="186"/>
      <c r="AG207" s="6"/>
    </row>
    <row r="208" spans="9:33" ht="21.75" customHeight="1" x14ac:dyDescent="0.25">
      <c r="I208" s="71"/>
      <c r="J208" s="6"/>
      <c r="K208" s="71"/>
      <c r="L208" s="6"/>
      <c r="M208" s="71"/>
      <c r="N208" s="6"/>
      <c r="O208" s="71"/>
      <c r="P208" s="6"/>
      <c r="Q208" s="71"/>
      <c r="R208" s="6"/>
      <c r="S208" s="71"/>
      <c r="T208" s="6"/>
      <c r="U208" s="71"/>
      <c r="V208" s="6"/>
      <c r="W208" s="181"/>
      <c r="X208" s="6"/>
      <c r="Y208" s="6"/>
      <c r="Z208" s="181"/>
      <c r="AA208" s="6"/>
      <c r="AB208" s="6"/>
      <c r="AC208" s="181"/>
      <c r="AD208" s="6"/>
      <c r="AE208" s="6"/>
      <c r="AF208" s="186"/>
      <c r="AG208" s="6"/>
    </row>
    <row r="209" spans="9:33" ht="21.75" customHeight="1" x14ac:dyDescent="0.25">
      <c r="I209" s="71"/>
      <c r="J209" s="6"/>
      <c r="K209" s="71"/>
      <c r="L209" s="6"/>
      <c r="M209" s="71"/>
      <c r="N209" s="6"/>
      <c r="O209" s="71"/>
      <c r="P209" s="6"/>
      <c r="Q209" s="71"/>
      <c r="R209" s="6"/>
      <c r="S209" s="71"/>
      <c r="T209" s="6"/>
      <c r="U209" s="71"/>
      <c r="V209" s="6"/>
      <c r="W209" s="181"/>
      <c r="X209" s="6"/>
      <c r="Y209" s="6"/>
      <c r="Z209" s="181"/>
      <c r="AA209" s="6"/>
      <c r="AB209" s="6"/>
      <c r="AC209" s="181"/>
      <c r="AD209" s="6"/>
      <c r="AE209" s="6"/>
      <c r="AF209" s="186"/>
      <c r="AG209" s="6"/>
    </row>
    <row r="210" spans="9:33" ht="21.75" customHeight="1" x14ac:dyDescent="0.25">
      <c r="I210" s="71"/>
      <c r="J210" s="6"/>
      <c r="K210" s="71"/>
      <c r="L210" s="6"/>
      <c r="M210" s="71"/>
      <c r="N210" s="6"/>
      <c r="O210" s="71"/>
      <c r="P210" s="6"/>
      <c r="Q210" s="71"/>
      <c r="R210" s="6"/>
      <c r="S210" s="71"/>
      <c r="T210" s="6"/>
      <c r="U210" s="71"/>
      <c r="V210" s="6"/>
      <c r="W210" s="181"/>
      <c r="X210" s="6"/>
      <c r="Y210" s="6"/>
      <c r="Z210" s="181"/>
      <c r="AA210" s="6"/>
      <c r="AB210" s="6"/>
      <c r="AC210" s="181"/>
      <c r="AD210" s="6"/>
      <c r="AE210" s="6"/>
      <c r="AF210" s="186"/>
      <c r="AG210" s="6"/>
    </row>
    <row r="211" spans="9:33" ht="21.75" customHeight="1" x14ac:dyDescent="0.25">
      <c r="I211" s="71"/>
      <c r="J211" s="6"/>
      <c r="K211" s="71"/>
      <c r="L211" s="6"/>
      <c r="M211" s="71"/>
      <c r="N211" s="6"/>
      <c r="O211" s="71"/>
      <c r="P211" s="6"/>
      <c r="Q211" s="71"/>
      <c r="R211" s="6"/>
      <c r="S211" s="71"/>
      <c r="T211" s="6"/>
      <c r="U211" s="71"/>
      <c r="V211" s="6"/>
      <c r="W211" s="181"/>
      <c r="X211" s="6"/>
      <c r="Y211" s="6"/>
      <c r="Z211" s="181"/>
      <c r="AA211" s="6"/>
      <c r="AB211" s="6"/>
      <c r="AC211" s="181"/>
      <c r="AD211" s="6"/>
      <c r="AE211" s="6"/>
      <c r="AF211" s="186"/>
      <c r="AG211" s="6"/>
    </row>
    <row r="212" spans="9:33" ht="21.75" customHeight="1" x14ac:dyDescent="0.25">
      <c r="I212" s="71"/>
      <c r="J212" s="6"/>
      <c r="K212" s="71"/>
      <c r="L212" s="6"/>
      <c r="M212" s="71"/>
      <c r="N212" s="6"/>
      <c r="O212" s="71"/>
      <c r="P212" s="6"/>
      <c r="Q212" s="71"/>
      <c r="R212" s="6"/>
      <c r="S212" s="71"/>
      <c r="T212" s="6"/>
      <c r="U212" s="71"/>
      <c r="V212" s="6"/>
      <c r="W212" s="181"/>
      <c r="X212" s="6"/>
      <c r="Y212" s="6"/>
      <c r="Z212" s="181"/>
      <c r="AA212" s="6"/>
      <c r="AB212" s="6"/>
      <c r="AC212" s="181"/>
      <c r="AD212" s="6"/>
      <c r="AE212" s="6"/>
      <c r="AF212" s="186"/>
      <c r="AG212" s="6"/>
    </row>
    <row r="213" spans="9:33" ht="21.75" customHeight="1" x14ac:dyDescent="0.25">
      <c r="I213" s="71"/>
      <c r="J213" s="6"/>
      <c r="K213" s="71"/>
      <c r="L213" s="6"/>
      <c r="M213" s="71"/>
      <c r="N213" s="6"/>
      <c r="O213" s="71"/>
      <c r="P213" s="6"/>
      <c r="Q213" s="71"/>
      <c r="R213" s="6"/>
      <c r="S213" s="71"/>
      <c r="T213" s="6"/>
      <c r="U213" s="71"/>
      <c r="V213" s="6"/>
      <c r="W213" s="181"/>
      <c r="X213" s="6"/>
      <c r="Y213" s="6"/>
      <c r="Z213" s="181"/>
      <c r="AA213" s="6"/>
      <c r="AB213" s="6"/>
      <c r="AC213" s="181"/>
      <c r="AD213" s="6"/>
      <c r="AE213" s="6"/>
      <c r="AF213" s="186"/>
      <c r="AG213" s="6"/>
    </row>
    <row r="214" spans="9:33" ht="21.75" customHeight="1" x14ac:dyDescent="0.25">
      <c r="I214" s="71"/>
      <c r="J214" s="6"/>
      <c r="K214" s="71"/>
      <c r="L214" s="6"/>
      <c r="M214" s="71"/>
      <c r="N214" s="6"/>
      <c r="O214" s="71"/>
      <c r="P214" s="6"/>
      <c r="Q214" s="71"/>
      <c r="R214" s="6"/>
      <c r="S214" s="71"/>
      <c r="T214" s="6"/>
      <c r="U214" s="71"/>
      <c r="V214" s="6"/>
      <c r="W214" s="181"/>
      <c r="X214" s="6"/>
      <c r="Y214" s="6"/>
      <c r="Z214" s="181"/>
      <c r="AA214" s="6"/>
      <c r="AB214" s="6"/>
      <c r="AC214" s="181"/>
      <c r="AD214" s="6"/>
      <c r="AE214" s="6"/>
      <c r="AF214" s="186"/>
      <c r="AG214" s="6"/>
    </row>
    <row r="215" spans="9:33" ht="21.75" customHeight="1" x14ac:dyDescent="0.25">
      <c r="I215" s="71"/>
      <c r="J215" s="6"/>
      <c r="K215" s="71"/>
      <c r="L215" s="6"/>
      <c r="M215" s="71"/>
      <c r="N215" s="6"/>
      <c r="O215" s="71"/>
      <c r="P215" s="6"/>
      <c r="Q215" s="71"/>
      <c r="R215" s="6"/>
      <c r="S215" s="71"/>
      <c r="T215" s="6"/>
      <c r="U215" s="71"/>
      <c r="V215" s="6"/>
      <c r="W215" s="181"/>
      <c r="X215" s="6"/>
      <c r="Y215" s="6"/>
      <c r="Z215" s="181"/>
      <c r="AA215" s="6"/>
      <c r="AB215" s="6"/>
      <c r="AC215" s="181"/>
      <c r="AD215" s="6"/>
      <c r="AE215" s="6"/>
      <c r="AF215" s="186"/>
      <c r="AG215" s="6"/>
    </row>
    <row r="216" spans="9:33" ht="21.75" customHeight="1" x14ac:dyDescent="0.25">
      <c r="I216" s="71"/>
      <c r="J216" s="6"/>
      <c r="K216" s="71"/>
      <c r="L216" s="6"/>
      <c r="M216" s="71"/>
      <c r="N216" s="6"/>
      <c r="O216" s="71"/>
      <c r="P216" s="6"/>
      <c r="Q216" s="71"/>
      <c r="R216" s="6"/>
      <c r="S216" s="71"/>
      <c r="T216" s="6"/>
      <c r="U216" s="71"/>
      <c r="V216" s="6"/>
      <c r="W216" s="181"/>
      <c r="X216" s="6"/>
      <c r="Y216" s="6"/>
      <c r="Z216" s="181"/>
      <c r="AA216" s="6"/>
      <c r="AB216" s="6"/>
      <c r="AC216" s="181"/>
      <c r="AD216" s="6"/>
      <c r="AE216" s="6"/>
      <c r="AF216" s="186"/>
      <c r="AG216" s="6"/>
    </row>
    <row r="217" spans="9:33" ht="21.75" customHeight="1" x14ac:dyDescent="0.25">
      <c r="I217" s="71"/>
      <c r="J217" s="6"/>
      <c r="K217" s="71"/>
      <c r="L217" s="6"/>
      <c r="M217" s="71"/>
      <c r="N217" s="6"/>
      <c r="O217" s="71"/>
      <c r="P217" s="6"/>
      <c r="Q217" s="71"/>
      <c r="R217" s="6"/>
      <c r="S217" s="71"/>
      <c r="T217" s="6"/>
      <c r="U217" s="71"/>
      <c r="V217" s="6"/>
      <c r="W217" s="181"/>
      <c r="X217" s="6"/>
      <c r="Y217" s="6"/>
      <c r="Z217" s="181"/>
      <c r="AA217" s="6"/>
      <c r="AB217" s="6"/>
      <c r="AC217" s="181"/>
      <c r="AD217" s="6"/>
      <c r="AE217" s="6"/>
      <c r="AF217" s="186"/>
      <c r="AG217" s="6"/>
    </row>
    <row r="218" spans="9:33" ht="21.75" customHeight="1" x14ac:dyDescent="0.25">
      <c r="I218" s="71"/>
      <c r="J218" s="6"/>
      <c r="K218" s="71"/>
      <c r="L218" s="6"/>
      <c r="M218" s="71"/>
      <c r="N218" s="6"/>
      <c r="O218" s="71"/>
      <c r="P218" s="6"/>
      <c r="Q218" s="71"/>
      <c r="R218" s="6"/>
      <c r="S218" s="71"/>
      <c r="T218" s="6"/>
      <c r="U218" s="71"/>
      <c r="V218" s="6"/>
      <c r="W218" s="181"/>
      <c r="X218" s="6"/>
      <c r="Y218" s="6"/>
      <c r="Z218" s="181"/>
      <c r="AA218" s="6"/>
      <c r="AB218" s="6"/>
      <c r="AC218" s="181"/>
      <c r="AD218" s="6"/>
      <c r="AE218" s="6"/>
      <c r="AF218" s="186"/>
      <c r="AG218" s="6"/>
    </row>
    <row r="219" spans="9:33" ht="21.75" customHeight="1" x14ac:dyDescent="0.25">
      <c r="I219" s="71"/>
      <c r="J219" s="6"/>
      <c r="K219" s="71"/>
      <c r="L219" s="6"/>
      <c r="M219" s="71"/>
      <c r="N219" s="6"/>
      <c r="O219" s="71"/>
      <c r="P219" s="6"/>
      <c r="Q219" s="71"/>
      <c r="R219" s="6"/>
      <c r="S219" s="71"/>
      <c r="T219" s="6"/>
      <c r="U219" s="71"/>
      <c r="V219" s="6"/>
      <c r="W219" s="181"/>
      <c r="X219" s="6"/>
      <c r="Y219" s="6"/>
      <c r="Z219" s="181"/>
      <c r="AA219" s="6"/>
      <c r="AB219" s="6"/>
      <c r="AC219" s="181"/>
      <c r="AD219" s="6"/>
      <c r="AE219" s="6"/>
      <c r="AF219" s="186"/>
      <c r="AG219" s="6"/>
    </row>
    <row r="220" spans="9:33" ht="21.75" customHeight="1" x14ac:dyDescent="0.25">
      <c r="I220" s="71"/>
      <c r="J220" s="6"/>
      <c r="K220" s="71"/>
      <c r="L220" s="6"/>
      <c r="M220" s="71"/>
      <c r="N220" s="6"/>
      <c r="O220" s="71"/>
      <c r="P220" s="6"/>
      <c r="Q220" s="71"/>
      <c r="R220" s="6"/>
      <c r="S220" s="71"/>
      <c r="T220" s="6"/>
      <c r="U220" s="71"/>
      <c r="V220" s="6"/>
      <c r="W220" s="181"/>
      <c r="X220" s="6"/>
      <c r="Y220" s="6"/>
      <c r="Z220" s="181"/>
      <c r="AA220" s="6"/>
      <c r="AB220" s="6"/>
      <c r="AC220" s="181"/>
      <c r="AD220" s="6"/>
      <c r="AE220" s="6"/>
      <c r="AF220" s="186"/>
      <c r="AG220" s="6"/>
    </row>
    <row r="221" spans="9:33" ht="21.75" customHeight="1" x14ac:dyDescent="0.25">
      <c r="I221" s="71"/>
      <c r="J221" s="6"/>
      <c r="K221" s="71"/>
      <c r="L221" s="6"/>
      <c r="M221" s="71"/>
      <c r="N221" s="6"/>
      <c r="O221" s="71"/>
      <c r="P221" s="6"/>
      <c r="Q221" s="71"/>
      <c r="R221" s="6"/>
      <c r="S221" s="71"/>
      <c r="T221" s="6"/>
      <c r="U221" s="71"/>
      <c r="V221" s="6"/>
      <c r="W221" s="181"/>
      <c r="X221" s="6"/>
      <c r="Y221" s="6"/>
      <c r="Z221" s="181"/>
      <c r="AA221" s="6"/>
      <c r="AB221" s="6"/>
      <c r="AC221" s="181"/>
      <c r="AD221" s="6"/>
      <c r="AE221" s="6"/>
      <c r="AF221" s="186"/>
      <c r="AG221" s="6"/>
    </row>
    <row r="222" spans="9:33" ht="21.75" customHeight="1" x14ac:dyDescent="0.25">
      <c r="I222" s="71"/>
      <c r="J222" s="6"/>
      <c r="K222" s="71"/>
      <c r="L222" s="6"/>
      <c r="M222" s="71"/>
      <c r="N222" s="6"/>
      <c r="O222" s="71"/>
      <c r="P222" s="6"/>
      <c r="Q222" s="71"/>
      <c r="R222" s="6"/>
      <c r="S222" s="71"/>
      <c r="T222" s="6"/>
      <c r="U222" s="71"/>
      <c r="V222" s="6"/>
      <c r="W222" s="181"/>
      <c r="X222" s="6"/>
      <c r="Y222" s="6"/>
      <c r="Z222" s="181"/>
      <c r="AA222" s="6"/>
      <c r="AB222" s="6"/>
      <c r="AC222" s="181"/>
      <c r="AD222" s="6"/>
      <c r="AE222" s="6"/>
      <c r="AF222" s="186"/>
      <c r="AG222" s="6"/>
    </row>
    <row r="223" spans="9:33" ht="21.75" customHeight="1" x14ac:dyDescent="0.25">
      <c r="I223" s="71"/>
      <c r="J223" s="6"/>
      <c r="K223" s="71"/>
      <c r="L223" s="6"/>
      <c r="M223" s="71"/>
      <c r="N223" s="6"/>
      <c r="O223" s="71"/>
      <c r="P223" s="6"/>
      <c r="Q223" s="71"/>
      <c r="R223" s="6"/>
      <c r="S223" s="71"/>
      <c r="T223" s="6"/>
      <c r="U223" s="71"/>
      <c r="V223" s="6"/>
      <c r="W223" s="181"/>
      <c r="X223" s="6"/>
      <c r="Y223" s="6"/>
      <c r="Z223" s="181"/>
      <c r="AA223" s="6"/>
      <c r="AB223" s="6"/>
      <c r="AC223" s="181"/>
      <c r="AD223" s="6"/>
      <c r="AE223" s="6"/>
      <c r="AF223" s="186"/>
      <c r="AG223" s="6"/>
    </row>
    <row r="224" spans="9:33" ht="21.75" customHeight="1" x14ac:dyDescent="0.25">
      <c r="I224" s="71"/>
      <c r="J224" s="6"/>
      <c r="K224" s="71"/>
      <c r="L224" s="6"/>
      <c r="M224" s="71"/>
      <c r="N224" s="6"/>
      <c r="O224" s="71"/>
      <c r="P224" s="6"/>
      <c r="Q224" s="71"/>
      <c r="R224" s="6"/>
      <c r="S224" s="71"/>
      <c r="T224" s="6"/>
      <c r="U224" s="71"/>
      <c r="V224" s="6"/>
      <c r="W224" s="181"/>
      <c r="X224" s="6"/>
      <c r="Y224" s="6"/>
      <c r="Z224" s="181"/>
      <c r="AA224" s="6"/>
      <c r="AB224" s="6"/>
      <c r="AC224" s="181"/>
      <c r="AD224" s="6"/>
      <c r="AE224" s="6"/>
      <c r="AF224" s="186"/>
      <c r="AG224" s="6"/>
    </row>
    <row r="225" spans="9:33" ht="21.75" customHeight="1" x14ac:dyDescent="0.25">
      <c r="I225" s="71"/>
      <c r="J225" s="6"/>
      <c r="K225" s="71"/>
      <c r="L225" s="6"/>
      <c r="M225" s="71"/>
      <c r="N225" s="6"/>
      <c r="O225" s="71"/>
      <c r="P225" s="6"/>
      <c r="Q225" s="71"/>
      <c r="R225" s="6"/>
      <c r="S225" s="71"/>
      <c r="T225" s="6"/>
      <c r="U225" s="71"/>
      <c r="V225" s="6"/>
      <c r="W225" s="181"/>
      <c r="X225" s="6"/>
      <c r="Y225" s="6"/>
      <c r="Z225" s="181"/>
      <c r="AA225" s="6"/>
      <c r="AB225" s="6"/>
      <c r="AC225" s="181"/>
      <c r="AD225" s="6"/>
      <c r="AE225" s="6"/>
      <c r="AF225" s="186"/>
      <c r="AG225" s="6"/>
    </row>
    <row r="226" spans="9:33" ht="21.75" customHeight="1" x14ac:dyDescent="0.25">
      <c r="I226" s="71"/>
      <c r="J226" s="6"/>
      <c r="K226" s="71"/>
      <c r="L226" s="6"/>
      <c r="M226" s="71"/>
      <c r="N226" s="6"/>
      <c r="O226" s="71"/>
      <c r="P226" s="6"/>
      <c r="Q226" s="71"/>
      <c r="R226" s="6"/>
      <c r="S226" s="71"/>
      <c r="T226" s="6"/>
      <c r="U226" s="71"/>
      <c r="V226" s="6"/>
      <c r="W226" s="181"/>
      <c r="X226" s="6"/>
      <c r="Y226" s="6"/>
      <c r="Z226" s="181"/>
      <c r="AA226" s="6"/>
      <c r="AB226" s="6"/>
      <c r="AC226" s="181"/>
      <c r="AD226" s="6"/>
      <c r="AE226" s="6"/>
      <c r="AF226" s="186"/>
      <c r="AG226" s="6"/>
    </row>
    <row r="227" spans="9:33" ht="21.75" customHeight="1" x14ac:dyDescent="0.25">
      <c r="I227" s="71"/>
      <c r="J227" s="6"/>
      <c r="K227" s="71"/>
      <c r="L227" s="6"/>
      <c r="M227" s="71"/>
      <c r="N227" s="6"/>
      <c r="O227" s="71"/>
      <c r="P227" s="6"/>
      <c r="Q227" s="71"/>
      <c r="R227" s="6"/>
      <c r="S227" s="71"/>
      <c r="T227" s="6"/>
      <c r="U227" s="71"/>
      <c r="V227" s="6"/>
      <c r="W227" s="181"/>
      <c r="X227" s="6"/>
      <c r="Y227" s="6"/>
      <c r="Z227" s="181"/>
      <c r="AA227" s="6"/>
      <c r="AB227" s="6"/>
      <c r="AC227" s="181"/>
      <c r="AD227" s="6"/>
      <c r="AE227" s="6"/>
      <c r="AF227" s="186"/>
      <c r="AG227" s="6"/>
    </row>
    <row r="228" spans="9:33" ht="21.75" customHeight="1" x14ac:dyDescent="0.25">
      <c r="I228" s="71"/>
      <c r="J228" s="6"/>
      <c r="K228" s="71"/>
      <c r="L228" s="6"/>
      <c r="M228" s="71"/>
      <c r="N228" s="6"/>
      <c r="O228" s="71"/>
      <c r="P228" s="6"/>
      <c r="Q228" s="71"/>
      <c r="R228" s="6"/>
      <c r="S228" s="71"/>
      <c r="T228" s="6"/>
      <c r="U228" s="71"/>
      <c r="V228" s="6"/>
      <c r="W228" s="181"/>
      <c r="X228" s="6"/>
      <c r="Y228" s="6"/>
      <c r="Z228" s="181"/>
      <c r="AA228" s="6"/>
      <c r="AB228" s="6"/>
      <c r="AC228" s="181"/>
      <c r="AD228" s="6"/>
      <c r="AE228" s="6"/>
      <c r="AF228" s="186"/>
      <c r="AG228" s="6"/>
    </row>
    <row r="229" spans="9:33" ht="21.75" customHeight="1" x14ac:dyDescent="0.25">
      <c r="I229" s="71"/>
      <c r="J229" s="6"/>
      <c r="K229" s="71"/>
      <c r="L229" s="6"/>
      <c r="M229" s="71"/>
      <c r="N229" s="6"/>
      <c r="O229" s="71"/>
      <c r="P229" s="6"/>
      <c r="Q229" s="71"/>
      <c r="R229" s="6"/>
      <c r="S229" s="71"/>
      <c r="T229" s="6"/>
      <c r="U229" s="71"/>
      <c r="V229" s="6"/>
      <c r="W229" s="181"/>
      <c r="X229" s="6"/>
      <c r="Y229" s="6"/>
      <c r="Z229" s="181"/>
      <c r="AA229" s="6"/>
      <c r="AB229" s="6"/>
      <c r="AC229" s="181"/>
      <c r="AD229" s="6"/>
      <c r="AE229" s="6"/>
      <c r="AF229" s="186"/>
      <c r="AG229" s="6"/>
    </row>
    <row r="230" spans="9:33" ht="21.75" customHeight="1" x14ac:dyDescent="0.25">
      <c r="I230" s="71"/>
      <c r="J230" s="6"/>
      <c r="K230" s="71"/>
      <c r="L230" s="6"/>
      <c r="M230" s="71"/>
      <c r="N230" s="6"/>
      <c r="O230" s="71"/>
      <c r="P230" s="6"/>
      <c r="Q230" s="71"/>
      <c r="R230" s="6"/>
      <c r="S230" s="71"/>
      <c r="T230" s="6"/>
      <c r="U230" s="71"/>
      <c r="V230" s="6"/>
      <c r="W230" s="181"/>
      <c r="X230" s="6"/>
      <c r="Y230" s="6"/>
      <c r="Z230" s="181"/>
      <c r="AA230" s="6"/>
      <c r="AB230" s="6"/>
      <c r="AC230" s="181"/>
      <c r="AD230" s="6"/>
      <c r="AE230" s="6"/>
      <c r="AF230" s="186"/>
      <c r="AG230" s="6"/>
    </row>
    <row r="231" spans="9:33" ht="21.75" customHeight="1" x14ac:dyDescent="0.25">
      <c r="I231" s="71"/>
      <c r="J231" s="6"/>
      <c r="K231" s="71"/>
      <c r="L231" s="6"/>
      <c r="M231" s="71"/>
      <c r="N231" s="6"/>
      <c r="O231" s="71"/>
      <c r="P231" s="6"/>
      <c r="Q231" s="71"/>
      <c r="R231" s="6"/>
      <c r="S231" s="71"/>
      <c r="T231" s="6"/>
      <c r="U231" s="71"/>
      <c r="V231" s="6"/>
      <c r="W231" s="181"/>
      <c r="X231" s="6"/>
      <c r="Y231" s="6"/>
      <c r="Z231" s="181"/>
      <c r="AA231" s="6"/>
      <c r="AB231" s="6"/>
      <c r="AC231" s="181"/>
      <c r="AD231" s="6"/>
      <c r="AE231" s="6"/>
      <c r="AF231" s="186"/>
      <c r="AG231" s="6"/>
    </row>
    <row r="232" spans="9:33" ht="21.75" customHeight="1" x14ac:dyDescent="0.25">
      <c r="I232" s="71"/>
      <c r="J232" s="6"/>
      <c r="K232" s="71"/>
      <c r="L232" s="6"/>
      <c r="M232" s="71"/>
      <c r="N232" s="6"/>
      <c r="O232" s="71"/>
      <c r="P232" s="6"/>
      <c r="Q232" s="71"/>
      <c r="R232" s="6"/>
      <c r="S232" s="71"/>
      <c r="T232" s="6"/>
      <c r="U232" s="71"/>
      <c r="V232" s="6"/>
      <c r="W232" s="181"/>
      <c r="X232" s="6"/>
      <c r="Y232" s="6"/>
      <c r="Z232" s="181"/>
      <c r="AA232" s="6"/>
      <c r="AB232" s="6"/>
      <c r="AC232" s="181"/>
      <c r="AD232" s="6"/>
      <c r="AE232" s="6"/>
      <c r="AF232" s="186"/>
      <c r="AG232" s="6"/>
    </row>
    <row r="233" spans="9:33" ht="21.75" customHeight="1" x14ac:dyDescent="0.25">
      <c r="I233" s="71"/>
      <c r="J233" s="6"/>
      <c r="K233" s="71"/>
      <c r="L233" s="6"/>
      <c r="M233" s="71"/>
      <c r="N233" s="6"/>
      <c r="O233" s="71"/>
      <c r="P233" s="6"/>
      <c r="Q233" s="71"/>
      <c r="R233" s="6"/>
      <c r="S233" s="71"/>
      <c r="T233" s="6"/>
      <c r="U233" s="71"/>
      <c r="V233" s="6"/>
      <c r="W233" s="181"/>
      <c r="X233" s="6"/>
      <c r="Y233" s="6"/>
      <c r="Z233" s="181"/>
      <c r="AA233" s="6"/>
      <c r="AB233" s="6"/>
      <c r="AC233" s="181"/>
      <c r="AD233" s="6"/>
      <c r="AE233" s="6"/>
      <c r="AF233" s="186"/>
      <c r="AG233" s="6"/>
    </row>
    <row r="234" spans="9:33" ht="21.75" customHeight="1" x14ac:dyDescent="0.25">
      <c r="I234" s="71"/>
      <c r="J234" s="6"/>
      <c r="K234" s="71"/>
      <c r="L234" s="6"/>
      <c r="M234" s="71"/>
      <c r="N234" s="6"/>
      <c r="O234" s="71"/>
      <c r="P234" s="6"/>
      <c r="Q234" s="71"/>
      <c r="R234" s="6"/>
      <c r="S234" s="71"/>
      <c r="T234" s="6"/>
      <c r="U234" s="71"/>
      <c r="V234" s="6"/>
      <c r="W234" s="181"/>
      <c r="X234" s="6"/>
      <c r="Y234" s="6"/>
      <c r="Z234" s="181"/>
      <c r="AA234" s="6"/>
      <c r="AB234" s="6"/>
      <c r="AC234" s="181"/>
      <c r="AD234" s="6"/>
      <c r="AE234" s="6"/>
      <c r="AF234" s="186"/>
      <c r="AG234" s="6"/>
    </row>
    <row r="235" spans="9:33" ht="21.75" customHeight="1" x14ac:dyDescent="0.25">
      <c r="I235" s="71"/>
      <c r="J235" s="6"/>
      <c r="K235" s="71"/>
      <c r="L235" s="6"/>
      <c r="M235" s="71"/>
      <c r="N235" s="6"/>
      <c r="O235" s="71"/>
      <c r="P235" s="6"/>
      <c r="Q235" s="71"/>
      <c r="R235" s="6"/>
      <c r="S235" s="71"/>
      <c r="T235" s="6"/>
      <c r="U235" s="71"/>
      <c r="V235" s="6"/>
      <c r="W235" s="181"/>
      <c r="X235" s="6"/>
      <c r="Y235" s="6"/>
      <c r="Z235" s="181"/>
      <c r="AA235" s="6"/>
      <c r="AB235" s="6"/>
      <c r="AC235" s="181"/>
      <c r="AD235" s="6"/>
      <c r="AE235" s="6"/>
      <c r="AF235" s="186"/>
      <c r="AG235" s="6"/>
    </row>
    <row r="236" spans="9:33" ht="21.75" customHeight="1" x14ac:dyDescent="0.25">
      <c r="I236" s="71"/>
      <c r="J236" s="6"/>
      <c r="K236" s="71"/>
      <c r="L236" s="6"/>
      <c r="M236" s="71"/>
      <c r="N236" s="6"/>
      <c r="O236" s="71"/>
      <c r="P236" s="6"/>
      <c r="Q236" s="71"/>
      <c r="R236" s="6"/>
      <c r="S236" s="71"/>
      <c r="T236" s="6"/>
      <c r="U236" s="71"/>
      <c r="V236" s="6"/>
      <c r="W236" s="181"/>
      <c r="X236" s="6"/>
      <c r="Y236" s="6"/>
      <c r="Z236" s="181"/>
      <c r="AA236" s="6"/>
      <c r="AB236" s="6"/>
      <c r="AC236" s="181"/>
      <c r="AD236" s="6"/>
      <c r="AE236" s="6"/>
      <c r="AF236" s="186"/>
      <c r="AG236" s="6"/>
    </row>
    <row r="237" spans="9:33" ht="21.75" customHeight="1" x14ac:dyDescent="0.25">
      <c r="I237" s="71"/>
      <c r="J237" s="6"/>
      <c r="K237" s="71"/>
      <c r="L237" s="6"/>
      <c r="M237" s="71"/>
      <c r="N237" s="6"/>
      <c r="O237" s="71"/>
      <c r="P237" s="6"/>
      <c r="Q237" s="71"/>
      <c r="R237" s="6"/>
      <c r="S237" s="71"/>
      <c r="T237" s="6"/>
      <c r="U237" s="71"/>
      <c r="V237" s="6"/>
      <c r="W237" s="181"/>
      <c r="X237" s="6"/>
      <c r="Y237" s="6"/>
      <c r="Z237" s="181"/>
      <c r="AA237" s="6"/>
      <c r="AB237" s="6"/>
      <c r="AC237" s="181"/>
      <c r="AD237" s="6"/>
      <c r="AE237" s="6"/>
      <c r="AF237" s="186"/>
      <c r="AG237" s="6"/>
    </row>
    <row r="238" spans="9:33" ht="21.75" customHeight="1" x14ac:dyDescent="0.25">
      <c r="I238" s="71"/>
      <c r="J238" s="6"/>
      <c r="K238" s="71"/>
      <c r="L238" s="6"/>
      <c r="M238" s="71"/>
      <c r="N238" s="6"/>
      <c r="O238" s="71"/>
      <c r="P238" s="6"/>
      <c r="Q238" s="71"/>
      <c r="R238" s="6"/>
      <c r="S238" s="71"/>
      <c r="T238" s="6"/>
      <c r="U238" s="71"/>
      <c r="V238" s="6"/>
      <c r="W238" s="181"/>
      <c r="X238" s="6"/>
      <c r="Y238" s="6"/>
      <c r="Z238" s="181"/>
      <c r="AA238" s="6"/>
      <c r="AB238" s="6"/>
      <c r="AC238" s="181"/>
      <c r="AD238" s="6"/>
      <c r="AE238" s="6"/>
      <c r="AF238" s="186"/>
      <c r="AG238" s="6"/>
    </row>
    <row r="239" spans="9:33" ht="21.75" customHeight="1" x14ac:dyDescent="0.25">
      <c r="I239" s="71"/>
      <c r="J239" s="6"/>
      <c r="K239" s="71"/>
      <c r="L239" s="6"/>
      <c r="M239" s="71"/>
      <c r="N239" s="6"/>
      <c r="O239" s="71"/>
      <c r="P239" s="6"/>
      <c r="Q239" s="71"/>
      <c r="R239" s="6"/>
      <c r="S239" s="71"/>
      <c r="T239" s="6"/>
      <c r="U239" s="71"/>
      <c r="V239" s="6"/>
      <c r="W239" s="181"/>
      <c r="X239" s="6"/>
      <c r="Y239" s="6"/>
      <c r="Z239" s="181"/>
      <c r="AA239" s="6"/>
      <c r="AB239" s="6"/>
      <c r="AC239" s="181"/>
      <c r="AD239" s="6"/>
      <c r="AE239" s="6"/>
      <c r="AF239" s="186"/>
      <c r="AG239" s="6"/>
    </row>
    <row r="240" spans="9:33" ht="21.75" customHeight="1" x14ac:dyDescent="0.25">
      <c r="I240" s="71"/>
      <c r="J240" s="6"/>
      <c r="K240" s="71"/>
      <c r="L240" s="6"/>
      <c r="M240" s="71"/>
      <c r="N240" s="6"/>
      <c r="O240" s="71"/>
      <c r="P240" s="6"/>
      <c r="Q240" s="71"/>
      <c r="R240" s="6"/>
      <c r="S240" s="71"/>
      <c r="T240" s="6"/>
      <c r="U240" s="71"/>
      <c r="V240" s="6"/>
      <c r="W240" s="181"/>
      <c r="X240" s="6"/>
      <c r="Y240" s="6"/>
      <c r="Z240" s="181"/>
      <c r="AA240" s="6"/>
      <c r="AB240" s="6"/>
      <c r="AC240" s="181"/>
      <c r="AD240" s="6"/>
      <c r="AE240" s="6"/>
      <c r="AF240" s="186"/>
      <c r="AG240" s="6"/>
    </row>
    <row r="241" spans="9:33" ht="21.75" customHeight="1" x14ac:dyDescent="0.25">
      <c r="I241" s="71"/>
      <c r="J241" s="6"/>
      <c r="K241" s="71"/>
      <c r="L241" s="6"/>
      <c r="M241" s="71"/>
      <c r="N241" s="6"/>
      <c r="O241" s="71"/>
      <c r="P241" s="6"/>
      <c r="Q241" s="71"/>
      <c r="R241" s="6"/>
      <c r="S241" s="71"/>
      <c r="T241" s="6"/>
      <c r="U241" s="71"/>
      <c r="V241" s="6"/>
      <c r="W241" s="181"/>
      <c r="X241" s="6"/>
      <c r="Y241" s="6"/>
      <c r="Z241" s="181"/>
      <c r="AA241" s="6"/>
      <c r="AB241" s="6"/>
      <c r="AC241" s="181"/>
      <c r="AD241" s="6"/>
      <c r="AE241" s="6"/>
      <c r="AF241" s="186"/>
      <c r="AG241" s="6"/>
    </row>
    <row r="242" spans="9:33" ht="21.75" customHeight="1" x14ac:dyDescent="0.25">
      <c r="I242" s="71"/>
      <c r="J242" s="6"/>
      <c r="K242" s="71"/>
      <c r="L242" s="6"/>
      <c r="M242" s="71"/>
      <c r="N242" s="6"/>
      <c r="O242" s="71"/>
      <c r="P242" s="6"/>
      <c r="Q242" s="71"/>
      <c r="R242" s="6"/>
      <c r="S242" s="71"/>
      <c r="T242" s="6"/>
      <c r="U242" s="71"/>
      <c r="V242" s="6"/>
      <c r="W242" s="181"/>
      <c r="X242" s="6"/>
      <c r="Y242" s="6"/>
      <c r="Z242" s="181"/>
      <c r="AA242" s="6"/>
      <c r="AB242" s="6"/>
      <c r="AC242" s="181"/>
      <c r="AD242" s="6"/>
      <c r="AE242" s="6"/>
      <c r="AF242" s="186"/>
      <c r="AG242" s="6"/>
    </row>
    <row r="243" spans="9:33" ht="21.75" customHeight="1" x14ac:dyDescent="0.25">
      <c r="I243" s="71"/>
      <c r="J243" s="6"/>
      <c r="K243" s="71"/>
      <c r="L243" s="6"/>
      <c r="M243" s="71"/>
      <c r="N243" s="6"/>
      <c r="O243" s="71"/>
      <c r="P243" s="6"/>
      <c r="Q243" s="71"/>
      <c r="R243" s="6"/>
      <c r="S243" s="71"/>
      <c r="T243" s="6"/>
      <c r="U243" s="71"/>
      <c r="V243" s="6"/>
      <c r="W243" s="181"/>
      <c r="X243" s="6"/>
      <c r="Y243" s="6"/>
      <c r="Z243" s="181"/>
      <c r="AA243" s="6"/>
      <c r="AB243" s="6"/>
      <c r="AC243" s="181"/>
      <c r="AD243" s="6"/>
      <c r="AE243" s="6"/>
      <c r="AF243" s="186"/>
      <c r="AG243" s="6"/>
    </row>
    <row r="244" spans="9:33" ht="21.75" customHeight="1" x14ac:dyDescent="0.25">
      <c r="I244" s="71"/>
      <c r="J244" s="6"/>
      <c r="K244" s="71"/>
      <c r="L244" s="6"/>
      <c r="M244" s="71"/>
      <c r="N244" s="6"/>
      <c r="O244" s="71"/>
      <c r="P244" s="6"/>
      <c r="Q244" s="71"/>
      <c r="R244" s="6"/>
      <c r="S244" s="71"/>
      <c r="T244" s="6"/>
      <c r="U244" s="71"/>
      <c r="V244" s="6"/>
      <c r="W244" s="181"/>
      <c r="X244" s="6"/>
      <c r="Y244" s="6"/>
      <c r="Z244" s="181"/>
      <c r="AA244" s="6"/>
      <c r="AB244" s="6"/>
      <c r="AC244" s="181"/>
      <c r="AD244" s="6"/>
      <c r="AE244" s="6"/>
      <c r="AF244" s="186"/>
      <c r="AG244" s="6"/>
    </row>
    <row r="245" spans="9:33" ht="21.75" customHeight="1" x14ac:dyDescent="0.25">
      <c r="I245" s="71"/>
      <c r="J245" s="6"/>
      <c r="K245" s="71"/>
      <c r="L245" s="6"/>
      <c r="M245" s="71"/>
      <c r="N245" s="6"/>
      <c r="O245" s="71"/>
      <c r="P245" s="6"/>
      <c r="Q245" s="71"/>
      <c r="R245" s="6"/>
      <c r="S245" s="71"/>
      <c r="T245" s="6"/>
      <c r="U245" s="71"/>
      <c r="V245" s="6"/>
      <c r="W245" s="181"/>
      <c r="X245" s="6"/>
      <c r="Y245" s="6"/>
      <c r="Z245" s="181"/>
      <c r="AA245" s="6"/>
      <c r="AB245" s="6"/>
      <c r="AC245" s="181"/>
      <c r="AD245" s="6"/>
      <c r="AE245" s="6"/>
      <c r="AF245" s="186"/>
      <c r="AG245" s="6"/>
    </row>
    <row r="246" spans="9:33" ht="21.75" customHeight="1" x14ac:dyDescent="0.25">
      <c r="I246" s="71"/>
      <c r="J246" s="6"/>
      <c r="K246" s="71"/>
      <c r="L246" s="6"/>
      <c r="M246" s="71"/>
      <c r="N246" s="6"/>
      <c r="O246" s="71"/>
      <c r="P246" s="6"/>
      <c r="Q246" s="71"/>
      <c r="R246" s="6"/>
      <c r="S246" s="71"/>
      <c r="T246" s="6"/>
      <c r="U246" s="71"/>
      <c r="V246" s="6"/>
      <c r="W246" s="181"/>
      <c r="X246" s="6"/>
      <c r="Y246" s="6"/>
      <c r="Z246" s="181"/>
      <c r="AA246" s="6"/>
      <c r="AB246" s="6"/>
      <c r="AC246" s="181"/>
      <c r="AD246" s="6"/>
      <c r="AE246" s="6"/>
      <c r="AF246" s="186"/>
      <c r="AG246" s="6"/>
    </row>
    <row r="247" spans="9:33" ht="21.75" customHeight="1" x14ac:dyDescent="0.25">
      <c r="I247" s="71"/>
      <c r="J247" s="6"/>
      <c r="K247" s="71"/>
      <c r="L247" s="6"/>
      <c r="M247" s="71"/>
      <c r="N247" s="6"/>
      <c r="O247" s="71"/>
      <c r="P247" s="6"/>
      <c r="Q247" s="71"/>
      <c r="R247" s="6"/>
      <c r="S247" s="71"/>
      <c r="T247" s="6"/>
      <c r="U247" s="71"/>
      <c r="V247" s="6"/>
      <c r="W247" s="181"/>
      <c r="X247" s="6"/>
      <c r="Y247" s="6"/>
      <c r="Z247" s="181"/>
      <c r="AA247" s="6"/>
      <c r="AB247" s="6"/>
      <c r="AC247" s="181"/>
      <c r="AD247" s="6"/>
      <c r="AE247" s="6"/>
      <c r="AF247" s="186"/>
      <c r="AG247" s="6"/>
    </row>
    <row r="248" spans="9:33" ht="21.75" customHeight="1" x14ac:dyDescent="0.25">
      <c r="I248" s="71"/>
      <c r="J248" s="6"/>
      <c r="K248" s="71"/>
      <c r="L248" s="6"/>
      <c r="M248" s="71"/>
      <c r="N248" s="6"/>
      <c r="O248" s="71"/>
      <c r="P248" s="6"/>
      <c r="Q248" s="71"/>
      <c r="R248" s="6"/>
      <c r="S248" s="71"/>
      <c r="T248" s="6"/>
      <c r="U248" s="71"/>
      <c r="V248" s="6"/>
      <c r="W248" s="181"/>
      <c r="X248" s="6"/>
      <c r="Y248" s="6"/>
      <c r="Z248" s="181"/>
      <c r="AA248" s="6"/>
      <c r="AB248" s="6"/>
      <c r="AC248" s="181"/>
      <c r="AD248" s="6"/>
      <c r="AE248" s="6"/>
      <c r="AF248" s="186"/>
      <c r="AG248" s="6"/>
    </row>
    <row r="249" spans="9:33" ht="21.75" customHeight="1" x14ac:dyDescent="0.25">
      <c r="I249" s="71"/>
      <c r="J249" s="6"/>
      <c r="K249" s="71"/>
      <c r="L249" s="6"/>
      <c r="M249" s="71"/>
      <c r="N249" s="6"/>
      <c r="O249" s="71"/>
      <c r="P249" s="6"/>
      <c r="Q249" s="71"/>
      <c r="R249" s="6"/>
      <c r="S249" s="71"/>
      <c r="T249" s="6"/>
      <c r="U249" s="71"/>
      <c r="V249" s="6"/>
      <c r="W249" s="181"/>
      <c r="X249" s="6"/>
      <c r="Y249" s="6"/>
      <c r="Z249" s="181"/>
      <c r="AA249" s="6"/>
      <c r="AB249" s="6"/>
      <c r="AC249" s="181"/>
      <c r="AD249" s="6"/>
      <c r="AE249" s="6"/>
      <c r="AF249" s="186"/>
      <c r="AG249" s="6"/>
    </row>
    <row r="250" spans="9:33" ht="21.75" customHeight="1" x14ac:dyDescent="0.25">
      <c r="I250" s="71"/>
      <c r="J250" s="6"/>
      <c r="K250" s="71"/>
      <c r="L250" s="6"/>
      <c r="M250" s="71"/>
      <c r="N250" s="6"/>
      <c r="O250" s="71"/>
      <c r="P250" s="6"/>
      <c r="Q250" s="71"/>
      <c r="R250" s="6"/>
      <c r="S250" s="71"/>
      <c r="T250" s="6"/>
      <c r="U250" s="71"/>
      <c r="V250" s="6"/>
      <c r="W250" s="181"/>
      <c r="X250" s="6"/>
      <c r="Y250" s="6"/>
      <c r="Z250" s="181"/>
      <c r="AA250" s="6"/>
      <c r="AB250" s="6"/>
      <c r="AC250" s="181"/>
      <c r="AD250" s="6"/>
      <c r="AE250" s="6"/>
      <c r="AF250" s="186"/>
      <c r="AG250" s="6"/>
    </row>
    <row r="251" spans="9:33" ht="21.75" customHeight="1" x14ac:dyDescent="0.25">
      <c r="I251" s="71"/>
      <c r="J251" s="6"/>
      <c r="K251" s="71"/>
      <c r="L251" s="6"/>
      <c r="M251" s="71"/>
      <c r="N251" s="6"/>
      <c r="O251" s="71"/>
      <c r="P251" s="6"/>
      <c r="Q251" s="71"/>
      <c r="R251" s="6"/>
      <c r="S251" s="71"/>
      <c r="T251" s="6"/>
      <c r="U251" s="71"/>
      <c r="V251" s="6"/>
      <c r="W251" s="181"/>
      <c r="X251" s="6"/>
      <c r="Y251" s="6"/>
      <c r="Z251" s="181"/>
      <c r="AA251" s="6"/>
      <c r="AB251" s="6"/>
      <c r="AC251" s="181"/>
      <c r="AD251" s="6"/>
      <c r="AE251" s="6"/>
      <c r="AF251" s="186"/>
      <c r="AG251" s="6"/>
    </row>
    <row r="252" spans="9:33" ht="21.75" customHeight="1" x14ac:dyDescent="0.25">
      <c r="I252" s="71"/>
      <c r="J252" s="6"/>
      <c r="K252" s="71"/>
      <c r="L252" s="6"/>
      <c r="M252" s="71"/>
      <c r="N252" s="6"/>
      <c r="O252" s="71"/>
      <c r="P252" s="6"/>
      <c r="Q252" s="71"/>
      <c r="R252" s="6"/>
      <c r="S252" s="71"/>
      <c r="T252" s="6"/>
      <c r="U252" s="71"/>
      <c r="V252" s="6"/>
      <c r="W252" s="181"/>
      <c r="X252" s="6"/>
      <c r="Y252" s="6"/>
      <c r="Z252" s="181"/>
      <c r="AA252" s="6"/>
      <c r="AB252" s="6"/>
      <c r="AC252" s="181"/>
      <c r="AD252" s="6"/>
      <c r="AE252" s="6"/>
      <c r="AF252" s="186"/>
      <c r="AG252" s="6"/>
    </row>
    <row r="253" spans="9:33" ht="21.75" customHeight="1" x14ac:dyDescent="0.25">
      <c r="I253" s="71"/>
      <c r="J253" s="6"/>
      <c r="K253" s="71"/>
      <c r="L253" s="6"/>
      <c r="M253" s="71"/>
      <c r="N253" s="6"/>
      <c r="O253" s="71"/>
      <c r="P253" s="6"/>
      <c r="Q253" s="71"/>
      <c r="R253" s="6"/>
      <c r="S253" s="71"/>
      <c r="T253" s="6"/>
      <c r="U253" s="71"/>
      <c r="V253" s="6"/>
      <c r="W253" s="181"/>
      <c r="X253" s="6"/>
      <c r="Y253" s="6"/>
      <c r="Z253" s="181"/>
      <c r="AA253" s="6"/>
      <c r="AB253" s="6"/>
      <c r="AC253" s="181"/>
      <c r="AD253" s="6"/>
      <c r="AE253" s="6"/>
      <c r="AF253" s="186"/>
      <c r="AG253" s="6"/>
    </row>
    <row r="254" spans="9:33" ht="21.75" customHeight="1" x14ac:dyDescent="0.25">
      <c r="I254" s="71"/>
      <c r="J254" s="6"/>
      <c r="K254" s="71"/>
      <c r="L254" s="6"/>
      <c r="M254" s="71"/>
      <c r="N254" s="6"/>
      <c r="O254" s="71"/>
      <c r="P254" s="6"/>
      <c r="Q254" s="71"/>
      <c r="R254" s="6"/>
      <c r="S254" s="71"/>
      <c r="T254" s="6"/>
      <c r="U254" s="71"/>
      <c r="V254" s="6"/>
      <c r="W254" s="181"/>
      <c r="X254" s="6"/>
      <c r="Y254" s="6"/>
      <c r="Z254" s="181"/>
      <c r="AA254" s="6"/>
      <c r="AB254" s="6"/>
      <c r="AC254" s="181"/>
      <c r="AD254" s="6"/>
      <c r="AE254" s="6"/>
      <c r="AF254" s="186"/>
      <c r="AG254" s="6"/>
    </row>
    <row r="255" spans="9:33" ht="21.75" customHeight="1" x14ac:dyDescent="0.25">
      <c r="I255" s="71"/>
      <c r="J255" s="6"/>
      <c r="K255" s="71"/>
      <c r="L255" s="6"/>
      <c r="M255" s="71"/>
      <c r="N255" s="6"/>
      <c r="O255" s="71"/>
      <c r="P255" s="6"/>
      <c r="Q255" s="71"/>
      <c r="R255" s="6"/>
      <c r="S255" s="71"/>
      <c r="T255" s="6"/>
      <c r="U255" s="71"/>
      <c r="V255" s="6"/>
      <c r="W255" s="181"/>
      <c r="X255" s="6"/>
      <c r="Y255" s="6"/>
      <c r="Z255" s="181"/>
      <c r="AA255" s="6"/>
      <c r="AB255" s="6"/>
      <c r="AC255" s="181"/>
      <c r="AD255" s="6"/>
      <c r="AE255" s="6"/>
      <c r="AF255" s="186"/>
      <c r="AG255" s="6"/>
    </row>
    <row r="256" spans="9:33" ht="21.75" customHeight="1" x14ac:dyDescent="0.25">
      <c r="I256" s="71"/>
      <c r="J256" s="6"/>
      <c r="K256" s="71"/>
      <c r="L256" s="6"/>
      <c r="M256" s="71"/>
      <c r="N256" s="6"/>
      <c r="O256" s="71"/>
      <c r="P256" s="6"/>
      <c r="Q256" s="71"/>
      <c r="R256" s="6"/>
      <c r="S256" s="71"/>
      <c r="T256" s="6"/>
      <c r="U256" s="71"/>
      <c r="V256" s="6"/>
      <c r="W256" s="181"/>
      <c r="X256" s="6"/>
      <c r="Y256" s="6"/>
      <c r="Z256" s="181"/>
      <c r="AA256" s="6"/>
      <c r="AB256" s="6"/>
      <c r="AC256" s="181"/>
      <c r="AD256" s="6"/>
      <c r="AE256" s="6"/>
      <c r="AF256" s="186"/>
      <c r="AG256" s="6"/>
    </row>
    <row r="257" spans="9:33" ht="21.75" customHeight="1" x14ac:dyDescent="0.25">
      <c r="I257" s="71"/>
      <c r="J257" s="6"/>
      <c r="K257" s="71"/>
      <c r="L257" s="6"/>
      <c r="M257" s="71"/>
      <c r="N257" s="6"/>
      <c r="O257" s="71"/>
      <c r="P257" s="6"/>
      <c r="Q257" s="71"/>
      <c r="R257" s="6"/>
      <c r="S257" s="71"/>
      <c r="T257" s="6"/>
      <c r="U257" s="71"/>
      <c r="V257" s="6"/>
      <c r="W257" s="181"/>
      <c r="X257" s="6"/>
      <c r="Y257" s="6"/>
      <c r="Z257" s="181"/>
      <c r="AA257" s="6"/>
      <c r="AB257" s="6"/>
      <c r="AC257" s="181"/>
      <c r="AD257" s="6"/>
      <c r="AE257" s="6"/>
      <c r="AF257" s="186"/>
      <c r="AG257" s="6"/>
    </row>
    <row r="258" spans="9:33" ht="21.75" customHeight="1" x14ac:dyDescent="0.25">
      <c r="I258" s="71"/>
      <c r="J258" s="6"/>
      <c r="K258" s="71"/>
      <c r="L258" s="6"/>
      <c r="M258" s="71"/>
      <c r="N258" s="6"/>
      <c r="O258" s="71"/>
      <c r="P258" s="6"/>
      <c r="Q258" s="71"/>
      <c r="R258" s="6"/>
      <c r="S258" s="71"/>
      <c r="T258" s="6"/>
      <c r="U258" s="71"/>
      <c r="V258" s="6"/>
      <c r="W258" s="181"/>
      <c r="X258" s="6"/>
      <c r="Y258" s="6"/>
      <c r="Z258" s="181"/>
      <c r="AA258" s="6"/>
      <c r="AB258" s="6"/>
      <c r="AC258" s="181"/>
      <c r="AD258" s="6"/>
      <c r="AE258" s="6"/>
      <c r="AF258" s="186"/>
      <c r="AG258" s="6"/>
    </row>
    <row r="259" spans="9:33" ht="21.75" customHeight="1" x14ac:dyDescent="0.25">
      <c r="I259" s="71"/>
      <c r="J259" s="6"/>
      <c r="K259" s="71"/>
      <c r="L259" s="6"/>
      <c r="M259" s="71"/>
      <c r="N259" s="6"/>
      <c r="O259" s="71"/>
      <c r="P259" s="6"/>
      <c r="Q259" s="71"/>
      <c r="R259" s="6"/>
      <c r="S259" s="71"/>
      <c r="T259" s="6"/>
      <c r="U259" s="71"/>
      <c r="V259" s="6"/>
      <c r="W259" s="181"/>
      <c r="X259" s="6"/>
      <c r="Y259" s="6"/>
      <c r="Z259" s="181"/>
      <c r="AA259" s="6"/>
      <c r="AB259" s="6"/>
      <c r="AC259" s="181"/>
      <c r="AD259" s="6"/>
      <c r="AE259" s="6"/>
      <c r="AF259" s="186"/>
      <c r="AG259" s="6"/>
    </row>
    <row r="260" spans="9:33" ht="21.75" customHeight="1" x14ac:dyDescent="0.25">
      <c r="I260" s="71"/>
      <c r="J260" s="6"/>
      <c r="K260" s="71"/>
      <c r="L260" s="6"/>
      <c r="M260" s="71"/>
      <c r="N260" s="6"/>
      <c r="O260" s="71"/>
      <c r="P260" s="6"/>
      <c r="Q260" s="71"/>
      <c r="R260" s="6"/>
      <c r="S260" s="71"/>
      <c r="T260" s="6"/>
      <c r="U260" s="71"/>
      <c r="V260" s="6"/>
      <c r="W260" s="181"/>
      <c r="X260" s="6"/>
      <c r="Y260" s="6"/>
      <c r="Z260" s="181"/>
      <c r="AA260" s="6"/>
      <c r="AB260" s="6"/>
      <c r="AC260" s="181"/>
      <c r="AD260" s="6"/>
      <c r="AE260" s="6"/>
      <c r="AF260" s="186"/>
      <c r="AG260" s="6"/>
    </row>
    <row r="261" spans="9:33" ht="21.75" customHeight="1" x14ac:dyDescent="0.25">
      <c r="I261" s="71"/>
      <c r="J261" s="6"/>
      <c r="K261" s="71"/>
      <c r="L261" s="6"/>
      <c r="M261" s="71"/>
      <c r="N261" s="6"/>
      <c r="O261" s="71"/>
      <c r="P261" s="6"/>
      <c r="Q261" s="71"/>
      <c r="R261" s="6"/>
      <c r="S261" s="71"/>
      <c r="T261" s="6"/>
      <c r="U261" s="71"/>
      <c r="V261" s="6"/>
      <c r="W261" s="181"/>
      <c r="X261" s="6"/>
      <c r="Y261" s="6"/>
      <c r="Z261" s="181"/>
      <c r="AA261" s="6"/>
      <c r="AB261" s="6"/>
      <c r="AC261" s="181"/>
      <c r="AD261" s="6"/>
      <c r="AE261" s="6"/>
      <c r="AF261" s="186"/>
      <c r="AG261" s="6"/>
    </row>
    <row r="262" spans="9:33" ht="21.75" customHeight="1" x14ac:dyDescent="0.25">
      <c r="I262" s="71"/>
      <c r="J262" s="6"/>
      <c r="K262" s="71"/>
      <c r="L262" s="6"/>
      <c r="M262" s="71"/>
      <c r="N262" s="6"/>
      <c r="O262" s="71"/>
      <c r="P262" s="6"/>
      <c r="Q262" s="71"/>
      <c r="R262" s="6"/>
      <c r="S262" s="71"/>
      <c r="T262" s="6"/>
      <c r="U262" s="71"/>
      <c r="V262" s="6"/>
      <c r="W262" s="181"/>
      <c r="X262" s="6"/>
      <c r="Y262" s="6"/>
      <c r="Z262" s="181"/>
      <c r="AA262" s="6"/>
      <c r="AB262" s="6"/>
      <c r="AC262" s="181"/>
      <c r="AD262" s="6"/>
      <c r="AE262" s="6"/>
      <c r="AF262" s="186"/>
      <c r="AG262" s="6"/>
    </row>
    <row r="263" spans="9:33" ht="21.75" customHeight="1" x14ac:dyDescent="0.25">
      <c r="I263" s="71"/>
      <c r="J263" s="6"/>
      <c r="K263" s="71"/>
      <c r="L263" s="6"/>
      <c r="M263" s="71"/>
      <c r="N263" s="6"/>
      <c r="O263" s="71"/>
      <c r="P263" s="6"/>
      <c r="Q263" s="71"/>
      <c r="R263" s="6"/>
      <c r="S263" s="71"/>
      <c r="T263" s="6"/>
      <c r="U263" s="71"/>
      <c r="V263" s="6"/>
      <c r="W263" s="181"/>
      <c r="X263" s="6"/>
      <c r="Y263" s="6"/>
      <c r="Z263" s="181"/>
      <c r="AA263" s="6"/>
      <c r="AB263" s="6"/>
      <c r="AC263" s="181"/>
      <c r="AD263" s="6"/>
      <c r="AE263" s="6"/>
      <c r="AF263" s="186"/>
      <c r="AG263" s="6"/>
    </row>
    <row r="264" spans="9:33" ht="21.75" customHeight="1" x14ac:dyDescent="0.25">
      <c r="I264" s="71"/>
      <c r="J264" s="6"/>
      <c r="K264" s="71"/>
      <c r="L264" s="6"/>
      <c r="M264" s="71"/>
      <c r="N264" s="6"/>
      <c r="O264" s="71"/>
      <c r="P264" s="6"/>
      <c r="Q264" s="71"/>
      <c r="R264" s="6"/>
      <c r="S264" s="71"/>
      <c r="T264" s="6"/>
      <c r="U264" s="71"/>
      <c r="V264" s="6"/>
      <c r="W264" s="181"/>
      <c r="X264" s="6"/>
      <c r="Y264" s="6"/>
      <c r="Z264" s="181"/>
      <c r="AA264" s="6"/>
      <c r="AB264" s="6"/>
      <c r="AC264" s="181"/>
      <c r="AD264" s="6"/>
      <c r="AE264" s="6"/>
      <c r="AF264" s="186"/>
      <c r="AG264" s="6"/>
    </row>
    <row r="265" spans="9:33" ht="21.75" customHeight="1" x14ac:dyDescent="0.25">
      <c r="I265" s="71"/>
      <c r="J265" s="6"/>
      <c r="K265" s="71"/>
      <c r="L265" s="6"/>
      <c r="M265" s="71"/>
      <c r="N265" s="6"/>
      <c r="O265" s="71"/>
      <c r="P265" s="6"/>
      <c r="Q265" s="71"/>
      <c r="R265" s="6"/>
      <c r="S265" s="71"/>
      <c r="T265" s="6"/>
      <c r="U265" s="71"/>
      <c r="V265" s="6"/>
      <c r="W265" s="181"/>
      <c r="X265" s="6"/>
      <c r="Y265" s="6"/>
      <c r="Z265" s="181"/>
      <c r="AA265" s="6"/>
      <c r="AB265" s="6"/>
      <c r="AC265" s="181"/>
      <c r="AD265" s="6"/>
      <c r="AE265" s="6"/>
      <c r="AF265" s="186"/>
      <c r="AG265" s="6"/>
    </row>
    <row r="266" spans="9:33" ht="21.75" customHeight="1" x14ac:dyDescent="0.25">
      <c r="I266" s="71"/>
      <c r="J266" s="6"/>
      <c r="K266" s="71"/>
      <c r="L266" s="6"/>
      <c r="M266" s="71"/>
      <c r="N266" s="6"/>
      <c r="O266" s="71"/>
      <c r="P266" s="6"/>
      <c r="Q266" s="71"/>
      <c r="R266" s="6"/>
      <c r="S266" s="71"/>
      <c r="T266" s="6"/>
      <c r="U266" s="71"/>
      <c r="V266" s="6"/>
      <c r="W266" s="181"/>
      <c r="X266" s="6"/>
      <c r="Y266" s="6"/>
      <c r="Z266" s="181"/>
      <c r="AA266" s="6"/>
      <c r="AB266" s="6"/>
      <c r="AC266" s="181"/>
      <c r="AD266" s="6"/>
      <c r="AE266" s="6"/>
      <c r="AF266" s="186"/>
      <c r="AG266" s="6"/>
    </row>
    <row r="267" spans="9:33" ht="21.75" customHeight="1" x14ac:dyDescent="0.25">
      <c r="I267" s="71"/>
      <c r="J267" s="6"/>
      <c r="K267" s="71"/>
      <c r="L267" s="6"/>
      <c r="M267" s="71"/>
      <c r="N267" s="6"/>
      <c r="O267" s="71"/>
      <c r="P267" s="6"/>
      <c r="Q267" s="71"/>
      <c r="R267" s="6"/>
      <c r="S267" s="71"/>
      <c r="T267" s="6"/>
      <c r="U267" s="71"/>
      <c r="V267" s="6"/>
      <c r="W267" s="181"/>
      <c r="X267" s="6"/>
      <c r="Y267" s="6"/>
      <c r="Z267" s="181"/>
      <c r="AA267" s="6"/>
      <c r="AB267" s="6"/>
      <c r="AC267" s="181"/>
      <c r="AD267" s="6"/>
      <c r="AE267" s="6"/>
      <c r="AF267" s="186"/>
      <c r="AG267" s="6"/>
    </row>
    <row r="268" spans="9:33" ht="21.75" customHeight="1" x14ac:dyDescent="0.25">
      <c r="I268" s="71"/>
      <c r="J268" s="6"/>
      <c r="K268" s="71"/>
      <c r="L268" s="6"/>
      <c r="M268" s="71"/>
      <c r="N268" s="6"/>
      <c r="O268" s="71"/>
      <c r="P268" s="6"/>
      <c r="Q268" s="71"/>
      <c r="R268" s="6"/>
      <c r="S268" s="71"/>
      <c r="T268" s="6"/>
      <c r="U268" s="71"/>
      <c r="V268" s="6"/>
      <c r="W268" s="181"/>
      <c r="X268" s="6"/>
      <c r="Y268" s="6"/>
      <c r="Z268" s="181"/>
      <c r="AA268" s="6"/>
      <c r="AB268" s="6"/>
      <c r="AC268" s="181"/>
      <c r="AD268" s="6"/>
      <c r="AE268" s="6"/>
      <c r="AF268" s="186"/>
      <c r="AG268" s="6"/>
    </row>
    <row r="269" spans="9:33" ht="21.75" customHeight="1" x14ac:dyDescent="0.25">
      <c r="I269" s="71"/>
      <c r="J269" s="6"/>
      <c r="K269" s="71"/>
      <c r="L269" s="6"/>
      <c r="M269" s="71"/>
      <c r="N269" s="6"/>
      <c r="O269" s="71"/>
      <c r="P269" s="6"/>
      <c r="Q269" s="71"/>
      <c r="R269" s="6"/>
      <c r="S269" s="71"/>
      <c r="T269" s="6"/>
      <c r="U269" s="71"/>
      <c r="V269" s="6"/>
      <c r="W269" s="181"/>
      <c r="X269" s="6"/>
      <c r="Y269" s="6"/>
      <c r="Z269" s="181"/>
      <c r="AA269" s="6"/>
      <c r="AB269" s="6"/>
      <c r="AC269" s="181"/>
      <c r="AD269" s="6"/>
      <c r="AE269" s="6"/>
      <c r="AF269" s="186"/>
      <c r="AG269" s="6"/>
    </row>
    <row r="270" spans="9:33" ht="21.75" customHeight="1" x14ac:dyDescent="0.25">
      <c r="I270" s="71"/>
      <c r="J270" s="6"/>
      <c r="K270" s="71"/>
      <c r="L270" s="6"/>
      <c r="M270" s="71"/>
      <c r="N270" s="6"/>
      <c r="O270" s="71"/>
      <c r="P270" s="6"/>
      <c r="Q270" s="71"/>
      <c r="R270" s="6"/>
      <c r="S270" s="71"/>
      <c r="T270" s="6"/>
      <c r="U270" s="71"/>
      <c r="V270" s="6"/>
      <c r="W270" s="181"/>
      <c r="X270" s="6"/>
      <c r="Y270" s="6"/>
      <c r="Z270" s="181"/>
      <c r="AA270" s="6"/>
      <c r="AB270" s="6"/>
      <c r="AC270" s="181"/>
      <c r="AD270" s="6"/>
      <c r="AE270" s="6"/>
      <c r="AF270" s="186"/>
      <c r="AG270" s="6"/>
    </row>
    <row r="271" spans="9:33" ht="21.75" customHeight="1" x14ac:dyDescent="0.25">
      <c r="I271" s="71"/>
      <c r="J271" s="6"/>
      <c r="K271" s="71"/>
      <c r="L271" s="6"/>
      <c r="M271" s="71"/>
      <c r="N271" s="6"/>
      <c r="O271" s="71"/>
      <c r="P271" s="6"/>
      <c r="Q271" s="71"/>
      <c r="R271" s="6"/>
      <c r="S271" s="71"/>
      <c r="T271" s="6"/>
      <c r="U271" s="71"/>
      <c r="V271" s="6"/>
      <c r="W271" s="181"/>
      <c r="X271" s="6"/>
      <c r="Y271" s="6"/>
      <c r="Z271" s="181"/>
      <c r="AA271" s="6"/>
      <c r="AB271" s="6"/>
      <c r="AC271" s="181"/>
      <c r="AD271" s="6"/>
      <c r="AE271" s="6"/>
      <c r="AF271" s="186"/>
      <c r="AG271" s="6"/>
    </row>
    <row r="272" spans="9:33" ht="21.75" customHeight="1" x14ac:dyDescent="0.25">
      <c r="I272" s="71"/>
      <c r="J272" s="6"/>
      <c r="K272" s="71"/>
      <c r="L272" s="6"/>
      <c r="M272" s="71"/>
      <c r="N272" s="6"/>
      <c r="O272" s="71"/>
      <c r="P272" s="6"/>
      <c r="Q272" s="71"/>
      <c r="R272" s="6"/>
      <c r="S272" s="71"/>
      <c r="T272" s="6"/>
      <c r="U272" s="71"/>
      <c r="V272" s="6"/>
      <c r="W272" s="181"/>
      <c r="X272" s="6"/>
      <c r="Y272" s="6"/>
      <c r="Z272" s="181"/>
      <c r="AA272" s="6"/>
      <c r="AB272" s="6"/>
      <c r="AC272" s="181"/>
      <c r="AD272" s="6"/>
      <c r="AE272" s="6"/>
      <c r="AF272" s="186"/>
      <c r="AG272" s="6"/>
    </row>
    <row r="273" spans="9:33" ht="21.75" customHeight="1" x14ac:dyDescent="0.25">
      <c r="I273" s="71"/>
      <c r="J273" s="6"/>
      <c r="K273" s="71"/>
      <c r="L273" s="6"/>
      <c r="M273" s="71"/>
      <c r="N273" s="6"/>
      <c r="O273" s="71"/>
      <c r="P273" s="6"/>
      <c r="Q273" s="71"/>
      <c r="R273" s="6"/>
      <c r="S273" s="71"/>
      <c r="T273" s="6"/>
      <c r="U273" s="71"/>
      <c r="V273" s="6"/>
      <c r="W273" s="181"/>
      <c r="X273" s="6"/>
      <c r="Y273" s="6"/>
      <c r="Z273" s="181"/>
      <c r="AA273" s="6"/>
      <c r="AB273" s="6"/>
      <c r="AC273" s="181"/>
      <c r="AD273" s="6"/>
      <c r="AE273" s="6"/>
      <c r="AF273" s="186"/>
      <c r="AG273" s="6"/>
    </row>
    <row r="274" spans="9:33" ht="21.75" customHeight="1" x14ac:dyDescent="0.25">
      <c r="I274" s="71"/>
      <c r="J274" s="6"/>
      <c r="K274" s="71"/>
      <c r="L274" s="6"/>
      <c r="M274" s="71"/>
      <c r="N274" s="6"/>
      <c r="O274" s="71"/>
      <c r="P274" s="6"/>
      <c r="Q274" s="71"/>
      <c r="R274" s="6"/>
      <c r="S274" s="71"/>
      <c r="T274" s="6"/>
      <c r="U274" s="71"/>
      <c r="V274" s="6"/>
      <c r="W274" s="181"/>
      <c r="X274" s="6"/>
      <c r="Y274" s="6"/>
      <c r="Z274" s="181"/>
      <c r="AA274" s="6"/>
      <c r="AB274" s="6"/>
      <c r="AC274" s="181"/>
      <c r="AD274" s="6"/>
      <c r="AE274" s="6"/>
      <c r="AF274" s="186"/>
      <c r="AG274" s="6"/>
    </row>
    <row r="275" spans="9:33" ht="21.75" customHeight="1" x14ac:dyDescent="0.25">
      <c r="I275" s="71"/>
      <c r="J275" s="6"/>
      <c r="K275" s="71"/>
      <c r="L275" s="6"/>
      <c r="M275" s="71"/>
      <c r="N275" s="6"/>
      <c r="O275" s="71"/>
      <c r="P275" s="6"/>
      <c r="Q275" s="71"/>
      <c r="R275" s="6"/>
      <c r="S275" s="71"/>
      <c r="T275" s="6"/>
      <c r="U275" s="71"/>
      <c r="V275" s="6"/>
      <c r="W275" s="181"/>
      <c r="X275" s="6"/>
      <c r="Y275" s="6"/>
      <c r="Z275" s="181"/>
      <c r="AA275" s="6"/>
      <c r="AB275" s="6"/>
      <c r="AC275" s="181"/>
      <c r="AD275" s="6"/>
      <c r="AE275" s="6"/>
      <c r="AF275" s="186"/>
      <c r="AG275" s="6"/>
    </row>
    <row r="276" spans="9:33" ht="21.75" customHeight="1" x14ac:dyDescent="0.25">
      <c r="I276" s="71"/>
      <c r="J276" s="6"/>
      <c r="K276" s="71"/>
      <c r="L276" s="6"/>
      <c r="M276" s="71"/>
      <c r="N276" s="6"/>
      <c r="O276" s="71"/>
      <c r="P276" s="6"/>
      <c r="Q276" s="71"/>
      <c r="R276" s="6"/>
      <c r="S276" s="71"/>
      <c r="T276" s="6"/>
      <c r="U276" s="71"/>
      <c r="V276" s="6"/>
      <c r="W276" s="181"/>
      <c r="X276" s="6"/>
      <c r="Y276" s="6"/>
      <c r="Z276" s="181"/>
      <c r="AA276" s="6"/>
      <c r="AB276" s="6"/>
      <c r="AC276" s="181"/>
      <c r="AD276" s="6"/>
      <c r="AE276" s="6"/>
      <c r="AF276" s="186"/>
      <c r="AG276" s="6"/>
    </row>
    <row r="277" spans="9:33" ht="21.75" customHeight="1" x14ac:dyDescent="0.25">
      <c r="I277" s="71"/>
      <c r="J277" s="6"/>
      <c r="K277" s="71"/>
      <c r="L277" s="6"/>
      <c r="M277" s="71"/>
      <c r="N277" s="6"/>
      <c r="O277" s="71"/>
      <c r="P277" s="6"/>
      <c r="Q277" s="71"/>
      <c r="R277" s="6"/>
      <c r="S277" s="71"/>
      <c r="T277" s="6"/>
      <c r="U277" s="71"/>
      <c r="V277" s="6"/>
      <c r="W277" s="181"/>
      <c r="X277" s="6"/>
      <c r="Y277" s="6"/>
      <c r="Z277" s="181"/>
      <c r="AA277" s="6"/>
      <c r="AB277" s="6"/>
      <c r="AC277" s="181"/>
      <c r="AD277" s="6"/>
      <c r="AE277" s="6"/>
      <c r="AF277" s="186"/>
      <c r="AG277" s="6"/>
    </row>
    <row r="278" spans="9:33" ht="21.75" customHeight="1" x14ac:dyDescent="0.25">
      <c r="I278" s="71"/>
      <c r="J278" s="6"/>
      <c r="K278" s="71"/>
      <c r="L278" s="6"/>
      <c r="M278" s="71"/>
      <c r="N278" s="6"/>
      <c r="O278" s="71"/>
      <c r="P278" s="6"/>
      <c r="Q278" s="71"/>
      <c r="R278" s="6"/>
      <c r="S278" s="71"/>
      <c r="T278" s="6"/>
      <c r="U278" s="71"/>
      <c r="V278" s="6"/>
      <c r="W278" s="181"/>
      <c r="X278" s="6"/>
      <c r="Y278" s="6"/>
      <c r="Z278" s="181"/>
      <c r="AA278" s="6"/>
      <c r="AB278" s="6"/>
      <c r="AC278" s="181"/>
      <c r="AD278" s="6"/>
      <c r="AE278" s="6"/>
      <c r="AF278" s="186"/>
      <c r="AG278" s="6"/>
    </row>
    <row r="279" spans="9:33" ht="21.75" customHeight="1" x14ac:dyDescent="0.25">
      <c r="I279" s="71"/>
      <c r="J279" s="6"/>
      <c r="K279" s="71"/>
      <c r="L279" s="6"/>
      <c r="M279" s="71"/>
      <c r="N279" s="6"/>
      <c r="O279" s="71"/>
      <c r="P279" s="6"/>
      <c r="Q279" s="71"/>
      <c r="R279" s="6"/>
      <c r="S279" s="71"/>
      <c r="T279" s="6"/>
      <c r="U279" s="71"/>
      <c r="V279" s="6"/>
      <c r="W279" s="181"/>
      <c r="X279" s="6"/>
      <c r="Y279" s="6"/>
      <c r="Z279" s="181"/>
      <c r="AA279" s="6"/>
      <c r="AB279" s="6"/>
      <c r="AC279" s="181"/>
      <c r="AD279" s="6"/>
      <c r="AE279" s="6"/>
      <c r="AF279" s="186"/>
      <c r="AG279" s="6"/>
    </row>
    <row r="280" spans="9:33" ht="21.75" customHeight="1" x14ac:dyDescent="0.25">
      <c r="I280" s="71"/>
      <c r="J280" s="6"/>
      <c r="K280" s="71"/>
      <c r="L280" s="6"/>
      <c r="M280" s="71"/>
      <c r="N280" s="6"/>
      <c r="O280" s="71"/>
      <c r="P280" s="6"/>
      <c r="Q280" s="71"/>
      <c r="R280" s="6"/>
      <c r="S280" s="71"/>
      <c r="T280" s="6"/>
      <c r="U280" s="71"/>
      <c r="V280" s="6"/>
      <c r="W280" s="181"/>
      <c r="X280" s="6"/>
      <c r="Y280" s="6"/>
      <c r="Z280" s="181"/>
      <c r="AA280" s="6"/>
      <c r="AB280" s="6"/>
      <c r="AC280" s="181"/>
      <c r="AD280" s="6"/>
      <c r="AE280" s="6"/>
      <c r="AF280" s="186"/>
      <c r="AG280" s="6"/>
    </row>
    <row r="281" spans="9:33" ht="21.75" customHeight="1" x14ac:dyDescent="0.25">
      <c r="I281" s="71"/>
      <c r="J281" s="6"/>
      <c r="K281" s="71"/>
      <c r="L281" s="6"/>
      <c r="M281" s="71"/>
      <c r="N281" s="6"/>
      <c r="O281" s="71"/>
      <c r="P281" s="6"/>
      <c r="Q281" s="71"/>
      <c r="R281" s="6"/>
      <c r="S281" s="71"/>
      <c r="T281" s="6"/>
      <c r="U281" s="71"/>
      <c r="V281" s="6"/>
      <c r="W281" s="181"/>
      <c r="X281" s="6"/>
      <c r="Y281" s="6"/>
      <c r="Z281" s="181"/>
      <c r="AA281" s="6"/>
      <c r="AB281" s="6"/>
      <c r="AC281" s="181"/>
      <c r="AD281" s="6"/>
      <c r="AE281" s="6"/>
      <c r="AF281" s="186"/>
      <c r="AG281" s="6"/>
    </row>
    <row r="282" spans="9:33" ht="21.75" customHeight="1" x14ac:dyDescent="0.25">
      <c r="I282" s="71"/>
      <c r="J282" s="6"/>
      <c r="K282" s="71"/>
      <c r="L282" s="6"/>
      <c r="M282" s="71"/>
      <c r="N282" s="6"/>
      <c r="O282" s="71"/>
      <c r="P282" s="6"/>
      <c r="Q282" s="71"/>
      <c r="R282" s="6"/>
      <c r="S282" s="71"/>
      <c r="T282" s="6"/>
      <c r="U282" s="71"/>
      <c r="V282" s="6"/>
      <c r="W282" s="181"/>
      <c r="X282" s="6"/>
      <c r="Y282" s="6"/>
      <c r="Z282" s="181"/>
      <c r="AA282" s="6"/>
      <c r="AB282" s="6"/>
      <c r="AC282" s="181"/>
      <c r="AD282" s="6"/>
      <c r="AE282" s="6"/>
      <c r="AF282" s="186"/>
      <c r="AG282" s="6"/>
    </row>
    <row r="283" spans="9:33" ht="21.75" customHeight="1" x14ac:dyDescent="0.25">
      <c r="I283" s="71"/>
      <c r="J283" s="6"/>
      <c r="K283" s="71"/>
      <c r="L283" s="6"/>
      <c r="M283" s="71"/>
      <c r="N283" s="6"/>
      <c r="O283" s="71"/>
      <c r="P283" s="6"/>
      <c r="Q283" s="71"/>
      <c r="R283" s="6"/>
      <c r="S283" s="71"/>
      <c r="T283" s="6"/>
      <c r="U283" s="71"/>
      <c r="V283" s="6"/>
      <c r="W283" s="181"/>
      <c r="X283" s="6"/>
      <c r="Y283" s="6"/>
      <c r="Z283" s="181"/>
      <c r="AA283" s="6"/>
      <c r="AB283" s="6"/>
      <c r="AC283" s="181"/>
      <c r="AD283" s="6"/>
      <c r="AE283" s="6"/>
      <c r="AF283" s="186"/>
      <c r="AG283" s="6"/>
    </row>
    <row r="284" spans="9:33" ht="21.75" customHeight="1" x14ac:dyDescent="0.25">
      <c r="I284" s="71"/>
      <c r="J284" s="6"/>
      <c r="K284" s="71"/>
      <c r="L284" s="6"/>
      <c r="M284" s="71"/>
      <c r="N284" s="6"/>
      <c r="O284" s="71"/>
      <c r="P284" s="6"/>
      <c r="Q284" s="71"/>
      <c r="R284" s="6"/>
      <c r="S284" s="71"/>
      <c r="T284" s="6"/>
      <c r="U284" s="71"/>
      <c r="V284" s="6"/>
      <c r="W284" s="181"/>
      <c r="X284" s="6"/>
      <c r="Y284" s="6"/>
      <c r="Z284" s="181"/>
      <c r="AA284" s="6"/>
      <c r="AB284" s="6"/>
      <c r="AC284" s="181"/>
      <c r="AD284" s="6"/>
      <c r="AE284" s="6"/>
      <c r="AF284" s="186"/>
      <c r="AG284" s="6"/>
    </row>
    <row r="285" spans="9:33" ht="21.75" customHeight="1" x14ac:dyDescent="0.25">
      <c r="I285" s="71"/>
      <c r="J285" s="6"/>
      <c r="K285" s="71"/>
      <c r="L285" s="6"/>
      <c r="M285" s="71"/>
      <c r="N285" s="6"/>
      <c r="O285" s="71"/>
      <c r="P285" s="6"/>
      <c r="Q285" s="71"/>
      <c r="R285" s="6"/>
      <c r="S285" s="71"/>
      <c r="T285" s="6"/>
      <c r="U285" s="71"/>
      <c r="V285" s="6"/>
      <c r="W285" s="181"/>
      <c r="X285" s="6"/>
      <c r="Y285" s="6"/>
      <c r="Z285" s="181"/>
      <c r="AA285" s="6"/>
      <c r="AB285" s="6"/>
      <c r="AC285" s="181"/>
      <c r="AD285" s="6"/>
      <c r="AE285" s="6"/>
      <c r="AF285" s="186"/>
      <c r="AG285" s="6"/>
    </row>
    <row r="286" spans="9:33" ht="21.75" customHeight="1" x14ac:dyDescent="0.25">
      <c r="I286" s="71"/>
      <c r="J286" s="6"/>
      <c r="K286" s="71"/>
      <c r="L286" s="6"/>
      <c r="M286" s="71"/>
      <c r="N286" s="6"/>
      <c r="O286" s="71"/>
      <c r="P286" s="6"/>
      <c r="Q286" s="71"/>
      <c r="R286" s="6"/>
      <c r="S286" s="71"/>
      <c r="T286" s="6"/>
      <c r="U286" s="71"/>
      <c r="V286" s="6"/>
      <c r="W286" s="181"/>
      <c r="X286" s="6"/>
      <c r="Y286" s="6"/>
      <c r="Z286" s="181"/>
      <c r="AA286" s="6"/>
      <c r="AB286" s="6"/>
      <c r="AC286" s="181"/>
      <c r="AD286" s="6"/>
      <c r="AE286" s="6"/>
      <c r="AF286" s="186"/>
      <c r="AG286" s="6"/>
    </row>
    <row r="287" spans="9:33" ht="21.75" customHeight="1" x14ac:dyDescent="0.25">
      <c r="I287" s="71"/>
      <c r="J287" s="6"/>
      <c r="K287" s="71"/>
      <c r="L287" s="6"/>
      <c r="M287" s="71"/>
      <c r="N287" s="6"/>
      <c r="O287" s="71"/>
      <c r="P287" s="6"/>
      <c r="Q287" s="71"/>
      <c r="R287" s="6"/>
      <c r="S287" s="71"/>
      <c r="T287" s="6"/>
      <c r="U287" s="71"/>
      <c r="V287" s="6"/>
      <c r="W287" s="181"/>
      <c r="X287" s="6"/>
      <c r="Y287" s="6"/>
      <c r="Z287" s="181"/>
      <c r="AA287" s="6"/>
      <c r="AB287" s="6"/>
      <c r="AC287" s="181"/>
      <c r="AD287" s="6"/>
      <c r="AE287" s="6"/>
      <c r="AF287" s="186"/>
      <c r="AG287" s="6"/>
    </row>
    <row r="288" spans="9:33" ht="21.75" customHeight="1" x14ac:dyDescent="0.25">
      <c r="I288" s="71"/>
      <c r="J288" s="6"/>
      <c r="K288" s="71"/>
      <c r="L288" s="6"/>
      <c r="M288" s="71"/>
      <c r="N288" s="6"/>
      <c r="O288" s="71"/>
      <c r="P288" s="6"/>
      <c r="Q288" s="71"/>
      <c r="R288" s="6"/>
      <c r="S288" s="71"/>
      <c r="T288" s="6"/>
      <c r="U288" s="71"/>
      <c r="V288" s="6"/>
      <c r="W288" s="181"/>
      <c r="X288" s="6"/>
      <c r="Y288" s="6"/>
      <c r="Z288" s="181"/>
      <c r="AA288" s="6"/>
      <c r="AB288" s="6"/>
      <c r="AC288" s="181"/>
      <c r="AD288" s="6"/>
      <c r="AE288" s="6"/>
      <c r="AF288" s="186"/>
      <c r="AG288" s="6"/>
    </row>
    <row r="289" spans="9:33" ht="21.75" customHeight="1" x14ac:dyDescent="0.25">
      <c r="I289" s="71"/>
      <c r="J289" s="6"/>
      <c r="K289" s="71"/>
      <c r="L289" s="6"/>
      <c r="M289" s="71"/>
      <c r="N289" s="6"/>
      <c r="O289" s="71"/>
      <c r="P289" s="6"/>
      <c r="Q289" s="71"/>
      <c r="R289" s="6"/>
      <c r="S289" s="71"/>
      <c r="T289" s="6"/>
      <c r="U289" s="71"/>
      <c r="V289" s="6"/>
      <c r="W289" s="181"/>
      <c r="X289" s="6"/>
      <c r="Y289" s="6"/>
      <c r="Z289" s="181"/>
      <c r="AA289" s="6"/>
      <c r="AB289" s="6"/>
      <c r="AC289" s="181"/>
      <c r="AD289" s="6"/>
      <c r="AE289" s="6"/>
      <c r="AF289" s="186"/>
      <c r="AG289" s="6"/>
    </row>
    <row r="290" spans="9:33" ht="21.75" customHeight="1" x14ac:dyDescent="0.25">
      <c r="I290" s="71"/>
      <c r="J290" s="6"/>
      <c r="K290" s="71"/>
      <c r="L290" s="6"/>
      <c r="M290" s="71"/>
      <c r="N290" s="6"/>
      <c r="O290" s="71"/>
      <c r="P290" s="6"/>
      <c r="Q290" s="71"/>
      <c r="R290" s="6"/>
      <c r="S290" s="71"/>
      <c r="T290" s="6"/>
      <c r="U290" s="71"/>
      <c r="V290" s="6"/>
      <c r="W290" s="181"/>
      <c r="X290" s="6"/>
      <c r="Y290" s="6"/>
      <c r="Z290" s="181"/>
      <c r="AA290" s="6"/>
      <c r="AB290" s="6"/>
      <c r="AC290" s="181"/>
      <c r="AD290" s="6"/>
      <c r="AE290" s="6"/>
      <c r="AF290" s="186"/>
      <c r="AG290" s="6"/>
    </row>
    <row r="291" spans="9:33" ht="21.75" customHeight="1" x14ac:dyDescent="0.25">
      <c r="I291" s="71"/>
      <c r="J291" s="6"/>
      <c r="K291" s="71"/>
      <c r="L291" s="6"/>
      <c r="M291" s="71"/>
      <c r="N291" s="6"/>
      <c r="O291" s="71"/>
      <c r="P291" s="6"/>
      <c r="Q291" s="71"/>
      <c r="R291" s="6"/>
      <c r="S291" s="71"/>
      <c r="T291" s="6"/>
      <c r="U291" s="71"/>
      <c r="V291" s="6"/>
      <c r="W291" s="181"/>
      <c r="X291" s="6"/>
      <c r="Y291" s="6"/>
      <c r="Z291" s="181"/>
      <c r="AA291" s="6"/>
      <c r="AB291" s="6"/>
      <c r="AC291" s="181"/>
      <c r="AD291" s="6"/>
      <c r="AE291" s="6"/>
      <c r="AF291" s="186"/>
      <c r="AG291" s="6"/>
    </row>
    <row r="292" spans="9:33" ht="21.75" customHeight="1" x14ac:dyDescent="0.25">
      <c r="I292" s="71"/>
      <c r="J292" s="6"/>
      <c r="K292" s="71"/>
      <c r="L292" s="6"/>
      <c r="M292" s="71"/>
      <c r="N292" s="6"/>
      <c r="O292" s="71"/>
      <c r="P292" s="6"/>
      <c r="Q292" s="71"/>
      <c r="R292" s="6"/>
      <c r="S292" s="71"/>
      <c r="T292" s="6"/>
      <c r="U292" s="71"/>
      <c r="V292" s="6"/>
      <c r="W292" s="181"/>
      <c r="X292" s="6"/>
      <c r="Y292" s="6"/>
      <c r="Z292" s="181"/>
      <c r="AA292" s="6"/>
      <c r="AB292" s="6"/>
      <c r="AC292" s="181"/>
      <c r="AD292" s="6"/>
      <c r="AE292" s="6"/>
      <c r="AF292" s="186"/>
      <c r="AG292" s="6"/>
    </row>
    <row r="293" spans="9:33" ht="21.75" customHeight="1" x14ac:dyDescent="0.25">
      <c r="I293" s="71"/>
      <c r="J293" s="6"/>
      <c r="K293" s="71"/>
      <c r="L293" s="6"/>
      <c r="M293" s="71"/>
      <c r="N293" s="6"/>
      <c r="O293" s="71"/>
      <c r="P293" s="6"/>
      <c r="Q293" s="71"/>
      <c r="R293" s="6"/>
      <c r="S293" s="71"/>
      <c r="T293" s="6"/>
      <c r="U293" s="71"/>
      <c r="V293" s="6"/>
      <c r="W293" s="181"/>
      <c r="X293" s="6"/>
      <c r="Y293" s="6"/>
      <c r="Z293" s="181"/>
      <c r="AA293" s="6"/>
      <c r="AB293" s="6"/>
      <c r="AC293" s="181"/>
      <c r="AD293" s="6"/>
      <c r="AE293" s="6"/>
      <c r="AF293" s="186"/>
      <c r="AG293" s="6"/>
    </row>
    <row r="294" spans="9:33" ht="21.75" customHeight="1" x14ac:dyDescent="0.25">
      <c r="I294" s="71"/>
      <c r="J294" s="6"/>
      <c r="K294" s="71"/>
      <c r="L294" s="6"/>
      <c r="M294" s="71"/>
      <c r="N294" s="6"/>
      <c r="O294" s="71"/>
      <c r="P294" s="6"/>
      <c r="Q294" s="71"/>
      <c r="R294" s="6"/>
      <c r="S294" s="71"/>
      <c r="T294" s="6"/>
      <c r="U294" s="71"/>
      <c r="V294" s="6"/>
      <c r="W294" s="181"/>
      <c r="X294" s="6"/>
      <c r="Y294" s="6"/>
      <c r="Z294" s="181"/>
      <c r="AA294" s="6"/>
      <c r="AB294" s="6"/>
      <c r="AC294" s="181"/>
      <c r="AD294" s="6"/>
      <c r="AE294" s="6"/>
      <c r="AF294" s="186"/>
      <c r="AG294" s="6"/>
    </row>
    <row r="295" spans="9:33" ht="21.75" customHeight="1" x14ac:dyDescent="0.25">
      <c r="I295" s="71"/>
      <c r="J295" s="6"/>
      <c r="K295" s="71"/>
      <c r="L295" s="6"/>
      <c r="M295" s="71"/>
      <c r="N295" s="6"/>
      <c r="O295" s="71"/>
      <c r="P295" s="6"/>
      <c r="Q295" s="71"/>
      <c r="R295" s="6"/>
      <c r="S295" s="71"/>
      <c r="T295" s="6"/>
      <c r="U295" s="71"/>
      <c r="V295" s="6"/>
      <c r="W295" s="181"/>
      <c r="X295" s="6"/>
      <c r="Y295" s="6"/>
      <c r="Z295" s="181"/>
      <c r="AA295" s="6"/>
      <c r="AB295" s="6"/>
      <c r="AC295" s="181"/>
      <c r="AD295" s="6"/>
      <c r="AE295" s="6"/>
      <c r="AF295" s="186"/>
      <c r="AG295" s="6"/>
    </row>
    <row r="296" spans="9:33" ht="21.75" customHeight="1" x14ac:dyDescent="0.25">
      <c r="I296" s="71"/>
      <c r="J296" s="6"/>
      <c r="K296" s="71"/>
      <c r="L296" s="6"/>
      <c r="M296" s="71"/>
      <c r="N296" s="6"/>
      <c r="O296" s="71"/>
      <c r="P296" s="6"/>
      <c r="Q296" s="71"/>
      <c r="R296" s="6"/>
      <c r="S296" s="71"/>
      <c r="T296" s="6"/>
      <c r="U296" s="71"/>
      <c r="V296" s="6"/>
      <c r="W296" s="181"/>
      <c r="X296" s="6"/>
      <c r="Y296" s="6"/>
      <c r="Z296" s="181"/>
      <c r="AA296" s="6"/>
      <c r="AB296" s="6"/>
      <c r="AC296" s="181"/>
      <c r="AD296" s="6"/>
      <c r="AE296" s="6"/>
      <c r="AF296" s="186"/>
      <c r="AG296" s="6"/>
    </row>
    <row r="297" spans="9:33" ht="21.75" customHeight="1" x14ac:dyDescent="0.25">
      <c r="I297" s="71"/>
      <c r="J297" s="6"/>
      <c r="K297" s="71"/>
      <c r="L297" s="6"/>
      <c r="M297" s="71"/>
      <c r="N297" s="6"/>
      <c r="O297" s="71"/>
      <c r="P297" s="6"/>
      <c r="Q297" s="71"/>
      <c r="R297" s="6"/>
      <c r="S297" s="71"/>
      <c r="T297" s="6"/>
      <c r="U297" s="71"/>
      <c r="V297" s="6"/>
      <c r="W297" s="181"/>
      <c r="X297" s="6"/>
      <c r="Y297" s="6"/>
      <c r="Z297" s="181"/>
      <c r="AA297" s="6"/>
      <c r="AB297" s="6"/>
      <c r="AC297" s="181"/>
      <c r="AD297" s="6"/>
      <c r="AE297" s="6"/>
      <c r="AF297" s="186"/>
      <c r="AG297" s="6"/>
    </row>
    <row r="298" spans="9:33" ht="21.75" customHeight="1" x14ac:dyDescent="0.25">
      <c r="I298" s="71"/>
      <c r="J298" s="6"/>
      <c r="K298" s="71"/>
      <c r="L298" s="6"/>
      <c r="M298" s="71"/>
      <c r="N298" s="6"/>
      <c r="O298" s="71"/>
      <c r="P298" s="6"/>
      <c r="Q298" s="71"/>
      <c r="R298" s="6"/>
      <c r="S298" s="71"/>
      <c r="T298" s="6"/>
      <c r="U298" s="71"/>
      <c r="V298" s="6"/>
      <c r="W298" s="181"/>
      <c r="X298" s="6"/>
      <c r="Y298" s="6"/>
      <c r="Z298" s="181"/>
      <c r="AA298" s="6"/>
      <c r="AB298" s="6"/>
      <c r="AC298" s="181"/>
      <c r="AD298" s="6"/>
      <c r="AE298" s="6"/>
      <c r="AF298" s="186"/>
      <c r="AG298" s="6"/>
    </row>
    <row r="299" spans="9:33" ht="21.75" customHeight="1" x14ac:dyDescent="0.25">
      <c r="I299" s="71"/>
      <c r="J299" s="6"/>
      <c r="K299" s="71"/>
      <c r="L299" s="6"/>
      <c r="M299" s="71"/>
      <c r="N299" s="6"/>
      <c r="O299" s="71"/>
      <c r="P299" s="6"/>
      <c r="Q299" s="71"/>
      <c r="R299" s="6"/>
      <c r="S299" s="71"/>
      <c r="T299" s="6"/>
      <c r="U299" s="71"/>
      <c r="V299" s="6"/>
      <c r="W299" s="181"/>
      <c r="X299" s="6"/>
      <c r="Y299" s="6"/>
      <c r="Z299" s="181"/>
      <c r="AA299" s="6"/>
      <c r="AB299" s="6"/>
      <c r="AC299" s="181"/>
      <c r="AD299" s="6"/>
      <c r="AE299" s="6"/>
      <c r="AF299" s="186"/>
      <c r="AG299" s="6"/>
    </row>
    <row r="300" spans="9:33" ht="21.75" customHeight="1" x14ac:dyDescent="0.25">
      <c r="I300" s="71"/>
      <c r="J300" s="6"/>
      <c r="K300" s="71"/>
      <c r="L300" s="6"/>
      <c r="M300" s="71"/>
      <c r="N300" s="6"/>
      <c r="O300" s="71"/>
      <c r="P300" s="6"/>
      <c r="Q300" s="71"/>
      <c r="R300" s="6"/>
      <c r="S300" s="71"/>
      <c r="T300" s="6"/>
      <c r="U300" s="71"/>
      <c r="V300" s="6"/>
      <c r="W300" s="181"/>
      <c r="X300" s="6"/>
      <c r="Y300" s="6"/>
      <c r="Z300" s="181"/>
      <c r="AA300" s="6"/>
      <c r="AB300" s="6"/>
      <c r="AC300" s="181"/>
      <c r="AD300" s="6"/>
      <c r="AE300" s="6"/>
      <c r="AF300" s="186"/>
      <c r="AG300" s="6"/>
    </row>
    <row r="301" spans="9:33" ht="21.75" customHeight="1" x14ac:dyDescent="0.25">
      <c r="I301" s="71"/>
      <c r="J301" s="6"/>
      <c r="K301" s="71"/>
      <c r="L301" s="6"/>
      <c r="M301" s="71"/>
      <c r="N301" s="6"/>
      <c r="O301" s="71"/>
      <c r="P301" s="6"/>
      <c r="Q301" s="71"/>
      <c r="R301" s="6"/>
      <c r="S301" s="71"/>
      <c r="T301" s="6"/>
      <c r="U301" s="71"/>
      <c r="V301" s="6"/>
      <c r="W301" s="181"/>
      <c r="X301" s="6"/>
      <c r="Y301" s="6"/>
      <c r="Z301" s="181"/>
      <c r="AA301" s="6"/>
      <c r="AB301" s="6"/>
      <c r="AC301" s="181"/>
      <c r="AD301" s="6"/>
      <c r="AE301" s="6"/>
      <c r="AF301" s="186"/>
      <c r="AG301" s="6"/>
    </row>
    <row r="302" spans="9:33" ht="21.75" customHeight="1" x14ac:dyDescent="0.25">
      <c r="I302" s="71"/>
      <c r="J302" s="6"/>
      <c r="K302" s="71"/>
      <c r="L302" s="6"/>
      <c r="M302" s="71"/>
      <c r="N302" s="6"/>
      <c r="O302" s="71"/>
      <c r="P302" s="6"/>
      <c r="Q302" s="71"/>
      <c r="R302" s="6"/>
      <c r="S302" s="71"/>
      <c r="T302" s="6"/>
      <c r="U302" s="71"/>
      <c r="V302" s="6"/>
      <c r="W302" s="181"/>
      <c r="X302" s="6"/>
      <c r="Y302" s="6"/>
      <c r="Z302" s="181"/>
      <c r="AA302" s="6"/>
      <c r="AB302" s="6"/>
      <c r="AC302" s="181"/>
      <c r="AD302" s="6"/>
      <c r="AE302" s="6"/>
      <c r="AF302" s="186"/>
      <c r="AG302" s="6"/>
    </row>
    <row r="303" spans="9:33" ht="21.75" customHeight="1" x14ac:dyDescent="0.25">
      <c r="I303" s="71"/>
      <c r="J303" s="6"/>
      <c r="K303" s="71"/>
      <c r="L303" s="6"/>
      <c r="M303" s="71"/>
      <c r="N303" s="6"/>
      <c r="O303" s="71"/>
      <c r="P303" s="6"/>
      <c r="Q303" s="71"/>
      <c r="R303" s="6"/>
      <c r="S303" s="71"/>
      <c r="T303" s="6"/>
      <c r="U303" s="71"/>
      <c r="V303" s="6"/>
      <c r="W303" s="181"/>
      <c r="X303" s="6"/>
      <c r="Y303" s="6"/>
      <c r="Z303" s="181"/>
      <c r="AA303" s="6"/>
      <c r="AB303" s="6"/>
      <c r="AC303" s="181"/>
      <c r="AD303" s="6"/>
      <c r="AE303" s="6"/>
      <c r="AF303" s="186"/>
      <c r="AG303" s="6"/>
    </row>
    <row r="304" spans="9:33" ht="21.75" customHeight="1" x14ac:dyDescent="0.25">
      <c r="I304" s="71"/>
      <c r="J304" s="6"/>
      <c r="K304" s="71"/>
      <c r="L304" s="6"/>
      <c r="M304" s="71"/>
      <c r="N304" s="6"/>
      <c r="O304" s="71"/>
      <c r="P304" s="6"/>
      <c r="Q304" s="71"/>
      <c r="R304" s="6"/>
      <c r="S304" s="71"/>
      <c r="T304" s="6"/>
      <c r="U304" s="71"/>
      <c r="V304" s="6"/>
      <c r="W304" s="181"/>
      <c r="X304" s="6"/>
      <c r="Y304" s="6"/>
      <c r="Z304" s="181"/>
      <c r="AA304" s="6"/>
      <c r="AB304" s="6"/>
      <c r="AC304" s="181"/>
      <c r="AD304" s="6"/>
      <c r="AE304" s="6"/>
      <c r="AF304" s="186"/>
      <c r="AG304" s="6"/>
    </row>
    <row r="305" spans="9:33" ht="21.75" customHeight="1" x14ac:dyDescent="0.25">
      <c r="I305" s="71"/>
      <c r="J305" s="6"/>
      <c r="K305" s="71"/>
      <c r="L305" s="6"/>
      <c r="M305" s="71"/>
      <c r="N305" s="6"/>
      <c r="O305" s="71"/>
      <c r="P305" s="6"/>
      <c r="Q305" s="71"/>
      <c r="R305" s="6"/>
      <c r="S305" s="71"/>
      <c r="T305" s="6"/>
      <c r="U305" s="71"/>
      <c r="V305" s="6"/>
      <c r="W305" s="181"/>
      <c r="X305" s="6"/>
      <c r="Y305" s="6"/>
      <c r="Z305" s="181"/>
      <c r="AA305" s="6"/>
      <c r="AB305" s="6"/>
      <c r="AC305" s="181"/>
      <c r="AD305" s="6"/>
      <c r="AE305" s="6"/>
      <c r="AF305" s="186"/>
      <c r="AG305" s="6"/>
    </row>
    <row r="306" spans="9:33" ht="21.75" customHeight="1" x14ac:dyDescent="0.25">
      <c r="I306" s="71"/>
      <c r="J306" s="6"/>
      <c r="K306" s="71"/>
      <c r="L306" s="6"/>
      <c r="M306" s="71"/>
      <c r="N306" s="6"/>
      <c r="O306" s="71"/>
      <c r="P306" s="6"/>
      <c r="Q306" s="71"/>
      <c r="R306" s="6"/>
      <c r="S306" s="71"/>
      <c r="T306" s="6"/>
      <c r="U306" s="71"/>
      <c r="V306" s="6"/>
      <c r="W306" s="181"/>
      <c r="X306" s="6"/>
      <c r="Y306" s="6"/>
      <c r="Z306" s="181"/>
      <c r="AA306" s="6"/>
      <c r="AB306" s="6"/>
      <c r="AC306" s="181"/>
      <c r="AD306" s="6"/>
      <c r="AE306" s="6"/>
      <c r="AF306" s="186"/>
      <c r="AG306" s="6"/>
    </row>
    <row r="307" spans="9:33" ht="21.75" customHeight="1" x14ac:dyDescent="0.25">
      <c r="I307" s="71"/>
      <c r="J307" s="6"/>
      <c r="K307" s="71"/>
      <c r="L307" s="6"/>
      <c r="M307" s="71"/>
      <c r="N307" s="6"/>
      <c r="O307" s="71"/>
      <c r="P307" s="6"/>
      <c r="Q307" s="71"/>
      <c r="R307" s="6"/>
      <c r="S307" s="71"/>
      <c r="T307" s="6"/>
      <c r="U307" s="71"/>
      <c r="V307" s="6"/>
      <c r="W307" s="181"/>
      <c r="X307" s="6"/>
      <c r="Y307" s="6"/>
      <c r="Z307" s="181"/>
      <c r="AA307" s="6"/>
      <c r="AB307" s="6"/>
      <c r="AC307" s="181"/>
      <c r="AD307" s="6"/>
      <c r="AE307" s="6"/>
      <c r="AF307" s="186"/>
      <c r="AG307" s="6"/>
    </row>
    <row r="308" spans="9:33" ht="21.75" customHeight="1" x14ac:dyDescent="0.25">
      <c r="I308" s="71"/>
      <c r="J308" s="6"/>
      <c r="K308" s="71"/>
      <c r="L308" s="6"/>
      <c r="M308" s="71"/>
      <c r="N308" s="6"/>
      <c r="O308" s="71"/>
      <c r="P308" s="6"/>
      <c r="Q308" s="71"/>
      <c r="R308" s="6"/>
      <c r="S308" s="71"/>
      <c r="T308" s="6"/>
      <c r="U308" s="71"/>
      <c r="V308" s="6"/>
      <c r="W308" s="181"/>
      <c r="X308" s="6"/>
      <c r="Y308" s="6"/>
      <c r="Z308" s="181"/>
      <c r="AA308" s="6"/>
      <c r="AB308" s="6"/>
      <c r="AC308" s="181"/>
      <c r="AD308" s="6"/>
      <c r="AE308" s="6"/>
      <c r="AF308" s="186"/>
      <c r="AG308" s="6"/>
    </row>
    <row r="309" spans="9:33" ht="21.75" customHeight="1" x14ac:dyDescent="0.25">
      <c r="I309" s="71"/>
      <c r="J309" s="6"/>
      <c r="K309" s="71"/>
      <c r="L309" s="6"/>
      <c r="M309" s="71"/>
      <c r="N309" s="6"/>
      <c r="O309" s="71"/>
      <c r="P309" s="6"/>
      <c r="Q309" s="71"/>
      <c r="R309" s="6"/>
      <c r="S309" s="71"/>
      <c r="T309" s="6"/>
      <c r="U309" s="71"/>
      <c r="V309" s="6"/>
      <c r="W309" s="181"/>
      <c r="X309" s="6"/>
      <c r="Y309" s="6"/>
      <c r="Z309" s="181"/>
      <c r="AA309" s="6"/>
      <c r="AB309" s="6"/>
      <c r="AC309" s="181"/>
      <c r="AD309" s="6"/>
      <c r="AE309" s="6"/>
      <c r="AF309" s="186"/>
      <c r="AG309" s="6"/>
    </row>
    <row r="310" spans="9:33" ht="21.75" customHeight="1" x14ac:dyDescent="0.25">
      <c r="I310" s="71"/>
      <c r="J310" s="6"/>
      <c r="K310" s="71"/>
      <c r="L310" s="6"/>
      <c r="M310" s="71"/>
      <c r="N310" s="6"/>
      <c r="O310" s="71"/>
      <c r="P310" s="6"/>
      <c r="Q310" s="71"/>
      <c r="R310" s="6"/>
      <c r="S310" s="71"/>
      <c r="T310" s="6"/>
      <c r="U310" s="71"/>
      <c r="V310" s="6"/>
      <c r="W310" s="181"/>
      <c r="X310" s="6"/>
      <c r="Y310" s="6"/>
      <c r="Z310" s="181"/>
      <c r="AA310" s="6"/>
      <c r="AB310" s="6"/>
      <c r="AC310" s="181"/>
      <c r="AD310" s="6"/>
      <c r="AE310" s="6"/>
      <c r="AF310" s="186"/>
      <c r="AG310" s="6"/>
    </row>
    <row r="311" spans="9:33" ht="21.75" customHeight="1" x14ac:dyDescent="0.25">
      <c r="I311" s="71"/>
      <c r="J311" s="6"/>
      <c r="K311" s="71"/>
      <c r="L311" s="6"/>
      <c r="M311" s="71"/>
      <c r="N311" s="6"/>
      <c r="O311" s="71"/>
      <c r="P311" s="6"/>
      <c r="Q311" s="71"/>
      <c r="R311" s="6"/>
      <c r="S311" s="71"/>
      <c r="T311" s="6"/>
      <c r="U311" s="71"/>
      <c r="V311" s="6"/>
      <c r="W311" s="181"/>
      <c r="X311" s="6"/>
      <c r="Y311" s="6"/>
      <c r="Z311" s="181"/>
      <c r="AA311" s="6"/>
      <c r="AB311" s="6"/>
      <c r="AC311" s="181"/>
      <c r="AD311" s="6"/>
      <c r="AE311" s="6"/>
      <c r="AF311" s="186"/>
      <c r="AG311" s="6"/>
    </row>
    <row r="312" spans="9:33" ht="21.75" customHeight="1" x14ac:dyDescent="0.25">
      <c r="I312" s="71"/>
      <c r="J312" s="6"/>
      <c r="K312" s="71"/>
      <c r="L312" s="6"/>
      <c r="M312" s="71"/>
      <c r="N312" s="6"/>
      <c r="O312" s="71"/>
      <c r="P312" s="6"/>
      <c r="Q312" s="71"/>
      <c r="R312" s="6"/>
      <c r="S312" s="71"/>
      <c r="T312" s="6"/>
      <c r="U312" s="71"/>
      <c r="V312" s="6"/>
      <c r="W312" s="181"/>
      <c r="X312" s="6"/>
      <c r="Y312" s="6"/>
      <c r="Z312" s="181"/>
      <c r="AA312" s="6"/>
      <c r="AB312" s="6"/>
      <c r="AC312" s="181"/>
      <c r="AD312" s="6"/>
      <c r="AE312" s="6"/>
      <c r="AF312" s="186"/>
      <c r="AG312" s="6"/>
    </row>
    <row r="313" spans="9:33" ht="21.75" customHeight="1" x14ac:dyDescent="0.25">
      <c r="I313" s="71"/>
      <c r="J313" s="6"/>
      <c r="K313" s="71"/>
      <c r="L313" s="6"/>
      <c r="M313" s="71"/>
      <c r="N313" s="6"/>
      <c r="O313" s="71"/>
      <c r="P313" s="6"/>
      <c r="Q313" s="71"/>
      <c r="R313" s="6"/>
      <c r="S313" s="71"/>
      <c r="T313" s="6"/>
      <c r="U313" s="71"/>
      <c r="V313" s="6"/>
      <c r="W313" s="181"/>
      <c r="X313" s="6"/>
      <c r="Y313" s="6"/>
      <c r="Z313" s="181"/>
      <c r="AA313" s="6"/>
      <c r="AB313" s="6"/>
      <c r="AC313" s="181"/>
      <c r="AD313" s="6"/>
      <c r="AE313" s="6"/>
      <c r="AF313" s="186"/>
      <c r="AG313" s="6"/>
    </row>
    <row r="314" spans="9:33" ht="21.75" customHeight="1" x14ac:dyDescent="0.25">
      <c r="I314" s="71"/>
      <c r="J314" s="6"/>
      <c r="K314" s="71"/>
      <c r="L314" s="6"/>
      <c r="M314" s="71"/>
      <c r="N314" s="6"/>
      <c r="O314" s="71"/>
      <c r="P314" s="6"/>
      <c r="Q314" s="71"/>
      <c r="R314" s="6"/>
      <c r="S314" s="71"/>
      <c r="T314" s="6"/>
      <c r="U314" s="71"/>
      <c r="V314" s="6"/>
      <c r="W314" s="181"/>
      <c r="X314" s="6"/>
      <c r="Y314" s="6"/>
      <c r="Z314" s="181"/>
      <c r="AA314" s="6"/>
      <c r="AB314" s="6"/>
      <c r="AC314" s="181"/>
      <c r="AD314" s="6"/>
      <c r="AE314" s="6"/>
      <c r="AF314" s="186"/>
      <c r="AG314" s="6"/>
    </row>
    <row r="315" spans="9:33" ht="21.75" customHeight="1" x14ac:dyDescent="0.25">
      <c r="I315" s="71"/>
      <c r="J315" s="6"/>
      <c r="K315" s="71"/>
      <c r="L315" s="6"/>
      <c r="M315" s="71"/>
      <c r="N315" s="6"/>
      <c r="O315" s="71"/>
      <c r="P315" s="6"/>
      <c r="Q315" s="71"/>
      <c r="R315" s="6"/>
      <c r="S315" s="71"/>
      <c r="T315" s="6"/>
      <c r="U315" s="71"/>
      <c r="V315" s="6"/>
      <c r="W315" s="181"/>
      <c r="X315" s="6"/>
      <c r="Y315" s="6"/>
      <c r="Z315" s="181"/>
      <c r="AA315" s="6"/>
      <c r="AB315" s="6"/>
      <c r="AC315" s="181"/>
      <c r="AD315" s="6"/>
      <c r="AE315" s="6"/>
      <c r="AF315" s="186"/>
      <c r="AG315" s="6"/>
    </row>
    <row r="316" spans="9:33" ht="21.75" customHeight="1" x14ac:dyDescent="0.25">
      <c r="I316" s="71"/>
      <c r="J316" s="6"/>
      <c r="K316" s="71"/>
      <c r="L316" s="6"/>
      <c r="M316" s="71"/>
      <c r="N316" s="6"/>
      <c r="O316" s="71"/>
      <c r="P316" s="6"/>
      <c r="Q316" s="71"/>
      <c r="R316" s="6"/>
      <c r="S316" s="71"/>
      <c r="T316" s="6"/>
      <c r="U316" s="71"/>
      <c r="V316" s="6"/>
      <c r="W316" s="181"/>
      <c r="X316" s="6"/>
      <c r="Y316" s="6"/>
      <c r="Z316" s="181"/>
      <c r="AA316" s="6"/>
      <c r="AB316" s="6"/>
      <c r="AC316" s="181"/>
      <c r="AD316" s="6"/>
      <c r="AE316" s="6"/>
      <c r="AF316" s="186"/>
      <c r="AG316" s="6"/>
    </row>
    <row r="317" spans="9:33" ht="21.75" customHeight="1" x14ac:dyDescent="0.25">
      <c r="I317" s="71"/>
      <c r="J317" s="6"/>
      <c r="K317" s="71"/>
      <c r="L317" s="6"/>
      <c r="M317" s="71"/>
      <c r="N317" s="6"/>
      <c r="O317" s="71"/>
      <c r="P317" s="6"/>
      <c r="Q317" s="71"/>
      <c r="R317" s="6"/>
      <c r="S317" s="71"/>
      <c r="T317" s="6"/>
      <c r="U317" s="71"/>
      <c r="V317" s="6"/>
      <c r="W317" s="181"/>
      <c r="X317" s="6"/>
      <c r="Y317" s="6"/>
      <c r="Z317" s="181"/>
      <c r="AA317" s="6"/>
      <c r="AB317" s="6"/>
      <c r="AC317" s="181"/>
      <c r="AD317" s="6"/>
      <c r="AE317" s="6"/>
      <c r="AF317" s="186"/>
      <c r="AG317" s="6"/>
    </row>
    <row r="318" spans="9:33" ht="21.75" customHeight="1" x14ac:dyDescent="0.25">
      <c r="I318" s="71"/>
      <c r="J318" s="6"/>
      <c r="K318" s="71"/>
      <c r="L318" s="6"/>
      <c r="M318" s="71"/>
      <c r="N318" s="6"/>
      <c r="O318" s="71"/>
      <c r="P318" s="6"/>
      <c r="Q318" s="71"/>
      <c r="R318" s="6"/>
      <c r="S318" s="71"/>
      <c r="T318" s="6"/>
      <c r="U318" s="71"/>
      <c r="V318" s="6"/>
      <c r="W318" s="181"/>
      <c r="X318" s="6"/>
      <c r="Y318" s="6"/>
      <c r="Z318" s="181"/>
      <c r="AA318" s="6"/>
      <c r="AB318" s="6"/>
      <c r="AC318" s="181"/>
      <c r="AD318" s="6"/>
      <c r="AE318" s="6"/>
      <c r="AF318" s="186"/>
      <c r="AG318" s="6"/>
    </row>
    <row r="319" spans="9:33" ht="21.75" customHeight="1" x14ac:dyDescent="0.25">
      <c r="I319" s="71"/>
      <c r="J319" s="6"/>
      <c r="K319" s="71"/>
      <c r="L319" s="6"/>
      <c r="M319" s="71"/>
      <c r="N319" s="6"/>
      <c r="O319" s="71"/>
      <c r="P319" s="6"/>
      <c r="Q319" s="71"/>
      <c r="R319" s="6"/>
      <c r="S319" s="71"/>
      <c r="T319" s="6"/>
      <c r="U319" s="71"/>
      <c r="V319" s="6"/>
      <c r="W319" s="181"/>
      <c r="X319" s="6"/>
      <c r="Y319" s="6"/>
      <c r="Z319" s="181"/>
      <c r="AA319" s="6"/>
      <c r="AB319" s="6"/>
      <c r="AC319" s="181"/>
      <c r="AD319" s="6"/>
      <c r="AE319" s="6"/>
      <c r="AF319" s="186"/>
      <c r="AG319" s="6"/>
    </row>
    <row r="320" spans="9:33" ht="21.75" customHeight="1" x14ac:dyDescent="0.25">
      <c r="I320" s="71"/>
      <c r="J320" s="6"/>
      <c r="K320" s="71"/>
      <c r="L320" s="6"/>
      <c r="M320" s="71"/>
      <c r="N320" s="6"/>
      <c r="O320" s="71"/>
      <c r="P320" s="6"/>
      <c r="Q320" s="71"/>
      <c r="R320" s="6"/>
      <c r="S320" s="71"/>
      <c r="T320" s="6"/>
      <c r="U320" s="71"/>
      <c r="V320" s="6"/>
      <c r="W320" s="181"/>
      <c r="X320" s="6"/>
      <c r="Y320" s="6"/>
      <c r="Z320" s="181"/>
      <c r="AA320" s="6"/>
      <c r="AB320" s="6"/>
      <c r="AC320" s="181"/>
      <c r="AD320" s="6"/>
      <c r="AE320" s="6"/>
      <c r="AF320" s="186"/>
      <c r="AG320" s="6"/>
    </row>
    <row r="321" spans="9:33" ht="21.75" customHeight="1" x14ac:dyDescent="0.25">
      <c r="I321" s="71"/>
      <c r="J321" s="6"/>
      <c r="K321" s="71"/>
      <c r="L321" s="6"/>
      <c r="M321" s="71"/>
      <c r="N321" s="6"/>
      <c r="O321" s="71"/>
      <c r="P321" s="6"/>
      <c r="Q321" s="71"/>
      <c r="R321" s="6"/>
      <c r="S321" s="71"/>
      <c r="T321" s="6"/>
      <c r="U321" s="71"/>
      <c r="V321" s="6"/>
      <c r="W321" s="181"/>
      <c r="X321" s="6"/>
      <c r="Y321" s="6"/>
      <c r="Z321" s="181"/>
      <c r="AA321" s="6"/>
      <c r="AB321" s="6"/>
      <c r="AC321" s="181"/>
      <c r="AD321" s="6"/>
      <c r="AE321" s="6"/>
      <c r="AF321" s="186"/>
      <c r="AG321" s="6"/>
    </row>
    <row r="322" spans="9:33" ht="21.75" customHeight="1" x14ac:dyDescent="0.25">
      <c r="I322" s="71"/>
      <c r="J322" s="6"/>
      <c r="K322" s="71"/>
      <c r="L322" s="6"/>
      <c r="M322" s="71"/>
      <c r="N322" s="6"/>
      <c r="O322" s="71"/>
      <c r="P322" s="6"/>
      <c r="Q322" s="71"/>
      <c r="R322" s="6"/>
      <c r="S322" s="71"/>
      <c r="T322" s="6"/>
      <c r="U322" s="71"/>
      <c r="V322" s="6"/>
      <c r="W322" s="181"/>
      <c r="X322" s="6"/>
      <c r="Y322" s="6"/>
      <c r="Z322" s="181"/>
      <c r="AA322" s="6"/>
      <c r="AB322" s="6"/>
      <c r="AC322" s="181"/>
      <c r="AD322" s="6"/>
      <c r="AE322" s="6"/>
      <c r="AF322" s="186"/>
      <c r="AG322" s="6"/>
    </row>
    <row r="323" spans="9:33" ht="21.75" customHeight="1" x14ac:dyDescent="0.25">
      <c r="I323" s="71"/>
      <c r="J323" s="6"/>
      <c r="K323" s="71"/>
      <c r="L323" s="6"/>
      <c r="M323" s="71"/>
      <c r="N323" s="6"/>
      <c r="O323" s="71"/>
      <c r="P323" s="6"/>
      <c r="Q323" s="71"/>
      <c r="R323" s="6"/>
      <c r="S323" s="71"/>
      <c r="T323" s="6"/>
      <c r="U323" s="71"/>
      <c r="V323" s="6"/>
      <c r="W323" s="181"/>
      <c r="X323" s="6"/>
      <c r="Y323" s="6"/>
      <c r="Z323" s="181"/>
      <c r="AA323" s="6"/>
      <c r="AB323" s="6"/>
      <c r="AC323" s="181"/>
      <c r="AD323" s="6"/>
      <c r="AE323" s="6"/>
      <c r="AF323" s="186"/>
      <c r="AG323" s="6"/>
    </row>
    <row r="324" spans="9:33" ht="21.75" customHeight="1" x14ac:dyDescent="0.25">
      <c r="I324" s="71"/>
      <c r="J324" s="6"/>
      <c r="K324" s="71"/>
      <c r="L324" s="6"/>
      <c r="M324" s="71"/>
      <c r="N324" s="6"/>
      <c r="O324" s="71"/>
      <c r="P324" s="6"/>
      <c r="Q324" s="71"/>
      <c r="R324" s="6"/>
      <c r="S324" s="71"/>
      <c r="T324" s="6"/>
      <c r="U324" s="71"/>
      <c r="V324" s="6"/>
      <c r="W324" s="181"/>
      <c r="X324" s="6"/>
      <c r="Y324" s="6"/>
      <c r="Z324" s="181"/>
      <c r="AA324" s="6"/>
      <c r="AB324" s="6"/>
      <c r="AC324" s="181"/>
      <c r="AD324" s="6"/>
      <c r="AE324" s="6"/>
      <c r="AF324" s="186"/>
      <c r="AG324" s="6"/>
    </row>
    <row r="325" spans="9:33" ht="21.75" customHeight="1" x14ac:dyDescent="0.25">
      <c r="I325" s="71"/>
      <c r="J325" s="6"/>
      <c r="K325" s="71"/>
      <c r="L325" s="6"/>
      <c r="M325" s="71"/>
      <c r="N325" s="6"/>
      <c r="O325" s="71"/>
      <c r="P325" s="6"/>
      <c r="Q325" s="71"/>
      <c r="R325" s="6"/>
      <c r="S325" s="71"/>
      <c r="T325" s="6"/>
      <c r="U325" s="71"/>
      <c r="V325" s="6"/>
      <c r="W325" s="181"/>
      <c r="X325" s="6"/>
      <c r="Y325" s="6"/>
      <c r="Z325" s="181"/>
      <c r="AA325" s="6"/>
      <c r="AB325" s="6"/>
      <c r="AC325" s="181"/>
      <c r="AD325" s="6"/>
      <c r="AE325" s="6"/>
      <c r="AF325" s="186"/>
      <c r="AG325" s="6"/>
    </row>
    <row r="326" spans="9:33" ht="21.75" customHeight="1" x14ac:dyDescent="0.25">
      <c r="I326" s="71"/>
      <c r="J326" s="6"/>
      <c r="K326" s="71"/>
      <c r="L326" s="6"/>
      <c r="M326" s="71"/>
      <c r="N326" s="6"/>
      <c r="O326" s="71"/>
      <c r="P326" s="6"/>
      <c r="Q326" s="71"/>
      <c r="R326" s="6"/>
      <c r="S326" s="71"/>
      <c r="T326" s="6"/>
      <c r="U326" s="71"/>
      <c r="V326" s="6"/>
      <c r="W326" s="181"/>
      <c r="X326" s="6"/>
      <c r="Y326" s="6"/>
      <c r="Z326" s="181"/>
      <c r="AA326" s="6"/>
      <c r="AB326" s="6"/>
      <c r="AC326" s="181"/>
      <c r="AD326" s="6"/>
      <c r="AE326" s="6"/>
      <c r="AF326" s="186"/>
      <c r="AG326" s="6"/>
    </row>
    <row r="327" spans="9:33" ht="21.75" customHeight="1" x14ac:dyDescent="0.25">
      <c r="I327" s="71"/>
      <c r="J327" s="6"/>
      <c r="K327" s="71"/>
      <c r="L327" s="6"/>
      <c r="M327" s="71"/>
      <c r="N327" s="6"/>
      <c r="O327" s="71"/>
      <c r="P327" s="6"/>
      <c r="Q327" s="71"/>
      <c r="R327" s="6"/>
      <c r="S327" s="71"/>
      <c r="T327" s="6"/>
      <c r="U327" s="71"/>
      <c r="V327" s="6"/>
      <c r="W327" s="181"/>
      <c r="X327" s="6"/>
      <c r="Y327" s="6"/>
      <c r="Z327" s="181"/>
      <c r="AA327" s="6"/>
      <c r="AB327" s="6"/>
      <c r="AC327" s="181"/>
      <c r="AD327" s="6"/>
      <c r="AE327" s="6"/>
      <c r="AF327" s="186"/>
      <c r="AG327" s="6"/>
    </row>
    <row r="328" spans="9:33" ht="21.75" customHeight="1" x14ac:dyDescent="0.25">
      <c r="I328" s="71"/>
      <c r="J328" s="6"/>
      <c r="K328" s="71"/>
      <c r="L328" s="6"/>
      <c r="M328" s="71"/>
      <c r="N328" s="6"/>
      <c r="O328" s="71"/>
      <c r="P328" s="6"/>
      <c r="Q328" s="71"/>
      <c r="R328" s="6"/>
      <c r="S328" s="71"/>
      <c r="T328" s="6"/>
      <c r="U328" s="71"/>
      <c r="V328" s="6"/>
      <c r="W328" s="181"/>
      <c r="X328" s="6"/>
      <c r="Y328" s="6"/>
      <c r="Z328" s="181"/>
      <c r="AA328" s="6"/>
      <c r="AB328" s="6"/>
      <c r="AC328" s="181"/>
      <c r="AD328" s="6"/>
      <c r="AE328" s="6"/>
      <c r="AF328" s="186"/>
      <c r="AG328" s="6"/>
    </row>
    <row r="329" spans="9:33" ht="21.75" customHeight="1" x14ac:dyDescent="0.25">
      <c r="I329" s="71"/>
      <c r="J329" s="6"/>
      <c r="K329" s="71"/>
      <c r="L329" s="6"/>
      <c r="M329" s="71"/>
      <c r="N329" s="6"/>
      <c r="O329" s="71"/>
      <c r="P329" s="6"/>
      <c r="Q329" s="71"/>
      <c r="R329" s="6"/>
      <c r="S329" s="71"/>
      <c r="T329" s="6"/>
      <c r="U329" s="71"/>
      <c r="V329" s="6"/>
      <c r="W329" s="181"/>
      <c r="X329" s="6"/>
      <c r="Y329" s="6"/>
      <c r="Z329" s="181"/>
      <c r="AA329" s="6"/>
      <c r="AB329" s="6"/>
      <c r="AC329" s="181"/>
      <c r="AD329" s="6"/>
      <c r="AE329" s="6"/>
      <c r="AF329" s="186"/>
      <c r="AG329" s="6"/>
    </row>
    <row r="330" spans="9:33" ht="21.75" customHeight="1" x14ac:dyDescent="0.25">
      <c r="I330" s="71"/>
      <c r="J330" s="6"/>
      <c r="K330" s="71"/>
      <c r="L330" s="6"/>
      <c r="M330" s="71"/>
      <c r="N330" s="6"/>
      <c r="O330" s="71"/>
      <c r="P330" s="6"/>
      <c r="Q330" s="71"/>
      <c r="R330" s="6"/>
      <c r="S330" s="71"/>
      <c r="T330" s="6"/>
      <c r="U330" s="71"/>
      <c r="V330" s="6"/>
      <c r="W330" s="181"/>
      <c r="X330" s="6"/>
      <c r="Y330" s="6"/>
      <c r="Z330" s="181"/>
      <c r="AA330" s="6"/>
      <c r="AB330" s="6"/>
      <c r="AC330" s="181"/>
      <c r="AD330" s="6"/>
      <c r="AE330" s="6"/>
      <c r="AF330" s="186"/>
      <c r="AG330" s="6"/>
    </row>
    <row r="331" spans="9:33" ht="21.75" customHeight="1" x14ac:dyDescent="0.25">
      <c r="I331" s="71"/>
      <c r="J331" s="6"/>
      <c r="K331" s="71"/>
      <c r="L331" s="6"/>
      <c r="M331" s="71"/>
      <c r="N331" s="6"/>
      <c r="O331" s="71"/>
      <c r="P331" s="6"/>
      <c r="Q331" s="71"/>
      <c r="R331" s="6"/>
      <c r="S331" s="71"/>
      <c r="T331" s="6"/>
      <c r="U331" s="71"/>
      <c r="V331" s="6"/>
      <c r="W331" s="181"/>
      <c r="X331" s="6"/>
      <c r="Y331" s="6"/>
      <c r="Z331" s="181"/>
      <c r="AA331" s="6"/>
      <c r="AB331" s="6"/>
      <c r="AC331" s="181"/>
      <c r="AD331" s="6"/>
      <c r="AE331" s="6"/>
      <c r="AF331" s="186"/>
      <c r="AG331" s="6"/>
    </row>
    <row r="332" spans="9:33" ht="21.75" customHeight="1" x14ac:dyDescent="0.25">
      <c r="I332" s="71"/>
      <c r="J332" s="6"/>
      <c r="K332" s="71"/>
      <c r="L332" s="6"/>
      <c r="M332" s="71"/>
      <c r="N332" s="6"/>
      <c r="O332" s="71"/>
      <c r="P332" s="6"/>
      <c r="Q332" s="71"/>
      <c r="R332" s="6"/>
      <c r="S332" s="71"/>
      <c r="T332" s="6"/>
      <c r="U332" s="71"/>
      <c r="V332" s="6"/>
      <c r="W332" s="181"/>
      <c r="X332" s="6"/>
      <c r="Y332" s="6"/>
      <c r="Z332" s="181"/>
      <c r="AA332" s="6"/>
      <c r="AB332" s="6"/>
      <c r="AC332" s="181"/>
      <c r="AD332" s="6"/>
      <c r="AE332" s="6"/>
      <c r="AF332" s="186"/>
      <c r="AG332" s="6"/>
    </row>
    <row r="333" spans="9:33" ht="21.75" customHeight="1" x14ac:dyDescent="0.25">
      <c r="I333" s="71"/>
      <c r="J333" s="6"/>
      <c r="K333" s="71"/>
      <c r="L333" s="6"/>
      <c r="M333" s="71"/>
      <c r="N333" s="6"/>
      <c r="O333" s="71"/>
      <c r="P333" s="6"/>
      <c r="Q333" s="71"/>
      <c r="R333" s="6"/>
      <c r="S333" s="71"/>
      <c r="T333" s="6"/>
      <c r="U333" s="71"/>
      <c r="V333" s="6"/>
      <c r="W333" s="181"/>
      <c r="X333" s="6"/>
      <c r="Y333" s="6"/>
      <c r="Z333" s="181"/>
      <c r="AA333" s="6"/>
      <c r="AB333" s="6"/>
      <c r="AC333" s="181"/>
      <c r="AD333" s="6"/>
      <c r="AE333" s="6"/>
      <c r="AF333" s="186"/>
      <c r="AG333" s="6"/>
    </row>
    <row r="334" spans="9:33" ht="21.75" customHeight="1" x14ac:dyDescent="0.25">
      <c r="I334" s="71"/>
      <c r="J334" s="6"/>
      <c r="K334" s="71"/>
      <c r="L334" s="6"/>
      <c r="M334" s="71"/>
      <c r="N334" s="6"/>
      <c r="O334" s="71"/>
      <c r="P334" s="6"/>
      <c r="Q334" s="71"/>
      <c r="R334" s="6"/>
      <c r="S334" s="71"/>
      <c r="T334" s="6"/>
      <c r="U334" s="71"/>
      <c r="V334" s="6"/>
      <c r="W334" s="181"/>
      <c r="X334" s="6"/>
      <c r="Y334" s="6"/>
      <c r="Z334" s="181"/>
      <c r="AA334" s="6"/>
      <c r="AB334" s="6"/>
      <c r="AC334" s="181"/>
      <c r="AD334" s="6"/>
      <c r="AE334" s="6"/>
      <c r="AF334" s="186"/>
      <c r="AG334" s="6"/>
    </row>
    <row r="335" spans="9:33" ht="21.75" customHeight="1" x14ac:dyDescent="0.25">
      <c r="I335" s="71"/>
      <c r="J335" s="6"/>
      <c r="K335" s="71"/>
      <c r="L335" s="6"/>
      <c r="M335" s="71"/>
      <c r="N335" s="6"/>
      <c r="O335" s="71"/>
      <c r="P335" s="6"/>
      <c r="Q335" s="71"/>
      <c r="R335" s="6"/>
      <c r="S335" s="71"/>
      <c r="T335" s="6"/>
      <c r="U335" s="71"/>
      <c r="V335" s="6"/>
      <c r="W335" s="181"/>
      <c r="X335" s="6"/>
      <c r="Y335" s="6"/>
      <c r="Z335" s="181"/>
      <c r="AA335" s="6"/>
      <c r="AB335" s="6"/>
      <c r="AC335" s="181"/>
      <c r="AD335" s="6"/>
      <c r="AE335" s="6"/>
      <c r="AF335" s="186"/>
      <c r="AG335" s="6"/>
    </row>
    <row r="336" spans="9:33" ht="21.75" customHeight="1" x14ac:dyDescent="0.25">
      <c r="I336" s="71"/>
      <c r="J336" s="6"/>
      <c r="K336" s="71"/>
      <c r="L336" s="6"/>
      <c r="M336" s="71"/>
      <c r="N336" s="6"/>
      <c r="O336" s="71"/>
      <c r="P336" s="6"/>
      <c r="Q336" s="71"/>
      <c r="R336" s="6"/>
      <c r="S336" s="71"/>
      <c r="T336" s="6"/>
      <c r="U336" s="71"/>
      <c r="V336" s="6"/>
      <c r="W336" s="181"/>
      <c r="X336" s="6"/>
      <c r="Y336" s="6"/>
      <c r="Z336" s="181"/>
      <c r="AA336" s="6"/>
      <c r="AB336" s="6"/>
      <c r="AC336" s="181"/>
      <c r="AD336" s="6"/>
      <c r="AE336" s="6"/>
      <c r="AF336" s="186"/>
      <c r="AG336" s="6"/>
    </row>
    <row r="337" spans="9:33" ht="21.75" customHeight="1" x14ac:dyDescent="0.25">
      <c r="I337" s="71"/>
      <c r="J337" s="6"/>
      <c r="K337" s="71"/>
      <c r="L337" s="6"/>
      <c r="M337" s="71"/>
      <c r="N337" s="6"/>
      <c r="O337" s="71"/>
      <c r="P337" s="6"/>
      <c r="Q337" s="71"/>
      <c r="R337" s="6"/>
      <c r="S337" s="71"/>
      <c r="T337" s="6"/>
      <c r="U337" s="71"/>
      <c r="V337" s="6"/>
      <c r="W337" s="181"/>
      <c r="X337" s="6"/>
      <c r="Y337" s="6"/>
      <c r="Z337" s="181"/>
      <c r="AA337" s="6"/>
      <c r="AB337" s="6"/>
      <c r="AC337" s="181"/>
      <c r="AD337" s="6"/>
      <c r="AE337" s="6"/>
      <c r="AF337" s="186"/>
      <c r="AG337" s="6"/>
    </row>
    <row r="338" spans="9:33" ht="21.75" customHeight="1" x14ac:dyDescent="0.25">
      <c r="I338" s="71"/>
      <c r="J338" s="6"/>
      <c r="K338" s="71"/>
      <c r="L338" s="6"/>
      <c r="M338" s="71"/>
      <c r="N338" s="6"/>
      <c r="O338" s="71"/>
      <c r="P338" s="6"/>
      <c r="Q338" s="71"/>
      <c r="R338" s="6"/>
      <c r="S338" s="71"/>
      <c r="T338" s="6"/>
      <c r="U338" s="71"/>
      <c r="V338" s="6"/>
      <c r="W338" s="181"/>
      <c r="X338" s="6"/>
      <c r="Y338" s="6"/>
      <c r="Z338" s="181"/>
      <c r="AA338" s="6"/>
      <c r="AB338" s="6"/>
      <c r="AC338" s="181"/>
      <c r="AD338" s="6"/>
      <c r="AE338" s="6"/>
      <c r="AF338" s="186"/>
      <c r="AG338" s="6"/>
    </row>
    <row r="339" spans="9:33" ht="21.75" customHeight="1" x14ac:dyDescent="0.25">
      <c r="I339" s="71"/>
      <c r="J339" s="6"/>
      <c r="K339" s="71"/>
      <c r="L339" s="6"/>
      <c r="M339" s="71"/>
      <c r="N339" s="6"/>
      <c r="O339" s="71"/>
      <c r="P339" s="6"/>
      <c r="Q339" s="71"/>
      <c r="R339" s="6"/>
      <c r="S339" s="71"/>
      <c r="T339" s="6"/>
      <c r="U339" s="71"/>
      <c r="V339" s="6"/>
      <c r="W339" s="181"/>
      <c r="X339" s="6"/>
      <c r="Y339" s="6"/>
      <c r="Z339" s="181"/>
      <c r="AA339" s="6"/>
      <c r="AB339" s="6"/>
      <c r="AC339" s="181"/>
      <c r="AD339" s="6"/>
      <c r="AE339" s="6"/>
      <c r="AF339" s="186"/>
      <c r="AG339" s="6"/>
    </row>
    <row r="340" spans="9:33" ht="21.75" customHeight="1" x14ac:dyDescent="0.25">
      <c r="I340" s="71"/>
      <c r="J340" s="6"/>
      <c r="K340" s="71"/>
      <c r="L340" s="6"/>
      <c r="M340" s="71"/>
      <c r="N340" s="6"/>
      <c r="O340" s="71"/>
      <c r="P340" s="6"/>
      <c r="Q340" s="71"/>
      <c r="R340" s="6"/>
      <c r="S340" s="71"/>
      <c r="T340" s="6"/>
      <c r="U340" s="71"/>
      <c r="V340" s="6"/>
      <c r="W340" s="181"/>
      <c r="X340" s="6"/>
      <c r="Y340" s="6"/>
      <c r="Z340" s="181"/>
      <c r="AA340" s="6"/>
      <c r="AB340" s="6"/>
      <c r="AC340" s="181"/>
      <c r="AD340" s="6"/>
      <c r="AE340" s="6"/>
      <c r="AF340" s="186"/>
      <c r="AG340" s="6"/>
    </row>
    <row r="341" spans="9:33" ht="21.75" customHeight="1" x14ac:dyDescent="0.25">
      <c r="I341" s="71"/>
      <c r="J341" s="6"/>
      <c r="K341" s="71"/>
      <c r="L341" s="6"/>
      <c r="M341" s="71"/>
      <c r="N341" s="6"/>
      <c r="O341" s="71"/>
      <c r="P341" s="6"/>
      <c r="Q341" s="71"/>
      <c r="R341" s="6"/>
      <c r="S341" s="71"/>
      <c r="T341" s="6"/>
      <c r="U341" s="71"/>
      <c r="V341" s="6"/>
      <c r="W341" s="181"/>
      <c r="X341" s="6"/>
      <c r="Y341" s="6"/>
      <c r="Z341" s="181"/>
      <c r="AA341" s="6"/>
      <c r="AB341" s="6"/>
      <c r="AC341" s="181"/>
      <c r="AD341" s="6"/>
      <c r="AE341" s="6"/>
      <c r="AF341" s="186"/>
      <c r="AG341" s="6"/>
    </row>
    <row r="342" spans="9:33" ht="21.75" customHeight="1" x14ac:dyDescent="0.25">
      <c r="I342" s="71"/>
      <c r="J342" s="6"/>
      <c r="K342" s="71"/>
      <c r="L342" s="6"/>
      <c r="M342" s="71"/>
      <c r="N342" s="6"/>
      <c r="O342" s="71"/>
      <c r="P342" s="6"/>
      <c r="Q342" s="71"/>
      <c r="R342" s="6"/>
      <c r="S342" s="71"/>
      <c r="T342" s="6"/>
      <c r="U342" s="71"/>
      <c r="V342" s="6"/>
      <c r="W342" s="181"/>
      <c r="X342" s="6"/>
      <c r="Y342" s="6"/>
      <c r="Z342" s="181"/>
      <c r="AA342" s="6"/>
      <c r="AB342" s="6"/>
      <c r="AC342" s="181"/>
      <c r="AD342" s="6"/>
      <c r="AE342" s="6"/>
      <c r="AF342" s="186"/>
      <c r="AG342" s="6"/>
    </row>
    <row r="343" spans="9:33" ht="21.75" customHeight="1" x14ac:dyDescent="0.25">
      <c r="I343" s="71"/>
      <c r="J343" s="6"/>
      <c r="K343" s="71"/>
      <c r="L343" s="6"/>
      <c r="M343" s="71"/>
      <c r="N343" s="6"/>
      <c r="O343" s="71"/>
      <c r="P343" s="6"/>
      <c r="Q343" s="71"/>
      <c r="R343" s="6"/>
      <c r="S343" s="71"/>
      <c r="T343" s="6"/>
      <c r="U343" s="71"/>
      <c r="V343" s="6"/>
      <c r="W343" s="181"/>
      <c r="X343" s="6"/>
      <c r="Y343" s="6"/>
      <c r="Z343" s="181"/>
      <c r="AA343" s="6"/>
      <c r="AB343" s="6"/>
      <c r="AC343" s="181"/>
      <c r="AD343" s="6"/>
      <c r="AE343" s="6"/>
      <c r="AF343" s="186"/>
      <c r="AG343" s="6"/>
    </row>
    <row r="344" spans="9:33" ht="21.75" customHeight="1" x14ac:dyDescent="0.25">
      <c r="I344" s="71"/>
      <c r="J344" s="6"/>
      <c r="K344" s="71"/>
      <c r="L344" s="6"/>
      <c r="M344" s="71"/>
      <c r="N344" s="6"/>
      <c r="O344" s="71"/>
      <c r="P344" s="6"/>
      <c r="Q344" s="71"/>
      <c r="R344" s="6"/>
      <c r="S344" s="71"/>
      <c r="T344" s="6"/>
      <c r="U344" s="71"/>
      <c r="V344" s="6"/>
      <c r="W344" s="181"/>
      <c r="X344" s="6"/>
      <c r="Y344" s="6"/>
      <c r="Z344" s="181"/>
      <c r="AA344" s="6"/>
      <c r="AB344" s="6"/>
      <c r="AC344" s="181"/>
      <c r="AD344" s="6"/>
      <c r="AE344" s="6"/>
      <c r="AF344" s="186"/>
      <c r="AG344" s="6"/>
    </row>
    <row r="345" spans="9:33" ht="21.75" customHeight="1" x14ac:dyDescent="0.25">
      <c r="I345" s="71"/>
      <c r="J345" s="6"/>
      <c r="K345" s="71"/>
      <c r="L345" s="6"/>
      <c r="M345" s="71"/>
      <c r="N345" s="6"/>
      <c r="O345" s="71"/>
      <c r="P345" s="6"/>
      <c r="Q345" s="71"/>
      <c r="R345" s="6"/>
      <c r="S345" s="71"/>
      <c r="T345" s="6"/>
      <c r="U345" s="71"/>
      <c r="V345" s="6"/>
      <c r="W345" s="181"/>
      <c r="X345" s="6"/>
      <c r="Y345" s="6"/>
      <c r="Z345" s="181"/>
      <c r="AA345" s="6"/>
      <c r="AB345" s="6"/>
      <c r="AC345" s="181"/>
      <c r="AD345" s="6"/>
      <c r="AE345" s="6"/>
      <c r="AF345" s="186"/>
      <c r="AG345" s="6"/>
    </row>
    <row r="346" spans="9:33" ht="21.75" customHeight="1" x14ac:dyDescent="0.25">
      <c r="I346" s="71"/>
      <c r="J346" s="6"/>
      <c r="K346" s="71"/>
      <c r="L346" s="6"/>
      <c r="M346" s="71"/>
      <c r="N346" s="6"/>
      <c r="O346" s="71"/>
      <c r="P346" s="6"/>
      <c r="Q346" s="71"/>
      <c r="R346" s="6"/>
      <c r="S346" s="71"/>
      <c r="T346" s="6"/>
      <c r="U346" s="71"/>
      <c r="V346" s="6"/>
      <c r="W346" s="181"/>
      <c r="X346" s="6"/>
      <c r="Y346" s="6"/>
      <c r="Z346" s="181"/>
      <c r="AA346" s="6"/>
      <c r="AB346" s="6"/>
      <c r="AC346" s="181"/>
      <c r="AD346" s="6"/>
      <c r="AE346" s="6"/>
      <c r="AF346" s="186"/>
      <c r="AG346" s="6"/>
    </row>
    <row r="347" spans="9:33" ht="21.75" customHeight="1" x14ac:dyDescent="0.25">
      <c r="I347" s="71"/>
      <c r="J347" s="6"/>
      <c r="K347" s="71"/>
      <c r="L347" s="6"/>
      <c r="M347" s="71"/>
      <c r="N347" s="6"/>
      <c r="O347" s="71"/>
      <c r="P347" s="6"/>
      <c r="Q347" s="71"/>
      <c r="R347" s="6"/>
      <c r="S347" s="71"/>
      <c r="T347" s="6"/>
      <c r="U347" s="71"/>
      <c r="V347" s="6"/>
      <c r="W347" s="181"/>
      <c r="X347" s="6"/>
      <c r="Y347" s="6"/>
      <c r="Z347" s="181"/>
      <c r="AA347" s="6"/>
      <c r="AB347" s="6"/>
      <c r="AC347" s="181"/>
      <c r="AD347" s="6"/>
      <c r="AE347" s="6"/>
      <c r="AF347" s="186"/>
      <c r="AG347" s="6"/>
    </row>
    <row r="348" spans="9:33" ht="21.75" customHeight="1" x14ac:dyDescent="0.25">
      <c r="I348" s="71"/>
      <c r="J348" s="6"/>
      <c r="K348" s="71"/>
      <c r="L348" s="6"/>
      <c r="M348" s="71"/>
      <c r="N348" s="6"/>
      <c r="O348" s="71"/>
      <c r="P348" s="6"/>
      <c r="Q348" s="71"/>
      <c r="R348" s="6"/>
      <c r="S348" s="71"/>
      <c r="T348" s="6"/>
      <c r="U348" s="71"/>
      <c r="V348" s="6"/>
      <c r="W348" s="181"/>
      <c r="X348" s="6"/>
      <c r="Y348" s="6"/>
      <c r="Z348" s="181"/>
      <c r="AA348" s="6"/>
      <c r="AB348" s="6"/>
      <c r="AC348" s="181"/>
      <c r="AD348" s="6"/>
      <c r="AE348" s="6"/>
      <c r="AF348" s="186"/>
      <c r="AG348" s="6"/>
    </row>
    <row r="349" spans="9:33" ht="21.75" customHeight="1" x14ac:dyDescent="0.25">
      <c r="I349" s="71"/>
      <c r="J349" s="6"/>
      <c r="K349" s="71"/>
      <c r="L349" s="6"/>
      <c r="M349" s="71"/>
      <c r="N349" s="6"/>
      <c r="O349" s="71"/>
      <c r="P349" s="6"/>
      <c r="Q349" s="71"/>
      <c r="R349" s="6"/>
      <c r="S349" s="71"/>
      <c r="T349" s="6"/>
      <c r="U349" s="71"/>
      <c r="V349" s="6"/>
      <c r="W349" s="181"/>
      <c r="X349" s="6"/>
      <c r="Y349" s="6"/>
      <c r="Z349" s="181"/>
      <c r="AA349" s="6"/>
      <c r="AB349" s="6"/>
      <c r="AC349" s="181"/>
      <c r="AD349" s="6"/>
      <c r="AE349" s="6"/>
      <c r="AF349" s="186"/>
      <c r="AG349" s="6"/>
    </row>
    <row r="350" spans="9:33" ht="21.75" customHeight="1" x14ac:dyDescent="0.25">
      <c r="I350" s="71"/>
      <c r="J350" s="6"/>
      <c r="K350" s="71"/>
      <c r="L350" s="6"/>
      <c r="M350" s="71"/>
      <c r="N350" s="6"/>
      <c r="O350" s="71"/>
      <c r="P350" s="6"/>
      <c r="Q350" s="71"/>
      <c r="R350" s="6"/>
      <c r="S350" s="71"/>
      <c r="T350" s="6"/>
      <c r="U350" s="71"/>
      <c r="V350" s="6"/>
      <c r="W350" s="181"/>
      <c r="X350" s="6"/>
      <c r="Y350" s="6"/>
      <c r="Z350" s="181"/>
      <c r="AA350" s="6"/>
      <c r="AB350" s="6"/>
      <c r="AC350" s="181"/>
      <c r="AD350" s="6"/>
      <c r="AE350" s="6"/>
      <c r="AF350" s="186"/>
      <c r="AG350" s="6"/>
    </row>
    <row r="351" spans="9:33" ht="21.75" customHeight="1" x14ac:dyDescent="0.25">
      <c r="I351" s="71"/>
      <c r="J351" s="6"/>
      <c r="K351" s="71"/>
      <c r="L351" s="6"/>
      <c r="M351" s="71"/>
      <c r="N351" s="6"/>
      <c r="O351" s="71"/>
      <c r="P351" s="6"/>
      <c r="Q351" s="71"/>
      <c r="R351" s="6"/>
      <c r="S351" s="71"/>
      <c r="T351" s="6"/>
      <c r="U351" s="71"/>
      <c r="V351" s="6"/>
      <c r="W351" s="181"/>
      <c r="X351" s="6"/>
      <c r="Y351" s="6"/>
      <c r="Z351" s="181"/>
      <c r="AA351" s="6"/>
      <c r="AB351" s="6"/>
      <c r="AC351" s="181"/>
      <c r="AD351" s="6"/>
      <c r="AE351" s="6"/>
      <c r="AF351" s="186"/>
      <c r="AG351" s="6"/>
    </row>
    <row r="352" spans="9:33" ht="21.75" customHeight="1" x14ac:dyDescent="0.25">
      <c r="I352" s="71"/>
      <c r="J352" s="6"/>
      <c r="K352" s="71"/>
      <c r="L352" s="6"/>
      <c r="M352" s="71"/>
      <c r="N352" s="6"/>
      <c r="O352" s="71"/>
      <c r="P352" s="6"/>
      <c r="Q352" s="71"/>
      <c r="R352" s="6"/>
      <c r="S352" s="71"/>
      <c r="T352" s="6"/>
      <c r="U352" s="71"/>
      <c r="V352" s="6"/>
      <c r="W352" s="181"/>
      <c r="X352" s="6"/>
      <c r="Y352" s="6"/>
      <c r="Z352" s="181"/>
      <c r="AA352" s="6"/>
      <c r="AB352" s="6"/>
      <c r="AC352" s="181"/>
      <c r="AD352" s="6"/>
      <c r="AE352" s="6"/>
      <c r="AF352" s="186"/>
      <c r="AG352" s="6"/>
    </row>
    <row r="353" spans="9:33" ht="21.75" customHeight="1" x14ac:dyDescent="0.25">
      <c r="I353" s="71"/>
      <c r="J353" s="6"/>
      <c r="K353" s="71"/>
      <c r="L353" s="6"/>
      <c r="M353" s="71"/>
      <c r="N353" s="6"/>
      <c r="O353" s="71"/>
      <c r="P353" s="6"/>
      <c r="Q353" s="71"/>
      <c r="R353" s="6"/>
      <c r="S353" s="71"/>
      <c r="T353" s="6"/>
      <c r="U353" s="71"/>
      <c r="V353" s="6"/>
      <c r="W353" s="181"/>
      <c r="X353" s="6"/>
      <c r="Y353" s="6"/>
      <c r="Z353" s="181"/>
      <c r="AA353" s="6"/>
      <c r="AB353" s="6"/>
      <c r="AC353" s="181"/>
      <c r="AD353" s="6"/>
      <c r="AE353" s="6"/>
      <c r="AF353" s="186"/>
      <c r="AG353" s="6"/>
    </row>
    <row r="354" spans="9:33" ht="21.75" customHeight="1" x14ac:dyDescent="0.25">
      <c r="I354" s="71"/>
      <c r="J354" s="6"/>
      <c r="K354" s="71"/>
      <c r="L354" s="6"/>
      <c r="M354" s="71"/>
      <c r="N354" s="6"/>
      <c r="O354" s="71"/>
      <c r="P354" s="6"/>
      <c r="Q354" s="71"/>
      <c r="R354" s="6"/>
      <c r="S354" s="71"/>
      <c r="T354" s="6"/>
      <c r="U354" s="71"/>
      <c r="V354" s="6"/>
      <c r="W354" s="181"/>
      <c r="X354" s="6"/>
      <c r="Y354" s="6"/>
      <c r="Z354" s="181"/>
      <c r="AA354" s="6"/>
      <c r="AB354" s="6"/>
      <c r="AC354" s="181"/>
      <c r="AD354" s="6"/>
      <c r="AE354" s="6"/>
      <c r="AF354" s="186"/>
      <c r="AG354" s="6"/>
    </row>
    <row r="355" spans="9:33" ht="21.75" customHeight="1" x14ac:dyDescent="0.25">
      <c r="I355" s="71"/>
      <c r="J355" s="6"/>
      <c r="K355" s="71"/>
      <c r="L355" s="6"/>
      <c r="M355" s="71"/>
      <c r="N355" s="6"/>
      <c r="O355" s="71"/>
      <c r="P355" s="6"/>
      <c r="Q355" s="71"/>
      <c r="R355" s="6"/>
      <c r="S355" s="71"/>
      <c r="T355" s="6"/>
      <c r="U355" s="71"/>
      <c r="V355" s="6"/>
      <c r="W355" s="181"/>
      <c r="X355" s="6"/>
      <c r="Y355" s="6"/>
      <c r="Z355" s="181"/>
      <c r="AA355" s="6"/>
      <c r="AB355" s="6"/>
      <c r="AC355" s="181"/>
      <c r="AD355" s="6"/>
      <c r="AE355" s="6"/>
      <c r="AF355" s="186"/>
      <c r="AG355" s="6"/>
    </row>
    <row r="356" spans="9:33" ht="21.75" customHeight="1" x14ac:dyDescent="0.25">
      <c r="I356" s="71"/>
      <c r="J356" s="6"/>
      <c r="K356" s="71"/>
      <c r="L356" s="6"/>
      <c r="M356" s="71"/>
      <c r="N356" s="6"/>
      <c r="O356" s="71"/>
      <c r="P356" s="6"/>
      <c r="Q356" s="71"/>
      <c r="R356" s="6"/>
      <c r="S356" s="71"/>
      <c r="T356" s="6"/>
      <c r="U356" s="71"/>
      <c r="V356" s="6"/>
      <c r="W356" s="181"/>
      <c r="X356" s="6"/>
      <c r="Y356" s="6"/>
      <c r="Z356" s="181"/>
      <c r="AA356" s="6"/>
      <c r="AB356" s="6"/>
      <c r="AC356" s="181"/>
      <c r="AD356" s="6"/>
      <c r="AE356" s="6"/>
      <c r="AF356" s="186"/>
      <c r="AG356" s="6"/>
    </row>
    <row r="357" spans="9:33" ht="21.75" customHeight="1" x14ac:dyDescent="0.25">
      <c r="I357" s="71"/>
      <c r="J357" s="6"/>
      <c r="K357" s="71"/>
      <c r="L357" s="6"/>
      <c r="M357" s="71"/>
      <c r="N357" s="6"/>
      <c r="O357" s="71"/>
      <c r="P357" s="6"/>
      <c r="Q357" s="71"/>
      <c r="R357" s="6"/>
      <c r="S357" s="71"/>
      <c r="T357" s="6"/>
      <c r="U357" s="71"/>
      <c r="V357" s="6"/>
      <c r="W357" s="181"/>
      <c r="X357" s="6"/>
      <c r="Y357" s="6"/>
      <c r="Z357" s="181"/>
      <c r="AA357" s="6"/>
      <c r="AB357" s="6"/>
      <c r="AC357" s="181"/>
      <c r="AD357" s="6"/>
      <c r="AE357" s="6"/>
      <c r="AF357" s="186"/>
      <c r="AG357" s="6"/>
    </row>
    <row r="358" spans="9:33" ht="21.75" customHeight="1" x14ac:dyDescent="0.25">
      <c r="I358" s="71"/>
      <c r="J358" s="6"/>
      <c r="K358" s="71"/>
      <c r="L358" s="6"/>
      <c r="M358" s="71"/>
      <c r="N358" s="6"/>
      <c r="O358" s="71"/>
      <c r="P358" s="6"/>
      <c r="Q358" s="71"/>
      <c r="R358" s="6"/>
      <c r="S358" s="71"/>
      <c r="T358" s="6"/>
      <c r="U358" s="71"/>
      <c r="V358" s="6"/>
      <c r="W358" s="181"/>
      <c r="X358" s="6"/>
      <c r="Y358" s="6"/>
      <c r="Z358" s="181"/>
      <c r="AA358" s="6"/>
      <c r="AB358" s="6"/>
      <c r="AC358" s="181"/>
      <c r="AD358" s="6"/>
      <c r="AE358" s="6"/>
      <c r="AF358" s="186"/>
      <c r="AG358" s="6"/>
    </row>
    <row r="359" spans="9:33" ht="21.75" customHeight="1" x14ac:dyDescent="0.25">
      <c r="I359" s="71"/>
      <c r="J359" s="6"/>
      <c r="K359" s="71"/>
      <c r="L359" s="6"/>
      <c r="M359" s="71"/>
      <c r="N359" s="6"/>
      <c r="O359" s="71"/>
      <c r="P359" s="6"/>
      <c r="Q359" s="71"/>
      <c r="R359" s="6"/>
      <c r="S359" s="71"/>
      <c r="T359" s="6"/>
      <c r="U359" s="71"/>
      <c r="V359" s="6"/>
      <c r="W359" s="181"/>
      <c r="X359" s="6"/>
      <c r="Y359" s="6"/>
      <c r="Z359" s="181"/>
      <c r="AA359" s="6"/>
      <c r="AB359" s="6"/>
      <c r="AC359" s="181"/>
      <c r="AD359" s="6"/>
      <c r="AE359" s="6"/>
      <c r="AF359" s="186"/>
      <c r="AG359" s="6"/>
    </row>
    <row r="360" spans="9:33" ht="21.75" customHeight="1" x14ac:dyDescent="0.25">
      <c r="I360" s="71"/>
      <c r="J360" s="6"/>
      <c r="K360" s="71"/>
      <c r="L360" s="6"/>
      <c r="M360" s="71"/>
      <c r="N360" s="6"/>
      <c r="O360" s="71"/>
      <c r="P360" s="6"/>
      <c r="Q360" s="71"/>
      <c r="R360" s="6"/>
      <c r="S360" s="71"/>
      <c r="T360" s="6"/>
      <c r="U360" s="71"/>
      <c r="V360" s="6"/>
      <c r="W360" s="181"/>
      <c r="X360" s="6"/>
      <c r="Y360" s="6"/>
      <c r="Z360" s="181"/>
      <c r="AA360" s="6"/>
      <c r="AB360" s="6"/>
      <c r="AC360" s="181"/>
      <c r="AD360" s="6"/>
      <c r="AE360" s="6"/>
      <c r="AF360" s="186"/>
      <c r="AG360" s="6"/>
    </row>
    <row r="361" spans="9:33" ht="21.75" customHeight="1" x14ac:dyDescent="0.25">
      <c r="I361" s="71"/>
      <c r="J361" s="6"/>
      <c r="K361" s="71"/>
      <c r="L361" s="6"/>
      <c r="M361" s="71"/>
      <c r="N361" s="6"/>
      <c r="O361" s="71"/>
      <c r="P361" s="6"/>
      <c r="Q361" s="71"/>
      <c r="R361" s="6"/>
      <c r="S361" s="71"/>
      <c r="T361" s="6"/>
      <c r="U361" s="71"/>
      <c r="V361" s="6"/>
      <c r="W361" s="181"/>
      <c r="X361" s="6"/>
      <c r="Y361" s="6"/>
      <c r="Z361" s="181"/>
      <c r="AA361" s="6"/>
      <c r="AB361" s="6"/>
      <c r="AC361" s="181"/>
      <c r="AD361" s="6"/>
      <c r="AE361" s="6"/>
      <c r="AF361" s="186"/>
      <c r="AG361" s="6"/>
    </row>
    <row r="362" spans="9:33" ht="21.75" customHeight="1" x14ac:dyDescent="0.25">
      <c r="I362" s="71"/>
      <c r="J362" s="6"/>
      <c r="K362" s="71"/>
      <c r="L362" s="6"/>
      <c r="M362" s="71"/>
      <c r="N362" s="6"/>
      <c r="O362" s="71"/>
      <c r="P362" s="6"/>
      <c r="Q362" s="71"/>
      <c r="R362" s="6"/>
      <c r="S362" s="71"/>
      <c r="T362" s="6"/>
      <c r="U362" s="71"/>
      <c r="V362" s="6"/>
      <c r="W362" s="181"/>
      <c r="X362" s="6"/>
      <c r="Y362" s="6"/>
      <c r="Z362" s="181"/>
      <c r="AA362" s="6"/>
      <c r="AB362" s="6"/>
      <c r="AC362" s="181"/>
      <c r="AD362" s="6"/>
      <c r="AE362" s="6"/>
      <c r="AF362" s="186"/>
      <c r="AG362" s="6"/>
    </row>
    <row r="363" spans="9:33" ht="21.75" customHeight="1" x14ac:dyDescent="0.25">
      <c r="I363" s="71"/>
      <c r="J363" s="6"/>
      <c r="K363" s="71"/>
      <c r="L363" s="6"/>
      <c r="M363" s="71"/>
      <c r="N363" s="6"/>
      <c r="O363" s="71"/>
      <c r="P363" s="6"/>
      <c r="Q363" s="71"/>
      <c r="R363" s="6"/>
      <c r="S363" s="71"/>
      <c r="T363" s="6"/>
      <c r="U363" s="71"/>
      <c r="V363" s="6"/>
      <c r="W363" s="181"/>
      <c r="X363" s="6"/>
      <c r="Y363" s="6"/>
      <c r="Z363" s="181"/>
      <c r="AA363" s="6"/>
      <c r="AB363" s="6"/>
      <c r="AC363" s="181"/>
      <c r="AD363" s="6"/>
      <c r="AE363" s="6"/>
      <c r="AF363" s="186"/>
      <c r="AG363" s="6"/>
    </row>
    <row r="364" spans="9:33" ht="21.75" customHeight="1" x14ac:dyDescent="0.25">
      <c r="I364" s="71"/>
      <c r="J364" s="6"/>
      <c r="K364" s="71"/>
      <c r="L364" s="6"/>
      <c r="M364" s="71"/>
      <c r="N364" s="6"/>
      <c r="O364" s="71"/>
      <c r="P364" s="6"/>
      <c r="Q364" s="71"/>
      <c r="R364" s="6"/>
      <c r="S364" s="71"/>
      <c r="T364" s="6"/>
      <c r="U364" s="71"/>
      <c r="V364" s="6"/>
      <c r="W364" s="181"/>
      <c r="X364" s="6"/>
      <c r="Y364" s="6"/>
      <c r="Z364" s="181"/>
      <c r="AA364" s="6"/>
      <c r="AB364" s="6"/>
      <c r="AC364" s="181"/>
      <c r="AD364" s="6"/>
      <c r="AE364" s="6"/>
      <c r="AF364" s="186"/>
      <c r="AG364" s="6"/>
    </row>
    <row r="365" spans="9:33" ht="21.75" customHeight="1" x14ac:dyDescent="0.25">
      <c r="I365" s="71"/>
      <c r="J365" s="6"/>
      <c r="K365" s="71"/>
      <c r="L365" s="6"/>
      <c r="M365" s="71"/>
      <c r="N365" s="6"/>
      <c r="O365" s="71"/>
      <c r="P365" s="6"/>
      <c r="Q365" s="71"/>
      <c r="R365" s="6"/>
      <c r="S365" s="71"/>
      <c r="T365" s="6"/>
      <c r="U365" s="71"/>
      <c r="V365" s="6"/>
      <c r="W365" s="181"/>
      <c r="X365" s="6"/>
      <c r="Y365" s="6"/>
      <c r="Z365" s="181"/>
      <c r="AA365" s="6"/>
      <c r="AB365" s="6"/>
      <c r="AC365" s="181"/>
      <c r="AD365" s="6"/>
      <c r="AE365" s="6"/>
      <c r="AF365" s="186"/>
      <c r="AG365" s="6"/>
    </row>
    <row r="366" spans="9:33" ht="21.75" customHeight="1" x14ac:dyDescent="0.25">
      <c r="I366" s="71"/>
      <c r="J366" s="6"/>
      <c r="K366" s="71"/>
      <c r="L366" s="6"/>
      <c r="M366" s="71"/>
      <c r="N366" s="6"/>
      <c r="O366" s="71"/>
      <c r="P366" s="6"/>
      <c r="Q366" s="71"/>
      <c r="R366" s="6"/>
      <c r="S366" s="71"/>
      <c r="T366" s="6"/>
      <c r="U366" s="71"/>
      <c r="V366" s="6"/>
      <c r="W366" s="181"/>
      <c r="X366" s="6"/>
      <c r="Y366" s="6"/>
      <c r="Z366" s="181"/>
      <c r="AA366" s="6"/>
      <c r="AB366" s="6"/>
      <c r="AC366" s="181"/>
      <c r="AD366" s="6"/>
      <c r="AE366" s="6"/>
      <c r="AF366" s="186"/>
      <c r="AG366" s="6"/>
    </row>
    <row r="367" spans="9:33" ht="21.75" customHeight="1" x14ac:dyDescent="0.25">
      <c r="I367" s="71"/>
      <c r="J367" s="6"/>
      <c r="K367" s="71"/>
      <c r="L367" s="6"/>
      <c r="M367" s="71"/>
      <c r="N367" s="6"/>
      <c r="O367" s="71"/>
      <c r="P367" s="6"/>
      <c r="Q367" s="71"/>
      <c r="R367" s="6"/>
      <c r="S367" s="71"/>
      <c r="T367" s="6"/>
      <c r="U367" s="71"/>
      <c r="V367" s="6"/>
      <c r="W367" s="181"/>
      <c r="X367" s="6"/>
      <c r="Y367" s="6"/>
      <c r="Z367" s="181"/>
      <c r="AA367" s="6"/>
      <c r="AB367" s="6"/>
      <c r="AC367" s="181"/>
      <c r="AD367" s="6"/>
      <c r="AE367" s="6"/>
      <c r="AF367" s="186"/>
      <c r="AG367" s="6"/>
    </row>
    <row r="368" spans="9:33" ht="21.75" customHeight="1" x14ac:dyDescent="0.25">
      <c r="I368" s="71"/>
      <c r="J368" s="6"/>
      <c r="K368" s="71"/>
      <c r="L368" s="6"/>
      <c r="M368" s="71"/>
      <c r="N368" s="6"/>
      <c r="O368" s="71"/>
      <c r="P368" s="6"/>
      <c r="Q368" s="71"/>
      <c r="R368" s="6"/>
      <c r="S368" s="71"/>
      <c r="T368" s="6"/>
      <c r="U368" s="71"/>
      <c r="V368" s="6"/>
      <c r="W368" s="181"/>
      <c r="X368" s="6"/>
      <c r="Y368" s="6"/>
      <c r="Z368" s="181"/>
      <c r="AA368" s="6"/>
      <c r="AB368" s="6"/>
      <c r="AC368" s="181"/>
      <c r="AD368" s="6"/>
      <c r="AE368" s="6"/>
      <c r="AF368" s="186"/>
      <c r="AG368" s="6"/>
    </row>
    <row r="369" spans="9:33" ht="21.75" customHeight="1" x14ac:dyDescent="0.25">
      <c r="I369" s="71"/>
      <c r="J369" s="6"/>
      <c r="K369" s="71"/>
      <c r="L369" s="6"/>
      <c r="M369" s="71"/>
      <c r="N369" s="6"/>
      <c r="O369" s="71"/>
      <c r="P369" s="6"/>
      <c r="Q369" s="71"/>
      <c r="R369" s="6"/>
      <c r="S369" s="71"/>
      <c r="T369" s="6"/>
      <c r="U369" s="71"/>
      <c r="V369" s="6"/>
      <c r="W369" s="181"/>
      <c r="X369" s="6"/>
      <c r="Y369" s="6"/>
      <c r="Z369" s="181"/>
      <c r="AA369" s="6"/>
      <c r="AB369" s="6"/>
      <c r="AC369" s="181"/>
      <c r="AD369" s="6"/>
      <c r="AE369" s="6"/>
      <c r="AF369" s="186"/>
      <c r="AG369" s="6"/>
    </row>
    <row r="370" spans="9:33" ht="21.75" customHeight="1" x14ac:dyDescent="0.25">
      <c r="I370" s="71"/>
      <c r="J370" s="6"/>
      <c r="K370" s="71"/>
      <c r="L370" s="6"/>
      <c r="M370" s="71"/>
      <c r="N370" s="6"/>
      <c r="O370" s="71"/>
      <c r="P370" s="6"/>
      <c r="Q370" s="71"/>
      <c r="R370" s="6"/>
      <c r="S370" s="71"/>
      <c r="T370" s="6"/>
      <c r="U370" s="71"/>
      <c r="V370" s="6"/>
      <c r="W370" s="181"/>
      <c r="X370" s="6"/>
      <c r="Y370" s="6"/>
      <c r="Z370" s="181"/>
      <c r="AA370" s="6"/>
      <c r="AB370" s="6"/>
      <c r="AC370" s="181"/>
      <c r="AD370" s="6"/>
      <c r="AE370" s="6"/>
      <c r="AF370" s="186"/>
      <c r="AG370" s="6"/>
    </row>
    <row r="371" spans="9:33" ht="21.75" customHeight="1" x14ac:dyDescent="0.25">
      <c r="I371" s="71"/>
      <c r="J371" s="6"/>
      <c r="K371" s="71"/>
      <c r="L371" s="6"/>
      <c r="M371" s="71"/>
      <c r="N371" s="6"/>
      <c r="O371" s="71"/>
      <c r="P371" s="6"/>
      <c r="Q371" s="71"/>
      <c r="R371" s="6"/>
      <c r="S371" s="71"/>
      <c r="T371" s="6"/>
      <c r="U371" s="71"/>
      <c r="V371" s="6"/>
      <c r="W371" s="181"/>
      <c r="X371" s="6"/>
      <c r="Y371" s="6"/>
      <c r="Z371" s="181"/>
      <c r="AA371" s="6"/>
      <c r="AB371" s="6"/>
      <c r="AC371" s="181"/>
      <c r="AD371" s="6"/>
      <c r="AE371" s="6"/>
      <c r="AF371" s="186"/>
      <c r="AG371" s="6"/>
    </row>
    <row r="372" spans="9:33" ht="21.75" customHeight="1" x14ac:dyDescent="0.25">
      <c r="I372" s="71"/>
      <c r="J372" s="6"/>
      <c r="K372" s="71"/>
      <c r="L372" s="6"/>
      <c r="M372" s="71"/>
      <c r="N372" s="6"/>
      <c r="O372" s="71"/>
      <c r="P372" s="6"/>
      <c r="Q372" s="71"/>
      <c r="R372" s="6"/>
      <c r="S372" s="71"/>
      <c r="T372" s="6"/>
      <c r="U372" s="71"/>
      <c r="V372" s="6"/>
      <c r="W372" s="181"/>
      <c r="X372" s="6"/>
      <c r="Y372" s="6"/>
      <c r="Z372" s="181"/>
      <c r="AA372" s="6"/>
      <c r="AB372" s="6"/>
      <c r="AC372" s="181"/>
      <c r="AD372" s="6"/>
      <c r="AE372" s="6"/>
      <c r="AF372" s="186"/>
      <c r="AG372" s="6"/>
    </row>
    <row r="373" spans="9:33" ht="21.75" customHeight="1" x14ac:dyDescent="0.25">
      <c r="I373" s="71"/>
      <c r="J373" s="6"/>
      <c r="K373" s="71"/>
      <c r="L373" s="6"/>
      <c r="M373" s="71"/>
      <c r="N373" s="6"/>
      <c r="O373" s="71"/>
      <c r="P373" s="6"/>
      <c r="Q373" s="71"/>
      <c r="R373" s="6"/>
      <c r="S373" s="71"/>
      <c r="T373" s="6"/>
      <c r="U373" s="71"/>
      <c r="V373" s="6"/>
      <c r="W373" s="181"/>
      <c r="X373" s="6"/>
      <c r="Y373" s="6"/>
      <c r="Z373" s="181"/>
      <c r="AA373" s="6"/>
      <c r="AB373" s="6"/>
      <c r="AC373" s="181"/>
      <c r="AD373" s="6"/>
      <c r="AE373" s="6"/>
      <c r="AF373" s="186"/>
      <c r="AG373" s="6"/>
    </row>
    <row r="374" spans="9:33" ht="21.75" customHeight="1" x14ac:dyDescent="0.25">
      <c r="I374" s="71"/>
      <c r="J374" s="6"/>
      <c r="K374" s="71"/>
      <c r="L374" s="6"/>
      <c r="M374" s="71"/>
      <c r="N374" s="6"/>
      <c r="O374" s="71"/>
      <c r="P374" s="6"/>
      <c r="Q374" s="71"/>
      <c r="R374" s="6"/>
      <c r="S374" s="71"/>
      <c r="T374" s="6"/>
      <c r="U374" s="71"/>
      <c r="V374" s="6"/>
      <c r="W374" s="181"/>
      <c r="X374" s="6"/>
      <c r="Y374" s="6"/>
      <c r="Z374" s="181"/>
      <c r="AA374" s="6"/>
      <c r="AB374" s="6"/>
      <c r="AC374" s="181"/>
      <c r="AD374" s="6"/>
      <c r="AE374" s="6"/>
      <c r="AF374" s="186"/>
      <c r="AG374" s="6"/>
    </row>
    <row r="375" spans="9:33" ht="21.75" customHeight="1" x14ac:dyDescent="0.25">
      <c r="I375" s="71"/>
      <c r="J375" s="6"/>
      <c r="K375" s="71"/>
      <c r="L375" s="6"/>
      <c r="M375" s="71"/>
      <c r="N375" s="6"/>
      <c r="O375" s="71"/>
      <c r="P375" s="6"/>
      <c r="Q375" s="71"/>
      <c r="R375" s="6"/>
      <c r="S375" s="71"/>
      <c r="T375" s="6"/>
      <c r="U375" s="71"/>
      <c r="V375" s="6"/>
      <c r="W375" s="181"/>
      <c r="X375" s="6"/>
      <c r="Y375" s="6"/>
      <c r="Z375" s="181"/>
      <c r="AA375" s="6"/>
      <c r="AB375" s="6"/>
      <c r="AC375" s="181"/>
      <c r="AD375" s="6"/>
      <c r="AE375" s="6"/>
      <c r="AF375" s="186"/>
      <c r="AG375" s="6"/>
    </row>
    <row r="376" spans="9:33" ht="21.75" customHeight="1" x14ac:dyDescent="0.25">
      <c r="I376" s="71"/>
      <c r="J376" s="6"/>
      <c r="K376" s="71"/>
      <c r="L376" s="6"/>
      <c r="M376" s="71"/>
      <c r="N376" s="6"/>
      <c r="O376" s="71"/>
      <c r="P376" s="6"/>
      <c r="Q376" s="71"/>
      <c r="R376" s="6"/>
      <c r="S376" s="71"/>
      <c r="T376" s="6"/>
      <c r="U376" s="71"/>
      <c r="V376" s="6"/>
      <c r="W376" s="181"/>
      <c r="X376" s="6"/>
      <c r="Y376" s="6"/>
      <c r="Z376" s="181"/>
      <c r="AA376" s="6"/>
      <c r="AB376" s="6"/>
      <c r="AC376" s="181"/>
      <c r="AD376" s="6"/>
      <c r="AE376" s="6"/>
      <c r="AF376" s="186"/>
      <c r="AG376" s="6"/>
    </row>
    <row r="377" spans="9:33" ht="21.75" customHeight="1" x14ac:dyDescent="0.25">
      <c r="I377" s="71"/>
      <c r="J377" s="6"/>
      <c r="K377" s="71"/>
      <c r="L377" s="6"/>
      <c r="M377" s="71"/>
      <c r="N377" s="6"/>
      <c r="O377" s="71"/>
      <c r="P377" s="6"/>
      <c r="Q377" s="71"/>
      <c r="R377" s="6"/>
      <c r="S377" s="71"/>
      <c r="T377" s="6"/>
      <c r="U377" s="71"/>
      <c r="V377" s="6"/>
      <c r="W377" s="181"/>
      <c r="X377" s="6"/>
      <c r="Y377" s="6"/>
      <c r="Z377" s="181"/>
      <c r="AA377" s="6"/>
      <c r="AB377" s="6"/>
      <c r="AC377" s="181"/>
      <c r="AD377" s="6"/>
      <c r="AE377" s="6"/>
      <c r="AF377" s="186"/>
      <c r="AG377" s="6"/>
    </row>
    <row r="378" spans="9:33" ht="21.75" customHeight="1" x14ac:dyDescent="0.25">
      <c r="I378" s="71"/>
      <c r="J378" s="6"/>
      <c r="K378" s="71"/>
      <c r="L378" s="6"/>
      <c r="M378" s="71"/>
      <c r="N378" s="6"/>
      <c r="O378" s="71"/>
      <c r="P378" s="6"/>
      <c r="Q378" s="71"/>
      <c r="R378" s="6"/>
      <c r="S378" s="71"/>
      <c r="T378" s="6"/>
      <c r="U378" s="71"/>
      <c r="V378" s="6"/>
      <c r="W378" s="181"/>
      <c r="X378" s="6"/>
      <c r="Y378" s="6"/>
      <c r="Z378" s="181"/>
      <c r="AA378" s="6"/>
      <c r="AB378" s="6"/>
      <c r="AC378" s="181"/>
      <c r="AD378" s="6"/>
      <c r="AE378" s="6"/>
      <c r="AF378" s="186"/>
      <c r="AG378" s="6"/>
    </row>
    <row r="379" spans="9:33" ht="21.75" customHeight="1" x14ac:dyDescent="0.25">
      <c r="I379" s="71"/>
      <c r="J379" s="6"/>
      <c r="K379" s="71"/>
      <c r="L379" s="6"/>
      <c r="M379" s="71"/>
      <c r="N379" s="6"/>
      <c r="O379" s="71"/>
      <c r="P379" s="6"/>
      <c r="Q379" s="71"/>
      <c r="R379" s="6"/>
      <c r="S379" s="71"/>
      <c r="T379" s="6"/>
      <c r="U379" s="71"/>
      <c r="V379" s="6"/>
      <c r="W379" s="181"/>
      <c r="X379" s="6"/>
      <c r="Y379" s="6"/>
      <c r="Z379" s="181"/>
      <c r="AA379" s="6"/>
      <c r="AB379" s="6"/>
      <c r="AC379" s="181"/>
      <c r="AD379" s="6"/>
      <c r="AE379" s="6"/>
      <c r="AF379" s="186"/>
      <c r="AG379" s="6"/>
    </row>
    <row r="380" spans="9:33" ht="21.75" customHeight="1" x14ac:dyDescent="0.25">
      <c r="I380" s="71"/>
      <c r="J380" s="6"/>
      <c r="K380" s="71"/>
      <c r="L380" s="6"/>
      <c r="M380" s="71"/>
      <c r="N380" s="6"/>
      <c r="O380" s="71"/>
      <c r="P380" s="6"/>
      <c r="Q380" s="71"/>
      <c r="R380" s="6"/>
      <c r="S380" s="71"/>
      <c r="T380" s="6"/>
      <c r="U380" s="71"/>
      <c r="V380" s="6"/>
      <c r="W380" s="181"/>
      <c r="X380" s="6"/>
      <c r="Y380" s="6"/>
      <c r="Z380" s="181"/>
      <c r="AA380" s="6"/>
      <c r="AB380" s="6"/>
      <c r="AC380" s="181"/>
      <c r="AD380" s="6"/>
      <c r="AE380" s="6"/>
      <c r="AF380" s="186"/>
      <c r="AG380" s="6"/>
    </row>
    <row r="381" spans="9:33" ht="21.75" customHeight="1" x14ac:dyDescent="0.25">
      <c r="I381" s="71"/>
      <c r="J381" s="6"/>
      <c r="K381" s="71"/>
      <c r="L381" s="6"/>
      <c r="M381" s="71"/>
      <c r="N381" s="6"/>
      <c r="O381" s="71"/>
      <c r="P381" s="6"/>
      <c r="Q381" s="71"/>
      <c r="R381" s="6"/>
      <c r="S381" s="71"/>
      <c r="T381" s="6"/>
      <c r="U381" s="71"/>
      <c r="V381" s="6"/>
      <c r="W381" s="181"/>
      <c r="X381" s="6"/>
      <c r="Y381" s="6"/>
      <c r="Z381" s="181"/>
      <c r="AA381" s="6"/>
      <c r="AB381" s="6"/>
      <c r="AC381" s="181"/>
      <c r="AD381" s="6"/>
      <c r="AE381" s="6"/>
      <c r="AF381" s="186"/>
      <c r="AG381" s="6"/>
    </row>
    <row r="382" spans="9:33" ht="21.75" customHeight="1" x14ac:dyDescent="0.25">
      <c r="I382" s="71"/>
      <c r="J382" s="6"/>
      <c r="K382" s="71"/>
      <c r="L382" s="6"/>
      <c r="M382" s="71"/>
      <c r="N382" s="6"/>
      <c r="O382" s="71"/>
      <c r="P382" s="6"/>
      <c r="Q382" s="71"/>
      <c r="R382" s="6"/>
      <c r="S382" s="71"/>
      <c r="T382" s="6"/>
      <c r="U382" s="71"/>
      <c r="V382" s="6"/>
      <c r="W382" s="181"/>
      <c r="X382" s="6"/>
      <c r="Y382" s="6"/>
      <c r="Z382" s="181"/>
      <c r="AA382" s="6"/>
      <c r="AB382" s="6"/>
      <c r="AC382" s="181"/>
      <c r="AD382" s="6"/>
      <c r="AE382" s="6"/>
      <c r="AF382" s="186"/>
      <c r="AG382" s="6"/>
    </row>
    <row r="383" spans="9:33" ht="21.75" customHeight="1" x14ac:dyDescent="0.25">
      <c r="I383" s="71"/>
      <c r="J383" s="6"/>
      <c r="K383" s="71"/>
      <c r="L383" s="6"/>
      <c r="M383" s="71"/>
      <c r="N383" s="6"/>
      <c r="O383" s="71"/>
      <c r="P383" s="6"/>
      <c r="Q383" s="71"/>
      <c r="R383" s="6"/>
      <c r="S383" s="71"/>
      <c r="T383" s="6"/>
      <c r="U383" s="71"/>
      <c r="V383" s="6"/>
      <c r="W383" s="181"/>
      <c r="X383" s="6"/>
      <c r="Y383" s="6"/>
      <c r="Z383" s="181"/>
      <c r="AA383" s="6"/>
      <c r="AB383" s="6"/>
      <c r="AC383" s="181"/>
      <c r="AD383" s="6"/>
      <c r="AE383" s="6"/>
      <c r="AF383" s="186"/>
      <c r="AG383" s="6"/>
    </row>
    <row r="384" spans="9:33" ht="21.75" customHeight="1" x14ac:dyDescent="0.25">
      <c r="I384" s="71"/>
      <c r="J384" s="6"/>
      <c r="K384" s="71"/>
      <c r="L384" s="6"/>
      <c r="M384" s="71"/>
      <c r="N384" s="6"/>
      <c r="O384" s="71"/>
      <c r="P384" s="6"/>
      <c r="Q384" s="71"/>
      <c r="R384" s="6"/>
      <c r="S384" s="71"/>
      <c r="T384" s="6"/>
      <c r="U384" s="71"/>
      <c r="V384" s="6"/>
      <c r="W384" s="181"/>
      <c r="X384" s="6"/>
      <c r="Y384" s="6"/>
      <c r="Z384" s="181"/>
      <c r="AA384" s="6"/>
      <c r="AB384" s="6"/>
      <c r="AC384" s="181"/>
      <c r="AD384" s="6"/>
      <c r="AE384" s="6"/>
      <c r="AF384" s="186"/>
      <c r="AG384" s="6"/>
    </row>
    <row r="385" spans="9:33" ht="21.75" customHeight="1" x14ac:dyDescent="0.25">
      <c r="I385" s="71"/>
      <c r="J385" s="6"/>
      <c r="K385" s="71"/>
      <c r="L385" s="6"/>
      <c r="M385" s="71"/>
      <c r="N385" s="6"/>
      <c r="O385" s="71"/>
      <c r="P385" s="6"/>
      <c r="Q385" s="71"/>
      <c r="R385" s="6"/>
      <c r="S385" s="71"/>
      <c r="T385" s="6"/>
      <c r="U385" s="71"/>
      <c r="V385" s="6"/>
      <c r="W385" s="181"/>
      <c r="X385" s="6"/>
      <c r="Y385" s="6"/>
      <c r="Z385" s="181"/>
      <c r="AA385" s="6"/>
      <c r="AB385" s="6"/>
      <c r="AC385" s="181"/>
      <c r="AD385" s="6"/>
      <c r="AE385" s="6"/>
      <c r="AF385" s="186"/>
      <c r="AG385" s="6"/>
    </row>
    <row r="386" spans="9:33" ht="21.75" customHeight="1" x14ac:dyDescent="0.25">
      <c r="I386" s="71"/>
      <c r="J386" s="6"/>
      <c r="K386" s="71"/>
      <c r="L386" s="6"/>
      <c r="M386" s="71"/>
      <c r="N386" s="6"/>
      <c r="O386" s="71"/>
      <c r="P386" s="6"/>
      <c r="Q386" s="71"/>
      <c r="R386" s="6"/>
      <c r="S386" s="71"/>
      <c r="T386" s="6"/>
      <c r="U386" s="71"/>
      <c r="V386" s="6"/>
      <c r="W386" s="181"/>
      <c r="X386" s="6"/>
      <c r="Y386" s="6"/>
      <c r="Z386" s="181"/>
      <c r="AA386" s="6"/>
      <c r="AB386" s="6"/>
      <c r="AC386" s="181"/>
      <c r="AD386" s="6"/>
      <c r="AE386" s="6"/>
      <c r="AF386" s="186"/>
      <c r="AG386" s="6"/>
    </row>
    <row r="387" spans="9:33" ht="21.75" customHeight="1" x14ac:dyDescent="0.25">
      <c r="I387" s="71"/>
      <c r="J387" s="6"/>
      <c r="K387" s="71"/>
      <c r="L387" s="6"/>
      <c r="M387" s="71"/>
      <c r="N387" s="6"/>
      <c r="O387" s="71"/>
      <c r="P387" s="6"/>
      <c r="Q387" s="71"/>
      <c r="R387" s="6"/>
      <c r="S387" s="71"/>
      <c r="T387" s="6"/>
      <c r="U387" s="71"/>
      <c r="V387" s="6"/>
      <c r="W387" s="181"/>
      <c r="X387" s="6"/>
      <c r="Y387" s="6"/>
      <c r="Z387" s="181"/>
      <c r="AA387" s="6"/>
      <c r="AB387" s="6"/>
      <c r="AC387" s="181"/>
      <c r="AD387" s="6"/>
      <c r="AE387" s="6"/>
      <c r="AF387" s="186"/>
      <c r="AG387" s="6"/>
    </row>
    <row r="388" spans="9:33" ht="21.75" customHeight="1" x14ac:dyDescent="0.25">
      <c r="I388" s="71"/>
      <c r="J388" s="6"/>
      <c r="K388" s="71"/>
      <c r="L388" s="6"/>
      <c r="M388" s="71"/>
      <c r="N388" s="6"/>
      <c r="O388" s="71"/>
      <c r="P388" s="6"/>
      <c r="Q388" s="71"/>
      <c r="R388" s="6"/>
      <c r="S388" s="71"/>
      <c r="T388" s="6"/>
      <c r="U388" s="71"/>
      <c r="V388" s="6"/>
      <c r="W388" s="181"/>
      <c r="X388" s="6"/>
      <c r="Y388" s="6"/>
      <c r="Z388" s="181"/>
      <c r="AA388" s="6"/>
      <c r="AB388" s="6"/>
      <c r="AC388" s="181"/>
      <c r="AD388" s="6"/>
      <c r="AE388" s="6"/>
      <c r="AF388" s="186"/>
      <c r="AG388" s="6"/>
    </row>
    <row r="389" spans="9:33" ht="21.75" customHeight="1" x14ac:dyDescent="0.25">
      <c r="I389" s="71"/>
      <c r="J389" s="6"/>
      <c r="K389" s="71"/>
      <c r="L389" s="6"/>
      <c r="M389" s="71"/>
      <c r="N389" s="6"/>
      <c r="O389" s="71"/>
      <c r="P389" s="6"/>
      <c r="Q389" s="71"/>
      <c r="R389" s="6"/>
      <c r="S389" s="71"/>
      <c r="T389" s="6"/>
      <c r="U389" s="71"/>
      <c r="V389" s="6"/>
      <c r="W389" s="181"/>
      <c r="X389" s="6"/>
      <c r="Y389" s="6"/>
      <c r="Z389" s="181"/>
      <c r="AA389" s="6"/>
      <c r="AB389" s="6"/>
      <c r="AC389" s="181"/>
      <c r="AD389" s="6"/>
      <c r="AE389" s="6"/>
      <c r="AF389" s="186"/>
      <c r="AG389" s="6"/>
    </row>
    <row r="390" spans="9:33" ht="21.75" customHeight="1" x14ac:dyDescent="0.25">
      <c r="I390" s="71"/>
      <c r="J390" s="6"/>
      <c r="K390" s="71"/>
      <c r="L390" s="6"/>
      <c r="M390" s="71"/>
      <c r="N390" s="6"/>
      <c r="O390" s="71"/>
      <c r="P390" s="6"/>
      <c r="Q390" s="71"/>
      <c r="R390" s="6"/>
      <c r="S390" s="71"/>
      <c r="T390" s="6"/>
      <c r="U390" s="71"/>
      <c r="V390" s="6"/>
      <c r="W390" s="181"/>
      <c r="X390" s="6"/>
      <c r="Y390" s="6"/>
      <c r="Z390" s="181"/>
      <c r="AA390" s="6"/>
      <c r="AB390" s="6"/>
      <c r="AC390" s="181"/>
      <c r="AD390" s="6"/>
      <c r="AE390" s="6"/>
      <c r="AF390" s="186"/>
      <c r="AG390" s="6"/>
    </row>
    <row r="391" spans="9:33" ht="21.75" customHeight="1" x14ac:dyDescent="0.25">
      <c r="I391" s="71"/>
      <c r="J391" s="6"/>
      <c r="K391" s="71"/>
      <c r="L391" s="6"/>
      <c r="M391" s="71"/>
      <c r="N391" s="6"/>
      <c r="O391" s="71"/>
      <c r="P391" s="6"/>
      <c r="Q391" s="71"/>
      <c r="R391" s="6"/>
      <c r="S391" s="71"/>
      <c r="T391" s="6"/>
      <c r="U391" s="71"/>
      <c r="V391" s="6"/>
      <c r="W391" s="181"/>
      <c r="X391" s="6"/>
      <c r="Y391" s="6"/>
      <c r="Z391" s="181"/>
      <c r="AA391" s="6"/>
      <c r="AB391" s="6"/>
      <c r="AC391" s="181"/>
      <c r="AD391" s="6"/>
      <c r="AE391" s="6"/>
      <c r="AF391" s="186"/>
      <c r="AG391" s="6"/>
    </row>
    <row r="392" spans="9:33" ht="21.75" customHeight="1" x14ac:dyDescent="0.25">
      <c r="I392" s="71"/>
      <c r="J392" s="6"/>
      <c r="K392" s="71"/>
      <c r="L392" s="6"/>
      <c r="M392" s="71"/>
      <c r="N392" s="6"/>
      <c r="O392" s="71"/>
      <c r="P392" s="6"/>
      <c r="Q392" s="71"/>
      <c r="R392" s="6"/>
      <c r="S392" s="71"/>
      <c r="T392" s="6"/>
      <c r="U392" s="71"/>
      <c r="V392" s="6"/>
      <c r="W392" s="181"/>
      <c r="X392" s="6"/>
      <c r="Y392" s="6"/>
      <c r="Z392" s="181"/>
      <c r="AA392" s="6"/>
      <c r="AB392" s="6"/>
      <c r="AC392" s="181"/>
      <c r="AD392" s="6"/>
      <c r="AE392" s="6"/>
      <c r="AF392" s="186"/>
      <c r="AG392" s="6"/>
    </row>
    <row r="393" spans="9:33" ht="21.75" customHeight="1" x14ac:dyDescent="0.25">
      <c r="I393" s="71"/>
      <c r="J393" s="6"/>
      <c r="K393" s="71"/>
      <c r="L393" s="6"/>
      <c r="M393" s="71"/>
      <c r="N393" s="6"/>
      <c r="O393" s="71"/>
      <c r="P393" s="6"/>
      <c r="Q393" s="71"/>
      <c r="R393" s="6"/>
      <c r="S393" s="71"/>
      <c r="T393" s="6"/>
      <c r="U393" s="71"/>
      <c r="V393" s="6"/>
      <c r="W393" s="181"/>
      <c r="X393" s="6"/>
      <c r="Y393" s="6"/>
      <c r="Z393" s="181"/>
      <c r="AA393" s="6"/>
      <c r="AB393" s="6"/>
      <c r="AC393" s="181"/>
      <c r="AD393" s="6"/>
      <c r="AE393" s="6"/>
      <c r="AF393" s="186"/>
      <c r="AG393" s="6"/>
    </row>
    <row r="394" spans="9:33" ht="21.75" customHeight="1" x14ac:dyDescent="0.25">
      <c r="I394" s="71"/>
      <c r="J394" s="6"/>
      <c r="K394" s="71"/>
      <c r="L394" s="6"/>
      <c r="M394" s="71"/>
      <c r="N394" s="6"/>
      <c r="O394" s="71"/>
      <c r="P394" s="6"/>
      <c r="Q394" s="71"/>
      <c r="R394" s="6"/>
      <c r="S394" s="71"/>
      <c r="T394" s="6"/>
      <c r="U394" s="71"/>
      <c r="V394" s="6"/>
      <c r="W394" s="181"/>
      <c r="X394" s="6"/>
      <c r="Y394" s="6"/>
      <c r="Z394" s="181"/>
      <c r="AA394" s="6"/>
      <c r="AB394" s="6"/>
      <c r="AC394" s="181"/>
      <c r="AD394" s="6"/>
      <c r="AE394" s="6"/>
      <c r="AF394" s="186"/>
      <c r="AG394" s="6"/>
    </row>
    <row r="395" spans="9:33" ht="21.75" customHeight="1" x14ac:dyDescent="0.25">
      <c r="I395" s="71"/>
      <c r="J395" s="6"/>
      <c r="K395" s="71"/>
      <c r="L395" s="6"/>
      <c r="M395" s="71"/>
      <c r="N395" s="6"/>
      <c r="O395" s="71"/>
      <c r="P395" s="6"/>
      <c r="Q395" s="71"/>
      <c r="R395" s="6"/>
      <c r="S395" s="71"/>
      <c r="T395" s="6"/>
      <c r="U395" s="71"/>
      <c r="V395" s="6"/>
      <c r="W395" s="181"/>
      <c r="X395" s="6"/>
      <c r="Y395" s="6"/>
      <c r="Z395" s="181"/>
      <c r="AA395" s="6"/>
      <c r="AB395" s="6"/>
      <c r="AC395" s="181"/>
      <c r="AD395" s="6"/>
      <c r="AE395" s="6"/>
      <c r="AF395" s="186"/>
      <c r="AG395" s="6"/>
    </row>
    <row r="396" spans="9:33" ht="21.75" customHeight="1" x14ac:dyDescent="0.25">
      <c r="I396" s="71"/>
      <c r="J396" s="6"/>
      <c r="K396" s="71"/>
      <c r="L396" s="6"/>
      <c r="M396" s="71"/>
      <c r="N396" s="6"/>
      <c r="O396" s="71"/>
      <c r="P396" s="6"/>
      <c r="Q396" s="71"/>
      <c r="R396" s="6"/>
      <c r="S396" s="71"/>
      <c r="T396" s="6"/>
      <c r="U396" s="71"/>
      <c r="V396" s="6"/>
      <c r="W396" s="181"/>
      <c r="X396" s="6"/>
      <c r="Y396" s="6"/>
      <c r="Z396" s="181"/>
      <c r="AA396" s="6"/>
      <c r="AB396" s="6"/>
      <c r="AC396" s="181"/>
      <c r="AD396" s="6"/>
      <c r="AE396" s="6"/>
      <c r="AF396" s="186"/>
      <c r="AG396" s="6"/>
    </row>
    <row r="397" spans="9:33" ht="21.75" customHeight="1" x14ac:dyDescent="0.25">
      <c r="I397" s="71"/>
      <c r="J397" s="6"/>
      <c r="K397" s="71"/>
      <c r="L397" s="6"/>
      <c r="M397" s="71"/>
      <c r="N397" s="6"/>
      <c r="O397" s="71"/>
      <c r="P397" s="6"/>
      <c r="Q397" s="71"/>
      <c r="R397" s="6"/>
      <c r="S397" s="71"/>
      <c r="T397" s="6"/>
      <c r="U397" s="71"/>
      <c r="V397" s="6"/>
      <c r="W397" s="181"/>
      <c r="X397" s="6"/>
      <c r="Y397" s="6"/>
      <c r="Z397" s="181"/>
      <c r="AA397" s="6"/>
      <c r="AB397" s="6"/>
      <c r="AC397" s="181"/>
      <c r="AD397" s="6"/>
      <c r="AE397" s="6"/>
      <c r="AF397" s="186"/>
      <c r="AG397" s="6"/>
    </row>
    <row r="398" spans="9:33" ht="21.75" customHeight="1" x14ac:dyDescent="0.25">
      <c r="I398" s="71"/>
      <c r="J398" s="6"/>
      <c r="K398" s="71"/>
      <c r="L398" s="6"/>
      <c r="M398" s="71"/>
      <c r="N398" s="6"/>
      <c r="O398" s="71"/>
      <c r="P398" s="6"/>
      <c r="Q398" s="71"/>
      <c r="R398" s="6"/>
      <c r="S398" s="71"/>
      <c r="T398" s="6"/>
      <c r="U398" s="71"/>
      <c r="V398" s="6"/>
      <c r="W398" s="181"/>
      <c r="X398" s="6"/>
      <c r="Y398" s="6"/>
      <c r="Z398" s="181"/>
      <c r="AA398" s="6"/>
      <c r="AB398" s="6"/>
      <c r="AC398" s="181"/>
      <c r="AD398" s="6"/>
      <c r="AE398" s="6"/>
      <c r="AF398" s="186"/>
      <c r="AG398" s="6"/>
    </row>
    <row r="399" spans="9:33" ht="21.75" customHeight="1" x14ac:dyDescent="0.25">
      <c r="I399" s="71"/>
      <c r="J399" s="6"/>
      <c r="K399" s="71"/>
      <c r="L399" s="6"/>
      <c r="M399" s="71"/>
      <c r="N399" s="6"/>
      <c r="O399" s="71"/>
      <c r="P399" s="6"/>
      <c r="Q399" s="71"/>
      <c r="R399" s="6"/>
      <c r="S399" s="71"/>
      <c r="T399" s="6"/>
      <c r="U399" s="71"/>
      <c r="V399" s="6"/>
      <c r="W399" s="181"/>
      <c r="X399" s="6"/>
      <c r="Y399" s="6"/>
      <c r="Z399" s="181"/>
      <c r="AA399" s="6"/>
      <c r="AB399" s="6"/>
      <c r="AC399" s="181"/>
      <c r="AD399" s="6"/>
      <c r="AE399" s="6"/>
      <c r="AF399" s="186"/>
      <c r="AG399" s="6"/>
    </row>
    <row r="400" spans="9:33" ht="21.75" customHeight="1" x14ac:dyDescent="0.25">
      <c r="I400" s="71"/>
      <c r="J400" s="6"/>
      <c r="K400" s="71"/>
      <c r="L400" s="6"/>
      <c r="M400" s="71"/>
      <c r="N400" s="6"/>
      <c r="O400" s="71"/>
      <c r="P400" s="6"/>
      <c r="Q400" s="71"/>
      <c r="R400" s="6"/>
      <c r="S400" s="71"/>
      <c r="T400" s="6"/>
      <c r="U400" s="71"/>
      <c r="V400" s="6"/>
      <c r="W400" s="181"/>
      <c r="X400" s="6"/>
      <c r="Y400" s="6"/>
      <c r="Z400" s="181"/>
      <c r="AA400" s="6"/>
      <c r="AB400" s="6"/>
      <c r="AC400" s="181"/>
      <c r="AD400" s="6"/>
      <c r="AE400" s="6"/>
      <c r="AF400" s="186"/>
      <c r="AG400" s="6"/>
    </row>
    <row r="401" spans="9:33" ht="21.75" customHeight="1" x14ac:dyDescent="0.25">
      <c r="I401" s="71"/>
      <c r="J401" s="6"/>
      <c r="K401" s="71"/>
      <c r="L401" s="6"/>
      <c r="M401" s="71"/>
      <c r="N401" s="6"/>
      <c r="O401" s="71"/>
      <c r="P401" s="6"/>
      <c r="Q401" s="71"/>
      <c r="R401" s="6"/>
      <c r="S401" s="71"/>
      <c r="T401" s="6"/>
      <c r="U401" s="71"/>
      <c r="V401" s="6"/>
      <c r="W401" s="181"/>
      <c r="X401" s="6"/>
      <c r="Y401" s="6"/>
      <c r="Z401" s="181"/>
      <c r="AA401" s="6"/>
      <c r="AB401" s="6"/>
      <c r="AC401" s="181"/>
      <c r="AD401" s="6"/>
      <c r="AE401" s="6"/>
      <c r="AF401" s="186"/>
      <c r="AG401" s="6"/>
    </row>
    <row r="402" spans="9:33" ht="21.75" customHeight="1" x14ac:dyDescent="0.25">
      <c r="I402" s="71"/>
      <c r="J402" s="6"/>
      <c r="K402" s="71"/>
      <c r="L402" s="6"/>
      <c r="M402" s="71"/>
      <c r="N402" s="6"/>
      <c r="O402" s="71"/>
      <c r="P402" s="6"/>
      <c r="Q402" s="71"/>
      <c r="R402" s="6"/>
      <c r="S402" s="71"/>
      <c r="T402" s="6"/>
      <c r="U402" s="71"/>
      <c r="V402" s="6"/>
      <c r="W402" s="181"/>
      <c r="X402" s="6"/>
      <c r="Y402" s="6"/>
      <c r="Z402" s="181"/>
      <c r="AA402" s="6"/>
      <c r="AB402" s="6"/>
      <c r="AC402" s="181"/>
      <c r="AD402" s="6"/>
      <c r="AE402" s="6"/>
      <c r="AF402" s="186"/>
      <c r="AG402" s="6"/>
    </row>
    <row r="403" spans="9:33" ht="21.75" customHeight="1" x14ac:dyDescent="0.25">
      <c r="I403" s="71"/>
      <c r="J403" s="6"/>
      <c r="K403" s="71"/>
      <c r="L403" s="6"/>
      <c r="M403" s="71"/>
      <c r="N403" s="6"/>
      <c r="O403" s="71"/>
      <c r="P403" s="6"/>
      <c r="Q403" s="71"/>
      <c r="R403" s="6"/>
      <c r="S403" s="71"/>
      <c r="T403" s="6"/>
      <c r="U403" s="71"/>
      <c r="V403" s="6"/>
      <c r="W403" s="181"/>
      <c r="X403" s="6"/>
      <c r="Y403" s="6"/>
      <c r="Z403" s="181"/>
      <c r="AA403" s="6"/>
      <c r="AB403" s="6"/>
      <c r="AC403" s="181"/>
      <c r="AD403" s="6"/>
      <c r="AE403" s="6"/>
      <c r="AF403" s="186"/>
      <c r="AG403" s="6"/>
    </row>
    <row r="404" spans="9:33" ht="21.75" customHeight="1" x14ac:dyDescent="0.25">
      <c r="I404" s="71"/>
      <c r="J404" s="6"/>
      <c r="K404" s="71"/>
      <c r="L404" s="6"/>
      <c r="M404" s="71"/>
      <c r="N404" s="6"/>
      <c r="O404" s="71"/>
      <c r="P404" s="6"/>
      <c r="Q404" s="71"/>
      <c r="R404" s="6"/>
      <c r="S404" s="71"/>
      <c r="T404" s="6"/>
      <c r="U404" s="71"/>
      <c r="V404" s="6"/>
      <c r="W404" s="181"/>
      <c r="X404" s="6"/>
      <c r="Y404" s="6"/>
      <c r="Z404" s="181"/>
      <c r="AA404" s="6"/>
      <c r="AB404" s="6"/>
      <c r="AC404" s="181"/>
      <c r="AD404" s="6"/>
      <c r="AE404" s="6"/>
      <c r="AF404" s="186"/>
      <c r="AG404" s="6"/>
    </row>
    <row r="405" spans="9:33" ht="21.75" customHeight="1" x14ac:dyDescent="0.25">
      <c r="I405" s="71"/>
      <c r="J405" s="6"/>
      <c r="K405" s="71"/>
      <c r="L405" s="6"/>
      <c r="M405" s="71"/>
      <c r="N405" s="6"/>
      <c r="O405" s="71"/>
      <c r="P405" s="6"/>
      <c r="Q405" s="71"/>
      <c r="R405" s="6"/>
      <c r="S405" s="71"/>
      <c r="T405" s="6"/>
      <c r="U405" s="71"/>
      <c r="V405" s="6"/>
      <c r="W405" s="181"/>
      <c r="X405" s="6"/>
      <c r="Y405" s="6"/>
      <c r="Z405" s="181"/>
      <c r="AA405" s="6"/>
      <c r="AB405" s="6"/>
      <c r="AC405" s="181"/>
      <c r="AD405" s="6"/>
      <c r="AE405" s="6"/>
      <c r="AF405" s="186"/>
      <c r="AG405" s="6"/>
    </row>
    <row r="406" spans="9:33" ht="21.75" customHeight="1" x14ac:dyDescent="0.25">
      <c r="I406" s="71"/>
      <c r="J406" s="6"/>
      <c r="K406" s="71"/>
      <c r="L406" s="6"/>
      <c r="M406" s="71"/>
      <c r="N406" s="6"/>
      <c r="O406" s="71"/>
      <c r="P406" s="6"/>
      <c r="Q406" s="71"/>
      <c r="R406" s="6"/>
      <c r="S406" s="71"/>
      <c r="T406" s="6"/>
      <c r="U406" s="71"/>
      <c r="V406" s="6"/>
      <c r="W406" s="181"/>
      <c r="X406" s="6"/>
      <c r="Y406" s="6"/>
      <c r="Z406" s="181"/>
      <c r="AA406" s="6"/>
      <c r="AB406" s="6"/>
      <c r="AC406" s="181"/>
      <c r="AD406" s="6"/>
      <c r="AE406" s="6"/>
      <c r="AF406" s="186"/>
      <c r="AG406" s="6"/>
    </row>
    <row r="407" spans="9:33" ht="21.75" customHeight="1" x14ac:dyDescent="0.25">
      <c r="I407" s="71"/>
      <c r="J407" s="6"/>
      <c r="K407" s="71"/>
      <c r="L407" s="6"/>
      <c r="M407" s="71"/>
      <c r="N407" s="6"/>
      <c r="O407" s="71"/>
      <c r="P407" s="6"/>
      <c r="Q407" s="71"/>
      <c r="R407" s="6"/>
      <c r="S407" s="71"/>
      <c r="T407" s="6"/>
      <c r="U407" s="71"/>
      <c r="V407" s="6"/>
      <c r="W407" s="181"/>
      <c r="X407" s="6"/>
      <c r="Y407" s="6"/>
      <c r="Z407" s="181"/>
      <c r="AA407" s="6"/>
      <c r="AB407" s="6"/>
      <c r="AC407" s="181"/>
      <c r="AD407" s="6"/>
      <c r="AE407" s="6"/>
      <c r="AF407" s="186"/>
      <c r="AG407" s="6"/>
    </row>
    <row r="408" spans="9:33" ht="21.75" customHeight="1" x14ac:dyDescent="0.25">
      <c r="I408" s="71"/>
      <c r="J408" s="6"/>
      <c r="K408" s="71"/>
      <c r="L408" s="6"/>
      <c r="M408" s="71"/>
      <c r="N408" s="6"/>
      <c r="O408" s="71"/>
      <c r="P408" s="6"/>
      <c r="Q408" s="71"/>
      <c r="R408" s="6"/>
      <c r="S408" s="71"/>
      <c r="T408" s="6"/>
      <c r="U408" s="71"/>
      <c r="V408" s="6"/>
      <c r="W408" s="181"/>
      <c r="X408" s="6"/>
      <c r="Y408" s="6"/>
      <c r="Z408" s="181"/>
      <c r="AA408" s="6"/>
      <c r="AB408" s="6"/>
      <c r="AC408" s="181"/>
      <c r="AD408" s="6"/>
      <c r="AE408" s="6"/>
      <c r="AF408" s="186"/>
      <c r="AG408" s="6"/>
    </row>
    <row r="409" spans="9:33" ht="21.75" customHeight="1" x14ac:dyDescent="0.25">
      <c r="I409" s="71"/>
      <c r="J409" s="6"/>
      <c r="K409" s="71"/>
      <c r="L409" s="6"/>
      <c r="M409" s="71"/>
      <c r="N409" s="6"/>
      <c r="O409" s="71"/>
      <c r="P409" s="6"/>
      <c r="Q409" s="71"/>
      <c r="R409" s="6"/>
      <c r="S409" s="71"/>
      <c r="T409" s="6"/>
      <c r="U409" s="71"/>
      <c r="V409" s="6"/>
      <c r="W409" s="181"/>
      <c r="X409" s="6"/>
      <c r="Y409" s="6"/>
      <c r="Z409" s="181"/>
      <c r="AA409" s="6"/>
      <c r="AB409" s="6"/>
      <c r="AC409" s="181"/>
      <c r="AD409" s="6"/>
      <c r="AE409" s="6"/>
      <c r="AF409" s="186"/>
      <c r="AG409" s="6"/>
    </row>
    <row r="410" spans="9:33" ht="21.75" customHeight="1" x14ac:dyDescent="0.25">
      <c r="I410" s="71"/>
      <c r="J410" s="6"/>
      <c r="K410" s="71"/>
      <c r="L410" s="6"/>
      <c r="M410" s="71"/>
      <c r="N410" s="6"/>
      <c r="O410" s="71"/>
      <c r="P410" s="6"/>
      <c r="Q410" s="71"/>
      <c r="R410" s="6"/>
      <c r="S410" s="71"/>
      <c r="T410" s="6"/>
      <c r="U410" s="71"/>
      <c r="V410" s="6"/>
      <c r="W410" s="181"/>
      <c r="X410" s="6"/>
      <c r="Y410" s="6"/>
      <c r="Z410" s="181"/>
      <c r="AA410" s="6"/>
      <c r="AB410" s="6"/>
      <c r="AC410" s="181"/>
      <c r="AD410" s="6"/>
      <c r="AE410" s="6"/>
      <c r="AF410" s="186"/>
      <c r="AG410" s="6"/>
    </row>
    <row r="411" spans="9:33" ht="21.75" customHeight="1" x14ac:dyDescent="0.25">
      <c r="I411" s="71"/>
      <c r="J411" s="6"/>
      <c r="K411" s="71"/>
      <c r="L411" s="6"/>
      <c r="M411" s="71"/>
      <c r="N411" s="6"/>
      <c r="O411" s="71"/>
      <c r="P411" s="6"/>
      <c r="Q411" s="71"/>
      <c r="R411" s="6"/>
      <c r="S411" s="71"/>
      <c r="T411" s="6"/>
      <c r="U411" s="71"/>
      <c r="V411" s="6"/>
      <c r="W411" s="181"/>
      <c r="X411" s="6"/>
      <c r="Y411" s="6"/>
      <c r="Z411" s="181"/>
      <c r="AA411" s="6"/>
      <c r="AB411" s="6"/>
      <c r="AC411" s="181"/>
      <c r="AD411" s="6"/>
      <c r="AE411" s="6"/>
      <c r="AF411" s="186"/>
      <c r="AG411" s="6"/>
    </row>
    <row r="412" spans="9:33" ht="21.75" customHeight="1" x14ac:dyDescent="0.25">
      <c r="I412" s="71"/>
      <c r="J412" s="6"/>
      <c r="K412" s="71"/>
      <c r="L412" s="6"/>
      <c r="M412" s="71"/>
      <c r="N412" s="6"/>
      <c r="O412" s="71"/>
      <c r="P412" s="6"/>
      <c r="Q412" s="71"/>
      <c r="R412" s="6"/>
      <c r="S412" s="71"/>
      <c r="T412" s="6"/>
      <c r="U412" s="71"/>
      <c r="V412" s="6"/>
      <c r="W412" s="181"/>
      <c r="X412" s="6"/>
      <c r="Y412" s="6"/>
      <c r="Z412" s="181"/>
      <c r="AA412" s="6"/>
      <c r="AB412" s="6"/>
      <c r="AC412" s="181"/>
      <c r="AD412" s="6"/>
      <c r="AE412" s="6"/>
      <c r="AF412" s="186"/>
      <c r="AG412" s="6"/>
    </row>
    <row r="413" spans="9:33" ht="21.75" customHeight="1" x14ac:dyDescent="0.25">
      <c r="I413" s="71"/>
      <c r="J413" s="6"/>
      <c r="K413" s="71"/>
      <c r="L413" s="6"/>
      <c r="M413" s="71"/>
      <c r="N413" s="6"/>
      <c r="O413" s="71"/>
      <c r="P413" s="6"/>
      <c r="Q413" s="71"/>
      <c r="R413" s="6"/>
      <c r="S413" s="71"/>
      <c r="T413" s="6"/>
      <c r="U413" s="71"/>
      <c r="V413" s="6"/>
      <c r="W413" s="181"/>
      <c r="X413" s="6"/>
      <c r="Y413" s="6"/>
      <c r="Z413" s="181"/>
      <c r="AA413" s="6"/>
      <c r="AB413" s="6"/>
      <c r="AC413" s="181"/>
      <c r="AD413" s="6"/>
      <c r="AE413" s="6"/>
      <c r="AF413" s="186"/>
      <c r="AG413" s="6"/>
    </row>
    <row r="414" spans="9:33" ht="21.75" customHeight="1" x14ac:dyDescent="0.25">
      <c r="I414" s="71"/>
      <c r="J414" s="6"/>
      <c r="K414" s="71"/>
      <c r="L414" s="6"/>
      <c r="M414" s="71"/>
      <c r="N414" s="6"/>
      <c r="O414" s="71"/>
      <c r="P414" s="6"/>
      <c r="Q414" s="71"/>
      <c r="R414" s="6"/>
      <c r="S414" s="71"/>
      <c r="T414" s="6"/>
      <c r="U414" s="71"/>
      <c r="V414" s="6"/>
      <c r="W414" s="181"/>
      <c r="X414" s="6"/>
      <c r="Y414" s="6"/>
      <c r="Z414" s="181"/>
      <c r="AA414" s="6"/>
      <c r="AB414" s="6"/>
      <c r="AC414" s="181"/>
      <c r="AD414" s="6"/>
      <c r="AE414" s="6"/>
      <c r="AF414" s="186"/>
      <c r="AG414" s="6"/>
    </row>
    <row r="415" spans="9:33" ht="21.75" customHeight="1" x14ac:dyDescent="0.25">
      <c r="I415" s="71"/>
      <c r="J415" s="6"/>
      <c r="K415" s="71"/>
      <c r="L415" s="6"/>
      <c r="M415" s="71"/>
      <c r="N415" s="6"/>
      <c r="O415" s="71"/>
      <c r="P415" s="6"/>
      <c r="Q415" s="71"/>
      <c r="R415" s="6"/>
      <c r="S415" s="71"/>
      <c r="T415" s="6"/>
      <c r="U415" s="71"/>
      <c r="V415" s="6"/>
      <c r="W415" s="181"/>
      <c r="X415" s="6"/>
      <c r="Y415" s="6"/>
      <c r="Z415" s="181"/>
      <c r="AA415" s="6"/>
      <c r="AB415" s="6"/>
      <c r="AC415" s="181"/>
      <c r="AD415" s="6"/>
      <c r="AE415" s="6"/>
      <c r="AF415" s="186"/>
      <c r="AG415" s="6"/>
    </row>
    <row r="416" spans="9:33" ht="21.75" customHeight="1" x14ac:dyDescent="0.25">
      <c r="I416" s="71"/>
      <c r="J416" s="6"/>
      <c r="K416" s="71"/>
      <c r="L416" s="6"/>
      <c r="M416" s="71"/>
      <c r="N416" s="6"/>
      <c r="O416" s="71"/>
      <c r="P416" s="6"/>
      <c r="Q416" s="71"/>
      <c r="R416" s="6"/>
      <c r="S416" s="71"/>
      <c r="T416" s="6"/>
      <c r="U416" s="71"/>
      <c r="V416" s="6"/>
      <c r="W416" s="181"/>
      <c r="X416" s="6"/>
      <c r="Y416" s="6"/>
      <c r="Z416" s="181"/>
      <c r="AA416" s="6"/>
      <c r="AB416" s="6"/>
      <c r="AC416" s="181"/>
      <c r="AD416" s="6"/>
      <c r="AE416" s="6"/>
      <c r="AF416" s="186"/>
      <c r="AG416" s="6"/>
    </row>
    <row r="417" spans="9:33" ht="21.75" customHeight="1" x14ac:dyDescent="0.25">
      <c r="I417" s="71"/>
      <c r="J417" s="6"/>
      <c r="K417" s="71"/>
      <c r="L417" s="6"/>
      <c r="M417" s="71"/>
      <c r="N417" s="6"/>
      <c r="O417" s="71"/>
      <c r="P417" s="6"/>
      <c r="Q417" s="71"/>
      <c r="R417" s="6"/>
      <c r="S417" s="71"/>
      <c r="T417" s="6"/>
      <c r="U417" s="71"/>
      <c r="V417" s="6"/>
      <c r="W417" s="181"/>
      <c r="X417" s="6"/>
      <c r="Y417" s="6"/>
      <c r="Z417" s="181"/>
      <c r="AA417" s="6"/>
      <c r="AB417" s="6"/>
      <c r="AC417" s="181"/>
      <c r="AD417" s="6"/>
      <c r="AE417" s="6"/>
      <c r="AF417" s="186"/>
      <c r="AG417" s="6"/>
    </row>
    <row r="418" spans="9:33" ht="21.75" customHeight="1" x14ac:dyDescent="0.25">
      <c r="I418" s="71"/>
      <c r="J418" s="6"/>
      <c r="K418" s="71"/>
      <c r="L418" s="6"/>
      <c r="M418" s="71"/>
      <c r="N418" s="6"/>
      <c r="O418" s="71"/>
      <c r="P418" s="6"/>
      <c r="Q418" s="71"/>
      <c r="R418" s="6"/>
      <c r="S418" s="71"/>
      <c r="T418" s="6"/>
      <c r="U418" s="71"/>
      <c r="V418" s="6"/>
      <c r="W418" s="181"/>
      <c r="X418" s="6"/>
      <c r="Y418" s="6"/>
      <c r="Z418" s="181"/>
      <c r="AA418" s="6"/>
      <c r="AB418" s="6"/>
      <c r="AC418" s="181"/>
      <c r="AD418" s="6"/>
      <c r="AE418" s="6"/>
      <c r="AF418" s="186"/>
      <c r="AG418" s="6"/>
    </row>
    <row r="419" spans="9:33" ht="21.75" customHeight="1" x14ac:dyDescent="0.25">
      <c r="I419" s="71"/>
      <c r="J419" s="6"/>
      <c r="K419" s="71"/>
      <c r="L419" s="6"/>
      <c r="M419" s="71"/>
      <c r="N419" s="6"/>
      <c r="O419" s="71"/>
      <c r="P419" s="6"/>
      <c r="Q419" s="71"/>
      <c r="R419" s="6"/>
      <c r="S419" s="71"/>
      <c r="T419" s="6"/>
      <c r="U419" s="71"/>
      <c r="V419" s="6"/>
      <c r="W419" s="181"/>
      <c r="X419" s="6"/>
      <c r="Y419" s="6"/>
      <c r="Z419" s="181"/>
      <c r="AA419" s="6"/>
      <c r="AB419" s="6"/>
      <c r="AC419" s="181"/>
      <c r="AD419" s="6"/>
      <c r="AE419" s="6"/>
      <c r="AF419" s="186"/>
      <c r="AG419" s="6"/>
    </row>
    <row r="420" spans="9:33" ht="21.75" customHeight="1" x14ac:dyDescent="0.25">
      <c r="I420" s="71"/>
      <c r="J420" s="6"/>
      <c r="K420" s="71"/>
      <c r="L420" s="6"/>
      <c r="M420" s="71"/>
      <c r="N420" s="6"/>
      <c r="O420" s="71"/>
      <c r="P420" s="6"/>
      <c r="Q420" s="71"/>
      <c r="R420" s="6"/>
      <c r="S420" s="71"/>
      <c r="T420" s="6"/>
      <c r="U420" s="71"/>
      <c r="V420" s="6"/>
      <c r="W420" s="181"/>
      <c r="X420" s="6"/>
      <c r="Y420" s="6"/>
      <c r="Z420" s="181"/>
      <c r="AA420" s="6"/>
      <c r="AB420" s="6"/>
      <c r="AC420" s="181"/>
      <c r="AD420" s="6"/>
      <c r="AE420" s="6"/>
      <c r="AF420" s="186"/>
      <c r="AG420" s="6"/>
    </row>
    <row r="421" spans="9:33" ht="21.75" customHeight="1" x14ac:dyDescent="0.25">
      <c r="I421" s="71"/>
      <c r="J421" s="6"/>
      <c r="K421" s="71"/>
      <c r="L421" s="6"/>
      <c r="M421" s="71"/>
      <c r="N421" s="6"/>
      <c r="O421" s="71"/>
      <c r="P421" s="6"/>
      <c r="Q421" s="71"/>
      <c r="R421" s="6"/>
      <c r="S421" s="71"/>
      <c r="T421" s="6"/>
      <c r="U421" s="71"/>
      <c r="V421" s="6"/>
      <c r="W421" s="181"/>
      <c r="X421" s="6"/>
      <c r="Y421" s="6"/>
      <c r="Z421" s="181"/>
      <c r="AA421" s="6"/>
      <c r="AB421" s="6"/>
      <c r="AC421" s="181"/>
      <c r="AD421" s="6"/>
      <c r="AE421" s="6"/>
      <c r="AF421" s="186"/>
      <c r="AG421" s="6"/>
    </row>
    <row r="422" spans="9:33" ht="21.75" customHeight="1" x14ac:dyDescent="0.25">
      <c r="I422" s="71"/>
      <c r="J422" s="6"/>
      <c r="K422" s="71"/>
      <c r="L422" s="6"/>
      <c r="M422" s="71"/>
      <c r="N422" s="6"/>
      <c r="O422" s="71"/>
      <c r="P422" s="6"/>
      <c r="Q422" s="71"/>
      <c r="R422" s="6"/>
      <c r="S422" s="71"/>
      <c r="T422" s="6"/>
      <c r="U422" s="71"/>
      <c r="V422" s="6"/>
      <c r="W422" s="181"/>
      <c r="X422" s="6"/>
      <c r="Y422" s="6"/>
      <c r="Z422" s="181"/>
      <c r="AA422" s="6"/>
      <c r="AB422" s="6"/>
      <c r="AC422" s="181"/>
      <c r="AD422" s="6"/>
      <c r="AE422" s="6"/>
      <c r="AF422" s="186"/>
      <c r="AG422" s="6"/>
    </row>
    <row r="423" spans="9:33" ht="21.75" customHeight="1" x14ac:dyDescent="0.25">
      <c r="I423" s="71"/>
      <c r="J423" s="6"/>
      <c r="K423" s="71"/>
      <c r="L423" s="6"/>
      <c r="M423" s="71"/>
      <c r="N423" s="6"/>
      <c r="O423" s="71"/>
      <c r="P423" s="6"/>
      <c r="Q423" s="71"/>
      <c r="R423" s="6"/>
      <c r="S423" s="71"/>
      <c r="T423" s="6"/>
      <c r="U423" s="71"/>
      <c r="V423" s="6"/>
      <c r="W423" s="181"/>
      <c r="X423" s="6"/>
      <c r="Y423" s="6"/>
      <c r="Z423" s="181"/>
      <c r="AA423" s="6"/>
      <c r="AB423" s="6"/>
      <c r="AC423" s="181"/>
      <c r="AD423" s="6"/>
      <c r="AE423" s="6"/>
      <c r="AF423" s="186"/>
      <c r="AG423" s="6"/>
    </row>
  </sheetData>
  <conditionalFormatting sqref="G5:H143">
    <cfRule type="dataBar" priority="177">
      <dataBar>
        <cfvo type="min"/>
        <cfvo type="max"/>
        <color rgb="FF638EC6"/>
      </dataBar>
    </cfRule>
  </conditionalFormatting>
  <conditionalFormatting sqref="I5:I1048576">
    <cfRule type="colorScale" priority="3">
      <colorScale>
        <cfvo type="min"/>
        <cfvo type="max"/>
        <color rgb="FF63BE7B"/>
        <color rgb="FFFFEF9C"/>
      </colorScale>
    </cfRule>
  </conditionalFormatting>
  <conditionalFormatting sqref="J5:J143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048576">
    <cfRule type="colorScale" priority="2">
      <colorScale>
        <cfvo type="min"/>
        <cfvo type="max"/>
        <color rgb="FF63BE7B"/>
        <color rgb="FFFFEF9C"/>
      </colorScale>
    </cfRule>
  </conditionalFormatting>
  <conditionalFormatting sqref="L5:L143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1048576">
    <cfRule type="colorScale" priority="1">
      <colorScale>
        <cfvo type="min"/>
        <cfvo type="max"/>
        <color rgb="FF63BE7B"/>
        <color rgb="FFFFEF9C"/>
      </colorScale>
    </cfRule>
  </conditionalFormatting>
  <conditionalFormatting sqref="N5:N143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O143">
    <cfRule type="colorScale" priority="1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5:O1048576">
    <cfRule type="colorScale" priority="7">
      <colorScale>
        <cfvo type="min"/>
        <cfvo type="max"/>
        <color rgb="FF63BE7B"/>
        <color rgb="FFFFEF9C"/>
      </colorScale>
    </cfRule>
  </conditionalFormatting>
  <conditionalFormatting sqref="O5:P143">
    <cfRule type="colorScale" priority="1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5:Q1048576">
    <cfRule type="colorScale" priority="6">
      <colorScale>
        <cfvo type="min"/>
        <cfvo type="max"/>
        <color rgb="FF63BE7B"/>
        <color rgb="FFFFEF9C"/>
      </colorScale>
    </cfRule>
  </conditionalFormatting>
  <conditionalFormatting sqref="S5:S1048576">
    <cfRule type="colorScale" priority="4">
      <colorScale>
        <cfvo type="min"/>
        <cfvo type="max"/>
        <color rgb="FF63BE7B"/>
        <color rgb="FFFFEF9C"/>
      </colorScale>
    </cfRule>
  </conditionalFormatting>
  <conditionalFormatting sqref="U5:U143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">
      <colorScale>
        <cfvo type="min"/>
        <cfvo type="max"/>
        <color rgb="FF63BE7B"/>
        <color rgb="FFFFEF9C"/>
      </colorScale>
    </cfRule>
  </conditionalFormatting>
  <conditionalFormatting sqref="U5:U1048576">
    <cfRule type="colorScale" priority="5">
      <colorScale>
        <cfvo type="min"/>
        <cfvo type="max"/>
        <color rgb="FF63BE7B"/>
        <color rgb="FFFFEF9C"/>
      </colorScale>
    </cfRule>
  </conditionalFormatting>
  <conditionalFormatting sqref="AH5:AI143">
    <cfRule type="colorScale" priority="17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5:AK143">
    <cfRule type="colorScale" priority="17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5:AM143">
    <cfRule type="colorScale" priority="17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5:AO143">
    <cfRule type="colorScale" priority="17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autoPageBreaks="0"/>
  </sheetPr>
  <dimension ref="A1:AO380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5" sqref="K15"/>
    </sheetView>
  </sheetViews>
  <sheetFormatPr defaultColWidth="9.140625" defaultRowHeight="18.75" customHeight="1" outlineLevelCol="1" x14ac:dyDescent="0.2"/>
  <cols>
    <col min="1" max="1" width="3.85546875" style="38" customWidth="1"/>
    <col min="2" max="2" width="3.85546875" style="38" customWidth="1" outlineLevel="1"/>
    <col min="3" max="3" width="2" style="48" customWidth="1" outlineLevel="1"/>
    <col min="4" max="4" width="23.85546875" style="51" customWidth="1" outlineLevel="1"/>
    <col min="5" max="5" width="23.85546875" style="48" customWidth="1" outlineLevel="1"/>
    <col min="6" max="11" width="18.28515625" style="48" customWidth="1" outlineLevel="1"/>
    <col min="12" max="12" width="2" style="48" customWidth="1" outlineLevel="1"/>
    <col min="13" max="18" width="18.28515625" style="48" customWidth="1" outlineLevel="1"/>
    <col min="19" max="19" width="3.28515625" style="48" customWidth="1"/>
    <col min="20" max="20" width="9.5703125" style="51" customWidth="1"/>
    <col min="21" max="22" width="9.5703125" style="48" customWidth="1"/>
    <col min="23" max="23" width="20.140625" style="48" customWidth="1"/>
    <col min="24" max="24" width="1.85546875" style="48" customWidth="1"/>
    <col min="25" max="25" width="9.5703125" style="51" customWidth="1"/>
    <col min="26" max="27" width="9.5703125" style="48" customWidth="1"/>
    <col min="28" max="28" width="20.140625" style="58" customWidth="1"/>
    <col min="29" max="29" width="2" style="48" customWidth="1"/>
    <col min="30" max="30" width="12.85546875" style="51" customWidth="1"/>
    <col min="31" max="31" width="12.85546875" style="48" customWidth="1"/>
    <col min="32" max="36" width="20.42578125" style="48" customWidth="1"/>
    <col min="37" max="37" width="3" style="48" customWidth="1"/>
    <col min="38" max="38" width="8.5703125" style="48" customWidth="1"/>
    <col min="39" max="39" width="17.42578125" style="48" customWidth="1"/>
    <col min="40" max="67" width="12.85546875" style="48" customWidth="1"/>
    <col min="68" max="69" width="10.7109375" style="48" customWidth="1"/>
    <col min="70" max="74" width="9.140625" style="48" customWidth="1"/>
    <col min="75" max="16384" width="9.140625" style="48"/>
  </cols>
  <sheetData>
    <row r="1" spans="1:41" s="138" customFormat="1" ht="18.75" customHeight="1" thickBot="1" x14ac:dyDescent="0.25">
      <c r="A1" s="134"/>
      <c r="B1" s="135"/>
      <c r="C1" s="135"/>
      <c r="D1" s="136"/>
      <c r="E1" s="135"/>
      <c r="F1" s="135"/>
      <c r="G1" s="135"/>
      <c r="H1" s="135"/>
      <c r="I1" s="135"/>
      <c r="J1" s="135"/>
      <c r="K1" s="158"/>
      <c r="L1" s="158"/>
      <c r="M1" s="135"/>
      <c r="N1" s="135"/>
      <c r="O1" s="135"/>
      <c r="P1" s="135"/>
      <c r="Q1" s="135"/>
      <c r="R1" s="135"/>
      <c r="S1" s="135"/>
      <c r="T1" s="160"/>
      <c r="U1" s="158"/>
      <c r="V1" s="158"/>
      <c r="W1" s="158"/>
      <c r="X1" s="135"/>
      <c r="Y1" s="136"/>
      <c r="Z1" s="135"/>
      <c r="AA1" s="135"/>
      <c r="AB1" s="137"/>
      <c r="AC1" s="135"/>
      <c r="AD1" s="136"/>
      <c r="AE1" s="135"/>
      <c r="AF1" s="135"/>
      <c r="AG1" s="135"/>
      <c r="AH1" s="135"/>
      <c r="AI1" s="135"/>
      <c r="AJ1" s="135"/>
      <c r="AK1" s="135"/>
      <c r="AL1" s="135"/>
      <c r="AM1" s="135"/>
    </row>
    <row r="2" spans="1:41" s="153" customFormat="1" ht="18.75" customHeight="1" thickBot="1" x14ac:dyDescent="0.3">
      <c r="A2" s="139">
        <v>1</v>
      </c>
      <c r="B2" s="140"/>
      <c r="C2" s="141"/>
      <c r="D2" s="142"/>
      <c r="E2" s="143"/>
      <c r="F2" s="144"/>
      <c r="G2" s="145"/>
      <c r="H2" s="145"/>
      <c r="I2" s="145"/>
      <c r="J2" s="145"/>
      <c r="K2" s="252"/>
      <c r="L2" s="159"/>
      <c r="M2" s="147"/>
      <c r="N2" s="148"/>
      <c r="O2" s="148"/>
      <c r="P2" s="148"/>
      <c r="Q2" s="148"/>
      <c r="R2" s="148"/>
      <c r="S2" s="148"/>
      <c r="T2" s="161" t="s">
        <v>7</v>
      </c>
      <c r="U2" s="258" t="s">
        <v>115</v>
      </c>
      <c r="V2" s="259"/>
      <c r="W2" s="162"/>
      <c r="X2" s="148"/>
      <c r="Y2" s="149"/>
      <c r="Z2" s="148"/>
      <c r="AA2" s="148"/>
      <c r="AB2" s="150"/>
      <c r="AC2" s="151"/>
      <c r="AD2" s="152"/>
      <c r="AE2" s="146"/>
      <c r="AF2" s="146"/>
      <c r="AG2" s="151"/>
      <c r="AH2" s="151"/>
      <c r="AI2" s="151"/>
      <c r="AJ2" s="151"/>
      <c r="AK2" s="151"/>
      <c r="AL2" s="151"/>
      <c r="AM2" s="151"/>
      <c r="AN2" s="146"/>
      <c r="AO2" s="146"/>
    </row>
    <row r="3" spans="1:41" ht="10.5" customHeight="1" x14ac:dyDescent="0.25">
      <c r="B3" s="39"/>
      <c r="C3" s="8"/>
      <c r="D3" s="9"/>
      <c r="E3" s="5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50"/>
      <c r="U3" s="10"/>
      <c r="V3" s="10"/>
      <c r="W3" s="10"/>
      <c r="X3" s="10"/>
      <c r="Y3" s="50"/>
      <c r="Z3" s="10"/>
      <c r="AA3" s="10"/>
      <c r="AB3" s="60"/>
      <c r="AC3" s="10"/>
      <c r="AD3" s="50"/>
      <c r="AE3" s="10"/>
      <c r="AF3" s="10"/>
      <c r="AG3" s="10"/>
      <c r="AH3" s="10"/>
      <c r="AI3" s="10"/>
      <c r="AJ3" s="10"/>
      <c r="AK3" s="10"/>
      <c r="AL3" s="10"/>
      <c r="AM3" s="10"/>
    </row>
    <row r="4" spans="1:41" ht="18.75" customHeight="1" thickBot="1" x14ac:dyDescent="0.25">
      <c r="B4" s="40"/>
      <c r="C4" s="11"/>
      <c r="D4" s="130" t="s">
        <v>36</v>
      </c>
      <c r="E4" s="131"/>
      <c r="F4" s="239" t="s">
        <v>110</v>
      </c>
      <c r="G4" s="239" t="s">
        <v>111</v>
      </c>
      <c r="H4" s="239" t="s">
        <v>112</v>
      </c>
      <c r="I4" s="239" t="s">
        <v>113</v>
      </c>
      <c r="J4" s="239" t="s">
        <v>114</v>
      </c>
      <c r="K4" s="239" t="s">
        <v>42</v>
      </c>
      <c r="L4" s="155"/>
      <c r="M4" s="239">
        <v>2014</v>
      </c>
      <c r="N4" s="239">
        <v>2015</v>
      </c>
      <c r="O4" s="239">
        <v>2016</v>
      </c>
      <c r="P4" s="239">
        <v>2017</v>
      </c>
      <c r="Q4" s="239">
        <v>2018</v>
      </c>
      <c r="T4" s="98" t="s">
        <v>0</v>
      </c>
      <c r="U4" s="99"/>
      <c r="V4" s="99"/>
      <c r="W4" s="100"/>
      <c r="X4" s="12"/>
      <c r="Y4" s="98" t="s">
        <v>5</v>
      </c>
      <c r="Z4" s="99"/>
      <c r="AA4" s="113"/>
      <c r="AB4" s="116" t="s">
        <v>43</v>
      </c>
      <c r="AC4" s="12"/>
      <c r="AD4" s="103" t="s">
        <v>44</v>
      </c>
      <c r="AE4" s="114"/>
      <c r="AF4" s="113"/>
      <c r="AG4" s="132">
        <f>N4</f>
        <v>2015</v>
      </c>
      <c r="AH4" s="132">
        <f>O4</f>
        <v>2016</v>
      </c>
      <c r="AI4" s="132">
        <f>P4</f>
        <v>2017</v>
      </c>
      <c r="AJ4" s="132">
        <f>Q4</f>
        <v>2018</v>
      </c>
      <c r="AK4" s="13"/>
      <c r="AL4" s="14"/>
      <c r="AN4" s="15"/>
      <c r="AO4" s="55"/>
    </row>
    <row r="5" spans="1:41" ht="18.75" customHeight="1" x14ac:dyDescent="0.2">
      <c r="B5" s="40"/>
      <c r="C5" s="11"/>
      <c r="D5" s="128" t="s">
        <v>66</v>
      </c>
      <c r="E5" s="129"/>
      <c r="F5" s="18">
        <v>600000000</v>
      </c>
      <c r="G5" s="18">
        <v>671000000</v>
      </c>
      <c r="H5" s="18">
        <v>646000000</v>
      </c>
      <c r="I5" s="18">
        <v>586000000</v>
      </c>
      <c r="J5" s="18">
        <v>502000000</v>
      </c>
      <c r="K5" s="18">
        <v>2405000000</v>
      </c>
      <c r="L5" s="17"/>
      <c r="M5" s="18">
        <v>3088000000</v>
      </c>
      <c r="N5" s="18">
        <v>2866000000</v>
      </c>
      <c r="O5" s="18">
        <v>2433000000</v>
      </c>
      <c r="P5" s="18">
        <v>2464000000</v>
      </c>
      <c r="Q5" s="18">
        <v>2573000000</v>
      </c>
      <c r="T5" s="22" t="s">
        <v>8</v>
      </c>
      <c r="U5" s="90"/>
      <c r="V5" s="90"/>
      <c r="W5" s="104">
        <v>14.77</v>
      </c>
      <c r="X5" s="12"/>
      <c r="Y5" s="22" t="s">
        <v>29</v>
      </c>
      <c r="Z5" s="22"/>
      <c r="AA5" s="23"/>
      <c r="AB5" s="111">
        <f>IF(AB4="Year over Year",AJ6,IF(AB4="3-Year Average",AVERAGE(AI6:AJ6),IF(AB4="5-Year Average",AVERAGE(AG6:AJ6),"")))</f>
        <v>-0.10617990190147578</v>
      </c>
      <c r="AC5" s="12"/>
      <c r="AD5" s="52"/>
      <c r="AE5" s="53"/>
      <c r="AF5" s="250"/>
      <c r="AG5" s="251"/>
      <c r="AH5" s="251"/>
      <c r="AI5" s="251"/>
      <c r="AJ5" s="251"/>
      <c r="AK5" s="13"/>
      <c r="AL5" s="14"/>
      <c r="AN5" s="15"/>
      <c r="AO5" s="55"/>
    </row>
    <row r="6" spans="1:41" ht="18.75" customHeight="1" x14ac:dyDescent="0.2">
      <c r="A6" s="41"/>
      <c r="B6" s="42"/>
      <c r="C6" s="16"/>
      <c r="D6" s="254" t="s">
        <v>98</v>
      </c>
      <c r="E6" s="129"/>
      <c r="F6" s="18">
        <v>2537000000</v>
      </c>
      <c r="G6" s="18">
        <v>2837000000</v>
      </c>
      <c r="H6" s="18">
        <v>2622000000</v>
      </c>
      <c r="I6" s="18">
        <v>2650000000</v>
      </c>
      <c r="J6" s="18">
        <v>2483000000</v>
      </c>
      <c r="K6" s="18">
        <v>10592000000</v>
      </c>
      <c r="L6" s="17"/>
      <c r="M6" s="18">
        <v>17146000000</v>
      </c>
      <c r="N6" s="18">
        <v>14963000000</v>
      </c>
      <c r="O6" s="18">
        <v>13586000000</v>
      </c>
      <c r="P6" s="18">
        <v>10530000000</v>
      </c>
      <c r="Q6" s="18">
        <v>10736000000</v>
      </c>
      <c r="T6" s="91" t="s">
        <v>9</v>
      </c>
      <c r="U6" s="92"/>
      <c r="V6" s="93"/>
      <c r="W6" s="105">
        <f>W5*J27</f>
        <v>9804290463.3799992</v>
      </c>
      <c r="X6" s="61"/>
      <c r="Y6" s="22" t="s">
        <v>47</v>
      </c>
      <c r="Z6" s="22"/>
      <c r="AA6" s="23"/>
      <c r="AB6" s="111">
        <f>IF(AB4="Year over Year",AJ7,IF(AB4="3-Year Average",AVERAGE(AI7:AJ7),IF(AB4="5-Year Average",AVERAGE(AG7:AJ7),"")))</f>
        <v>-4.3849644076539379E-2</v>
      </c>
      <c r="AC6" s="62"/>
      <c r="AD6" s="22" t="s">
        <v>45</v>
      </c>
      <c r="AE6" s="23"/>
      <c r="AF6" s="24"/>
      <c r="AG6" s="63">
        <f>IF(AND(N6&gt;0,M6&gt;0,M6&lt;&gt;""),N6/M6-1,IF(AND(M6&lt;0,N6&lt;0,M6&lt;&gt;""),(N6-M6)/ABS(M6),IF(AND(M6&gt;0,N6&lt;0,M6&lt;&gt;""),"L",IF(AND(M6&lt;0,N6&gt;0,M6&lt;&gt;""),"P",""))))</f>
        <v>-0.12731832497375484</v>
      </c>
      <c r="AH6" s="63">
        <f>IF(AND(O6&gt;0,N6&gt;0,N6&lt;&gt;""),O6/N6-1,IF(AND(N6&lt;0,O6&lt;0,N6&lt;&gt;""),(O6-N6)/ABS(N6),IF(AND(N6&gt;0,O6&lt;0,N6&lt;&gt;""),"L",IF(AND(N6&lt;0,O6&gt;0,N6&lt;&gt;""),"P",""))))</f>
        <v>-9.202699993316843E-2</v>
      </c>
      <c r="AI6" s="63">
        <f>IF(AND(P6&gt;0,O6&gt;0,O6&lt;&gt;""),P6/O6-1,IF(AND(O6&lt;0,P6&lt;0,O6&lt;&gt;""),(P6-O6)/ABS(O6),IF(AND(O6&gt;0,P6&lt;0,O6&lt;&gt;""),"L",IF(AND(O6&lt;0,P6&gt;0,O6&lt;&gt;""),"P",""))))</f>
        <v>-0.22493743559546597</v>
      </c>
      <c r="AJ6" s="63">
        <f>IF(AND(Q6&gt;0,P6&gt;0,P6&lt;&gt;""),Q6/P6-1,IF(AND(P6&lt;0,Q6&lt;0,P6&lt;&gt;""),(Q6-P6)/ABS(P6),IF(AND(P6&gt;0,Q6&lt;0,P6&lt;&gt;""),"L",IF(AND(P6&lt;0,Q6&gt;0,P6&lt;&gt;""),"P",""))))</f>
        <v>1.9563152896486136E-2</v>
      </c>
    </row>
    <row r="7" spans="1:41" ht="18.75" customHeight="1" x14ac:dyDescent="0.2">
      <c r="A7" s="41"/>
      <c r="B7" s="42"/>
      <c r="C7" s="16"/>
      <c r="D7" s="254" t="s">
        <v>99</v>
      </c>
      <c r="E7" s="129"/>
      <c r="F7" s="18">
        <v>-1937000000</v>
      </c>
      <c r="G7" s="18">
        <v>-2166000000</v>
      </c>
      <c r="H7" s="18">
        <v>-1976000000</v>
      </c>
      <c r="I7" s="18">
        <v>-2064000000</v>
      </c>
      <c r="J7" s="18">
        <v>-1981000000</v>
      </c>
      <c r="K7" s="18">
        <v>-8187000000</v>
      </c>
      <c r="L7" s="18"/>
      <c r="M7" s="18">
        <v>-14058000000</v>
      </c>
      <c r="N7" s="18">
        <v>-12097000000</v>
      </c>
      <c r="O7" s="18">
        <v>-11153000000</v>
      </c>
      <c r="P7" s="18">
        <v>-8066000000</v>
      </c>
      <c r="Q7" s="18">
        <v>-8163000000</v>
      </c>
      <c r="T7" s="91" t="s">
        <v>10</v>
      </c>
      <c r="U7" s="92"/>
      <c r="V7" s="94"/>
      <c r="W7" s="105">
        <f>W6+(J24+J25)-J21</f>
        <v>28390290463.379997</v>
      </c>
      <c r="X7" s="61"/>
      <c r="Y7" s="22" t="s">
        <v>31</v>
      </c>
      <c r="Z7" s="22"/>
      <c r="AB7" s="111">
        <f>IF(AB4="Year over Year",AJ8,IF(AB4="3-Year Average",AVERAGE(AI8:AJ8),IF(AB4="5-Year Average",AVERAGE(AG8:AJ8),"")))</f>
        <v>-0.31475712625292013</v>
      </c>
      <c r="AC7" s="62"/>
      <c r="AD7" s="22" t="s">
        <v>30</v>
      </c>
      <c r="AE7" s="23"/>
      <c r="AF7" s="24"/>
      <c r="AG7" s="63">
        <f t="shared" ref="AG7:AJ9" si="0">IF(AND(N8&gt;0,M8&gt;0,M8&lt;&gt;""),N8/M8-1,IF(AND(M8&lt;0,N8&lt;0,M8&lt;&gt;""),(N8-M8)/ABS(M8),IF(AND(M8&gt;0,N8&lt;0,M8&lt;&gt;""),"L",IF(AND(M8&lt;0,N8&gt;0,M8&lt;&gt;""),"P",""))))</f>
        <v>-7.376766632195797E-2</v>
      </c>
      <c r="AH7" s="63">
        <f t="shared" si="0"/>
        <v>-0.17528842575362857</v>
      </c>
      <c r="AI7" s="63">
        <f t="shared" si="0"/>
        <v>2.6624548736462028E-2</v>
      </c>
      <c r="AJ7" s="63">
        <f t="shared" si="0"/>
        <v>4.7032967032966999E-2</v>
      </c>
    </row>
    <row r="8" spans="1:41" ht="18.75" customHeight="1" x14ac:dyDescent="0.2">
      <c r="B8" s="42"/>
      <c r="C8" s="16"/>
      <c r="D8" s="128" t="s">
        <v>100</v>
      </c>
      <c r="E8" s="129"/>
      <c r="F8" s="18">
        <v>567000000</v>
      </c>
      <c r="G8" s="18">
        <v>629000000</v>
      </c>
      <c r="H8" s="18">
        <v>581000000</v>
      </c>
      <c r="I8" s="18">
        <v>541000000</v>
      </c>
      <c r="J8" s="18">
        <v>454000000</v>
      </c>
      <c r="K8" s="18">
        <v>2205000000</v>
      </c>
      <c r="L8" s="20"/>
      <c r="M8" s="18">
        <v>2901000000</v>
      </c>
      <c r="N8" s="18">
        <v>2687000000</v>
      </c>
      <c r="O8" s="18">
        <v>2216000000</v>
      </c>
      <c r="P8" s="18">
        <v>2275000000</v>
      </c>
      <c r="Q8" s="18">
        <v>2382000000</v>
      </c>
      <c r="T8" s="91" t="s">
        <v>11</v>
      </c>
      <c r="U8" s="92"/>
      <c r="V8" s="94"/>
      <c r="W8" s="105">
        <f>J18-J22</f>
        <v>5468000000</v>
      </c>
      <c r="X8" s="62"/>
      <c r="Y8" s="22" t="s">
        <v>32</v>
      </c>
      <c r="Z8" s="22"/>
      <c r="AA8" s="23"/>
      <c r="AB8" s="111" t="e">
        <f>IF(AB4="Year over Year",AJ9,IF(AB4="3-Year Average",AVERAGE(AI9:AJ9),IF(AB4="5-Year Average",AVERAGE(AG9:AJ9),"")))</f>
        <v>#DIV/0!</v>
      </c>
      <c r="AC8" s="62"/>
      <c r="AD8" s="22" t="s">
        <v>49</v>
      </c>
      <c r="AE8" s="23"/>
      <c r="AF8" s="24"/>
      <c r="AG8" s="63">
        <f t="shared" si="0"/>
        <v>-0.60208062418725616</v>
      </c>
      <c r="AH8" s="63" t="str">
        <f t="shared" si="0"/>
        <v>L</v>
      </c>
      <c r="AI8" s="63">
        <f t="shared" si="0"/>
        <v>-2.743362831858407E-2</v>
      </c>
      <c r="AJ8" s="63" t="str">
        <f t="shared" si="0"/>
        <v>P</v>
      </c>
    </row>
    <row r="9" spans="1:41" ht="18.75" customHeight="1" x14ac:dyDescent="0.2">
      <c r="B9" s="42"/>
      <c r="C9" s="16"/>
      <c r="D9" s="128" t="s">
        <v>31</v>
      </c>
      <c r="E9" s="129"/>
      <c r="F9" s="18">
        <v>290000000</v>
      </c>
      <c r="G9" s="18">
        <v>101000000</v>
      </c>
      <c r="H9" s="18">
        <v>128000000</v>
      </c>
      <c r="I9" s="18">
        <v>154000000</v>
      </c>
      <c r="J9" s="18">
        <v>17000000</v>
      </c>
      <c r="K9" s="18">
        <v>400000000</v>
      </c>
      <c r="L9" s="17"/>
      <c r="M9" s="18">
        <v>769000000</v>
      </c>
      <c r="N9" s="18">
        <v>306000000</v>
      </c>
      <c r="O9" s="18">
        <v>-1130000000</v>
      </c>
      <c r="P9" s="18">
        <v>-1161000000</v>
      </c>
      <c r="Q9" s="18">
        <v>1203000000</v>
      </c>
      <c r="T9" s="91" t="s">
        <v>53</v>
      </c>
      <c r="U9" s="92"/>
      <c r="V9" s="93"/>
      <c r="W9" s="106" t="str">
        <f>IF(W6&gt;10000000000,"Large Cap",IF(AND(10000000000&gt;W6,2000000000&lt;W6),"Mid Cap",IF(AND(2000000000&gt;W6,W6&gt;50000000),"Small Cap",IF(W6&lt;50000000,"Micro Cap",NA))))</f>
        <v>Mid Cap</v>
      </c>
      <c r="X9" s="61"/>
      <c r="AC9" s="62"/>
      <c r="AD9" s="22" t="s">
        <v>51</v>
      </c>
      <c r="AE9" s="23"/>
      <c r="AF9" s="24"/>
      <c r="AG9" s="63" t="str">
        <f t="shared" si="0"/>
        <v/>
      </c>
      <c r="AH9" s="63" t="str">
        <f t="shared" si="0"/>
        <v/>
      </c>
      <c r="AI9" s="63" t="str">
        <f t="shared" si="0"/>
        <v/>
      </c>
      <c r="AJ9" s="63" t="str">
        <f t="shared" si="0"/>
        <v/>
      </c>
    </row>
    <row r="10" spans="1:41" ht="18.75" customHeight="1" thickBot="1" x14ac:dyDescent="0.25">
      <c r="B10" s="42"/>
      <c r="C10" s="16"/>
      <c r="D10" s="128" t="s">
        <v>32</v>
      </c>
      <c r="E10" s="129"/>
      <c r="F10" s="257">
        <f>F9/F27</f>
        <v>0.43837847219463988</v>
      </c>
      <c r="G10" s="257">
        <f t="shared" ref="G10:J10" si="1">G9/G27</f>
        <v>0.15249944806146545</v>
      </c>
      <c r="H10" s="257">
        <f t="shared" si="1"/>
        <v>0.19326644719812089</v>
      </c>
      <c r="I10" s="257">
        <f t="shared" si="1"/>
        <v>0.23203430824325866</v>
      </c>
      <c r="J10" s="257">
        <f t="shared" si="1"/>
        <v>2.5610216357608552E-2</v>
      </c>
      <c r="K10" s="18"/>
      <c r="L10" s="25"/>
      <c r="M10" s="18"/>
      <c r="N10" s="18"/>
      <c r="O10" s="18"/>
      <c r="P10" s="18"/>
      <c r="Q10" s="18"/>
      <c r="T10" s="22" t="s">
        <v>55</v>
      </c>
      <c r="W10" s="107"/>
      <c r="X10" s="61"/>
      <c r="Y10" s="103" t="s">
        <v>2</v>
      </c>
      <c r="Z10" s="114"/>
      <c r="AA10" s="115"/>
      <c r="AB10" s="118"/>
      <c r="AC10" s="21"/>
    </row>
    <row r="11" spans="1:41" ht="18.75" customHeight="1" thickBot="1" x14ac:dyDescent="0.25">
      <c r="B11" s="42"/>
      <c r="C11" s="16"/>
      <c r="X11" s="62"/>
      <c r="Y11" s="52"/>
      <c r="Z11" s="53"/>
      <c r="AA11" s="96"/>
      <c r="AB11" s="119"/>
      <c r="AD11" s="101" t="s">
        <v>56</v>
      </c>
      <c r="AE11" s="102"/>
      <c r="AF11" s="133">
        <f>M4</f>
        <v>2014</v>
      </c>
      <c r="AG11" s="133">
        <f>N4</f>
        <v>2015</v>
      </c>
      <c r="AH11" s="133">
        <f>O4</f>
        <v>2016</v>
      </c>
      <c r="AI11" s="133">
        <f>P4</f>
        <v>2017</v>
      </c>
      <c r="AJ11" s="133">
        <f>Q4</f>
        <v>2018</v>
      </c>
    </row>
    <row r="12" spans="1:41" ht="18.75" hidden="1" customHeight="1" thickBot="1" x14ac:dyDescent="0.25">
      <c r="B12" s="42"/>
      <c r="C12" s="16"/>
      <c r="D12" s="128"/>
      <c r="E12" s="129"/>
      <c r="F12" s="18"/>
      <c r="G12" s="18"/>
      <c r="H12" s="18"/>
      <c r="I12" s="18"/>
      <c r="J12" s="18"/>
      <c r="K12" s="18"/>
      <c r="L12" s="25"/>
      <c r="M12" s="18"/>
      <c r="N12" s="18"/>
      <c r="O12" s="18"/>
      <c r="P12" s="18"/>
      <c r="Q12" s="18"/>
      <c r="T12" s="22"/>
      <c r="W12" s="95"/>
      <c r="X12" s="62"/>
      <c r="Y12" s="52"/>
      <c r="Z12" s="53"/>
      <c r="AA12" s="96"/>
      <c r="AB12" s="119"/>
      <c r="AD12" s="54"/>
      <c r="AE12" s="55"/>
      <c r="AF12" s="56"/>
      <c r="AG12" s="56"/>
      <c r="AH12" s="56"/>
      <c r="AI12" s="56"/>
      <c r="AJ12" s="56"/>
    </row>
    <row r="13" spans="1:41" ht="18.75" hidden="1" customHeight="1" thickBot="1" x14ac:dyDescent="0.25">
      <c r="B13" s="42"/>
      <c r="C13" s="16"/>
      <c r="D13" s="128"/>
      <c r="E13" s="129"/>
      <c r="F13" s="18"/>
      <c r="G13" s="18"/>
      <c r="H13" s="18"/>
      <c r="I13" s="18"/>
      <c r="J13" s="18"/>
      <c r="K13" s="18"/>
      <c r="L13" s="25"/>
      <c r="M13" s="18"/>
      <c r="N13" s="18"/>
      <c r="O13" s="18"/>
      <c r="P13" s="18"/>
      <c r="Q13" s="18"/>
      <c r="T13" s="22"/>
      <c r="W13" s="95"/>
      <c r="X13" s="62"/>
      <c r="Y13" s="91" t="s">
        <v>20</v>
      </c>
      <c r="Z13" s="91"/>
      <c r="AA13" s="92"/>
      <c r="AB13" s="108">
        <f>AVERAGE(G19:J19)/AVERAGE(G23:J23)</f>
        <v>1.2705253784505788</v>
      </c>
      <c r="AD13" s="54"/>
      <c r="AE13" s="55"/>
      <c r="AF13" s="56"/>
      <c r="AG13" s="56"/>
      <c r="AH13" s="56"/>
      <c r="AI13" s="56"/>
      <c r="AJ13" s="56"/>
    </row>
    <row r="14" spans="1:41" ht="18.75" customHeight="1" x14ac:dyDescent="0.2">
      <c r="B14" s="42"/>
      <c r="C14" s="16"/>
      <c r="T14" s="48"/>
      <c r="Y14" s="22" t="s">
        <v>21</v>
      </c>
      <c r="Z14" s="22"/>
      <c r="AA14" s="90"/>
      <c r="AB14" s="108">
        <f>AVERAGE(G18:J18)/AVERAGE(G26:J26)</f>
        <v>5.8724476148016054</v>
      </c>
      <c r="AD14" s="27" t="s">
        <v>29</v>
      </c>
      <c r="AE14" s="28"/>
      <c r="AF14" s="29">
        <f>IF(M6="","",M6)</f>
        <v>17146000000</v>
      </c>
      <c r="AG14" s="29">
        <f>IF(N6="","",N6)</f>
        <v>14963000000</v>
      </c>
      <c r="AH14" s="29">
        <f>IF(O6="","",O6)</f>
        <v>13586000000</v>
      </c>
      <c r="AI14" s="29">
        <f>IF(P6="","",P6)</f>
        <v>10530000000</v>
      </c>
      <c r="AJ14" s="29">
        <f>IF(Q6="","",Q6)</f>
        <v>10736000000</v>
      </c>
    </row>
    <row r="15" spans="1:41" ht="18.75" customHeight="1" thickBot="1" x14ac:dyDescent="0.25">
      <c r="B15" s="42"/>
      <c r="C15" s="16"/>
      <c r="D15" s="237" t="s">
        <v>58</v>
      </c>
      <c r="E15" s="238"/>
      <c r="F15" s="157"/>
      <c r="G15" s="157"/>
      <c r="H15" s="157"/>
      <c r="I15" s="157"/>
      <c r="J15" s="157"/>
      <c r="K15" s="157"/>
      <c r="L15" s="20"/>
      <c r="M15" s="157"/>
      <c r="N15" s="157"/>
      <c r="O15" s="157"/>
      <c r="P15" s="157"/>
      <c r="Q15" s="157"/>
      <c r="T15" s="98" t="s">
        <v>59</v>
      </c>
      <c r="U15" s="99"/>
      <c r="V15" s="99"/>
      <c r="W15" s="99"/>
      <c r="Y15" s="22" t="s">
        <v>22</v>
      </c>
      <c r="Z15" s="22"/>
      <c r="AA15" s="90"/>
      <c r="AB15" s="108">
        <f>AVERAGE(G25:J25)/AVERAGE(G26:J26)</f>
        <v>3.2473027195720019</v>
      </c>
      <c r="AD15" s="27" t="s">
        <v>60</v>
      </c>
      <c r="AE15" s="28"/>
      <c r="AF15" s="64">
        <f>IF(OR(M6="",M5=""),"",M5/M6)</f>
        <v>0.18010031494226059</v>
      </c>
      <c r="AG15" s="64">
        <f>IF(OR(N6="",N5=""),"",N5/N6)</f>
        <v>0.19153912985363897</v>
      </c>
      <c r="AH15" s="64">
        <f>IF(OR(O6="",O5=""),"",O5/O6)</f>
        <v>0.17908140733107611</v>
      </c>
      <c r="AI15" s="64">
        <f>IF(OR(P6="",P5=""),"",P5/P6)</f>
        <v>0.23399810066476734</v>
      </c>
      <c r="AJ15" s="64">
        <f>IF(OR(Q6="",Q5=""),"",Q5/Q6)</f>
        <v>0.23966095380029806</v>
      </c>
    </row>
    <row r="16" spans="1:41" ht="18.75" customHeight="1" x14ac:dyDescent="0.2">
      <c r="B16" s="43"/>
      <c r="C16" s="19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T16" s="91" t="s">
        <v>13</v>
      </c>
      <c r="U16" s="91"/>
      <c r="V16" s="92"/>
      <c r="W16" s="108">
        <f>IF(K9&gt;0,W5/(K9/AVERAGE(F27:J27)),"")</f>
        <v>24.471061249599998</v>
      </c>
      <c r="Y16" s="48"/>
      <c r="AB16" s="13"/>
      <c r="AD16" s="27" t="s">
        <v>47</v>
      </c>
      <c r="AE16" s="28"/>
      <c r="AF16" s="29">
        <f>IF(M8="","",M8)</f>
        <v>2901000000</v>
      </c>
      <c r="AG16" s="29">
        <f>IF(N8="","",N8)</f>
        <v>2687000000</v>
      </c>
      <c r="AH16" s="29">
        <f>IF(O8="","",O8)</f>
        <v>2216000000</v>
      </c>
      <c r="AI16" s="29">
        <f>IF(P8="","",P8)</f>
        <v>2275000000</v>
      </c>
      <c r="AJ16" s="29">
        <f>IF(Q8="","",Q8)</f>
        <v>2382000000</v>
      </c>
    </row>
    <row r="17" spans="2:38" ht="18.75" customHeight="1" thickBot="1" x14ac:dyDescent="0.3">
      <c r="B17" s="44"/>
      <c r="C17" s="26"/>
      <c r="D17" s="130" t="s">
        <v>61</v>
      </c>
      <c r="E17" s="131"/>
      <c r="F17" s="239" t="s">
        <v>110</v>
      </c>
      <c r="G17" s="239" t="s">
        <v>111</v>
      </c>
      <c r="H17" s="239" t="s">
        <v>112</v>
      </c>
      <c r="I17" s="239" t="s">
        <v>113</v>
      </c>
      <c r="J17" s="239" t="s">
        <v>114</v>
      </c>
      <c r="K17" s="239"/>
      <c r="L17" s="155"/>
      <c r="M17" s="239">
        <v>2014</v>
      </c>
      <c r="N17" s="239">
        <v>2015</v>
      </c>
      <c r="O17" s="239">
        <v>2016</v>
      </c>
      <c r="P17" s="239">
        <v>2017</v>
      </c>
      <c r="Q17" s="239">
        <v>2018</v>
      </c>
      <c r="T17" s="91" t="s">
        <v>15</v>
      </c>
      <c r="U17" s="91"/>
      <c r="V17" s="92"/>
      <c r="W17" s="108">
        <f>W5/((J18-J22)/J27)</f>
        <v>1.7930304431931237</v>
      </c>
      <c r="X17" s="65"/>
      <c r="Y17" s="103" t="s">
        <v>36</v>
      </c>
      <c r="Z17" s="114"/>
      <c r="AA17" s="114"/>
      <c r="AB17" s="120"/>
      <c r="AD17" s="27" t="s">
        <v>62</v>
      </c>
      <c r="AE17" s="28"/>
      <c r="AF17" s="64">
        <f>IF(OR(M6="",M8=""),"",M8/M6)</f>
        <v>0.16919398110346437</v>
      </c>
      <c r="AG17" s="64">
        <f>IF(OR(N6="",N8=""),"",N8/N6)</f>
        <v>0.17957628817750451</v>
      </c>
      <c r="AH17" s="64">
        <f>IF(OR(O6="",O8=""),"",O8/O6)</f>
        <v>0.16310908287943471</v>
      </c>
      <c r="AI17" s="64">
        <f>IF(OR(P6="",P8=""),"",P8/P6)</f>
        <v>0.21604938271604937</v>
      </c>
      <c r="AJ17" s="64">
        <f>IF(OR(Q6="",Q8=""),"",Q8/Q6)</f>
        <v>0.22187034277198212</v>
      </c>
      <c r="AK17" s="30"/>
      <c r="AL17" s="14"/>
    </row>
    <row r="18" spans="2:38" ht="18.75" customHeight="1" x14ac:dyDescent="0.25">
      <c r="B18" s="44"/>
      <c r="C18" s="26"/>
      <c r="D18" s="128" t="s">
        <v>101</v>
      </c>
      <c r="E18" s="129"/>
      <c r="F18" s="18">
        <v>32597000000</v>
      </c>
      <c r="G18" s="18">
        <v>32489000000</v>
      </c>
      <c r="H18" s="18">
        <v>32521000000</v>
      </c>
      <c r="I18" s="18">
        <v>33471000000</v>
      </c>
      <c r="J18" s="18">
        <v>33238000000</v>
      </c>
      <c r="K18" s="18"/>
      <c r="L18" s="127"/>
      <c r="M18" s="18">
        <v>38966000000</v>
      </c>
      <c r="N18" s="18">
        <v>36850000000</v>
      </c>
      <c r="O18" s="18">
        <v>36119000000</v>
      </c>
      <c r="P18" s="18">
        <v>33112000000</v>
      </c>
      <c r="Q18" s="18">
        <v>32521000000</v>
      </c>
      <c r="T18" s="91" t="s">
        <v>14</v>
      </c>
      <c r="U18" s="91"/>
      <c r="V18" s="92"/>
      <c r="W18" s="108">
        <f>W5/(K6/AVERAGE(F27:J27))</f>
        <v>0.92413373299093649</v>
      </c>
      <c r="X18" s="65"/>
      <c r="Y18" s="49" t="s">
        <v>29</v>
      </c>
      <c r="Z18" s="49"/>
      <c r="AA18" s="97"/>
      <c r="AB18" s="121">
        <f>K6</f>
        <v>10592000000</v>
      </c>
      <c r="AD18" s="27"/>
      <c r="AE18" s="28"/>
      <c r="AF18" s="64"/>
      <c r="AG18" s="64"/>
      <c r="AH18" s="64"/>
      <c r="AI18" s="64"/>
      <c r="AJ18" s="64"/>
      <c r="AK18" s="30"/>
      <c r="AL18" s="14"/>
    </row>
    <row r="19" spans="2:38" ht="18.75" customHeight="1" x14ac:dyDescent="0.25">
      <c r="B19" s="44"/>
      <c r="C19" s="26"/>
      <c r="D19" s="254" t="s">
        <v>102</v>
      </c>
      <c r="E19" s="129"/>
      <c r="F19" s="18">
        <v>5287000000</v>
      </c>
      <c r="G19" s="18">
        <v>5015000000</v>
      </c>
      <c r="H19" s="18">
        <v>5015000000</v>
      </c>
      <c r="I19" s="18">
        <v>5855000000</v>
      </c>
      <c r="J19" s="18">
        <v>5517000000</v>
      </c>
      <c r="K19" s="18"/>
      <c r="L19" s="31"/>
      <c r="M19" s="18">
        <v>7826000000</v>
      </c>
      <c r="N19" s="18">
        <v>6866000000</v>
      </c>
      <c r="O19" s="18">
        <v>6411000000</v>
      </c>
      <c r="P19" s="18">
        <v>6398000000</v>
      </c>
      <c r="Q19" s="18">
        <v>5015000000</v>
      </c>
      <c r="T19" s="22" t="s">
        <v>17</v>
      </c>
      <c r="U19" s="22"/>
      <c r="V19" s="23"/>
      <c r="W19" s="108" t="e">
        <f>IF(AVERAGE(O33:Q33)&gt;0,W5/(AVERAGE(O33:Q33)/K27),"")</f>
        <v>#DIV/0!</v>
      </c>
      <c r="X19" s="65"/>
      <c r="Y19" s="49" t="s">
        <v>66</v>
      </c>
      <c r="Z19" s="49"/>
      <c r="AA19" s="97"/>
      <c r="AB19" s="121">
        <f>K5</f>
        <v>2405000000</v>
      </c>
      <c r="AD19" s="27"/>
      <c r="AE19" s="28"/>
      <c r="AF19" s="64"/>
      <c r="AG19" s="64"/>
      <c r="AH19" s="64"/>
      <c r="AI19" s="64"/>
      <c r="AJ19" s="64"/>
      <c r="AK19" s="30"/>
      <c r="AL19" s="14"/>
    </row>
    <row r="20" spans="2:38" ht="18.75" customHeight="1" x14ac:dyDescent="0.25">
      <c r="B20" s="44"/>
      <c r="C20" s="26"/>
      <c r="D20" s="255" t="s">
        <v>104</v>
      </c>
      <c r="E20" s="129"/>
      <c r="F20" s="18">
        <v>1996000000</v>
      </c>
      <c r="G20" s="18">
        <v>1588000000</v>
      </c>
      <c r="H20" s="18">
        <v>1479000000</v>
      </c>
      <c r="I20" s="18">
        <v>1804000000</v>
      </c>
      <c r="J20" s="18">
        <v>1579000000</v>
      </c>
      <c r="K20" s="18"/>
      <c r="L20" s="31"/>
      <c r="M20" s="18">
        <v>2248000000</v>
      </c>
      <c r="N20" s="18">
        <v>1746000000</v>
      </c>
      <c r="O20" s="18">
        <v>2103000000</v>
      </c>
      <c r="P20" s="18">
        <v>1373000000</v>
      </c>
      <c r="Q20" s="18">
        <v>1479000000</v>
      </c>
      <c r="T20" s="91" t="s">
        <v>16</v>
      </c>
      <c r="U20" s="91"/>
      <c r="V20" s="92"/>
      <c r="W20" s="108" t="e">
        <f>IF(AVERAGE(O35:Q35)&gt;0,W6/AVERAGE(O35:Q35),"")</f>
        <v>#DIV/0!</v>
      </c>
      <c r="X20" s="65"/>
      <c r="Y20" s="49" t="s">
        <v>31</v>
      </c>
      <c r="Z20" s="49"/>
      <c r="AA20" s="97"/>
      <c r="AB20" s="121">
        <f>K9</f>
        <v>400000000</v>
      </c>
      <c r="AD20" s="27"/>
      <c r="AE20" s="28"/>
      <c r="AF20" s="64"/>
      <c r="AG20" s="64"/>
      <c r="AH20" s="64"/>
      <c r="AI20" s="64"/>
      <c r="AJ20" s="64"/>
      <c r="AK20" s="30"/>
      <c r="AL20" s="14"/>
    </row>
    <row r="21" spans="2:38" ht="18.75" customHeight="1" x14ac:dyDescent="0.2">
      <c r="B21" s="40"/>
      <c r="C21" s="11"/>
      <c r="D21" s="256" t="s">
        <v>103</v>
      </c>
      <c r="E21" s="129"/>
      <c r="F21" s="18">
        <v>1140000000</v>
      </c>
      <c r="G21" s="18">
        <v>1187000000</v>
      </c>
      <c r="H21" s="18">
        <v>1166000000</v>
      </c>
      <c r="I21" s="18">
        <v>1426000000</v>
      </c>
      <c r="J21" s="18">
        <v>1169000000</v>
      </c>
      <c r="K21" s="18"/>
      <c r="L21" s="17"/>
      <c r="M21" s="18">
        <v>1539000000</v>
      </c>
      <c r="N21" s="18">
        <v>1262000000</v>
      </c>
      <c r="O21" s="18">
        <v>1305000000</v>
      </c>
      <c r="P21" s="18">
        <v>949000000</v>
      </c>
      <c r="Q21" s="18">
        <v>1166000000</v>
      </c>
      <c r="T21" s="91" t="s">
        <v>18</v>
      </c>
      <c r="U21" s="91"/>
      <c r="V21" s="92"/>
      <c r="W21" s="108" t="e">
        <f>(W6+(J24+J25)-J21)/J15</f>
        <v>#DIV/0!</v>
      </c>
      <c r="X21" s="66"/>
      <c r="Y21" s="91" t="s">
        <v>32</v>
      </c>
      <c r="Z21" s="91"/>
      <c r="AA21" s="92"/>
      <c r="AB21" s="122">
        <f>K10</f>
        <v>0</v>
      </c>
      <c r="AD21" s="27" t="s">
        <v>31</v>
      </c>
      <c r="AE21" s="28"/>
      <c r="AF21" s="29">
        <f t="shared" ref="AF21:AJ22" si="2">IF(M9="","",M9)</f>
        <v>769000000</v>
      </c>
      <c r="AG21" s="29">
        <f t="shared" si="2"/>
        <v>306000000</v>
      </c>
      <c r="AH21" s="29">
        <f t="shared" si="2"/>
        <v>-1130000000</v>
      </c>
      <c r="AI21" s="29">
        <f t="shared" si="2"/>
        <v>-1161000000</v>
      </c>
      <c r="AJ21" s="29">
        <f t="shared" si="2"/>
        <v>1203000000</v>
      </c>
      <c r="AL21" s="67"/>
    </row>
    <row r="22" spans="2:38" ht="18.75" customHeight="1" x14ac:dyDescent="0.2">
      <c r="B22" s="42"/>
      <c r="C22" s="16"/>
      <c r="D22" s="128" t="s">
        <v>105</v>
      </c>
      <c r="E22" s="129"/>
      <c r="F22" s="18">
        <v>26940000000</v>
      </c>
      <c r="G22" s="18">
        <v>26780000000</v>
      </c>
      <c r="H22" s="18">
        <v>26917000000</v>
      </c>
      <c r="I22" s="18">
        <v>27822000000</v>
      </c>
      <c r="J22" s="18">
        <v>27770000000</v>
      </c>
      <c r="K22" s="18"/>
      <c r="L22" s="31"/>
      <c r="M22" s="18">
        <v>31641000000</v>
      </c>
      <c r="N22" s="18">
        <v>30679000000</v>
      </c>
      <c r="O22" s="18">
        <v>30419000000</v>
      </c>
      <c r="P22" s="18">
        <v>28267000000</v>
      </c>
      <c r="Q22" s="18">
        <v>26917000000</v>
      </c>
      <c r="X22" s="66"/>
      <c r="AB22" s="117"/>
      <c r="AD22" s="27" t="s">
        <v>32</v>
      </c>
      <c r="AE22" s="28"/>
      <c r="AF22" s="68" t="str">
        <f t="shared" si="2"/>
        <v/>
      </c>
      <c r="AG22" s="68" t="str">
        <f t="shared" si="2"/>
        <v/>
      </c>
      <c r="AH22" s="68" t="str">
        <f t="shared" si="2"/>
        <v/>
      </c>
      <c r="AI22" s="68" t="str">
        <f t="shared" si="2"/>
        <v/>
      </c>
      <c r="AJ22" s="68" t="str">
        <f t="shared" si="2"/>
        <v/>
      </c>
      <c r="AL22" s="67"/>
    </row>
    <row r="23" spans="2:38" ht="18.75" customHeight="1" thickBot="1" x14ac:dyDescent="0.3">
      <c r="B23" s="44"/>
      <c r="C23" s="26"/>
      <c r="D23" s="254" t="s">
        <v>106</v>
      </c>
      <c r="E23" s="129"/>
      <c r="F23" s="18">
        <v>3994000000</v>
      </c>
      <c r="G23" s="18">
        <v>4047000000</v>
      </c>
      <c r="H23" s="18">
        <v>4399000000</v>
      </c>
      <c r="I23" s="18">
        <v>4357000000</v>
      </c>
      <c r="J23" s="18">
        <v>4042000000</v>
      </c>
      <c r="K23" s="18"/>
      <c r="L23" s="31"/>
      <c r="M23" s="18">
        <v>6997000000</v>
      </c>
      <c r="N23" s="18">
        <v>6950000000</v>
      </c>
      <c r="O23" s="18">
        <v>5272000000</v>
      </c>
      <c r="P23" s="18">
        <v>6028000000</v>
      </c>
      <c r="Q23" s="18">
        <v>4399000000</v>
      </c>
      <c r="T23" s="101" t="s">
        <v>3</v>
      </c>
      <c r="U23" s="102"/>
      <c r="V23" s="102"/>
      <c r="W23" s="109"/>
      <c r="AB23" s="117"/>
      <c r="AD23" s="27" t="s">
        <v>67</v>
      </c>
      <c r="AE23" s="28"/>
      <c r="AF23" s="29">
        <f>IF(M27="","",M27)</f>
        <v>703851297</v>
      </c>
      <c r="AG23" s="29">
        <f>IF(N27="","",N27)</f>
        <v>666808790</v>
      </c>
      <c r="AH23" s="29">
        <f>IF(O27="","",O27)</f>
        <v>659182232</v>
      </c>
      <c r="AI23" s="29">
        <f>IF(P27="","",P27)</f>
        <v>660388128</v>
      </c>
      <c r="AJ23" s="29">
        <f>IF(Q27="","",Q27)</f>
        <v>662298096</v>
      </c>
      <c r="AL23" s="67"/>
    </row>
    <row r="24" spans="2:38" ht="18.75" customHeight="1" thickBot="1" x14ac:dyDescent="0.25">
      <c r="B24" s="43"/>
      <c r="C24" s="19"/>
      <c r="D24" s="256" t="s">
        <v>107</v>
      </c>
      <c r="E24" s="129"/>
      <c r="F24" s="18">
        <v>1235000000</v>
      </c>
      <c r="G24" s="18">
        <v>1308000000</v>
      </c>
      <c r="H24" s="18">
        <v>1659000000</v>
      </c>
      <c r="I24" s="18">
        <v>1265000000</v>
      </c>
      <c r="J24" s="18">
        <v>1087000000</v>
      </c>
      <c r="K24" s="18"/>
      <c r="L24" s="17"/>
      <c r="M24" s="18">
        <v>2133000000</v>
      </c>
      <c r="N24" s="18">
        <v>2529000000</v>
      </c>
      <c r="O24" s="18">
        <v>1303000000</v>
      </c>
      <c r="P24" s="18">
        <v>2164000000</v>
      </c>
      <c r="Q24" s="18">
        <v>1659000000</v>
      </c>
      <c r="T24" s="22" t="s">
        <v>12</v>
      </c>
      <c r="U24" s="22"/>
      <c r="V24" s="23"/>
      <c r="W24" s="110">
        <f>K6</f>
        <v>10592000000</v>
      </c>
      <c r="Y24" s="103" t="s">
        <v>61</v>
      </c>
      <c r="Z24" s="114"/>
      <c r="AA24" s="114"/>
      <c r="AB24" s="123"/>
      <c r="AD24" s="27" t="s">
        <v>69</v>
      </c>
      <c r="AE24" s="28"/>
      <c r="AF24" s="69">
        <f>IF(OR(M26="",M27="",M18="",M22=""),"",(M18-M22)/M27)</f>
        <v>10.407027778766741</v>
      </c>
      <c r="AG24" s="69">
        <f>IF(OR(N26="",N27="",N18="",N22=""),"",(N18-N22)/N27)</f>
        <v>9.2545270736458054</v>
      </c>
      <c r="AH24" s="69">
        <f>IF(OR(O26="",O27="",O18="",O22=""),"",(O18-O22)/O27)</f>
        <v>8.6470777325199499</v>
      </c>
      <c r="AI24" s="69">
        <f>IF(OR(P26="",P27="",P18="",P22=""),"",(P18-P22)/P27)</f>
        <v>7.3365946396904338</v>
      </c>
      <c r="AJ24" s="69">
        <f>IF(OR(Q26="",Q27="",Q18="",Q22=""),"",(Q18-Q22)/Q27)</f>
        <v>8.4614466413927296</v>
      </c>
      <c r="AL24" s="67"/>
    </row>
    <row r="25" spans="2:38" ht="18.75" customHeight="1" x14ac:dyDescent="0.2">
      <c r="B25" s="42"/>
      <c r="C25" s="16"/>
      <c r="D25" s="256" t="s">
        <v>108</v>
      </c>
      <c r="E25" s="129"/>
      <c r="F25" s="18">
        <v>18356000000</v>
      </c>
      <c r="G25" s="18">
        <v>18088000000</v>
      </c>
      <c r="H25" s="18">
        <v>17636000000</v>
      </c>
      <c r="I25" s="18">
        <v>18445000000</v>
      </c>
      <c r="J25" s="18">
        <v>18668000000</v>
      </c>
      <c r="K25" s="18"/>
      <c r="L25" s="125"/>
      <c r="M25" s="18">
        <v>18725000000</v>
      </c>
      <c r="N25" s="18">
        <v>18278000000</v>
      </c>
      <c r="O25" s="18">
        <v>19160000000</v>
      </c>
      <c r="P25" s="18">
        <v>17801000000</v>
      </c>
      <c r="Q25" s="18">
        <v>17636000000</v>
      </c>
      <c r="T25" s="49" t="s">
        <v>23</v>
      </c>
      <c r="U25" s="49"/>
      <c r="V25" s="97"/>
      <c r="W25" s="111">
        <f>(K6-K7)/K6</f>
        <v>1.7729418429003021</v>
      </c>
      <c r="Y25" s="22" t="s">
        <v>75</v>
      </c>
      <c r="Z25" s="22"/>
      <c r="AA25" s="23"/>
      <c r="AB25" s="121">
        <f>J20</f>
        <v>1579000000</v>
      </c>
      <c r="AL25" s="67"/>
    </row>
    <row r="26" spans="2:38" ht="18.75" customHeight="1" thickBot="1" x14ac:dyDescent="0.25">
      <c r="B26" s="45"/>
      <c r="C26" s="32"/>
      <c r="D26" s="128" t="s">
        <v>109</v>
      </c>
      <c r="E26" s="129"/>
      <c r="F26" s="18">
        <v>5657000000</v>
      </c>
      <c r="G26" s="18">
        <v>5709000000</v>
      </c>
      <c r="H26" s="18">
        <v>5604000000</v>
      </c>
      <c r="I26" s="18">
        <v>5649000000</v>
      </c>
      <c r="J26" s="18">
        <v>5468000000</v>
      </c>
      <c r="K26" s="18"/>
      <c r="L26" s="127"/>
      <c r="M26" s="18">
        <v>7325000000</v>
      </c>
      <c r="N26" s="18">
        <v>6171000000</v>
      </c>
      <c r="O26" s="18">
        <v>5700000000</v>
      </c>
      <c r="P26" s="18">
        <v>4845000000</v>
      </c>
      <c r="Q26" s="18">
        <v>5604000000</v>
      </c>
      <c r="T26" s="49" t="s">
        <v>24</v>
      </c>
      <c r="U26" s="49"/>
      <c r="V26" s="97"/>
      <c r="W26" s="111">
        <f>K9/K6</f>
        <v>3.7764350453172203E-2</v>
      </c>
      <c r="Y26" s="49" t="s">
        <v>78</v>
      </c>
      <c r="Z26" s="49"/>
      <c r="AA26" s="97"/>
      <c r="AB26" s="121">
        <f>J19</f>
        <v>5517000000</v>
      </c>
      <c r="AD26" s="101" t="s">
        <v>3</v>
      </c>
      <c r="AE26" s="102"/>
      <c r="AF26" s="133">
        <f>M4</f>
        <v>2014</v>
      </c>
      <c r="AG26" s="133">
        <f>N4</f>
        <v>2015</v>
      </c>
      <c r="AH26" s="133">
        <f>O4</f>
        <v>2016</v>
      </c>
      <c r="AI26" s="133">
        <f>P4</f>
        <v>2017</v>
      </c>
      <c r="AJ26" s="133">
        <f>Q4</f>
        <v>2018</v>
      </c>
    </row>
    <row r="27" spans="2:38" ht="18.75" customHeight="1" thickBot="1" x14ac:dyDescent="0.25">
      <c r="B27" s="45"/>
      <c r="C27" s="32"/>
      <c r="D27" s="237" t="s">
        <v>116</v>
      </c>
      <c r="E27" s="238"/>
      <c r="F27" s="157">
        <v>661528835</v>
      </c>
      <c r="G27" s="157">
        <v>662297479</v>
      </c>
      <c r="H27" s="157">
        <v>662298096</v>
      </c>
      <c r="I27" s="157">
        <v>663694956</v>
      </c>
      <c r="J27" s="157">
        <v>663797594</v>
      </c>
      <c r="K27" s="157"/>
      <c r="L27" s="157"/>
      <c r="M27" s="157">
        <v>703851297</v>
      </c>
      <c r="N27" s="157">
        <v>666808790</v>
      </c>
      <c r="O27" s="157">
        <v>659182232</v>
      </c>
      <c r="P27" s="157">
        <v>660388128</v>
      </c>
      <c r="Q27" s="157">
        <v>662298096</v>
      </c>
      <c r="T27" s="49" t="s">
        <v>25</v>
      </c>
      <c r="U27" s="49"/>
      <c r="V27" s="97"/>
      <c r="W27" s="111">
        <f>K8/K6</f>
        <v>0.20817598187311179</v>
      </c>
      <c r="Y27" s="22" t="s">
        <v>80</v>
      </c>
      <c r="Z27" s="22"/>
      <c r="AA27" s="23"/>
      <c r="AB27" s="121">
        <f>J23</f>
        <v>4042000000</v>
      </c>
      <c r="AD27" s="54"/>
      <c r="AE27" s="55"/>
      <c r="AF27" s="56"/>
      <c r="AG27" s="56"/>
      <c r="AH27" s="56"/>
      <c r="AI27" s="56"/>
      <c r="AJ27" s="56"/>
    </row>
    <row r="28" spans="2:38" ht="18.75" customHeight="1" x14ac:dyDescent="0.2">
      <c r="B28" s="43"/>
      <c r="C28" s="19"/>
      <c r="D28" s="48"/>
      <c r="W28" s="13"/>
      <c r="Y28" s="22" t="s">
        <v>82</v>
      </c>
      <c r="AB28" s="121">
        <f>J24+J25</f>
        <v>19755000000</v>
      </c>
      <c r="AD28" s="27" t="s">
        <v>73</v>
      </c>
      <c r="AE28" s="28"/>
      <c r="AF28" s="70">
        <f>IF(OR(M6="",M9="",M6=0,M9=0),"",M9/M6)</f>
        <v>4.485011081301761E-2</v>
      </c>
      <c r="AG28" s="70">
        <f>IF(OR(N6="",N9="",N6=0,N9=0),"",N9/N6)</f>
        <v>2.0450444429592995E-2</v>
      </c>
      <c r="AH28" s="70">
        <f>IF(OR(O6="",O9="",O6=0,O9=0),"",O9/O6)</f>
        <v>-8.3173855439422933E-2</v>
      </c>
      <c r="AI28" s="70">
        <f>IF(OR(P6="",P9="",P6=0,P9=0),"",P9/P6)</f>
        <v>-0.11025641025641025</v>
      </c>
      <c r="AJ28" s="70">
        <f>IF(OR(Q6="",Q9="",Q6=0,Q9=0),"",Q9/Q6)</f>
        <v>0.11205290611028317</v>
      </c>
    </row>
    <row r="29" spans="2:38" ht="18.75" customHeight="1" thickBot="1" x14ac:dyDescent="0.25">
      <c r="B29" s="46"/>
      <c r="C29" s="34"/>
      <c r="D29" s="48"/>
      <c r="T29" s="98" t="s">
        <v>4</v>
      </c>
      <c r="U29" s="99"/>
      <c r="V29" s="99"/>
      <c r="W29" s="112"/>
      <c r="Y29" s="22"/>
      <c r="AB29" s="121"/>
      <c r="AD29" s="27" t="s">
        <v>76</v>
      </c>
      <c r="AE29" s="28"/>
      <c r="AF29" s="70">
        <f>IF(OR(M9="",M25="",M9=0,M25=0),"",M9/M25)</f>
        <v>4.1068090787716956E-2</v>
      </c>
      <c r="AG29" s="70">
        <f>IF(OR(N9="",N25="",N9=0,N25=0),"",N9/N25)</f>
        <v>1.6741437794069374E-2</v>
      </c>
      <c r="AH29" s="70">
        <f>IF(OR(O9="",O25="",O9=0,O25=0),"",O9/O25)</f>
        <v>-5.8977035490605428E-2</v>
      </c>
      <c r="AI29" s="70">
        <f>IF(OR(P9="",P25="",P9=0,P25=0),"",P9/P25)</f>
        <v>-6.5221054996910291E-2</v>
      </c>
      <c r="AJ29" s="70">
        <f>IF(OR(Q9="",Q25="",Q9=0,Q25=0),"",Q9/Q25)</f>
        <v>6.8212746654570194E-2</v>
      </c>
    </row>
    <row r="30" spans="2:38" ht="18.75" customHeight="1" thickBot="1" x14ac:dyDescent="0.25">
      <c r="B30" s="43"/>
      <c r="C30" s="19"/>
      <c r="D30" s="48"/>
      <c r="T30" s="91" t="s">
        <v>26</v>
      </c>
      <c r="U30" s="91"/>
      <c r="V30" s="92"/>
      <c r="W30" s="111">
        <f>K9/AVERAGE(G26:J26)</f>
        <v>7.1333036112349535E-2</v>
      </c>
      <c r="Y30" s="103" t="s">
        <v>85</v>
      </c>
      <c r="Z30" s="114"/>
      <c r="AA30" s="114"/>
      <c r="AB30" s="123"/>
      <c r="AD30" s="27" t="s">
        <v>79</v>
      </c>
      <c r="AE30" s="28"/>
      <c r="AF30" s="70">
        <f>IF(OR(M9="",M18="",M9=0,M18=0),"",M9/M18)</f>
        <v>1.9735153723759176E-2</v>
      </c>
      <c r="AG30" s="70">
        <f>IF(OR(N9="",N18="",N9=0,N18=0),"",N9/N18)</f>
        <v>8.3039348710990495E-3</v>
      </c>
      <c r="AH30" s="70">
        <f>IF(OR(O9="",O18="",O9=0,O18=0),"",O9/O18)</f>
        <v>-3.1285473019740301E-2</v>
      </c>
      <c r="AI30" s="70">
        <f>IF(OR(P9="",P18="",P9=0,P18=0),"",P9/P18)</f>
        <v>-3.5062817105581061E-2</v>
      </c>
      <c r="AJ30" s="70">
        <f>IF(OR(Q9="",Q18="",Q9=0,Q18=0),"",Q9/Q18)</f>
        <v>3.6991482426739643E-2</v>
      </c>
    </row>
    <row r="31" spans="2:38" ht="18.75" customHeight="1" x14ac:dyDescent="0.2">
      <c r="B31" s="43"/>
      <c r="C31" s="19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T31" s="91" t="s">
        <v>27</v>
      </c>
      <c r="U31" s="91"/>
      <c r="V31" s="92"/>
      <c r="W31" s="111">
        <f>K9/AVERAGE(G18:J18)</f>
        <v>1.2147070657991635E-2</v>
      </c>
      <c r="Y31" s="49" t="s">
        <v>87</v>
      </c>
      <c r="Z31" s="49"/>
      <c r="AA31" s="97"/>
      <c r="AB31" s="105" t="e">
        <f>AVERAGE(O33:Q33)</f>
        <v>#DIV/0!</v>
      </c>
      <c r="AD31" s="27" t="s">
        <v>28</v>
      </c>
      <c r="AE31" s="28"/>
      <c r="AF31" s="33">
        <f>IF(OR(M6="",M18="",M6=0,M18=0),"",M6/M18)</f>
        <v>0.4400246368629061</v>
      </c>
      <c r="AG31" s="33">
        <f>IF(OR(N6="",N18="",N6=0,N18=0),"",N6/N18)</f>
        <v>0.40605156037991857</v>
      </c>
      <c r="AH31" s="33">
        <f>IF(OR(O6="",O18="",O6=0,O18=0),"",O6/O18)</f>
        <v>0.37614551897893078</v>
      </c>
      <c r="AI31" s="33">
        <f>IF(OR(P6="",P18="",P6=0,P18=0),"",P6/P18)</f>
        <v>0.31801159700410725</v>
      </c>
      <c r="AJ31" s="33">
        <f>IF(OR(Q6="",Q18="",Q6=0,Q18=0),"",Q6/Q18)</f>
        <v>0.33012514990313951</v>
      </c>
    </row>
    <row r="32" spans="2:38" ht="18.75" customHeight="1" thickBot="1" x14ac:dyDescent="0.25">
      <c r="B32" s="43"/>
      <c r="C32" s="19"/>
      <c r="D32" s="130" t="s">
        <v>81</v>
      </c>
      <c r="E32" s="131"/>
      <c r="F32" s="240" t="str">
        <f>F4</f>
        <v>Q2 2018</v>
      </c>
      <c r="G32" s="240" t="str">
        <f>G4</f>
        <v>Q3 2018</v>
      </c>
      <c r="H32" s="240" t="str">
        <f>H4</f>
        <v>Q4 2018</v>
      </c>
      <c r="I32" s="240" t="str">
        <f>I4</f>
        <v>Q1 2019</v>
      </c>
      <c r="J32" s="240" t="str">
        <f>J4</f>
        <v>Q2 2019</v>
      </c>
      <c r="K32" s="242" t="s">
        <v>42</v>
      </c>
      <c r="L32" s="155"/>
      <c r="M32" s="248">
        <f>M4</f>
        <v>2014</v>
      </c>
      <c r="N32" s="248">
        <f>N4</f>
        <v>2015</v>
      </c>
      <c r="O32" s="248">
        <f>O4</f>
        <v>2016</v>
      </c>
      <c r="P32" s="248">
        <f>P4</f>
        <v>2017</v>
      </c>
      <c r="Q32" s="248">
        <f>Q4</f>
        <v>2018</v>
      </c>
      <c r="T32" s="91" t="s">
        <v>89</v>
      </c>
      <c r="U32" s="91"/>
      <c r="V32" s="92"/>
      <c r="W32" s="111">
        <f>K8/(AVERAGE(G26:J26)+(AVERAGE(G18:J18)-AVERAGE(G23:J23)))</f>
        <v>6.4237021499737812E-2</v>
      </c>
      <c r="Y32" s="22" t="s">
        <v>88</v>
      </c>
      <c r="Z32" s="22"/>
      <c r="AB32" s="124" t="e">
        <f>ABS(AVERAGE(O34:Q34))</f>
        <v>#DIV/0!</v>
      </c>
      <c r="AK32" s="35"/>
    </row>
    <row r="33" spans="1:41" ht="18.75" customHeight="1" thickBot="1" x14ac:dyDescent="0.3">
      <c r="B33" s="47"/>
      <c r="C33" s="36"/>
      <c r="D33" s="235" t="s">
        <v>83</v>
      </c>
      <c r="E33" s="236"/>
      <c r="F33" s="154"/>
      <c r="G33" s="154"/>
      <c r="H33" s="154"/>
      <c r="I33" s="154"/>
      <c r="J33" s="154"/>
      <c r="K33" s="154"/>
      <c r="L33" s="17"/>
      <c r="M33" s="154"/>
      <c r="N33" s="154"/>
      <c r="O33" s="154"/>
      <c r="P33" s="154"/>
      <c r="Q33" s="154"/>
      <c r="T33" s="91" t="s">
        <v>28</v>
      </c>
      <c r="U33" s="91"/>
      <c r="V33" s="92"/>
      <c r="W33" s="108">
        <f>K6/AVERAGE(G18:J18)</f>
        <v>0.32165443102361846</v>
      </c>
      <c r="Y33" s="22" t="s">
        <v>90</v>
      </c>
      <c r="Z33" s="22"/>
      <c r="AA33" s="23"/>
      <c r="AB33" s="105" t="e">
        <f>AVERAGE(O35:Q35)</f>
        <v>#DIV/0!</v>
      </c>
      <c r="AD33" s="101" t="s">
        <v>2</v>
      </c>
      <c r="AE33" s="102"/>
      <c r="AF33" s="132">
        <f>M4</f>
        <v>2014</v>
      </c>
      <c r="AG33" s="132">
        <f>N4</f>
        <v>2015</v>
      </c>
      <c r="AH33" s="132">
        <f>O4</f>
        <v>2016</v>
      </c>
      <c r="AI33" s="132">
        <f>P4</f>
        <v>2017</v>
      </c>
      <c r="AJ33" s="132">
        <f>Q4</f>
        <v>2018</v>
      </c>
      <c r="AK33" s="35"/>
    </row>
    <row r="34" spans="1:41" ht="18.75" customHeight="1" x14ac:dyDescent="0.2">
      <c r="B34" s="43"/>
      <c r="C34" s="19"/>
      <c r="D34" s="128" t="s">
        <v>84</v>
      </c>
      <c r="E34" s="129"/>
      <c r="F34" s="18"/>
      <c r="G34" s="18"/>
      <c r="H34" s="18"/>
      <c r="I34" s="18"/>
      <c r="J34" s="18"/>
      <c r="K34" s="18"/>
      <c r="L34" s="17"/>
      <c r="M34" s="18"/>
      <c r="N34" s="18"/>
      <c r="O34" s="18"/>
      <c r="P34" s="18"/>
      <c r="Q34" s="18"/>
      <c r="AD34" s="27" t="s">
        <v>20</v>
      </c>
      <c r="AE34" s="28"/>
      <c r="AF34" s="33">
        <f>IF(OR(M19="",M23="",M19=0,M23=0),"",M19/M23)</f>
        <v>1.1184793482921251</v>
      </c>
      <c r="AG34" s="33">
        <f>IF(OR(N19="",N23="",N19=0,N23=0),"",N19/N23)</f>
        <v>0.9879136690647482</v>
      </c>
      <c r="AH34" s="33">
        <f>IF(OR(O19="",O23="",O19=0,O23=0),"",O19/O23)</f>
        <v>1.2160470409711683</v>
      </c>
      <c r="AI34" s="33">
        <f>IF(OR(P19="",P23="",P19=0,P23=0),"",P19/P23)</f>
        <v>1.0613802256138023</v>
      </c>
      <c r="AJ34" s="33">
        <f>IF(OR(Q19="",Q23="",Q19=0,Q23=0),"",Q19/Q23)</f>
        <v>1.1400318254148669</v>
      </c>
      <c r="AK34" s="35"/>
    </row>
    <row r="35" spans="1:41" ht="18.75" customHeight="1" thickBot="1" x14ac:dyDescent="0.25">
      <c r="B35" s="43"/>
      <c r="C35" s="19"/>
      <c r="D35" s="237" t="s">
        <v>86</v>
      </c>
      <c r="E35" s="238"/>
      <c r="F35" s="157"/>
      <c r="G35" s="157"/>
      <c r="H35" s="157"/>
      <c r="I35" s="157"/>
      <c r="J35" s="157"/>
      <c r="K35" s="157"/>
      <c r="L35" s="17"/>
      <c r="M35" s="157"/>
      <c r="N35" s="157"/>
      <c r="O35" s="157"/>
      <c r="P35" s="157"/>
      <c r="Q35" s="157"/>
      <c r="AD35" s="27" t="s">
        <v>21</v>
      </c>
      <c r="AE35" s="28"/>
      <c r="AF35" s="33">
        <f>IF(OR(M18="",M25="",M18=0,M25=0),"",M18/M25)</f>
        <v>2.0809612817089453</v>
      </c>
      <c r="AG35" s="33">
        <f>IF(OR(N18="",N25="",N18=0,N25=0),"",N18/N25)</f>
        <v>2.0160849108217529</v>
      </c>
      <c r="AH35" s="33">
        <f>IF(OR(O18="",O25="",O18=0,O25=0),"",O18/O25)</f>
        <v>1.8851252609603339</v>
      </c>
      <c r="AI35" s="33">
        <f>IF(OR(P18="",P25="",P18=0,P25=0),"",P18/P25)</f>
        <v>1.8601202179652829</v>
      </c>
      <c r="AJ35" s="33">
        <f>IF(OR(Q18="",Q25="",Q18=0,Q25=0),"",Q18/Q25)</f>
        <v>1.8440122476752099</v>
      </c>
      <c r="AK35" s="35"/>
    </row>
    <row r="36" spans="1:41" ht="18.75" customHeight="1" x14ac:dyDescent="0.2">
      <c r="B36" s="40"/>
      <c r="C36" s="11"/>
      <c r="AD36" s="27" t="s">
        <v>22</v>
      </c>
      <c r="AE36" s="28"/>
      <c r="AF36" s="33">
        <f>IF(OR(M26="",M25="",M25=0,M26=0),"",M26/M25)</f>
        <v>0.39118825100133514</v>
      </c>
      <c r="AG36" s="33">
        <f>IF(OR(N26="",N25="",N25=0,N26=0),"",N26/N25)</f>
        <v>0.33761899551373237</v>
      </c>
      <c r="AH36" s="33">
        <f>IF(OR(O26="",O25="",O25=0,O26=0),"",O26/O25)</f>
        <v>0.29749478079331942</v>
      </c>
      <c r="AI36" s="33">
        <f>IF(OR(P26="",P25="",P25=0,P26=0),"",P26/P25)</f>
        <v>0.27217572046514243</v>
      </c>
      <c r="AJ36" s="33">
        <f>IF(OR(Q26="",Q25="",Q25=0,Q26=0),"",Q26/Q25)</f>
        <v>0.31775912905420728</v>
      </c>
    </row>
    <row r="37" spans="1:41" ht="18.75" customHeight="1" x14ac:dyDescent="0.2">
      <c r="B37" s="40"/>
      <c r="C37" s="11"/>
    </row>
    <row r="38" spans="1:41" ht="18.75" customHeight="1" x14ac:dyDescent="0.2">
      <c r="B38" s="43"/>
      <c r="C38" s="19"/>
      <c r="Y38" s="48"/>
      <c r="AB38" s="48"/>
      <c r="AK38" s="37"/>
    </row>
    <row r="39" spans="1:41" s="175" customFormat="1" ht="18.75" customHeight="1" thickBot="1" x14ac:dyDescent="0.35">
      <c r="A39" s="166"/>
      <c r="B39" s="167"/>
      <c r="C39" s="168"/>
      <c r="D39" s="169"/>
      <c r="E39" s="168"/>
      <c r="F39" s="170"/>
      <c r="G39" s="170"/>
      <c r="H39" s="170"/>
      <c r="I39" s="170"/>
      <c r="J39" s="170"/>
      <c r="K39" s="170"/>
      <c r="L39" s="171"/>
      <c r="M39" s="172"/>
      <c r="N39" s="173"/>
      <c r="O39" s="173"/>
      <c r="P39" s="173"/>
      <c r="Q39" s="171"/>
      <c r="R39" s="171"/>
      <c r="S39" s="168"/>
      <c r="T39" s="174"/>
      <c r="Y39" s="174"/>
      <c r="AB39" s="176"/>
      <c r="AD39" s="174"/>
    </row>
    <row r="40" spans="1:41" s="138" customFormat="1" ht="18.75" customHeight="1" thickBot="1" x14ac:dyDescent="0.25">
      <c r="D40" s="163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T40" s="163"/>
      <c r="Y40" s="163"/>
      <c r="AB40" s="165"/>
      <c r="AD40" s="163"/>
    </row>
    <row r="41" spans="1:41" s="153" customFormat="1" ht="18.75" customHeight="1" thickBot="1" x14ac:dyDescent="0.3">
      <c r="A41" s="139">
        <v>2</v>
      </c>
      <c r="B41" s="140"/>
      <c r="C41" s="141"/>
      <c r="D41" s="142"/>
      <c r="E41" s="143"/>
      <c r="F41" s="144"/>
      <c r="G41" s="145"/>
      <c r="H41" s="145"/>
      <c r="I41" s="145"/>
      <c r="J41" s="145"/>
      <c r="K41" s="252"/>
      <c r="L41" s="159"/>
      <c r="M41" s="147"/>
      <c r="N41" s="148"/>
      <c r="O41" s="148"/>
      <c r="P41" s="148"/>
      <c r="Q41" s="148"/>
      <c r="R41" s="148"/>
      <c r="S41" s="148"/>
      <c r="T41" s="161" t="s">
        <v>7</v>
      </c>
      <c r="U41" s="258" t="s">
        <v>34</v>
      </c>
      <c r="V41" s="259"/>
      <c r="W41" s="162"/>
      <c r="X41" s="148"/>
      <c r="Y41" s="149"/>
      <c r="Z41" s="148"/>
      <c r="AA41" s="148"/>
      <c r="AB41" s="150"/>
      <c r="AC41" s="151"/>
      <c r="AD41" s="152"/>
      <c r="AE41" s="146"/>
      <c r="AF41" s="146"/>
      <c r="AG41" s="151"/>
      <c r="AH41" s="151"/>
      <c r="AI41" s="151"/>
      <c r="AJ41" s="151"/>
      <c r="AK41" s="151"/>
      <c r="AL41" s="151"/>
      <c r="AM41" s="151"/>
      <c r="AN41" s="146"/>
      <c r="AO41" s="146"/>
    </row>
    <row r="42" spans="1:41" ht="10.5" customHeight="1" x14ac:dyDescent="0.25">
      <c r="B42" s="39"/>
      <c r="C42" s="8"/>
      <c r="D42" s="9"/>
      <c r="E42" s="59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50"/>
      <c r="U42" s="10"/>
      <c r="V42" s="10"/>
      <c r="W42" s="10"/>
      <c r="X42" s="10"/>
      <c r="Y42" s="50"/>
      <c r="Z42" s="10"/>
      <c r="AA42" s="10"/>
      <c r="AB42" s="60"/>
      <c r="AC42" s="10"/>
      <c r="AD42" s="50"/>
      <c r="AE42" s="10"/>
      <c r="AF42" s="10"/>
      <c r="AG42" s="10"/>
      <c r="AH42" s="10"/>
      <c r="AI42" s="10"/>
      <c r="AJ42" s="10"/>
      <c r="AK42" s="10"/>
      <c r="AL42" s="10"/>
      <c r="AM42" s="10"/>
    </row>
    <row r="43" spans="1:41" ht="18.75" customHeight="1" thickBot="1" x14ac:dyDescent="0.25">
      <c r="B43" s="40"/>
      <c r="C43" s="11"/>
      <c r="D43" s="130" t="s">
        <v>36</v>
      </c>
      <c r="E43" s="131"/>
      <c r="F43" s="239" t="s">
        <v>37</v>
      </c>
      <c r="G43" s="239" t="s">
        <v>38</v>
      </c>
      <c r="H43" s="239" t="s">
        <v>39</v>
      </c>
      <c r="I43" s="239" t="s">
        <v>40</v>
      </c>
      <c r="J43" s="239" t="s">
        <v>41</v>
      </c>
      <c r="K43" s="249"/>
      <c r="L43" s="155"/>
      <c r="M43" s="239">
        <v>2013</v>
      </c>
      <c r="N43" s="239">
        <v>2014</v>
      </c>
      <c r="O43" s="239">
        <v>2015</v>
      </c>
      <c r="P43" s="239">
        <v>2016</v>
      </c>
      <c r="Q43" s="239">
        <v>2017</v>
      </c>
      <c r="R43" s="239" t="s">
        <v>42</v>
      </c>
      <c r="T43" s="98" t="s">
        <v>0</v>
      </c>
      <c r="U43" s="99"/>
      <c r="V43" s="99"/>
      <c r="W43" s="100"/>
      <c r="X43" s="12"/>
      <c r="Y43" s="98" t="s">
        <v>5</v>
      </c>
      <c r="Z43" s="99"/>
      <c r="AA43" s="113"/>
      <c r="AB43" s="116" t="s">
        <v>43</v>
      </c>
      <c r="AC43" s="12"/>
      <c r="AD43" s="103" t="s">
        <v>44</v>
      </c>
      <c r="AE43" s="114"/>
      <c r="AF43" s="113"/>
      <c r="AG43" s="132">
        <f>N43</f>
        <v>2014</v>
      </c>
      <c r="AH43" s="132">
        <f>O43</f>
        <v>2015</v>
      </c>
      <c r="AI43" s="132">
        <f>P43</f>
        <v>2016</v>
      </c>
      <c r="AJ43" s="132">
        <f>Q43</f>
        <v>2017</v>
      </c>
      <c r="AK43" s="13"/>
      <c r="AL43" s="14"/>
      <c r="AN43" s="15"/>
      <c r="AO43" s="55"/>
    </row>
    <row r="44" spans="1:41" ht="18.75" customHeight="1" x14ac:dyDescent="0.2">
      <c r="A44" s="41"/>
      <c r="B44" s="42"/>
      <c r="C44" s="16"/>
      <c r="D44" s="235" t="s">
        <v>29</v>
      </c>
      <c r="E44" s="236"/>
      <c r="F44" s="154"/>
      <c r="G44" s="154"/>
      <c r="H44" s="154"/>
      <c r="I44" s="154"/>
      <c r="J44" s="154"/>
      <c r="K44" s="18"/>
      <c r="L44" s="17"/>
      <c r="M44" s="154"/>
      <c r="N44" s="154"/>
      <c r="O44" s="154"/>
      <c r="P44" s="154"/>
      <c r="Q44" s="154"/>
      <c r="R44" s="154"/>
      <c r="T44" s="22" t="s">
        <v>8</v>
      </c>
      <c r="U44" s="90"/>
      <c r="V44" s="90"/>
      <c r="W44" s="104">
        <v>5.42</v>
      </c>
      <c r="X44" s="61"/>
      <c r="Y44" s="22" t="s">
        <v>29</v>
      </c>
      <c r="Z44" s="22"/>
      <c r="AA44" s="23"/>
      <c r="AB44" s="111" t="e">
        <f>IF(AB43="Year over Year",AJ44,IF(AB43="3-Year Average",AVERAGE(AI44:AJ44),IF(AB43="5-Year Average",AVERAGE(AG44:AJ44),"")))</f>
        <v>#DIV/0!</v>
      </c>
      <c r="AC44" s="62"/>
      <c r="AD44" s="22" t="s">
        <v>45</v>
      </c>
      <c r="AE44" s="23"/>
      <c r="AF44" s="24"/>
      <c r="AG44" s="63" t="str">
        <f>IF(AND(N44&gt;0,M44&gt;0,M44&lt;&gt;""),N44/M44-1,IF(AND(M44&lt;0,N44&lt;0,M44&lt;&gt;""),(N44-M44)/ABS(M44),IF(AND(M44&gt;0,N44&lt;0,M44&lt;&gt;""),"L",IF(AND(M44&lt;0,N44&gt;0,M44&lt;&gt;""),"P",""))))</f>
        <v/>
      </c>
      <c r="AH44" s="63" t="str">
        <f>IF(AND(O44&gt;0,N44&gt;0,N44&lt;&gt;""),O44/N44-1,IF(AND(N44&lt;0,O44&lt;0,N44&lt;&gt;""),(O44-N44)/ABS(N44),IF(AND(N44&gt;0,O44&lt;0,N44&lt;&gt;""),"L",IF(AND(N44&lt;0,O44&gt;0,N44&lt;&gt;""),"P",""))))</f>
        <v/>
      </c>
      <c r="AI44" s="63" t="str">
        <f>IF(AND(P44&gt;0,O44&gt;0,O44&lt;&gt;""),P44/O44-1,IF(AND(O44&lt;0,P44&lt;0,O44&lt;&gt;""),(P44-O44)/ABS(O44),IF(AND(O44&gt;0,P44&lt;0,O44&lt;&gt;""),"L",IF(AND(O44&lt;0,P44&gt;0,O44&lt;&gt;""),"P",""))))</f>
        <v/>
      </c>
      <c r="AJ44" s="63" t="str">
        <f>IF(AND(Q44&gt;0,P44&gt;0,P44&lt;&gt;""),Q44/P44-1,IF(AND(P44&lt;0,Q44&lt;0,P44&lt;&gt;""),(Q44-P44)/ABS(P44),IF(AND(P44&gt;0,Q44&lt;0,P44&lt;&gt;""),"L",IF(AND(P44&lt;0,Q44&gt;0,P44&lt;&gt;""),"P",""))))</f>
        <v/>
      </c>
    </row>
    <row r="45" spans="1:41" ht="18.75" customHeight="1" x14ac:dyDescent="0.2">
      <c r="A45" s="41"/>
      <c r="B45" s="42"/>
      <c r="C45" s="16"/>
      <c r="D45" s="128" t="s">
        <v>46</v>
      </c>
      <c r="E45" s="129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T45" s="91" t="s">
        <v>9</v>
      </c>
      <c r="U45" s="92"/>
      <c r="V45" s="93"/>
      <c r="W45" s="105">
        <f>W44*R52</f>
        <v>0</v>
      </c>
      <c r="X45" s="61"/>
      <c r="Y45" s="22" t="s">
        <v>47</v>
      </c>
      <c r="Z45" s="22"/>
      <c r="AA45" s="23"/>
      <c r="AB45" s="111" t="e">
        <f>IF(AB43="Year over Year",AJ45,IF(AB43="3-Year Average",AVERAGE(AI45:AJ45),IF(AB43="5-Year Average",AVERAGE(AG45:AJ45),"")))</f>
        <v>#DIV/0!</v>
      </c>
      <c r="AC45" s="62"/>
      <c r="AD45" s="22" t="s">
        <v>30</v>
      </c>
      <c r="AE45" s="23"/>
      <c r="AF45" s="24"/>
      <c r="AG45" s="63" t="str">
        <f t="shared" ref="AG45:AG47" si="3">IF(AND(N47&gt;0,M47&gt;0,M47&lt;&gt;""),N47/M47-1,IF(AND(M47&lt;0,N47&lt;0,M47&lt;&gt;""),(N47-M47)/ABS(M47),IF(AND(M47&gt;0,N47&lt;0,M47&lt;&gt;""),"L",IF(AND(M47&lt;0,N47&gt;0,M47&lt;&gt;""),"P",""))))</f>
        <v/>
      </c>
      <c r="AH45" s="63" t="str">
        <f t="shared" ref="AH45:AH47" si="4">IF(AND(O47&gt;0,N47&gt;0,N47&lt;&gt;""),O47/N47-1,IF(AND(N47&lt;0,O47&lt;0,N47&lt;&gt;""),(O47-N47)/ABS(N47),IF(AND(N47&gt;0,O47&lt;0,N47&lt;&gt;""),"L",IF(AND(N47&lt;0,O47&gt;0,N47&lt;&gt;""),"P",""))))</f>
        <v/>
      </c>
      <c r="AI45" s="63" t="str">
        <f t="shared" ref="AI45:AI47" si="5">IF(AND(P47&gt;0,O47&gt;0,O47&lt;&gt;""),P47/O47-1,IF(AND(O47&lt;0,P47&lt;0,O47&lt;&gt;""),(P47-O47)/ABS(O47),IF(AND(O47&gt;0,P47&lt;0,O47&lt;&gt;""),"L",IF(AND(O47&lt;0,P47&gt;0,O47&lt;&gt;""),"P",""))))</f>
        <v/>
      </c>
      <c r="AJ45" s="63" t="str">
        <f t="shared" ref="AJ45:AJ47" si="6">IF(AND(Q47&gt;0,P47&gt;0,P47&lt;&gt;""),Q47/P47-1,IF(AND(P47&lt;0,Q47&lt;0,P47&lt;&gt;""),(Q47-P47)/ABS(P47),IF(AND(P47&gt;0,Q47&lt;0,P47&lt;&gt;""),"L",IF(AND(P47&lt;0,Q47&gt;0,P47&lt;&gt;""),"P",""))))</f>
        <v/>
      </c>
    </row>
    <row r="46" spans="1:41" ht="18.75" customHeight="1" x14ac:dyDescent="0.2">
      <c r="B46" s="42"/>
      <c r="C46" s="16"/>
      <c r="D46" s="128" t="s">
        <v>48</v>
      </c>
      <c r="E46" s="129"/>
      <c r="F46" s="18"/>
      <c r="G46" s="18"/>
      <c r="H46" s="18"/>
      <c r="I46" s="18"/>
      <c r="J46" s="18"/>
      <c r="K46" s="18"/>
      <c r="L46" s="17"/>
      <c r="M46" s="18"/>
      <c r="N46" s="18"/>
      <c r="O46" s="18"/>
      <c r="P46" s="18"/>
      <c r="Q46" s="18"/>
      <c r="R46" s="18"/>
      <c r="T46" s="91" t="s">
        <v>10</v>
      </c>
      <c r="U46" s="92"/>
      <c r="V46" s="94"/>
      <c r="W46" s="105">
        <f>W45+(J60+J62)-J56</f>
        <v>0</v>
      </c>
      <c r="X46" s="62"/>
      <c r="Y46" s="22" t="s">
        <v>31</v>
      </c>
      <c r="Z46" s="22"/>
      <c r="AB46" s="111" t="e">
        <f>IF(AB43="Year over Year",AJ46,IF(AB43="3-Year Average",AVERAGE(AI46:AJ46),IF(AB43="5-Year Average",AVERAGE(AG46:AJ46),"")))</f>
        <v>#DIV/0!</v>
      </c>
      <c r="AC46" s="62"/>
      <c r="AD46" s="22" t="s">
        <v>49</v>
      </c>
      <c r="AE46" s="23"/>
      <c r="AF46" s="24"/>
      <c r="AG46" s="63" t="str">
        <f t="shared" si="3"/>
        <v/>
      </c>
      <c r="AH46" s="63" t="str">
        <f t="shared" si="4"/>
        <v/>
      </c>
      <c r="AI46" s="63" t="str">
        <f t="shared" si="5"/>
        <v/>
      </c>
      <c r="AJ46" s="63" t="str">
        <f t="shared" si="6"/>
        <v/>
      </c>
    </row>
    <row r="47" spans="1:41" ht="18.75" customHeight="1" x14ac:dyDescent="0.2">
      <c r="B47" s="42"/>
      <c r="C47" s="16"/>
      <c r="D47" s="128" t="s">
        <v>50</v>
      </c>
      <c r="E47" s="129"/>
      <c r="F47" s="18"/>
      <c r="G47" s="18"/>
      <c r="H47" s="18"/>
      <c r="I47" s="18"/>
      <c r="J47" s="18"/>
      <c r="K47" s="18"/>
      <c r="L47" s="20"/>
      <c r="M47" s="18"/>
      <c r="N47" s="18"/>
      <c r="O47" s="18"/>
      <c r="P47" s="18"/>
      <c r="Q47" s="18"/>
      <c r="R47" s="18"/>
      <c r="T47" s="91" t="s">
        <v>11</v>
      </c>
      <c r="U47" s="92"/>
      <c r="V47" s="94"/>
      <c r="W47" s="105">
        <f>J59-J63</f>
        <v>0</v>
      </c>
      <c r="X47" s="61"/>
      <c r="Y47" s="22" t="s">
        <v>32</v>
      </c>
      <c r="Z47" s="22"/>
      <c r="AA47" s="23"/>
      <c r="AB47" s="111" t="e">
        <f>IF(AB43="Year over Year",AJ47,IF(AB43="3-Year Average",AVERAGE(AI47:AJ47),IF(AB43="5-Year Average",AVERAGE(AG47:AJ47),"")))</f>
        <v>#DIV/0!</v>
      </c>
      <c r="AC47" s="62"/>
      <c r="AD47" s="22" t="s">
        <v>51</v>
      </c>
      <c r="AE47" s="23"/>
      <c r="AF47" s="24"/>
      <c r="AG47" s="63" t="str">
        <f t="shared" si="3"/>
        <v/>
      </c>
      <c r="AH47" s="63" t="str">
        <f t="shared" si="4"/>
        <v/>
      </c>
      <c r="AI47" s="63" t="str">
        <f t="shared" si="5"/>
        <v/>
      </c>
      <c r="AJ47" s="63" t="str">
        <f t="shared" si="6"/>
        <v/>
      </c>
    </row>
    <row r="48" spans="1:41" ht="18.75" customHeight="1" x14ac:dyDescent="0.2">
      <c r="B48" s="42"/>
      <c r="C48" s="16"/>
      <c r="D48" s="128" t="s">
        <v>52</v>
      </c>
      <c r="E48" s="129"/>
      <c r="F48" s="18"/>
      <c r="G48" s="18"/>
      <c r="H48" s="18"/>
      <c r="I48" s="18"/>
      <c r="J48" s="18"/>
      <c r="K48" s="18"/>
      <c r="L48" s="17"/>
      <c r="M48" s="18"/>
      <c r="N48" s="18"/>
      <c r="O48" s="18"/>
      <c r="P48" s="18"/>
      <c r="Q48" s="18"/>
      <c r="R48" s="18"/>
      <c r="T48" s="91" t="s">
        <v>53</v>
      </c>
      <c r="U48" s="92"/>
      <c r="V48" s="93"/>
      <c r="W48" s="106" t="str">
        <f>IF(W45&gt;10000,"Large Cap",IF(AND(10000&gt;W45,2000&lt;W45),"Mid Cap",IF(AND(2000&gt;W45,W45&gt;50),"Small Cap",IF(W45&lt;50,"Micro Cap",NA))))</f>
        <v>Micro Cap</v>
      </c>
      <c r="X48" s="61"/>
      <c r="AB48" s="117"/>
      <c r="AC48" s="21"/>
    </row>
    <row r="49" spans="2:38" ht="18.75" customHeight="1" thickBot="1" x14ac:dyDescent="0.25">
      <c r="B49" s="42"/>
      <c r="C49" s="16"/>
      <c r="D49" s="128" t="s">
        <v>54</v>
      </c>
      <c r="E49" s="129"/>
      <c r="F49" s="18"/>
      <c r="G49" s="18"/>
      <c r="H49" s="18"/>
      <c r="I49" s="18"/>
      <c r="J49" s="18"/>
      <c r="K49" s="18"/>
      <c r="L49" s="25"/>
      <c r="M49" s="18"/>
      <c r="N49" s="18"/>
      <c r="O49" s="18"/>
      <c r="P49" s="18"/>
      <c r="Q49" s="18"/>
      <c r="R49" s="18"/>
      <c r="T49" s="22" t="s">
        <v>55</v>
      </c>
      <c r="W49" s="107"/>
      <c r="X49" s="62"/>
      <c r="Y49" s="103" t="s">
        <v>2</v>
      </c>
      <c r="Z49" s="114"/>
      <c r="AA49" s="115"/>
      <c r="AB49" s="118"/>
      <c r="AD49" s="101" t="s">
        <v>56</v>
      </c>
      <c r="AE49" s="102"/>
      <c r="AF49" s="133">
        <f>M43</f>
        <v>2013</v>
      </c>
      <c r="AG49" s="133">
        <f>N43</f>
        <v>2014</v>
      </c>
      <c r="AH49" s="133">
        <f>O43</f>
        <v>2015</v>
      </c>
      <c r="AI49" s="133">
        <f>P43</f>
        <v>2016</v>
      </c>
      <c r="AJ49" s="133">
        <f>Q43</f>
        <v>2017</v>
      </c>
    </row>
    <row r="50" spans="2:38" ht="18.75" hidden="1" customHeight="1" x14ac:dyDescent="0.2">
      <c r="B50" s="42"/>
      <c r="C50" s="16"/>
      <c r="D50" s="128"/>
      <c r="E50" s="129"/>
      <c r="F50" s="18"/>
      <c r="G50" s="18"/>
      <c r="H50" s="18"/>
      <c r="I50" s="18"/>
      <c r="J50" s="18"/>
      <c r="K50" s="18"/>
      <c r="L50" s="25"/>
      <c r="M50" s="18"/>
      <c r="N50" s="18"/>
      <c r="O50" s="18"/>
      <c r="P50" s="18"/>
      <c r="Q50" s="18"/>
      <c r="R50" s="18"/>
      <c r="T50" s="22"/>
      <c r="W50" s="95"/>
      <c r="X50" s="62"/>
      <c r="Y50" s="52"/>
      <c r="Z50" s="53"/>
      <c r="AA50" s="96"/>
      <c r="AB50" s="119"/>
      <c r="AD50" s="54"/>
      <c r="AE50" s="55"/>
      <c r="AF50" s="56"/>
      <c r="AG50" s="56"/>
      <c r="AH50" s="56"/>
      <c r="AI50" s="56"/>
      <c r="AJ50" s="56"/>
    </row>
    <row r="51" spans="2:38" ht="18.75" hidden="1" customHeight="1" x14ac:dyDescent="0.2">
      <c r="B51" s="42"/>
      <c r="C51" s="16"/>
      <c r="D51" s="128"/>
      <c r="E51" s="129"/>
      <c r="F51" s="18"/>
      <c r="G51" s="18"/>
      <c r="H51" s="18"/>
      <c r="I51" s="18"/>
      <c r="J51" s="18"/>
      <c r="K51" s="18"/>
      <c r="L51" s="25"/>
      <c r="M51" s="18"/>
      <c r="N51" s="18"/>
      <c r="O51" s="18"/>
      <c r="P51" s="18"/>
      <c r="Q51" s="18"/>
      <c r="R51" s="18"/>
      <c r="T51" s="22"/>
      <c r="W51" s="95"/>
      <c r="X51" s="62"/>
      <c r="Y51" s="52"/>
      <c r="Z51" s="53"/>
      <c r="AA51" s="96"/>
      <c r="AB51" s="119"/>
      <c r="AD51" s="54"/>
      <c r="AE51" s="55"/>
      <c r="AF51" s="56"/>
      <c r="AG51" s="56"/>
      <c r="AH51" s="56"/>
      <c r="AI51" s="56"/>
      <c r="AJ51" s="56"/>
    </row>
    <row r="52" spans="2:38" ht="18.75" customHeight="1" x14ac:dyDescent="0.2">
      <c r="B52" s="42"/>
      <c r="C52" s="16"/>
      <c r="D52" s="128" t="s">
        <v>57</v>
      </c>
      <c r="E52" s="129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T52" s="48"/>
      <c r="Y52" s="91" t="s">
        <v>20</v>
      </c>
      <c r="Z52" s="91"/>
      <c r="AA52" s="92"/>
      <c r="AB52" s="108" t="e">
        <f>AVERAGE(G58:J58)/AVERAGE(G61:J61)</f>
        <v>#DIV/0!</v>
      </c>
      <c r="AD52" s="27" t="s">
        <v>29</v>
      </c>
      <c r="AE52" s="28"/>
      <c r="AF52" s="29" t="str">
        <f>IF(M44="","",M44)</f>
        <v/>
      </c>
      <c r="AG52" s="29" t="str">
        <f>IF(N44="","",N44)</f>
        <v/>
      </c>
      <c r="AH52" s="29" t="str">
        <f>IF(O44="","",O44)</f>
        <v/>
      </c>
      <c r="AI52" s="29" t="str">
        <f>IF(P44="","",P44)</f>
        <v/>
      </c>
      <c r="AJ52" s="29" t="str">
        <f>IF(Q44="","",Q44)</f>
        <v/>
      </c>
    </row>
    <row r="53" spans="2:38" ht="18.75" customHeight="1" thickBot="1" x14ac:dyDescent="0.25">
      <c r="B53" s="42"/>
      <c r="C53" s="16"/>
      <c r="D53" s="237" t="s">
        <v>58</v>
      </c>
      <c r="E53" s="238"/>
      <c r="F53" s="157"/>
      <c r="G53" s="157"/>
      <c r="H53" s="157"/>
      <c r="I53" s="157"/>
      <c r="J53" s="157"/>
      <c r="K53" s="18"/>
      <c r="L53" s="20"/>
      <c r="M53" s="157"/>
      <c r="N53" s="157"/>
      <c r="O53" s="157"/>
      <c r="P53" s="157"/>
      <c r="Q53" s="157"/>
      <c r="R53" s="157"/>
      <c r="T53" s="98" t="s">
        <v>59</v>
      </c>
      <c r="U53" s="99"/>
      <c r="V53" s="99"/>
      <c r="W53" s="99"/>
      <c r="Y53" s="22" t="s">
        <v>21</v>
      </c>
      <c r="Z53" s="22"/>
      <c r="AA53" s="90"/>
      <c r="AB53" s="108" t="e">
        <f>AVERAGE(G59:J59)/AVERAGE(G64:J64)</f>
        <v>#DIV/0!</v>
      </c>
      <c r="AD53" s="27" t="s">
        <v>60</v>
      </c>
      <c r="AE53" s="28"/>
      <c r="AF53" s="64" t="str">
        <f>IF(OR(M44="",M46=""),"",M46/M44)</f>
        <v/>
      </c>
      <c r="AG53" s="64" t="str">
        <f>IF(OR(N44="",N46=""),"",N46/N44)</f>
        <v/>
      </c>
      <c r="AH53" s="64" t="str">
        <f>IF(OR(O44="",O46=""),"",O46/O44)</f>
        <v/>
      </c>
      <c r="AI53" s="64" t="str">
        <f>IF(OR(P44="",P46=""),"",P46/P44)</f>
        <v/>
      </c>
      <c r="AJ53" s="64" t="str">
        <f>IF(OR(Q44="",Q46=""),"",Q46/Q44)</f>
        <v/>
      </c>
    </row>
    <row r="54" spans="2:38" ht="18.75" customHeight="1" x14ac:dyDescent="0.2">
      <c r="B54" s="43"/>
      <c r="C54" s="19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T54" s="91" t="s">
        <v>13</v>
      </c>
      <c r="U54" s="91"/>
      <c r="V54" s="92"/>
      <c r="W54" s="108" t="str">
        <f>IF(R49&gt;0,W44/R49,"")</f>
        <v/>
      </c>
      <c r="Y54" s="22" t="s">
        <v>22</v>
      </c>
      <c r="Z54" s="22"/>
      <c r="AA54" s="90"/>
      <c r="AB54" s="108" t="e">
        <f>AVERAGE(G62:J62)/AVERAGE(G64:J64)</f>
        <v>#DIV/0!</v>
      </c>
      <c r="AD54" s="27" t="s">
        <v>47</v>
      </c>
      <c r="AE54" s="28"/>
      <c r="AF54" s="29" t="str">
        <f>IF(M47="","",M47)</f>
        <v/>
      </c>
      <c r="AG54" s="29" t="str">
        <f>IF(N47="","",N47)</f>
        <v/>
      </c>
      <c r="AH54" s="29" t="str">
        <f>IF(O47="","",O47)</f>
        <v/>
      </c>
      <c r="AI54" s="29" t="str">
        <f>IF(P47="","",P47)</f>
        <v/>
      </c>
      <c r="AJ54" s="29" t="str">
        <f>IF(Q47="","",Q47)</f>
        <v/>
      </c>
    </row>
    <row r="55" spans="2:38" ht="18.75" customHeight="1" thickBot="1" x14ac:dyDescent="0.3">
      <c r="B55" s="44"/>
      <c r="C55" s="26"/>
      <c r="D55" s="130" t="s">
        <v>61</v>
      </c>
      <c r="E55" s="131"/>
      <c r="F55" s="240" t="str">
        <f>F43</f>
        <v>2016-10</v>
      </c>
      <c r="G55" s="240" t="str">
        <f>G43</f>
        <v>2017-01</v>
      </c>
      <c r="H55" s="240" t="str">
        <f>H43</f>
        <v>2017-04</v>
      </c>
      <c r="I55" s="240" t="str">
        <f>I43</f>
        <v>2017-07</v>
      </c>
      <c r="J55" s="240" t="str">
        <f>J43</f>
        <v>2017-10</v>
      </c>
      <c r="K55" s="253"/>
      <c r="L55" s="155"/>
      <c r="M55" s="241">
        <f>M43</f>
        <v>2013</v>
      </c>
      <c r="N55" s="241">
        <f>N43</f>
        <v>2014</v>
      </c>
      <c r="O55" s="241">
        <f>O43</f>
        <v>2015</v>
      </c>
      <c r="P55" s="241">
        <f>P43</f>
        <v>2016</v>
      </c>
      <c r="Q55" s="241">
        <f>Q43</f>
        <v>2017</v>
      </c>
      <c r="R55" s="242"/>
      <c r="T55" s="91" t="s">
        <v>15</v>
      </c>
      <c r="U55" s="91"/>
      <c r="V55" s="92"/>
      <c r="W55" s="108" t="e">
        <f>W44/((J59-J63)/J52)</f>
        <v>#DIV/0!</v>
      </c>
      <c r="X55" s="65"/>
      <c r="Y55" s="48"/>
      <c r="AB55" s="13"/>
      <c r="AD55" s="27" t="s">
        <v>62</v>
      </c>
      <c r="AE55" s="28"/>
      <c r="AF55" s="64" t="str">
        <f>IF(OR(M44="",M47=""),"",M47/M44)</f>
        <v/>
      </c>
      <c r="AG55" s="64" t="str">
        <f>IF(OR(N44="",N47=""),"",N47/N44)</f>
        <v/>
      </c>
      <c r="AH55" s="64" t="str">
        <f>IF(OR(O44="",O47=""),"",O47/O44)</f>
        <v/>
      </c>
      <c r="AI55" s="64" t="str">
        <f>IF(OR(P44="",P47=""),"",P47/P44)</f>
        <v/>
      </c>
      <c r="AJ55" s="64" t="str">
        <f>IF(OR(Q44="",Q47=""),"",Q47/Q44)</f>
        <v/>
      </c>
      <c r="AK55" s="30"/>
      <c r="AL55" s="14"/>
    </row>
    <row r="56" spans="2:38" ht="18.75" customHeight="1" thickBot="1" x14ac:dyDescent="0.25">
      <c r="B56" s="40"/>
      <c r="C56" s="11"/>
      <c r="D56" s="235" t="s">
        <v>63</v>
      </c>
      <c r="E56" s="243"/>
      <c r="F56" s="154"/>
      <c r="G56" s="154"/>
      <c r="H56" s="154"/>
      <c r="I56" s="154"/>
      <c r="J56" s="154"/>
      <c r="K56" s="18"/>
      <c r="L56" s="17"/>
      <c r="M56" s="154"/>
      <c r="N56" s="154"/>
      <c r="O56" s="154"/>
      <c r="P56" s="154"/>
      <c r="Q56" s="154"/>
      <c r="R56" s="154"/>
      <c r="T56" s="91" t="s">
        <v>14</v>
      </c>
      <c r="U56" s="91"/>
      <c r="V56" s="92"/>
      <c r="W56" s="108" t="e">
        <f>W44/(R44/R52)</f>
        <v>#DIV/0!</v>
      </c>
      <c r="X56" s="66"/>
      <c r="Y56" s="103" t="s">
        <v>36</v>
      </c>
      <c r="Z56" s="114"/>
      <c r="AA56" s="114"/>
      <c r="AB56" s="120"/>
      <c r="AD56" s="27" t="s">
        <v>31</v>
      </c>
      <c r="AE56" s="28"/>
      <c r="AF56" s="29" t="str">
        <f t="shared" ref="AF56:AF57" si="7">IF(M48="","",M48)</f>
        <v/>
      </c>
      <c r="AG56" s="29" t="str">
        <f t="shared" ref="AG56:AG57" si="8">IF(N48="","",N48)</f>
        <v/>
      </c>
      <c r="AH56" s="29" t="str">
        <f t="shared" ref="AH56:AH57" si="9">IF(O48="","",O48)</f>
        <v/>
      </c>
      <c r="AI56" s="29" t="str">
        <f t="shared" ref="AI56:AI57" si="10">IF(P48="","",P48)</f>
        <v/>
      </c>
      <c r="AJ56" s="29" t="str">
        <f t="shared" ref="AJ56:AJ57" si="11">IF(Q48="","",Q48)</f>
        <v/>
      </c>
      <c r="AL56" s="67"/>
    </row>
    <row r="57" spans="2:38" ht="18.75" customHeight="1" x14ac:dyDescent="0.2">
      <c r="B57" s="42"/>
      <c r="C57" s="16"/>
      <c r="D57" s="244" t="s">
        <v>64</v>
      </c>
      <c r="E57" s="245"/>
      <c r="F57" s="126"/>
      <c r="G57" s="126"/>
      <c r="H57" s="126"/>
      <c r="I57" s="126"/>
      <c r="J57" s="126"/>
      <c r="K57" s="126"/>
      <c r="L57" s="31"/>
      <c r="M57" s="126"/>
      <c r="N57" s="126"/>
      <c r="O57" s="126"/>
      <c r="P57" s="126"/>
      <c r="Q57" s="126"/>
      <c r="R57" s="126"/>
      <c r="T57" s="22" t="s">
        <v>17</v>
      </c>
      <c r="U57" s="22"/>
      <c r="V57" s="23"/>
      <c r="W57" s="108" t="e">
        <f>IF(AVERAGE(O67:Q67)&gt;0,W44/(AVERAGE(O67:Q67)/R52),"")</f>
        <v>#DIV/0!</v>
      </c>
      <c r="X57" s="66"/>
      <c r="Y57" s="49" t="s">
        <v>29</v>
      </c>
      <c r="Z57" s="49"/>
      <c r="AA57" s="97"/>
      <c r="AB57" s="121">
        <f>R44</f>
        <v>0</v>
      </c>
      <c r="AD57" s="27" t="s">
        <v>32</v>
      </c>
      <c r="AE57" s="28"/>
      <c r="AF57" s="68" t="str">
        <f t="shared" si="7"/>
        <v/>
      </c>
      <c r="AG57" s="68" t="str">
        <f t="shared" si="8"/>
        <v/>
      </c>
      <c r="AH57" s="68" t="str">
        <f t="shared" si="9"/>
        <v/>
      </c>
      <c r="AI57" s="68" t="str">
        <f t="shared" si="10"/>
        <v/>
      </c>
      <c r="AJ57" s="68" t="str">
        <f t="shared" si="11"/>
        <v/>
      </c>
      <c r="AL57" s="67"/>
    </row>
    <row r="58" spans="2:38" ht="18.75" customHeight="1" x14ac:dyDescent="0.25">
      <c r="B58" s="44"/>
      <c r="C58" s="26"/>
      <c r="D58" s="244" t="s">
        <v>65</v>
      </c>
      <c r="E58" s="245"/>
      <c r="F58" s="126"/>
      <c r="G58" s="126"/>
      <c r="H58" s="126"/>
      <c r="I58" s="126"/>
      <c r="J58" s="126"/>
      <c r="K58" s="126"/>
      <c r="L58" s="31"/>
      <c r="M58" s="126"/>
      <c r="N58" s="126"/>
      <c r="O58" s="126"/>
      <c r="P58" s="126"/>
      <c r="Q58" s="126"/>
      <c r="R58" s="126"/>
      <c r="T58" s="91" t="s">
        <v>16</v>
      </c>
      <c r="U58" s="91"/>
      <c r="V58" s="92"/>
      <c r="W58" s="108" t="e">
        <f>IF(AVERAGE(O69:Q69)&gt;0,W45/AVERAGE(O69:Q69),"")</f>
        <v>#DIV/0!</v>
      </c>
      <c r="Y58" s="49" t="s">
        <v>66</v>
      </c>
      <c r="Z58" s="49"/>
      <c r="AA58" s="97"/>
      <c r="AB58" s="121">
        <f>R46</f>
        <v>0</v>
      </c>
      <c r="AD58" s="27" t="s">
        <v>67</v>
      </c>
      <c r="AE58" s="28"/>
      <c r="AF58" s="29" t="str">
        <f>IF(M52="","",M52)</f>
        <v/>
      </c>
      <c r="AG58" s="29" t="str">
        <f>IF(N52="","",N52)</f>
        <v/>
      </c>
      <c r="AH58" s="29" t="str">
        <f>IF(O52="","",O52)</f>
        <v/>
      </c>
      <c r="AI58" s="29" t="str">
        <f>IF(P52="","",P52)</f>
        <v/>
      </c>
      <c r="AJ58" s="29" t="str">
        <f>IF(Q52="","",Q52)</f>
        <v/>
      </c>
      <c r="AL58" s="67"/>
    </row>
    <row r="59" spans="2:38" ht="18.75" customHeight="1" x14ac:dyDescent="0.2">
      <c r="B59" s="43"/>
      <c r="C59" s="19"/>
      <c r="D59" s="244" t="s">
        <v>68</v>
      </c>
      <c r="E59" s="245"/>
      <c r="F59" s="126"/>
      <c r="G59" s="126"/>
      <c r="H59" s="126"/>
      <c r="I59" s="126"/>
      <c r="J59" s="126"/>
      <c r="K59" s="126"/>
      <c r="L59" s="127"/>
      <c r="M59" s="126"/>
      <c r="N59" s="126"/>
      <c r="O59" s="126"/>
      <c r="P59" s="126"/>
      <c r="Q59" s="126"/>
      <c r="R59" s="126"/>
      <c r="T59" s="91" t="s">
        <v>18</v>
      </c>
      <c r="U59" s="91"/>
      <c r="V59" s="92"/>
      <c r="W59" s="108" t="e">
        <f>(W45+(J60+J62)-J56)/J53</f>
        <v>#DIV/0!</v>
      </c>
      <c r="Y59" s="49" t="s">
        <v>31</v>
      </c>
      <c r="Z59" s="49"/>
      <c r="AA59" s="97"/>
      <c r="AB59" s="121">
        <f>R48</f>
        <v>0</v>
      </c>
      <c r="AD59" s="27" t="s">
        <v>69</v>
      </c>
      <c r="AE59" s="28"/>
      <c r="AF59" s="69" t="str">
        <f>IF(OR(M64="",M52="",M59="",M63=""),"",(M59-M63)/M52)</f>
        <v/>
      </c>
      <c r="AG59" s="69" t="str">
        <f>IF(OR(N64="",N52="",N59="",N63=""),"",(N59-N63)/N52)</f>
        <v/>
      </c>
      <c r="AH59" s="69" t="str">
        <f>IF(OR(O64="",O52="",O59="",O63=""),"",(O59-O63)/O52)</f>
        <v/>
      </c>
      <c r="AI59" s="69" t="str">
        <f>IF(OR(P64="",P52="",P59="",P63=""),"",(P59-P63)/P52)</f>
        <v/>
      </c>
      <c r="AJ59" s="69" t="str">
        <f>IF(OR(Q64="",Q52="",Q59="",Q63=""),"",(Q59-Q63)/Q52)</f>
        <v/>
      </c>
      <c r="AL59" s="67"/>
    </row>
    <row r="60" spans="2:38" ht="18.75" customHeight="1" x14ac:dyDescent="0.2">
      <c r="B60" s="42"/>
      <c r="C60" s="16"/>
      <c r="D60" s="244" t="s">
        <v>70</v>
      </c>
      <c r="E60" s="245"/>
      <c r="F60" s="126"/>
      <c r="G60" s="126"/>
      <c r="H60" s="126"/>
      <c r="I60" s="126"/>
      <c r="J60" s="126"/>
      <c r="K60" s="126"/>
      <c r="L60" s="17"/>
      <c r="M60" s="126"/>
      <c r="N60" s="126"/>
      <c r="O60" s="126"/>
      <c r="P60" s="126"/>
      <c r="Q60" s="126"/>
      <c r="R60" s="126"/>
      <c r="T60" s="22"/>
      <c r="U60" s="22"/>
      <c r="V60" s="23"/>
      <c r="W60" s="108"/>
      <c r="Y60" s="91" t="s">
        <v>32</v>
      </c>
      <c r="Z60" s="91"/>
      <c r="AA60" s="92"/>
      <c r="AB60" s="122">
        <f>R49</f>
        <v>0</v>
      </c>
      <c r="AL60" s="67"/>
    </row>
    <row r="61" spans="2:38" ht="18.75" customHeight="1" thickBot="1" x14ac:dyDescent="0.25">
      <c r="B61" s="45"/>
      <c r="C61" s="32"/>
      <c r="D61" s="244" t="s">
        <v>71</v>
      </c>
      <c r="E61" s="245"/>
      <c r="F61" s="126"/>
      <c r="G61" s="126"/>
      <c r="H61" s="126"/>
      <c r="I61" s="126"/>
      <c r="J61" s="126"/>
      <c r="K61" s="126"/>
      <c r="L61" s="31"/>
      <c r="M61" s="126"/>
      <c r="N61" s="126"/>
      <c r="O61" s="126"/>
      <c r="P61" s="126"/>
      <c r="Q61" s="126"/>
      <c r="R61" s="126"/>
      <c r="W61" s="13"/>
      <c r="AB61" s="117"/>
      <c r="AD61" s="101" t="s">
        <v>3</v>
      </c>
      <c r="AE61" s="102"/>
      <c r="AF61" s="133">
        <f>M43</f>
        <v>2013</v>
      </c>
      <c r="AG61" s="133">
        <f>N43</f>
        <v>2014</v>
      </c>
      <c r="AH61" s="133">
        <f>O43</f>
        <v>2015</v>
      </c>
      <c r="AI61" s="133">
        <f>P43</f>
        <v>2016</v>
      </c>
      <c r="AJ61" s="133">
        <f>Q43</f>
        <v>2017</v>
      </c>
    </row>
    <row r="62" spans="2:38" ht="18.75" customHeight="1" thickBot="1" x14ac:dyDescent="0.25">
      <c r="B62" s="43"/>
      <c r="C62" s="19"/>
      <c r="D62" s="244" t="s">
        <v>72</v>
      </c>
      <c r="E62" s="245"/>
      <c r="F62" s="126"/>
      <c r="G62" s="126"/>
      <c r="H62" s="126"/>
      <c r="I62" s="126"/>
      <c r="J62" s="126"/>
      <c r="K62" s="126"/>
      <c r="L62" s="125"/>
      <c r="M62" s="126"/>
      <c r="N62" s="126"/>
      <c r="O62" s="126"/>
      <c r="P62" s="126"/>
      <c r="Q62" s="126"/>
      <c r="R62" s="126"/>
      <c r="T62" s="101" t="s">
        <v>3</v>
      </c>
      <c r="U62" s="102"/>
      <c r="V62" s="102"/>
      <c r="W62" s="109"/>
      <c r="Y62" s="103" t="s">
        <v>61</v>
      </c>
      <c r="Z62" s="114"/>
      <c r="AA62" s="114"/>
      <c r="AB62" s="123"/>
      <c r="AD62" s="27" t="s">
        <v>73</v>
      </c>
      <c r="AE62" s="28"/>
      <c r="AF62" s="70" t="str">
        <f>IF(OR(M44="",M48="",M44=0,M48=0),"",M48/M44)</f>
        <v/>
      </c>
      <c r="AG62" s="70" t="str">
        <f>IF(OR(N44="",N48="",N44=0,N48=0),"",N48/N44)</f>
        <v/>
      </c>
      <c r="AH62" s="70" t="str">
        <f>IF(OR(O44="",O48="",O44=0,O48=0),"",O48/O44)</f>
        <v/>
      </c>
      <c r="AI62" s="70" t="str">
        <f>IF(OR(P44="",P48="",P44=0,P48=0),"",P48/P44)</f>
        <v/>
      </c>
      <c r="AJ62" s="70" t="str">
        <f>IF(OR(Q44="",Q48="",Q44=0,Q48=0),"",Q48/Q44)</f>
        <v/>
      </c>
    </row>
    <row r="63" spans="2:38" ht="18.75" customHeight="1" x14ac:dyDescent="0.2">
      <c r="B63" s="46"/>
      <c r="C63" s="34"/>
      <c r="D63" s="244" t="s">
        <v>74</v>
      </c>
      <c r="E63" s="245"/>
      <c r="F63" s="126"/>
      <c r="G63" s="126"/>
      <c r="H63" s="126"/>
      <c r="I63" s="126"/>
      <c r="J63" s="126"/>
      <c r="K63" s="126"/>
      <c r="L63" s="31"/>
      <c r="M63" s="126"/>
      <c r="N63" s="126"/>
      <c r="O63" s="126"/>
      <c r="P63" s="126"/>
      <c r="Q63" s="126"/>
      <c r="R63" s="126"/>
      <c r="T63" s="22" t="s">
        <v>12</v>
      </c>
      <c r="U63" s="22"/>
      <c r="V63" s="23"/>
      <c r="W63" s="110">
        <f>R44</f>
        <v>0</v>
      </c>
      <c r="Y63" s="22" t="s">
        <v>75</v>
      </c>
      <c r="Z63" s="22"/>
      <c r="AA63" s="23"/>
      <c r="AB63" s="121">
        <f>J57</f>
        <v>0</v>
      </c>
      <c r="AD63" s="27" t="s">
        <v>76</v>
      </c>
      <c r="AE63" s="28"/>
      <c r="AF63" s="70" t="str">
        <f>IF(OR(M48="",M62="",M48=0,M62=0),"",M48/M62)</f>
        <v/>
      </c>
      <c r="AG63" s="70" t="str">
        <f>IF(OR(N48="",N62="",N48=0,N62=0),"",N48/N62)</f>
        <v/>
      </c>
      <c r="AH63" s="70" t="str">
        <f>IF(OR(O48="",O62="",O48=0,O62=0),"",O48/O62)</f>
        <v/>
      </c>
      <c r="AI63" s="70" t="str">
        <f>IF(OR(P48="",P62="",P48=0,P62=0),"",P48/P62)</f>
        <v/>
      </c>
      <c r="AJ63" s="70" t="str">
        <f>IF(OR(Q48="",Q62="",Q48=0,Q62=0),"",Q48/Q62)</f>
        <v/>
      </c>
    </row>
    <row r="64" spans="2:38" ht="18.75" customHeight="1" thickBot="1" x14ac:dyDescent="0.25">
      <c r="B64" s="43"/>
      <c r="C64" s="19"/>
      <c r="D64" s="246" t="s">
        <v>77</v>
      </c>
      <c r="E64" s="247"/>
      <c r="F64" s="156"/>
      <c r="G64" s="156"/>
      <c r="H64" s="156"/>
      <c r="I64" s="156"/>
      <c r="J64" s="156"/>
      <c r="K64" s="126"/>
      <c r="L64" s="127"/>
      <c r="M64" s="156"/>
      <c r="N64" s="156"/>
      <c r="O64" s="156"/>
      <c r="P64" s="156"/>
      <c r="Q64" s="156"/>
      <c r="R64" s="156"/>
      <c r="T64" s="49" t="s">
        <v>23</v>
      </c>
      <c r="U64" s="49"/>
      <c r="V64" s="97"/>
      <c r="W64" s="111" t="e">
        <f>(R44-R45)/R44</f>
        <v>#DIV/0!</v>
      </c>
      <c r="Y64" s="49" t="s">
        <v>78</v>
      </c>
      <c r="Z64" s="49"/>
      <c r="AA64" s="97"/>
      <c r="AB64" s="121">
        <f>J58</f>
        <v>0</v>
      </c>
      <c r="AD64" s="27" t="s">
        <v>79</v>
      </c>
      <c r="AE64" s="28"/>
      <c r="AF64" s="70" t="str">
        <f>IF(OR(M48="",M59="",M48=0,M59=0),"",M48/M59)</f>
        <v/>
      </c>
      <c r="AG64" s="70" t="str">
        <f>IF(OR(N48="",N59="",N48=0,N59=0),"",N48/N59)</f>
        <v/>
      </c>
      <c r="AH64" s="70" t="str">
        <f>IF(OR(O48="",O59="",O48=0,O59=0),"",O48/O59)</f>
        <v/>
      </c>
      <c r="AI64" s="70" t="str">
        <f>IF(OR(P48="",P59="",P48=0,P59=0),"",P48/P59)</f>
        <v/>
      </c>
      <c r="AJ64" s="70" t="str">
        <f>IF(OR(Q48="",Q59="",Q48=0,Q59=0),"",Q48/Q59)</f>
        <v/>
      </c>
    </row>
    <row r="65" spans="1:41" ht="18.75" customHeight="1" x14ac:dyDescent="0.2">
      <c r="B65" s="43"/>
      <c r="C65" s="19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T65" s="49" t="s">
        <v>24</v>
      </c>
      <c r="U65" s="49"/>
      <c r="V65" s="97"/>
      <c r="W65" s="111" t="e">
        <f>R48/R44</f>
        <v>#DIV/0!</v>
      </c>
      <c r="Y65" s="22" t="s">
        <v>80</v>
      </c>
      <c r="Z65" s="22"/>
      <c r="AA65" s="23"/>
      <c r="AB65" s="121">
        <f>J61</f>
        <v>0</v>
      </c>
      <c r="AD65" s="27" t="s">
        <v>28</v>
      </c>
      <c r="AE65" s="28"/>
      <c r="AF65" s="33" t="str">
        <f>IF(OR(M44="",M59="",M44=0,M59=0),"",M44/M59)</f>
        <v/>
      </c>
      <c r="AG65" s="33" t="str">
        <f>IF(OR(N44="",N59="",N44=0,N59=0),"",N44/N59)</f>
        <v/>
      </c>
      <c r="AH65" s="33" t="str">
        <f>IF(OR(O44="",O59="",O44=0,O59=0),"",O44/O59)</f>
        <v/>
      </c>
      <c r="AI65" s="33" t="str">
        <f>IF(OR(P44="",P59="",P44=0,P59=0),"",P44/P59)</f>
        <v/>
      </c>
      <c r="AJ65" s="33" t="str">
        <f>IF(OR(Q44="",Q59="",Q44=0,Q59=0),"",Q44/Q59)</f>
        <v/>
      </c>
    </row>
    <row r="66" spans="1:41" ht="18.75" customHeight="1" thickBot="1" x14ac:dyDescent="0.25">
      <c r="B66" s="43"/>
      <c r="C66" s="19"/>
      <c r="D66" s="130" t="s">
        <v>81</v>
      </c>
      <c r="E66" s="131"/>
      <c r="F66" s="240" t="str">
        <f>F43</f>
        <v>2016-10</v>
      </c>
      <c r="G66" s="240" t="str">
        <f>G43</f>
        <v>2017-01</v>
      </c>
      <c r="H66" s="240" t="str">
        <f>H43</f>
        <v>2017-04</v>
      </c>
      <c r="I66" s="240" t="str">
        <f>I43</f>
        <v>2017-07</v>
      </c>
      <c r="J66" s="240" t="str">
        <f>J43</f>
        <v>2017-10</v>
      </c>
      <c r="K66" s="253"/>
      <c r="L66" s="155"/>
      <c r="M66" s="248">
        <f>M43</f>
        <v>2013</v>
      </c>
      <c r="N66" s="248">
        <f>N43</f>
        <v>2014</v>
      </c>
      <c r="O66" s="248">
        <f>O43</f>
        <v>2015</v>
      </c>
      <c r="P66" s="248">
        <f>P43</f>
        <v>2016</v>
      </c>
      <c r="Q66" s="248">
        <f>Q43</f>
        <v>2017</v>
      </c>
      <c r="R66" s="242" t="s">
        <v>42</v>
      </c>
      <c r="T66" s="49" t="s">
        <v>25</v>
      </c>
      <c r="U66" s="49"/>
      <c r="V66" s="97"/>
      <c r="W66" s="111" t="e">
        <f>R47/R44</f>
        <v>#DIV/0!</v>
      </c>
      <c r="Y66" s="22" t="s">
        <v>82</v>
      </c>
      <c r="AB66" s="121">
        <f>J60+J62</f>
        <v>0</v>
      </c>
      <c r="AK66" s="35"/>
    </row>
    <row r="67" spans="1:41" ht="18.75" customHeight="1" thickBot="1" x14ac:dyDescent="0.3">
      <c r="B67" s="47"/>
      <c r="C67" s="36"/>
      <c r="D67" s="235" t="s">
        <v>83</v>
      </c>
      <c r="E67" s="236"/>
      <c r="F67" s="154"/>
      <c r="G67" s="154"/>
      <c r="H67" s="154"/>
      <c r="I67" s="154"/>
      <c r="J67" s="154"/>
      <c r="K67" s="18"/>
      <c r="L67" s="17"/>
      <c r="M67" s="154"/>
      <c r="N67" s="154"/>
      <c r="O67" s="154"/>
      <c r="P67" s="154"/>
      <c r="Q67" s="154"/>
      <c r="R67" s="154"/>
      <c r="W67" s="13"/>
      <c r="Y67" s="22"/>
      <c r="AB67" s="121"/>
      <c r="AD67" s="101" t="s">
        <v>2</v>
      </c>
      <c r="AE67" s="102"/>
      <c r="AF67" s="132">
        <f>M43</f>
        <v>2013</v>
      </c>
      <c r="AG67" s="132">
        <f>N43</f>
        <v>2014</v>
      </c>
      <c r="AH67" s="132">
        <f>O43</f>
        <v>2015</v>
      </c>
      <c r="AI67" s="132">
        <f>P43</f>
        <v>2016</v>
      </c>
      <c r="AJ67" s="132">
        <f>Q43</f>
        <v>2017</v>
      </c>
      <c r="AK67" s="35"/>
    </row>
    <row r="68" spans="1:41" ht="18.75" customHeight="1" thickBot="1" x14ac:dyDescent="0.25">
      <c r="B68" s="43"/>
      <c r="C68" s="19"/>
      <c r="D68" s="128" t="s">
        <v>84</v>
      </c>
      <c r="E68" s="129"/>
      <c r="F68" s="18"/>
      <c r="G68" s="18"/>
      <c r="H68" s="18"/>
      <c r="I68" s="18"/>
      <c r="J68" s="18"/>
      <c r="K68" s="18"/>
      <c r="L68" s="17"/>
      <c r="M68" s="18"/>
      <c r="N68" s="18"/>
      <c r="O68" s="18"/>
      <c r="P68" s="18"/>
      <c r="Q68" s="18"/>
      <c r="R68" s="18"/>
      <c r="T68" s="98" t="s">
        <v>4</v>
      </c>
      <c r="U68" s="99"/>
      <c r="V68" s="99"/>
      <c r="W68" s="112"/>
      <c r="Y68" s="103" t="s">
        <v>85</v>
      </c>
      <c r="Z68" s="114"/>
      <c r="AA68" s="114"/>
      <c r="AB68" s="123"/>
      <c r="AD68" s="27" t="s">
        <v>20</v>
      </c>
      <c r="AE68" s="28"/>
      <c r="AF68" s="33" t="str">
        <f t="shared" ref="AF68:AF69" si="12">IF(OR(M58="",M61="",M58=0,M61=0),"",M58/M61)</f>
        <v/>
      </c>
      <c r="AG68" s="33" t="str">
        <f t="shared" ref="AG68:AG69" si="13">IF(OR(N58="",N61="",N58=0,N61=0),"",N58/N61)</f>
        <v/>
      </c>
      <c r="AH68" s="33" t="str">
        <f t="shared" ref="AH68:AH69" si="14">IF(OR(O58="",O61="",O58=0,O61=0),"",O58/O61)</f>
        <v/>
      </c>
      <c r="AI68" s="33" t="str">
        <f t="shared" ref="AI68:AI69" si="15">IF(OR(P58="",P61="",P58=0,P61=0),"",P58/P61)</f>
        <v/>
      </c>
      <c r="AJ68" s="33" t="str">
        <f t="shared" ref="AJ68:AJ69" si="16">IF(OR(Q58="",Q61="",Q58=0,Q61=0),"",Q58/Q61)</f>
        <v/>
      </c>
      <c r="AK68" s="35"/>
    </row>
    <row r="69" spans="1:41" ht="18.75" customHeight="1" thickBot="1" x14ac:dyDescent="0.25">
      <c r="B69" s="43"/>
      <c r="C69" s="19"/>
      <c r="D69" s="237" t="s">
        <v>86</v>
      </c>
      <c r="E69" s="238"/>
      <c r="F69" s="157"/>
      <c r="G69" s="157"/>
      <c r="H69" s="157"/>
      <c r="I69" s="157"/>
      <c r="J69" s="157"/>
      <c r="K69" s="18"/>
      <c r="L69" s="17"/>
      <c r="M69" s="157"/>
      <c r="N69" s="157"/>
      <c r="O69" s="157"/>
      <c r="P69" s="157"/>
      <c r="Q69" s="157"/>
      <c r="R69" s="157"/>
      <c r="T69" s="91" t="s">
        <v>26</v>
      </c>
      <c r="U69" s="91"/>
      <c r="V69" s="92"/>
      <c r="W69" s="111" t="e">
        <f>R48/AVERAGE(G64:J64)</f>
        <v>#DIV/0!</v>
      </c>
      <c r="Y69" s="49" t="s">
        <v>87</v>
      </c>
      <c r="Z69" s="49"/>
      <c r="AA69" s="97"/>
      <c r="AB69" s="105" t="e">
        <f>AVERAGE(O67:Q67)</f>
        <v>#DIV/0!</v>
      </c>
      <c r="AD69" s="27" t="s">
        <v>21</v>
      </c>
      <c r="AE69" s="28"/>
      <c r="AF69" s="33" t="str">
        <f t="shared" si="12"/>
        <v/>
      </c>
      <c r="AG69" s="33" t="str">
        <f t="shared" si="13"/>
        <v/>
      </c>
      <c r="AH69" s="33" t="str">
        <f t="shared" si="14"/>
        <v/>
      </c>
      <c r="AI69" s="33" t="str">
        <f t="shared" si="15"/>
        <v/>
      </c>
      <c r="AJ69" s="33" t="str">
        <f t="shared" si="16"/>
        <v/>
      </c>
      <c r="AK69" s="35"/>
    </row>
    <row r="70" spans="1:41" ht="18.75" customHeight="1" x14ac:dyDescent="0.2">
      <c r="B70" s="40"/>
      <c r="C70" s="11"/>
      <c r="T70" s="91" t="s">
        <v>27</v>
      </c>
      <c r="U70" s="91"/>
      <c r="V70" s="92"/>
      <c r="W70" s="111" t="e">
        <f>R48/AVERAGE(G59:J59)</f>
        <v>#DIV/0!</v>
      </c>
      <c r="Y70" s="22" t="s">
        <v>88</v>
      </c>
      <c r="Z70" s="22"/>
      <c r="AB70" s="124" t="e">
        <f>ABS(AVERAGE(O68:Q68))</f>
        <v>#DIV/0!</v>
      </c>
      <c r="AD70" s="27" t="s">
        <v>22</v>
      </c>
      <c r="AE70" s="28"/>
      <c r="AF70" s="33" t="str">
        <f>IF(OR(M64="",M62="",M62=0,M64=0),"",M64/M62)</f>
        <v/>
      </c>
      <c r="AG70" s="33" t="str">
        <f>IF(OR(N64="",N62="",N62=0,N64=0),"",N64/N62)</f>
        <v/>
      </c>
      <c r="AH70" s="33" t="str">
        <f>IF(OR(O64="",O62="",O62=0,O64=0),"",O64/O62)</f>
        <v/>
      </c>
      <c r="AI70" s="33" t="str">
        <f>IF(OR(P64="",P62="",P62=0,P64=0),"",P64/P62)</f>
        <v/>
      </c>
      <c r="AJ70" s="33" t="str">
        <f>IF(OR(Q64="",Q62="",Q62=0,Q64=0),"",Q64/Q62)</f>
        <v/>
      </c>
    </row>
    <row r="71" spans="1:41" ht="18.75" customHeight="1" x14ac:dyDescent="0.2">
      <c r="B71" s="40"/>
      <c r="C71" s="11"/>
      <c r="T71" s="91" t="s">
        <v>89</v>
      </c>
      <c r="U71" s="91"/>
      <c r="V71" s="92"/>
      <c r="W71" s="111" t="e">
        <f>R47/(AVERAGE(G64:J64)+(AVERAGE(G59:J59)-AVERAGE(G61:J61)))</f>
        <v>#DIV/0!</v>
      </c>
      <c r="Y71" s="22" t="s">
        <v>90</v>
      </c>
      <c r="Z71" s="22"/>
      <c r="AA71" s="23"/>
      <c r="AB71" s="105" t="e">
        <f>AVERAGE(O69:Q69)</f>
        <v>#DIV/0!</v>
      </c>
    </row>
    <row r="72" spans="1:41" ht="18.75" customHeight="1" x14ac:dyDescent="0.2">
      <c r="B72" s="43"/>
      <c r="C72" s="19"/>
      <c r="T72" s="91" t="s">
        <v>28</v>
      </c>
      <c r="U72" s="91"/>
      <c r="V72" s="92"/>
      <c r="W72" s="108" t="e">
        <f>R44/AVERAGE(G59:J59)</f>
        <v>#DIV/0!</v>
      </c>
      <c r="Y72" s="48"/>
      <c r="AB72" s="48"/>
      <c r="AK72" s="37"/>
    </row>
    <row r="73" spans="1:41" s="175" customFormat="1" ht="18.75" customHeight="1" thickBot="1" x14ac:dyDescent="0.35">
      <c r="A73" s="166"/>
      <c r="B73" s="167"/>
      <c r="C73" s="168"/>
      <c r="D73" s="169"/>
      <c r="E73" s="168"/>
      <c r="F73" s="170"/>
      <c r="G73" s="170"/>
      <c r="H73" s="170"/>
      <c r="I73" s="170"/>
      <c r="J73" s="170"/>
      <c r="K73" s="170"/>
      <c r="L73" s="171"/>
      <c r="M73" s="172"/>
      <c r="N73" s="173"/>
      <c r="O73" s="173"/>
      <c r="P73" s="173"/>
      <c r="Q73" s="171"/>
      <c r="R73" s="171"/>
      <c r="S73" s="168"/>
      <c r="T73" s="174"/>
      <c r="Y73" s="174"/>
      <c r="AB73" s="176"/>
      <c r="AD73" s="174"/>
    </row>
    <row r="74" spans="1:41" s="138" customFormat="1" ht="18.75" customHeight="1" thickBot="1" x14ac:dyDescent="0.25">
      <c r="D74" s="163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T74" s="163"/>
      <c r="Y74" s="163"/>
      <c r="AB74" s="165"/>
      <c r="AD74" s="163"/>
    </row>
    <row r="75" spans="1:41" s="153" customFormat="1" ht="18.75" customHeight="1" thickBot="1" x14ac:dyDescent="0.3">
      <c r="A75" s="139">
        <v>3</v>
      </c>
      <c r="B75" s="140"/>
      <c r="C75" s="141"/>
      <c r="D75" s="142"/>
      <c r="E75" s="143"/>
      <c r="F75" s="144"/>
      <c r="G75" s="145"/>
      <c r="H75" s="145"/>
      <c r="I75" s="145"/>
      <c r="J75" s="145"/>
      <c r="K75" s="252"/>
      <c r="L75" s="159"/>
      <c r="M75" s="147"/>
      <c r="N75" s="148"/>
      <c r="O75" s="148"/>
      <c r="P75" s="148"/>
      <c r="Q75" s="148"/>
      <c r="R75" s="148"/>
      <c r="S75" s="148"/>
      <c r="T75" s="161" t="s">
        <v>7</v>
      </c>
      <c r="U75" s="258" t="s">
        <v>34</v>
      </c>
      <c r="V75" s="259"/>
      <c r="W75" s="162"/>
      <c r="X75" s="148"/>
      <c r="Y75" s="149"/>
      <c r="Z75" s="148"/>
      <c r="AA75" s="148"/>
      <c r="AB75" s="150"/>
      <c r="AC75" s="151"/>
      <c r="AD75" s="152"/>
      <c r="AE75" s="146"/>
      <c r="AF75" s="146"/>
      <c r="AG75" s="151"/>
      <c r="AH75" s="151"/>
      <c r="AI75" s="151"/>
      <c r="AJ75" s="151"/>
      <c r="AK75" s="151"/>
      <c r="AL75" s="151"/>
      <c r="AM75" s="151"/>
      <c r="AN75" s="146"/>
      <c r="AO75" s="146"/>
    </row>
    <row r="76" spans="1:41" ht="10.5" customHeight="1" x14ac:dyDescent="0.25">
      <c r="B76" s="39"/>
      <c r="C76" s="8"/>
      <c r="D76" s="9"/>
      <c r="E76" s="59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50"/>
      <c r="U76" s="10"/>
      <c r="V76" s="10"/>
      <c r="W76" s="10"/>
      <c r="X76" s="10"/>
      <c r="Y76" s="50"/>
      <c r="Z76" s="10"/>
      <c r="AA76" s="10"/>
      <c r="AB76" s="60"/>
      <c r="AC76" s="10"/>
      <c r="AD76" s="50"/>
      <c r="AE76" s="10"/>
      <c r="AF76" s="10"/>
      <c r="AG76" s="10"/>
      <c r="AH76" s="10"/>
      <c r="AI76" s="10"/>
      <c r="AJ76" s="10"/>
      <c r="AK76" s="10"/>
      <c r="AL76" s="10"/>
      <c r="AM76" s="10"/>
    </row>
    <row r="77" spans="1:41" ht="18.75" customHeight="1" thickBot="1" x14ac:dyDescent="0.25">
      <c r="B77" s="40"/>
      <c r="C77" s="11"/>
      <c r="D77" s="130" t="s">
        <v>36</v>
      </c>
      <c r="E77" s="131"/>
      <c r="F77" s="239" t="s">
        <v>37</v>
      </c>
      <c r="G77" s="239" t="s">
        <v>38</v>
      </c>
      <c r="H77" s="239" t="s">
        <v>39</v>
      </c>
      <c r="I77" s="239" t="s">
        <v>40</v>
      </c>
      <c r="J77" s="239" t="s">
        <v>41</v>
      </c>
      <c r="K77" s="249"/>
      <c r="L77" s="155"/>
      <c r="M77" s="239">
        <v>2013</v>
      </c>
      <c r="N77" s="239">
        <v>2014</v>
      </c>
      <c r="O77" s="239">
        <v>2015</v>
      </c>
      <c r="P77" s="239">
        <v>2016</v>
      </c>
      <c r="Q77" s="239">
        <v>2017</v>
      </c>
      <c r="R77" s="239" t="s">
        <v>42</v>
      </c>
      <c r="T77" s="98" t="s">
        <v>0</v>
      </c>
      <c r="U77" s="99"/>
      <c r="V77" s="99"/>
      <c r="W77" s="100"/>
      <c r="X77" s="12"/>
      <c r="Y77" s="98" t="s">
        <v>5</v>
      </c>
      <c r="Z77" s="99"/>
      <c r="AA77" s="113"/>
      <c r="AB77" s="116" t="s">
        <v>43</v>
      </c>
      <c r="AC77" s="12"/>
      <c r="AD77" s="103" t="s">
        <v>44</v>
      </c>
      <c r="AE77" s="114"/>
      <c r="AF77" s="113"/>
      <c r="AG77" s="132">
        <f>N77</f>
        <v>2014</v>
      </c>
      <c r="AH77" s="132">
        <f>O77</f>
        <v>2015</v>
      </c>
      <c r="AI77" s="132">
        <f>P77</f>
        <v>2016</v>
      </c>
      <c r="AJ77" s="132">
        <f>Q77</f>
        <v>2017</v>
      </c>
      <c r="AK77" s="13"/>
      <c r="AL77" s="14"/>
      <c r="AN77" s="15"/>
      <c r="AO77" s="55"/>
    </row>
    <row r="78" spans="1:41" ht="18.75" customHeight="1" x14ac:dyDescent="0.2">
      <c r="A78" s="41"/>
      <c r="B78" s="42"/>
      <c r="C78" s="16"/>
      <c r="D78" s="235" t="s">
        <v>29</v>
      </c>
      <c r="E78" s="236"/>
      <c r="F78" s="154"/>
      <c r="G78" s="154"/>
      <c r="H78" s="154"/>
      <c r="I78" s="154"/>
      <c r="J78" s="154"/>
      <c r="K78" s="18"/>
      <c r="L78" s="17"/>
      <c r="M78" s="154"/>
      <c r="N78" s="154"/>
      <c r="O78" s="154"/>
      <c r="P78" s="154"/>
      <c r="Q78" s="154"/>
      <c r="R78" s="154"/>
      <c r="T78" s="22" t="s">
        <v>8</v>
      </c>
      <c r="U78" s="90"/>
      <c r="V78" s="90"/>
      <c r="W78" s="104">
        <v>5.42</v>
      </c>
      <c r="X78" s="61"/>
      <c r="Y78" s="22" t="s">
        <v>29</v>
      </c>
      <c r="Z78" s="22"/>
      <c r="AA78" s="23"/>
      <c r="AB78" s="111" t="e">
        <f>IF(AB77="Year over Year",AJ78,IF(AB77="3-Year Average",AVERAGE(AI78:AJ78),IF(AB77="5-Year Average",AVERAGE(AG78:AJ78),"")))</f>
        <v>#DIV/0!</v>
      </c>
      <c r="AC78" s="62"/>
      <c r="AD78" s="22" t="s">
        <v>45</v>
      </c>
      <c r="AE78" s="23"/>
      <c r="AF78" s="24"/>
      <c r="AG78" s="63" t="str">
        <f>IF(AND(N78&gt;0,M78&gt;0,M78&lt;&gt;""),N78/M78-1,IF(AND(M78&lt;0,N78&lt;0,M78&lt;&gt;""),(N78-M78)/ABS(M78),IF(AND(M78&gt;0,N78&lt;0,M78&lt;&gt;""),"L",IF(AND(M78&lt;0,N78&gt;0,M78&lt;&gt;""),"P",""))))</f>
        <v/>
      </c>
      <c r="AH78" s="63" t="str">
        <f>IF(AND(O78&gt;0,N78&gt;0,N78&lt;&gt;""),O78/N78-1,IF(AND(N78&lt;0,O78&lt;0,N78&lt;&gt;""),(O78-N78)/ABS(N78),IF(AND(N78&gt;0,O78&lt;0,N78&lt;&gt;""),"L",IF(AND(N78&lt;0,O78&gt;0,N78&lt;&gt;""),"P",""))))</f>
        <v/>
      </c>
      <c r="AI78" s="63" t="str">
        <f>IF(AND(P78&gt;0,O78&gt;0,O78&lt;&gt;""),P78/O78-1,IF(AND(O78&lt;0,P78&lt;0,O78&lt;&gt;""),(P78-O78)/ABS(O78),IF(AND(O78&gt;0,P78&lt;0,O78&lt;&gt;""),"L",IF(AND(O78&lt;0,P78&gt;0,O78&lt;&gt;""),"P",""))))</f>
        <v/>
      </c>
      <c r="AJ78" s="63" t="str">
        <f>IF(AND(Q78&gt;0,P78&gt;0,P78&lt;&gt;""),Q78/P78-1,IF(AND(P78&lt;0,Q78&lt;0,P78&lt;&gt;""),(Q78-P78)/ABS(P78),IF(AND(P78&gt;0,Q78&lt;0,P78&lt;&gt;""),"L",IF(AND(P78&lt;0,Q78&gt;0,P78&lt;&gt;""),"P",""))))</f>
        <v/>
      </c>
    </row>
    <row r="79" spans="1:41" ht="18.75" customHeight="1" x14ac:dyDescent="0.2">
      <c r="A79" s="41"/>
      <c r="B79" s="42"/>
      <c r="C79" s="16"/>
      <c r="D79" s="128" t="s">
        <v>46</v>
      </c>
      <c r="E79" s="129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T79" s="91" t="s">
        <v>9</v>
      </c>
      <c r="U79" s="92"/>
      <c r="V79" s="93"/>
      <c r="W79" s="105">
        <f>W78*R86</f>
        <v>0</v>
      </c>
      <c r="X79" s="61"/>
      <c r="Y79" s="22" t="s">
        <v>47</v>
      </c>
      <c r="Z79" s="22"/>
      <c r="AA79" s="23"/>
      <c r="AB79" s="111" t="e">
        <f>IF(AB77="Year over Year",AJ79,IF(AB77="3-Year Average",AVERAGE(AI79:AJ79),IF(AB77="5-Year Average",AVERAGE(AG79:AJ79),"")))</f>
        <v>#DIV/0!</v>
      </c>
      <c r="AC79" s="62"/>
      <c r="AD79" s="22" t="s">
        <v>30</v>
      </c>
      <c r="AE79" s="23"/>
      <c r="AF79" s="24"/>
      <c r="AG79" s="63" t="str">
        <f t="shared" ref="AG79:AG81" si="17">IF(AND(N81&gt;0,M81&gt;0,M81&lt;&gt;""),N81/M81-1,IF(AND(M81&lt;0,N81&lt;0,M81&lt;&gt;""),(N81-M81)/ABS(M81),IF(AND(M81&gt;0,N81&lt;0,M81&lt;&gt;""),"L",IF(AND(M81&lt;0,N81&gt;0,M81&lt;&gt;""),"P",""))))</f>
        <v/>
      </c>
      <c r="AH79" s="63" t="str">
        <f t="shared" ref="AH79:AH81" si="18">IF(AND(O81&gt;0,N81&gt;0,N81&lt;&gt;""),O81/N81-1,IF(AND(N81&lt;0,O81&lt;0,N81&lt;&gt;""),(O81-N81)/ABS(N81),IF(AND(N81&gt;0,O81&lt;0,N81&lt;&gt;""),"L",IF(AND(N81&lt;0,O81&gt;0,N81&lt;&gt;""),"P",""))))</f>
        <v/>
      </c>
      <c r="AI79" s="63" t="str">
        <f t="shared" ref="AI79:AI81" si="19">IF(AND(P81&gt;0,O81&gt;0,O81&lt;&gt;""),P81/O81-1,IF(AND(O81&lt;0,P81&lt;0,O81&lt;&gt;""),(P81-O81)/ABS(O81),IF(AND(O81&gt;0,P81&lt;0,O81&lt;&gt;""),"L",IF(AND(O81&lt;0,P81&gt;0,O81&lt;&gt;""),"P",""))))</f>
        <v/>
      </c>
      <c r="AJ79" s="63" t="str">
        <f t="shared" ref="AJ79:AJ81" si="20">IF(AND(Q81&gt;0,P81&gt;0,P81&lt;&gt;""),Q81/P81-1,IF(AND(P81&lt;0,Q81&lt;0,P81&lt;&gt;""),(Q81-P81)/ABS(P81),IF(AND(P81&gt;0,Q81&lt;0,P81&lt;&gt;""),"L",IF(AND(P81&lt;0,Q81&gt;0,P81&lt;&gt;""),"P",""))))</f>
        <v/>
      </c>
    </row>
    <row r="80" spans="1:41" ht="18.75" customHeight="1" x14ac:dyDescent="0.2">
      <c r="B80" s="42"/>
      <c r="C80" s="16"/>
      <c r="D80" s="128" t="s">
        <v>48</v>
      </c>
      <c r="E80" s="129"/>
      <c r="F80" s="18"/>
      <c r="G80" s="18"/>
      <c r="H80" s="18"/>
      <c r="I80" s="18"/>
      <c r="J80" s="18"/>
      <c r="K80" s="18"/>
      <c r="L80" s="17"/>
      <c r="M80" s="18"/>
      <c r="N80" s="18"/>
      <c r="O80" s="18"/>
      <c r="P80" s="18"/>
      <c r="Q80" s="18"/>
      <c r="R80" s="18"/>
      <c r="T80" s="91" t="s">
        <v>10</v>
      </c>
      <c r="U80" s="92"/>
      <c r="V80" s="94"/>
      <c r="W80" s="105">
        <f>W79+(J94+J96)-J90</f>
        <v>0</v>
      </c>
      <c r="X80" s="62"/>
      <c r="Y80" s="22" t="s">
        <v>31</v>
      </c>
      <c r="Z80" s="22"/>
      <c r="AB80" s="111" t="e">
        <f>IF(AB77="Year over Year",AJ80,IF(AB77="3-Year Average",AVERAGE(AI80:AJ80),IF(AB77="5-Year Average",AVERAGE(AG80:AJ80),"")))</f>
        <v>#DIV/0!</v>
      </c>
      <c r="AC80" s="62"/>
      <c r="AD80" s="22" t="s">
        <v>49</v>
      </c>
      <c r="AE80" s="23"/>
      <c r="AF80" s="24"/>
      <c r="AG80" s="63" t="str">
        <f t="shared" si="17"/>
        <v/>
      </c>
      <c r="AH80" s="63" t="str">
        <f t="shared" si="18"/>
        <v/>
      </c>
      <c r="AI80" s="63" t="str">
        <f t="shared" si="19"/>
        <v/>
      </c>
      <c r="AJ80" s="63" t="str">
        <f t="shared" si="20"/>
        <v/>
      </c>
    </row>
    <row r="81" spans="2:38" ht="18.75" customHeight="1" x14ac:dyDescent="0.2">
      <c r="B81" s="42"/>
      <c r="C81" s="16"/>
      <c r="D81" s="128" t="s">
        <v>50</v>
      </c>
      <c r="E81" s="129"/>
      <c r="F81" s="18"/>
      <c r="G81" s="18"/>
      <c r="H81" s="18"/>
      <c r="I81" s="18"/>
      <c r="J81" s="18"/>
      <c r="K81" s="18"/>
      <c r="L81" s="20"/>
      <c r="M81" s="18"/>
      <c r="N81" s="18"/>
      <c r="O81" s="18"/>
      <c r="P81" s="18"/>
      <c r="Q81" s="18"/>
      <c r="R81" s="18"/>
      <c r="T81" s="91" t="s">
        <v>11</v>
      </c>
      <c r="U81" s="92"/>
      <c r="V81" s="94"/>
      <c r="W81" s="105">
        <f>J93-J97</f>
        <v>0</v>
      </c>
      <c r="X81" s="61"/>
      <c r="Y81" s="22" t="s">
        <v>32</v>
      </c>
      <c r="Z81" s="22"/>
      <c r="AA81" s="23"/>
      <c r="AB81" s="111" t="e">
        <f>IF(AB77="Year over Year",AJ81,IF(AB77="3-Year Average",AVERAGE(AI81:AJ81),IF(AB77="5-Year Average",AVERAGE(AG81:AJ81),"")))</f>
        <v>#DIV/0!</v>
      </c>
      <c r="AC81" s="62"/>
      <c r="AD81" s="22" t="s">
        <v>51</v>
      </c>
      <c r="AE81" s="23"/>
      <c r="AF81" s="24"/>
      <c r="AG81" s="63" t="str">
        <f t="shared" si="17"/>
        <v/>
      </c>
      <c r="AH81" s="63" t="str">
        <f t="shared" si="18"/>
        <v/>
      </c>
      <c r="AI81" s="63" t="str">
        <f t="shared" si="19"/>
        <v/>
      </c>
      <c r="AJ81" s="63" t="str">
        <f t="shared" si="20"/>
        <v/>
      </c>
    </row>
    <row r="82" spans="2:38" ht="18.75" customHeight="1" x14ac:dyDescent="0.2">
      <c r="B82" s="42"/>
      <c r="C82" s="16"/>
      <c r="D82" s="128" t="s">
        <v>52</v>
      </c>
      <c r="E82" s="129"/>
      <c r="F82" s="18"/>
      <c r="G82" s="18"/>
      <c r="H82" s="18"/>
      <c r="I82" s="18"/>
      <c r="J82" s="18"/>
      <c r="K82" s="18"/>
      <c r="L82" s="17"/>
      <c r="M82" s="18"/>
      <c r="N82" s="18"/>
      <c r="O82" s="18"/>
      <c r="P82" s="18"/>
      <c r="Q82" s="18"/>
      <c r="R82" s="18"/>
      <c r="T82" s="91" t="s">
        <v>53</v>
      </c>
      <c r="U82" s="92"/>
      <c r="V82" s="93"/>
      <c r="W82" s="106" t="str">
        <f>IF(W79&gt;10000,"Large Cap",IF(AND(10000&gt;W79,2000&lt;W79),"Mid Cap",IF(AND(2000&gt;W79,W79&gt;50),"Small Cap",IF(W79&lt;50,"Micro Cap",NA))))</f>
        <v>Micro Cap</v>
      </c>
      <c r="X82" s="61"/>
      <c r="AB82" s="117"/>
      <c r="AC82" s="21"/>
    </row>
    <row r="83" spans="2:38" ht="18.75" customHeight="1" thickBot="1" x14ac:dyDescent="0.25">
      <c r="B83" s="42"/>
      <c r="C83" s="16"/>
      <c r="D83" s="128" t="s">
        <v>54</v>
      </c>
      <c r="E83" s="129"/>
      <c r="F83" s="18"/>
      <c r="G83" s="18"/>
      <c r="H83" s="18"/>
      <c r="I83" s="18"/>
      <c r="J83" s="18"/>
      <c r="K83" s="18"/>
      <c r="L83" s="25"/>
      <c r="M83" s="18"/>
      <c r="N83" s="18"/>
      <c r="O83" s="18"/>
      <c r="P83" s="18"/>
      <c r="Q83" s="18"/>
      <c r="R83" s="18"/>
      <c r="T83" s="22" t="s">
        <v>55</v>
      </c>
      <c r="W83" s="107"/>
      <c r="X83" s="62"/>
      <c r="Y83" s="103" t="s">
        <v>2</v>
      </c>
      <c r="Z83" s="114"/>
      <c r="AA83" s="115"/>
      <c r="AB83" s="118"/>
      <c r="AD83" s="101" t="s">
        <v>56</v>
      </c>
      <c r="AE83" s="102"/>
      <c r="AF83" s="133">
        <f>M77</f>
        <v>2013</v>
      </c>
      <c r="AG83" s="133">
        <f>N77</f>
        <v>2014</v>
      </c>
      <c r="AH83" s="133">
        <f>O77</f>
        <v>2015</v>
      </c>
      <c r="AI83" s="133">
        <f>P77</f>
        <v>2016</v>
      </c>
      <c r="AJ83" s="133">
        <f>Q77</f>
        <v>2017</v>
      </c>
    </row>
    <row r="84" spans="2:38" ht="18.75" hidden="1" customHeight="1" x14ac:dyDescent="0.2">
      <c r="B84" s="42"/>
      <c r="C84" s="16"/>
      <c r="D84" s="128"/>
      <c r="E84" s="129"/>
      <c r="F84" s="18"/>
      <c r="G84" s="18"/>
      <c r="H84" s="18"/>
      <c r="I84" s="18"/>
      <c r="J84" s="18"/>
      <c r="K84" s="18"/>
      <c r="L84" s="25"/>
      <c r="M84" s="18"/>
      <c r="N84" s="18"/>
      <c r="O84" s="18"/>
      <c r="P84" s="18"/>
      <c r="Q84" s="18"/>
      <c r="R84" s="18"/>
      <c r="T84" s="22"/>
      <c r="W84" s="95"/>
      <c r="X84" s="62"/>
      <c r="Y84" s="52"/>
      <c r="Z84" s="53"/>
      <c r="AA84" s="96"/>
      <c r="AB84" s="119"/>
      <c r="AD84" s="54"/>
      <c r="AE84" s="55"/>
      <c r="AF84" s="56"/>
      <c r="AG84" s="56"/>
      <c r="AH84" s="56"/>
      <c r="AI84" s="56"/>
      <c r="AJ84" s="56"/>
    </row>
    <row r="85" spans="2:38" ht="18.75" hidden="1" customHeight="1" x14ac:dyDescent="0.2">
      <c r="B85" s="42"/>
      <c r="C85" s="16"/>
      <c r="D85" s="128"/>
      <c r="E85" s="129"/>
      <c r="F85" s="18"/>
      <c r="G85" s="18"/>
      <c r="H85" s="18"/>
      <c r="I85" s="18"/>
      <c r="J85" s="18"/>
      <c r="K85" s="18"/>
      <c r="L85" s="25"/>
      <c r="M85" s="18"/>
      <c r="N85" s="18"/>
      <c r="O85" s="18"/>
      <c r="P85" s="18"/>
      <c r="Q85" s="18"/>
      <c r="R85" s="18"/>
      <c r="T85" s="22"/>
      <c r="W85" s="95"/>
      <c r="X85" s="62"/>
      <c r="Y85" s="52"/>
      <c r="Z85" s="53"/>
      <c r="AA85" s="96"/>
      <c r="AB85" s="119"/>
      <c r="AD85" s="54"/>
      <c r="AE85" s="55"/>
      <c r="AF85" s="56"/>
      <c r="AG85" s="56"/>
      <c r="AH85" s="56"/>
      <c r="AI85" s="56"/>
      <c r="AJ85" s="56"/>
    </row>
    <row r="86" spans="2:38" ht="18.75" customHeight="1" x14ac:dyDescent="0.2">
      <c r="B86" s="42"/>
      <c r="C86" s="16"/>
      <c r="D86" s="128" t="s">
        <v>57</v>
      </c>
      <c r="E86" s="129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T86" s="48"/>
      <c r="Y86" s="91" t="s">
        <v>20</v>
      </c>
      <c r="Z86" s="91"/>
      <c r="AA86" s="92"/>
      <c r="AB86" s="108" t="e">
        <f>AVERAGE(G92:J92)/AVERAGE(G95:J95)</f>
        <v>#DIV/0!</v>
      </c>
      <c r="AD86" s="27" t="s">
        <v>29</v>
      </c>
      <c r="AE86" s="28"/>
      <c r="AF86" s="29" t="str">
        <f>IF(M78="","",M78)</f>
        <v/>
      </c>
      <c r="AG86" s="29" t="str">
        <f>IF(N78="","",N78)</f>
        <v/>
      </c>
      <c r="AH86" s="29" t="str">
        <f>IF(O78="","",O78)</f>
        <v/>
      </c>
      <c r="AI86" s="29" t="str">
        <f>IF(P78="","",P78)</f>
        <v/>
      </c>
      <c r="AJ86" s="29" t="str">
        <f>IF(Q78="","",Q78)</f>
        <v/>
      </c>
    </row>
    <row r="87" spans="2:38" ht="18.75" customHeight="1" thickBot="1" x14ac:dyDescent="0.25">
      <c r="B87" s="42"/>
      <c r="C87" s="16"/>
      <c r="D87" s="237" t="s">
        <v>58</v>
      </c>
      <c r="E87" s="238"/>
      <c r="F87" s="157"/>
      <c r="G87" s="157"/>
      <c r="H87" s="157"/>
      <c r="I87" s="157"/>
      <c r="J87" s="157"/>
      <c r="K87" s="18"/>
      <c r="L87" s="20"/>
      <c r="M87" s="157"/>
      <c r="N87" s="157"/>
      <c r="O87" s="157"/>
      <c r="P87" s="157"/>
      <c r="Q87" s="157"/>
      <c r="R87" s="157"/>
      <c r="T87" s="98" t="s">
        <v>59</v>
      </c>
      <c r="U87" s="99"/>
      <c r="V87" s="99"/>
      <c r="W87" s="99"/>
      <c r="Y87" s="22" t="s">
        <v>21</v>
      </c>
      <c r="Z87" s="22"/>
      <c r="AA87" s="90"/>
      <c r="AB87" s="108" t="e">
        <f>AVERAGE(G93:J93)/AVERAGE(G98:J98)</f>
        <v>#DIV/0!</v>
      </c>
      <c r="AD87" s="27" t="s">
        <v>60</v>
      </c>
      <c r="AE87" s="28"/>
      <c r="AF87" s="64" t="str">
        <f>IF(OR(M78="",M80=""),"",M80/M78)</f>
        <v/>
      </c>
      <c r="AG87" s="64" t="str">
        <f>IF(OR(N78="",N80=""),"",N80/N78)</f>
        <v/>
      </c>
      <c r="AH87" s="64" t="str">
        <f>IF(OR(O78="",O80=""),"",O80/O78)</f>
        <v/>
      </c>
      <c r="AI87" s="64" t="str">
        <f>IF(OR(P78="",P80=""),"",P80/P78)</f>
        <v/>
      </c>
      <c r="AJ87" s="64" t="str">
        <f>IF(OR(Q78="",Q80=""),"",Q80/Q78)</f>
        <v/>
      </c>
    </row>
    <row r="88" spans="2:38" ht="18.75" customHeight="1" x14ac:dyDescent="0.2">
      <c r="B88" s="43"/>
      <c r="C88" s="19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T88" s="91" t="s">
        <v>13</v>
      </c>
      <c r="U88" s="91"/>
      <c r="V88" s="92"/>
      <c r="W88" s="108" t="str">
        <f>IF(R83&gt;0,W78/R83,"")</f>
        <v/>
      </c>
      <c r="Y88" s="22" t="s">
        <v>22</v>
      </c>
      <c r="Z88" s="22"/>
      <c r="AA88" s="90"/>
      <c r="AB88" s="108" t="e">
        <f>AVERAGE(G96:J96)/AVERAGE(G98:J98)</f>
        <v>#DIV/0!</v>
      </c>
      <c r="AD88" s="27" t="s">
        <v>47</v>
      </c>
      <c r="AE88" s="28"/>
      <c r="AF88" s="29" t="str">
        <f>IF(M81="","",M81)</f>
        <v/>
      </c>
      <c r="AG88" s="29" t="str">
        <f>IF(N81="","",N81)</f>
        <v/>
      </c>
      <c r="AH88" s="29" t="str">
        <f>IF(O81="","",O81)</f>
        <v/>
      </c>
      <c r="AI88" s="29" t="str">
        <f>IF(P81="","",P81)</f>
        <v/>
      </c>
      <c r="AJ88" s="29" t="str">
        <f>IF(Q81="","",Q81)</f>
        <v/>
      </c>
    </row>
    <row r="89" spans="2:38" ht="18.75" customHeight="1" thickBot="1" x14ac:dyDescent="0.3">
      <c r="B89" s="44"/>
      <c r="C89" s="26"/>
      <c r="D89" s="130" t="s">
        <v>61</v>
      </c>
      <c r="E89" s="131"/>
      <c r="F89" s="240" t="str">
        <f>F77</f>
        <v>2016-10</v>
      </c>
      <c r="G89" s="240" t="str">
        <f>G77</f>
        <v>2017-01</v>
      </c>
      <c r="H89" s="240" t="str">
        <f>H77</f>
        <v>2017-04</v>
      </c>
      <c r="I89" s="240" t="str">
        <f>I77</f>
        <v>2017-07</v>
      </c>
      <c r="J89" s="240" t="str">
        <f>J77</f>
        <v>2017-10</v>
      </c>
      <c r="K89" s="253"/>
      <c r="L89" s="155"/>
      <c r="M89" s="241">
        <f>M77</f>
        <v>2013</v>
      </c>
      <c r="N89" s="241">
        <f>N77</f>
        <v>2014</v>
      </c>
      <c r="O89" s="241">
        <f>O77</f>
        <v>2015</v>
      </c>
      <c r="P89" s="241">
        <f>P77</f>
        <v>2016</v>
      </c>
      <c r="Q89" s="241">
        <f>Q77</f>
        <v>2017</v>
      </c>
      <c r="R89" s="242"/>
      <c r="T89" s="91" t="s">
        <v>15</v>
      </c>
      <c r="U89" s="91"/>
      <c r="V89" s="92"/>
      <c r="W89" s="108" t="e">
        <f>W78/((J93-J97)/J86)</f>
        <v>#DIV/0!</v>
      </c>
      <c r="X89" s="65"/>
      <c r="Y89" s="48"/>
      <c r="AB89" s="13"/>
      <c r="AD89" s="27" t="s">
        <v>62</v>
      </c>
      <c r="AE89" s="28"/>
      <c r="AF89" s="64" t="str">
        <f>IF(OR(M78="",M81=""),"",M81/M78)</f>
        <v/>
      </c>
      <c r="AG89" s="64" t="str">
        <f>IF(OR(N78="",N81=""),"",N81/N78)</f>
        <v/>
      </c>
      <c r="AH89" s="64" t="str">
        <f>IF(OR(O78="",O81=""),"",O81/O78)</f>
        <v/>
      </c>
      <c r="AI89" s="64" t="str">
        <f>IF(OR(P78="",P81=""),"",P81/P78)</f>
        <v/>
      </c>
      <c r="AJ89" s="64" t="str">
        <f>IF(OR(Q78="",Q81=""),"",Q81/Q78)</f>
        <v/>
      </c>
      <c r="AK89" s="30"/>
      <c r="AL89" s="14"/>
    </row>
    <row r="90" spans="2:38" ht="18.75" customHeight="1" thickBot="1" x14ac:dyDescent="0.25">
      <c r="B90" s="40"/>
      <c r="C90" s="11"/>
      <c r="D90" s="235" t="s">
        <v>63</v>
      </c>
      <c r="E90" s="243"/>
      <c r="F90" s="154"/>
      <c r="G90" s="154"/>
      <c r="H90" s="154"/>
      <c r="I90" s="154"/>
      <c r="J90" s="154"/>
      <c r="K90" s="18"/>
      <c r="L90" s="17"/>
      <c r="M90" s="154"/>
      <c r="N90" s="154"/>
      <c r="O90" s="154"/>
      <c r="P90" s="154"/>
      <c r="Q90" s="154"/>
      <c r="R90" s="154"/>
      <c r="T90" s="91" t="s">
        <v>14</v>
      </c>
      <c r="U90" s="91"/>
      <c r="V90" s="92"/>
      <c r="W90" s="108" t="e">
        <f>W78/(R78/R86)</f>
        <v>#DIV/0!</v>
      </c>
      <c r="X90" s="66"/>
      <c r="Y90" s="103" t="s">
        <v>36</v>
      </c>
      <c r="Z90" s="114"/>
      <c r="AA90" s="114"/>
      <c r="AB90" s="120"/>
      <c r="AD90" s="27" t="s">
        <v>31</v>
      </c>
      <c r="AE90" s="28"/>
      <c r="AF90" s="29" t="str">
        <f t="shared" ref="AF90:AF91" si="21">IF(M82="","",M82)</f>
        <v/>
      </c>
      <c r="AG90" s="29" t="str">
        <f t="shared" ref="AG90:AG91" si="22">IF(N82="","",N82)</f>
        <v/>
      </c>
      <c r="AH90" s="29" t="str">
        <f t="shared" ref="AH90:AH91" si="23">IF(O82="","",O82)</f>
        <v/>
      </c>
      <c r="AI90" s="29" t="str">
        <f t="shared" ref="AI90:AI91" si="24">IF(P82="","",P82)</f>
        <v/>
      </c>
      <c r="AJ90" s="29" t="str">
        <f t="shared" ref="AJ90:AJ91" si="25">IF(Q82="","",Q82)</f>
        <v/>
      </c>
      <c r="AL90" s="67"/>
    </row>
    <row r="91" spans="2:38" ht="18.75" customHeight="1" x14ac:dyDescent="0.2">
      <c r="B91" s="42"/>
      <c r="C91" s="16"/>
      <c r="D91" s="244" t="s">
        <v>64</v>
      </c>
      <c r="E91" s="245"/>
      <c r="F91" s="126"/>
      <c r="G91" s="126"/>
      <c r="H91" s="126"/>
      <c r="I91" s="126"/>
      <c r="J91" s="126"/>
      <c r="K91" s="126"/>
      <c r="L91" s="31"/>
      <c r="M91" s="126"/>
      <c r="N91" s="126"/>
      <c r="O91" s="126"/>
      <c r="P91" s="126"/>
      <c r="Q91" s="126"/>
      <c r="R91" s="126"/>
      <c r="T91" s="22" t="s">
        <v>17</v>
      </c>
      <c r="U91" s="22"/>
      <c r="V91" s="23"/>
      <c r="W91" s="108" t="e">
        <f>IF(AVERAGE(O101:Q101)&gt;0,W78/(AVERAGE(O101:Q101)/R86),"")</f>
        <v>#DIV/0!</v>
      </c>
      <c r="X91" s="66"/>
      <c r="Y91" s="49" t="s">
        <v>29</v>
      </c>
      <c r="Z91" s="49"/>
      <c r="AA91" s="97"/>
      <c r="AB91" s="121">
        <f>R78</f>
        <v>0</v>
      </c>
      <c r="AD91" s="27" t="s">
        <v>32</v>
      </c>
      <c r="AE91" s="28"/>
      <c r="AF91" s="68" t="str">
        <f t="shared" si="21"/>
        <v/>
      </c>
      <c r="AG91" s="68" t="str">
        <f t="shared" si="22"/>
        <v/>
      </c>
      <c r="AH91" s="68" t="str">
        <f t="shared" si="23"/>
        <v/>
      </c>
      <c r="AI91" s="68" t="str">
        <f t="shared" si="24"/>
        <v/>
      </c>
      <c r="AJ91" s="68" t="str">
        <f t="shared" si="25"/>
        <v/>
      </c>
      <c r="AL91" s="67"/>
    </row>
    <row r="92" spans="2:38" ht="18.75" customHeight="1" x14ac:dyDescent="0.25">
      <c r="B92" s="44"/>
      <c r="C92" s="26"/>
      <c r="D92" s="244" t="s">
        <v>65</v>
      </c>
      <c r="E92" s="245"/>
      <c r="F92" s="126"/>
      <c r="G92" s="126"/>
      <c r="H92" s="126"/>
      <c r="I92" s="126"/>
      <c r="J92" s="126"/>
      <c r="K92" s="126"/>
      <c r="L92" s="31"/>
      <c r="M92" s="126"/>
      <c r="N92" s="126"/>
      <c r="O92" s="126"/>
      <c r="P92" s="126"/>
      <c r="Q92" s="126"/>
      <c r="R92" s="126"/>
      <c r="T92" s="91" t="s">
        <v>16</v>
      </c>
      <c r="U92" s="91"/>
      <c r="V92" s="92"/>
      <c r="W92" s="108" t="e">
        <f>IF(AVERAGE(O103:Q103)&gt;0,W79/AVERAGE(O103:Q103),"")</f>
        <v>#DIV/0!</v>
      </c>
      <c r="Y92" s="49" t="s">
        <v>66</v>
      </c>
      <c r="Z92" s="49"/>
      <c r="AA92" s="97"/>
      <c r="AB92" s="121">
        <f>R80</f>
        <v>0</v>
      </c>
      <c r="AD92" s="27" t="s">
        <v>67</v>
      </c>
      <c r="AE92" s="28"/>
      <c r="AF92" s="29" t="str">
        <f>IF(M86="","",M86)</f>
        <v/>
      </c>
      <c r="AG92" s="29" t="str">
        <f>IF(N86="","",N86)</f>
        <v/>
      </c>
      <c r="AH92" s="29" t="str">
        <f>IF(O86="","",O86)</f>
        <v/>
      </c>
      <c r="AI92" s="29" t="str">
        <f>IF(P86="","",P86)</f>
        <v/>
      </c>
      <c r="AJ92" s="29" t="str">
        <f>IF(Q86="","",Q86)</f>
        <v/>
      </c>
      <c r="AL92" s="67"/>
    </row>
    <row r="93" spans="2:38" ht="18.75" customHeight="1" x14ac:dyDescent="0.2">
      <c r="B93" s="43"/>
      <c r="C93" s="19"/>
      <c r="D93" s="244" t="s">
        <v>68</v>
      </c>
      <c r="E93" s="245"/>
      <c r="F93" s="126"/>
      <c r="G93" s="126"/>
      <c r="H93" s="126"/>
      <c r="I93" s="126"/>
      <c r="J93" s="126"/>
      <c r="K93" s="126"/>
      <c r="L93" s="127"/>
      <c r="M93" s="126"/>
      <c r="N93" s="126"/>
      <c r="O93" s="126"/>
      <c r="P93" s="126"/>
      <c r="Q93" s="126"/>
      <c r="R93" s="126"/>
      <c r="T93" s="91" t="s">
        <v>18</v>
      </c>
      <c r="U93" s="91"/>
      <c r="V93" s="92"/>
      <c r="W93" s="108" t="e">
        <f>(W79+(J94+J96)-J90)/J87</f>
        <v>#DIV/0!</v>
      </c>
      <c r="Y93" s="49" t="s">
        <v>31</v>
      </c>
      <c r="Z93" s="49"/>
      <c r="AA93" s="97"/>
      <c r="AB93" s="121">
        <f>R82</f>
        <v>0</v>
      </c>
      <c r="AD93" s="27" t="s">
        <v>69</v>
      </c>
      <c r="AE93" s="28"/>
      <c r="AF93" s="69" t="str">
        <f>IF(OR(M98="",M86="",M93="",M97=""),"",(M93-M97)/M86)</f>
        <v/>
      </c>
      <c r="AG93" s="69" t="str">
        <f>IF(OR(N98="",N86="",N93="",N97=""),"",(N93-N97)/N86)</f>
        <v/>
      </c>
      <c r="AH93" s="69" t="str">
        <f>IF(OR(O98="",O86="",O93="",O97=""),"",(O93-O97)/O86)</f>
        <v/>
      </c>
      <c r="AI93" s="69" t="str">
        <f>IF(OR(P98="",P86="",P93="",P97=""),"",(P93-P97)/P86)</f>
        <v/>
      </c>
      <c r="AJ93" s="69" t="str">
        <f>IF(OR(Q98="",Q86="",Q93="",Q97=""),"",(Q93-Q97)/Q86)</f>
        <v/>
      </c>
      <c r="AL93" s="67"/>
    </row>
    <row r="94" spans="2:38" ht="18.75" customHeight="1" x14ac:dyDescent="0.2">
      <c r="B94" s="42"/>
      <c r="C94" s="16"/>
      <c r="D94" s="244" t="s">
        <v>70</v>
      </c>
      <c r="E94" s="245"/>
      <c r="F94" s="126"/>
      <c r="G94" s="126"/>
      <c r="H94" s="126"/>
      <c r="I94" s="126"/>
      <c r="J94" s="126"/>
      <c r="K94" s="126"/>
      <c r="L94" s="17"/>
      <c r="M94" s="126"/>
      <c r="N94" s="126"/>
      <c r="O94" s="126"/>
      <c r="P94" s="126"/>
      <c r="Q94" s="126"/>
      <c r="R94" s="126"/>
      <c r="T94" s="22"/>
      <c r="U94" s="22"/>
      <c r="V94" s="23"/>
      <c r="W94" s="108"/>
      <c r="Y94" s="91" t="s">
        <v>32</v>
      </c>
      <c r="Z94" s="91"/>
      <c r="AA94" s="92"/>
      <c r="AB94" s="122">
        <f>R83</f>
        <v>0</v>
      </c>
      <c r="AL94" s="67"/>
    </row>
    <row r="95" spans="2:38" ht="18.75" customHeight="1" thickBot="1" x14ac:dyDescent="0.25">
      <c r="B95" s="45"/>
      <c r="C95" s="32"/>
      <c r="D95" s="244" t="s">
        <v>71</v>
      </c>
      <c r="E95" s="245"/>
      <c r="F95" s="126"/>
      <c r="G95" s="126"/>
      <c r="H95" s="126"/>
      <c r="I95" s="126"/>
      <c r="J95" s="126"/>
      <c r="K95" s="126"/>
      <c r="L95" s="31"/>
      <c r="M95" s="126"/>
      <c r="N95" s="126"/>
      <c r="O95" s="126"/>
      <c r="P95" s="126"/>
      <c r="Q95" s="126"/>
      <c r="R95" s="126"/>
      <c r="W95" s="13"/>
      <c r="AB95" s="117"/>
      <c r="AD95" s="101" t="s">
        <v>3</v>
      </c>
      <c r="AE95" s="102"/>
      <c r="AF95" s="133">
        <f>M77</f>
        <v>2013</v>
      </c>
      <c r="AG95" s="133">
        <f>N77</f>
        <v>2014</v>
      </c>
      <c r="AH95" s="133">
        <f>O77</f>
        <v>2015</v>
      </c>
      <c r="AI95" s="133">
        <f>P77</f>
        <v>2016</v>
      </c>
      <c r="AJ95" s="133">
        <f>Q77</f>
        <v>2017</v>
      </c>
    </row>
    <row r="96" spans="2:38" ht="18.75" customHeight="1" thickBot="1" x14ac:dyDescent="0.25">
      <c r="B96" s="43"/>
      <c r="C96" s="19"/>
      <c r="D96" s="244" t="s">
        <v>72</v>
      </c>
      <c r="E96" s="245"/>
      <c r="F96" s="126"/>
      <c r="G96" s="126"/>
      <c r="H96" s="126"/>
      <c r="I96" s="126"/>
      <c r="J96" s="126"/>
      <c r="K96" s="126"/>
      <c r="L96" s="125"/>
      <c r="M96" s="126"/>
      <c r="N96" s="126"/>
      <c r="O96" s="126"/>
      <c r="P96" s="126"/>
      <c r="Q96" s="126"/>
      <c r="R96" s="126"/>
      <c r="T96" s="101" t="s">
        <v>3</v>
      </c>
      <c r="U96" s="102"/>
      <c r="V96" s="102"/>
      <c r="W96" s="109"/>
      <c r="Y96" s="103" t="s">
        <v>61</v>
      </c>
      <c r="Z96" s="114"/>
      <c r="AA96" s="114"/>
      <c r="AB96" s="123"/>
      <c r="AD96" s="27" t="s">
        <v>73</v>
      </c>
      <c r="AE96" s="28"/>
      <c r="AF96" s="70" t="str">
        <f>IF(OR(M78="",M82="",M78=0,M82=0),"",M82/M78)</f>
        <v/>
      </c>
      <c r="AG96" s="70" t="str">
        <f>IF(OR(N78="",N82="",N78=0,N82=0),"",N82/N78)</f>
        <v/>
      </c>
      <c r="AH96" s="70" t="str">
        <f>IF(OR(O78="",O82="",O78=0,O82=0),"",O82/O78)</f>
        <v/>
      </c>
      <c r="AI96" s="70" t="str">
        <f>IF(OR(P78="",P82="",P78=0,P82=0),"",P82/P78)</f>
        <v/>
      </c>
      <c r="AJ96" s="70" t="str">
        <f>IF(OR(Q78="",Q82="",Q78=0,Q82=0),"",Q82/Q78)</f>
        <v/>
      </c>
    </row>
    <row r="97" spans="1:41" ht="18.75" customHeight="1" x14ac:dyDescent="0.2">
      <c r="B97" s="46"/>
      <c r="C97" s="34"/>
      <c r="D97" s="244" t="s">
        <v>74</v>
      </c>
      <c r="E97" s="245"/>
      <c r="F97" s="126"/>
      <c r="G97" s="126"/>
      <c r="H97" s="126"/>
      <c r="I97" s="126"/>
      <c r="J97" s="126"/>
      <c r="K97" s="126"/>
      <c r="L97" s="31"/>
      <c r="M97" s="126"/>
      <c r="N97" s="126"/>
      <c r="O97" s="126"/>
      <c r="P97" s="126"/>
      <c r="Q97" s="126"/>
      <c r="R97" s="126"/>
      <c r="T97" s="22" t="s">
        <v>12</v>
      </c>
      <c r="U97" s="22"/>
      <c r="V97" s="23"/>
      <c r="W97" s="110">
        <f>R78</f>
        <v>0</v>
      </c>
      <c r="Y97" s="22" t="s">
        <v>75</v>
      </c>
      <c r="Z97" s="22"/>
      <c r="AA97" s="23"/>
      <c r="AB97" s="121">
        <f>J91</f>
        <v>0</v>
      </c>
      <c r="AD97" s="27" t="s">
        <v>76</v>
      </c>
      <c r="AE97" s="28"/>
      <c r="AF97" s="70" t="str">
        <f>IF(OR(M82="",M96="",M82=0,M96=0),"",M82/M96)</f>
        <v/>
      </c>
      <c r="AG97" s="70" t="str">
        <f>IF(OR(N82="",N96="",N82=0,N96=0),"",N82/N96)</f>
        <v/>
      </c>
      <c r="AH97" s="70" t="str">
        <f>IF(OR(O82="",O96="",O82=0,O96=0),"",O82/O96)</f>
        <v/>
      </c>
      <c r="AI97" s="70" t="str">
        <f>IF(OR(P82="",P96="",P82=0,P96=0),"",P82/P96)</f>
        <v/>
      </c>
      <c r="AJ97" s="70" t="str">
        <f>IF(OR(Q82="",Q96="",Q82=0,Q96=0),"",Q82/Q96)</f>
        <v/>
      </c>
    </row>
    <row r="98" spans="1:41" ht="18.75" customHeight="1" thickBot="1" x14ac:dyDescent="0.25">
      <c r="B98" s="43"/>
      <c r="C98" s="19"/>
      <c r="D98" s="246" t="s">
        <v>77</v>
      </c>
      <c r="E98" s="247"/>
      <c r="F98" s="156"/>
      <c r="G98" s="156"/>
      <c r="H98" s="156"/>
      <c r="I98" s="156"/>
      <c r="J98" s="156"/>
      <c r="K98" s="126"/>
      <c r="L98" s="127"/>
      <c r="M98" s="156"/>
      <c r="N98" s="156"/>
      <c r="O98" s="156"/>
      <c r="P98" s="156"/>
      <c r="Q98" s="156"/>
      <c r="R98" s="156"/>
      <c r="T98" s="49" t="s">
        <v>23</v>
      </c>
      <c r="U98" s="49"/>
      <c r="V98" s="97"/>
      <c r="W98" s="111" t="e">
        <f>(R78-R79)/R78</f>
        <v>#DIV/0!</v>
      </c>
      <c r="Y98" s="49" t="s">
        <v>78</v>
      </c>
      <c r="Z98" s="49"/>
      <c r="AA98" s="97"/>
      <c r="AB98" s="121">
        <f>J92</f>
        <v>0</v>
      </c>
      <c r="AD98" s="27" t="s">
        <v>79</v>
      </c>
      <c r="AE98" s="28"/>
      <c r="AF98" s="70" t="str">
        <f>IF(OR(M82="",M93="",M82=0,M93=0),"",M82/M93)</f>
        <v/>
      </c>
      <c r="AG98" s="70" t="str">
        <f>IF(OR(N82="",N93="",N82=0,N93=0),"",N82/N93)</f>
        <v/>
      </c>
      <c r="AH98" s="70" t="str">
        <f>IF(OR(O82="",O93="",O82=0,O93=0),"",O82/O93)</f>
        <v/>
      </c>
      <c r="AI98" s="70" t="str">
        <f>IF(OR(P82="",P93="",P82=0,P93=0),"",P82/P93)</f>
        <v/>
      </c>
      <c r="AJ98" s="70" t="str">
        <f>IF(OR(Q82="",Q93="",Q82=0,Q93=0),"",Q82/Q93)</f>
        <v/>
      </c>
    </row>
    <row r="99" spans="1:41" ht="18.75" customHeight="1" x14ac:dyDescent="0.2">
      <c r="B99" s="43"/>
      <c r="C99" s="19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T99" s="49" t="s">
        <v>24</v>
      </c>
      <c r="U99" s="49"/>
      <c r="V99" s="97"/>
      <c r="W99" s="111" t="e">
        <f>R82/R78</f>
        <v>#DIV/0!</v>
      </c>
      <c r="Y99" s="22" t="s">
        <v>80</v>
      </c>
      <c r="Z99" s="22"/>
      <c r="AA99" s="23"/>
      <c r="AB99" s="121">
        <f>J95</f>
        <v>0</v>
      </c>
      <c r="AD99" s="27" t="s">
        <v>28</v>
      </c>
      <c r="AE99" s="28"/>
      <c r="AF99" s="33" t="str">
        <f>IF(OR(M78="",M93="",M78=0,M93=0),"",M78/M93)</f>
        <v/>
      </c>
      <c r="AG99" s="33" t="str">
        <f>IF(OR(N78="",N93="",N78=0,N93=0),"",N78/N93)</f>
        <v/>
      </c>
      <c r="AH99" s="33" t="str">
        <f>IF(OR(O78="",O93="",O78=0,O93=0),"",O78/O93)</f>
        <v/>
      </c>
      <c r="AI99" s="33" t="str">
        <f>IF(OR(P78="",P93="",P78=0,P93=0),"",P78/P93)</f>
        <v/>
      </c>
      <c r="AJ99" s="33" t="str">
        <f>IF(OR(Q78="",Q93="",Q78=0,Q93=0),"",Q78/Q93)</f>
        <v/>
      </c>
    </row>
    <row r="100" spans="1:41" ht="18.75" customHeight="1" thickBot="1" x14ac:dyDescent="0.25">
      <c r="B100" s="43"/>
      <c r="C100" s="19"/>
      <c r="D100" s="130" t="s">
        <v>81</v>
      </c>
      <c r="E100" s="131"/>
      <c r="F100" s="240" t="str">
        <f>F77</f>
        <v>2016-10</v>
      </c>
      <c r="G100" s="240" t="str">
        <f>G77</f>
        <v>2017-01</v>
      </c>
      <c r="H100" s="240" t="str">
        <f>H77</f>
        <v>2017-04</v>
      </c>
      <c r="I100" s="240" t="str">
        <f>I77</f>
        <v>2017-07</v>
      </c>
      <c r="J100" s="240" t="str">
        <f>J77</f>
        <v>2017-10</v>
      </c>
      <c r="K100" s="253"/>
      <c r="L100" s="155"/>
      <c r="M100" s="248">
        <f>M77</f>
        <v>2013</v>
      </c>
      <c r="N100" s="248">
        <f>N77</f>
        <v>2014</v>
      </c>
      <c r="O100" s="248">
        <f>O77</f>
        <v>2015</v>
      </c>
      <c r="P100" s="248">
        <f>P77</f>
        <v>2016</v>
      </c>
      <c r="Q100" s="248">
        <f>Q77</f>
        <v>2017</v>
      </c>
      <c r="R100" s="242" t="s">
        <v>42</v>
      </c>
      <c r="T100" s="49" t="s">
        <v>25</v>
      </c>
      <c r="U100" s="49"/>
      <c r="V100" s="97"/>
      <c r="W100" s="111" t="e">
        <f>R81/R78</f>
        <v>#DIV/0!</v>
      </c>
      <c r="Y100" s="22" t="s">
        <v>82</v>
      </c>
      <c r="AB100" s="121">
        <f>J94+J96</f>
        <v>0</v>
      </c>
      <c r="AK100" s="35"/>
    </row>
    <row r="101" spans="1:41" ht="18.75" customHeight="1" thickBot="1" x14ac:dyDescent="0.3">
      <c r="B101" s="47"/>
      <c r="C101" s="36"/>
      <c r="D101" s="235" t="s">
        <v>83</v>
      </c>
      <c r="E101" s="236"/>
      <c r="F101" s="154"/>
      <c r="G101" s="154"/>
      <c r="H101" s="154"/>
      <c r="I101" s="154"/>
      <c r="J101" s="154"/>
      <c r="K101" s="18"/>
      <c r="L101" s="17"/>
      <c r="M101" s="154"/>
      <c r="N101" s="154"/>
      <c r="O101" s="154"/>
      <c r="P101" s="154"/>
      <c r="Q101" s="154"/>
      <c r="R101" s="154"/>
      <c r="W101" s="13"/>
      <c r="Y101" s="22"/>
      <c r="AB101" s="121"/>
      <c r="AD101" s="101" t="s">
        <v>2</v>
      </c>
      <c r="AE101" s="102"/>
      <c r="AF101" s="132">
        <f>M77</f>
        <v>2013</v>
      </c>
      <c r="AG101" s="132">
        <f>N77</f>
        <v>2014</v>
      </c>
      <c r="AH101" s="132">
        <f>O77</f>
        <v>2015</v>
      </c>
      <c r="AI101" s="132">
        <f>P77</f>
        <v>2016</v>
      </c>
      <c r="AJ101" s="132">
        <f>Q77</f>
        <v>2017</v>
      </c>
      <c r="AK101" s="35"/>
    </row>
    <row r="102" spans="1:41" ht="18.75" customHeight="1" thickBot="1" x14ac:dyDescent="0.25">
      <c r="B102" s="43"/>
      <c r="C102" s="19"/>
      <c r="D102" s="128" t="s">
        <v>84</v>
      </c>
      <c r="E102" s="129"/>
      <c r="F102" s="18"/>
      <c r="G102" s="18"/>
      <c r="H102" s="18"/>
      <c r="I102" s="18"/>
      <c r="J102" s="18"/>
      <c r="K102" s="18"/>
      <c r="L102" s="17"/>
      <c r="M102" s="18"/>
      <c r="N102" s="18"/>
      <c r="O102" s="18"/>
      <c r="P102" s="18"/>
      <c r="Q102" s="18"/>
      <c r="R102" s="18"/>
      <c r="T102" s="98" t="s">
        <v>4</v>
      </c>
      <c r="U102" s="99"/>
      <c r="V102" s="99"/>
      <c r="W102" s="112"/>
      <c r="Y102" s="103" t="s">
        <v>85</v>
      </c>
      <c r="Z102" s="114"/>
      <c r="AA102" s="114"/>
      <c r="AB102" s="123"/>
      <c r="AD102" s="27" t="s">
        <v>20</v>
      </c>
      <c r="AE102" s="28"/>
      <c r="AF102" s="33" t="str">
        <f t="shared" ref="AF102:AF103" si="26">IF(OR(M92="",M95="",M92=0,M95=0),"",M92/M95)</f>
        <v/>
      </c>
      <c r="AG102" s="33" t="str">
        <f t="shared" ref="AG102:AG103" si="27">IF(OR(N92="",N95="",N92=0,N95=0),"",N92/N95)</f>
        <v/>
      </c>
      <c r="AH102" s="33" t="str">
        <f t="shared" ref="AH102:AH103" si="28">IF(OR(O92="",O95="",O92=0,O95=0),"",O92/O95)</f>
        <v/>
      </c>
      <c r="AI102" s="33" t="str">
        <f t="shared" ref="AI102:AI103" si="29">IF(OR(P92="",P95="",P92=0,P95=0),"",P92/P95)</f>
        <v/>
      </c>
      <c r="AJ102" s="33" t="str">
        <f t="shared" ref="AJ102:AJ103" si="30">IF(OR(Q92="",Q95="",Q92=0,Q95=0),"",Q92/Q95)</f>
        <v/>
      </c>
      <c r="AK102" s="35"/>
    </row>
    <row r="103" spans="1:41" ht="18.75" customHeight="1" thickBot="1" x14ac:dyDescent="0.25">
      <c r="B103" s="43"/>
      <c r="C103" s="19"/>
      <c r="D103" s="237" t="s">
        <v>86</v>
      </c>
      <c r="E103" s="238"/>
      <c r="F103" s="157"/>
      <c r="G103" s="157"/>
      <c r="H103" s="157"/>
      <c r="I103" s="157"/>
      <c r="J103" s="157"/>
      <c r="K103" s="18"/>
      <c r="L103" s="17"/>
      <c r="M103" s="157"/>
      <c r="N103" s="157"/>
      <c r="O103" s="157"/>
      <c r="P103" s="157"/>
      <c r="Q103" s="157"/>
      <c r="R103" s="157"/>
      <c r="T103" s="91" t="s">
        <v>26</v>
      </c>
      <c r="U103" s="91"/>
      <c r="V103" s="92"/>
      <c r="W103" s="111" t="e">
        <f>R82/AVERAGE(G98:J98)</f>
        <v>#DIV/0!</v>
      </c>
      <c r="Y103" s="49" t="s">
        <v>87</v>
      </c>
      <c r="Z103" s="49"/>
      <c r="AA103" s="97"/>
      <c r="AB103" s="105" t="e">
        <f>AVERAGE(O101:Q101)</f>
        <v>#DIV/0!</v>
      </c>
      <c r="AD103" s="27" t="s">
        <v>21</v>
      </c>
      <c r="AE103" s="28"/>
      <c r="AF103" s="33" t="str">
        <f t="shared" si="26"/>
        <v/>
      </c>
      <c r="AG103" s="33" t="str">
        <f t="shared" si="27"/>
        <v/>
      </c>
      <c r="AH103" s="33" t="str">
        <f t="shared" si="28"/>
        <v/>
      </c>
      <c r="AI103" s="33" t="str">
        <f t="shared" si="29"/>
        <v/>
      </c>
      <c r="AJ103" s="33" t="str">
        <f t="shared" si="30"/>
        <v/>
      </c>
      <c r="AK103" s="35"/>
    </row>
    <row r="104" spans="1:41" ht="18.75" customHeight="1" x14ac:dyDescent="0.2">
      <c r="B104" s="40"/>
      <c r="C104" s="11"/>
      <c r="T104" s="91" t="s">
        <v>27</v>
      </c>
      <c r="U104" s="91"/>
      <c r="V104" s="92"/>
      <c r="W104" s="111" t="e">
        <f>R82/AVERAGE(G93:J93)</f>
        <v>#DIV/0!</v>
      </c>
      <c r="Y104" s="22" t="s">
        <v>88</v>
      </c>
      <c r="Z104" s="22"/>
      <c r="AB104" s="124" t="e">
        <f>ABS(AVERAGE(O102:Q102))</f>
        <v>#DIV/0!</v>
      </c>
      <c r="AD104" s="27" t="s">
        <v>22</v>
      </c>
      <c r="AE104" s="28"/>
      <c r="AF104" s="33" t="str">
        <f>IF(OR(M98="",M96="",M96=0,M98=0),"",M98/M96)</f>
        <v/>
      </c>
      <c r="AG104" s="33" t="str">
        <f>IF(OR(N98="",N96="",N96=0,N98=0),"",N98/N96)</f>
        <v/>
      </c>
      <c r="AH104" s="33" t="str">
        <f>IF(OR(O98="",O96="",O96=0,O98=0),"",O98/O96)</f>
        <v/>
      </c>
      <c r="AI104" s="33" t="str">
        <f>IF(OR(P98="",P96="",P96=0,P98=0),"",P98/P96)</f>
        <v/>
      </c>
      <c r="AJ104" s="33" t="str">
        <f>IF(OR(Q98="",Q96="",Q96=0,Q98=0),"",Q98/Q96)</f>
        <v/>
      </c>
    </row>
    <row r="105" spans="1:41" ht="18.75" customHeight="1" x14ac:dyDescent="0.2">
      <c r="B105" s="40"/>
      <c r="C105" s="11"/>
      <c r="T105" s="91" t="s">
        <v>89</v>
      </c>
      <c r="U105" s="91"/>
      <c r="V105" s="92"/>
      <c r="W105" s="111" t="e">
        <f>R81/(AVERAGE(G98:J98)+(AVERAGE(G93:J93)-AVERAGE(G95:J95)))</f>
        <v>#DIV/0!</v>
      </c>
      <c r="Y105" s="22" t="s">
        <v>90</v>
      </c>
      <c r="Z105" s="22"/>
      <c r="AA105" s="23"/>
      <c r="AB105" s="105" t="e">
        <f>AVERAGE(O103:Q103)</f>
        <v>#DIV/0!</v>
      </c>
    </row>
    <row r="106" spans="1:41" ht="18.75" customHeight="1" x14ac:dyDescent="0.2">
      <c r="B106" s="43"/>
      <c r="C106" s="19"/>
      <c r="T106" s="91" t="s">
        <v>28</v>
      </c>
      <c r="U106" s="91"/>
      <c r="V106" s="92"/>
      <c r="W106" s="108" t="e">
        <f>R78/AVERAGE(G93:J93)</f>
        <v>#DIV/0!</v>
      </c>
      <c r="Y106" s="48"/>
      <c r="AB106" s="48"/>
      <c r="AK106" s="37"/>
    </row>
    <row r="107" spans="1:41" s="175" customFormat="1" ht="18.75" customHeight="1" thickBot="1" x14ac:dyDescent="0.35">
      <c r="A107" s="166"/>
      <c r="B107" s="167"/>
      <c r="C107" s="168"/>
      <c r="D107" s="169"/>
      <c r="E107" s="168"/>
      <c r="F107" s="170"/>
      <c r="G107" s="170"/>
      <c r="H107" s="170"/>
      <c r="I107" s="170"/>
      <c r="J107" s="170"/>
      <c r="K107" s="170"/>
      <c r="L107" s="171"/>
      <c r="M107" s="172"/>
      <c r="N107" s="173"/>
      <c r="O107" s="173"/>
      <c r="P107" s="173"/>
      <c r="Q107" s="171"/>
      <c r="R107" s="171"/>
      <c r="S107" s="168"/>
      <c r="T107" s="174"/>
      <c r="Y107" s="174"/>
      <c r="AB107" s="176"/>
      <c r="AD107" s="174"/>
    </row>
    <row r="108" spans="1:41" s="138" customFormat="1" ht="18.75" customHeight="1" thickBot="1" x14ac:dyDescent="0.25">
      <c r="D108" s="163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T108" s="163"/>
      <c r="Y108" s="163"/>
      <c r="AB108" s="165"/>
      <c r="AD108" s="163"/>
    </row>
    <row r="109" spans="1:41" s="153" customFormat="1" ht="18.75" customHeight="1" thickBot="1" x14ac:dyDescent="0.3">
      <c r="A109" s="139">
        <v>4</v>
      </c>
      <c r="B109" s="140"/>
      <c r="C109" s="141"/>
      <c r="D109" s="142"/>
      <c r="E109" s="143"/>
      <c r="F109" s="144"/>
      <c r="G109" s="145"/>
      <c r="H109" s="145"/>
      <c r="I109" s="145"/>
      <c r="J109" s="145"/>
      <c r="K109" s="252"/>
      <c r="L109" s="159"/>
      <c r="M109" s="147"/>
      <c r="N109" s="148"/>
      <c r="O109" s="148"/>
      <c r="P109" s="148"/>
      <c r="Q109" s="148"/>
      <c r="R109" s="148"/>
      <c r="S109" s="148"/>
      <c r="T109" s="161" t="s">
        <v>7</v>
      </c>
      <c r="U109" s="258" t="s">
        <v>34</v>
      </c>
      <c r="V109" s="259"/>
      <c r="W109" s="162"/>
      <c r="X109" s="148"/>
      <c r="Y109" s="149"/>
      <c r="Z109" s="148"/>
      <c r="AA109" s="148"/>
      <c r="AB109" s="150"/>
      <c r="AC109" s="151"/>
      <c r="AD109" s="152"/>
      <c r="AE109" s="146"/>
      <c r="AF109" s="146"/>
      <c r="AG109" s="151"/>
      <c r="AH109" s="151"/>
      <c r="AI109" s="151"/>
      <c r="AJ109" s="151"/>
      <c r="AK109" s="151"/>
      <c r="AL109" s="151"/>
      <c r="AM109" s="151"/>
      <c r="AN109" s="146"/>
      <c r="AO109" s="146"/>
    </row>
    <row r="110" spans="1:41" ht="10.5" customHeight="1" x14ac:dyDescent="0.25">
      <c r="B110" s="39"/>
      <c r="C110" s="8"/>
      <c r="D110" s="9"/>
      <c r="E110" s="59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50"/>
      <c r="U110" s="10"/>
      <c r="V110" s="10"/>
      <c r="W110" s="10"/>
      <c r="X110" s="10"/>
      <c r="Y110" s="50"/>
      <c r="Z110" s="10"/>
      <c r="AA110" s="10"/>
      <c r="AB110" s="60"/>
      <c r="AC110" s="10"/>
      <c r="AD110" s="50"/>
      <c r="AE110" s="10"/>
      <c r="AF110" s="10"/>
      <c r="AG110" s="10"/>
      <c r="AH110" s="10"/>
      <c r="AI110" s="10"/>
      <c r="AJ110" s="10"/>
      <c r="AK110" s="10"/>
      <c r="AL110" s="10"/>
      <c r="AM110" s="10"/>
    </row>
    <row r="111" spans="1:41" ht="18.75" customHeight="1" thickBot="1" x14ac:dyDescent="0.25">
      <c r="B111" s="40"/>
      <c r="C111" s="11"/>
      <c r="D111" s="130" t="s">
        <v>36</v>
      </c>
      <c r="E111" s="131"/>
      <c r="F111" s="239" t="s">
        <v>37</v>
      </c>
      <c r="G111" s="239" t="s">
        <v>38</v>
      </c>
      <c r="H111" s="239" t="s">
        <v>39</v>
      </c>
      <c r="I111" s="239" t="s">
        <v>40</v>
      </c>
      <c r="J111" s="239" t="s">
        <v>41</v>
      </c>
      <c r="K111" s="249"/>
      <c r="L111" s="155"/>
      <c r="M111" s="239">
        <v>2013</v>
      </c>
      <c r="N111" s="239">
        <v>2014</v>
      </c>
      <c r="O111" s="239">
        <v>2015</v>
      </c>
      <c r="P111" s="239">
        <v>2016</v>
      </c>
      <c r="Q111" s="239">
        <v>2017</v>
      </c>
      <c r="R111" s="239" t="s">
        <v>42</v>
      </c>
      <c r="T111" s="98" t="s">
        <v>0</v>
      </c>
      <c r="U111" s="99"/>
      <c r="V111" s="99"/>
      <c r="W111" s="100"/>
      <c r="X111" s="12"/>
      <c r="Y111" s="98" t="s">
        <v>5</v>
      </c>
      <c r="Z111" s="99"/>
      <c r="AA111" s="113"/>
      <c r="AB111" s="116" t="s">
        <v>43</v>
      </c>
      <c r="AC111" s="12"/>
      <c r="AD111" s="103" t="s">
        <v>44</v>
      </c>
      <c r="AE111" s="114"/>
      <c r="AF111" s="113"/>
      <c r="AG111" s="132">
        <f>N111</f>
        <v>2014</v>
      </c>
      <c r="AH111" s="132">
        <f>O111</f>
        <v>2015</v>
      </c>
      <c r="AI111" s="132">
        <f>P111</f>
        <v>2016</v>
      </c>
      <c r="AJ111" s="132">
        <f>Q111</f>
        <v>2017</v>
      </c>
      <c r="AK111" s="13"/>
      <c r="AL111" s="14"/>
      <c r="AN111" s="15"/>
      <c r="AO111" s="55"/>
    </row>
    <row r="112" spans="1:41" ht="18.75" customHeight="1" x14ac:dyDescent="0.2">
      <c r="A112" s="41"/>
      <c r="B112" s="42"/>
      <c r="C112" s="16"/>
      <c r="D112" s="235" t="s">
        <v>29</v>
      </c>
      <c r="E112" s="236"/>
      <c r="F112" s="154"/>
      <c r="G112" s="154"/>
      <c r="H112" s="154"/>
      <c r="I112" s="154"/>
      <c r="J112" s="154"/>
      <c r="K112" s="18"/>
      <c r="L112" s="17"/>
      <c r="M112" s="154"/>
      <c r="N112" s="154"/>
      <c r="O112" s="154"/>
      <c r="P112" s="154"/>
      <c r="Q112" s="154"/>
      <c r="R112" s="154"/>
      <c r="T112" s="22" t="s">
        <v>8</v>
      </c>
      <c r="U112" s="90"/>
      <c r="V112" s="90"/>
      <c r="W112" s="104">
        <v>5.42</v>
      </c>
      <c r="X112" s="61"/>
      <c r="Y112" s="22" t="s">
        <v>29</v>
      </c>
      <c r="Z112" s="22"/>
      <c r="AA112" s="23"/>
      <c r="AB112" s="111" t="e">
        <f>IF(AB111="Year over Year",AJ112,IF(AB111="3-Year Average",AVERAGE(AI112:AJ112),IF(AB111="5-Year Average",AVERAGE(AG112:AJ112),"")))</f>
        <v>#DIV/0!</v>
      </c>
      <c r="AC112" s="62"/>
      <c r="AD112" s="22" t="s">
        <v>45</v>
      </c>
      <c r="AE112" s="23"/>
      <c r="AF112" s="24"/>
      <c r="AG112" s="63" t="str">
        <f>IF(AND(N112&gt;0,M112&gt;0,M112&lt;&gt;""),N112/M112-1,IF(AND(M112&lt;0,N112&lt;0,M112&lt;&gt;""),(N112-M112)/ABS(M112),IF(AND(M112&gt;0,N112&lt;0,M112&lt;&gt;""),"L",IF(AND(M112&lt;0,N112&gt;0,M112&lt;&gt;""),"P",""))))</f>
        <v/>
      </c>
      <c r="AH112" s="63" t="str">
        <f>IF(AND(O112&gt;0,N112&gt;0,N112&lt;&gt;""),O112/N112-1,IF(AND(N112&lt;0,O112&lt;0,N112&lt;&gt;""),(O112-N112)/ABS(N112),IF(AND(N112&gt;0,O112&lt;0,N112&lt;&gt;""),"L",IF(AND(N112&lt;0,O112&gt;0,N112&lt;&gt;""),"P",""))))</f>
        <v/>
      </c>
      <c r="AI112" s="63" t="str">
        <f>IF(AND(P112&gt;0,O112&gt;0,O112&lt;&gt;""),P112/O112-1,IF(AND(O112&lt;0,P112&lt;0,O112&lt;&gt;""),(P112-O112)/ABS(O112),IF(AND(O112&gt;0,P112&lt;0,O112&lt;&gt;""),"L",IF(AND(O112&lt;0,P112&gt;0,O112&lt;&gt;""),"P",""))))</f>
        <v/>
      </c>
      <c r="AJ112" s="63" t="str">
        <f>IF(AND(Q112&gt;0,P112&gt;0,P112&lt;&gt;""),Q112/P112-1,IF(AND(P112&lt;0,Q112&lt;0,P112&lt;&gt;""),(Q112-P112)/ABS(P112),IF(AND(P112&gt;0,Q112&lt;0,P112&lt;&gt;""),"L",IF(AND(P112&lt;0,Q112&gt;0,P112&lt;&gt;""),"P",""))))</f>
        <v/>
      </c>
    </row>
    <row r="113" spans="1:38" ht="18.75" customHeight="1" x14ac:dyDescent="0.2">
      <c r="A113" s="41"/>
      <c r="B113" s="42"/>
      <c r="C113" s="16"/>
      <c r="D113" s="128" t="s">
        <v>46</v>
      </c>
      <c r="E113" s="129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T113" s="91" t="s">
        <v>9</v>
      </c>
      <c r="U113" s="92"/>
      <c r="V113" s="93"/>
      <c r="W113" s="105">
        <f>W112*R120</f>
        <v>0</v>
      </c>
      <c r="X113" s="61"/>
      <c r="Y113" s="22" t="s">
        <v>47</v>
      </c>
      <c r="Z113" s="22"/>
      <c r="AA113" s="23"/>
      <c r="AB113" s="111" t="e">
        <f>IF(AB111="Year over Year",AJ113,IF(AB111="3-Year Average",AVERAGE(AI113:AJ113),IF(AB111="5-Year Average",AVERAGE(AG113:AJ113),"")))</f>
        <v>#DIV/0!</v>
      </c>
      <c r="AC113" s="62"/>
      <c r="AD113" s="22" t="s">
        <v>30</v>
      </c>
      <c r="AE113" s="23"/>
      <c r="AF113" s="24"/>
      <c r="AG113" s="63" t="str">
        <f t="shared" ref="AG113:AG115" si="31">IF(AND(N115&gt;0,M115&gt;0,M115&lt;&gt;""),N115/M115-1,IF(AND(M115&lt;0,N115&lt;0,M115&lt;&gt;""),(N115-M115)/ABS(M115),IF(AND(M115&gt;0,N115&lt;0,M115&lt;&gt;""),"L",IF(AND(M115&lt;0,N115&gt;0,M115&lt;&gt;""),"P",""))))</f>
        <v/>
      </c>
      <c r="AH113" s="63" t="str">
        <f t="shared" ref="AH113:AH115" si="32">IF(AND(O115&gt;0,N115&gt;0,N115&lt;&gt;""),O115/N115-1,IF(AND(N115&lt;0,O115&lt;0,N115&lt;&gt;""),(O115-N115)/ABS(N115),IF(AND(N115&gt;0,O115&lt;0,N115&lt;&gt;""),"L",IF(AND(N115&lt;0,O115&gt;0,N115&lt;&gt;""),"P",""))))</f>
        <v/>
      </c>
      <c r="AI113" s="63" t="str">
        <f t="shared" ref="AI113:AI115" si="33">IF(AND(P115&gt;0,O115&gt;0,O115&lt;&gt;""),P115/O115-1,IF(AND(O115&lt;0,P115&lt;0,O115&lt;&gt;""),(P115-O115)/ABS(O115),IF(AND(O115&gt;0,P115&lt;0,O115&lt;&gt;""),"L",IF(AND(O115&lt;0,P115&gt;0,O115&lt;&gt;""),"P",""))))</f>
        <v/>
      </c>
      <c r="AJ113" s="63" t="str">
        <f t="shared" ref="AJ113:AJ115" si="34">IF(AND(Q115&gt;0,P115&gt;0,P115&lt;&gt;""),Q115/P115-1,IF(AND(P115&lt;0,Q115&lt;0,P115&lt;&gt;""),(Q115-P115)/ABS(P115),IF(AND(P115&gt;0,Q115&lt;0,P115&lt;&gt;""),"L",IF(AND(P115&lt;0,Q115&gt;0,P115&lt;&gt;""),"P",""))))</f>
        <v/>
      </c>
    </row>
    <row r="114" spans="1:38" ht="18.75" customHeight="1" x14ac:dyDescent="0.2">
      <c r="B114" s="42"/>
      <c r="C114" s="16"/>
      <c r="D114" s="128" t="s">
        <v>48</v>
      </c>
      <c r="E114" s="129"/>
      <c r="F114" s="18"/>
      <c r="G114" s="18"/>
      <c r="H114" s="18"/>
      <c r="I114" s="18"/>
      <c r="J114" s="18"/>
      <c r="K114" s="18"/>
      <c r="L114" s="17"/>
      <c r="M114" s="18"/>
      <c r="N114" s="18"/>
      <c r="O114" s="18"/>
      <c r="P114" s="18"/>
      <c r="Q114" s="18"/>
      <c r="R114" s="18"/>
      <c r="T114" s="91" t="s">
        <v>10</v>
      </c>
      <c r="U114" s="92"/>
      <c r="V114" s="94"/>
      <c r="W114" s="105">
        <f>W113+(J128+J130)-J124</f>
        <v>0</v>
      </c>
      <c r="X114" s="62"/>
      <c r="Y114" s="22" t="s">
        <v>31</v>
      </c>
      <c r="Z114" s="22"/>
      <c r="AB114" s="111" t="e">
        <f>IF(AB111="Year over Year",AJ114,IF(AB111="3-Year Average",AVERAGE(AI114:AJ114),IF(AB111="5-Year Average",AVERAGE(AG114:AJ114),"")))</f>
        <v>#DIV/0!</v>
      </c>
      <c r="AC114" s="62"/>
      <c r="AD114" s="22" t="s">
        <v>49</v>
      </c>
      <c r="AE114" s="23"/>
      <c r="AF114" s="24"/>
      <c r="AG114" s="63" t="str">
        <f t="shared" si="31"/>
        <v/>
      </c>
      <c r="AH114" s="63" t="str">
        <f t="shared" si="32"/>
        <v/>
      </c>
      <c r="AI114" s="63" t="str">
        <f t="shared" si="33"/>
        <v/>
      </c>
      <c r="AJ114" s="63" t="str">
        <f t="shared" si="34"/>
        <v/>
      </c>
    </row>
    <row r="115" spans="1:38" ht="18.75" customHeight="1" x14ac:dyDescent="0.2">
      <c r="B115" s="42"/>
      <c r="C115" s="16"/>
      <c r="D115" s="128" t="s">
        <v>50</v>
      </c>
      <c r="E115" s="129"/>
      <c r="F115" s="18"/>
      <c r="G115" s="18"/>
      <c r="H115" s="18"/>
      <c r="I115" s="18"/>
      <c r="J115" s="18"/>
      <c r="K115" s="18"/>
      <c r="L115" s="20"/>
      <c r="M115" s="18"/>
      <c r="N115" s="18"/>
      <c r="O115" s="18"/>
      <c r="P115" s="18"/>
      <c r="Q115" s="18"/>
      <c r="R115" s="18"/>
      <c r="T115" s="91" t="s">
        <v>11</v>
      </c>
      <c r="U115" s="92"/>
      <c r="V115" s="94"/>
      <c r="W115" s="105">
        <f>J127-J131</f>
        <v>0</v>
      </c>
      <c r="X115" s="61"/>
      <c r="Y115" s="22" t="s">
        <v>32</v>
      </c>
      <c r="Z115" s="22"/>
      <c r="AA115" s="23"/>
      <c r="AB115" s="111" t="e">
        <f>IF(AB111="Year over Year",AJ115,IF(AB111="3-Year Average",AVERAGE(AI115:AJ115),IF(AB111="5-Year Average",AVERAGE(AG115:AJ115),"")))</f>
        <v>#DIV/0!</v>
      </c>
      <c r="AC115" s="62"/>
      <c r="AD115" s="22" t="s">
        <v>51</v>
      </c>
      <c r="AE115" s="23"/>
      <c r="AF115" s="24"/>
      <c r="AG115" s="63" t="str">
        <f t="shared" si="31"/>
        <v/>
      </c>
      <c r="AH115" s="63" t="str">
        <f t="shared" si="32"/>
        <v/>
      </c>
      <c r="AI115" s="63" t="str">
        <f t="shared" si="33"/>
        <v/>
      </c>
      <c r="AJ115" s="63" t="str">
        <f t="shared" si="34"/>
        <v/>
      </c>
    </row>
    <row r="116" spans="1:38" ht="18.75" customHeight="1" x14ac:dyDescent="0.2">
      <c r="B116" s="42"/>
      <c r="C116" s="16"/>
      <c r="D116" s="128" t="s">
        <v>52</v>
      </c>
      <c r="E116" s="129"/>
      <c r="F116" s="18"/>
      <c r="G116" s="18"/>
      <c r="H116" s="18"/>
      <c r="I116" s="18"/>
      <c r="J116" s="18"/>
      <c r="K116" s="18"/>
      <c r="L116" s="17"/>
      <c r="M116" s="18"/>
      <c r="N116" s="18"/>
      <c r="O116" s="18"/>
      <c r="P116" s="18"/>
      <c r="Q116" s="18"/>
      <c r="R116" s="18"/>
      <c r="T116" s="91" t="s">
        <v>53</v>
      </c>
      <c r="U116" s="92"/>
      <c r="V116" s="93"/>
      <c r="W116" s="106" t="str">
        <f>IF(W113&gt;10000,"Large Cap",IF(AND(10000&gt;W113,2000&lt;W113),"Mid Cap",IF(AND(2000&gt;W113,W113&gt;50),"Small Cap",IF(W113&lt;50,"Micro Cap",NA))))</f>
        <v>Micro Cap</v>
      </c>
      <c r="X116" s="61"/>
      <c r="AB116" s="117"/>
      <c r="AC116" s="21"/>
    </row>
    <row r="117" spans="1:38" ht="18.75" customHeight="1" thickBot="1" x14ac:dyDescent="0.25">
      <c r="B117" s="42"/>
      <c r="C117" s="16"/>
      <c r="D117" s="128" t="s">
        <v>54</v>
      </c>
      <c r="E117" s="129"/>
      <c r="F117" s="18"/>
      <c r="G117" s="18"/>
      <c r="H117" s="18"/>
      <c r="I117" s="18"/>
      <c r="J117" s="18"/>
      <c r="K117" s="18"/>
      <c r="L117" s="25"/>
      <c r="M117" s="18"/>
      <c r="N117" s="18"/>
      <c r="O117" s="18"/>
      <c r="P117" s="18"/>
      <c r="Q117" s="18"/>
      <c r="R117" s="18"/>
      <c r="T117" s="22" t="s">
        <v>55</v>
      </c>
      <c r="W117" s="107"/>
      <c r="X117" s="62"/>
      <c r="Y117" s="103" t="s">
        <v>2</v>
      </c>
      <c r="Z117" s="114"/>
      <c r="AA117" s="115"/>
      <c r="AB117" s="118"/>
      <c r="AD117" s="101" t="s">
        <v>56</v>
      </c>
      <c r="AE117" s="102"/>
      <c r="AF117" s="133">
        <f>M111</f>
        <v>2013</v>
      </c>
      <c r="AG117" s="133">
        <f>N111</f>
        <v>2014</v>
      </c>
      <c r="AH117" s="133">
        <f>O111</f>
        <v>2015</v>
      </c>
      <c r="AI117" s="133">
        <f>P111</f>
        <v>2016</v>
      </c>
      <c r="AJ117" s="133">
        <f>Q111</f>
        <v>2017</v>
      </c>
    </row>
    <row r="118" spans="1:38" ht="18.75" hidden="1" customHeight="1" x14ac:dyDescent="0.2">
      <c r="B118" s="42"/>
      <c r="C118" s="16"/>
      <c r="D118" s="128"/>
      <c r="E118" s="129"/>
      <c r="F118" s="18"/>
      <c r="G118" s="18"/>
      <c r="H118" s="18"/>
      <c r="I118" s="18"/>
      <c r="J118" s="18"/>
      <c r="K118" s="18"/>
      <c r="L118" s="25"/>
      <c r="M118" s="18"/>
      <c r="N118" s="18"/>
      <c r="O118" s="18"/>
      <c r="P118" s="18"/>
      <c r="Q118" s="18"/>
      <c r="R118" s="18"/>
      <c r="T118" s="22"/>
      <c r="W118" s="95"/>
      <c r="X118" s="62"/>
      <c r="Y118" s="52"/>
      <c r="Z118" s="53"/>
      <c r="AA118" s="96"/>
      <c r="AB118" s="119"/>
      <c r="AD118" s="54"/>
      <c r="AE118" s="55"/>
      <c r="AF118" s="56"/>
      <c r="AG118" s="56"/>
      <c r="AH118" s="56"/>
      <c r="AI118" s="56"/>
      <c r="AJ118" s="56"/>
    </row>
    <row r="119" spans="1:38" ht="18.75" hidden="1" customHeight="1" x14ac:dyDescent="0.2">
      <c r="B119" s="42"/>
      <c r="C119" s="16"/>
      <c r="D119" s="128"/>
      <c r="E119" s="129"/>
      <c r="F119" s="18"/>
      <c r="G119" s="18"/>
      <c r="H119" s="18"/>
      <c r="I119" s="18"/>
      <c r="J119" s="18"/>
      <c r="K119" s="18"/>
      <c r="L119" s="25"/>
      <c r="M119" s="18"/>
      <c r="N119" s="18"/>
      <c r="O119" s="18"/>
      <c r="P119" s="18"/>
      <c r="Q119" s="18"/>
      <c r="R119" s="18"/>
      <c r="T119" s="22"/>
      <c r="W119" s="95"/>
      <c r="X119" s="62"/>
      <c r="Y119" s="52"/>
      <c r="Z119" s="53"/>
      <c r="AA119" s="96"/>
      <c r="AB119" s="119"/>
      <c r="AD119" s="54"/>
      <c r="AE119" s="55"/>
      <c r="AF119" s="56"/>
      <c r="AG119" s="56"/>
      <c r="AH119" s="56"/>
      <c r="AI119" s="56"/>
      <c r="AJ119" s="56"/>
    </row>
    <row r="120" spans="1:38" ht="18.75" customHeight="1" x14ac:dyDescent="0.2">
      <c r="B120" s="42"/>
      <c r="C120" s="16"/>
      <c r="D120" s="128" t="s">
        <v>57</v>
      </c>
      <c r="E120" s="129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T120" s="48"/>
      <c r="Y120" s="91" t="s">
        <v>20</v>
      </c>
      <c r="Z120" s="91"/>
      <c r="AA120" s="92"/>
      <c r="AB120" s="108" t="e">
        <f>AVERAGE(G126:J126)/AVERAGE(G129:J129)</f>
        <v>#DIV/0!</v>
      </c>
      <c r="AD120" s="27" t="s">
        <v>29</v>
      </c>
      <c r="AE120" s="28"/>
      <c r="AF120" s="29" t="str">
        <f>IF(M112="","",M112)</f>
        <v/>
      </c>
      <c r="AG120" s="29" t="str">
        <f>IF(N112="","",N112)</f>
        <v/>
      </c>
      <c r="AH120" s="29" t="str">
        <f>IF(O112="","",O112)</f>
        <v/>
      </c>
      <c r="AI120" s="29" t="str">
        <f>IF(P112="","",P112)</f>
        <v/>
      </c>
      <c r="AJ120" s="29" t="str">
        <f>IF(Q112="","",Q112)</f>
        <v/>
      </c>
    </row>
    <row r="121" spans="1:38" ht="18.75" customHeight="1" thickBot="1" x14ac:dyDescent="0.25">
      <c r="B121" s="42"/>
      <c r="C121" s="16"/>
      <c r="D121" s="237" t="s">
        <v>58</v>
      </c>
      <c r="E121" s="238"/>
      <c r="F121" s="157"/>
      <c r="G121" s="157"/>
      <c r="H121" s="157"/>
      <c r="I121" s="157"/>
      <c r="J121" s="157"/>
      <c r="K121" s="18"/>
      <c r="L121" s="20"/>
      <c r="M121" s="157"/>
      <c r="N121" s="157"/>
      <c r="O121" s="157"/>
      <c r="P121" s="157"/>
      <c r="Q121" s="157"/>
      <c r="R121" s="157"/>
      <c r="T121" s="98" t="s">
        <v>59</v>
      </c>
      <c r="U121" s="99"/>
      <c r="V121" s="99"/>
      <c r="W121" s="99"/>
      <c r="Y121" s="22" t="s">
        <v>21</v>
      </c>
      <c r="Z121" s="22"/>
      <c r="AA121" s="90"/>
      <c r="AB121" s="108" t="e">
        <f>AVERAGE(G127:J127)/AVERAGE(G132:J132)</f>
        <v>#DIV/0!</v>
      </c>
      <c r="AD121" s="27" t="s">
        <v>60</v>
      </c>
      <c r="AE121" s="28"/>
      <c r="AF121" s="64" t="str">
        <f>IF(OR(M112="",M114=""),"",M114/M112)</f>
        <v/>
      </c>
      <c r="AG121" s="64" t="str">
        <f>IF(OR(N112="",N114=""),"",N114/N112)</f>
        <v/>
      </c>
      <c r="AH121" s="64" t="str">
        <f>IF(OR(O112="",O114=""),"",O114/O112)</f>
        <v/>
      </c>
      <c r="AI121" s="64" t="str">
        <f>IF(OR(P112="",P114=""),"",P114/P112)</f>
        <v/>
      </c>
      <c r="AJ121" s="64" t="str">
        <f>IF(OR(Q112="",Q114=""),"",Q114/Q112)</f>
        <v/>
      </c>
    </row>
    <row r="122" spans="1:38" ht="18.75" customHeight="1" x14ac:dyDescent="0.2">
      <c r="B122" s="43"/>
      <c r="C122" s="19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T122" s="91" t="s">
        <v>13</v>
      </c>
      <c r="U122" s="91"/>
      <c r="V122" s="92"/>
      <c r="W122" s="108" t="str">
        <f>IF(R117&gt;0,W112/R117,"")</f>
        <v/>
      </c>
      <c r="Y122" s="22" t="s">
        <v>22</v>
      </c>
      <c r="Z122" s="22"/>
      <c r="AA122" s="90"/>
      <c r="AB122" s="108" t="e">
        <f>AVERAGE(G130:J130)/AVERAGE(G132:J132)</f>
        <v>#DIV/0!</v>
      </c>
      <c r="AD122" s="27" t="s">
        <v>47</v>
      </c>
      <c r="AE122" s="28"/>
      <c r="AF122" s="29" t="str">
        <f>IF(M115="","",M115)</f>
        <v/>
      </c>
      <c r="AG122" s="29" t="str">
        <f>IF(N115="","",N115)</f>
        <v/>
      </c>
      <c r="AH122" s="29" t="str">
        <f>IF(O115="","",O115)</f>
        <v/>
      </c>
      <c r="AI122" s="29" t="str">
        <f>IF(P115="","",P115)</f>
        <v/>
      </c>
      <c r="AJ122" s="29" t="str">
        <f>IF(Q115="","",Q115)</f>
        <v/>
      </c>
    </row>
    <row r="123" spans="1:38" ht="18.75" customHeight="1" thickBot="1" x14ac:dyDescent="0.3">
      <c r="B123" s="44"/>
      <c r="C123" s="26"/>
      <c r="D123" s="130" t="s">
        <v>61</v>
      </c>
      <c r="E123" s="131"/>
      <c r="F123" s="240" t="str">
        <f>F111</f>
        <v>2016-10</v>
      </c>
      <c r="G123" s="240" t="str">
        <f>G111</f>
        <v>2017-01</v>
      </c>
      <c r="H123" s="240" t="str">
        <f>H111</f>
        <v>2017-04</v>
      </c>
      <c r="I123" s="240" t="str">
        <f>I111</f>
        <v>2017-07</v>
      </c>
      <c r="J123" s="240" t="str">
        <f>J111</f>
        <v>2017-10</v>
      </c>
      <c r="K123" s="253"/>
      <c r="L123" s="155"/>
      <c r="M123" s="241">
        <f>M111</f>
        <v>2013</v>
      </c>
      <c r="N123" s="241">
        <f>N111</f>
        <v>2014</v>
      </c>
      <c r="O123" s="241">
        <f>O111</f>
        <v>2015</v>
      </c>
      <c r="P123" s="241">
        <f>P111</f>
        <v>2016</v>
      </c>
      <c r="Q123" s="241">
        <f>Q111</f>
        <v>2017</v>
      </c>
      <c r="R123" s="242"/>
      <c r="T123" s="91" t="s">
        <v>15</v>
      </c>
      <c r="U123" s="91"/>
      <c r="V123" s="92"/>
      <c r="W123" s="108" t="e">
        <f>W112/((J127-J131)/J120)</f>
        <v>#DIV/0!</v>
      </c>
      <c r="X123" s="65"/>
      <c r="Y123" s="48"/>
      <c r="AB123" s="13"/>
      <c r="AD123" s="27" t="s">
        <v>62</v>
      </c>
      <c r="AE123" s="28"/>
      <c r="AF123" s="64" t="str">
        <f>IF(OR(M112="",M115=""),"",M115/M112)</f>
        <v/>
      </c>
      <c r="AG123" s="64" t="str">
        <f>IF(OR(N112="",N115=""),"",N115/N112)</f>
        <v/>
      </c>
      <c r="AH123" s="64" t="str">
        <f>IF(OR(O112="",O115=""),"",O115/O112)</f>
        <v/>
      </c>
      <c r="AI123" s="64" t="str">
        <f>IF(OR(P112="",P115=""),"",P115/P112)</f>
        <v/>
      </c>
      <c r="AJ123" s="64" t="str">
        <f>IF(OR(Q112="",Q115=""),"",Q115/Q112)</f>
        <v/>
      </c>
      <c r="AK123" s="30"/>
      <c r="AL123" s="14"/>
    </row>
    <row r="124" spans="1:38" ht="18.75" customHeight="1" thickBot="1" x14ac:dyDescent="0.25">
      <c r="B124" s="40"/>
      <c r="C124" s="11"/>
      <c r="D124" s="235" t="s">
        <v>63</v>
      </c>
      <c r="E124" s="243"/>
      <c r="F124" s="154"/>
      <c r="G124" s="154"/>
      <c r="H124" s="154"/>
      <c r="I124" s="154"/>
      <c r="J124" s="154"/>
      <c r="K124" s="18"/>
      <c r="L124" s="17"/>
      <c r="M124" s="154"/>
      <c r="N124" s="154"/>
      <c r="O124" s="154"/>
      <c r="P124" s="154"/>
      <c r="Q124" s="154"/>
      <c r="R124" s="154"/>
      <c r="T124" s="91" t="s">
        <v>14</v>
      </c>
      <c r="U124" s="91"/>
      <c r="V124" s="92"/>
      <c r="W124" s="108" t="e">
        <f>W112/(R112/R120)</f>
        <v>#DIV/0!</v>
      </c>
      <c r="X124" s="66"/>
      <c r="Y124" s="103" t="s">
        <v>36</v>
      </c>
      <c r="Z124" s="114"/>
      <c r="AA124" s="114"/>
      <c r="AB124" s="120"/>
      <c r="AD124" s="27" t="s">
        <v>31</v>
      </c>
      <c r="AE124" s="28"/>
      <c r="AF124" s="29" t="str">
        <f t="shared" ref="AF124:AF125" si="35">IF(M116="","",M116)</f>
        <v/>
      </c>
      <c r="AG124" s="29" t="str">
        <f t="shared" ref="AG124:AG125" si="36">IF(N116="","",N116)</f>
        <v/>
      </c>
      <c r="AH124" s="29" t="str">
        <f t="shared" ref="AH124:AH125" si="37">IF(O116="","",O116)</f>
        <v/>
      </c>
      <c r="AI124" s="29" t="str">
        <f t="shared" ref="AI124:AI125" si="38">IF(P116="","",P116)</f>
        <v/>
      </c>
      <c r="AJ124" s="29" t="str">
        <f t="shared" ref="AJ124:AJ125" si="39">IF(Q116="","",Q116)</f>
        <v/>
      </c>
      <c r="AL124" s="67"/>
    </row>
    <row r="125" spans="1:38" ht="18.75" customHeight="1" x14ac:dyDescent="0.2">
      <c r="B125" s="42"/>
      <c r="C125" s="16"/>
      <c r="D125" s="244" t="s">
        <v>64</v>
      </c>
      <c r="E125" s="245"/>
      <c r="F125" s="126"/>
      <c r="G125" s="126"/>
      <c r="H125" s="126"/>
      <c r="I125" s="126"/>
      <c r="J125" s="126"/>
      <c r="K125" s="126"/>
      <c r="L125" s="31"/>
      <c r="M125" s="126"/>
      <c r="N125" s="126"/>
      <c r="O125" s="126"/>
      <c r="P125" s="126"/>
      <c r="Q125" s="126"/>
      <c r="R125" s="126"/>
      <c r="T125" s="22" t="s">
        <v>17</v>
      </c>
      <c r="U125" s="22"/>
      <c r="V125" s="23"/>
      <c r="W125" s="108" t="e">
        <f>IF(AVERAGE(O135:Q135)&gt;0,W112/(AVERAGE(O135:Q135)/R120),"")</f>
        <v>#DIV/0!</v>
      </c>
      <c r="X125" s="66"/>
      <c r="Y125" s="49" t="s">
        <v>29</v>
      </c>
      <c r="Z125" s="49"/>
      <c r="AA125" s="97"/>
      <c r="AB125" s="121">
        <f>R112</f>
        <v>0</v>
      </c>
      <c r="AD125" s="27" t="s">
        <v>32</v>
      </c>
      <c r="AE125" s="28"/>
      <c r="AF125" s="68" t="str">
        <f t="shared" si="35"/>
        <v/>
      </c>
      <c r="AG125" s="68" t="str">
        <f t="shared" si="36"/>
        <v/>
      </c>
      <c r="AH125" s="68" t="str">
        <f t="shared" si="37"/>
        <v/>
      </c>
      <c r="AI125" s="68" t="str">
        <f t="shared" si="38"/>
        <v/>
      </c>
      <c r="AJ125" s="68" t="str">
        <f t="shared" si="39"/>
        <v/>
      </c>
      <c r="AL125" s="67"/>
    </row>
    <row r="126" spans="1:38" ht="18.75" customHeight="1" x14ac:dyDescent="0.25">
      <c r="B126" s="44"/>
      <c r="C126" s="26"/>
      <c r="D126" s="244" t="s">
        <v>65</v>
      </c>
      <c r="E126" s="245"/>
      <c r="F126" s="126"/>
      <c r="G126" s="126"/>
      <c r="H126" s="126"/>
      <c r="I126" s="126"/>
      <c r="J126" s="126"/>
      <c r="K126" s="126"/>
      <c r="L126" s="31"/>
      <c r="M126" s="126"/>
      <c r="N126" s="126"/>
      <c r="O126" s="126"/>
      <c r="P126" s="126"/>
      <c r="Q126" s="126"/>
      <c r="R126" s="126"/>
      <c r="T126" s="91" t="s">
        <v>16</v>
      </c>
      <c r="U126" s="91"/>
      <c r="V126" s="92"/>
      <c r="W126" s="108" t="e">
        <f>IF(AVERAGE(O137:Q137)&gt;0,W113/AVERAGE(O137:Q137),"")</f>
        <v>#DIV/0!</v>
      </c>
      <c r="Y126" s="49" t="s">
        <v>66</v>
      </c>
      <c r="Z126" s="49"/>
      <c r="AA126" s="97"/>
      <c r="AB126" s="121">
        <f>R114</f>
        <v>0</v>
      </c>
      <c r="AD126" s="27" t="s">
        <v>67</v>
      </c>
      <c r="AE126" s="28"/>
      <c r="AF126" s="29" t="str">
        <f>IF(M120="","",M120)</f>
        <v/>
      </c>
      <c r="AG126" s="29" t="str">
        <f>IF(N120="","",N120)</f>
        <v/>
      </c>
      <c r="AH126" s="29" t="str">
        <f>IF(O120="","",O120)</f>
        <v/>
      </c>
      <c r="AI126" s="29" t="str">
        <f>IF(P120="","",P120)</f>
        <v/>
      </c>
      <c r="AJ126" s="29" t="str">
        <f>IF(Q120="","",Q120)</f>
        <v/>
      </c>
      <c r="AL126" s="67"/>
    </row>
    <row r="127" spans="1:38" ht="18.75" customHeight="1" x14ac:dyDescent="0.2">
      <c r="B127" s="43"/>
      <c r="C127" s="19"/>
      <c r="D127" s="244" t="s">
        <v>68</v>
      </c>
      <c r="E127" s="245"/>
      <c r="F127" s="126"/>
      <c r="G127" s="126"/>
      <c r="H127" s="126"/>
      <c r="I127" s="126"/>
      <c r="J127" s="126"/>
      <c r="K127" s="126"/>
      <c r="L127" s="127"/>
      <c r="M127" s="126"/>
      <c r="N127" s="126"/>
      <c r="O127" s="126"/>
      <c r="P127" s="126"/>
      <c r="Q127" s="126"/>
      <c r="R127" s="126"/>
      <c r="T127" s="91" t="s">
        <v>18</v>
      </c>
      <c r="U127" s="91"/>
      <c r="V127" s="92"/>
      <c r="W127" s="108" t="e">
        <f>(W113+(J128+J130)-J124)/J121</f>
        <v>#DIV/0!</v>
      </c>
      <c r="Y127" s="49" t="s">
        <v>31</v>
      </c>
      <c r="Z127" s="49"/>
      <c r="AA127" s="97"/>
      <c r="AB127" s="121">
        <f>R116</f>
        <v>0</v>
      </c>
      <c r="AD127" s="27" t="s">
        <v>69</v>
      </c>
      <c r="AE127" s="28"/>
      <c r="AF127" s="69" t="str">
        <f>IF(OR(M132="",M120="",M127="",M131=""),"",(M127-M131)/M120)</f>
        <v/>
      </c>
      <c r="AG127" s="69" t="str">
        <f>IF(OR(N132="",N120="",N127="",N131=""),"",(N127-N131)/N120)</f>
        <v/>
      </c>
      <c r="AH127" s="69" t="str">
        <f>IF(OR(O132="",O120="",O127="",O131=""),"",(O127-O131)/O120)</f>
        <v/>
      </c>
      <c r="AI127" s="69" t="str">
        <f>IF(OR(P132="",P120="",P127="",P131=""),"",(P127-P131)/P120)</f>
        <v/>
      </c>
      <c r="AJ127" s="69" t="str">
        <f>IF(OR(Q132="",Q120="",Q127="",Q131=""),"",(Q127-Q131)/Q120)</f>
        <v/>
      </c>
      <c r="AL127" s="67"/>
    </row>
    <row r="128" spans="1:38" ht="18.75" customHeight="1" x14ac:dyDescent="0.2">
      <c r="B128" s="42"/>
      <c r="C128" s="16"/>
      <c r="D128" s="244" t="s">
        <v>70</v>
      </c>
      <c r="E128" s="245"/>
      <c r="F128" s="126"/>
      <c r="G128" s="126"/>
      <c r="H128" s="126"/>
      <c r="I128" s="126"/>
      <c r="J128" s="126"/>
      <c r="K128" s="126"/>
      <c r="L128" s="17"/>
      <c r="M128" s="126"/>
      <c r="N128" s="126"/>
      <c r="O128" s="126"/>
      <c r="P128" s="126"/>
      <c r="Q128" s="126"/>
      <c r="R128" s="126"/>
      <c r="T128" s="22"/>
      <c r="U128" s="22"/>
      <c r="V128" s="23"/>
      <c r="W128" s="108"/>
      <c r="Y128" s="91" t="s">
        <v>32</v>
      </c>
      <c r="Z128" s="91"/>
      <c r="AA128" s="92"/>
      <c r="AB128" s="122">
        <f>R117</f>
        <v>0</v>
      </c>
      <c r="AL128" s="67"/>
    </row>
    <row r="129" spans="1:41" ht="18.75" customHeight="1" thickBot="1" x14ac:dyDescent="0.25">
      <c r="B129" s="45"/>
      <c r="C129" s="32"/>
      <c r="D129" s="244" t="s">
        <v>71</v>
      </c>
      <c r="E129" s="245"/>
      <c r="F129" s="126"/>
      <c r="G129" s="126"/>
      <c r="H129" s="126"/>
      <c r="I129" s="126"/>
      <c r="J129" s="126"/>
      <c r="K129" s="126"/>
      <c r="L129" s="31"/>
      <c r="M129" s="126"/>
      <c r="N129" s="126"/>
      <c r="O129" s="126"/>
      <c r="P129" s="126"/>
      <c r="Q129" s="126"/>
      <c r="R129" s="126"/>
      <c r="W129" s="13"/>
      <c r="AB129" s="117"/>
      <c r="AD129" s="101" t="s">
        <v>3</v>
      </c>
      <c r="AE129" s="102"/>
      <c r="AF129" s="133">
        <f>M111</f>
        <v>2013</v>
      </c>
      <c r="AG129" s="133">
        <f>N111</f>
        <v>2014</v>
      </c>
      <c r="AH129" s="133">
        <f>O111</f>
        <v>2015</v>
      </c>
      <c r="AI129" s="133">
        <f>P111</f>
        <v>2016</v>
      </c>
      <c r="AJ129" s="133">
        <f>Q111</f>
        <v>2017</v>
      </c>
    </row>
    <row r="130" spans="1:41" ht="18.75" customHeight="1" thickBot="1" x14ac:dyDescent="0.25">
      <c r="B130" s="43"/>
      <c r="C130" s="19"/>
      <c r="D130" s="244" t="s">
        <v>72</v>
      </c>
      <c r="E130" s="245"/>
      <c r="F130" s="126"/>
      <c r="G130" s="126"/>
      <c r="H130" s="126"/>
      <c r="I130" s="126"/>
      <c r="J130" s="126"/>
      <c r="K130" s="126"/>
      <c r="L130" s="125"/>
      <c r="M130" s="126"/>
      <c r="N130" s="126"/>
      <c r="O130" s="126"/>
      <c r="P130" s="126"/>
      <c r="Q130" s="126"/>
      <c r="R130" s="126"/>
      <c r="T130" s="101" t="s">
        <v>3</v>
      </c>
      <c r="U130" s="102"/>
      <c r="V130" s="102"/>
      <c r="W130" s="109"/>
      <c r="Y130" s="103" t="s">
        <v>61</v>
      </c>
      <c r="Z130" s="114"/>
      <c r="AA130" s="114"/>
      <c r="AB130" s="123"/>
      <c r="AD130" s="27" t="s">
        <v>73</v>
      </c>
      <c r="AE130" s="28"/>
      <c r="AF130" s="70" t="str">
        <f>IF(OR(M112="",M116="",M112=0,M116=0),"",M116/M112)</f>
        <v/>
      </c>
      <c r="AG130" s="70" t="str">
        <f>IF(OR(N112="",N116="",N112=0,N116=0),"",N116/N112)</f>
        <v/>
      </c>
      <c r="AH130" s="70" t="str">
        <f>IF(OR(O112="",O116="",O112=0,O116=0),"",O116/O112)</f>
        <v/>
      </c>
      <c r="AI130" s="70" t="str">
        <f>IF(OR(P112="",P116="",P112=0,P116=0),"",P116/P112)</f>
        <v/>
      </c>
      <c r="AJ130" s="70" t="str">
        <f>IF(OR(Q112="",Q116="",Q112=0,Q116=0),"",Q116/Q112)</f>
        <v/>
      </c>
    </row>
    <row r="131" spans="1:41" ht="18.75" customHeight="1" x14ac:dyDescent="0.2">
      <c r="B131" s="46"/>
      <c r="C131" s="34"/>
      <c r="D131" s="244" t="s">
        <v>74</v>
      </c>
      <c r="E131" s="245"/>
      <c r="F131" s="126"/>
      <c r="G131" s="126"/>
      <c r="H131" s="126"/>
      <c r="I131" s="126"/>
      <c r="J131" s="126"/>
      <c r="K131" s="126"/>
      <c r="L131" s="31"/>
      <c r="M131" s="126"/>
      <c r="N131" s="126"/>
      <c r="O131" s="126"/>
      <c r="P131" s="126"/>
      <c r="Q131" s="126"/>
      <c r="R131" s="126"/>
      <c r="T131" s="22" t="s">
        <v>12</v>
      </c>
      <c r="U131" s="22"/>
      <c r="V131" s="23"/>
      <c r="W131" s="110">
        <f>R112</f>
        <v>0</v>
      </c>
      <c r="Y131" s="22" t="s">
        <v>75</v>
      </c>
      <c r="Z131" s="22"/>
      <c r="AA131" s="23"/>
      <c r="AB131" s="121">
        <f>J125</f>
        <v>0</v>
      </c>
      <c r="AD131" s="27" t="s">
        <v>76</v>
      </c>
      <c r="AE131" s="28"/>
      <c r="AF131" s="70" t="str">
        <f>IF(OR(M116="",M130="",M116=0,M130=0),"",M116/M130)</f>
        <v/>
      </c>
      <c r="AG131" s="70" t="str">
        <f>IF(OR(N116="",N130="",N116=0,N130=0),"",N116/N130)</f>
        <v/>
      </c>
      <c r="AH131" s="70" t="str">
        <f>IF(OR(O116="",O130="",O116=0,O130=0),"",O116/O130)</f>
        <v/>
      </c>
      <c r="AI131" s="70" t="str">
        <f>IF(OR(P116="",P130="",P116=0,P130=0),"",P116/P130)</f>
        <v/>
      </c>
      <c r="AJ131" s="70" t="str">
        <f>IF(OR(Q116="",Q130="",Q116=0,Q130=0),"",Q116/Q130)</f>
        <v/>
      </c>
    </row>
    <row r="132" spans="1:41" ht="18.75" customHeight="1" thickBot="1" x14ac:dyDescent="0.25">
      <c r="B132" s="43"/>
      <c r="C132" s="19"/>
      <c r="D132" s="246" t="s">
        <v>77</v>
      </c>
      <c r="E132" s="247"/>
      <c r="F132" s="156"/>
      <c r="G132" s="156"/>
      <c r="H132" s="156"/>
      <c r="I132" s="156"/>
      <c r="J132" s="156"/>
      <c r="K132" s="126"/>
      <c r="L132" s="127"/>
      <c r="M132" s="156"/>
      <c r="N132" s="156"/>
      <c r="O132" s="156"/>
      <c r="P132" s="156"/>
      <c r="Q132" s="156"/>
      <c r="R132" s="156"/>
      <c r="T132" s="49" t="s">
        <v>23</v>
      </c>
      <c r="U132" s="49"/>
      <c r="V132" s="97"/>
      <c r="W132" s="111" t="e">
        <f>(R112-R113)/R112</f>
        <v>#DIV/0!</v>
      </c>
      <c r="Y132" s="49" t="s">
        <v>78</v>
      </c>
      <c r="Z132" s="49"/>
      <c r="AA132" s="97"/>
      <c r="AB132" s="121">
        <f>J126</f>
        <v>0</v>
      </c>
      <c r="AD132" s="27" t="s">
        <v>79</v>
      </c>
      <c r="AE132" s="28"/>
      <c r="AF132" s="70" t="str">
        <f>IF(OR(M116="",M127="",M116=0,M127=0),"",M116/M127)</f>
        <v/>
      </c>
      <c r="AG132" s="70" t="str">
        <f>IF(OR(N116="",N127="",N116=0,N127=0),"",N116/N127)</f>
        <v/>
      </c>
      <c r="AH132" s="70" t="str">
        <f>IF(OR(O116="",O127="",O116=0,O127=0),"",O116/O127)</f>
        <v/>
      </c>
      <c r="AI132" s="70" t="str">
        <f>IF(OR(P116="",P127="",P116=0,P127=0),"",P116/P127)</f>
        <v/>
      </c>
      <c r="AJ132" s="70" t="str">
        <f>IF(OR(Q116="",Q127="",Q116=0,Q127=0),"",Q116/Q127)</f>
        <v/>
      </c>
    </row>
    <row r="133" spans="1:41" ht="18.75" customHeight="1" x14ac:dyDescent="0.2">
      <c r="B133" s="43"/>
      <c r="C133" s="19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T133" s="49" t="s">
        <v>24</v>
      </c>
      <c r="U133" s="49"/>
      <c r="V133" s="97"/>
      <c r="W133" s="111" t="e">
        <f>R116/R112</f>
        <v>#DIV/0!</v>
      </c>
      <c r="Y133" s="22" t="s">
        <v>80</v>
      </c>
      <c r="Z133" s="22"/>
      <c r="AA133" s="23"/>
      <c r="AB133" s="121">
        <f>J129</f>
        <v>0</v>
      </c>
      <c r="AD133" s="27" t="s">
        <v>28</v>
      </c>
      <c r="AE133" s="28"/>
      <c r="AF133" s="33" t="str">
        <f>IF(OR(M112="",M127="",M112=0,M127=0),"",M112/M127)</f>
        <v/>
      </c>
      <c r="AG133" s="33" t="str">
        <f>IF(OR(N112="",N127="",N112=0,N127=0),"",N112/N127)</f>
        <v/>
      </c>
      <c r="AH133" s="33" t="str">
        <f>IF(OR(O112="",O127="",O112=0,O127=0),"",O112/O127)</f>
        <v/>
      </c>
      <c r="AI133" s="33" t="str">
        <f>IF(OR(P112="",P127="",P112=0,P127=0),"",P112/P127)</f>
        <v/>
      </c>
      <c r="AJ133" s="33" t="str">
        <f>IF(OR(Q112="",Q127="",Q112=0,Q127=0),"",Q112/Q127)</f>
        <v/>
      </c>
    </row>
    <row r="134" spans="1:41" ht="18.75" customHeight="1" thickBot="1" x14ac:dyDescent="0.25">
      <c r="B134" s="43"/>
      <c r="C134" s="19"/>
      <c r="D134" s="130" t="s">
        <v>81</v>
      </c>
      <c r="E134" s="131"/>
      <c r="F134" s="240" t="str">
        <f>F111</f>
        <v>2016-10</v>
      </c>
      <c r="G134" s="240" t="str">
        <f>G111</f>
        <v>2017-01</v>
      </c>
      <c r="H134" s="240" t="str">
        <f>H111</f>
        <v>2017-04</v>
      </c>
      <c r="I134" s="240" t="str">
        <f>I111</f>
        <v>2017-07</v>
      </c>
      <c r="J134" s="240" t="str">
        <f>J111</f>
        <v>2017-10</v>
      </c>
      <c r="K134" s="253"/>
      <c r="L134" s="155"/>
      <c r="M134" s="248">
        <f>M111</f>
        <v>2013</v>
      </c>
      <c r="N134" s="248">
        <f>N111</f>
        <v>2014</v>
      </c>
      <c r="O134" s="248">
        <f>O111</f>
        <v>2015</v>
      </c>
      <c r="P134" s="248">
        <f>P111</f>
        <v>2016</v>
      </c>
      <c r="Q134" s="248">
        <f>Q111</f>
        <v>2017</v>
      </c>
      <c r="R134" s="242" t="s">
        <v>42</v>
      </c>
      <c r="T134" s="49" t="s">
        <v>25</v>
      </c>
      <c r="U134" s="49"/>
      <c r="V134" s="97"/>
      <c r="W134" s="111" t="e">
        <f>R115/R112</f>
        <v>#DIV/0!</v>
      </c>
      <c r="Y134" s="22" t="s">
        <v>82</v>
      </c>
      <c r="AB134" s="121">
        <f>J128+J130</f>
        <v>0</v>
      </c>
      <c r="AK134" s="35"/>
    </row>
    <row r="135" spans="1:41" ht="18.75" customHeight="1" thickBot="1" x14ac:dyDescent="0.3">
      <c r="B135" s="47"/>
      <c r="C135" s="36"/>
      <c r="D135" s="235" t="s">
        <v>83</v>
      </c>
      <c r="E135" s="236"/>
      <c r="F135" s="154"/>
      <c r="G135" s="154"/>
      <c r="H135" s="154"/>
      <c r="I135" s="154"/>
      <c r="J135" s="154"/>
      <c r="K135" s="18"/>
      <c r="L135" s="17"/>
      <c r="M135" s="154"/>
      <c r="N135" s="154"/>
      <c r="O135" s="154"/>
      <c r="P135" s="154"/>
      <c r="Q135" s="154"/>
      <c r="R135" s="154"/>
      <c r="W135" s="13"/>
      <c r="Y135" s="22"/>
      <c r="AB135" s="121"/>
      <c r="AD135" s="101" t="s">
        <v>2</v>
      </c>
      <c r="AE135" s="102"/>
      <c r="AF135" s="132">
        <f>M111</f>
        <v>2013</v>
      </c>
      <c r="AG135" s="132">
        <f>N111</f>
        <v>2014</v>
      </c>
      <c r="AH135" s="132">
        <f>O111</f>
        <v>2015</v>
      </c>
      <c r="AI135" s="132">
        <f>P111</f>
        <v>2016</v>
      </c>
      <c r="AJ135" s="132">
        <f>Q111</f>
        <v>2017</v>
      </c>
      <c r="AK135" s="35"/>
    </row>
    <row r="136" spans="1:41" ht="18.75" customHeight="1" thickBot="1" x14ac:dyDescent="0.25">
      <c r="B136" s="43"/>
      <c r="C136" s="19"/>
      <c r="D136" s="128" t="s">
        <v>84</v>
      </c>
      <c r="E136" s="129"/>
      <c r="F136" s="18"/>
      <c r="G136" s="18"/>
      <c r="H136" s="18"/>
      <c r="I136" s="18"/>
      <c r="J136" s="18"/>
      <c r="K136" s="18"/>
      <c r="L136" s="17"/>
      <c r="M136" s="18"/>
      <c r="N136" s="18"/>
      <c r="O136" s="18"/>
      <c r="P136" s="18"/>
      <c r="Q136" s="18"/>
      <c r="R136" s="18"/>
      <c r="T136" s="98" t="s">
        <v>4</v>
      </c>
      <c r="U136" s="99"/>
      <c r="V136" s="99"/>
      <c r="W136" s="112"/>
      <c r="Y136" s="103" t="s">
        <v>85</v>
      </c>
      <c r="Z136" s="114"/>
      <c r="AA136" s="114"/>
      <c r="AB136" s="123"/>
      <c r="AD136" s="27" t="s">
        <v>20</v>
      </c>
      <c r="AE136" s="28"/>
      <c r="AF136" s="33" t="str">
        <f t="shared" ref="AF136:AF137" si="40">IF(OR(M126="",M129="",M126=0,M129=0),"",M126/M129)</f>
        <v/>
      </c>
      <c r="AG136" s="33" t="str">
        <f t="shared" ref="AG136:AG137" si="41">IF(OR(N126="",N129="",N126=0,N129=0),"",N126/N129)</f>
        <v/>
      </c>
      <c r="AH136" s="33" t="str">
        <f t="shared" ref="AH136:AH137" si="42">IF(OR(O126="",O129="",O126=0,O129=0),"",O126/O129)</f>
        <v/>
      </c>
      <c r="AI136" s="33" t="str">
        <f t="shared" ref="AI136:AI137" si="43">IF(OR(P126="",P129="",P126=0,P129=0),"",P126/P129)</f>
        <v/>
      </c>
      <c r="AJ136" s="33" t="str">
        <f t="shared" ref="AJ136:AJ137" si="44">IF(OR(Q126="",Q129="",Q126=0,Q129=0),"",Q126/Q129)</f>
        <v/>
      </c>
      <c r="AK136" s="35"/>
    </row>
    <row r="137" spans="1:41" ht="18.75" customHeight="1" thickBot="1" x14ac:dyDescent="0.25">
      <c r="B137" s="43"/>
      <c r="C137" s="19"/>
      <c r="D137" s="237" t="s">
        <v>86</v>
      </c>
      <c r="E137" s="238"/>
      <c r="F137" s="157"/>
      <c r="G137" s="157"/>
      <c r="H137" s="157"/>
      <c r="I137" s="157"/>
      <c r="J137" s="157"/>
      <c r="K137" s="18"/>
      <c r="L137" s="17"/>
      <c r="M137" s="157"/>
      <c r="N137" s="157"/>
      <c r="O137" s="157"/>
      <c r="P137" s="157"/>
      <c r="Q137" s="157"/>
      <c r="R137" s="157"/>
      <c r="T137" s="91" t="s">
        <v>26</v>
      </c>
      <c r="U137" s="91"/>
      <c r="V137" s="92"/>
      <c r="W137" s="111" t="e">
        <f>R116/AVERAGE(G132:J132)</f>
        <v>#DIV/0!</v>
      </c>
      <c r="Y137" s="49" t="s">
        <v>87</v>
      </c>
      <c r="Z137" s="49"/>
      <c r="AA137" s="97"/>
      <c r="AB137" s="105" t="e">
        <f>AVERAGE(O135:Q135)</f>
        <v>#DIV/0!</v>
      </c>
      <c r="AD137" s="27" t="s">
        <v>21</v>
      </c>
      <c r="AE137" s="28"/>
      <c r="AF137" s="33" t="str">
        <f t="shared" si="40"/>
        <v/>
      </c>
      <c r="AG137" s="33" t="str">
        <f t="shared" si="41"/>
        <v/>
      </c>
      <c r="AH137" s="33" t="str">
        <f t="shared" si="42"/>
        <v/>
      </c>
      <c r="AI137" s="33" t="str">
        <f t="shared" si="43"/>
        <v/>
      </c>
      <c r="AJ137" s="33" t="str">
        <f t="shared" si="44"/>
        <v/>
      </c>
      <c r="AK137" s="35"/>
    </row>
    <row r="138" spans="1:41" ht="18.75" customHeight="1" x14ac:dyDescent="0.2">
      <c r="B138" s="40"/>
      <c r="C138" s="11"/>
      <c r="T138" s="91" t="s">
        <v>27</v>
      </c>
      <c r="U138" s="91"/>
      <c r="V138" s="92"/>
      <c r="W138" s="111" t="e">
        <f>R116/AVERAGE(G127:J127)</f>
        <v>#DIV/0!</v>
      </c>
      <c r="Y138" s="22" t="s">
        <v>88</v>
      </c>
      <c r="Z138" s="22"/>
      <c r="AB138" s="124" t="e">
        <f>ABS(AVERAGE(O136:Q136))</f>
        <v>#DIV/0!</v>
      </c>
      <c r="AD138" s="27" t="s">
        <v>22</v>
      </c>
      <c r="AE138" s="28"/>
      <c r="AF138" s="33" t="str">
        <f>IF(OR(M132="",M130="",M130=0,M132=0),"",M132/M130)</f>
        <v/>
      </c>
      <c r="AG138" s="33" t="str">
        <f>IF(OR(N132="",N130="",N130=0,N132=0),"",N132/N130)</f>
        <v/>
      </c>
      <c r="AH138" s="33" t="str">
        <f>IF(OR(O132="",O130="",O130=0,O132=0),"",O132/O130)</f>
        <v/>
      </c>
      <c r="AI138" s="33" t="str">
        <f>IF(OR(P132="",P130="",P130=0,P132=0),"",P132/P130)</f>
        <v/>
      </c>
      <c r="AJ138" s="33" t="str">
        <f>IF(OR(Q132="",Q130="",Q130=0,Q132=0),"",Q132/Q130)</f>
        <v/>
      </c>
    </row>
    <row r="139" spans="1:41" ht="18.75" customHeight="1" x14ac:dyDescent="0.2">
      <c r="B139" s="40"/>
      <c r="C139" s="11"/>
      <c r="T139" s="91" t="s">
        <v>89</v>
      </c>
      <c r="U139" s="91"/>
      <c r="V139" s="92"/>
      <c r="W139" s="111" t="e">
        <f>R115/(AVERAGE(G132:J132)+(AVERAGE(G127:J127)-AVERAGE(G129:J129)))</f>
        <v>#DIV/0!</v>
      </c>
      <c r="Y139" s="22" t="s">
        <v>90</v>
      </c>
      <c r="Z139" s="22"/>
      <c r="AA139" s="23"/>
      <c r="AB139" s="105" t="e">
        <f>AVERAGE(O137:Q137)</f>
        <v>#DIV/0!</v>
      </c>
    </row>
    <row r="140" spans="1:41" ht="18.75" customHeight="1" x14ac:dyDescent="0.2">
      <c r="B140" s="43"/>
      <c r="C140" s="19"/>
      <c r="T140" s="91" t="s">
        <v>28</v>
      </c>
      <c r="U140" s="91"/>
      <c r="V140" s="92"/>
      <c r="W140" s="108" t="e">
        <f>R112/AVERAGE(G127:J127)</f>
        <v>#DIV/0!</v>
      </c>
      <c r="Y140" s="48"/>
      <c r="AB140" s="48"/>
      <c r="AK140" s="37"/>
    </row>
    <row r="141" spans="1:41" s="175" customFormat="1" ht="18.75" customHeight="1" thickBot="1" x14ac:dyDescent="0.35">
      <c r="A141" s="166"/>
      <c r="B141" s="167"/>
      <c r="C141" s="168"/>
      <c r="D141" s="169"/>
      <c r="E141" s="168"/>
      <c r="F141" s="170"/>
      <c r="G141" s="170"/>
      <c r="H141" s="170"/>
      <c r="I141" s="170"/>
      <c r="J141" s="170"/>
      <c r="K141" s="170"/>
      <c r="L141" s="171"/>
      <c r="M141" s="172"/>
      <c r="N141" s="173"/>
      <c r="O141" s="173"/>
      <c r="P141" s="173"/>
      <c r="Q141" s="171"/>
      <c r="R141" s="171"/>
      <c r="S141" s="168"/>
      <c r="T141" s="174"/>
      <c r="Y141" s="174"/>
      <c r="AB141" s="176"/>
      <c r="AD141" s="174"/>
    </row>
    <row r="142" spans="1:41" s="138" customFormat="1" ht="18.75" customHeight="1" thickBot="1" x14ac:dyDescent="0.25">
      <c r="D142" s="163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T142" s="163"/>
      <c r="Y142" s="163"/>
      <c r="AB142" s="165"/>
      <c r="AD142" s="163"/>
    </row>
    <row r="143" spans="1:41" s="153" customFormat="1" ht="18.75" customHeight="1" thickBot="1" x14ac:dyDescent="0.3">
      <c r="A143" s="139">
        <v>5</v>
      </c>
      <c r="B143" s="140"/>
      <c r="C143" s="141"/>
      <c r="D143" s="142"/>
      <c r="E143" s="143"/>
      <c r="F143" s="144"/>
      <c r="G143" s="145"/>
      <c r="H143" s="145"/>
      <c r="I143" s="145"/>
      <c r="J143" s="145"/>
      <c r="K143" s="252"/>
      <c r="L143" s="159"/>
      <c r="M143" s="147"/>
      <c r="N143" s="148"/>
      <c r="O143" s="148"/>
      <c r="P143" s="148"/>
      <c r="Q143" s="148"/>
      <c r="R143" s="148"/>
      <c r="S143" s="148"/>
      <c r="T143" s="161" t="s">
        <v>7</v>
      </c>
      <c r="U143" s="258" t="s">
        <v>34</v>
      </c>
      <c r="V143" s="259"/>
      <c r="W143" s="162"/>
      <c r="X143" s="148"/>
      <c r="Y143" s="149"/>
      <c r="Z143" s="148"/>
      <c r="AA143" s="148"/>
      <c r="AB143" s="150"/>
      <c r="AC143" s="151"/>
      <c r="AD143" s="152"/>
      <c r="AE143" s="146"/>
      <c r="AF143" s="146"/>
      <c r="AG143" s="151"/>
      <c r="AH143" s="151"/>
      <c r="AI143" s="151"/>
      <c r="AJ143" s="151"/>
      <c r="AK143" s="151"/>
      <c r="AL143" s="151"/>
      <c r="AM143" s="151"/>
      <c r="AN143" s="146"/>
      <c r="AO143" s="146"/>
    </row>
    <row r="144" spans="1:41" ht="10.5" customHeight="1" x14ac:dyDescent="0.25">
      <c r="B144" s="39"/>
      <c r="C144" s="8"/>
      <c r="D144" s="9"/>
      <c r="E144" s="59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50"/>
      <c r="U144" s="10"/>
      <c r="V144" s="10"/>
      <c r="W144" s="10"/>
      <c r="X144" s="10"/>
      <c r="Y144" s="50"/>
      <c r="Z144" s="10"/>
      <c r="AA144" s="10"/>
      <c r="AB144" s="60"/>
      <c r="AC144" s="10"/>
      <c r="AD144" s="50"/>
      <c r="AE144" s="10"/>
      <c r="AF144" s="10"/>
      <c r="AG144" s="10"/>
      <c r="AH144" s="10"/>
      <c r="AI144" s="10"/>
      <c r="AJ144" s="10"/>
      <c r="AK144" s="10"/>
      <c r="AL144" s="10"/>
      <c r="AM144" s="10"/>
    </row>
    <row r="145" spans="1:41" ht="18.75" customHeight="1" thickBot="1" x14ac:dyDescent="0.25">
      <c r="B145" s="40"/>
      <c r="C145" s="11"/>
      <c r="D145" s="130" t="s">
        <v>36</v>
      </c>
      <c r="E145" s="131"/>
      <c r="F145" s="239" t="s">
        <v>37</v>
      </c>
      <c r="G145" s="239" t="s">
        <v>38</v>
      </c>
      <c r="H145" s="239" t="s">
        <v>39</v>
      </c>
      <c r="I145" s="239" t="s">
        <v>40</v>
      </c>
      <c r="J145" s="239" t="s">
        <v>41</v>
      </c>
      <c r="K145" s="249"/>
      <c r="L145" s="155"/>
      <c r="M145" s="239">
        <v>2013</v>
      </c>
      <c r="N145" s="239">
        <v>2014</v>
      </c>
      <c r="O145" s="239">
        <v>2015</v>
      </c>
      <c r="P145" s="239">
        <v>2016</v>
      </c>
      <c r="Q145" s="239">
        <v>2017</v>
      </c>
      <c r="R145" s="239" t="s">
        <v>42</v>
      </c>
      <c r="T145" s="98" t="s">
        <v>0</v>
      </c>
      <c r="U145" s="99"/>
      <c r="V145" s="99"/>
      <c r="W145" s="100"/>
      <c r="X145" s="12"/>
      <c r="Y145" s="98" t="s">
        <v>5</v>
      </c>
      <c r="Z145" s="99"/>
      <c r="AA145" s="113"/>
      <c r="AB145" s="116" t="s">
        <v>43</v>
      </c>
      <c r="AC145" s="12"/>
      <c r="AD145" s="103" t="s">
        <v>44</v>
      </c>
      <c r="AE145" s="114"/>
      <c r="AF145" s="113"/>
      <c r="AG145" s="132">
        <f>N145</f>
        <v>2014</v>
      </c>
      <c r="AH145" s="132">
        <f>O145</f>
        <v>2015</v>
      </c>
      <c r="AI145" s="132">
        <f>P145</f>
        <v>2016</v>
      </c>
      <c r="AJ145" s="132">
        <f>Q145</f>
        <v>2017</v>
      </c>
      <c r="AK145" s="13"/>
      <c r="AL145" s="14"/>
      <c r="AN145" s="15"/>
      <c r="AO145" s="55"/>
    </row>
    <row r="146" spans="1:41" ht="18.75" customHeight="1" x14ac:dyDescent="0.2">
      <c r="A146" s="41"/>
      <c r="B146" s="42"/>
      <c r="C146" s="16"/>
      <c r="D146" s="235" t="s">
        <v>29</v>
      </c>
      <c r="E146" s="236"/>
      <c r="F146" s="154"/>
      <c r="G146" s="154"/>
      <c r="H146" s="154"/>
      <c r="I146" s="154"/>
      <c r="J146" s="154"/>
      <c r="K146" s="18"/>
      <c r="L146" s="17"/>
      <c r="M146" s="154"/>
      <c r="N146" s="154"/>
      <c r="O146" s="154"/>
      <c r="P146" s="154"/>
      <c r="Q146" s="154"/>
      <c r="R146" s="154"/>
      <c r="T146" s="22" t="s">
        <v>8</v>
      </c>
      <c r="U146" s="90"/>
      <c r="V146" s="90"/>
      <c r="W146" s="104">
        <v>5.42</v>
      </c>
      <c r="X146" s="61"/>
      <c r="Y146" s="22" t="s">
        <v>29</v>
      </c>
      <c r="Z146" s="22"/>
      <c r="AA146" s="23"/>
      <c r="AB146" s="111" t="e">
        <f>IF(AB145="Year over Year",AJ146,IF(AB145="3-Year Average",AVERAGE(AI146:AJ146),IF(AB145="5-Year Average",AVERAGE(AG146:AJ146),"")))</f>
        <v>#DIV/0!</v>
      </c>
      <c r="AC146" s="62"/>
      <c r="AD146" s="22" t="s">
        <v>45</v>
      </c>
      <c r="AE146" s="23"/>
      <c r="AF146" s="24"/>
      <c r="AG146" s="63" t="str">
        <f>IF(AND(N146&gt;0,M146&gt;0,M146&lt;&gt;""),N146/M146-1,IF(AND(M146&lt;0,N146&lt;0,M146&lt;&gt;""),(N146-M146)/ABS(M146),IF(AND(M146&gt;0,N146&lt;0,M146&lt;&gt;""),"L",IF(AND(M146&lt;0,N146&gt;0,M146&lt;&gt;""),"P",""))))</f>
        <v/>
      </c>
      <c r="AH146" s="63" t="str">
        <f>IF(AND(O146&gt;0,N146&gt;0,N146&lt;&gt;""),O146/N146-1,IF(AND(N146&lt;0,O146&lt;0,N146&lt;&gt;""),(O146-N146)/ABS(N146),IF(AND(N146&gt;0,O146&lt;0,N146&lt;&gt;""),"L",IF(AND(N146&lt;0,O146&gt;0,N146&lt;&gt;""),"P",""))))</f>
        <v/>
      </c>
      <c r="AI146" s="63" t="str">
        <f>IF(AND(P146&gt;0,O146&gt;0,O146&lt;&gt;""),P146/O146-1,IF(AND(O146&lt;0,P146&lt;0,O146&lt;&gt;""),(P146-O146)/ABS(O146),IF(AND(O146&gt;0,P146&lt;0,O146&lt;&gt;""),"L",IF(AND(O146&lt;0,P146&gt;0,O146&lt;&gt;""),"P",""))))</f>
        <v/>
      </c>
      <c r="AJ146" s="63" t="str">
        <f>IF(AND(Q146&gt;0,P146&gt;0,P146&lt;&gt;""),Q146/P146-1,IF(AND(P146&lt;0,Q146&lt;0,P146&lt;&gt;""),(Q146-P146)/ABS(P146),IF(AND(P146&gt;0,Q146&lt;0,P146&lt;&gt;""),"L",IF(AND(P146&lt;0,Q146&gt;0,P146&lt;&gt;""),"P",""))))</f>
        <v/>
      </c>
    </row>
    <row r="147" spans="1:41" ht="18.75" customHeight="1" x14ac:dyDescent="0.2">
      <c r="A147" s="41"/>
      <c r="B147" s="42"/>
      <c r="C147" s="16"/>
      <c r="D147" s="128" t="s">
        <v>46</v>
      </c>
      <c r="E147" s="129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T147" s="91" t="s">
        <v>9</v>
      </c>
      <c r="U147" s="92"/>
      <c r="V147" s="93"/>
      <c r="W147" s="105">
        <f>W146*R154</f>
        <v>0</v>
      </c>
      <c r="X147" s="61"/>
      <c r="Y147" s="22" t="s">
        <v>47</v>
      </c>
      <c r="Z147" s="22"/>
      <c r="AA147" s="23"/>
      <c r="AB147" s="111" t="e">
        <f>IF(AB145="Year over Year",AJ147,IF(AB145="3-Year Average",AVERAGE(AI147:AJ147),IF(AB145="5-Year Average",AVERAGE(AG147:AJ147),"")))</f>
        <v>#DIV/0!</v>
      </c>
      <c r="AC147" s="62"/>
      <c r="AD147" s="22" t="s">
        <v>30</v>
      </c>
      <c r="AE147" s="23"/>
      <c r="AF147" s="24"/>
      <c r="AG147" s="63" t="str">
        <f t="shared" ref="AG147:AG149" si="45">IF(AND(N149&gt;0,M149&gt;0,M149&lt;&gt;""),N149/M149-1,IF(AND(M149&lt;0,N149&lt;0,M149&lt;&gt;""),(N149-M149)/ABS(M149),IF(AND(M149&gt;0,N149&lt;0,M149&lt;&gt;""),"L",IF(AND(M149&lt;0,N149&gt;0,M149&lt;&gt;""),"P",""))))</f>
        <v/>
      </c>
      <c r="AH147" s="63" t="str">
        <f t="shared" ref="AH147:AH149" si="46">IF(AND(O149&gt;0,N149&gt;0,N149&lt;&gt;""),O149/N149-1,IF(AND(N149&lt;0,O149&lt;0,N149&lt;&gt;""),(O149-N149)/ABS(N149),IF(AND(N149&gt;0,O149&lt;0,N149&lt;&gt;""),"L",IF(AND(N149&lt;0,O149&gt;0,N149&lt;&gt;""),"P",""))))</f>
        <v/>
      </c>
      <c r="AI147" s="63" t="str">
        <f t="shared" ref="AI147:AI149" si="47">IF(AND(P149&gt;0,O149&gt;0,O149&lt;&gt;""),P149/O149-1,IF(AND(O149&lt;0,P149&lt;0,O149&lt;&gt;""),(P149-O149)/ABS(O149),IF(AND(O149&gt;0,P149&lt;0,O149&lt;&gt;""),"L",IF(AND(O149&lt;0,P149&gt;0,O149&lt;&gt;""),"P",""))))</f>
        <v/>
      </c>
      <c r="AJ147" s="63" t="str">
        <f t="shared" ref="AJ147:AJ149" si="48">IF(AND(Q149&gt;0,P149&gt;0,P149&lt;&gt;""),Q149/P149-1,IF(AND(P149&lt;0,Q149&lt;0,P149&lt;&gt;""),(Q149-P149)/ABS(P149),IF(AND(P149&gt;0,Q149&lt;0,P149&lt;&gt;""),"L",IF(AND(P149&lt;0,Q149&gt;0,P149&lt;&gt;""),"P",""))))</f>
        <v/>
      </c>
    </row>
    <row r="148" spans="1:41" ht="18.75" customHeight="1" x14ac:dyDescent="0.2">
      <c r="B148" s="42"/>
      <c r="C148" s="16"/>
      <c r="D148" s="128" t="s">
        <v>48</v>
      </c>
      <c r="E148" s="129"/>
      <c r="F148" s="18"/>
      <c r="G148" s="18"/>
      <c r="H148" s="18"/>
      <c r="I148" s="18"/>
      <c r="J148" s="18"/>
      <c r="K148" s="18"/>
      <c r="L148" s="17"/>
      <c r="M148" s="18"/>
      <c r="N148" s="18"/>
      <c r="O148" s="18"/>
      <c r="P148" s="18"/>
      <c r="Q148" s="18"/>
      <c r="R148" s="18"/>
      <c r="T148" s="91" t="s">
        <v>10</v>
      </c>
      <c r="U148" s="92"/>
      <c r="V148" s="94"/>
      <c r="W148" s="105">
        <f>W147+(J162+J164)-J158</f>
        <v>0</v>
      </c>
      <c r="X148" s="62"/>
      <c r="Y148" s="22" t="s">
        <v>31</v>
      </c>
      <c r="Z148" s="22"/>
      <c r="AB148" s="111" t="e">
        <f>IF(AB145="Year over Year",AJ148,IF(AB145="3-Year Average",AVERAGE(AI148:AJ148),IF(AB145="5-Year Average",AVERAGE(AG148:AJ148),"")))</f>
        <v>#DIV/0!</v>
      </c>
      <c r="AC148" s="62"/>
      <c r="AD148" s="22" t="s">
        <v>49</v>
      </c>
      <c r="AE148" s="23"/>
      <c r="AF148" s="24"/>
      <c r="AG148" s="63" t="str">
        <f t="shared" si="45"/>
        <v/>
      </c>
      <c r="AH148" s="63" t="str">
        <f t="shared" si="46"/>
        <v/>
      </c>
      <c r="AI148" s="63" t="str">
        <f t="shared" si="47"/>
        <v/>
      </c>
      <c r="AJ148" s="63" t="str">
        <f t="shared" si="48"/>
        <v/>
      </c>
    </row>
    <row r="149" spans="1:41" ht="18.75" customHeight="1" x14ac:dyDescent="0.2">
      <c r="B149" s="42"/>
      <c r="C149" s="16"/>
      <c r="D149" s="128" t="s">
        <v>50</v>
      </c>
      <c r="E149" s="129"/>
      <c r="F149" s="18"/>
      <c r="G149" s="18"/>
      <c r="H149" s="18"/>
      <c r="I149" s="18"/>
      <c r="J149" s="18"/>
      <c r="K149" s="18"/>
      <c r="L149" s="20"/>
      <c r="M149" s="18"/>
      <c r="N149" s="18"/>
      <c r="O149" s="18"/>
      <c r="P149" s="18"/>
      <c r="Q149" s="18"/>
      <c r="R149" s="18"/>
      <c r="T149" s="91" t="s">
        <v>11</v>
      </c>
      <c r="U149" s="92"/>
      <c r="V149" s="94"/>
      <c r="W149" s="105">
        <f>J161-J165</f>
        <v>0</v>
      </c>
      <c r="X149" s="61"/>
      <c r="Y149" s="22" t="s">
        <v>32</v>
      </c>
      <c r="Z149" s="22"/>
      <c r="AA149" s="23"/>
      <c r="AB149" s="111" t="e">
        <f>IF(AB145="Year over Year",AJ149,IF(AB145="3-Year Average",AVERAGE(AI149:AJ149),IF(AB145="5-Year Average",AVERAGE(AG149:AJ149),"")))</f>
        <v>#DIV/0!</v>
      </c>
      <c r="AC149" s="62"/>
      <c r="AD149" s="22" t="s">
        <v>51</v>
      </c>
      <c r="AE149" s="23"/>
      <c r="AF149" s="24"/>
      <c r="AG149" s="63" t="str">
        <f t="shared" si="45"/>
        <v/>
      </c>
      <c r="AH149" s="63" t="str">
        <f t="shared" si="46"/>
        <v/>
      </c>
      <c r="AI149" s="63" t="str">
        <f t="shared" si="47"/>
        <v/>
      </c>
      <c r="AJ149" s="63" t="str">
        <f t="shared" si="48"/>
        <v/>
      </c>
    </row>
    <row r="150" spans="1:41" ht="18.75" customHeight="1" x14ac:dyDescent="0.2">
      <c r="B150" s="42"/>
      <c r="C150" s="16"/>
      <c r="D150" s="128" t="s">
        <v>52</v>
      </c>
      <c r="E150" s="129"/>
      <c r="F150" s="18"/>
      <c r="G150" s="18"/>
      <c r="H150" s="18"/>
      <c r="I150" s="18"/>
      <c r="J150" s="18"/>
      <c r="K150" s="18"/>
      <c r="L150" s="17"/>
      <c r="M150" s="18"/>
      <c r="N150" s="18"/>
      <c r="O150" s="18"/>
      <c r="P150" s="18"/>
      <c r="Q150" s="18"/>
      <c r="R150" s="18"/>
      <c r="T150" s="91" t="s">
        <v>53</v>
      </c>
      <c r="U150" s="92"/>
      <c r="V150" s="93"/>
      <c r="W150" s="106" t="str">
        <f>IF(W147&gt;10000,"Large Cap",IF(AND(10000&gt;W147,2000&lt;W147),"Mid Cap",IF(AND(2000&gt;W147,W147&gt;50),"Small Cap",IF(W147&lt;50,"Micro Cap",NA))))</f>
        <v>Micro Cap</v>
      </c>
      <c r="X150" s="61"/>
      <c r="AB150" s="117"/>
      <c r="AC150" s="21"/>
    </row>
    <row r="151" spans="1:41" ht="18.75" customHeight="1" thickBot="1" x14ac:dyDescent="0.25">
      <c r="B151" s="42"/>
      <c r="C151" s="16"/>
      <c r="D151" s="128" t="s">
        <v>54</v>
      </c>
      <c r="E151" s="129"/>
      <c r="F151" s="18"/>
      <c r="G151" s="18"/>
      <c r="H151" s="18"/>
      <c r="I151" s="18"/>
      <c r="J151" s="18"/>
      <c r="K151" s="18"/>
      <c r="L151" s="25"/>
      <c r="M151" s="18"/>
      <c r="N151" s="18"/>
      <c r="O151" s="18"/>
      <c r="P151" s="18"/>
      <c r="Q151" s="18"/>
      <c r="R151" s="18"/>
      <c r="T151" s="22" t="s">
        <v>55</v>
      </c>
      <c r="W151" s="107"/>
      <c r="X151" s="62"/>
      <c r="Y151" s="103" t="s">
        <v>2</v>
      </c>
      <c r="Z151" s="114"/>
      <c r="AA151" s="115"/>
      <c r="AB151" s="118"/>
      <c r="AD151" s="101" t="s">
        <v>56</v>
      </c>
      <c r="AE151" s="102"/>
      <c r="AF151" s="133">
        <f>M145</f>
        <v>2013</v>
      </c>
      <c r="AG151" s="133">
        <f>N145</f>
        <v>2014</v>
      </c>
      <c r="AH151" s="133">
        <f>O145</f>
        <v>2015</v>
      </c>
      <c r="AI151" s="133">
        <f>P145</f>
        <v>2016</v>
      </c>
      <c r="AJ151" s="133">
        <f>Q145</f>
        <v>2017</v>
      </c>
    </row>
    <row r="152" spans="1:41" ht="18.75" hidden="1" customHeight="1" x14ac:dyDescent="0.2">
      <c r="B152" s="42"/>
      <c r="C152" s="16"/>
      <c r="D152" s="128"/>
      <c r="E152" s="129"/>
      <c r="F152" s="18"/>
      <c r="G152" s="18"/>
      <c r="H152" s="18"/>
      <c r="I152" s="18"/>
      <c r="J152" s="18"/>
      <c r="K152" s="18"/>
      <c r="L152" s="25"/>
      <c r="M152" s="18"/>
      <c r="N152" s="18"/>
      <c r="O152" s="18"/>
      <c r="P152" s="18"/>
      <c r="Q152" s="18"/>
      <c r="R152" s="18"/>
      <c r="T152" s="22"/>
      <c r="W152" s="95"/>
      <c r="X152" s="62"/>
      <c r="Y152" s="52"/>
      <c r="Z152" s="53"/>
      <c r="AA152" s="96"/>
      <c r="AB152" s="119"/>
      <c r="AD152" s="54"/>
      <c r="AE152" s="55"/>
      <c r="AF152" s="56"/>
      <c r="AG152" s="56"/>
      <c r="AH152" s="56"/>
      <c r="AI152" s="56"/>
      <c r="AJ152" s="56"/>
    </row>
    <row r="153" spans="1:41" ht="18.75" hidden="1" customHeight="1" x14ac:dyDescent="0.2">
      <c r="B153" s="42"/>
      <c r="C153" s="16"/>
      <c r="D153" s="128"/>
      <c r="E153" s="129"/>
      <c r="F153" s="18"/>
      <c r="G153" s="18"/>
      <c r="H153" s="18"/>
      <c r="I153" s="18"/>
      <c r="J153" s="18"/>
      <c r="K153" s="18"/>
      <c r="L153" s="25"/>
      <c r="M153" s="18"/>
      <c r="N153" s="18"/>
      <c r="O153" s="18"/>
      <c r="P153" s="18"/>
      <c r="Q153" s="18"/>
      <c r="R153" s="18"/>
      <c r="T153" s="22"/>
      <c r="W153" s="95"/>
      <c r="X153" s="62"/>
      <c r="Y153" s="52"/>
      <c r="Z153" s="53"/>
      <c r="AA153" s="96"/>
      <c r="AB153" s="119"/>
      <c r="AD153" s="54"/>
      <c r="AE153" s="55"/>
      <c r="AF153" s="56"/>
      <c r="AG153" s="56"/>
      <c r="AH153" s="56"/>
      <c r="AI153" s="56"/>
      <c r="AJ153" s="56"/>
    </row>
    <row r="154" spans="1:41" ht="18.75" customHeight="1" x14ac:dyDescent="0.2">
      <c r="B154" s="42"/>
      <c r="C154" s="16"/>
      <c r="D154" s="128" t="s">
        <v>57</v>
      </c>
      <c r="E154" s="129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T154" s="48"/>
      <c r="Y154" s="91" t="s">
        <v>20</v>
      </c>
      <c r="Z154" s="91"/>
      <c r="AA154" s="92"/>
      <c r="AB154" s="108" t="e">
        <f>AVERAGE(G160:J160)/AVERAGE(G163:J163)</f>
        <v>#DIV/0!</v>
      </c>
      <c r="AD154" s="27" t="s">
        <v>29</v>
      </c>
      <c r="AE154" s="28"/>
      <c r="AF154" s="29" t="str">
        <f>IF(M146="","",M146)</f>
        <v/>
      </c>
      <c r="AG154" s="29" t="str">
        <f>IF(N146="","",N146)</f>
        <v/>
      </c>
      <c r="AH154" s="29" t="str">
        <f>IF(O146="","",O146)</f>
        <v/>
      </c>
      <c r="AI154" s="29" t="str">
        <f>IF(P146="","",P146)</f>
        <v/>
      </c>
      <c r="AJ154" s="29" t="str">
        <f>IF(Q146="","",Q146)</f>
        <v/>
      </c>
    </row>
    <row r="155" spans="1:41" ht="18.75" customHeight="1" thickBot="1" x14ac:dyDescent="0.25">
      <c r="B155" s="42"/>
      <c r="C155" s="16"/>
      <c r="D155" s="237" t="s">
        <v>58</v>
      </c>
      <c r="E155" s="238"/>
      <c r="F155" s="157"/>
      <c r="G155" s="157"/>
      <c r="H155" s="157"/>
      <c r="I155" s="157"/>
      <c r="J155" s="157"/>
      <c r="K155" s="18"/>
      <c r="L155" s="20"/>
      <c r="M155" s="157"/>
      <c r="N155" s="157"/>
      <c r="O155" s="157"/>
      <c r="P155" s="157"/>
      <c r="Q155" s="157"/>
      <c r="R155" s="157"/>
      <c r="T155" s="98" t="s">
        <v>59</v>
      </c>
      <c r="U155" s="99"/>
      <c r="V155" s="99"/>
      <c r="W155" s="99"/>
      <c r="Y155" s="22" t="s">
        <v>21</v>
      </c>
      <c r="Z155" s="22"/>
      <c r="AA155" s="90"/>
      <c r="AB155" s="108" t="e">
        <f>AVERAGE(G161:J161)/AVERAGE(G166:J166)</f>
        <v>#DIV/0!</v>
      </c>
      <c r="AD155" s="27" t="s">
        <v>60</v>
      </c>
      <c r="AE155" s="28"/>
      <c r="AF155" s="64" t="str">
        <f>IF(OR(M146="",M148=""),"",M148/M146)</f>
        <v/>
      </c>
      <c r="AG155" s="64" t="str">
        <f>IF(OR(N146="",N148=""),"",N148/N146)</f>
        <v/>
      </c>
      <c r="AH155" s="64" t="str">
        <f>IF(OR(O146="",O148=""),"",O148/O146)</f>
        <v/>
      </c>
      <c r="AI155" s="64" t="str">
        <f>IF(OR(P146="",P148=""),"",P148/P146)</f>
        <v/>
      </c>
      <c r="AJ155" s="64" t="str">
        <f>IF(OR(Q146="",Q148=""),"",Q148/Q146)</f>
        <v/>
      </c>
    </row>
    <row r="156" spans="1:41" ht="18.75" customHeight="1" x14ac:dyDescent="0.2">
      <c r="B156" s="43"/>
      <c r="C156" s="19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T156" s="91" t="s">
        <v>13</v>
      </c>
      <c r="U156" s="91"/>
      <c r="V156" s="92"/>
      <c r="W156" s="108" t="str">
        <f>IF(R151&gt;0,W146/R151,"")</f>
        <v/>
      </c>
      <c r="Y156" s="22" t="s">
        <v>22</v>
      </c>
      <c r="Z156" s="22"/>
      <c r="AA156" s="90"/>
      <c r="AB156" s="108" t="e">
        <f>AVERAGE(G164:J164)/AVERAGE(G166:J166)</f>
        <v>#DIV/0!</v>
      </c>
      <c r="AD156" s="27" t="s">
        <v>47</v>
      </c>
      <c r="AE156" s="28"/>
      <c r="AF156" s="29" t="str">
        <f>IF(M149="","",M149)</f>
        <v/>
      </c>
      <c r="AG156" s="29" t="str">
        <f>IF(N149="","",N149)</f>
        <v/>
      </c>
      <c r="AH156" s="29" t="str">
        <f>IF(O149="","",O149)</f>
        <v/>
      </c>
      <c r="AI156" s="29" t="str">
        <f>IF(P149="","",P149)</f>
        <v/>
      </c>
      <c r="AJ156" s="29" t="str">
        <f>IF(Q149="","",Q149)</f>
        <v/>
      </c>
    </row>
    <row r="157" spans="1:41" ht="18.75" customHeight="1" thickBot="1" x14ac:dyDescent="0.3">
      <c r="B157" s="44"/>
      <c r="C157" s="26"/>
      <c r="D157" s="130" t="s">
        <v>61</v>
      </c>
      <c r="E157" s="131"/>
      <c r="F157" s="240" t="str">
        <f>F145</f>
        <v>2016-10</v>
      </c>
      <c r="G157" s="240" t="str">
        <f>G145</f>
        <v>2017-01</v>
      </c>
      <c r="H157" s="240" t="str">
        <f>H145</f>
        <v>2017-04</v>
      </c>
      <c r="I157" s="240" t="str">
        <f>I145</f>
        <v>2017-07</v>
      </c>
      <c r="J157" s="240" t="str">
        <f>J145</f>
        <v>2017-10</v>
      </c>
      <c r="K157" s="253"/>
      <c r="L157" s="155"/>
      <c r="M157" s="241">
        <f>M145</f>
        <v>2013</v>
      </c>
      <c r="N157" s="241">
        <f>N145</f>
        <v>2014</v>
      </c>
      <c r="O157" s="241">
        <f>O145</f>
        <v>2015</v>
      </c>
      <c r="P157" s="241">
        <f>P145</f>
        <v>2016</v>
      </c>
      <c r="Q157" s="241">
        <f>Q145</f>
        <v>2017</v>
      </c>
      <c r="R157" s="242"/>
      <c r="T157" s="91" t="s">
        <v>15</v>
      </c>
      <c r="U157" s="91"/>
      <c r="V157" s="92"/>
      <c r="W157" s="108" t="e">
        <f>W146/((J161-J165)/J154)</f>
        <v>#DIV/0!</v>
      </c>
      <c r="X157" s="65"/>
      <c r="Y157" s="48"/>
      <c r="AB157" s="13"/>
      <c r="AD157" s="27" t="s">
        <v>62</v>
      </c>
      <c r="AE157" s="28"/>
      <c r="AF157" s="64" t="str">
        <f>IF(OR(M146="",M149=""),"",M149/M146)</f>
        <v/>
      </c>
      <c r="AG157" s="64" t="str">
        <f>IF(OR(N146="",N149=""),"",N149/N146)</f>
        <v/>
      </c>
      <c r="AH157" s="64" t="str">
        <f>IF(OR(O146="",O149=""),"",O149/O146)</f>
        <v/>
      </c>
      <c r="AI157" s="64" t="str">
        <f>IF(OR(P146="",P149=""),"",P149/P146)</f>
        <v/>
      </c>
      <c r="AJ157" s="64" t="str">
        <f>IF(OR(Q146="",Q149=""),"",Q149/Q146)</f>
        <v/>
      </c>
      <c r="AK157" s="30"/>
      <c r="AL157" s="14"/>
    </row>
    <row r="158" spans="1:41" ht="18.75" customHeight="1" thickBot="1" x14ac:dyDescent="0.25">
      <c r="B158" s="40"/>
      <c r="C158" s="11"/>
      <c r="D158" s="235" t="s">
        <v>63</v>
      </c>
      <c r="E158" s="243"/>
      <c r="F158" s="154"/>
      <c r="G158" s="154"/>
      <c r="H158" s="154"/>
      <c r="I158" s="154"/>
      <c r="J158" s="154"/>
      <c r="K158" s="18"/>
      <c r="L158" s="17"/>
      <c r="M158" s="154"/>
      <c r="N158" s="154"/>
      <c r="O158" s="154"/>
      <c r="P158" s="154"/>
      <c r="Q158" s="154"/>
      <c r="R158" s="154"/>
      <c r="T158" s="91" t="s">
        <v>14</v>
      </c>
      <c r="U158" s="91"/>
      <c r="V158" s="92"/>
      <c r="W158" s="108" t="e">
        <f>W146/(R146/R154)</f>
        <v>#DIV/0!</v>
      </c>
      <c r="X158" s="66"/>
      <c r="Y158" s="103" t="s">
        <v>36</v>
      </c>
      <c r="Z158" s="114"/>
      <c r="AA158" s="114"/>
      <c r="AB158" s="120"/>
      <c r="AD158" s="27" t="s">
        <v>31</v>
      </c>
      <c r="AE158" s="28"/>
      <c r="AF158" s="29" t="str">
        <f t="shared" ref="AF158:AF159" si="49">IF(M150="","",M150)</f>
        <v/>
      </c>
      <c r="AG158" s="29" t="str">
        <f t="shared" ref="AG158:AG159" si="50">IF(N150="","",N150)</f>
        <v/>
      </c>
      <c r="AH158" s="29" t="str">
        <f t="shared" ref="AH158:AH159" si="51">IF(O150="","",O150)</f>
        <v/>
      </c>
      <c r="AI158" s="29" t="str">
        <f t="shared" ref="AI158:AI159" si="52">IF(P150="","",P150)</f>
        <v/>
      </c>
      <c r="AJ158" s="29" t="str">
        <f t="shared" ref="AJ158:AJ159" si="53">IF(Q150="","",Q150)</f>
        <v/>
      </c>
      <c r="AL158" s="67"/>
    </row>
    <row r="159" spans="1:41" ht="18.75" customHeight="1" x14ac:dyDescent="0.2">
      <c r="B159" s="42"/>
      <c r="C159" s="16"/>
      <c r="D159" s="244" t="s">
        <v>64</v>
      </c>
      <c r="E159" s="245"/>
      <c r="F159" s="126"/>
      <c r="G159" s="126"/>
      <c r="H159" s="126"/>
      <c r="I159" s="126"/>
      <c r="J159" s="126"/>
      <c r="K159" s="126"/>
      <c r="L159" s="31"/>
      <c r="M159" s="126"/>
      <c r="N159" s="126"/>
      <c r="O159" s="126"/>
      <c r="P159" s="126"/>
      <c r="Q159" s="126"/>
      <c r="R159" s="126"/>
      <c r="T159" s="22" t="s">
        <v>17</v>
      </c>
      <c r="U159" s="22"/>
      <c r="V159" s="23"/>
      <c r="W159" s="108" t="e">
        <f>IF(AVERAGE(O169:Q169)&gt;0,W146/(AVERAGE(O169:Q169)/R154),"")</f>
        <v>#DIV/0!</v>
      </c>
      <c r="X159" s="66"/>
      <c r="Y159" s="49" t="s">
        <v>29</v>
      </c>
      <c r="Z159" s="49"/>
      <c r="AA159" s="97"/>
      <c r="AB159" s="121">
        <f>R146</f>
        <v>0</v>
      </c>
      <c r="AD159" s="27" t="s">
        <v>32</v>
      </c>
      <c r="AE159" s="28"/>
      <c r="AF159" s="68" t="str">
        <f t="shared" si="49"/>
        <v/>
      </c>
      <c r="AG159" s="68" t="str">
        <f t="shared" si="50"/>
        <v/>
      </c>
      <c r="AH159" s="68" t="str">
        <f t="shared" si="51"/>
        <v/>
      </c>
      <c r="AI159" s="68" t="str">
        <f t="shared" si="52"/>
        <v/>
      </c>
      <c r="AJ159" s="68" t="str">
        <f t="shared" si="53"/>
        <v/>
      </c>
      <c r="AL159" s="67"/>
    </row>
    <row r="160" spans="1:41" ht="18.75" customHeight="1" x14ac:dyDescent="0.25">
      <c r="B160" s="44"/>
      <c r="C160" s="26"/>
      <c r="D160" s="244" t="s">
        <v>65</v>
      </c>
      <c r="E160" s="245"/>
      <c r="F160" s="126"/>
      <c r="G160" s="126"/>
      <c r="H160" s="126"/>
      <c r="I160" s="126"/>
      <c r="J160" s="126"/>
      <c r="K160" s="126"/>
      <c r="L160" s="31"/>
      <c r="M160" s="126"/>
      <c r="N160" s="126"/>
      <c r="O160" s="126"/>
      <c r="P160" s="126"/>
      <c r="Q160" s="126"/>
      <c r="R160" s="126"/>
      <c r="T160" s="91" t="s">
        <v>16</v>
      </c>
      <c r="U160" s="91"/>
      <c r="V160" s="92"/>
      <c r="W160" s="108" t="e">
        <f>IF(AVERAGE(O171:Q171)&gt;0,W147/AVERAGE(O171:Q171),"")</f>
        <v>#DIV/0!</v>
      </c>
      <c r="Y160" s="49" t="s">
        <v>66</v>
      </c>
      <c r="Z160" s="49"/>
      <c r="AA160" s="97"/>
      <c r="AB160" s="121">
        <f>R148</f>
        <v>0</v>
      </c>
      <c r="AD160" s="27" t="s">
        <v>67</v>
      </c>
      <c r="AE160" s="28"/>
      <c r="AF160" s="29" t="str">
        <f>IF(M154="","",M154)</f>
        <v/>
      </c>
      <c r="AG160" s="29" t="str">
        <f>IF(N154="","",N154)</f>
        <v/>
      </c>
      <c r="AH160" s="29" t="str">
        <f>IF(O154="","",O154)</f>
        <v/>
      </c>
      <c r="AI160" s="29" t="str">
        <f>IF(P154="","",P154)</f>
        <v/>
      </c>
      <c r="AJ160" s="29" t="str">
        <f>IF(Q154="","",Q154)</f>
        <v/>
      </c>
      <c r="AL160" s="67"/>
    </row>
    <row r="161" spans="1:38" ht="18.75" customHeight="1" x14ac:dyDescent="0.2">
      <c r="B161" s="43"/>
      <c r="C161" s="19"/>
      <c r="D161" s="244" t="s">
        <v>68</v>
      </c>
      <c r="E161" s="245"/>
      <c r="F161" s="126"/>
      <c r="G161" s="126"/>
      <c r="H161" s="126"/>
      <c r="I161" s="126"/>
      <c r="J161" s="126"/>
      <c r="K161" s="126"/>
      <c r="L161" s="127"/>
      <c r="M161" s="126"/>
      <c r="N161" s="126"/>
      <c r="O161" s="126"/>
      <c r="P161" s="126"/>
      <c r="Q161" s="126"/>
      <c r="R161" s="126"/>
      <c r="T161" s="91" t="s">
        <v>18</v>
      </c>
      <c r="U161" s="91"/>
      <c r="V161" s="92"/>
      <c r="W161" s="108" t="e">
        <f>(W147+(J162+J164)-J158)/J155</f>
        <v>#DIV/0!</v>
      </c>
      <c r="Y161" s="49" t="s">
        <v>31</v>
      </c>
      <c r="Z161" s="49"/>
      <c r="AA161" s="97"/>
      <c r="AB161" s="121">
        <f>R150</f>
        <v>0</v>
      </c>
      <c r="AD161" s="27" t="s">
        <v>69</v>
      </c>
      <c r="AE161" s="28"/>
      <c r="AF161" s="69" t="str">
        <f>IF(OR(M166="",M154="",M161="",M165=""),"",(M161-M165)/M154)</f>
        <v/>
      </c>
      <c r="AG161" s="69" t="str">
        <f>IF(OR(N166="",N154="",N161="",N165=""),"",(N161-N165)/N154)</f>
        <v/>
      </c>
      <c r="AH161" s="69" t="str">
        <f>IF(OR(O166="",O154="",O161="",O165=""),"",(O161-O165)/O154)</f>
        <v/>
      </c>
      <c r="AI161" s="69" t="str">
        <f>IF(OR(P166="",P154="",P161="",P165=""),"",(P161-P165)/P154)</f>
        <v/>
      </c>
      <c r="AJ161" s="69" t="str">
        <f>IF(OR(Q166="",Q154="",Q161="",Q165=""),"",(Q161-Q165)/Q154)</f>
        <v/>
      </c>
      <c r="AL161" s="67"/>
    </row>
    <row r="162" spans="1:38" ht="18.75" customHeight="1" x14ac:dyDescent="0.2">
      <c r="B162" s="42"/>
      <c r="C162" s="16"/>
      <c r="D162" s="244" t="s">
        <v>70</v>
      </c>
      <c r="E162" s="245"/>
      <c r="F162" s="126"/>
      <c r="G162" s="126"/>
      <c r="H162" s="126"/>
      <c r="I162" s="126"/>
      <c r="J162" s="126"/>
      <c r="K162" s="126"/>
      <c r="L162" s="17"/>
      <c r="M162" s="126"/>
      <c r="N162" s="126"/>
      <c r="O162" s="126"/>
      <c r="P162" s="126"/>
      <c r="Q162" s="126"/>
      <c r="R162" s="126"/>
      <c r="T162" s="22"/>
      <c r="U162" s="22"/>
      <c r="V162" s="23"/>
      <c r="W162" s="108"/>
      <c r="Y162" s="91" t="s">
        <v>32</v>
      </c>
      <c r="Z162" s="91"/>
      <c r="AA162" s="92"/>
      <c r="AB162" s="122">
        <f>R151</f>
        <v>0</v>
      </c>
      <c r="AL162" s="67"/>
    </row>
    <row r="163" spans="1:38" ht="18.75" customHeight="1" thickBot="1" x14ac:dyDescent="0.25">
      <c r="B163" s="45"/>
      <c r="C163" s="32"/>
      <c r="D163" s="244" t="s">
        <v>71</v>
      </c>
      <c r="E163" s="245"/>
      <c r="F163" s="126"/>
      <c r="G163" s="126"/>
      <c r="H163" s="126"/>
      <c r="I163" s="126"/>
      <c r="J163" s="126"/>
      <c r="K163" s="126"/>
      <c r="L163" s="31"/>
      <c r="M163" s="126"/>
      <c r="N163" s="126"/>
      <c r="O163" s="126"/>
      <c r="P163" s="126"/>
      <c r="Q163" s="126"/>
      <c r="R163" s="126"/>
      <c r="W163" s="13"/>
      <c r="AB163" s="117"/>
      <c r="AD163" s="101" t="s">
        <v>3</v>
      </c>
      <c r="AE163" s="102"/>
      <c r="AF163" s="133">
        <f>M145</f>
        <v>2013</v>
      </c>
      <c r="AG163" s="133">
        <f>N145</f>
        <v>2014</v>
      </c>
      <c r="AH163" s="133">
        <f>O145</f>
        <v>2015</v>
      </c>
      <c r="AI163" s="133">
        <f>P145</f>
        <v>2016</v>
      </c>
      <c r="AJ163" s="133">
        <f>Q145</f>
        <v>2017</v>
      </c>
    </row>
    <row r="164" spans="1:38" ht="18.75" customHeight="1" thickBot="1" x14ac:dyDescent="0.25">
      <c r="B164" s="43"/>
      <c r="C164" s="19"/>
      <c r="D164" s="244" t="s">
        <v>72</v>
      </c>
      <c r="E164" s="245"/>
      <c r="F164" s="126"/>
      <c r="G164" s="126"/>
      <c r="H164" s="126"/>
      <c r="I164" s="126"/>
      <c r="J164" s="126"/>
      <c r="K164" s="126"/>
      <c r="L164" s="125"/>
      <c r="M164" s="126"/>
      <c r="N164" s="126"/>
      <c r="O164" s="126"/>
      <c r="P164" s="126"/>
      <c r="Q164" s="126"/>
      <c r="R164" s="126"/>
      <c r="T164" s="101" t="s">
        <v>3</v>
      </c>
      <c r="U164" s="102"/>
      <c r="V164" s="102"/>
      <c r="W164" s="109"/>
      <c r="Y164" s="103" t="s">
        <v>61</v>
      </c>
      <c r="Z164" s="114"/>
      <c r="AA164" s="114"/>
      <c r="AB164" s="123"/>
      <c r="AD164" s="27" t="s">
        <v>73</v>
      </c>
      <c r="AE164" s="28"/>
      <c r="AF164" s="70" t="str">
        <f>IF(OR(M146="",M150="",M146=0,M150=0),"",M150/M146)</f>
        <v/>
      </c>
      <c r="AG164" s="70" t="str">
        <f>IF(OR(N146="",N150="",N146=0,N150=0),"",N150/N146)</f>
        <v/>
      </c>
      <c r="AH164" s="70" t="str">
        <f>IF(OR(O146="",O150="",O146=0,O150=0),"",O150/O146)</f>
        <v/>
      </c>
      <c r="AI164" s="70" t="str">
        <f>IF(OR(P146="",P150="",P146=0,P150=0),"",P150/P146)</f>
        <v/>
      </c>
      <c r="AJ164" s="70" t="str">
        <f>IF(OR(Q146="",Q150="",Q146=0,Q150=0),"",Q150/Q146)</f>
        <v/>
      </c>
    </row>
    <row r="165" spans="1:38" ht="18.75" customHeight="1" x14ac:dyDescent="0.2">
      <c r="B165" s="46"/>
      <c r="C165" s="34"/>
      <c r="D165" s="244" t="s">
        <v>74</v>
      </c>
      <c r="E165" s="245"/>
      <c r="F165" s="126"/>
      <c r="G165" s="126"/>
      <c r="H165" s="126"/>
      <c r="I165" s="126"/>
      <c r="J165" s="126"/>
      <c r="K165" s="126"/>
      <c r="L165" s="31"/>
      <c r="M165" s="126"/>
      <c r="N165" s="126"/>
      <c r="O165" s="126"/>
      <c r="P165" s="126"/>
      <c r="Q165" s="126"/>
      <c r="R165" s="126"/>
      <c r="T165" s="22" t="s">
        <v>12</v>
      </c>
      <c r="U165" s="22"/>
      <c r="V165" s="23"/>
      <c r="W165" s="110">
        <f>R146</f>
        <v>0</v>
      </c>
      <c r="Y165" s="22" t="s">
        <v>75</v>
      </c>
      <c r="Z165" s="22"/>
      <c r="AA165" s="23"/>
      <c r="AB165" s="121">
        <f>J159</f>
        <v>0</v>
      </c>
      <c r="AD165" s="27" t="s">
        <v>76</v>
      </c>
      <c r="AE165" s="28"/>
      <c r="AF165" s="70" t="str">
        <f>IF(OR(M150="",M164="",M150=0,M164=0),"",M150/M164)</f>
        <v/>
      </c>
      <c r="AG165" s="70" t="str">
        <f>IF(OR(N150="",N164="",N150=0,N164=0),"",N150/N164)</f>
        <v/>
      </c>
      <c r="AH165" s="70" t="str">
        <f>IF(OR(O150="",O164="",O150=0,O164=0),"",O150/O164)</f>
        <v/>
      </c>
      <c r="AI165" s="70" t="str">
        <f>IF(OR(P150="",P164="",P150=0,P164=0),"",P150/P164)</f>
        <v/>
      </c>
      <c r="AJ165" s="70" t="str">
        <f>IF(OR(Q150="",Q164="",Q150=0,Q164=0),"",Q150/Q164)</f>
        <v/>
      </c>
    </row>
    <row r="166" spans="1:38" ht="18.75" customHeight="1" thickBot="1" x14ac:dyDescent="0.25">
      <c r="B166" s="43"/>
      <c r="C166" s="19"/>
      <c r="D166" s="246" t="s">
        <v>77</v>
      </c>
      <c r="E166" s="247"/>
      <c r="F166" s="156"/>
      <c r="G166" s="156"/>
      <c r="H166" s="156"/>
      <c r="I166" s="156"/>
      <c r="J166" s="156"/>
      <c r="K166" s="126"/>
      <c r="L166" s="127"/>
      <c r="M166" s="156"/>
      <c r="N166" s="156"/>
      <c r="O166" s="156"/>
      <c r="P166" s="156"/>
      <c r="Q166" s="156"/>
      <c r="R166" s="156"/>
      <c r="T166" s="49" t="s">
        <v>23</v>
      </c>
      <c r="U166" s="49"/>
      <c r="V166" s="97"/>
      <c r="W166" s="111" t="e">
        <f>(R146-R147)/R146</f>
        <v>#DIV/0!</v>
      </c>
      <c r="Y166" s="49" t="s">
        <v>78</v>
      </c>
      <c r="Z166" s="49"/>
      <c r="AA166" s="97"/>
      <c r="AB166" s="121">
        <f>J160</f>
        <v>0</v>
      </c>
      <c r="AD166" s="27" t="s">
        <v>79</v>
      </c>
      <c r="AE166" s="28"/>
      <c r="AF166" s="70" t="str">
        <f>IF(OR(M150="",M161="",M150=0,M161=0),"",M150/M161)</f>
        <v/>
      </c>
      <c r="AG166" s="70" t="str">
        <f>IF(OR(N150="",N161="",N150=0,N161=0),"",N150/N161)</f>
        <v/>
      </c>
      <c r="AH166" s="70" t="str">
        <f>IF(OR(O150="",O161="",O150=0,O161=0),"",O150/O161)</f>
        <v/>
      </c>
      <c r="AI166" s="70" t="str">
        <f>IF(OR(P150="",P161="",P150=0,P161=0),"",P150/P161)</f>
        <v/>
      </c>
      <c r="AJ166" s="70" t="str">
        <f>IF(OR(Q150="",Q161="",Q150=0,Q161=0),"",Q150/Q161)</f>
        <v/>
      </c>
    </row>
    <row r="167" spans="1:38" ht="18.75" customHeight="1" x14ac:dyDescent="0.2">
      <c r="B167" s="43"/>
      <c r="C167" s="19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T167" s="49" t="s">
        <v>24</v>
      </c>
      <c r="U167" s="49"/>
      <c r="V167" s="97"/>
      <c r="W167" s="111" t="e">
        <f>R150/R146</f>
        <v>#DIV/0!</v>
      </c>
      <c r="Y167" s="22" t="s">
        <v>80</v>
      </c>
      <c r="Z167" s="22"/>
      <c r="AA167" s="23"/>
      <c r="AB167" s="121">
        <f>J163</f>
        <v>0</v>
      </c>
      <c r="AD167" s="27" t="s">
        <v>28</v>
      </c>
      <c r="AE167" s="28"/>
      <c r="AF167" s="33" t="str">
        <f>IF(OR(M146="",M161="",M146=0,M161=0),"",M146/M161)</f>
        <v/>
      </c>
      <c r="AG167" s="33" t="str">
        <f>IF(OR(N146="",N161="",N146=0,N161=0),"",N146/N161)</f>
        <v/>
      </c>
      <c r="AH167" s="33" t="str">
        <f>IF(OR(O146="",O161="",O146=0,O161=0),"",O146/O161)</f>
        <v/>
      </c>
      <c r="AI167" s="33" t="str">
        <f>IF(OR(P146="",P161="",P146=0,P161=0),"",P146/P161)</f>
        <v/>
      </c>
      <c r="AJ167" s="33" t="str">
        <f>IF(OR(Q146="",Q161="",Q146=0,Q161=0),"",Q146/Q161)</f>
        <v/>
      </c>
    </row>
    <row r="168" spans="1:38" ht="18.75" customHeight="1" thickBot="1" x14ac:dyDescent="0.25">
      <c r="B168" s="43"/>
      <c r="C168" s="19"/>
      <c r="D168" s="130" t="s">
        <v>81</v>
      </c>
      <c r="E168" s="131"/>
      <c r="F168" s="240" t="str">
        <f>F145</f>
        <v>2016-10</v>
      </c>
      <c r="G168" s="240" t="str">
        <f>G145</f>
        <v>2017-01</v>
      </c>
      <c r="H168" s="240" t="str">
        <f>H145</f>
        <v>2017-04</v>
      </c>
      <c r="I168" s="240" t="str">
        <f>I145</f>
        <v>2017-07</v>
      </c>
      <c r="J168" s="240" t="str">
        <f>J145</f>
        <v>2017-10</v>
      </c>
      <c r="K168" s="253"/>
      <c r="L168" s="155"/>
      <c r="M168" s="248">
        <f>M145</f>
        <v>2013</v>
      </c>
      <c r="N168" s="248">
        <f>N145</f>
        <v>2014</v>
      </c>
      <c r="O168" s="248">
        <f>O145</f>
        <v>2015</v>
      </c>
      <c r="P168" s="248">
        <f>P145</f>
        <v>2016</v>
      </c>
      <c r="Q168" s="248">
        <f>Q145</f>
        <v>2017</v>
      </c>
      <c r="R168" s="242" t="s">
        <v>42</v>
      </c>
      <c r="T168" s="49" t="s">
        <v>25</v>
      </c>
      <c r="U168" s="49"/>
      <c r="V168" s="97"/>
      <c r="W168" s="111" t="e">
        <f>R149/R146</f>
        <v>#DIV/0!</v>
      </c>
      <c r="Y168" s="22" t="s">
        <v>82</v>
      </c>
      <c r="AB168" s="121">
        <f>J162+J164</f>
        <v>0</v>
      </c>
      <c r="AK168" s="35"/>
    </row>
    <row r="169" spans="1:38" ht="18.75" customHeight="1" thickBot="1" x14ac:dyDescent="0.3">
      <c r="B169" s="47"/>
      <c r="C169" s="36"/>
      <c r="D169" s="235" t="s">
        <v>83</v>
      </c>
      <c r="E169" s="236"/>
      <c r="F169" s="154"/>
      <c r="G169" s="154"/>
      <c r="H169" s="154"/>
      <c r="I169" s="154"/>
      <c r="J169" s="154"/>
      <c r="K169" s="18"/>
      <c r="L169" s="17"/>
      <c r="M169" s="154"/>
      <c r="N169" s="154"/>
      <c r="O169" s="154"/>
      <c r="P169" s="154"/>
      <c r="Q169" s="154"/>
      <c r="R169" s="154"/>
      <c r="W169" s="13"/>
      <c r="Y169" s="22"/>
      <c r="AB169" s="121"/>
      <c r="AD169" s="101" t="s">
        <v>2</v>
      </c>
      <c r="AE169" s="102"/>
      <c r="AF169" s="132">
        <f>M145</f>
        <v>2013</v>
      </c>
      <c r="AG169" s="132">
        <f>N145</f>
        <v>2014</v>
      </c>
      <c r="AH169" s="132">
        <f>O145</f>
        <v>2015</v>
      </c>
      <c r="AI169" s="132">
        <f>P145</f>
        <v>2016</v>
      </c>
      <c r="AJ169" s="132">
        <f>Q145</f>
        <v>2017</v>
      </c>
      <c r="AK169" s="35"/>
    </row>
    <row r="170" spans="1:38" ht="18.75" customHeight="1" thickBot="1" x14ac:dyDescent="0.25">
      <c r="B170" s="43"/>
      <c r="C170" s="19"/>
      <c r="D170" s="128" t="s">
        <v>84</v>
      </c>
      <c r="E170" s="129"/>
      <c r="F170" s="18"/>
      <c r="G170" s="18"/>
      <c r="H170" s="18"/>
      <c r="I170" s="18"/>
      <c r="J170" s="18"/>
      <c r="K170" s="18"/>
      <c r="L170" s="17"/>
      <c r="M170" s="18"/>
      <c r="N170" s="18"/>
      <c r="O170" s="18"/>
      <c r="P170" s="18"/>
      <c r="Q170" s="18"/>
      <c r="R170" s="18"/>
      <c r="T170" s="98" t="s">
        <v>4</v>
      </c>
      <c r="U170" s="99"/>
      <c r="V170" s="99"/>
      <c r="W170" s="112"/>
      <c r="Y170" s="103" t="s">
        <v>85</v>
      </c>
      <c r="Z170" s="114"/>
      <c r="AA170" s="114"/>
      <c r="AB170" s="123"/>
      <c r="AD170" s="27" t="s">
        <v>20</v>
      </c>
      <c r="AE170" s="28"/>
      <c r="AF170" s="33" t="str">
        <f t="shared" ref="AF170:AF171" si="54">IF(OR(M160="",M163="",M160=0,M163=0),"",M160/M163)</f>
        <v/>
      </c>
      <c r="AG170" s="33" t="str">
        <f t="shared" ref="AG170:AG171" si="55">IF(OR(N160="",N163="",N160=0,N163=0),"",N160/N163)</f>
        <v/>
      </c>
      <c r="AH170" s="33" t="str">
        <f t="shared" ref="AH170:AH171" si="56">IF(OR(O160="",O163="",O160=0,O163=0),"",O160/O163)</f>
        <v/>
      </c>
      <c r="AI170" s="33" t="str">
        <f t="shared" ref="AI170:AI171" si="57">IF(OR(P160="",P163="",P160=0,P163=0),"",P160/P163)</f>
        <v/>
      </c>
      <c r="AJ170" s="33" t="str">
        <f t="shared" ref="AJ170:AJ171" si="58">IF(OR(Q160="",Q163="",Q160=0,Q163=0),"",Q160/Q163)</f>
        <v/>
      </c>
      <c r="AK170" s="35"/>
    </row>
    <row r="171" spans="1:38" ht="18.75" customHeight="1" thickBot="1" x14ac:dyDescent="0.25">
      <c r="B171" s="43"/>
      <c r="C171" s="19"/>
      <c r="D171" s="237" t="s">
        <v>86</v>
      </c>
      <c r="E171" s="238"/>
      <c r="F171" s="157"/>
      <c r="G171" s="157"/>
      <c r="H171" s="157"/>
      <c r="I171" s="157"/>
      <c r="J171" s="157"/>
      <c r="K171" s="18"/>
      <c r="L171" s="17"/>
      <c r="M171" s="157"/>
      <c r="N171" s="157"/>
      <c r="O171" s="157"/>
      <c r="P171" s="157"/>
      <c r="Q171" s="157"/>
      <c r="R171" s="157"/>
      <c r="T171" s="91" t="s">
        <v>26</v>
      </c>
      <c r="U171" s="91"/>
      <c r="V171" s="92"/>
      <c r="W171" s="111" t="e">
        <f>R150/AVERAGE(G166:J166)</f>
        <v>#DIV/0!</v>
      </c>
      <c r="Y171" s="49" t="s">
        <v>87</v>
      </c>
      <c r="Z171" s="49"/>
      <c r="AA171" s="97"/>
      <c r="AB171" s="105" t="e">
        <f>AVERAGE(O169:Q169)</f>
        <v>#DIV/0!</v>
      </c>
      <c r="AD171" s="27" t="s">
        <v>21</v>
      </c>
      <c r="AE171" s="28"/>
      <c r="AF171" s="33" t="str">
        <f t="shared" si="54"/>
        <v/>
      </c>
      <c r="AG171" s="33" t="str">
        <f t="shared" si="55"/>
        <v/>
      </c>
      <c r="AH171" s="33" t="str">
        <f t="shared" si="56"/>
        <v/>
      </c>
      <c r="AI171" s="33" t="str">
        <f t="shared" si="57"/>
        <v/>
      </c>
      <c r="AJ171" s="33" t="str">
        <f t="shared" si="58"/>
        <v/>
      </c>
      <c r="AK171" s="35"/>
    </row>
    <row r="172" spans="1:38" ht="18.75" customHeight="1" x14ac:dyDescent="0.2">
      <c r="B172" s="40"/>
      <c r="C172" s="11"/>
      <c r="T172" s="91" t="s">
        <v>27</v>
      </c>
      <c r="U172" s="91"/>
      <c r="V172" s="92"/>
      <c r="W172" s="111" t="e">
        <f>R150/AVERAGE(G161:J161)</f>
        <v>#DIV/0!</v>
      </c>
      <c r="Y172" s="22" t="s">
        <v>88</v>
      </c>
      <c r="Z172" s="22"/>
      <c r="AB172" s="124" t="e">
        <f>ABS(AVERAGE(O170:Q170))</f>
        <v>#DIV/0!</v>
      </c>
      <c r="AD172" s="27" t="s">
        <v>22</v>
      </c>
      <c r="AE172" s="28"/>
      <c r="AF172" s="33" t="str">
        <f>IF(OR(M166="",M164="",M164=0,M166=0),"",M166/M164)</f>
        <v/>
      </c>
      <c r="AG172" s="33" t="str">
        <f>IF(OR(N166="",N164="",N164=0,N166=0),"",N166/N164)</f>
        <v/>
      </c>
      <c r="AH172" s="33" t="str">
        <f>IF(OR(O166="",O164="",O164=0,O166=0),"",O166/O164)</f>
        <v/>
      </c>
      <c r="AI172" s="33" t="str">
        <f>IF(OR(P166="",P164="",P164=0,P166=0),"",P166/P164)</f>
        <v/>
      </c>
      <c r="AJ172" s="33" t="str">
        <f>IF(OR(Q166="",Q164="",Q164=0,Q166=0),"",Q166/Q164)</f>
        <v/>
      </c>
    </row>
    <row r="173" spans="1:38" ht="18.75" customHeight="1" x14ac:dyDescent="0.2">
      <c r="B173" s="40"/>
      <c r="C173" s="11"/>
      <c r="T173" s="91" t="s">
        <v>89</v>
      </c>
      <c r="U173" s="91"/>
      <c r="V173" s="92"/>
      <c r="W173" s="111" t="e">
        <f>R149/(AVERAGE(G166:J166)+(AVERAGE(G161:J161)-AVERAGE(G163:J163)))</f>
        <v>#DIV/0!</v>
      </c>
      <c r="Y173" s="22" t="s">
        <v>90</v>
      </c>
      <c r="Z173" s="22"/>
      <c r="AA173" s="23"/>
      <c r="AB173" s="105" t="e">
        <f>AVERAGE(O171:Q171)</f>
        <v>#DIV/0!</v>
      </c>
    </row>
    <row r="174" spans="1:38" ht="18.75" customHeight="1" x14ac:dyDescent="0.2">
      <c r="B174" s="43"/>
      <c r="C174" s="19"/>
      <c r="T174" s="91" t="s">
        <v>28</v>
      </c>
      <c r="U174" s="91"/>
      <c r="V174" s="92"/>
      <c r="W174" s="108" t="e">
        <f>R146/AVERAGE(G161:J161)</f>
        <v>#DIV/0!</v>
      </c>
      <c r="Y174" s="48"/>
      <c r="AB174" s="48"/>
      <c r="AK174" s="37"/>
    </row>
    <row r="175" spans="1:38" s="175" customFormat="1" ht="18.75" customHeight="1" thickBot="1" x14ac:dyDescent="0.35">
      <c r="A175" s="166"/>
      <c r="B175" s="167"/>
      <c r="C175" s="168"/>
      <c r="D175" s="169"/>
      <c r="E175" s="168"/>
      <c r="F175" s="170"/>
      <c r="G175" s="170"/>
      <c r="H175" s="170"/>
      <c r="I175" s="170"/>
      <c r="J175" s="170"/>
      <c r="K175" s="170"/>
      <c r="L175" s="171"/>
      <c r="M175" s="172"/>
      <c r="N175" s="173"/>
      <c r="O175" s="173"/>
      <c r="P175" s="173"/>
      <c r="Q175" s="171"/>
      <c r="R175" s="171"/>
      <c r="S175" s="168"/>
      <c r="T175" s="174"/>
      <c r="Y175" s="174"/>
      <c r="AB175" s="176"/>
      <c r="AD175" s="174"/>
    </row>
    <row r="176" spans="1:38" s="138" customFormat="1" ht="18.75" customHeight="1" thickBot="1" x14ac:dyDescent="0.25">
      <c r="D176" s="163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T176" s="163"/>
      <c r="Y176" s="163"/>
      <c r="AB176" s="165"/>
      <c r="AD176" s="163"/>
    </row>
    <row r="177" spans="1:41" s="153" customFormat="1" ht="18.75" customHeight="1" thickBot="1" x14ac:dyDescent="0.3">
      <c r="A177" s="139">
        <v>6</v>
      </c>
      <c r="B177" s="140"/>
      <c r="C177" s="141"/>
      <c r="D177" s="142"/>
      <c r="E177" s="143"/>
      <c r="F177" s="144"/>
      <c r="G177" s="145"/>
      <c r="H177" s="145"/>
      <c r="I177" s="145"/>
      <c r="J177" s="145"/>
      <c r="K177" s="252"/>
      <c r="L177" s="159"/>
      <c r="M177" s="147"/>
      <c r="N177" s="148"/>
      <c r="O177" s="148"/>
      <c r="P177" s="148"/>
      <c r="Q177" s="148"/>
      <c r="R177" s="148"/>
      <c r="S177" s="148"/>
      <c r="T177" s="161" t="s">
        <v>7</v>
      </c>
      <c r="U177" s="258" t="s">
        <v>34</v>
      </c>
      <c r="V177" s="259"/>
      <c r="W177" s="162"/>
      <c r="X177" s="148"/>
      <c r="Y177" s="149"/>
      <c r="Z177" s="148"/>
      <c r="AA177" s="148"/>
      <c r="AB177" s="150"/>
      <c r="AC177" s="151"/>
      <c r="AD177" s="152"/>
      <c r="AE177" s="146"/>
      <c r="AF177" s="146"/>
      <c r="AG177" s="151"/>
      <c r="AH177" s="151"/>
      <c r="AI177" s="151"/>
      <c r="AJ177" s="151"/>
      <c r="AK177" s="151"/>
      <c r="AL177" s="151"/>
      <c r="AM177" s="151"/>
      <c r="AN177" s="146"/>
      <c r="AO177" s="146"/>
    </row>
    <row r="178" spans="1:41" ht="10.5" customHeight="1" x14ac:dyDescent="0.25">
      <c r="B178" s="39"/>
      <c r="C178" s="8"/>
      <c r="D178" s="9"/>
      <c r="E178" s="59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50"/>
      <c r="U178" s="10"/>
      <c r="V178" s="10"/>
      <c r="W178" s="10"/>
      <c r="X178" s="10"/>
      <c r="Y178" s="50"/>
      <c r="Z178" s="10"/>
      <c r="AA178" s="10"/>
      <c r="AB178" s="60"/>
      <c r="AC178" s="10"/>
      <c r="AD178" s="50"/>
      <c r="AE178" s="10"/>
      <c r="AF178" s="10"/>
      <c r="AG178" s="10"/>
      <c r="AH178" s="10"/>
      <c r="AI178" s="10"/>
      <c r="AJ178" s="10"/>
      <c r="AK178" s="10"/>
      <c r="AL178" s="10"/>
      <c r="AM178" s="10"/>
    </row>
    <row r="179" spans="1:41" ht="18.75" customHeight="1" thickBot="1" x14ac:dyDescent="0.25">
      <c r="B179" s="40"/>
      <c r="C179" s="11"/>
      <c r="D179" s="130" t="s">
        <v>36</v>
      </c>
      <c r="E179" s="131"/>
      <c r="F179" s="239" t="s">
        <v>37</v>
      </c>
      <c r="G179" s="239" t="s">
        <v>38</v>
      </c>
      <c r="H179" s="239" t="s">
        <v>39</v>
      </c>
      <c r="I179" s="239" t="s">
        <v>40</v>
      </c>
      <c r="J179" s="239" t="s">
        <v>41</v>
      </c>
      <c r="K179" s="249"/>
      <c r="L179" s="155"/>
      <c r="M179" s="239">
        <v>2013</v>
      </c>
      <c r="N179" s="239">
        <v>2014</v>
      </c>
      <c r="O179" s="239">
        <v>2015</v>
      </c>
      <c r="P179" s="239">
        <v>2016</v>
      </c>
      <c r="Q179" s="239">
        <v>2017</v>
      </c>
      <c r="R179" s="239" t="s">
        <v>42</v>
      </c>
      <c r="T179" s="98" t="s">
        <v>0</v>
      </c>
      <c r="U179" s="99"/>
      <c r="V179" s="99"/>
      <c r="W179" s="100"/>
      <c r="X179" s="12"/>
      <c r="Y179" s="98" t="s">
        <v>5</v>
      </c>
      <c r="Z179" s="99"/>
      <c r="AA179" s="113"/>
      <c r="AB179" s="116" t="s">
        <v>43</v>
      </c>
      <c r="AC179" s="12"/>
      <c r="AD179" s="103" t="s">
        <v>44</v>
      </c>
      <c r="AE179" s="114"/>
      <c r="AF179" s="113"/>
      <c r="AG179" s="132">
        <f>N179</f>
        <v>2014</v>
      </c>
      <c r="AH179" s="132">
        <f>O179</f>
        <v>2015</v>
      </c>
      <c r="AI179" s="132">
        <f>P179</f>
        <v>2016</v>
      </c>
      <c r="AJ179" s="132">
        <f>Q179</f>
        <v>2017</v>
      </c>
      <c r="AK179" s="13"/>
      <c r="AL179" s="14"/>
      <c r="AN179" s="15"/>
      <c r="AO179" s="55"/>
    </row>
    <row r="180" spans="1:41" ht="18.75" customHeight="1" x14ac:dyDescent="0.2">
      <c r="A180" s="41"/>
      <c r="B180" s="42"/>
      <c r="C180" s="16"/>
      <c r="D180" s="235" t="s">
        <v>29</v>
      </c>
      <c r="E180" s="236"/>
      <c r="F180" s="154"/>
      <c r="G180" s="154"/>
      <c r="H180" s="154"/>
      <c r="I180" s="154"/>
      <c r="J180" s="154"/>
      <c r="K180" s="18"/>
      <c r="L180" s="17"/>
      <c r="M180" s="154"/>
      <c r="N180" s="154"/>
      <c r="O180" s="154"/>
      <c r="P180" s="154"/>
      <c r="Q180" s="154"/>
      <c r="R180" s="154"/>
      <c r="T180" s="22" t="s">
        <v>8</v>
      </c>
      <c r="U180" s="90"/>
      <c r="V180" s="90"/>
      <c r="W180" s="104">
        <v>5.42</v>
      </c>
      <c r="X180" s="61"/>
      <c r="Y180" s="22" t="s">
        <v>29</v>
      </c>
      <c r="Z180" s="22"/>
      <c r="AA180" s="23"/>
      <c r="AB180" s="111" t="e">
        <f>IF(AB179="Year over Year",AJ180,IF(AB179="3-Year Average",AVERAGE(AI180:AJ180),IF(AB179="5-Year Average",AVERAGE(AG180:AJ180),"")))</f>
        <v>#DIV/0!</v>
      </c>
      <c r="AC180" s="62"/>
      <c r="AD180" s="22" t="s">
        <v>45</v>
      </c>
      <c r="AE180" s="23"/>
      <c r="AF180" s="24"/>
      <c r="AG180" s="63" t="str">
        <f>IF(AND(N180&gt;0,M180&gt;0,M180&lt;&gt;""),N180/M180-1,IF(AND(M180&lt;0,N180&lt;0,M180&lt;&gt;""),(N180-M180)/ABS(M180),IF(AND(M180&gt;0,N180&lt;0,M180&lt;&gt;""),"L",IF(AND(M180&lt;0,N180&gt;0,M180&lt;&gt;""),"P",""))))</f>
        <v/>
      </c>
      <c r="AH180" s="63" t="str">
        <f>IF(AND(O180&gt;0,N180&gt;0,N180&lt;&gt;""),O180/N180-1,IF(AND(N180&lt;0,O180&lt;0,N180&lt;&gt;""),(O180-N180)/ABS(N180),IF(AND(N180&gt;0,O180&lt;0,N180&lt;&gt;""),"L",IF(AND(N180&lt;0,O180&gt;0,N180&lt;&gt;""),"P",""))))</f>
        <v/>
      </c>
      <c r="AI180" s="63" t="str">
        <f>IF(AND(P180&gt;0,O180&gt;0,O180&lt;&gt;""),P180/O180-1,IF(AND(O180&lt;0,P180&lt;0,O180&lt;&gt;""),(P180-O180)/ABS(O180),IF(AND(O180&gt;0,P180&lt;0,O180&lt;&gt;""),"L",IF(AND(O180&lt;0,P180&gt;0,O180&lt;&gt;""),"P",""))))</f>
        <v/>
      </c>
      <c r="AJ180" s="63" t="str">
        <f>IF(AND(Q180&gt;0,P180&gt;0,P180&lt;&gt;""),Q180/P180-1,IF(AND(P180&lt;0,Q180&lt;0,P180&lt;&gt;""),(Q180-P180)/ABS(P180),IF(AND(P180&gt;0,Q180&lt;0,P180&lt;&gt;""),"L",IF(AND(P180&lt;0,Q180&gt;0,P180&lt;&gt;""),"P",""))))</f>
        <v/>
      </c>
    </row>
    <row r="181" spans="1:41" ht="18.75" customHeight="1" x14ac:dyDescent="0.2">
      <c r="A181" s="41"/>
      <c r="B181" s="42"/>
      <c r="C181" s="16"/>
      <c r="D181" s="128" t="s">
        <v>46</v>
      </c>
      <c r="E181" s="129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T181" s="91" t="s">
        <v>9</v>
      </c>
      <c r="U181" s="92"/>
      <c r="V181" s="93"/>
      <c r="W181" s="105">
        <f>W180*R188</f>
        <v>0</v>
      </c>
      <c r="X181" s="61"/>
      <c r="Y181" s="22" t="s">
        <v>47</v>
      </c>
      <c r="Z181" s="22"/>
      <c r="AA181" s="23"/>
      <c r="AB181" s="111" t="e">
        <f>IF(AB179="Year over Year",AJ181,IF(AB179="3-Year Average",AVERAGE(AI181:AJ181),IF(AB179="5-Year Average",AVERAGE(AG181:AJ181),"")))</f>
        <v>#DIV/0!</v>
      </c>
      <c r="AC181" s="62"/>
      <c r="AD181" s="22" t="s">
        <v>30</v>
      </c>
      <c r="AE181" s="23"/>
      <c r="AF181" s="24"/>
      <c r="AG181" s="63" t="str">
        <f t="shared" ref="AG181:AG183" si="59">IF(AND(N183&gt;0,M183&gt;0,M183&lt;&gt;""),N183/M183-1,IF(AND(M183&lt;0,N183&lt;0,M183&lt;&gt;""),(N183-M183)/ABS(M183),IF(AND(M183&gt;0,N183&lt;0,M183&lt;&gt;""),"L",IF(AND(M183&lt;0,N183&gt;0,M183&lt;&gt;""),"P",""))))</f>
        <v/>
      </c>
      <c r="AH181" s="63" t="str">
        <f t="shared" ref="AH181:AH183" si="60">IF(AND(O183&gt;0,N183&gt;0,N183&lt;&gt;""),O183/N183-1,IF(AND(N183&lt;0,O183&lt;0,N183&lt;&gt;""),(O183-N183)/ABS(N183),IF(AND(N183&gt;0,O183&lt;0,N183&lt;&gt;""),"L",IF(AND(N183&lt;0,O183&gt;0,N183&lt;&gt;""),"P",""))))</f>
        <v/>
      </c>
      <c r="AI181" s="63" t="str">
        <f t="shared" ref="AI181:AI183" si="61">IF(AND(P183&gt;0,O183&gt;0,O183&lt;&gt;""),P183/O183-1,IF(AND(O183&lt;0,P183&lt;0,O183&lt;&gt;""),(P183-O183)/ABS(O183),IF(AND(O183&gt;0,P183&lt;0,O183&lt;&gt;""),"L",IF(AND(O183&lt;0,P183&gt;0,O183&lt;&gt;""),"P",""))))</f>
        <v/>
      </c>
      <c r="AJ181" s="63" t="str">
        <f t="shared" ref="AJ181:AJ183" si="62">IF(AND(Q183&gt;0,P183&gt;0,P183&lt;&gt;""),Q183/P183-1,IF(AND(P183&lt;0,Q183&lt;0,P183&lt;&gt;""),(Q183-P183)/ABS(P183),IF(AND(P183&gt;0,Q183&lt;0,P183&lt;&gt;""),"L",IF(AND(P183&lt;0,Q183&gt;0,P183&lt;&gt;""),"P",""))))</f>
        <v/>
      </c>
    </row>
    <row r="182" spans="1:41" ht="18.75" customHeight="1" x14ac:dyDescent="0.2">
      <c r="B182" s="42"/>
      <c r="C182" s="16"/>
      <c r="D182" s="128" t="s">
        <v>48</v>
      </c>
      <c r="E182" s="129"/>
      <c r="F182" s="18"/>
      <c r="G182" s="18"/>
      <c r="H182" s="18"/>
      <c r="I182" s="18"/>
      <c r="J182" s="18"/>
      <c r="K182" s="18"/>
      <c r="L182" s="17"/>
      <c r="M182" s="18"/>
      <c r="N182" s="18"/>
      <c r="O182" s="18"/>
      <c r="P182" s="18"/>
      <c r="Q182" s="18"/>
      <c r="R182" s="18"/>
      <c r="T182" s="91" t="s">
        <v>10</v>
      </c>
      <c r="U182" s="92"/>
      <c r="V182" s="94"/>
      <c r="W182" s="105">
        <f>W181+(J196+J198)-J192</f>
        <v>0</v>
      </c>
      <c r="X182" s="62"/>
      <c r="Y182" s="22" t="s">
        <v>31</v>
      </c>
      <c r="Z182" s="22"/>
      <c r="AB182" s="111" t="e">
        <f>IF(AB179="Year over Year",AJ182,IF(AB179="3-Year Average",AVERAGE(AI182:AJ182),IF(AB179="5-Year Average",AVERAGE(AG182:AJ182),"")))</f>
        <v>#DIV/0!</v>
      </c>
      <c r="AC182" s="62"/>
      <c r="AD182" s="22" t="s">
        <v>49</v>
      </c>
      <c r="AE182" s="23"/>
      <c r="AF182" s="24"/>
      <c r="AG182" s="63" t="str">
        <f t="shared" si="59"/>
        <v/>
      </c>
      <c r="AH182" s="63" t="str">
        <f t="shared" si="60"/>
        <v/>
      </c>
      <c r="AI182" s="63" t="str">
        <f t="shared" si="61"/>
        <v/>
      </c>
      <c r="AJ182" s="63" t="str">
        <f t="shared" si="62"/>
        <v/>
      </c>
    </row>
    <row r="183" spans="1:41" ht="18.75" customHeight="1" x14ac:dyDescent="0.2">
      <c r="B183" s="42"/>
      <c r="C183" s="16"/>
      <c r="D183" s="128" t="s">
        <v>50</v>
      </c>
      <c r="E183" s="129"/>
      <c r="F183" s="18"/>
      <c r="G183" s="18"/>
      <c r="H183" s="18"/>
      <c r="I183" s="18"/>
      <c r="J183" s="18"/>
      <c r="K183" s="18"/>
      <c r="L183" s="20"/>
      <c r="M183" s="18"/>
      <c r="N183" s="18"/>
      <c r="O183" s="18"/>
      <c r="P183" s="18"/>
      <c r="Q183" s="18"/>
      <c r="R183" s="18"/>
      <c r="T183" s="91" t="s">
        <v>11</v>
      </c>
      <c r="U183" s="92"/>
      <c r="V183" s="94"/>
      <c r="W183" s="105">
        <f>J195-J199</f>
        <v>0</v>
      </c>
      <c r="X183" s="61"/>
      <c r="Y183" s="22" t="s">
        <v>32</v>
      </c>
      <c r="Z183" s="22"/>
      <c r="AA183" s="23"/>
      <c r="AB183" s="111" t="e">
        <f>IF(AB179="Year over Year",AJ183,IF(AB179="3-Year Average",AVERAGE(AI183:AJ183),IF(AB179="5-Year Average",AVERAGE(AG183:AJ183),"")))</f>
        <v>#DIV/0!</v>
      </c>
      <c r="AC183" s="62"/>
      <c r="AD183" s="22" t="s">
        <v>51</v>
      </c>
      <c r="AE183" s="23"/>
      <c r="AF183" s="24"/>
      <c r="AG183" s="63" t="str">
        <f t="shared" si="59"/>
        <v/>
      </c>
      <c r="AH183" s="63" t="str">
        <f t="shared" si="60"/>
        <v/>
      </c>
      <c r="AI183" s="63" t="str">
        <f t="shared" si="61"/>
        <v/>
      </c>
      <c r="AJ183" s="63" t="str">
        <f t="shared" si="62"/>
        <v/>
      </c>
    </row>
    <row r="184" spans="1:41" ht="18.75" customHeight="1" x14ac:dyDescent="0.2">
      <c r="B184" s="42"/>
      <c r="C184" s="16"/>
      <c r="D184" s="128" t="s">
        <v>52</v>
      </c>
      <c r="E184" s="129"/>
      <c r="F184" s="18"/>
      <c r="G184" s="18"/>
      <c r="H184" s="18"/>
      <c r="I184" s="18"/>
      <c r="J184" s="18"/>
      <c r="K184" s="18"/>
      <c r="L184" s="17"/>
      <c r="M184" s="18"/>
      <c r="N184" s="18"/>
      <c r="O184" s="18"/>
      <c r="P184" s="18"/>
      <c r="Q184" s="18"/>
      <c r="R184" s="18"/>
      <c r="T184" s="91" t="s">
        <v>53</v>
      </c>
      <c r="U184" s="92"/>
      <c r="V184" s="93"/>
      <c r="W184" s="106" t="str">
        <f>IF(W181&gt;10000,"Large Cap",IF(AND(10000&gt;W181,2000&lt;W181),"Mid Cap",IF(AND(2000&gt;W181,W181&gt;50),"Small Cap",IF(W181&lt;50,"Micro Cap",NA))))</f>
        <v>Micro Cap</v>
      </c>
      <c r="X184" s="61"/>
      <c r="AB184" s="117"/>
      <c r="AC184" s="21"/>
    </row>
    <row r="185" spans="1:41" ht="18.75" customHeight="1" thickBot="1" x14ac:dyDescent="0.25">
      <c r="B185" s="42"/>
      <c r="C185" s="16"/>
      <c r="D185" s="128" t="s">
        <v>54</v>
      </c>
      <c r="E185" s="129"/>
      <c r="F185" s="18"/>
      <c r="G185" s="18"/>
      <c r="H185" s="18"/>
      <c r="I185" s="18"/>
      <c r="J185" s="18"/>
      <c r="K185" s="18"/>
      <c r="L185" s="25"/>
      <c r="M185" s="18"/>
      <c r="N185" s="18"/>
      <c r="O185" s="18"/>
      <c r="P185" s="18"/>
      <c r="Q185" s="18"/>
      <c r="R185" s="18"/>
      <c r="T185" s="22" t="s">
        <v>55</v>
      </c>
      <c r="W185" s="107"/>
      <c r="X185" s="62"/>
      <c r="Y185" s="103" t="s">
        <v>2</v>
      </c>
      <c r="Z185" s="114"/>
      <c r="AA185" s="115"/>
      <c r="AB185" s="118"/>
      <c r="AD185" s="101" t="s">
        <v>56</v>
      </c>
      <c r="AE185" s="102"/>
      <c r="AF185" s="133">
        <f>M179</f>
        <v>2013</v>
      </c>
      <c r="AG185" s="133">
        <f>N179</f>
        <v>2014</v>
      </c>
      <c r="AH185" s="133">
        <f>O179</f>
        <v>2015</v>
      </c>
      <c r="AI185" s="133">
        <f>P179</f>
        <v>2016</v>
      </c>
      <c r="AJ185" s="133">
        <f>Q179</f>
        <v>2017</v>
      </c>
    </row>
    <row r="186" spans="1:41" ht="18.75" hidden="1" customHeight="1" x14ac:dyDescent="0.2">
      <c r="B186" s="42"/>
      <c r="C186" s="16"/>
      <c r="D186" s="128"/>
      <c r="E186" s="129"/>
      <c r="F186" s="18"/>
      <c r="G186" s="18"/>
      <c r="H186" s="18"/>
      <c r="I186" s="18"/>
      <c r="J186" s="18"/>
      <c r="K186" s="18"/>
      <c r="L186" s="25"/>
      <c r="M186" s="18"/>
      <c r="N186" s="18"/>
      <c r="O186" s="18"/>
      <c r="P186" s="18"/>
      <c r="Q186" s="18"/>
      <c r="R186" s="18"/>
      <c r="T186" s="22"/>
      <c r="W186" s="95"/>
      <c r="X186" s="62"/>
      <c r="Y186" s="52"/>
      <c r="Z186" s="53"/>
      <c r="AA186" s="96"/>
      <c r="AB186" s="119"/>
      <c r="AD186" s="54"/>
      <c r="AE186" s="55"/>
      <c r="AF186" s="56"/>
      <c r="AG186" s="56"/>
      <c r="AH186" s="56"/>
      <c r="AI186" s="56"/>
      <c r="AJ186" s="56"/>
    </row>
    <row r="187" spans="1:41" ht="18.75" hidden="1" customHeight="1" x14ac:dyDescent="0.2">
      <c r="B187" s="42"/>
      <c r="C187" s="16"/>
      <c r="D187" s="128"/>
      <c r="E187" s="129"/>
      <c r="F187" s="18"/>
      <c r="G187" s="18"/>
      <c r="H187" s="18"/>
      <c r="I187" s="18"/>
      <c r="J187" s="18"/>
      <c r="K187" s="18"/>
      <c r="L187" s="25"/>
      <c r="M187" s="18"/>
      <c r="N187" s="18"/>
      <c r="O187" s="18"/>
      <c r="P187" s="18"/>
      <c r="Q187" s="18"/>
      <c r="R187" s="18"/>
      <c r="T187" s="22"/>
      <c r="W187" s="95"/>
      <c r="X187" s="62"/>
      <c r="Y187" s="52"/>
      <c r="Z187" s="53"/>
      <c r="AA187" s="96"/>
      <c r="AB187" s="119"/>
      <c r="AD187" s="54"/>
      <c r="AE187" s="55"/>
      <c r="AF187" s="56"/>
      <c r="AG187" s="56"/>
      <c r="AH187" s="56"/>
      <c r="AI187" s="56"/>
      <c r="AJ187" s="56"/>
    </row>
    <row r="188" spans="1:41" ht="18.75" customHeight="1" x14ac:dyDescent="0.2">
      <c r="B188" s="42"/>
      <c r="C188" s="16"/>
      <c r="D188" s="128" t="s">
        <v>57</v>
      </c>
      <c r="E188" s="129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T188" s="48"/>
      <c r="Y188" s="91" t="s">
        <v>20</v>
      </c>
      <c r="Z188" s="91"/>
      <c r="AA188" s="92"/>
      <c r="AB188" s="108" t="e">
        <f>AVERAGE(G194:J194)/AVERAGE(G197:J197)</f>
        <v>#DIV/0!</v>
      </c>
      <c r="AD188" s="27" t="s">
        <v>29</v>
      </c>
      <c r="AE188" s="28"/>
      <c r="AF188" s="29" t="str">
        <f>IF(M180="","",M180)</f>
        <v/>
      </c>
      <c r="AG188" s="29" t="str">
        <f>IF(N180="","",N180)</f>
        <v/>
      </c>
      <c r="AH188" s="29" t="str">
        <f>IF(O180="","",O180)</f>
        <v/>
      </c>
      <c r="AI188" s="29" t="str">
        <f>IF(P180="","",P180)</f>
        <v/>
      </c>
      <c r="AJ188" s="29" t="str">
        <f>IF(Q180="","",Q180)</f>
        <v/>
      </c>
    </row>
    <row r="189" spans="1:41" ht="18.75" customHeight="1" thickBot="1" x14ac:dyDescent="0.25">
      <c r="B189" s="42"/>
      <c r="C189" s="16"/>
      <c r="D189" s="237" t="s">
        <v>58</v>
      </c>
      <c r="E189" s="238"/>
      <c r="F189" s="157"/>
      <c r="G189" s="157"/>
      <c r="H189" s="157"/>
      <c r="I189" s="157"/>
      <c r="J189" s="157"/>
      <c r="K189" s="18"/>
      <c r="L189" s="20"/>
      <c r="M189" s="157"/>
      <c r="N189" s="157"/>
      <c r="O189" s="157"/>
      <c r="P189" s="157"/>
      <c r="Q189" s="157"/>
      <c r="R189" s="157"/>
      <c r="T189" s="98" t="s">
        <v>59</v>
      </c>
      <c r="U189" s="99"/>
      <c r="V189" s="99"/>
      <c r="W189" s="99"/>
      <c r="Y189" s="22" t="s">
        <v>21</v>
      </c>
      <c r="Z189" s="22"/>
      <c r="AA189" s="90"/>
      <c r="AB189" s="108" t="e">
        <f>AVERAGE(G195:J195)/AVERAGE(G200:J200)</f>
        <v>#DIV/0!</v>
      </c>
      <c r="AD189" s="27" t="s">
        <v>60</v>
      </c>
      <c r="AE189" s="28"/>
      <c r="AF189" s="64" t="str">
        <f>IF(OR(M180="",M182=""),"",M182/M180)</f>
        <v/>
      </c>
      <c r="AG189" s="64" t="str">
        <f>IF(OR(N180="",N182=""),"",N182/N180)</f>
        <v/>
      </c>
      <c r="AH189" s="64" t="str">
        <f>IF(OR(O180="",O182=""),"",O182/O180)</f>
        <v/>
      </c>
      <c r="AI189" s="64" t="str">
        <f>IF(OR(P180="",P182=""),"",P182/P180)</f>
        <v/>
      </c>
      <c r="AJ189" s="64" t="str">
        <f>IF(OR(Q180="",Q182=""),"",Q182/Q180)</f>
        <v/>
      </c>
    </row>
    <row r="190" spans="1:41" ht="18.75" customHeight="1" x14ac:dyDescent="0.2">
      <c r="B190" s="43"/>
      <c r="C190" s="19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T190" s="91" t="s">
        <v>13</v>
      </c>
      <c r="U190" s="91"/>
      <c r="V190" s="92"/>
      <c r="W190" s="108" t="str">
        <f>IF(R185&gt;0,W180/R185,"")</f>
        <v/>
      </c>
      <c r="Y190" s="22" t="s">
        <v>22</v>
      </c>
      <c r="Z190" s="22"/>
      <c r="AA190" s="90"/>
      <c r="AB190" s="108" t="e">
        <f>AVERAGE(G198:J198)/AVERAGE(G200:J200)</f>
        <v>#DIV/0!</v>
      </c>
      <c r="AD190" s="27" t="s">
        <v>47</v>
      </c>
      <c r="AE190" s="28"/>
      <c r="AF190" s="29" t="str">
        <f>IF(M183="","",M183)</f>
        <v/>
      </c>
      <c r="AG190" s="29" t="str">
        <f>IF(N183="","",N183)</f>
        <v/>
      </c>
      <c r="AH190" s="29" t="str">
        <f>IF(O183="","",O183)</f>
        <v/>
      </c>
      <c r="AI190" s="29" t="str">
        <f>IF(P183="","",P183)</f>
        <v/>
      </c>
      <c r="AJ190" s="29" t="str">
        <f>IF(Q183="","",Q183)</f>
        <v/>
      </c>
    </row>
    <row r="191" spans="1:41" ht="18.75" customHeight="1" thickBot="1" x14ac:dyDescent="0.3">
      <c r="B191" s="44"/>
      <c r="C191" s="26"/>
      <c r="D191" s="130" t="s">
        <v>61</v>
      </c>
      <c r="E191" s="131"/>
      <c r="F191" s="240" t="str">
        <f>F179</f>
        <v>2016-10</v>
      </c>
      <c r="G191" s="240" t="str">
        <f>G179</f>
        <v>2017-01</v>
      </c>
      <c r="H191" s="240" t="str">
        <f>H179</f>
        <v>2017-04</v>
      </c>
      <c r="I191" s="240" t="str">
        <f>I179</f>
        <v>2017-07</v>
      </c>
      <c r="J191" s="240" t="str">
        <f>J179</f>
        <v>2017-10</v>
      </c>
      <c r="K191" s="253"/>
      <c r="L191" s="155"/>
      <c r="M191" s="241">
        <f>M179</f>
        <v>2013</v>
      </c>
      <c r="N191" s="241">
        <f>N179</f>
        <v>2014</v>
      </c>
      <c r="O191" s="241">
        <f>O179</f>
        <v>2015</v>
      </c>
      <c r="P191" s="241">
        <f>P179</f>
        <v>2016</v>
      </c>
      <c r="Q191" s="241">
        <f>Q179</f>
        <v>2017</v>
      </c>
      <c r="R191" s="242"/>
      <c r="T191" s="91" t="s">
        <v>15</v>
      </c>
      <c r="U191" s="91"/>
      <c r="V191" s="92"/>
      <c r="W191" s="108" t="e">
        <f>W180/((J195-J199)/J188)</f>
        <v>#DIV/0!</v>
      </c>
      <c r="X191" s="65"/>
      <c r="Y191" s="48"/>
      <c r="AB191" s="13"/>
      <c r="AD191" s="27" t="s">
        <v>62</v>
      </c>
      <c r="AE191" s="28"/>
      <c r="AF191" s="64" t="str">
        <f>IF(OR(M180="",M183=""),"",M183/M180)</f>
        <v/>
      </c>
      <c r="AG191" s="64" t="str">
        <f>IF(OR(N180="",N183=""),"",N183/N180)</f>
        <v/>
      </c>
      <c r="AH191" s="64" t="str">
        <f>IF(OR(O180="",O183=""),"",O183/O180)</f>
        <v/>
      </c>
      <c r="AI191" s="64" t="str">
        <f>IF(OR(P180="",P183=""),"",P183/P180)</f>
        <v/>
      </c>
      <c r="AJ191" s="64" t="str">
        <f>IF(OR(Q180="",Q183=""),"",Q183/Q180)</f>
        <v/>
      </c>
      <c r="AK191" s="30"/>
      <c r="AL191" s="14"/>
    </row>
    <row r="192" spans="1:41" ht="18.75" customHeight="1" thickBot="1" x14ac:dyDescent="0.25">
      <c r="B192" s="40"/>
      <c r="C192" s="11"/>
      <c r="D192" s="235" t="s">
        <v>63</v>
      </c>
      <c r="E192" s="243"/>
      <c r="F192" s="154"/>
      <c r="G192" s="154"/>
      <c r="H192" s="154"/>
      <c r="I192" s="154"/>
      <c r="J192" s="154"/>
      <c r="K192" s="18"/>
      <c r="L192" s="17"/>
      <c r="M192" s="154"/>
      <c r="N192" s="154"/>
      <c r="O192" s="154"/>
      <c r="P192" s="154"/>
      <c r="Q192" s="154"/>
      <c r="R192" s="154"/>
      <c r="T192" s="91" t="s">
        <v>14</v>
      </c>
      <c r="U192" s="91"/>
      <c r="V192" s="92"/>
      <c r="W192" s="108" t="e">
        <f>W180/(R180/R188)</f>
        <v>#DIV/0!</v>
      </c>
      <c r="X192" s="66"/>
      <c r="Y192" s="103" t="s">
        <v>36</v>
      </c>
      <c r="Z192" s="114"/>
      <c r="AA192" s="114"/>
      <c r="AB192" s="120"/>
      <c r="AD192" s="27" t="s">
        <v>31</v>
      </c>
      <c r="AE192" s="28"/>
      <c r="AF192" s="29" t="str">
        <f t="shared" ref="AF192:AF193" si="63">IF(M184="","",M184)</f>
        <v/>
      </c>
      <c r="AG192" s="29" t="str">
        <f t="shared" ref="AG192:AG193" si="64">IF(N184="","",N184)</f>
        <v/>
      </c>
      <c r="AH192" s="29" t="str">
        <f t="shared" ref="AH192:AH193" si="65">IF(O184="","",O184)</f>
        <v/>
      </c>
      <c r="AI192" s="29" t="str">
        <f t="shared" ref="AI192:AI193" si="66">IF(P184="","",P184)</f>
        <v/>
      </c>
      <c r="AJ192" s="29" t="str">
        <f t="shared" ref="AJ192:AJ193" si="67">IF(Q184="","",Q184)</f>
        <v/>
      </c>
      <c r="AL192" s="67"/>
    </row>
    <row r="193" spans="2:38" ht="18.75" customHeight="1" x14ac:dyDescent="0.2">
      <c r="B193" s="42"/>
      <c r="C193" s="16"/>
      <c r="D193" s="244" t="s">
        <v>64</v>
      </c>
      <c r="E193" s="245"/>
      <c r="F193" s="126"/>
      <c r="G193" s="126"/>
      <c r="H193" s="126"/>
      <c r="I193" s="126"/>
      <c r="J193" s="126"/>
      <c r="K193" s="126"/>
      <c r="L193" s="31"/>
      <c r="M193" s="126"/>
      <c r="N193" s="126"/>
      <c r="O193" s="126"/>
      <c r="P193" s="126"/>
      <c r="Q193" s="126"/>
      <c r="R193" s="126"/>
      <c r="T193" s="22" t="s">
        <v>17</v>
      </c>
      <c r="U193" s="22"/>
      <c r="V193" s="23"/>
      <c r="W193" s="108" t="e">
        <f>IF(AVERAGE(O203:Q203)&gt;0,W180/(AVERAGE(O203:Q203)/R188),"")</f>
        <v>#DIV/0!</v>
      </c>
      <c r="X193" s="66"/>
      <c r="Y193" s="49" t="s">
        <v>29</v>
      </c>
      <c r="Z193" s="49"/>
      <c r="AA193" s="97"/>
      <c r="AB193" s="121">
        <f>R180</f>
        <v>0</v>
      </c>
      <c r="AD193" s="27" t="s">
        <v>32</v>
      </c>
      <c r="AE193" s="28"/>
      <c r="AF193" s="68" t="str">
        <f t="shared" si="63"/>
        <v/>
      </c>
      <c r="AG193" s="68" t="str">
        <f t="shared" si="64"/>
        <v/>
      </c>
      <c r="AH193" s="68" t="str">
        <f t="shared" si="65"/>
        <v/>
      </c>
      <c r="AI193" s="68" t="str">
        <f t="shared" si="66"/>
        <v/>
      </c>
      <c r="AJ193" s="68" t="str">
        <f t="shared" si="67"/>
        <v/>
      </c>
      <c r="AL193" s="67"/>
    </row>
    <row r="194" spans="2:38" ht="18.75" customHeight="1" x14ac:dyDescent="0.25">
      <c r="B194" s="44"/>
      <c r="C194" s="26"/>
      <c r="D194" s="244" t="s">
        <v>65</v>
      </c>
      <c r="E194" s="245"/>
      <c r="F194" s="126"/>
      <c r="G194" s="126"/>
      <c r="H194" s="126"/>
      <c r="I194" s="126"/>
      <c r="J194" s="126"/>
      <c r="K194" s="126"/>
      <c r="L194" s="31"/>
      <c r="M194" s="126"/>
      <c r="N194" s="126"/>
      <c r="O194" s="126"/>
      <c r="P194" s="126"/>
      <c r="Q194" s="126"/>
      <c r="R194" s="126"/>
      <c r="T194" s="91" t="s">
        <v>16</v>
      </c>
      <c r="U194" s="91"/>
      <c r="V194" s="92"/>
      <c r="W194" s="108" t="e">
        <f>IF(AVERAGE(O205:Q205)&gt;0,W181/AVERAGE(O205:Q205),"")</f>
        <v>#DIV/0!</v>
      </c>
      <c r="Y194" s="49" t="s">
        <v>66</v>
      </c>
      <c r="Z194" s="49"/>
      <c r="AA194" s="97"/>
      <c r="AB194" s="121">
        <f>R182</f>
        <v>0</v>
      </c>
      <c r="AD194" s="27" t="s">
        <v>67</v>
      </c>
      <c r="AE194" s="28"/>
      <c r="AF194" s="29" t="str">
        <f>IF(M188="","",M188)</f>
        <v/>
      </c>
      <c r="AG194" s="29" t="str">
        <f>IF(N188="","",N188)</f>
        <v/>
      </c>
      <c r="AH194" s="29" t="str">
        <f>IF(O188="","",O188)</f>
        <v/>
      </c>
      <c r="AI194" s="29" t="str">
        <f>IF(P188="","",P188)</f>
        <v/>
      </c>
      <c r="AJ194" s="29" t="str">
        <f>IF(Q188="","",Q188)</f>
        <v/>
      </c>
      <c r="AL194" s="67"/>
    </row>
    <row r="195" spans="2:38" ht="18.75" customHeight="1" x14ac:dyDescent="0.2">
      <c r="B195" s="43"/>
      <c r="C195" s="19"/>
      <c r="D195" s="244" t="s">
        <v>68</v>
      </c>
      <c r="E195" s="245"/>
      <c r="F195" s="126"/>
      <c r="G195" s="126"/>
      <c r="H195" s="126"/>
      <c r="I195" s="126"/>
      <c r="J195" s="126"/>
      <c r="K195" s="126"/>
      <c r="L195" s="127"/>
      <c r="M195" s="126"/>
      <c r="N195" s="126"/>
      <c r="O195" s="126"/>
      <c r="P195" s="126"/>
      <c r="Q195" s="126"/>
      <c r="R195" s="126"/>
      <c r="T195" s="91" t="s">
        <v>18</v>
      </c>
      <c r="U195" s="91"/>
      <c r="V195" s="92"/>
      <c r="W195" s="108" t="e">
        <f>(W181+(J196+J198)-J192)/J189</f>
        <v>#DIV/0!</v>
      </c>
      <c r="Y195" s="49" t="s">
        <v>31</v>
      </c>
      <c r="Z195" s="49"/>
      <c r="AA195" s="97"/>
      <c r="AB195" s="121">
        <f>R184</f>
        <v>0</v>
      </c>
      <c r="AD195" s="27" t="s">
        <v>69</v>
      </c>
      <c r="AE195" s="28"/>
      <c r="AF195" s="69" t="str">
        <f>IF(OR(M200="",M188="",M195="",M199=""),"",(M195-M199)/M188)</f>
        <v/>
      </c>
      <c r="AG195" s="69" t="str">
        <f>IF(OR(N200="",N188="",N195="",N199=""),"",(N195-N199)/N188)</f>
        <v/>
      </c>
      <c r="AH195" s="69" t="str">
        <f>IF(OR(O200="",O188="",O195="",O199=""),"",(O195-O199)/O188)</f>
        <v/>
      </c>
      <c r="AI195" s="69" t="str">
        <f>IF(OR(P200="",P188="",P195="",P199=""),"",(P195-P199)/P188)</f>
        <v/>
      </c>
      <c r="AJ195" s="69" t="str">
        <f>IF(OR(Q200="",Q188="",Q195="",Q199=""),"",(Q195-Q199)/Q188)</f>
        <v/>
      </c>
      <c r="AL195" s="67"/>
    </row>
    <row r="196" spans="2:38" ht="18.75" customHeight="1" x14ac:dyDescent="0.2">
      <c r="B196" s="42"/>
      <c r="C196" s="16"/>
      <c r="D196" s="244" t="s">
        <v>70</v>
      </c>
      <c r="E196" s="245"/>
      <c r="F196" s="126"/>
      <c r="G196" s="126"/>
      <c r="H196" s="126"/>
      <c r="I196" s="126"/>
      <c r="J196" s="126"/>
      <c r="K196" s="126"/>
      <c r="L196" s="17"/>
      <c r="M196" s="126"/>
      <c r="N196" s="126"/>
      <c r="O196" s="126"/>
      <c r="P196" s="126"/>
      <c r="Q196" s="126"/>
      <c r="R196" s="126"/>
      <c r="T196" s="22"/>
      <c r="U196" s="22"/>
      <c r="V196" s="23"/>
      <c r="W196" s="108"/>
      <c r="Y196" s="91" t="s">
        <v>32</v>
      </c>
      <c r="Z196" s="91"/>
      <c r="AA196" s="92"/>
      <c r="AB196" s="122">
        <f>R185</f>
        <v>0</v>
      </c>
      <c r="AL196" s="67"/>
    </row>
    <row r="197" spans="2:38" ht="18.75" customHeight="1" thickBot="1" x14ac:dyDescent="0.25">
      <c r="B197" s="45"/>
      <c r="C197" s="32"/>
      <c r="D197" s="244" t="s">
        <v>71</v>
      </c>
      <c r="E197" s="245"/>
      <c r="F197" s="126"/>
      <c r="G197" s="126"/>
      <c r="H197" s="126"/>
      <c r="I197" s="126"/>
      <c r="J197" s="126"/>
      <c r="K197" s="126"/>
      <c r="L197" s="31"/>
      <c r="M197" s="126"/>
      <c r="N197" s="126"/>
      <c r="O197" s="126"/>
      <c r="P197" s="126"/>
      <c r="Q197" s="126"/>
      <c r="R197" s="126"/>
      <c r="W197" s="13"/>
      <c r="AB197" s="117"/>
      <c r="AD197" s="101" t="s">
        <v>3</v>
      </c>
      <c r="AE197" s="102"/>
      <c r="AF197" s="133">
        <f>M179</f>
        <v>2013</v>
      </c>
      <c r="AG197" s="133">
        <f>N179</f>
        <v>2014</v>
      </c>
      <c r="AH197" s="133">
        <f>O179</f>
        <v>2015</v>
      </c>
      <c r="AI197" s="133">
        <f>P179</f>
        <v>2016</v>
      </c>
      <c r="AJ197" s="133">
        <f>Q179</f>
        <v>2017</v>
      </c>
    </row>
    <row r="198" spans="2:38" ht="18.75" customHeight="1" thickBot="1" x14ac:dyDescent="0.25">
      <c r="B198" s="43"/>
      <c r="C198" s="19"/>
      <c r="D198" s="244" t="s">
        <v>72</v>
      </c>
      <c r="E198" s="245"/>
      <c r="F198" s="126"/>
      <c r="G198" s="126"/>
      <c r="H198" s="126"/>
      <c r="I198" s="126"/>
      <c r="J198" s="126"/>
      <c r="K198" s="126"/>
      <c r="L198" s="125"/>
      <c r="M198" s="126"/>
      <c r="N198" s="126"/>
      <c r="O198" s="126"/>
      <c r="P198" s="126"/>
      <c r="Q198" s="126"/>
      <c r="R198" s="126"/>
      <c r="T198" s="101" t="s">
        <v>3</v>
      </c>
      <c r="U198" s="102"/>
      <c r="V198" s="102"/>
      <c r="W198" s="109"/>
      <c r="Y198" s="103" t="s">
        <v>61</v>
      </c>
      <c r="Z198" s="114"/>
      <c r="AA198" s="114"/>
      <c r="AB198" s="123"/>
      <c r="AD198" s="27" t="s">
        <v>73</v>
      </c>
      <c r="AE198" s="28"/>
      <c r="AF198" s="70" t="str">
        <f>IF(OR(M180="",M184="",M180=0,M184=0),"",M184/M180)</f>
        <v/>
      </c>
      <c r="AG198" s="70" t="str">
        <f>IF(OR(N180="",N184="",N180=0,N184=0),"",N184/N180)</f>
        <v/>
      </c>
      <c r="AH198" s="70" t="str">
        <f>IF(OR(O180="",O184="",O180=0,O184=0),"",O184/O180)</f>
        <v/>
      </c>
      <c r="AI198" s="70" t="str">
        <f>IF(OR(P180="",P184="",P180=0,P184=0),"",P184/P180)</f>
        <v/>
      </c>
      <c r="AJ198" s="70" t="str">
        <f>IF(OR(Q180="",Q184="",Q180=0,Q184=0),"",Q184/Q180)</f>
        <v/>
      </c>
    </row>
    <row r="199" spans="2:38" ht="18.75" customHeight="1" x14ac:dyDescent="0.2">
      <c r="B199" s="46"/>
      <c r="C199" s="34"/>
      <c r="D199" s="244" t="s">
        <v>74</v>
      </c>
      <c r="E199" s="245"/>
      <c r="F199" s="126"/>
      <c r="G199" s="126"/>
      <c r="H199" s="126"/>
      <c r="I199" s="126"/>
      <c r="J199" s="126"/>
      <c r="K199" s="126"/>
      <c r="L199" s="31"/>
      <c r="M199" s="126"/>
      <c r="N199" s="126"/>
      <c r="O199" s="126"/>
      <c r="P199" s="126"/>
      <c r="Q199" s="126"/>
      <c r="R199" s="126"/>
      <c r="T199" s="22" t="s">
        <v>12</v>
      </c>
      <c r="U199" s="22"/>
      <c r="V199" s="23"/>
      <c r="W199" s="110">
        <f>R180</f>
        <v>0</v>
      </c>
      <c r="Y199" s="22" t="s">
        <v>75</v>
      </c>
      <c r="Z199" s="22"/>
      <c r="AA199" s="23"/>
      <c r="AB199" s="121">
        <f>J193</f>
        <v>0</v>
      </c>
      <c r="AD199" s="27" t="s">
        <v>76</v>
      </c>
      <c r="AE199" s="28"/>
      <c r="AF199" s="70" t="str">
        <f>IF(OR(M184="",M198="",M184=0,M198=0),"",M184/M198)</f>
        <v/>
      </c>
      <c r="AG199" s="70" t="str">
        <f>IF(OR(N184="",N198="",N184=0,N198=0),"",N184/N198)</f>
        <v/>
      </c>
      <c r="AH199" s="70" t="str">
        <f>IF(OR(O184="",O198="",O184=0,O198=0),"",O184/O198)</f>
        <v/>
      </c>
      <c r="AI199" s="70" t="str">
        <f>IF(OR(P184="",P198="",P184=0,P198=0),"",P184/P198)</f>
        <v/>
      </c>
      <c r="AJ199" s="70" t="str">
        <f>IF(OR(Q184="",Q198="",Q184=0,Q198=0),"",Q184/Q198)</f>
        <v/>
      </c>
    </row>
    <row r="200" spans="2:38" ht="18.75" customHeight="1" thickBot="1" x14ac:dyDescent="0.25">
      <c r="B200" s="43"/>
      <c r="C200" s="19"/>
      <c r="D200" s="246" t="s">
        <v>77</v>
      </c>
      <c r="E200" s="247"/>
      <c r="F200" s="156"/>
      <c r="G200" s="156"/>
      <c r="H200" s="156"/>
      <c r="I200" s="156"/>
      <c r="J200" s="156"/>
      <c r="K200" s="126"/>
      <c r="L200" s="127"/>
      <c r="M200" s="156"/>
      <c r="N200" s="156"/>
      <c r="O200" s="156"/>
      <c r="P200" s="156"/>
      <c r="Q200" s="156"/>
      <c r="R200" s="156"/>
      <c r="T200" s="49" t="s">
        <v>23</v>
      </c>
      <c r="U200" s="49"/>
      <c r="V200" s="97"/>
      <c r="W200" s="111" t="e">
        <f>(R180-R181)/R180</f>
        <v>#DIV/0!</v>
      </c>
      <c r="Y200" s="49" t="s">
        <v>78</v>
      </c>
      <c r="Z200" s="49"/>
      <c r="AA200" s="97"/>
      <c r="AB200" s="121">
        <f>J194</f>
        <v>0</v>
      </c>
      <c r="AD200" s="27" t="s">
        <v>79</v>
      </c>
      <c r="AE200" s="28"/>
      <c r="AF200" s="70" t="str">
        <f>IF(OR(M184="",M195="",M184=0,M195=0),"",M184/M195)</f>
        <v/>
      </c>
      <c r="AG200" s="70" t="str">
        <f>IF(OR(N184="",N195="",N184=0,N195=0),"",N184/N195)</f>
        <v/>
      </c>
      <c r="AH200" s="70" t="str">
        <f>IF(OR(O184="",O195="",O184=0,O195=0),"",O184/O195)</f>
        <v/>
      </c>
      <c r="AI200" s="70" t="str">
        <f>IF(OR(P184="",P195="",P184=0,P195=0),"",P184/P195)</f>
        <v/>
      </c>
      <c r="AJ200" s="70" t="str">
        <f>IF(OR(Q184="",Q195="",Q184=0,Q195=0),"",Q184/Q195)</f>
        <v/>
      </c>
    </row>
    <row r="201" spans="2:38" ht="18.75" customHeight="1" x14ac:dyDescent="0.2">
      <c r="B201" s="43"/>
      <c r="C201" s="19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T201" s="49" t="s">
        <v>24</v>
      </c>
      <c r="U201" s="49"/>
      <c r="V201" s="97"/>
      <c r="W201" s="111" t="e">
        <f>R184/R180</f>
        <v>#DIV/0!</v>
      </c>
      <c r="Y201" s="22" t="s">
        <v>80</v>
      </c>
      <c r="Z201" s="22"/>
      <c r="AA201" s="23"/>
      <c r="AB201" s="121">
        <f>J197</f>
        <v>0</v>
      </c>
      <c r="AD201" s="27" t="s">
        <v>28</v>
      </c>
      <c r="AE201" s="28"/>
      <c r="AF201" s="33" t="str">
        <f>IF(OR(M180="",M195="",M180=0,M195=0),"",M180/M195)</f>
        <v/>
      </c>
      <c r="AG201" s="33" t="str">
        <f>IF(OR(N180="",N195="",N180=0,N195=0),"",N180/N195)</f>
        <v/>
      </c>
      <c r="AH201" s="33" t="str">
        <f>IF(OR(O180="",O195="",O180=0,O195=0),"",O180/O195)</f>
        <v/>
      </c>
      <c r="AI201" s="33" t="str">
        <f>IF(OR(P180="",P195="",P180=0,P195=0),"",P180/P195)</f>
        <v/>
      </c>
      <c r="AJ201" s="33" t="str">
        <f>IF(OR(Q180="",Q195="",Q180=0,Q195=0),"",Q180/Q195)</f>
        <v/>
      </c>
    </row>
    <row r="202" spans="2:38" ht="18.75" customHeight="1" thickBot="1" x14ac:dyDescent="0.25">
      <c r="B202" s="43"/>
      <c r="C202" s="19"/>
      <c r="D202" s="130" t="s">
        <v>81</v>
      </c>
      <c r="E202" s="131"/>
      <c r="F202" s="240" t="str">
        <f>F179</f>
        <v>2016-10</v>
      </c>
      <c r="G202" s="240" t="str">
        <f>G179</f>
        <v>2017-01</v>
      </c>
      <c r="H202" s="240" t="str">
        <f>H179</f>
        <v>2017-04</v>
      </c>
      <c r="I202" s="240" t="str">
        <f>I179</f>
        <v>2017-07</v>
      </c>
      <c r="J202" s="240" t="str">
        <f>J179</f>
        <v>2017-10</v>
      </c>
      <c r="K202" s="253"/>
      <c r="L202" s="155"/>
      <c r="M202" s="248">
        <f>M179</f>
        <v>2013</v>
      </c>
      <c r="N202" s="248">
        <f>N179</f>
        <v>2014</v>
      </c>
      <c r="O202" s="248">
        <f>O179</f>
        <v>2015</v>
      </c>
      <c r="P202" s="248">
        <f>P179</f>
        <v>2016</v>
      </c>
      <c r="Q202" s="248">
        <f>Q179</f>
        <v>2017</v>
      </c>
      <c r="R202" s="242" t="s">
        <v>42</v>
      </c>
      <c r="T202" s="49" t="s">
        <v>25</v>
      </c>
      <c r="U202" s="49"/>
      <c r="V202" s="97"/>
      <c r="W202" s="111" t="e">
        <f>R183/R180</f>
        <v>#DIV/0!</v>
      </c>
      <c r="Y202" s="22" t="s">
        <v>82</v>
      </c>
      <c r="AB202" s="121">
        <f>J196+J198</f>
        <v>0</v>
      </c>
      <c r="AK202" s="35"/>
    </row>
    <row r="203" spans="2:38" ht="18.75" customHeight="1" thickBot="1" x14ac:dyDescent="0.3">
      <c r="B203" s="47"/>
      <c r="C203" s="36"/>
      <c r="D203" s="235" t="s">
        <v>83</v>
      </c>
      <c r="E203" s="236"/>
      <c r="F203" s="154"/>
      <c r="G203" s="154"/>
      <c r="H203" s="154"/>
      <c r="I203" s="154"/>
      <c r="J203" s="154"/>
      <c r="K203" s="18"/>
      <c r="L203" s="17"/>
      <c r="M203" s="154"/>
      <c r="N203" s="154"/>
      <c r="O203" s="154"/>
      <c r="P203" s="154"/>
      <c r="Q203" s="154"/>
      <c r="R203" s="154"/>
      <c r="W203" s="13"/>
      <c r="Y203" s="22"/>
      <c r="AB203" s="121"/>
      <c r="AD203" s="101" t="s">
        <v>2</v>
      </c>
      <c r="AE203" s="102"/>
      <c r="AF203" s="132">
        <f>M179</f>
        <v>2013</v>
      </c>
      <c r="AG203" s="132">
        <f>N179</f>
        <v>2014</v>
      </c>
      <c r="AH203" s="132">
        <f>O179</f>
        <v>2015</v>
      </c>
      <c r="AI203" s="132">
        <f>P179</f>
        <v>2016</v>
      </c>
      <c r="AJ203" s="132">
        <f>Q179</f>
        <v>2017</v>
      </c>
      <c r="AK203" s="35"/>
    </row>
    <row r="204" spans="2:38" ht="18.75" customHeight="1" thickBot="1" x14ac:dyDescent="0.25">
      <c r="B204" s="43"/>
      <c r="C204" s="19"/>
      <c r="D204" s="128" t="s">
        <v>84</v>
      </c>
      <c r="E204" s="129"/>
      <c r="F204" s="18"/>
      <c r="G204" s="18"/>
      <c r="H204" s="18"/>
      <c r="I204" s="18"/>
      <c r="J204" s="18"/>
      <c r="K204" s="18"/>
      <c r="L204" s="17"/>
      <c r="M204" s="18"/>
      <c r="N204" s="18"/>
      <c r="O204" s="18"/>
      <c r="P204" s="18"/>
      <c r="Q204" s="18"/>
      <c r="R204" s="18"/>
      <c r="T204" s="98" t="s">
        <v>4</v>
      </c>
      <c r="U204" s="99"/>
      <c r="V204" s="99"/>
      <c r="W204" s="112"/>
      <c r="Y204" s="103" t="s">
        <v>85</v>
      </c>
      <c r="Z204" s="114"/>
      <c r="AA204" s="114"/>
      <c r="AB204" s="123"/>
      <c r="AD204" s="27" t="s">
        <v>20</v>
      </c>
      <c r="AE204" s="28"/>
      <c r="AF204" s="33" t="str">
        <f t="shared" ref="AF204:AF205" si="68">IF(OR(M194="",M197="",M194=0,M197=0),"",M194/M197)</f>
        <v/>
      </c>
      <c r="AG204" s="33" t="str">
        <f t="shared" ref="AG204:AG205" si="69">IF(OR(N194="",N197="",N194=0,N197=0),"",N194/N197)</f>
        <v/>
      </c>
      <c r="AH204" s="33" t="str">
        <f t="shared" ref="AH204:AH205" si="70">IF(OR(O194="",O197="",O194=0,O197=0),"",O194/O197)</f>
        <v/>
      </c>
      <c r="AI204" s="33" t="str">
        <f t="shared" ref="AI204:AI205" si="71">IF(OR(P194="",P197="",P194=0,P197=0),"",P194/P197)</f>
        <v/>
      </c>
      <c r="AJ204" s="33" t="str">
        <f t="shared" ref="AJ204:AJ205" si="72">IF(OR(Q194="",Q197="",Q194=0,Q197=0),"",Q194/Q197)</f>
        <v/>
      </c>
      <c r="AK204" s="35"/>
    </row>
    <row r="205" spans="2:38" ht="18.75" customHeight="1" thickBot="1" x14ac:dyDescent="0.25">
      <c r="B205" s="43"/>
      <c r="C205" s="19"/>
      <c r="D205" s="237" t="s">
        <v>86</v>
      </c>
      <c r="E205" s="238"/>
      <c r="F205" s="157"/>
      <c r="G205" s="157"/>
      <c r="H205" s="157"/>
      <c r="I205" s="157"/>
      <c r="J205" s="157"/>
      <c r="K205" s="18"/>
      <c r="L205" s="17"/>
      <c r="M205" s="157"/>
      <c r="N205" s="157"/>
      <c r="O205" s="157"/>
      <c r="P205" s="157"/>
      <c r="Q205" s="157"/>
      <c r="R205" s="157"/>
      <c r="T205" s="91" t="s">
        <v>26</v>
      </c>
      <c r="U205" s="91"/>
      <c r="V205" s="92"/>
      <c r="W205" s="111" t="e">
        <f>R184/AVERAGE(G200:J200)</f>
        <v>#DIV/0!</v>
      </c>
      <c r="Y205" s="49" t="s">
        <v>87</v>
      </c>
      <c r="Z205" s="49"/>
      <c r="AA205" s="97"/>
      <c r="AB205" s="105" t="e">
        <f>AVERAGE(O203:Q203)</f>
        <v>#DIV/0!</v>
      </c>
      <c r="AD205" s="27" t="s">
        <v>21</v>
      </c>
      <c r="AE205" s="28"/>
      <c r="AF205" s="33" t="str">
        <f t="shared" si="68"/>
        <v/>
      </c>
      <c r="AG205" s="33" t="str">
        <f t="shared" si="69"/>
        <v/>
      </c>
      <c r="AH205" s="33" t="str">
        <f t="shared" si="70"/>
        <v/>
      </c>
      <c r="AI205" s="33" t="str">
        <f t="shared" si="71"/>
        <v/>
      </c>
      <c r="AJ205" s="33" t="str">
        <f t="shared" si="72"/>
        <v/>
      </c>
      <c r="AK205" s="35"/>
    </row>
    <row r="206" spans="2:38" ht="18.75" customHeight="1" x14ac:dyDescent="0.2">
      <c r="B206" s="40"/>
      <c r="C206" s="11"/>
      <c r="T206" s="91" t="s">
        <v>27</v>
      </c>
      <c r="U206" s="91"/>
      <c r="V206" s="92"/>
      <c r="W206" s="111" t="e">
        <f>R184/AVERAGE(G195:J195)</f>
        <v>#DIV/0!</v>
      </c>
      <c r="Y206" s="22" t="s">
        <v>88</v>
      </c>
      <c r="Z206" s="22"/>
      <c r="AB206" s="124" t="e">
        <f>ABS(AVERAGE(O204:Q204))</f>
        <v>#DIV/0!</v>
      </c>
      <c r="AD206" s="27" t="s">
        <v>22</v>
      </c>
      <c r="AE206" s="28"/>
      <c r="AF206" s="33" t="str">
        <f>IF(OR(M200="",M198="",M198=0,M200=0),"",M200/M198)</f>
        <v/>
      </c>
      <c r="AG206" s="33" t="str">
        <f>IF(OR(N200="",N198="",N198=0,N200=0),"",N200/N198)</f>
        <v/>
      </c>
      <c r="AH206" s="33" t="str">
        <f>IF(OR(O200="",O198="",O198=0,O200=0),"",O200/O198)</f>
        <v/>
      </c>
      <c r="AI206" s="33" t="str">
        <f>IF(OR(P200="",P198="",P198=0,P200=0),"",P200/P198)</f>
        <v/>
      </c>
      <c r="AJ206" s="33" t="str">
        <f>IF(OR(Q200="",Q198="",Q198=0,Q200=0),"",Q200/Q198)</f>
        <v/>
      </c>
    </row>
    <row r="207" spans="2:38" ht="18.75" customHeight="1" x14ac:dyDescent="0.2">
      <c r="B207" s="40"/>
      <c r="C207" s="11"/>
      <c r="T207" s="91" t="s">
        <v>89</v>
      </c>
      <c r="U207" s="91"/>
      <c r="V207" s="92"/>
      <c r="W207" s="111" t="e">
        <f>R183/(AVERAGE(G200:J200)+(AVERAGE(G195:J195)-AVERAGE(G197:J197)))</f>
        <v>#DIV/0!</v>
      </c>
      <c r="Y207" s="22" t="s">
        <v>90</v>
      </c>
      <c r="Z207" s="22"/>
      <c r="AA207" s="23"/>
      <c r="AB207" s="105" t="e">
        <f>AVERAGE(O205:Q205)</f>
        <v>#DIV/0!</v>
      </c>
    </row>
    <row r="208" spans="2:38" ht="18.75" customHeight="1" x14ac:dyDescent="0.2">
      <c r="B208" s="43"/>
      <c r="C208" s="19"/>
      <c r="T208" s="91" t="s">
        <v>28</v>
      </c>
      <c r="U208" s="91"/>
      <c r="V208" s="92"/>
      <c r="W208" s="108" t="e">
        <f>R180/AVERAGE(G195:J195)</f>
        <v>#DIV/0!</v>
      </c>
      <c r="Y208" s="48"/>
      <c r="AB208" s="48"/>
      <c r="AK208" s="37"/>
    </row>
    <row r="209" spans="1:41" s="175" customFormat="1" ht="18.75" customHeight="1" thickBot="1" x14ac:dyDescent="0.35">
      <c r="A209" s="166"/>
      <c r="B209" s="167"/>
      <c r="C209" s="168"/>
      <c r="D209" s="169"/>
      <c r="E209" s="168"/>
      <c r="F209" s="170"/>
      <c r="G209" s="170"/>
      <c r="H209" s="170"/>
      <c r="I209" s="170"/>
      <c r="J209" s="170"/>
      <c r="K209" s="170"/>
      <c r="L209" s="171"/>
      <c r="M209" s="172"/>
      <c r="N209" s="173"/>
      <c r="O209" s="173"/>
      <c r="P209" s="173"/>
      <c r="Q209" s="171"/>
      <c r="R209" s="171"/>
      <c r="S209" s="168"/>
      <c r="T209" s="174"/>
      <c r="Y209" s="174"/>
      <c r="AB209" s="176"/>
      <c r="AD209" s="174"/>
    </row>
    <row r="210" spans="1:41" s="138" customFormat="1" ht="18.75" customHeight="1" thickBot="1" x14ac:dyDescent="0.25">
      <c r="D210" s="163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T210" s="163"/>
      <c r="Y210" s="163"/>
      <c r="AB210" s="165"/>
      <c r="AD210" s="163"/>
    </row>
    <row r="211" spans="1:41" s="153" customFormat="1" ht="18.75" customHeight="1" thickBot="1" x14ac:dyDescent="0.3">
      <c r="A211" s="139">
        <v>7</v>
      </c>
      <c r="B211" s="140"/>
      <c r="C211" s="141"/>
      <c r="D211" s="142"/>
      <c r="E211" s="143"/>
      <c r="F211" s="144"/>
      <c r="G211" s="145"/>
      <c r="H211" s="145"/>
      <c r="I211" s="145"/>
      <c r="J211" s="145"/>
      <c r="K211" s="252"/>
      <c r="L211" s="159"/>
      <c r="M211" s="147"/>
      <c r="N211" s="148"/>
      <c r="O211" s="148"/>
      <c r="P211" s="148"/>
      <c r="Q211" s="148"/>
      <c r="R211" s="148"/>
      <c r="S211" s="148"/>
      <c r="T211" s="161" t="s">
        <v>7</v>
      </c>
      <c r="U211" s="258" t="s">
        <v>34</v>
      </c>
      <c r="V211" s="259"/>
      <c r="W211" s="162"/>
      <c r="X211" s="148"/>
      <c r="Y211" s="149"/>
      <c r="Z211" s="148"/>
      <c r="AA211" s="148"/>
      <c r="AB211" s="150"/>
      <c r="AC211" s="151"/>
      <c r="AD211" s="152"/>
      <c r="AE211" s="146"/>
      <c r="AF211" s="146"/>
      <c r="AG211" s="151"/>
      <c r="AH211" s="151"/>
      <c r="AI211" s="151"/>
      <c r="AJ211" s="151"/>
      <c r="AK211" s="151"/>
      <c r="AL211" s="151"/>
      <c r="AM211" s="151"/>
      <c r="AN211" s="146"/>
      <c r="AO211" s="146"/>
    </row>
    <row r="212" spans="1:41" ht="10.5" customHeight="1" x14ac:dyDescent="0.25">
      <c r="B212" s="39"/>
      <c r="C212" s="8"/>
      <c r="D212" s="9"/>
      <c r="E212" s="59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50"/>
      <c r="U212" s="10"/>
      <c r="V212" s="10"/>
      <c r="W212" s="10"/>
      <c r="X212" s="10"/>
      <c r="Y212" s="50"/>
      <c r="Z212" s="10"/>
      <c r="AA212" s="10"/>
      <c r="AB212" s="60"/>
      <c r="AC212" s="10"/>
      <c r="AD212" s="50"/>
      <c r="AE212" s="10"/>
      <c r="AF212" s="10"/>
      <c r="AG212" s="10"/>
      <c r="AH212" s="10"/>
      <c r="AI212" s="10"/>
      <c r="AJ212" s="10"/>
      <c r="AK212" s="10"/>
      <c r="AL212" s="10"/>
      <c r="AM212" s="10"/>
    </row>
    <row r="213" spans="1:41" ht="18.75" customHeight="1" thickBot="1" x14ac:dyDescent="0.25">
      <c r="B213" s="40"/>
      <c r="C213" s="11"/>
      <c r="D213" s="130" t="s">
        <v>36</v>
      </c>
      <c r="E213" s="131"/>
      <c r="F213" s="239" t="s">
        <v>37</v>
      </c>
      <c r="G213" s="239" t="s">
        <v>38</v>
      </c>
      <c r="H213" s="239" t="s">
        <v>39</v>
      </c>
      <c r="I213" s="239" t="s">
        <v>40</v>
      </c>
      <c r="J213" s="239" t="s">
        <v>41</v>
      </c>
      <c r="K213" s="249"/>
      <c r="L213" s="155"/>
      <c r="M213" s="239">
        <v>2013</v>
      </c>
      <c r="N213" s="239">
        <v>2014</v>
      </c>
      <c r="O213" s="239">
        <v>2015</v>
      </c>
      <c r="P213" s="239">
        <v>2016</v>
      </c>
      <c r="Q213" s="239">
        <v>2017</v>
      </c>
      <c r="R213" s="239" t="s">
        <v>42</v>
      </c>
      <c r="T213" s="98" t="s">
        <v>0</v>
      </c>
      <c r="U213" s="99"/>
      <c r="V213" s="99"/>
      <c r="W213" s="100"/>
      <c r="X213" s="12"/>
      <c r="Y213" s="98" t="s">
        <v>5</v>
      </c>
      <c r="Z213" s="99"/>
      <c r="AA213" s="113"/>
      <c r="AB213" s="116" t="s">
        <v>43</v>
      </c>
      <c r="AC213" s="12"/>
      <c r="AD213" s="103" t="s">
        <v>44</v>
      </c>
      <c r="AE213" s="114"/>
      <c r="AF213" s="113"/>
      <c r="AG213" s="132">
        <f>N213</f>
        <v>2014</v>
      </c>
      <c r="AH213" s="132">
        <f>O213</f>
        <v>2015</v>
      </c>
      <c r="AI213" s="132">
        <f>P213</f>
        <v>2016</v>
      </c>
      <c r="AJ213" s="132">
        <f>Q213</f>
        <v>2017</v>
      </c>
      <c r="AK213" s="13"/>
      <c r="AL213" s="14"/>
      <c r="AN213" s="15"/>
      <c r="AO213" s="55"/>
    </row>
    <row r="214" spans="1:41" ht="18.75" customHeight="1" x14ac:dyDescent="0.2">
      <c r="A214" s="41"/>
      <c r="B214" s="42"/>
      <c r="C214" s="16"/>
      <c r="D214" s="235" t="s">
        <v>29</v>
      </c>
      <c r="E214" s="236"/>
      <c r="F214" s="154"/>
      <c r="G214" s="154"/>
      <c r="H214" s="154"/>
      <c r="I214" s="154"/>
      <c r="J214" s="154"/>
      <c r="K214" s="18"/>
      <c r="L214" s="17"/>
      <c r="M214" s="154"/>
      <c r="N214" s="154"/>
      <c r="O214" s="154"/>
      <c r="P214" s="154"/>
      <c r="Q214" s="154"/>
      <c r="R214" s="154"/>
      <c r="T214" s="22" t="s">
        <v>8</v>
      </c>
      <c r="U214" s="90"/>
      <c r="V214" s="90"/>
      <c r="W214" s="104">
        <v>5.42</v>
      </c>
      <c r="X214" s="61"/>
      <c r="Y214" s="22" t="s">
        <v>29</v>
      </c>
      <c r="Z214" s="22"/>
      <c r="AA214" s="23"/>
      <c r="AB214" s="111" t="e">
        <f>IF(AB213="Year over Year",AJ214,IF(AB213="3-Year Average",AVERAGE(AI214:AJ214),IF(AB213="5-Year Average",AVERAGE(AG214:AJ214),"")))</f>
        <v>#DIV/0!</v>
      </c>
      <c r="AC214" s="62"/>
      <c r="AD214" s="22" t="s">
        <v>45</v>
      </c>
      <c r="AE214" s="23"/>
      <c r="AF214" s="24"/>
      <c r="AG214" s="63" t="str">
        <f>IF(AND(N214&gt;0,M214&gt;0,M214&lt;&gt;""),N214/M214-1,IF(AND(M214&lt;0,N214&lt;0,M214&lt;&gt;""),(N214-M214)/ABS(M214),IF(AND(M214&gt;0,N214&lt;0,M214&lt;&gt;""),"L",IF(AND(M214&lt;0,N214&gt;0,M214&lt;&gt;""),"P",""))))</f>
        <v/>
      </c>
      <c r="AH214" s="63" t="str">
        <f>IF(AND(O214&gt;0,N214&gt;0,N214&lt;&gt;""),O214/N214-1,IF(AND(N214&lt;0,O214&lt;0,N214&lt;&gt;""),(O214-N214)/ABS(N214),IF(AND(N214&gt;0,O214&lt;0,N214&lt;&gt;""),"L",IF(AND(N214&lt;0,O214&gt;0,N214&lt;&gt;""),"P",""))))</f>
        <v/>
      </c>
      <c r="AI214" s="63" t="str">
        <f>IF(AND(P214&gt;0,O214&gt;0,O214&lt;&gt;""),P214/O214-1,IF(AND(O214&lt;0,P214&lt;0,O214&lt;&gt;""),(P214-O214)/ABS(O214),IF(AND(O214&gt;0,P214&lt;0,O214&lt;&gt;""),"L",IF(AND(O214&lt;0,P214&gt;0,O214&lt;&gt;""),"P",""))))</f>
        <v/>
      </c>
      <c r="AJ214" s="63" t="str">
        <f>IF(AND(Q214&gt;0,P214&gt;0,P214&lt;&gt;""),Q214/P214-1,IF(AND(P214&lt;0,Q214&lt;0,P214&lt;&gt;""),(Q214-P214)/ABS(P214),IF(AND(P214&gt;0,Q214&lt;0,P214&lt;&gt;""),"L",IF(AND(P214&lt;0,Q214&gt;0,P214&lt;&gt;""),"P",""))))</f>
        <v/>
      </c>
    </row>
    <row r="215" spans="1:41" ht="18.75" customHeight="1" x14ac:dyDescent="0.2">
      <c r="A215" s="41"/>
      <c r="B215" s="42"/>
      <c r="C215" s="16"/>
      <c r="D215" s="128" t="s">
        <v>46</v>
      </c>
      <c r="E215" s="129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T215" s="91" t="s">
        <v>9</v>
      </c>
      <c r="U215" s="92"/>
      <c r="V215" s="93"/>
      <c r="W215" s="105">
        <f>W214*R222</f>
        <v>0</v>
      </c>
      <c r="X215" s="61"/>
      <c r="Y215" s="22" t="s">
        <v>47</v>
      </c>
      <c r="Z215" s="22"/>
      <c r="AA215" s="23"/>
      <c r="AB215" s="111" t="e">
        <f>IF(AB213="Year over Year",AJ215,IF(AB213="3-Year Average",AVERAGE(AI215:AJ215),IF(AB213="5-Year Average",AVERAGE(AG215:AJ215),"")))</f>
        <v>#DIV/0!</v>
      </c>
      <c r="AC215" s="62"/>
      <c r="AD215" s="22" t="s">
        <v>30</v>
      </c>
      <c r="AE215" s="23"/>
      <c r="AF215" s="24"/>
      <c r="AG215" s="63" t="str">
        <f t="shared" ref="AG215:AG217" si="73">IF(AND(N217&gt;0,M217&gt;0,M217&lt;&gt;""),N217/M217-1,IF(AND(M217&lt;0,N217&lt;0,M217&lt;&gt;""),(N217-M217)/ABS(M217),IF(AND(M217&gt;0,N217&lt;0,M217&lt;&gt;""),"L",IF(AND(M217&lt;0,N217&gt;0,M217&lt;&gt;""),"P",""))))</f>
        <v/>
      </c>
      <c r="AH215" s="63" t="str">
        <f t="shared" ref="AH215:AH217" si="74">IF(AND(O217&gt;0,N217&gt;0,N217&lt;&gt;""),O217/N217-1,IF(AND(N217&lt;0,O217&lt;0,N217&lt;&gt;""),(O217-N217)/ABS(N217),IF(AND(N217&gt;0,O217&lt;0,N217&lt;&gt;""),"L",IF(AND(N217&lt;0,O217&gt;0,N217&lt;&gt;""),"P",""))))</f>
        <v/>
      </c>
      <c r="AI215" s="63" t="str">
        <f t="shared" ref="AI215:AI217" si="75">IF(AND(P217&gt;0,O217&gt;0,O217&lt;&gt;""),P217/O217-1,IF(AND(O217&lt;0,P217&lt;0,O217&lt;&gt;""),(P217-O217)/ABS(O217),IF(AND(O217&gt;0,P217&lt;0,O217&lt;&gt;""),"L",IF(AND(O217&lt;0,P217&gt;0,O217&lt;&gt;""),"P",""))))</f>
        <v/>
      </c>
      <c r="AJ215" s="63" t="str">
        <f t="shared" ref="AJ215:AJ217" si="76">IF(AND(Q217&gt;0,P217&gt;0,P217&lt;&gt;""),Q217/P217-1,IF(AND(P217&lt;0,Q217&lt;0,P217&lt;&gt;""),(Q217-P217)/ABS(P217),IF(AND(P217&gt;0,Q217&lt;0,P217&lt;&gt;""),"L",IF(AND(P217&lt;0,Q217&gt;0,P217&lt;&gt;""),"P",""))))</f>
        <v/>
      </c>
    </row>
    <row r="216" spans="1:41" ht="18.75" customHeight="1" x14ac:dyDescent="0.2">
      <c r="B216" s="42"/>
      <c r="C216" s="16"/>
      <c r="D216" s="128" t="s">
        <v>48</v>
      </c>
      <c r="E216" s="129"/>
      <c r="F216" s="18"/>
      <c r="G216" s="18"/>
      <c r="H216" s="18"/>
      <c r="I216" s="18"/>
      <c r="J216" s="18"/>
      <c r="K216" s="18"/>
      <c r="L216" s="17"/>
      <c r="M216" s="18"/>
      <c r="N216" s="18"/>
      <c r="O216" s="18"/>
      <c r="P216" s="18"/>
      <c r="Q216" s="18"/>
      <c r="R216" s="18"/>
      <c r="T216" s="91" t="s">
        <v>10</v>
      </c>
      <c r="U216" s="92"/>
      <c r="V216" s="94"/>
      <c r="W216" s="105">
        <f>W215+(J230+J232)-J226</f>
        <v>0</v>
      </c>
      <c r="X216" s="62"/>
      <c r="Y216" s="22" t="s">
        <v>31</v>
      </c>
      <c r="Z216" s="22"/>
      <c r="AB216" s="111" t="e">
        <f>IF(AB213="Year over Year",AJ216,IF(AB213="3-Year Average",AVERAGE(AI216:AJ216),IF(AB213="5-Year Average",AVERAGE(AG216:AJ216),"")))</f>
        <v>#DIV/0!</v>
      </c>
      <c r="AC216" s="62"/>
      <c r="AD216" s="22" t="s">
        <v>49</v>
      </c>
      <c r="AE216" s="23"/>
      <c r="AF216" s="24"/>
      <c r="AG216" s="63" t="str">
        <f t="shared" si="73"/>
        <v/>
      </c>
      <c r="AH216" s="63" t="str">
        <f t="shared" si="74"/>
        <v/>
      </c>
      <c r="AI216" s="63" t="str">
        <f t="shared" si="75"/>
        <v/>
      </c>
      <c r="AJ216" s="63" t="str">
        <f t="shared" si="76"/>
        <v/>
      </c>
    </row>
    <row r="217" spans="1:41" ht="18.75" customHeight="1" x14ac:dyDescent="0.2">
      <c r="B217" s="42"/>
      <c r="C217" s="16"/>
      <c r="D217" s="128" t="s">
        <v>50</v>
      </c>
      <c r="E217" s="129"/>
      <c r="F217" s="18"/>
      <c r="G217" s="18"/>
      <c r="H217" s="18"/>
      <c r="I217" s="18"/>
      <c r="J217" s="18"/>
      <c r="K217" s="18"/>
      <c r="L217" s="20"/>
      <c r="M217" s="18"/>
      <c r="N217" s="18"/>
      <c r="O217" s="18"/>
      <c r="P217" s="18"/>
      <c r="Q217" s="18"/>
      <c r="R217" s="18"/>
      <c r="T217" s="91" t="s">
        <v>11</v>
      </c>
      <c r="U217" s="92"/>
      <c r="V217" s="94"/>
      <c r="W217" s="105">
        <f>J229-J233</f>
        <v>0</v>
      </c>
      <c r="X217" s="61"/>
      <c r="Y217" s="22" t="s">
        <v>32</v>
      </c>
      <c r="Z217" s="22"/>
      <c r="AA217" s="23"/>
      <c r="AB217" s="111" t="e">
        <f>IF(AB213="Year over Year",AJ217,IF(AB213="3-Year Average",AVERAGE(AI217:AJ217),IF(AB213="5-Year Average",AVERAGE(AG217:AJ217),"")))</f>
        <v>#DIV/0!</v>
      </c>
      <c r="AC217" s="62"/>
      <c r="AD217" s="22" t="s">
        <v>51</v>
      </c>
      <c r="AE217" s="23"/>
      <c r="AF217" s="24"/>
      <c r="AG217" s="63" t="str">
        <f t="shared" si="73"/>
        <v/>
      </c>
      <c r="AH217" s="63" t="str">
        <f t="shared" si="74"/>
        <v/>
      </c>
      <c r="AI217" s="63" t="str">
        <f t="shared" si="75"/>
        <v/>
      </c>
      <c r="AJ217" s="63" t="str">
        <f t="shared" si="76"/>
        <v/>
      </c>
    </row>
    <row r="218" spans="1:41" ht="18.75" customHeight="1" x14ac:dyDescent="0.2">
      <c r="B218" s="42"/>
      <c r="C218" s="16"/>
      <c r="D218" s="128" t="s">
        <v>52</v>
      </c>
      <c r="E218" s="129"/>
      <c r="F218" s="18"/>
      <c r="G218" s="18"/>
      <c r="H218" s="18"/>
      <c r="I218" s="18"/>
      <c r="J218" s="18"/>
      <c r="K218" s="18"/>
      <c r="L218" s="17"/>
      <c r="M218" s="18"/>
      <c r="N218" s="18"/>
      <c r="O218" s="18"/>
      <c r="P218" s="18"/>
      <c r="Q218" s="18"/>
      <c r="R218" s="18"/>
      <c r="T218" s="91" t="s">
        <v>53</v>
      </c>
      <c r="U218" s="92"/>
      <c r="V218" s="93"/>
      <c r="W218" s="106" t="str">
        <f>IF(W215&gt;10000,"Large Cap",IF(AND(10000&gt;W215,2000&lt;W215),"Mid Cap",IF(AND(2000&gt;W215,W215&gt;50),"Small Cap",IF(W215&lt;50,"Micro Cap",NA))))</f>
        <v>Micro Cap</v>
      </c>
      <c r="X218" s="61"/>
      <c r="AB218" s="117"/>
      <c r="AC218" s="21"/>
    </row>
    <row r="219" spans="1:41" ht="18.75" customHeight="1" thickBot="1" x14ac:dyDescent="0.25">
      <c r="B219" s="42"/>
      <c r="C219" s="16"/>
      <c r="D219" s="128" t="s">
        <v>54</v>
      </c>
      <c r="E219" s="129"/>
      <c r="F219" s="18"/>
      <c r="G219" s="18"/>
      <c r="H219" s="18"/>
      <c r="I219" s="18"/>
      <c r="J219" s="18"/>
      <c r="K219" s="18"/>
      <c r="L219" s="25"/>
      <c r="M219" s="18"/>
      <c r="N219" s="18"/>
      <c r="O219" s="18"/>
      <c r="P219" s="18"/>
      <c r="Q219" s="18"/>
      <c r="R219" s="18"/>
      <c r="T219" s="22" t="s">
        <v>55</v>
      </c>
      <c r="W219" s="107"/>
      <c r="X219" s="62"/>
      <c r="Y219" s="103" t="s">
        <v>2</v>
      </c>
      <c r="Z219" s="114"/>
      <c r="AA219" s="115"/>
      <c r="AB219" s="118"/>
      <c r="AD219" s="101" t="s">
        <v>56</v>
      </c>
      <c r="AE219" s="102"/>
      <c r="AF219" s="133">
        <f>M213</f>
        <v>2013</v>
      </c>
      <c r="AG219" s="133">
        <f>N213</f>
        <v>2014</v>
      </c>
      <c r="AH219" s="133">
        <f>O213</f>
        <v>2015</v>
      </c>
      <c r="AI219" s="133">
        <f>P213</f>
        <v>2016</v>
      </c>
      <c r="AJ219" s="133">
        <f>Q213</f>
        <v>2017</v>
      </c>
    </row>
    <row r="220" spans="1:41" ht="18.75" hidden="1" customHeight="1" x14ac:dyDescent="0.2">
      <c r="B220" s="42"/>
      <c r="C220" s="16"/>
      <c r="D220" s="128"/>
      <c r="E220" s="129"/>
      <c r="F220" s="18"/>
      <c r="G220" s="18"/>
      <c r="H220" s="18"/>
      <c r="I220" s="18"/>
      <c r="J220" s="18"/>
      <c r="K220" s="18"/>
      <c r="L220" s="25"/>
      <c r="M220" s="18"/>
      <c r="N220" s="18"/>
      <c r="O220" s="18"/>
      <c r="P220" s="18"/>
      <c r="Q220" s="18"/>
      <c r="R220" s="18"/>
      <c r="T220" s="22"/>
      <c r="W220" s="95"/>
      <c r="X220" s="62"/>
      <c r="Y220" s="52"/>
      <c r="Z220" s="53"/>
      <c r="AA220" s="96"/>
      <c r="AB220" s="119"/>
      <c r="AD220" s="54"/>
      <c r="AE220" s="55"/>
      <c r="AF220" s="56"/>
      <c r="AG220" s="56"/>
      <c r="AH220" s="56"/>
      <c r="AI220" s="56"/>
      <c r="AJ220" s="56"/>
    </row>
    <row r="221" spans="1:41" ht="18.75" hidden="1" customHeight="1" x14ac:dyDescent="0.2">
      <c r="B221" s="42"/>
      <c r="C221" s="16"/>
      <c r="D221" s="128"/>
      <c r="E221" s="129"/>
      <c r="F221" s="18"/>
      <c r="G221" s="18"/>
      <c r="H221" s="18"/>
      <c r="I221" s="18"/>
      <c r="J221" s="18"/>
      <c r="K221" s="18"/>
      <c r="L221" s="25"/>
      <c r="M221" s="18"/>
      <c r="N221" s="18"/>
      <c r="O221" s="18"/>
      <c r="P221" s="18"/>
      <c r="Q221" s="18"/>
      <c r="R221" s="18"/>
      <c r="T221" s="22"/>
      <c r="W221" s="95"/>
      <c r="X221" s="62"/>
      <c r="Y221" s="52"/>
      <c r="Z221" s="53"/>
      <c r="AA221" s="96"/>
      <c r="AB221" s="119"/>
      <c r="AD221" s="54"/>
      <c r="AE221" s="55"/>
      <c r="AF221" s="56"/>
      <c r="AG221" s="56"/>
      <c r="AH221" s="56"/>
      <c r="AI221" s="56"/>
      <c r="AJ221" s="56"/>
    </row>
    <row r="222" spans="1:41" ht="18.75" customHeight="1" x14ac:dyDescent="0.2">
      <c r="B222" s="42"/>
      <c r="C222" s="16"/>
      <c r="D222" s="128" t="s">
        <v>57</v>
      </c>
      <c r="E222" s="129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T222" s="48"/>
      <c r="Y222" s="91" t="s">
        <v>20</v>
      </c>
      <c r="Z222" s="91"/>
      <c r="AA222" s="92"/>
      <c r="AB222" s="108" t="e">
        <f>AVERAGE(G228:J228)/AVERAGE(G231:J231)</f>
        <v>#DIV/0!</v>
      </c>
      <c r="AD222" s="27" t="s">
        <v>29</v>
      </c>
      <c r="AE222" s="28"/>
      <c r="AF222" s="29" t="str">
        <f>IF(M214="","",M214)</f>
        <v/>
      </c>
      <c r="AG222" s="29" t="str">
        <f>IF(N214="","",N214)</f>
        <v/>
      </c>
      <c r="AH222" s="29" t="str">
        <f>IF(O214="","",O214)</f>
        <v/>
      </c>
      <c r="AI222" s="29" t="str">
        <f>IF(P214="","",P214)</f>
        <v/>
      </c>
      <c r="AJ222" s="29" t="str">
        <f>IF(Q214="","",Q214)</f>
        <v/>
      </c>
    </row>
    <row r="223" spans="1:41" ht="18.75" customHeight="1" thickBot="1" x14ac:dyDescent="0.25">
      <c r="B223" s="42"/>
      <c r="C223" s="16"/>
      <c r="D223" s="237" t="s">
        <v>58</v>
      </c>
      <c r="E223" s="238"/>
      <c r="F223" s="157"/>
      <c r="G223" s="157"/>
      <c r="H223" s="157"/>
      <c r="I223" s="157"/>
      <c r="J223" s="157"/>
      <c r="K223" s="18"/>
      <c r="L223" s="20"/>
      <c r="M223" s="157"/>
      <c r="N223" s="157"/>
      <c r="O223" s="157"/>
      <c r="P223" s="157"/>
      <c r="Q223" s="157"/>
      <c r="R223" s="157"/>
      <c r="T223" s="98" t="s">
        <v>59</v>
      </c>
      <c r="U223" s="99"/>
      <c r="V223" s="99"/>
      <c r="W223" s="99"/>
      <c r="Y223" s="22" t="s">
        <v>21</v>
      </c>
      <c r="Z223" s="22"/>
      <c r="AA223" s="90"/>
      <c r="AB223" s="108" t="e">
        <f>AVERAGE(G229:J229)/AVERAGE(G234:J234)</f>
        <v>#DIV/0!</v>
      </c>
      <c r="AD223" s="27" t="s">
        <v>60</v>
      </c>
      <c r="AE223" s="28"/>
      <c r="AF223" s="64" t="str">
        <f>IF(OR(M214="",M216=""),"",M216/M214)</f>
        <v/>
      </c>
      <c r="AG223" s="64" t="str">
        <f>IF(OR(N214="",N216=""),"",N216/N214)</f>
        <v/>
      </c>
      <c r="AH223" s="64" t="str">
        <f>IF(OR(O214="",O216=""),"",O216/O214)</f>
        <v/>
      </c>
      <c r="AI223" s="64" t="str">
        <f>IF(OR(P214="",P216=""),"",P216/P214)</f>
        <v/>
      </c>
      <c r="AJ223" s="64" t="str">
        <f>IF(OR(Q214="",Q216=""),"",Q216/Q214)</f>
        <v/>
      </c>
    </row>
    <row r="224" spans="1:41" ht="18.75" customHeight="1" x14ac:dyDescent="0.2">
      <c r="B224" s="43"/>
      <c r="C224" s="19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T224" s="91" t="s">
        <v>13</v>
      </c>
      <c r="U224" s="91"/>
      <c r="V224" s="92"/>
      <c r="W224" s="108" t="str">
        <f>IF(R219&gt;0,W214/R219,"")</f>
        <v/>
      </c>
      <c r="Y224" s="22" t="s">
        <v>22</v>
      </c>
      <c r="Z224" s="22"/>
      <c r="AA224" s="90"/>
      <c r="AB224" s="108" t="e">
        <f>AVERAGE(G232:J232)/AVERAGE(G234:J234)</f>
        <v>#DIV/0!</v>
      </c>
      <c r="AD224" s="27" t="s">
        <v>47</v>
      </c>
      <c r="AE224" s="28"/>
      <c r="AF224" s="29" t="str">
        <f>IF(M217="","",M217)</f>
        <v/>
      </c>
      <c r="AG224" s="29" t="str">
        <f>IF(N217="","",N217)</f>
        <v/>
      </c>
      <c r="AH224" s="29" t="str">
        <f>IF(O217="","",O217)</f>
        <v/>
      </c>
      <c r="AI224" s="29" t="str">
        <f>IF(P217="","",P217)</f>
        <v/>
      </c>
      <c r="AJ224" s="29" t="str">
        <f>IF(Q217="","",Q217)</f>
        <v/>
      </c>
    </row>
    <row r="225" spans="2:38" ht="18.75" customHeight="1" thickBot="1" x14ac:dyDescent="0.3">
      <c r="B225" s="44"/>
      <c r="C225" s="26"/>
      <c r="D225" s="130" t="s">
        <v>61</v>
      </c>
      <c r="E225" s="131"/>
      <c r="F225" s="240" t="str">
        <f>F213</f>
        <v>2016-10</v>
      </c>
      <c r="G225" s="240" t="str">
        <f>G213</f>
        <v>2017-01</v>
      </c>
      <c r="H225" s="240" t="str">
        <f>H213</f>
        <v>2017-04</v>
      </c>
      <c r="I225" s="240" t="str">
        <f>I213</f>
        <v>2017-07</v>
      </c>
      <c r="J225" s="240" t="str">
        <f>J213</f>
        <v>2017-10</v>
      </c>
      <c r="K225" s="253"/>
      <c r="L225" s="155"/>
      <c r="M225" s="241">
        <f>M213</f>
        <v>2013</v>
      </c>
      <c r="N225" s="241">
        <f>N213</f>
        <v>2014</v>
      </c>
      <c r="O225" s="241">
        <f>O213</f>
        <v>2015</v>
      </c>
      <c r="P225" s="241">
        <f>P213</f>
        <v>2016</v>
      </c>
      <c r="Q225" s="241">
        <f>Q213</f>
        <v>2017</v>
      </c>
      <c r="R225" s="242"/>
      <c r="T225" s="91" t="s">
        <v>15</v>
      </c>
      <c r="U225" s="91"/>
      <c r="V225" s="92"/>
      <c r="W225" s="108" t="e">
        <f>W214/((J229-J233)/J222)</f>
        <v>#DIV/0!</v>
      </c>
      <c r="X225" s="65"/>
      <c r="Y225" s="48"/>
      <c r="AB225" s="13"/>
      <c r="AD225" s="27" t="s">
        <v>62</v>
      </c>
      <c r="AE225" s="28"/>
      <c r="AF225" s="64" t="str">
        <f>IF(OR(M214="",M217=""),"",M217/M214)</f>
        <v/>
      </c>
      <c r="AG225" s="64" t="str">
        <f>IF(OR(N214="",N217=""),"",N217/N214)</f>
        <v/>
      </c>
      <c r="AH225" s="64" t="str">
        <f>IF(OR(O214="",O217=""),"",O217/O214)</f>
        <v/>
      </c>
      <c r="AI225" s="64" t="str">
        <f>IF(OR(P214="",P217=""),"",P217/P214)</f>
        <v/>
      </c>
      <c r="AJ225" s="64" t="str">
        <f>IF(OR(Q214="",Q217=""),"",Q217/Q214)</f>
        <v/>
      </c>
      <c r="AK225" s="30"/>
      <c r="AL225" s="14"/>
    </row>
    <row r="226" spans="2:38" ht="18.75" customHeight="1" thickBot="1" x14ac:dyDescent="0.25">
      <c r="B226" s="40"/>
      <c r="C226" s="11"/>
      <c r="D226" s="235" t="s">
        <v>63</v>
      </c>
      <c r="E226" s="243"/>
      <c r="F226" s="154"/>
      <c r="G226" s="154"/>
      <c r="H226" s="154"/>
      <c r="I226" s="154"/>
      <c r="J226" s="154"/>
      <c r="K226" s="18"/>
      <c r="L226" s="17"/>
      <c r="M226" s="154"/>
      <c r="N226" s="154"/>
      <c r="O226" s="154"/>
      <c r="P226" s="154"/>
      <c r="Q226" s="154"/>
      <c r="R226" s="154"/>
      <c r="T226" s="91" t="s">
        <v>14</v>
      </c>
      <c r="U226" s="91"/>
      <c r="V226" s="92"/>
      <c r="W226" s="108" t="e">
        <f>W214/(R214/R222)</f>
        <v>#DIV/0!</v>
      </c>
      <c r="X226" s="66"/>
      <c r="Y226" s="103" t="s">
        <v>36</v>
      </c>
      <c r="Z226" s="114"/>
      <c r="AA226" s="114"/>
      <c r="AB226" s="120"/>
      <c r="AD226" s="27" t="s">
        <v>31</v>
      </c>
      <c r="AE226" s="28"/>
      <c r="AF226" s="29" t="str">
        <f t="shared" ref="AF226:AF227" si="77">IF(M218="","",M218)</f>
        <v/>
      </c>
      <c r="AG226" s="29" t="str">
        <f t="shared" ref="AG226:AG227" si="78">IF(N218="","",N218)</f>
        <v/>
      </c>
      <c r="AH226" s="29" t="str">
        <f t="shared" ref="AH226:AH227" si="79">IF(O218="","",O218)</f>
        <v/>
      </c>
      <c r="AI226" s="29" t="str">
        <f t="shared" ref="AI226:AI227" si="80">IF(P218="","",P218)</f>
        <v/>
      </c>
      <c r="AJ226" s="29" t="str">
        <f t="shared" ref="AJ226:AJ227" si="81">IF(Q218="","",Q218)</f>
        <v/>
      </c>
      <c r="AL226" s="67"/>
    </row>
    <row r="227" spans="2:38" ht="18.75" customHeight="1" x14ac:dyDescent="0.2">
      <c r="B227" s="42"/>
      <c r="C227" s="16"/>
      <c r="D227" s="244" t="s">
        <v>64</v>
      </c>
      <c r="E227" s="245"/>
      <c r="F227" s="126"/>
      <c r="G227" s="126"/>
      <c r="H227" s="126"/>
      <c r="I227" s="126"/>
      <c r="J227" s="126"/>
      <c r="K227" s="126"/>
      <c r="L227" s="31"/>
      <c r="M227" s="126"/>
      <c r="N227" s="126"/>
      <c r="O227" s="126"/>
      <c r="P227" s="126"/>
      <c r="Q227" s="126"/>
      <c r="R227" s="126"/>
      <c r="T227" s="22" t="s">
        <v>17</v>
      </c>
      <c r="U227" s="22"/>
      <c r="V227" s="23"/>
      <c r="W227" s="108" t="e">
        <f>IF(AVERAGE(O237:Q237)&gt;0,W214/(AVERAGE(O237:Q237)/R222),"")</f>
        <v>#DIV/0!</v>
      </c>
      <c r="X227" s="66"/>
      <c r="Y227" s="49" t="s">
        <v>29</v>
      </c>
      <c r="Z227" s="49"/>
      <c r="AA227" s="97"/>
      <c r="AB227" s="121">
        <f>R214</f>
        <v>0</v>
      </c>
      <c r="AD227" s="27" t="s">
        <v>32</v>
      </c>
      <c r="AE227" s="28"/>
      <c r="AF227" s="68" t="str">
        <f t="shared" si="77"/>
        <v/>
      </c>
      <c r="AG227" s="68" t="str">
        <f t="shared" si="78"/>
        <v/>
      </c>
      <c r="AH227" s="68" t="str">
        <f t="shared" si="79"/>
        <v/>
      </c>
      <c r="AI227" s="68" t="str">
        <f t="shared" si="80"/>
        <v/>
      </c>
      <c r="AJ227" s="68" t="str">
        <f t="shared" si="81"/>
        <v/>
      </c>
      <c r="AL227" s="67"/>
    </row>
    <row r="228" spans="2:38" ht="18.75" customHeight="1" x14ac:dyDescent="0.25">
      <c r="B228" s="44"/>
      <c r="C228" s="26"/>
      <c r="D228" s="244" t="s">
        <v>65</v>
      </c>
      <c r="E228" s="245"/>
      <c r="F228" s="126"/>
      <c r="G228" s="126"/>
      <c r="H228" s="126"/>
      <c r="I228" s="126"/>
      <c r="J228" s="126"/>
      <c r="K228" s="126"/>
      <c r="L228" s="31"/>
      <c r="M228" s="126"/>
      <c r="N228" s="126"/>
      <c r="O228" s="126"/>
      <c r="P228" s="126"/>
      <c r="Q228" s="126"/>
      <c r="R228" s="126"/>
      <c r="T228" s="91" t="s">
        <v>16</v>
      </c>
      <c r="U228" s="91"/>
      <c r="V228" s="92"/>
      <c r="W228" s="108" t="e">
        <f>IF(AVERAGE(O239:Q239)&gt;0,W215/AVERAGE(O239:Q239),"")</f>
        <v>#DIV/0!</v>
      </c>
      <c r="Y228" s="49" t="s">
        <v>66</v>
      </c>
      <c r="Z228" s="49"/>
      <c r="AA228" s="97"/>
      <c r="AB228" s="121">
        <f>R216</f>
        <v>0</v>
      </c>
      <c r="AD228" s="27" t="s">
        <v>67</v>
      </c>
      <c r="AE228" s="28"/>
      <c r="AF228" s="29" t="str">
        <f>IF(M222="","",M222)</f>
        <v/>
      </c>
      <c r="AG228" s="29" t="str">
        <f>IF(N222="","",N222)</f>
        <v/>
      </c>
      <c r="AH228" s="29" t="str">
        <f>IF(O222="","",O222)</f>
        <v/>
      </c>
      <c r="AI228" s="29" t="str">
        <f>IF(P222="","",P222)</f>
        <v/>
      </c>
      <c r="AJ228" s="29" t="str">
        <f>IF(Q222="","",Q222)</f>
        <v/>
      </c>
      <c r="AL228" s="67"/>
    </row>
    <row r="229" spans="2:38" ht="18.75" customHeight="1" x14ac:dyDescent="0.2">
      <c r="B229" s="43"/>
      <c r="C229" s="19"/>
      <c r="D229" s="244" t="s">
        <v>68</v>
      </c>
      <c r="E229" s="245"/>
      <c r="F229" s="126"/>
      <c r="G229" s="126"/>
      <c r="H229" s="126"/>
      <c r="I229" s="126"/>
      <c r="J229" s="126"/>
      <c r="K229" s="126"/>
      <c r="L229" s="127"/>
      <c r="M229" s="126"/>
      <c r="N229" s="126"/>
      <c r="O229" s="126"/>
      <c r="P229" s="126"/>
      <c r="Q229" s="126"/>
      <c r="R229" s="126"/>
      <c r="T229" s="91" t="s">
        <v>18</v>
      </c>
      <c r="U229" s="91"/>
      <c r="V229" s="92"/>
      <c r="W229" s="108" t="e">
        <f>(W215+(J230+J232)-J226)/J223</f>
        <v>#DIV/0!</v>
      </c>
      <c r="Y229" s="49" t="s">
        <v>31</v>
      </c>
      <c r="Z229" s="49"/>
      <c r="AA229" s="97"/>
      <c r="AB229" s="121">
        <f>R218</f>
        <v>0</v>
      </c>
      <c r="AD229" s="27" t="s">
        <v>69</v>
      </c>
      <c r="AE229" s="28"/>
      <c r="AF229" s="69" t="str">
        <f>IF(OR(M234="",M222="",M229="",M233=""),"",(M229-M233)/M222)</f>
        <v/>
      </c>
      <c r="AG229" s="69" t="str">
        <f>IF(OR(N234="",N222="",N229="",N233=""),"",(N229-N233)/N222)</f>
        <v/>
      </c>
      <c r="AH229" s="69" t="str">
        <f>IF(OR(O234="",O222="",O229="",O233=""),"",(O229-O233)/O222)</f>
        <v/>
      </c>
      <c r="AI229" s="69" t="str">
        <f>IF(OR(P234="",P222="",P229="",P233=""),"",(P229-P233)/P222)</f>
        <v/>
      </c>
      <c r="AJ229" s="69" t="str">
        <f>IF(OR(Q234="",Q222="",Q229="",Q233=""),"",(Q229-Q233)/Q222)</f>
        <v/>
      </c>
      <c r="AL229" s="67"/>
    </row>
    <row r="230" spans="2:38" ht="18.75" customHeight="1" x14ac:dyDescent="0.2">
      <c r="B230" s="42"/>
      <c r="C230" s="16"/>
      <c r="D230" s="244" t="s">
        <v>70</v>
      </c>
      <c r="E230" s="245"/>
      <c r="F230" s="126"/>
      <c r="G230" s="126"/>
      <c r="H230" s="126"/>
      <c r="I230" s="126"/>
      <c r="J230" s="126"/>
      <c r="K230" s="126"/>
      <c r="L230" s="17"/>
      <c r="M230" s="126"/>
      <c r="N230" s="126"/>
      <c r="O230" s="126"/>
      <c r="P230" s="126"/>
      <c r="Q230" s="126"/>
      <c r="R230" s="126"/>
      <c r="T230" s="22"/>
      <c r="U230" s="22"/>
      <c r="V230" s="23"/>
      <c r="W230" s="108"/>
      <c r="Y230" s="91" t="s">
        <v>32</v>
      </c>
      <c r="Z230" s="91"/>
      <c r="AA230" s="92"/>
      <c r="AB230" s="122">
        <f>R219</f>
        <v>0</v>
      </c>
      <c r="AL230" s="67"/>
    </row>
    <row r="231" spans="2:38" ht="18.75" customHeight="1" thickBot="1" x14ac:dyDescent="0.25">
      <c r="B231" s="45"/>
      <c r="C231" s="32"/>
      <c r="D231" s="244" t="s">
        <v>71</v>
      </c>
      <c r="E231" s="245"/>
      <c r="F231" s="126"/>
      <c r="G231" s="126"/>
      <c r="H231" s="126"/>
      <c r="I231" s="126"/>
      <c r="J231" s="126"/>
      <c r="K231" s="126"/>
      <c r="L231" s="31"/>
      <c r="M231" s="126"/>
      <c r="N231" s="126"/>
      <c r="O231" s="126"/>
      <c r="P231" s="126"/>
      <c r="Q231" s="126"/>
      <c r="R231" s="126"/>
      <c r="W231" s="13"/>
      <c r="AB231" s="117"/>
      <c r="AD231" s="101" t="s">
        <v>3</v>
      </c>
      <c r="AE231" s="102"/>
      <c r="AF231" s="133">
        <f>M213</f>
        <v>2013</v>
      </c>
      <c r="AG231" s="133">
        <f>N213</f>
        <v>2014</v>
      </c>
      <c r="AH231" s="133">
        <f>O213</f>
        <v>2015</v>
      </c>
      <c r="AI231" s="133">
        <f>P213</f>
        <v>2016</v>
      </c>
      <c r="AJ231" s="133">
        <f>Q213</f>
        <v>2017</v>
      </c>
    </row>
    <row r="232" spans="2:38" ht="18.75" customHeight="1" thickBot="1" x14ac:dyDescent="0.25">
      <c r="B232" s="43"/>
      <c r="C232" s="19"/>
      <c r="D232" s="244" t="s">
        <v>72</v>
      </c>
      <c r="E232" s="245"/>
      <c r="F232" s="126"/>
      <c r="G232" s="126"/>
      <c r="H232" s="126"/>
      <c r="I232" s="126"/>
      <c r="J232" s="126"/>
      <c r="K232" s="126"/>
      <c r="L232" s="125"/>
      <c r="M232" s="126"/>
      <c r="N232" s="126"/>
      <c r="O232" s="126"/>
      <c r="P232" s="126"/>
      <c r="Q232" s="126"/>
      <c r="R232" s="126"/>
      <c r="T232" s="101" t="s">
        <v>3</v>
      </c>
      <c r="U232" s="102"/>
      <c r="V232" s="102"/>
      <c r="W232" s="109"/>
      <c r="Y232" s="103" t="s">
        <v>61</v>
      </c>
      <c r="Z232" s="114"/>
      <c r="AA232" s="114"/>
      <c r="AB232" s="123"/>
      <c r="AD232" s="27" t="s">
        <v>73</v>
      </c>
      <c r="AE232" s="28"/>
      <c r="AF232" s="70" t="str">
        <f>IF(OR(M214="",M218="",M214=0,M218=0),"",M218/M214)</f>
        <v/>
      </c>
      <c r="AG232" s="70" t="str">
        <f>IF(OR(N214="",N218="",N214=0,N218=0),"",N218/N214)</f>
        <v/>
      </c>
      <c r="AH232" s="70" t="str">
        <f>IF(OR(O214="",O218="",O214=0,O218=0),"",O218/O214)</f>
        <v/>
      </c>
      <c r="AI232" s="70" t="str">
        <f>IF(OR(P214="",P218="",P214=0,P218=0),"",P218/P214)</f>
        <v/>
      </c>
      <c r="AJ232" s="70" t="str">
        <f>IF(OR(Q214="",Q218="",Q214=0,Q218=0),"",Q218/Q214)</f>
        <v/>
      </c>
    </row>
    <row r="233" spans="2:38" ht="18.75" customHeight="1" x14ac:dyDescent="0.2">
      <c r="B233" s="46"/>
      <c r="C233" s="34"/>
      <c r="D233" s="244" t="s">
        <v>74</v>
      </c>
      <c r="E233" s="245"/>
      <c r="F233" s="126"/>
      <c r="G233" s="126"/>
      <c r="H233" s="126"/>
      <c r="I233" s="126"/>
      <c r="J233" s="126"/>
      <c r="K233" s="126"/>
      <c r="L233" s="31"/>
      <c r="M233" s="126"/>
      <c r="N233" s="126"/>
      <c r="O233" s="126"/>
      <c r="P233" s="126"/>
      <c r="Q233" s="126"/>
      <c r="R233" s="126"/>
      <c r="T233" s="22" t="s">
        <v>12</v>
      </c>
      <c r="U233" s="22"/>
      <c r="V233" s="23"/>
      <c r="W233" s="110">
        <f>R214</f>
        <v>0</v>
      </c>
      <c r="Y233" s="22" t="s">
        <v>75</v>
      </c>
      <c r="Z233" s="22"/>
      <c r="AA233" s="23"/>
      <c r="AB233" s="121">
        <f>J227</f>
        <v>0</v>
      </c>
      <c r="AD233" s="27" t="s">
        <v>76</v>
      </c>
      <c r="AE233" s="28"/>
      <c r="AF233" s="70" t="str">
        <f>IF(OR(M218="",M232="",M218=0,M232=0),"",M218/M232)</f>
        <v/>
      </c>
      <c r="AG233" s="70" t="str">
        <f>IF(OR(N218="",N232="",N218=0,N232=0),"",N218/N232)</f>
        <v/>
      </c>
      <c r="AH233" s="70" t="str">
        <f>IF(OR(O218="",O232="",O218=0,O232=0),"",O218/O232)</f>
        <v/>
      </c>
      <c r="AI233" s="70" t="str">
        <f>IF(OR(P218="",P232="",P218=0,P232=0),"",P218/P232)</f>
        <v/>
      </c>
      <c r="AJ233" s="70" t="str">
        <f>IF(OR(Q218="",Q232="",Q218=0,Q232=0),"",Q218/Q232)</f>
        <v/>
      </c>
    </row>
    <row r="234" spans="2:38" ht="18.75" customHeight="1" thickBot="1" x14ac:dyDescent="0.25">
      <c r="B234" s="43"/>
      <c r="C234" s="19"/>
      <c r="D234" s="246" t="s">
        <v>77</v>
      </c>
      <c r="E234" s="247"/>
      <c r="F234" s="156"/>
      <c r="G234" s="156"/>
      <c r="H234" s="156"/>
      <c r="I234" s="156"/>
      <c r="J234" s="156"/>
      <c r="K234" s="126"/>
      <c r="L234" s="127"/>
      <c r="M234" s="156"/>
      <c r="N234" s="156"/>
      <c r="O234" s="156"/>
      <c r="P234" s="156"/>
      <c r="Q234" s="156"/>
      <c r="R234" s="156"/>
      <c r="T234" s="49" t="s">
        <v>23</v>
      </c>
      <c r="U234" s="49"/>
      <c r="V234" s="97"/>
      <c r="W234" s="111" t="e">
        <f>(R214-R215)/R214</f>
        <v>#DIV/0!</v>
      </c>
      <c r="Y234" s="49" t="s">
        <v>78</v>
      </c>
      <c r="Z234" s="49"/>
      <c r="AA234" s="97"/>
      <c r="AB234" s="121">
        <f>J228</f>
        <v>0</v>
      </c>
      <c r="AD234" s="27" t="s">
        <v>79</v>
      </c>
      <c r="AE234" s="28"/>
      <c r="AF234" s="70" t="str">
        <f>IF(OR(M218="",M229="",M218=0,M229=0),"",M218/M229)</f>
        <v/>
      </c>
      <c r="AG234" s="70" t="str">
        <f>IF(OR(N218="",N229="",N218=0,N229=0),"",N218/N229)</f>
        <v/>
      </c>
      <c r="AH234" s="70" t="str">
        <f>IF(OR(O218="",O229="",O218=0,O229=0),"",O218/O229)</f>
        <v/>
      </c>
      <c r="AI234" s="70" t="str">
        <f>IF(OR(P218="",P229="",P218=0,P229=0),"",P218/P229)</f>
        <v/>
      </c>
      <c r="AJ234" s="70" t="str">
        <f>IF(OR(Q218="",Q229="",Q218=0,Q229=0),"",Q218/Q229)</f>
        <v/>
      </c>
    </row>
    <row r="235" spans="2:38" ht="18.75" customHeight="1" x14ac:dyDescent="0.2">
      <c r="B235" s="43"/>
      <c r="C235" s="19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T235" s="49" t="s">
        <v>24</v>
      </c>
      <c r="U235" s="49"/>
      <c r="V235" s="97"/>
      <c r="W235" s="111" t="e">
        <f>R218/R214</f>
        <v>#DIV/0!</v>
      </c>
      <c r="Y235" s="22" t="s">
        <v>80</v>
      </c>
      <c r="Z235" s="22"/>
      <c r="AA235" s="23"/>
      <c r="AB235" s="121">
        <f>J231</f>
        <v>0</v>
      </c>
      <c r="AD235" s="27" t="s">
        <v>28</v>
      </c>
      <c r="AE235" s="28"/>
      <c r="AF235" s="33" t="str">
        <f>IF(OR(M214="",M229="",M214=0,M229=0),"",M214/M229)</f>
        <v/>
      </c>
      <c r="AG235" s="33" t="str">
        <f>IF(OR(N214="",N229="",N214=0,N229=0),"",N214/N229)</f>
        <v/>
      </c>
      <c r="AH235" s="33" t="str">
        <f>IF(OR(O214="",O229="",O214=0,O229=0),"",O214/O229)</f>
        <v/>
      </c>
      <c r="AI235" s="33" t="str">
        <f>IF(OR(P214="",P229="",P214=0,P229=0),"",P214/P229)</f>
        <v/>
      </c>
      <c r="AJ235" s="33" t="str">
        <f>IF(OR(Q214="",Q229="",Q214=0,Q229=0),"",Q214/Q229)</f>
        <v/>
      </c>
    </row>
    <row r="236" spans="2:38" ht="18.75" customHeight="1" thickBot="1" x14ac:dyDescent="0.25">
      <c r="B236" s="43"/>
      <c r="C236" s="19"/>
      <c r="D236" s="130" t="s">
        <v>81</v>
      </c>
      <c r="E236" s="131"/>
      <c r="F236" s="240" t="str">
        <f>F213</f>
        <v>2016-10</v>
      </c>
      <c r="G236" s="240" t="str">
        <f>G213</f>
        <v>2017-01</v>
      </c>
      <c r="H236" s="240" t="str">
        <f>H213</f>
        <v>2017-04</v>
      </c>
      <c r="I236" s="240" t="str">
        <f>I213</f>
        <v>2017-07</v>
      </c>
      <c r="J236" s="240" t="str">
        <f>J213</f>
        <v>2017-10</v>
      </c>
      <c r="K236" s="253"/>
      <c r="L236" s="155"/>
      <c r="M236" s="248">
        <f>M213</f>
        <v>2013</v>
      </c>
      <c r="N236" s="248">
        <f>N213</f>
        <v>2014</v>
      </c>
      <c r="O236" s="248">
        <f>O213</f>
        <v>2015</v>
      </c>
      <c r="P236" s="248">
        <f>P213</f>
        <v>2016</v>
      </c>
      <c r="Q236" s="248">
        <f>Q213</f>
        <v>2017</v>
      </c>
      <c r="R236" s="242" t="s">
        <v>42</v>
      </c>
      <c r="T236" s="49" t="s">
        <v>25</v>
      </c>
      <c r="U236" s="49"/>
      <c r="V236" s="97"/>
      <c r="W236" s="111" t="e">
        <f>R217/R214</f>
        <v>#DIV/0!</v>
      </c>
      <c r="Y236" s="22" t="s">
        <v>82</v>
      </c>
      <c r="AB236" s="121">
        <f>J230+J232</f>
        <v>0</v>
      </c>
      <c r="AK236" s="35"/>
    </row>
    <row r="237" spans="2:38" ht="18.75" customHeight="1" thickBot="1" x14ac:dyDescent="0.3">
      <c r="B237" s="47"/>
      <c r="C237" s="36"/>
      <c r="D237" s="235" t="s">
        <v>83</v>
      </c>
      <c r="E237" s="236"/>
      <c r="F237" s="154"/>
      <c r="G237" s="154"/>
      <c r="H237" s="154"/>
      <c r="I237" s="154"/>
      <c r="J237" s="154"/>
      <c r="K237" s="18"/>
      <c r="L237" s="17"/>
      <c r="M237" s="154"/>
      <c r="N237" s="154"/>
      <c r="O237" s="154"/>
      <c r="P237" s="154"/>
      <c r="Q237" s="154"/>
      <c r="R237" s="154"/>
      <c r="W237" s="13"/>
      <c r="Y237" s="22"/>
      <c r="AB237" s="121"/>
      <c r="AD237" s="101" t="s">
        <v>2</v>
      </c>
      <c r="AE237" s="102"/>
      <c r="AF237" s="132">
        <f>M213</f>
        <v>2013</v>
      </c>
      <c r="AG237" s="132">
        <f>N213</f>
        <v>2014</v>
      </c>
      <c r="AH237" s="132">
        <f>O213</f>
        <v>2015</v>
      </c>
      <c r="AI237" s="132">
        <f>P213</f>
        <v>2016</v>
      </c>
      <c r="AJ237" s="132">
        <f>Q213</f>
        <v>2017</v>
      </c>
      <c r="AK237" s="35"/>
    </row>
    <row r="238" spans="2:38" ht="18.75" customHeight="1" thickBot="1" x14ac:dyDescent="0.25">
      <c r="B238" s="43"/>
      <c r="C238" s="19"/>
      <c r="D238" s="128" t="s">
        <v>84</v>
      </c>
      <c r="E238" s="129"/>
      <c r="F238" s="18"/>
      <c r="G238" s="18"/>
      <c r="H238" s="18"/>
      <c r="I238" s="18"/>
      <c r="J238" s="18"/>
      <c r="K238" s="18"/>
      <c r="L238" s="17"/>
      <c r="M238" s="18"/>
      <c r="N238" s="18"/>
      <c r="O238" s="18"/>
      <c r="P238" s="18"/>
      <c r="Q238" s="18"/>
      <c r="R238" s="18"/>
      <c r="T238" s="98" t="s">
        <v>4</v>
      </c>
      <c r="U238" s="99"/>
      <c r="V238" s="99"/>
      <c r="W238" s="112"/>
      <c r="Y238" s="103" t="s">
        <v>85</v>
      </c>
      <c r="Z238" s="114"/>
      <c r="AA238" s="114"/>
      <c r="AB238" s="123"/>
      <c r="AD238" s="27" t="s">
        <v>20</v>
      </c>
      <c r="AE238" s="28"/>
      <c r="AF238" s="33" t="str">
        <f t="shared" ref="AF238:AF239" si="82">IF(OR(M228="",M231="",M228=0,M231=0),"",M228/M231)</f>
        <v/>
      </c>
      <c r="AG238" s="33" t="str">
        <f t="shared" ref="AG238:AG239" si="83">IF(OR(N228="",N231="",N228=0,N231=0),"",N228/N231)</f>
        <v/>
      </c>
      <c r="AH238" s="33" t="str">
        <f t="shared" ref="AH238:AH239" si="84">IF(OR(O228="",O231="",O228=0,O231=0),"",O228/O231)</f>
        <v/>
      </c>
      <c r="AI238" s="33" t="str">
        <f t="shared" ref="AI238:AI239" si="85">IF(OR(P228="",P231="",P228=0,P231=0),"",P228/P231)</f>
        <v/>
      </c>
      <c r="AJ238" s="33" t="str">
        <f t="shared" ref="AJ238:AJ239" si="86">IF(OR(Q228="",Q231="",Q228=0,Q231=0),"",Q228/Q231)</f>
        <v/>
      </c>
      <c r="AK238" s="35"/>
    </row>
    <row r="239" spans="2:38" ht="18.75" customHeight="1" thickBot="1" x14ac:dyDescent="0.25">
      <c r="B239" s="43"/>
      <c r="C239" s="19"/>
      <c r="D239" s="237" t="s">
        <v>86</v>
      </c>
      <c r="E239" s="238"/>
      <c r="F239" s="157"/>
      <c r="G239" s="157"/>
      <c r="H239" s="157"/>
      <c r="I239" s="157"/>
      <c r="J239" s="157"/>
      <c r="K239" s="18"/>
      <c r="L239" s="17"/>
      <c r="M239" s="157"/>
      <c r="N239" s="157"/>
      <c r="O239" s="157"/>
      <c r="P239" s="157"/>
      <c r="Q239" s="157"/>
      <c r="R239" s="157"/>
      <c r="T239" s="91" t="s">
        <v>26</v>
      </c>
      <c r="U239" s="91"/>
      <c r="V239" s="92"/>
      <c r="W239" s="111" t="e">
        <f>R218/AVERAGE(G234:J234)</f>
        <v>#DIV/0!</v>
      </c>
      <c r="Y239" s="49" t="s">
        <v>87</v>
      </c>
      <c r="Z239" s="49"/>
      <c r="AA239" s="97"/>
      <c r="AB239" s="105" t="e">
        <f>AVERAGE(O237:Q237)</f>
        <v>#DIV/0!</v>
      </c>
      <c r="AD239" s="27" t="s">
        <v>21</v>
      </c>
      <c r="AE239" s="28"/>
      <c r="AF239" s="33" t="str">
        <f t="shared" si="82"/>
        <v/>
      </c>
      <c r="AG239" s="33" t="str">
        <f t="shared" si="83"/>
        <v/>
      </c>
      <c r="AH239" s="33" t="str">
        <f t="shared" si="84"/>
        <v/>
      </c>
      <c r="AI239" s="33" t="str">
        <f t="shared" si="85"/>
        <v/>
      </c>
      <c r="AJ239" s="33" t="str">
        <f t="shared" si="86"/>
        <v/>
      </c>
      <c r="AK239" s="35"/>
    </row>
    <row r="240" spans="2:38" ht="18.75" customHeight="1" x14ac:dyDescent="0.2">
      <c r="B240" s="40"/>
      <c r="C240" s="11"/>
      <c r="T240" s="91" t="s">
        <v>27</v>
      </c>
      <c r="U240" s="91"/>
      <c r="V240" s="92"/>
      <c r="W240" s="111" t="e">
        <f>R218/AVERAGE(G229:J229)</f>
        <v>#DIV/0!</v>
      </c>
      <c r="Y240" s="22" t="s">
        <v>88</v>
      </c>
      <c r="Z240" s="22"/>
      <c r="AB240" s="124" t="e">
        <f>ABS(AVERAGE(O238:Q238))</f>
        <v>#DIV/0!</v>
      </c>
      <c r="AD240" s="27" t="s">
        <v>22</v>
      </c>
      <c r="AE240" s="28"/>
      <c r="AF240" s="33" t="str">
        <f>IF(OR(M234="",M232="",M232=0,M234=0),"",M234/M232)</f>
        <v/>
      </c>
      <c r="AG240" s="33" t="str">
        <f>IF(OR(N234="",N232="",N232=0,N234=0),"",N234/N232)</f>
        <v/>
      </c>
      <c r="AH240" s="33" t="str">
        <f>IF(OR(O234="",O232="",O232=0,O234=0),"",O234/O232)</f>
        <v/>
      </c>
      <c r="AI240" s="33" t="str">
        <f>IF(OR(P234="",P232="",P232=0,P234=0),"",P234/P232)</f>
        <v/>
      </c>
      <c r="AJ240" s="33" t="str">
        <f>IF(OR(Q234="",Q232="",Q232=0,Q234=0),"",Q234/Q232)</f>
        <v/>
      </c>
    </row>
    <row r="241" spans="1:41" ht="18.75" customHeight="1" x14ac:dyDescent="0.2">
      <c r="B241" s="40"/>
      <c r="C241" s="11"/>
      <c r="T241" s="91" t="s">
        <v>89</v>
      </c>
      <c r="U241" s="91"/>
      <c r="V241" s="92"/>
      <c r="W241" s="111" t="e">
        <f>R217/(AVERAGE(G234:J234)+(AVERAGE(G229:J229)-AVERAGE(G231:J231)))</f>
        <v>#DIV/0!</v>
      </c>
      <c r="Y241" s="22" t="s">
        <v>90</v>
      </c>
      <c r="Z241" s="22"/>
      <c r="AA241" s="23"/>
      <c r="AB241" s="105" t="e">
        <f>AVERAGE(O239:Q239)</f>
        <v>#DIV/0!</v>
      </c>
    </row>
    <row r="242" spans="1:41" ht="18.75" customHeight="1" x14ac:dyDescent="0.2">
      <c r="B242" s="43"/>
      <c r="C242" s="19"/>
      <c r="T242" s="91" t="s">
        <v>28</v>
      </c>
      <c r="U242" s="91"/>
      <c r="V242" s="92"/>
      <c r="W242" s="108" t="e">
        <f>R214/AVERAGE(G229:J229)</f>
        <v>#DIV/0!</v>
      </c>
      <c r="Y242" s="48"/>
      <c r="AB242" s="48"/>
      <c r="AK242" s="37"/>
    </row>
    <row r="243" spans="1:41" s="175" customFormat="1" ht="18.75" customHeight="1" thickBot="1" x14ac:dyDescent="0.35">
      <c r="A243" s="166"/>
      <c r="B243" s="167"/>
      <c r="C243" s="168"/>
      <c r="D243" s="169"/>
      <c r="E243" s="168"/>
      <c r="F243" s="170"/>
      <c r="G243" s="170"/>
      <c r="H243" s="170"/>
      <c r="I243" s="170"/>
      <c r="J243" s="170"/>
      <c r="K243" s="170"/>
      <c r="L243" s="171"/>
      <c r="M243" s="172"/>
      <c r="N243" s="173"/>
      <c r="O243" s="173"/>
      <c r="P243" s="173"/>
      <c r="Q243" s="171"/>
      <c r="R243" s="171"/>
      <c r="S243" s="168"/>
      <c r="T243" s="174"/>
      <c r="Y243" s="174"/>
      <c r="AB243" s="176"/>
      <c r="AD243" s="174"/>
    </row>
    <row r="244" spans="1:41" s="138" customFormat="1" ht="18.75" customHeight="1" thickBot="1" x14ac:dyDescent="0.25">
      <c r="D244" s="163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T244" s="163"/>
      <c r="Y244" s="163"/>
      <c r="AB244" s="165"/>
      <c r="AD244" s="163"/>
    </row>
    <row r="245" spans="1:41" s="153" customFormat="1" ht="18.75" customHeight="1" thickBot="1" x14ac:dyDescent="0.3">
      <c r="A245" s="139">
        <v>8</v>
      </c>
      <c r="B245" s="140"/>
      <c r="C245" s="141"/>
      <c r="D245" s="142"/>
      <c r="E245" s="143"/>
      <c r="F245" s="144"/>
      <c r="G245" s="145"/>
      <c r="H245" s="145"/>
      <c r="I245" s="145"/>
      <c r="J245" s="145"/>
      <c r="K245" s="252"/>
      <c r="L245" s="159"/>
      <c r="M245" s="147"/>
      <c r="N245" s="148"/>
      <c r="O245" s="148"/>
      <c r="P245" s="148"/>
      <c r="Q245" s="148"/>
      <c r="R245" s="148"/>
      <c r="S245" s="148"/>
      <c r="T245" s="161" t="s">
        <v>7</v>
      </c>
      <c r="U245" s="258" t="s">
        <v>34</v>
      </c>
      <c r="V245" s="259"/>
      <c r="W245" s="162"/>
      <c r="X245" s="148"/>
      <c r="Y245" s="149"/>
      <c r="Z245" s="148"/>
      <c r="AA245" s="148"/>
      <c r="AB245" s="150"/>
      <c r="AC245" s="151"/>
      <c r="AD245" s="152"/>
      <c r="AE245" s="146"/>
      <c r="AF245" s="146"/>
      <c r="AG245" s="151"/>
      <c r="AH245" s="151"/>
      <c r="AI245" s="151"/>
      <c r="AJ245" s="151"/>
      <c r="AK245" s="151"/>
      <c r="AL245" s="151"/>
      <c r="AM245" s="151"/>
      <c r="AN245" s="146"/>
      <c r="AO245" s="146"/>
    </row>
    <row r="246" spans="1:41" ht="10.5" customHeight="1" x14ac:dyDescent="0.25">
      <c r="B246" s="39"/>
      <c r="C246" s="8"/>
      <c r="D246" s="9"/>
      <c r="E246" s="59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50"/>
      <c r="U246" s="10"/>
      <c r="V246" s="10"/>
      <c r="W246" s="10"/>
      <c r="X246" s="10"/>
      <c r="Y246" s="50"/>
      <c r="Z246" s="10"/>
      <c r="AA246" s="10"/>
      <c r="AB246" s="60"/>
      <c r="AC246" s="10"/>
      <c r="AD246" s="50"/>
      <c r="AE246" s="10"/>
      <c r="AF246" s="10"/>
      <c r="AG246" s="10"/>
      <c r="AH246" s="10"/>
      <c r="AI246" s="10"/>
      <c r="AJ246" s="10"/>
      <c r="AK246" s="10"/>
      <c r="AL246" s="10"/>
      <c r="AM246" s="10"/>
    </row>
    <row r="247" spans="1:41" ht="18.75" customHeight="1" thickBot="1" x14ac:dyDescent="0.25">
      <c r="B247" s="40"/>
      <c r="C247" s="11"/>
      <c r="D247" s="130" t="s">
        <v>36</v>
      </c>
      <c r="E247" s="131"/>
      <c r="F247" s="239" t="s">
        <v>37</v>
      </c>
      <c r="G247" s="239" t="s">
        <v>38</v>
      </c>
      <c r="H247" s="239" t="s">
        <v>39</v>
      </c>
      <c r="I247" s="239" t="s">
        <v>40</v>
      </c>
      <c r="J247" s="239" t="s">
        <v>41</v>
      </c>
      <c r="K247" s="249"/>
      <c r="L247" s="155"/>
      <c r="M247" s="239">
        <v>2013</v>
      </c>
      <c r="N247" s="239">
        <v>2014</v>
      </c>
      <c r="O247" s="239">
        <v>2015</v>
      </c>
      <c r="P247" s="239">
        <v>2016</v>
      </c>
      <c r="Q247" s="239">
        <v>2017</v>
      </c>
      <c r="R247" s="239" t="s">
        <v>42</v>
      </c>
      <c r="T247" s="98" t="s">
        <v>0</v>
      </c>
      <c r="U247" s="99"/>
      <c r="V247" s="99"/>
      <c r="W247" s="100"/>
      <c r="X247" s="12"/>
      <c r="Y247" s="98" t="s">
        <v>5</v>
      </c>
      <c r="Z247" s="99"/>
      <c r="AA247" s="113"/>
      <c r="AB247" s="116" t="s">
        <v>43</v>
      </c>
      <c r="AC247" s="12"/>
      <c r="AD247" s="103" t="s">
        <v>44</v>
      </c>
      <c r="AE247" s="114"/>
      <c r="AF247" s="113"/>
      <c r="AG247" s="132">
        <f>N247</f>
        <v>2014</v>
      </c>
      <c r="AH247" s="132">
        <f>O247</f>
        <v>2015</v>
      </c>
      <c r="AI247" s="132">
        <f>P247</f>
        <v>2016</v>
      </c>
      <c r="AJ247" s="132">
        <f>Q247</f>
        <v>2017</v>
      </c>
      <c r="AK247" s="13"/>
      <c r="AL247" s="14"/>
      <c r="AN247" s="15"/>
      <c r="AO247" s="55"/>
    </row>
    <row r="248" spans="1:41" ht="18.75" customHeight="1" x14ac:dyDescent="0.2">
      <c r="A248" s="41"/>
      <c r="B248" s="42"/>
      <c r="C248" s="16"/>
      <c r="D248" s="235" t="s">
        <v>29</v>
      </c>
      <c r="E248" s="236"/>
      <c r="F248" s="154"/>
      <c r="G248" s="154"/>
      <c r="H248" s="154"/>
      <c r="I248" s="154"/>
      <c r="J248" s="154"/>
      <c r="K248" s="18"/>
      <c r="L248" s="17"/>
      <c r="M248" s="154"/>
      <c r="N248" s="154"/>
      <c r="O248" s="154"/>
      <c r="P248" s="154"/>
      <c r="Q248" s="154"/>
      <c r="R248" s="154"/>
      <c r="T248" s="22" t="s">
        <v>8</v>
      </c>
      <c r="U248" s="90"/>
      <c r="V248" s="90"/>
      <c r="W248" s="104">
        <v>5.42</v>
      </c>
      <c r="X248" s="61"/>
      <c r="Y248" s="22" t="s">
        <v>29</v>
      </c>
      <c r="Z248" s="22"/>
      <c r="AA248" s="23"/>
      <c r="AB248" s="111" t="e">
        <f>IF(AB247="Year over Year",AJ248,IF(AB247="3-Year Average",AVERAGE(AI248:AJ248),IF(AB247="5-Year Average",AVERAGE(AG248:AJ248),"")))</f>
        <v>#DIV/0!</v>
      </c>
      <c r="AC248" s="62"/>
      <c r="AD248" s="22" t="s">
        <v>45</v>
      </c>
      <c r="AE248" s="23"/>
      <c r="AF248" s="24"/>
      <c r="AG248" s="63" t="str">
        <f>IF(AND(N248&gt;0,M248&gt;0,M248&lt;&gt;""),N248/M248-1,IF(AND(M248&lt;0,N248&lt;0,M248&lt;&gt;""),(N248-M248)/ABS(M248),IF(AND(M248&gt;0,N248&lt;0,M248&lt;&gt;""),"L",IF(AND(M248&lt;0,N248&gt;0,M248&lt;&gt;""),"P",""))))</f>
        <v/>
      </c>
      <c r="AH248" s="63" t="str">
        <f>IF(AND(O248&gt;0,N248&gt;0,N248&lt;&gt;""),O248/N248-1,IF(AND(N248&lt;0,O248&lt;0,N248&lt;&gt;""),(O248-N248)/ABS(N248),IF(AND(N248&gt;0,O248&lt;0,N248&lt;&gt;""),"L",IF(AND(N248&lt;0,O248&gt;0,N248&lt;&gt;""),"P",""))))</f>
        <v/>
      </c>
      <c r="AI248" s="63" t="str">
        <f>IF(AND(P248&gt;0,O248&gt;0,O248&lt;&gt;""),P248/O248-1,IF(AND(O248&lt;0,P248&lt;0,O248&lt;&gt;""),(P248-O248)/ABS(O248),IF(AND(O248&gt;0,P248&lt;0,O248&lt;&gt;""),"L",IF(AND(O248&lt;0,P248&gt;0,O248&lt;&gt;""),"P",""))))</f>
        <v/>
      </c>
      <c r="AJ248" s="63" t="str">
        <f>IF(AND(Q248&gt;0,P248&gt;0,P248&lt;&gt;""),Q248/P248-1,IF(AND(P248&lt;0,Q248&lt;0,P248&lt;&gt;""),(Q248-P248)/ABS(P248),IF(AND(P248&gt;0,Q248&lt;0,P248&lt;&gt;""),"L",IF(AND(P248&lt;0,Q248&gt;0,P248&lt;&gt;""),"P",""))))</f>
        <v/>
      </c>
    </row>
    <row r="249" spans="1:41" ht="18.75" customHeight="1" x14ac:dyDescent="0.2">
      <c r="A249" s="41"/>
      <c r="B249" s="42"/>
      <c r="C249" s="16"/>
      <c r="D249" s="128" t="s">
        <v>46</v>
      </c>
      <c r="E249" s="129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T249" s="91" t="s">
        <v>9</v>
      </c>
      <c r="U249" s="92"/>
      <c r="V249" s="93"/>
      <c r="W249" s="105">
        <f>W248*R256</f>
        <v>0</v>
      </c>
      <c r="X249" s="61"/>
      <c r="Y249" s="22" t="s">
        <v>47</v>
      </c>
      <c r="Z249" s="22"/>
      <c r="AA249" s="23"/>
      <c r="AB249" s="111" t="e">
        <f>IF(AB247="Year over Year",AJ249,IF(AB247="3-Year Average",AVERAGE(AI249:AJ249),IF(AB247="5-Year Average",AVERAGE(AG249:AJ249),"")))</f>
        <v>#DIV/0!</v>
      </c>
      <c r="AC249" s="62"/>
      <c r="AD249" s="22" t="s">
        <v>30</v>
      </c>
      <c r="AE249" s="23"/>
      <c r="AF249" s="24"/>
      <c r="AG249" s="63" t="str">
        <f t="shared" ref="AG249:AG251" si="87">IF(AND(N251&gt;0,M251&gt;0,M251&lt;&gt;""),N251/M251-1,IF(AND(M251&lt;0,N251&lt;0,M251&lt;&gt;""),(N251-M251)/ABS(M251),IF(AND(M251&gt;0,N251&lt;0,M251&lt;&gt;""),"L",IF(AND(M251&lt;0,N251&gt;0,M251&lt;&gt;""),"P",""))))</f>
        <v/>
      </c>
      <c r="AH249" s="63" t="str">
        <f t="shared" ref="AH249:AH251" si="88">IF(AND(O251&gt;0,N251&gt;0,N251&lt;&gt;""),O251/N251-1,IF(AND(N251&lt;0,O251&lt;0,N251&lt;&gt;""),(O251-N251)/ABS(N251),IF(AND(N251&gt;0,O251&lt;0,N251&lt;&gt;""),"L",IF(AND(N251&lt;0,O251&gt;0,N251&lt;&gt;""),"P",""))))</f>
        <v/>
      </c>
      <c r="AI249" s="63" t="str">
        <f t="shared" ref="AI249:AI251" si="89">IF(AND(P251&gt;0,O251&gt;0,O251&lt;&gt;""),P251/O251-1,IF(AND(O251&lt;0,P251&lt;0,O251&lt;&gt;""),(P251-O251)/ABS(O251),IF(AND(O251&gt;0,P251&lt;0,O251&lt;&gt;""),"L",IF(AND(O251&lt;0,P251&gt;0,O251&lt;&gt;""),"P",""))))</f>
        <v/>
      </c>
      <c r="AJ249" s="63" t="str">
        <f t="shared" ref="AJ249:AJ251" si="90">IF(AND(Q251&gt;0,P251&gt;0,P251&lt;&gt;""),Q251/P251-1,IF(AND(P251&lt;0,Q251&lt;0,P251&lt;&gt;""),(Q251-P251)/ABS(P251),IF(AND(P251&gt;0,Q251&lt;0,P251&lt;&gt;""),"L",IF(AND(P251&lt;0,Q251&gt;0,P251&lt;&gt;""),"P",""))))</f>
        <v/>
      </c>
    </row>
    <row r="250" spans="1:41" ht="18.75" customHeight="1" x14ac:dyDescent="0.2">
      <c r="B250" s="42"/>
      <c r="C250" s="16"/>
      <c r="D250" s="128" t="s">
        <v>48</v>
      </c>
      <c r="E250" s="129"/>
      <c r="F250" s="18"/>
      <c r="G250" s="18"/>
      <c r="H250" s="18"/>
      <c r="I250" s="18"/>
      <c r="J250" s="18"/>
      <c r="K250" s="18"/>
      <c r="L250" s="17"/>
      <c r="M250" s="18"/>
      <c r="N250" s="18"/>
      <c r="O250" s="18"/>
      <c r="P250" s="18"/>
      <c r="Q250" s="18"/>
      <c r="R250" s="18"/>
      <c r="T250" s="91" t="s">
        <v>10</v>
      </c>
      <c r="U250" s="92"/>
      <c r="V250" s="94"/>
      <c r="W250" s="105">
        <f>W249+(J264+J266)-J260</f>
        <v>0</v>
      </c>
      <c r="X250" s="62"/>
      <c r="Y250" s="22" t="s">
        <v>31</v>
      </c>
      <c r="Z250" s="22"/>
      <c r="AB250" s="111" t="e">
        <f>IF(AB247="Year over Year",AJ250,IF(AB247="3-Year Average",AVERAGE(AI250:AJ250),IF(AB247="5-Year Average",AVERAGE(AG250:AJ250),"")))</f>
        <v>#DIV/0!</v>
      </c>
      <c r="AC250" s="62"/>
      <c r="AD250" s="22" t="s">
        <v>49</v>
      </c>
      <c r="AE250" s="23"/>
      <c r="AF250" s="24"/>
      <c r="AG250" s="63" t="str">
        <f t="shared" si="87"/>
        <v/>
      </c>
      <c r="AH250" s="63" t="str">
        <f t="shared" si="88"/>
        <v/>
      </c>
      <c r="AI250" s="63" t="str">
        <f t="shared" si="89"/>
        <v/>
      </c>
      <c r="AJ250" s="63" t="str">
        <f t="shared" si="90"/>
        <v/>
      </c>
    </row>
    <row r="251" spans="1:41" ht="18.75" customHeight="1" x14ac:dyDescent="0.2">
      <c r="B251" s="42"/>
      <c r="C251" s="16"/>
      <c r="D251" s="128" t="s">
        <v>50</v>
      </c>
      <c r="E251" s="129"/>
      <c r="F251" s="18"/>
      <c r="G251" s="18"/>
      <c r="H251" s="18"/>
      <c r="I251" s="18"/>
      <c r="J251" s="18"/>
      <c r="K251" s="18"/>
      <c r="L251" s="20"/>
      <c r="M251" s="18"/>
      <c r="N251" s="18"/>
      <c r="O251" s="18"/>
      <c r="P251" s="18"/>
      <c r="Q251" s="18"/>
      <c r="R251" s="18"/>
      <c r="T251" s="91" t="s">
        <v>11</v>
      </c>
      <c r="U251" s="92"/>
      <c r="V251" s="94"/>
      <c r="W251" s="105">
        <f>J263-J267</f>
        <v>0</v>
      </c>
      <c r="X251" s="61"/>
      <c r="Y251" s="22" t="s">
        <v>32</v>
      </c>
      <c r="Z251" s="22"/>
      <c r="AA251" s="23"/>
      <c r="AB251" s="111" t="e">
        <f>IF(AB247="Year over Year",AJ251,IF(AB247="3-Year Average",AVERAGE(AI251:AJ251),IF(AB247="5-Year Average",AVERAGE(AG251:AJ251),"")))</f>
        <v>#DIV/0!</v>
      </c>
      <c r="AC251" s="62"/>
      <c r="AD251" s="22" t="s">
        <v>51</v>
      </c>
      <c r="AE251" s="23"/>
      <c r="AF251" s="24"/>
      <c r="AG251" s="63" t="str">
        <f t="shared" si="87"/>
        <v/>
      </c>
      <c r="AH251" s="63" t="str">
        <f t="shared" si="88"/>
        <v/>
      </c>
      <c r="AI251" s="63" t="str">
        <f t="shared" si="89"/>
        <v/>
      </c>
      <c r="AJ251" s="63" t="str">
        <f t="shared" si="90"/>
        <v/>
      </c>
    </row>
    <row r="252" spans="1:41" ht="18.75" customHeight="1" x14ac:dyDescent="0.2">
      <c r="B252" s="42"/>
      <c r="C252" s="16"/>
      <c r="D252" s="128" t="s">
        <v>52</v>
      </c>
      <c r="E252" s="129"/>
      <c r="F252" s="18"/>
      <c r="G252" s="18"/>
      <c r="H252" s="18"/>
      <c r="I252" s="18"/>
      <c r="J252" s="18"/>
      <c r="K252" s="18"/>
      <c r="L252" s="17"/>
      <c r="M252" s="18"/>
      <c r="N252" s="18"/>
      <c r="O252" s="18"/>
      <c r="P252" s="18"/>
      <c r="Q252" s="18"/>
      <c r="R252" s="18"/>
      <c r="T252" s="91" t="s">
        <v>53</v>
      </c>
      <c r="U252" s="92"/>
      <c r="V252" s="93"/>
      <c r="W252" s="106" t="str">
        <f>IF(W249&gt;10000,"Large Cap",IF(AND(10000&gt;W249,2000&lt;W249),"Mid Cap",IF(AND(2000&gt;W249,W249&gt;50),"Small Cap",IF(W249&lt;50,"Micro Cap",NA))))</f>
        <v>Micro Cap</v>
      </c>
      <c r="X252" s="61"/>
      <c r="AB252" s="117"/>
      <c r="AC252" s="21"/>
    </row>
    <row r="253" spans="1:41" ht="18.75" customHeight="1" thickBot="1" x14ac:dyDescent="0.25">
      <c r="B253" s="42"/>
      <c r="C253" s="16"/>
      <c r="D253" s="128" t="s">
        <v>54</v>
      </c>
      <c r="E253" s="129"/>
      <c r="F253" s="18"/>
      <c r="G253" s="18"/>
      <c r="H253" s="18"/>
      <c r="I253" s="18"/>
      <c r="J253" s="18"/>
      <c r="K253" s="18"/>
      <c r="L253" s="25"/>
      <c r="M253" s="18"/>
      <c r="N253" s="18"/>
      <c r="O253" s="18"/>
      <c r="P253" s="18"/>
      <c r="Q253" s="18"/>
      <c r="R253" s="18"/>
      <c r="T253" s="22" t="s">
        <v>55</v>
      </c>
      <c r="W253" s="107"/>
      <c r="X253" s="62"/>
      <c r="Y253" s="103" t="s">
        <v>2</v>
      </c>
      <c r="Z253" s="114"/>
      <c r="AA253" s="115"/>
      <c r="AB253" s="118"/>
      <c r="AD253" s="101" t="s">
        <v>56</v>
      </c>
      <c r="AE253" s="102"/>
      <c r="AF253" s="133">
        <f>M247</f>
        <v>2013</v>
      </c>
      <c r="AG253" s="133">
        <f>N247</f>
        <v>2014</v>
      </c>
      <c r="AH253" s="133">
        <f>O247</f>
        <v>2015</v>
      </c>
      <c r="AI253" s="133">
        <f>P247</f>
        <v>2016</v>
      </c>
      <c r="AJ253" s="133">
        <f>Q247</f>
        <v>2017</v>
      </c>
    </row>
    <row r="254" spans="1:41" ht="18.75" hidden="1" customHeight="1" x14ac:dyDescent="0.2">
      <c r="B254" s="42"/>
      <c r="C254" s="16"/>
      <c r="D254" s="128"/>
      <c r="E254" s="129"/>
      <c r="F254" s="18"/>
      <c r="G254" s="18"/>
      <c r="H254" s="18"/>
      <c r="I254" s="18"/>
      <c r="J254" s="18"/>
      <c r="K254" s="18"/>
      <c r="L254" s="25"/>
      <c r="M254" s="18"/>
      <c r="N254" s="18"/>
      <c r="O254" s="18"/>
      <c r="P254" s="18"/>
      <c r="Q254" s="18"/>
      <c r="R254" s="18"/>
      <c r="T254" s="22"/>
      <c r="W254" s="95"/>
      <c r="X254" s="62"/>
      <c r="Y254" s="52"/>
      <c r="Z254" s="53"/>
      <c r="AA254" s="96"/>
      <c r="AB254" s="119"/>
      <c r="AD254" s="54"/>
      <c r="AE254" s="55"/>
      <c r="AF254" s="56"/>
      <c r="AG254" s="56"/>
      <c r="AH254" s="56"/>
      <c r="AI254" s="56"/>
      <c r="AJ254" s="56"/>
    </row>
    <row r="255" spans="1:41" ht="18.75" hidden="1" customHeight="1" x14ac:dyDescent="0.2">
      <c r="B255" s="42"/>
      <c r="C255" s="16"/>
      <c r="D255" s="128"/>
      <c r="E255" s="129"/>
      <c r="F255" s="18"/>
      <c r="G255" s="18"/>
      <c r="H255" s="18"/>
      <c r="I255" s="18"/>
      <c r="J255" s="18"/>
      <c r="K255" s="18"/>
      <c r="L255" s="25"/>
      <c r="M255" s="18"/>
      <c r="N255" s="18"/>
      <c r="O255" s="18"/>
      <c r="P255" s="18"/>
      <c r="Q255" s="18"/>
      <c r="R255" s="18"/>
      <c r="T255" s="22"/>
      <c r="W255" s="95"/>
      <c r="X255" s="62"/>
      <c r="Y255" s="52"/>
      <c r="Z255" s="53"/>
      <c r="AA255" s="96"/>
      <c r="AB255" s="119"/>
      <c r="AD255" s="54"/>
      <c r="AE255" s="55"/>
      <c r="AF255" s="56"/>
      <c r="AG255" s="56"/>
      <c r="AH255" s="56"/>
      <c r="AI255" s="56"/>
      <c r="AJ255" s="56"/>
    </row>
    <row r="256" spans="1:41" ht="18.75" customHeight="1" x14ac:dyDescent="0.2">
      <c r="B256" s="42"/>
      <c r="C256" s="16"/>
      <c r="D256" s="128" t="s">
        <v>57</v>
      </c>
      <c r="E256" s="129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T256" s="48"/>
      <c r="Y256" s="91" t="s">
        <v>20</v>
      </c>
      <c r="Z256" s="91"/>
      <c r="AA256" s="92"/>
      <c r="AB256" s="108" t="e">
        <f>AVERAGE(G262:J262)/AVERAGE(G265:J265)</f>
        <v>#DIV/0!</v>
      </c>
      <c r="AD256" s="27" t="s">
        <v>29</v>
      </c>
      <c r="AE256" s="28"/>
      <c r="AF256" s="29" t="str">
        <f>IF(M248="","",M248)</f>
        <v/>
      </c>
      <c r="AG256" s="29" t="str">
        <f>IF(N248="","",N248)</f>
        <v/>
      </c>
      <c r="AH256" s="29" t="str">
        <f>IF(O248="","",O248)</f>
        <v/>
      </c>
      <c r="AI256" s="29" t="str">
        <f>IF(P248="","",P248)</f>
        <v/>
      </c>
      <c r="AJ256" s="29" t="str">
        <f>IF(Q248="","",Q248)</f>
        <v/>
      </c>
    </row>
    <row r="257" spans="2:38" ht="18.75" customHeight="1" thickBot="1" x14ac:dyDescent="0.25">
      <c r="B257" s="42"/>
      <c r="C257" s="16"/>
      <c r="D257" s="237" t="s">
        <v>58</v>
      </c>
      <c r="E257" s="238"/>
      <c r="F257" s="157"/>
      <c r="G257" s="157"/>
      <c r="H257" s="157"/>
      <c r="I257" s="157"/>
      <c r="J257" s="157"/>
      <c r="K257" s="18"/>
      <c r="L257" s="20"/>
      <c r="M257" s="157"/>
      <c r="N257" s="157"/>
      <c r="O257" s="157"/>
      <c r="P257" s="157"/>
      <c r="Q257" s="157"/>
      <c r="R257" s="157"/>
      <c r="T257" s="98" t="s">
        <v>59</v>
      </c>
      <c r="U257" s="99"/>
      <c r="V257" s="99"/>
      <c r="W257" s="99"/>
      <c r="Y257" s="22" t="s">
        <v>21</v>
      </c>
      <c r="Z257" s="22"/>
      <c r="AA257" s="90"/>
      <c r="AB257" s="108" t="e">
        <f>AVERAGE(G263:J263)/AVERAGE(G268:J268)</f>
        <v>#DIV/0!</v>
      </c>
      <c r="AD257" s="27" t="s">
        <v>60</v>
      </c>
      <c r="AE257" s="28"/>
      <c r="AF257" s="64" t="str">
        <f>IF(OR(M248="",M250=""),"",M250/M248)</f>
        <v/>
      </c>
      <c r="AG257" s="64" t="str">
        <f>IF(OR(N248="",N250=""),"",N250/N248)</f>
        <v/>
      </c>
      <c r="AH257" s="64" t="str">
        <f>IF(OR(O248="",O250=""),"",O250/O248)</f>
        <v/>
      </c>
      <c r="AI257" s="64" t="str">
        <f>IF(OR(P248="",P250=""),"",P250/P248)</f>
        <v/>
      </c>
      <c r="AJ257" s="64" t="str">
        <f>IF(OR(Q248="",Q250=""),"",Q250/Q248)</f>
        <v/>
      </c>
    </row>
    <row r="258" spans="2:38" ht="18.75" customHeight="1" x14ac:dyDescent="0.2">
      <c r="B258" s="43"/>
      <c r="C258" s="19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T258" s="91" t="s">
        <v>13</v>
      </c>
      <c r="U258" s="91"/>
      <c r="V258" s="92"/>
      <c r="W258" s="108" t="str">
        <f>IF(R253&gt;0,W248/R253,"")</f>
        <v/>
      </c>
      <c r="Y258" s="22" t="s">
        <v>22</v>
      </c>
      <c r="Z258" s="22"/>
      <c r="AA258" s="90"/>
      <c r="AB258" s="108" t="e">
        <f>AVERAGE(G266:J266)/AVERAGE(G268:J268)</f>
        <v>#DIV/0!</v>
      </c>
      <c r="AD258" s="27" t="s">
        <v>47</v>
      </c>
      <c r="AE258" s="28"/>
      <c r="AF258" s="29" t="str">
        <f>IF(M251="","",M251)</f>
        <v/>
      </c>
      <c r="AG258" s="29" t="str">
        <f>IF(N251="","",N251)</f>
        <v/>
      </c>
      <c r="AH258" s="29" t="str">
        <f>IF(O251="","",O251)</f>
        <v/>
      </c>
      <c r="AI258" s="29" t="str">
        <f>IF(P251="","",P251)</f>
        <v/>
      </c>
      <c r="AJ258" s="29" t="str">
        <f>IF(Q251="","",Q251)</f>
        <v/>
      </c>
    </row>
    <row r="259" spans="2:38" ht="18.75" customHeight="1" thickBot="1" x14ac:dyDescent="0.3">
      <c r="B259" s="44"/>
      <c r="C259" s="26"/>
      <c r="D259" s="130" t="s">
        <v>61</v>
      </c>
      <c r="E259" s="131"/>
      <c r="F259" s="240" t="str">
        <f>F247</f>
        <v>2016-10</v>
      </c>
      <c r="G259" s="240" t="str">
        <f>G247</f>
        <v>2017-01</v>
      </c>
      <c r="H259" s="240" t="str">
        <f>H247</f>
        <v>2017-04</v>
      </c>
      <c r="I259" s="240" t="str">
        <f>I247</f>
        <v>2017-07</v>
      </c>
      <c r="J259" s="240" t="str">
        <f>J247</f>
        <v>2017-10</v>
      </c>
      <c r="K259" s="253"/>
      <c r="L259" s="155"/>
      <c r="M259" s="241">
        <f>M247</f>
        <v>2013</v>
      </c>
      <c r="N259" s="241">
        <f>N247</f>
        <v>2014</v>
      </c>
      <c r="O259" s="241">
        <f>O247</f>
        <v>2015</v>
      </c>
      <c r="P259" s="241">
        <f>P247</f>
        <v>2016</v>
      </c>
      <c r="Q259" s="241">
        <f>Q247</f>
        <v>2017</v>
      </c>
      <c r="R259" s="242"/>
      <c r="T259" s="91" t="s">
        <v>15</v>
      </c>
      <c r="U259" s="91"/>
      <c r="V259" s="92"/>
      <c r="W259" s="108" t="e">
        <f>W248/((J263-J267)/J256)</f>
        <v>#DIV/0!</v>
      </c>
      <c r="X259" s="65"/>
      <c r="Y259" s="48"/>
      <c r="AB259" s="13"/>
      <c r="AD259" s="27" t="s">
        <v>62</v>
      </c>
      <c r="AE259" s="28"/>
      <c r="AF259" s="64" t="str">
        <f>IF(OR(M248="",M251=""),"",M251/M248)</f>
        <v/>
      </c>
      <c r="AG259" s="64" t="str">
        <f>IF(OR(N248="",N251=""),"",N251/N248)</f>
        <v/>
      </c>
      <c r="AH259" s="64" t="str">
        <f>IF(OR(O248="",O251=""),"",O251/O248)</f>
        <v/>
      </c>
      <c r="AI259" s="64" t="str">
        <f>IF(OR(P248="",P251=""),"",P251/P248)</f>
        <v/>
      </c>
      <c r="AJ259" s="64" t="str">
        <f>IF(OR(Q248="",Q251=""),"",Q251/Q248)</f>
        <v/>
      </c>
      <c r="AK259" s="30"/>
      <c r="AL259" s="14"/>
    </row>
    <row r="260" spans="2:38" ht="18.75" customHeight="1" thickBot="1" x14ac:dyDescent="0.25">
      <c r="B260" s="40"/>
      <c r="C260" s="11"/>
      <c r="D260" s="235" t="s">
        <v>63</v>
      </c>
      <c r="E260" s="243"/>
      <c r="F260" s="154"/>
      <c r="G260" s="154"/>
      <c r="H260" s="154"/>
      <c r="I260" s="154"/>
      <c r="J260" s="154"/>
      <c r="K260" s="18"/>
      <c r="L260" s="17"/>
      <c r="M260" s="154"/>
      <c r="N260" s="154"/>
      <c r="O260" s="154"/>
      <c r="P260" s="154"/>
      <c r="Q260" s="154"/>
      <c r="R260" s="154"/>
      <c r="T260" s="91" t="s">
        <v>14</v>
      </c>
      <c r="U260" s="91"/>
      <c r="V260" s="92"/>
      <c r="W260" s="108" t="e">
        <f>W248/(R248/R256)</f>
        <v>#DIV/0!</v>
      </c>
      <c r="X260" s="66"/>
      <c r="Y260" s="103" t="s">
        <v>36</v>
      </c>
      <c r="Z260" s="114"/>
      <c r="AA260" s="114"/>
      <c r="AB260" s="120"/>
      <c r="AD260" s="27" t="s">
        <v>31</v>
      </c>
      <c r="AE260" s="28"/>
      <c r="AF260" s="29" t="str">
        <f t="shared" ref="AF260:AF261" si="91">IF(M252="","",M252)</f>
        <v/>
      </c>
      <c r="AG260" s="29" t="str">
        <f t="shared" ref="AG260:AG261" si="92">IF(N252="","",N252)</f>
        <v/>
      </c>
      <c r="AH260" s="29" t="str">
        <f t="shared" ref="AH260:AH261" si="93">IF(O252="","",O252)</f>
        <v/>
      </c>
      <c r="AI260" s="29" t="str">
        <f t="shared" ref="AI260:AI261" si="94">IF(P252="","",P252)</f>
        <v/>
      </c>
      <c r="AJ260" s="29" t="str">
        <f t="shared" ref="AJ260:AJ261" si="95">IF(Q252="","",Q252)</f>
        <v/>
      </c>
      <c r="AL260" s="67"/>
    </row>
    <row r="261" spans="2:38" ht="18.75" customHeight="1" x14ac:dyDescent="0.2">
      <c r="B261" s="42"/>
      <c r="C261" s="16"/>
      <c r="D261" s="244" t="s">
        <v>64</v>
      </c>
      <c r="E261" s="245"/>
      <c r="F261" s="126"/>
      <c r="G261" s="126"/>
      <c r="H261" s="126"/>
      <c r="I261" s="126"/>
      <c r="J261" s="126"/>
      <c r="K261" s="126"/>
      <c r="L261" s="31"/>
      <c r="M261" s="126"/>
      <c r="N261" s="126"/>
      <c r="O261" s="126"/>
      <c r="P261" s="126"/>
      <c r="Q261" s="126"/>
      <c r="R261" s="126"/>
      <c r="T261" s="22" t="s">
        <v>17</v>
      </c>
      <c r="U261" s="22"/>
      <c r="V261" s="23"/>
      <c r="W261" s="108" t="e">
        <f>IF(AVERAGE(O271:Q271)&gt;0,W248/(AVERAGE(O271:Q271)/R256),"")</f>
        <v>#DIV/0!</v>
      </c>
      <c r="X261" s="66"/>
      <c r="Y261" s="49" t="s">
        <v>29</v>
      </c>
      <c r="Z261" s="49"/>
      <c r="AA261" s="97"/>
      <c r="AB261" s="121">
        <f>R248</f>
        <v>0</v>
      </c>
      <c r="AD261" s="27" t="s">
        <v>32</v>
      </c>
      <c r="AE261" s="28"/>
      <c r="AF261" s="68" t="str">
        <f t="shared" si="91"/>
        <v/>
      </c>
      <c r="AG261" s="68" t="str">
        <f t="shared" si="92"/>
        <v/>
      </c>
      <c r="AH261" s="68" t="str">
        <f t="shared" si="93"/>
        <v/>
      </c>
      <c r="AI261" s="68" t="str">
        <f t="shared" si="94"/>
        <v/>
      </c>
      <c r="AJ261" s="68" t="str">
        <f t="shared" si="95"/>
        <v/>
      </c>
      <c r="AL261" s="67"/>
    </row>
    <row r="262" spans="2:38" ht="18.75" customHeight="1" x14ac:dyDescent="0.25">
      <c r="B262" s="44"/>
      <c r="C262" s="26"/>
      <c r="D262" s="244" t="s">
        <v>65</v>
      </c>
      <c r="E262" s="245"/>
      <c r="F262" s="126"/>
      <c r="G262" s="126"/>
      <c r="H262" s="126"/>
      <c r="I262" s="126"/>
      <c r="J262" s="126"/>
      <c r="K262" s="126"/>
      <c r="L262" s="31"/>
      <c r="M262" s="126"/>
      <c r="N262" s="126"/>
      <c r="O262" s="126"/>
      <c r="P262" s="126"/>
      <c r="Q262" s="126"/>
      <c r="R262" s="126"/>
      <c r="T262" s="91" t="s">
        <v>16</v>
      </c>
      <c r="U262" s="91"/>
      <c r="V262" s="92"/>
      <c r="W262" s="108" t="e">
        <f>IF(AVERAGE(O273:Q273)&gt;0,W249/AVERAGE(O273:Q273),"")</f>
        <v>#DIV/0!</v>
      </c>
      <c r="Y262" s="49" t="s">
        <v>66</v>
      </c>
      <c r="Z262" s="49"/>
      <c r="AA262" s="97"/>
      <c r="AB262" s="121">
        <f>R250</f>
        <v>0</v>
      </c>
      <c r="AD262" s="27" t="s">
        <v>67</v>
      </c>
      <c r="AE262" s="28"/>
      <c r="AF262" s="29" t="str">
        <f>IF(M256="","",M256)</f>
        <v/>
      </c>
      <c r="AG262" s="29" t="str">
        <f>IF(N256="","",N256)</f>
        <v/>
      </c>
      <c r="AH262" s="29" t="str">
        <f>IF(O256="","",O256)</f>
        <v/>
      </c>
      <c r="AI262" s="29" t="str">
        <f>IF(P256="","",P256)</f>
        <v/>
      </c>
      <c r="AJ262" s="29" t="str">
        <f>IF(Q256="","",Q256)</f>
        <v/>
      </c>
      <c r="AL262" s="67"/>
    </row>
    <row r="263" spans="2:38" ht="18.75" customHeight="1" x14ac:dyDescent="0.2">
      <c r="B263" s="43"/>
      <c r="C263" s="19"/>
      <c r="D263" s="244" t="s">
        <v>68</v>
      </c>
      <c r="E263" s="245"/>
      <c r="F263" s="126"/>
      <c r="G263" s="126"/>
      <c r="H263" s="126"/>
      <c r="I263" s="126"/>
      <c r="J263" s="126"/>
      <c r="K263" s="126"/>
      <c r="L263" s="127"/>
      <c r="M263" s="126"/>
      <c r="N263" s="126"/>
      <c r="O263" s="126"/>
      <c r="P263" s="126"/>
      <c r="Q263" s="126"/>
      <c r="R263" s="126"/>
      <c r="T263" s="91" t="s">
        <v>18</v>
      </c>
      <c r="U263" s="91"/>
      <c r="V263" s="92"/>
      <c r="W263" s="108" t="e">
        <f>(W249+(J264+J266)-J260)/J257</f>
        <v>#DIV/0!</v>
      </c>
      <c r="Y263" s="49" t="s">
        <v>31</v>
      </c>
      <c r="Z263" s="49"/>
      <c r="AA263" s="97"/>
      <c r="AB263" s="121">
        <f>R252</f>
        <v>0</v>
      </c>
      <c r="AD263" s="27" t="s">
        <v>69</v>
      </c>
      <c r="AE263" s="28"/>
      <c r="AF263" s="69" t="str">
        <f>IF(OR(M268="",M256="",M263="",M267=""),"",(M263-M267)/M256)</f>
        <v/>
      </c>
      <c r="AG263" s="69" t="str">
        <f>IF(OR(N268="",N256="",N263="",N267=""),"",(N263-N267)/N256)</f>
        <v/>
      </c>
      <c r="AH263" s="69" t="str">
        <f>IF(OR(O268="",O256="",O263="",O267=""),"",(O263-O267)/O256)</f>
        <v/>
      </c>
      <c r="AI263" s="69" t="str">
        <f>IF(OR(P268="",P256="",P263="",P267=""),"",(P263-P267)/P256)</f>
        <v/>
      </c>
      <c r="AJ263" s="69" t="str">
        <f>IF(OR(Q268="",Q256="",Q263="",Q267=""),"",(Q263-Q267)/Q256)</f>
        <v/>
      </c>
      <c r="AL263" s="67"/>
    </row>
    <row r="264" spans="2:38" ht="18.75" customHeight="1" x14ac:dyDescent="0.2">
      <c r="B264" s="42"/>
      <c r="C264" s="16"/>
      <c r="D264" s="244" t="s">
        <v>70</v>
      </c>
      <c r="E264" s="245"/>
      <c r="F264" s="126"/>
      <c r="G264" s="126"/>
      <c r="H264" s="126"/>
      <c r="I264" s="126"/>
      <c r="J264" s="126"/>
      <c r="K264" s="126"/>
      <c r="L264" s="17"/>
      <c r="M264" s="126"/>
      <c r="N264" s="126"/>
      <c r="O264" s="126"/>
      <c r="P264" s="126"/>
      <c r="Q264" s="126"/>
      <c r="R264" s="126"/>
      <c r="T264" s="22"/>
      <c r="U264" s="22"/>
      <c r="V264" s="23"/>
      <c r="W264" s="108"/>
      <c r="Y264" s="91" t="s">
        <v>32</v>
      </c>
      <c r="Z264" s="91"/>
      <c r="AA264" s="92"/>
      <c r="AB264" s="122">
        <f>R253</f>
        <v>0</v>
      </c>
      <c r="AL264" s="67"/>
    </row>
    <row r="265" spans="2:38" ht="18.75" customHeight="1" thickBot="1" x14ac:dyDescent="0.25">
      <c r="B265" s="45"/>
      <c r="C265" s="32"/>
      <c r="D265" s="244" t="s">
        <v>71</v>
      </c>
      <c r="E265" s="245"/>
      <c r="F265" s="126"/>
      <c r="G265" s="126"/>
      <c r="H265" s="126"/>
      <c r="I265" s="126"/>
      <c r="J265" s="126"/>
      <c r="K265" s="126"/>
      <c r="L265" s="31"/>
      <c r="M265" s="126"/>
      <c r="N265" s="126"/>
      <c r="O265" s="126"/>
      <c r="P265" s="126"/>
      <c r="Q265" s="126"/>
      <c r="R265" s="126"/>
      <c r="W265" s="13"/>
      <c r="AB265" s="117"/>
      <c r="AD265" s="101" t="s">
        <v>3</v>
      </c>
      <c r="AE265" s="102"/>
      <c r="AF265" s="133">
        <f>M247</f>
        <v>2013</v>
      </c>
      <c r="AG265" s="133">
        <f>N247</f>
        <v>2014</v>
      </c>
      <c r="AH265" s="133">
        <f>O247</f>
        <v>2015</v>
      </c>
      <c r="AI265" s="133">
        <f>P247</f>
        <v>2016</v>
      </c>
      <c r="AJ265" s="133">
        <f>Q247</f>
        <v>2017</v>
      </c>
    </row>
    <row r="266" spans="2:38" ht="18.75" customHeight="1" thickBot="1" x14ac:dyDescent="0.25">
      <c r="B266" s="43"/>
      <c r="C266" s="19"/>
      <c r="D266" s="244" t="s">
        <v>72</v>
      </c>
      <c r="E266" s="245"/>
      <c r="F266" s="126"/>
      <c r="G266" s="126"/>
      <c r="H266" s="126"/>
      <c r="I266" s="126"/>
      <c r="J266" s="126"/>
      <c r="K266" s="126"/>
      <c r="L266" s="125"/>
      <c r="M266" s="126"/>
      <c r="N266" s="126"/>
      <c r="O266" s="126"/>
      <c r="P266" s="126"/>
      <c r="Q266" s="126"/>
      <c r="R266" s="126"/>
      <c r="T266" s="101" t="s">
        <v>3</v>
      </c>
      <c r="U266" s="102"/>
      <c r="V266" s="102"/>
      <c r="W266" s="109"/>
      <c r="Y266" s="103" t="s">
        <v>61</v>
      </c>
      <c r="Z266" s="114"/>
      <c r="AA266" s="114"/>
      <c r="AB266" s="123"/>
      <c r="AD266" s="27" t="s">
        <v>73</v>
      </c>
      <c r="AE266" s="28"/>
      <c r="AF266" s="70" t="str">
        <f>IF(OR(M248="",M252="",M248=0,M252=0),"",M252/M248)</f>
        <v/>
      </c>
      <c r="AG266" s="70" t="str">
        <f>IF(OR(N248="",N252="",N248=0,N252=0),"",N252/N248)</f>
        <v/>
      </c>
      <c r="AH266" s="70" t="str">
        <f>IF(OR(O248="",O252="",O248=0,O252=0),"",O252/O248)</f>
        <v/>
      </c>
      <c r="AI266" s="70" t="str">
        <f>IF(OR(P248="",P252="",P248=0,P252=0),"",P252/P248)</f>
        <v/>
      </c>
      <c r="AJ266" s="70" t="str">
        <f>IF(OR(Q248="",Q252="",Q248=0,Q252=0),"",Q252/Q248)</f>
        <v/>
      </c>
    </row>
    <row r="267" spans="2:38" ht="18.75" customHeight="1" x14ac:dyDescent="0.2">
      <c r="B267" s="46"/>
      <c r="C267" s="34"/>
      <c r="D267" s="244" t="s">
        <v>74</v>
      </c>
      <c r="E267" s="245"/>
      <c r="F267" s="126"/>
      <c r="G267" s="126"/>
      <c r="H267" s="126"/>
      <c r="I267" s="126"/>
      <c r="J267" s="126"/>
      <c r="K267" s="126"/>
      <c r="L267" s="31"/>
      <c r="M267" s="126"/>
      <c r="N267" s="126"/>
      <c r="O267" s="126"/>
      <c r="P267" s="126"/>
      <c r="Q267" s="126"/>
      <c r="R267" s="126"/>
      <c r="T267" s="22" t="s">
        <v>12</v>
      </c>
      <c r="U267" s="22"/>
      <c r="V267" s="23"/>
      <c r="W267" s="110">
        <f>R248</f>
        <v>0</v>
      </c>
      <c r="Y267" s="22" t="s">
        <v>75</v>
      </c>
      <c r="Z267" s="22"/>
      <c r="AA267" s="23"/>
      <c r="AB267" s="121">
        <f>J261</f>
        <v>0</v>
      </c>
      <c r="AD267" s="27" t="s">
        <v>76</v>
      </c>
      <c r="AE267" s="28"/>
      <c r="AF267" s="70" t="str">
        <f>IF(OR(M252="",M266="",M252=0,M266=0),"",M252/M266)</f>
        <v/>
      </c>
      <c r="AG267" s="70" t="str">
        <f>IF(OR(N252="",N266="",N252=0,N266=0),"",N252/N266)</f>
        <v/>
      </c>
      <c r="AH267" s="70" t="str">
        <f>IF(OR(O252="",O266="",O252=0,O266=0),"",O252/O266)</f>
        <v/>
      </c>
      <c r="AI267" s="70" t="str">
        <f>IF(OR(P252="",P266="",P252=0,P266=0),"",P252/P266)</f>
        <v/>
      </c>
      <c r="AJ267" s="70" t="str">
        <f>IF(OR(Q252="",Q266="",Q252=0,Q266=0),"",Q252/Q266)</f>
        <v/>
      </c>
    </row>
    <row r="268" spans="2:38" ht="18.75" customHeight="1" thickBot="1" x14ac:dyDescent="0.25">
      <c r="B268" s="43"/>
      <c r="C268" s="19"/>
      <c r="D268" s="246" t="s">
        <v>77</v>
      </c>
      <c r="E268" s="247"/>
      <c r="F268" s="156"/>
      <c r="G268" s="156"/>
      <c r="H268" s="156"/>
      <c r="I268" s="156"/>
      <c r="J268" s="156"/>
      <c r="K268" s="126"/>
      <c r="L268" s="127"/>
      <c r="M268" s="156"/>
      <c r="N268" s="156"/>
      <c r="O268" s="156"/>
      <c r="P268" s="156"/>
      <c r="Q268" s="156"/>
      <c r="R268" s="156"/>
      <c r="T268" s="49" t="s">
        <v>23</v>
      </c>
      <c r="U268" s="49"/>
      <c r="V268" s="97"/>
      <c r="W268" s="111" t="e">
        <f>(R248-R249)/R248</f>
        <v>#DIV/0!</v>
      </c>
      <c r="Y268" s="49" t="s">
        <v>78</v>
      </c>
      <c r="Z268" s="49"/>
      <c r="AA268" s="97"/>
      <c r="AB268" s="121">
        <f>J262</f>
        <v>0</v>
      </c>
      <c r="AD268" s="27" t="s">
        <v>79</v>
      </c>
      <c r="AE268" s="28"/>
      <c r="AF268" s="70" t="str">
        <f>IF(OR(M252="",M263="",M252=0,M263=0),"",M252/M263)</f>
        <v/>
      </c>
      <c r="AG268" s="70" t="str">
        <f>IF(OR(N252="",N263="",N252=0,N263=0),"",N252/N263)</f>
        <v/>
      </c>
      <c r="AH268" s="70" t="str">
        <f>IF(OR(O252="",O263="",O252=0,O263=0),"",O252/O263)</f>
        <v/>
      </c>
      <c r="AI268" s="70" t="str">
        <f>IF(OR(P252="",P263="",P252=0,P263=0),"",P252/P263)</f>
        <v/>
      </c>
      <c r="AJ268" s="70" t="str">
        <f>IF(OR(Q252="",Q263="",Q252=0,Q263=0),"",Q252/Q263)</f>
        <v/>
      </c>
    </row>
    <row r="269" spans="2:38" ht="18.75" customHeight="1" x14ac:dyDescent="0.2">
      <c r="B269" s="43"/>
      <c r="C269" s="19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T269" s="49" t="s">
        <v>24</v>
      </c>
      <c r="U269" s="49"/>
      <c r="V269" s="97"/>
      <c r="W269" s="111" t="e">
        <f>R252/R248</f>
        <v>#DIV/0!</v>
      </c>
      <c r="Y269" s="22" t="s">
        <v>80</v>
      </c>
      <c r="Z269" s="22"/>
      <c r="AA269" s="23"/>
      <c r="AB269" s="121">
        <f>J265</f>
        <v>0</v>
      </c>
      <c r="AD269" s="27" t="s">
        <v>28</v>
      </c>
      <c r="AE269" s="28"/>
      <c r="AF269" s="33" t="str">
        <f>IF(OR(M248="",M263="",M248=0,M263=0),"",M248/M263)</f>
        <v/>
      </c>
      <c r="AG269" s="33" t="str">
        <f>IF(OR(N248="",N263="",N248=0,N263=0),"",N248/N263)</f>
        <v/>
      </c>
      <c r="AH269" s="33" t="str">
        <f>IF(OR(O248="",O263="",O248=0,O263=0),"",O248/O263)</f>
        <v/>
      </c>
      <c r="AI269" s="33" t="str">
        <f>IF(OR(P248="",P263="",P248=0,P263=0),"",P248/P263)</f>
        <v/>
      </c>
      <c r="AJ269" s="33" t="str">
        <f>IF(OR(Q248="",Q263="",Q248=0,Q263=0),"",Q248/Q263)</f>
        <v/>
      </c>
    </row>
    <row r="270" spans="2:38" ht="18.75" customHeight="1" thickBot="1" x14ac:dyDescent="0.25">
      <c r="B270" s="43"/>
      <c r="C270" s="19"/>
      <c r="D270" s="130" t="s">
        <v>81</v>
      </c>
      <c r="E270" s="131"/>
      <c r="F270" s="240" t="str">
        <f>F247</f>
        <v>2016-10</v>
      </c>
      <c r="G270" s="240" t="str">
        <f>G247</f>
        <v>2017-01</v>
      </c>
      <c r="H270" s="240" t="str">
        <f>H247</f>
        <v>2017-04</v>
      </c>
      <c r="I270" s="240" t="str">
        <f>I247</f>
        <v>2017-07</v>
      </c>
      <c r="J270" s="240" t="str">
        <f>J247</f>
        <v>2017-10</v>
      </c>
      <c r="K270" s="253"/>
      <c r="L270" s="155"/>
      <c r="M270" s="248">
        <f>M247</f>
        <v>2013</v>
      </c>
      <c r="N270" s="248">
        <f>N247</f>
        <v>2014</v>
      </c>
      <c r="O270" s="248">
        <f>O247</f>
        <v>2015</v>
      </c>
      <c r="P270" s="248">
        <f>P247</f>
        <v>2016</v>
      </c>
      <c r="Q270" s="248">
        <f>Q247</f>
        <v>2017</v>
      </c>
      <c r="R270" s="242" t="s">
        <v>42</v>
      </c>
      <c r="T270" s="49" t="s">
        <v>25</v>
      </c>
      <c r="U270" s="49"/>
      <c r="V270" s="97"/>
      <c r="W270" s="111" t="e">
        <f>R251/R248</f>
        <v>#DIV/0!</v>
      </c>
      <c r="Y270" s="22" t="s">
        <v>82</v>
      </c>
      <c r="AB270" s="121">
        <f>J264+J266</f>
        <v>0</v>
      </c>
      <c r="AK270" s="35"/>
    </row>
    <row r="271" spans="2:38" ht="18.75" customHeight="1" thickBot="1" x14ac:dyDescent="0.3">
      <c r="B271" s="47"/>
      <c r="C271" s="36"/>
      <c r="D271" s="235" t="s">
        <v>83</v>
      </c>
      <c r="E271" s="236"/>
      <c r="F271" s="154"/>
      <c r="G271" s="154"/>
      <c r="H271" s="154"/>
      <c r="I271" s="154"/>
      <c r="J271" s="154"/>
      <c r="K271" s="18"/>
      <c r="L271" s="17"/>
      <c r="M271" s="154"/>
      <c r="N271" s="154"/>
      <c r="O271" s="154"/>
      <c r="P271" s="154"/>
      <c r="Q271" s="154"/>
      <c r="R271" s="154"/>
      <c r="W271" s="13"/>
      <c r="Y271" s="22"/>
      <c r="AB271" s="121"/>
      <c r="AD271" s="101" t="s">
        <v>2</v>
      </c>
      <c r="AE271" s="102"/>
      <c r="AF271" s="132">
        <f>M247</f>
        <v>2013</v>
      </c>
      <c r="AG271" s="132">
        <f>N247</f>
        <v>2014</v>
      </c>
      <c r="AH271" s="132">
        <f>O247</f>
        <v>2015</v>
      </c>
      <c r="AI271" s="132">
        <f>P247</f>
        <v>2016</v>
      </c>
      <c r="AJ271" s="132">
        <f>Q247</f>
        <v>2017</v>
      </c>
      <c r="AK271" s="35"/>
    </row>
    <row r="272" spans="2:38" ht="18.75" customHeight="1" thickBot="1" x14ac:dyDescent="0.25">
      <c r="B272" s="43"/>
      <c r="C272" s="19"/>
      <c r="D272" s="128" t="s">
        <v>84</v>
      </c>
      <c r="E272" s="129"/>
      <c r="F272" s="18"/>
      <c r="G272" s="18"/>
      <c r="H272" s="18"/>
      <c r="I272" s="18"/>
      <c r="J272" s="18"/>
      <c r="K272" s="18"/>
      <c r="L272" s="17"/>
      <c r="M272" s="18"/>
      <c r="N272" s="18"/>
      <c r="O272" s="18"/>
      <c r="P272" s="18"/>
      <c r="Q272" s="18"/>
      <c r="R272" s="18"/>
      <c r="T272" s="98" t="s">
        <v>4</v>
      </c>
      <c r="U272" s="99"/>
      <c r="V272" s="99"/>
      <c r="W272" s="112"/>
      <c r="Y272" s="103" t="s">
        <v>85</v>
      </c>
      <c r="Z272" s="114"/>
      <c r="AA272" s="114"/>
      <c r="AB272" s="123"/>
      <c r="AD272" s="27" t="s">
        <v>20</v>
      </c>
      <c r="AE272" s="28"/>
      <c r="AF272" s="33" t="str">
        <f t="shared" ref="AF272:AF273" si="96">IF(OR(M262="",M265="",M262=0,M265=0),"",M262/M265)</f>
        <v/>
      </c>
      <c r="AG272" s="33" t="str">
        <f t="shared" ref="AG272:AG273" si="97">IF(OR(N262="",N265="",N262=0,N265=0),"",N262/N265)</f>
        <v/>
      </c>
      <c r="AH272" s="33" t="str">
        <f t="shared" ref="AH272:AH273" si="98">IF(OR(O262="",O265="",O262=0,O265=0),"",O262/O265)</f>
        <v/>
      </c>
      <c r="AI272" s="33" t="str">
        <f t="shared" ref="AI272:AI273" si="99">IF(OR(P262="",P265="",P262=0,P265=0),"",P262/P265)</f>
        <v/>
      </c>
      <c r="AJ272" s="33" t="str">
        <f t="shared" ref="AJ272:AJ273" si="100">IF(OR(Q262="",Q265="",Q262=0,Q265=0),"",Q262/Q265)</f>
        <v/>
      </c>
      <c r="AK272" s="35"/>
    </row>
    <row r="273" spans="1:41" ht="18.75" customHeight="1" thickBot="1" x14ac:dyDescent="0.25">
      <c r="B273" s="43"/>
      <c r="C273" s="19"/>
      <c r="D273" s="237" t="s">
        <v>86</v>
      </c>
      <c r="E273" s="238"/>
      <c r="F273" s="157"/>
      <c r="G273" s="157"/>
      <c r="H273" s="157"/>
      <c r="I273" s="157"/>
      <c r="J273" s="157"/>
      <c r="K273" s="18"/>
      <c r="L273" s="17"/>
      <c r="M273" s="157"/>
      <c r="N273" s="157"/>
      <c r="O273" s="157"/>
      <c r="P273" s="157"/>
      <c r="Q273" s="157"/>
      <c r="R273" s="157"/>
      <c r="T273" s="91" t="s">
        <v>26</v>
      </c>
      <c r="U273" s="91"/>
      <c r="V273" s="92"/>
      <c r="W273" s="111" t="e">
        <f>R252/AVERAGE(G268:J268)</f>
        <v>#DIV/0!</v>
      </c>
      <c r="Y273" s="49" t="s">
        <v>87</v>
      </c>
      <c r="Z273" s="49"/>
      <c r="AA273" s="97"/>
      <c r="AB273" s="105" t="e">
        <f>AVERAGE(O271:Q271)</f>
        <v>#DIV/0!</v>
      </c>
      <c r="AD273" s="27" t="s">
        <v>21</v>
      </c>
      <c r="AE273" s="28"/>
      <c r="AF273" s="33" t="str">
        <f t="shared" si="96"/>
        <v/>
      </c>
      <c r="AG273" s="33" t="str">
        <f t="shared" si="97"/>
        <v/>
      </c>
      <c r="AH273" s="33" t="str">
        <f t="shared" si="98"/>
        <v/>
      </c>
      <c r="AI273" s="33" t="str">
        <f t="shared" si="99"/>
        <v/>
      </c>
      <c r="AJ273" s="33" t="str">
        <f t="shared" si="100"/>
        <v/>
      </c>
      <c r="AK273" s="35"/>
    </row>
    <row r="274" spans="1:41" ht="18.75" customHeight="1" x14ac:dyDescent="0.2">
      <c r="B274" s="40"/>
      <c r="C274" s="11"/>
      <c r="T274" s="91" t="s">
        <v>27</v>
      </c>
      <c r="U274" s="91"/>
      <c r="V274" s="92"/>
      <c r="W274" s="111" t="e">
        <f>R252/AVERAGE(G263:J263)</f>
        <v>#DIV/0!</v>
      </c>
      <c r="Y274" s="22" t="s">
        <v>88</v>
      </c>
      <c r="Z274" s="22"/>
      <c r="AB274" s="124" t="e">
        <f>ABS(AVERAGE(O272:Q272))</f>
        <v>#DIV/0!</v>
      </c>
      <c r="AD274" s="27" t="s">
        <v>22</v>
      </c>
      <c r="AE274" s="28"/>
      <c r="AF274" s="33" t="str">
        <f>IF(OR(M268="",M266="",M266=0,M268=0),"",M268/M266)</f>
        <v/>
      </c>
      <c r="AG274" s="33" t="str">
        <f>IF(OR(N268="",N266="",N266=0,N268=0),"",N268/N266)</f>
        <v/>
      </c>
      <c r="AH274" s="33" t="str">
        <f>IF(OR(O268="",O266="",O266=0,O268=0),"",O268/O266)</f>
        <v/>
      </c>
      <c r="AI274" s="33" t="str">
        <f>IF(OR(P268="",P266="",P266=0,P268=0),"",P268/P266)</f>
        <v/>
      </c>
      <c r="AJ274" s="33" t="str">
        <f>IF(OR(Q268="",Q266="",Q266=0,Q268=0),"",Q268/Q266)</f>
        <v/>
      </c>
    </row>
    <row r="275" spans="1:41" ht="18.75" customHeight="1" x14ac:dyDescent="0.2">
      <c r="B275" s="40"/>
      <c r="C275" s="11"/>
      <c r="T275" s="91" t="s">
        <v>89</v>
      </c>
      <c r="U275" s="91"/>
      <c r="V275" s="92"/>
      <c r="W275" s="111" t="e">
        <f>R251/(AVERAGE(G268:J268)+(AVERAGE(G263:J263)-AVERAGE(G265:J265)))</f>
        <v>#DIV/0!</v>
      </c>
      <c r="Y275" s="22" t="s">
        <v>90</v>
      </c>
      <c r="Z275" s="22"/>
      <c r="AA275" s="23"/>
      <c r="AB275" s="105" t="e">
        <f>AVERAGE(O273:Q273)</f>
        <v>#DIV/0!</v>
      </c>
    </row>
    <row r="276" spans="1:41" ht="18.75" customHeight="1" x14ac:dyDescent="0.2">
      <c r="B276" s="43"/>
      <c r="C276" s="19"/>
      <c r="T276" s="91" t="s">
        <v>28</v>
      </c>
      <c r="U276" s="91"/>
      <c r="V276" s="92"/>
      <c r="W276" s="108" t="e">
        <f>R248/AVERAGE(G263:J263)</f>
        <v>#DIV/0!</v>
      </c>
      <c r="Y276" s="48"/>
      <c r="AB276" s="48"/>
      <c r="AK276" s="37"/>
    </row>
    <row r="277" spans="1:41" s="175" customFormat="1" ht="18.75" customHeight="1" thickBot="1" x14ac:dyDescent="0.35">
      <c r="A277" s="166"/>
      <c r="B277" s="167"/>
      <c r="C277" s="168"/>
      <c r="D277" s="169"/>
      <c r="E277" s="168"/>
      <c r="F277" s="170"/>
      <c r="G277" s="170"/>
      <c r="H277" s="170"/>
      <c r="I277" s="170"/>
      <c r="J277" s="170"/>
      <c r="K277" s="170"/>
      <c r="L277" s="171"/>
      <c r="M277" s="172"/>
      <c r="N277" s="173"/>
      <c r="O277" s="173"/>
      <c r="P277" s="173"/>
      <c r="Q277" s="171"/>
      <c r="R277" s="171"/>
      <c r="S277" s="168"/>
      <c r="T277" s="174"/>
      <c r="Y277" s="174"/>
      <c r="AB277" s="176"/>
      <c r="AD277" s="174"/>
    </row>
    <row r="278" spans="1:41" s="138" customFormat="1" ht="18.75" customHeight="1" thickBot="1" x14ac:dyDescent="0.25">
      <c r="D278" s="163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T278" s="163"/>
      <c r="Y278" s="163"/>
      <c r="AB278" s="165"/>
      <c r="AD278" s="163"/>
    </row>
    <row r="279" spans="1:41" s="153" customFormat="1" ht="18.75" customHeight="1" thickBot="1" x14ac:dyDescent="0.3">
      <c r="A279" s="139">
        <v>9</v>
      </c>
      <c r="B279" s="140"/>
      <c r="C279" s="141"/>
      <c r="D279" s="142"/>
      <c r="E279" s="143"/>
      <c r="F279" s="144"/>
      <c r="G279" s="145"/>
      <c r="H279" s="145"/>
      <c r="I279" s="145"/>
      <c r="J279" s="145"/>
      <c r="K279" s="252"/>
      <c r="L279" s="159"/>
      <c r="M279" s="147"/>
      <c r="N279" s="148"/>
      <c r="O279" s="148"/>
      <c r="P279" s="148"/>
      <c r="Q279" s="148"/>
      <c r="R279" s="148"/>
      <c r="S279" s="148"/>
      <c r="T279" s="161" t="s">
        <v>7</v>
      </c>
      <c r="U279" s="258" t="s">
        <v>34</v>
      </c>
      <c r="V279" s="259"/>
      <c r="W279" s="162"/>
      <c r="X279" s="148"/>
      <c r="Y279" s="149"/>
      <c r="Z279" s="148"/>
      <c r="AA279" s="148"/>
      <c r="AB279" s="150"/>
      <c r="AC279" s="151"/>
      <c r="AD279" s="152"/>
      <c r="AE279" s="146"/>
      <c r="AF279" s="146"/>
      <c r="AG279" s="151"/>
      <c r="AH279" s="151"/>
      <c r="AI279" s="151"/>
      <c r="AJ279" s="151"/>
      <c r="AK279" s="151"/>
      <c r="AL279" s="151"/>
      <c r="AM279" s="151"/>
      <c r="AN279" s="146"/>
      <c r="AO279" s="146"/>
    </row>
    <row r="280" spans="1:41" ht="10.5" customHeight="1" x14ac:dyDescent="0.25">
      <c r="B280" s="39"/>
      <c r="C280" s="8"/>
      <c r="D280" s="9"/>
      <c r="E280" s="59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50"/>
      <c r="U280" s="10"/>
      <c r="V280" s="10"/>
      <c r="W280" s="10"/>
      <c r="X280" s="10"/>
      <c r="Y280" s="50"/>
      <c r="Z280" s="10"/>
      <c r="AA280" s="10"/>
      <c r="AB280" s="60"/>
      <c r="AC280" s="10"/>
      <c r="AD280" s="50"/>
      <c r="AE280" s="10"/>
      <c r="AF280" s="10"/>
      <c r="AG280" s="10"/>
      <c r="AH280" s="10"/>
      <c r="AI280" s="10"/>
      <c r="AJ280" s="10"/>
      <c r="AK280" s="10"/>
      <c r="AL280" s="10"/>
      <c r="AM280" s="10"/>
    </row>
    <row r="281" spans="1:41" ht="18.75" customHeight="1" thickBot="1" x14ac:dyDescent="0.25">
      <c r="B281" s="40"/>
      <c r="C281" s="11"/>
      <c r="D281" s="130" t="s">
        <v>36</v>
      </c>
      <c r="E281" s="131"/>
      <c r="F281" s="239" t="s">
        <v>37</v>
      </c>
      <c r="G281" s="239" t="s">
        <v>38</v>
      </c>
      <c r="H281" s="239" t="s">
        <v>39</v>
      </c>
      <c r="I281" s="239" t="s">
        <v>40</v>
      </c>
      <c r="J281" s="239" t="s">
        <v>41</v>
      </c>
      <c r="K281" s="249"/>
      <c r="L281" s="155"/>
      <c r="M281" s="239">
        <v>2013</v>
      </c>
      <c r="N281" s="239">
        <v>2014</v>
      </c>
      <c r="O281" s="239">
        <v>2015</v>
      </c>
      <c r="P281" s="239">
        <v>2016</v>
      </c>
      <c r="Q281" s="239">
        <v>2017</v>
      </c>
      <c r="R281" s="239" t="s">
        <v>42</v>
      </c>
      <c r="T281" s="98" t="s">
        <v>0</v>
      </c>
      <c r="U281" s="99"/>
      <c r="V281" s="99"/>
      <c r="W281" s="100"/>
      <c r="X281" s="12"/>
      <c r="Y281" s="98" t="s">
        <v>5</v>
      </c>
      <c r="Z281" s="99"/>
      <c r="AA281" s="113"/>
      <c r="AB281" s="116" t="s">
        <v>43</v>
      </c>
      <c r="AC281" s="12"/>
      <c r="AD281" s="103" t="s">
        <v>44</v>
      </c>
      <c r="AE281" s="114"/>
      <c r="AF281" s="113"/>
      <c r="AG281" s="132">
        <f>N281</f>
        <v>2014</v>
      </c>
      <c r="AH281" s="132">
        <f>O281</f>
        <v>2015</v>
      </c>
      <c r="AI281" s="132">
        <f>P281</f>
        <v>2016</v>
      </c>
      <c r="AJ281" s="132">
        <f>Q281</f>
        <v>2017</v>
      </c>
      <c r="AK281" s="13"/>
      <c r="AL281" s="14"/>
      <c r="AN281" s="15"/>
      <c r="AO281" s="55"/>
    </row>
    <row r="282" spans="1:41" ht="18.75" customHeight="1" x14ac:dyDescent="0.2">
      <c r="A282" s="41"/>
      <c r="B282" s="42"/>
      <c r="C282" s="16"/>
      <c r="D282" s="235" t="s">
        <v>29</v>
      </c>
      <c r="E282" s="236"/>
      <c r="F282" s="154"/>
      <c r="G282" s="154"/>
      <c r="H282" s="154"/>
      <c r="I282" s="154"/>
      <c r="J282" s="154"/>
      <c r="K282" s="18"/>
      <c r="L282" s="17"/>
      <c r="M282" s="154"/>
      <c r="N282" s="154"/>
      <c r="O282" s="154"/>
      <c r="P282" s="154"/>
      <c r="Q282" s="154"/>
      <c r="R282" s="154"/>
      <c r="T282" s="22" t="s">
        <v>8</v>
      </c>
      <c r="U282" s="90"/>
      <c r="V282" s="90"/>
      <c r="W282" s="104">
        <v>5.42</v>
      </c>
      <c r="X282" s="61"/>
      <c r="Y282" s="22" t="s">
        <v>29</v>
      </c>
      <c r="Z282" s="22"/>
      <c r="AA282" s="23"/>
      <c r="AB282" s="111" t="e">
        <f>IF(AB281="Year over Year",AJ282,IF(AB281="3-Year Average",AVERAGE(AI282:AJ282),IF(AB281="5-Year Average",AVERAGE(AG282:AJ282),"")))</f>
        <v>#DIV/0!</v>
      </c>
      <c r="AC282" s="62"/>
      <c r="AD282" s="22" t="s">
        <v>45</v>
      </c>
      <c r="AE282" s="23"/>
      <c r="AF282" s="24"/>
      <c r="AG282" s="63" t="str">
        <f>IF(AND(N282&gt;0,M282&gt;0,M282&lt;&gt;""),N282/M282-1,IF(AND(M282&lt;0,N282&lt;0,M282&lt;&gt;""),(N282-M282)/ABS(M282),IF(AND(M282&gt;0,N282&lt;0,M282&lt;&gt;""),"L",IF(AND(M282&lt;0,N282&gt;0,M282&lt;&gt;""),"P",""))))</f>
        <v/>
      </c>
      <c r="AH282" s="63" t="str">
        <f>IF(AND(O282&gt;0,N282&gt;0,N282&lt;&gt;""),O282/N282-1,IF(AND(N282&lt;0,O282&lt;0,N282&lt;&gt;""),(O282-N282)/ABS(N282),IF(AND(N282&gt;0,O282&lt;0,N282&lt;&gt;""),"L",IF(AND(N282&lt;0,O282&gt;0,N282&lt;&gt;""),"P",""))))</f>
        <v/>
      </c>
      <c r="AI282" s="63" t="str">
        <f>IF(AND(P282&gt;0,O282&gt;0,O282&lt;&gt;""),P282/O282-1,IF(AND(O282&lt;0,P282&lt;0,O282&lt;&gt;""),(P282-O282)/ABS(O282),IF(AND(O282&gt;0,P282&lt;0,O282&lt;&gt;""),"L",IF(AND(O282&lt;0,P282&gt;0,O282&lt;&gt;""),"P",""))))</f>
        <v/>
      </c>
      <c r="AJ282" s="63" t="str">
        <f>IF(AND(Q282&gt;0,P282&gt;0,P282&lt;&gt;""),Q282/P282-1,IF(AND(P282&lt;0,Q282&lt;0,P282&lt;&gt;""),(Q282-P282)/ABS(P282),IF(AND(P282&gt;0,Q282&lt;0,P282&lt;&gt;""),"L",IF(AND(P282&lt;0,Q282&gt;0,P282&lt;&gt;""),"P",""))))</f>
        <v/>
      </c>
    </row>
    <row r="283" spans="1:41" ht="18.75" customHeight="1" x14ac:dyDescent="0.2">
      <c r="A283" s="41"/>
      <c r="B283" s="42"/>
      <c r="C283" s="16"/>
      <c r="D283" s="128" t="s">
        <v>46</v>
      </c>
      <c r="E283" s="129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T283" s="91" t="s">
        <v>9</v>
      </c>
      <c r="U283" s="92"/>
      <c r="V283" s="93"/>
      <c r="W283" s="105">
        <f>W282*R290</f>
        <v>0</v>
      </c>
      <c r="X283" s="61"/>
      <c r="Y283" s="22" t="s">
        <v>47</v>
      </c>
      <c r="Z283" s="22"/>
      <c r="AA283" s="23"/>
      <c r="AB283" s="111" t="e">
        <f>IF(AB281="Year over Year",AJ283,IF(AB281="3-Year Average",AVERAGE(AI283:AJ283),IF(AB281="5-Year Average",AVERAGE(AG283:AJ283),"")))</f>
        <v>#DIV/0!</v>
      </c>
      <c r="AC283" s="62"/>
      <c r="AD283" s="22" t="s">
        <v>30</v>
      </c>
      <c r="AE283" s="23"/>
      <c r="AF283" s="24"/>
      <c r="AG283" s="63" t="str">
        <f t="shared" ref="AG283:AG285" si="101">IF(AND(N285&gt;0,M285&gt;0,M285&lt;&gt;""),N285/M285-1,IF(AND(M285&lt;0,N285&lt;0,M285&lt;&gt;""),(N285-M285)/ABS(M285),IF(AND(M285&gt;0,N285&lt;0,M285&lt;&gt;""),"L",IF(AND(M285&lt;0,N285&gt;0,M285&lt;&gt;""),"P",""))))</f>
        <v/>
      </c>
      <c r="AH283" s="63" t="str">
        <f t="shared" ref="AH283:AH285" si="102">IF(AND(O285&gt;0,N285&gt;0,N285&lt;&gt;""),O285/N285-1,IF(AND(N285&lt;0,O285&lt;0,N285&lt;&gt;""),(O285-N285)/ABS(N285),IF(AND(N285&gt;0,O285&lt;0,N285&lt;&gt;""),"L",IF(AND(N285&lt;0,O285&gt;0,N285&lt;&gt;""),"P",""))))</f>
        <v/>
      </c>
      <c r="AI283" s="63" t="str">
        <f t="shared" ref="AI283:AI285" si="103">IF(AND(P285&gt;0,O285&gt;0,O285&lt;&gt;""),P285/O285-1,IF(AND(O285&lt;0,P285&lt;0,O285&lt;&gt;""),(P285-O285)/ABS(O285),IF(AND(O285&gt;0,P285&lt;0,O285&lt;&gt;""),"L",IF(AND(O285&lt;0,P285&gt;0,O285&lt;&gt;""),"P",""))))</f>
        <v/>
      </c>
      <c r="AJ283" s="63" t="str">
        <f t="shared" ref="AJ283:AJ285" si="104">IF(AND(Q285&gt;0,P285&gt;0,P285&lt;&gt;""),Q285/P285-1,IF(AND(P285&lt;0,Q285&lt;0,P285&lt;&gt;""),(Q285-P285)/ABS(P285),IF(AND(P285&gt;0,Q285&lt;0,P285&lt;&gt;""),"L",IF(AND(P285&lt;0,Q285&gt;0,P285&lt;&gt;""),"P",""))))</f>
        <v/>
      </c>
    </row>
    <row r="284" spans="1:41" ht="18.75" customHeight="1" x14ac:dyDescent="0.2">
      <c r="B284" s="42"/>
      <c r="C284" s="16"/>
      <c r="D284" s="128" t="s">
        <v>48</v>
      </c>
      <c r="E284" s="129"/>
      <c r="F284" s="18"/>
      <c r="G284" s="18"/>
      <c r="H284" s="18"/>
      <c r="I284" s="18"/>
      <c r="J284" s="18"/>
      <c r="K284" s="18"/>
      <c r="L284" s="17"/>
      <c r="M284" s="18"/>
      <c r="N284" s="18"/>
      <c r="O284" s="18"/>
      <c r="P284" s="18"/>
      <c r="Q284" s="18"/>
      <c r="R284" s="18"/>
      <c r="T284" s="91" t="s">
        <v>10</v>
      </c>
      <c r="U284" s="92"/>
      <c r="V284" s="94"/>
      <c r="W284" s="105">
        <f>W283+(J298+J300)-J294</f>
        <v>0</v>
      </c>
      <c r="X284" s="62"/>
      <c r="Y284" s="22" t="s">
        <v>31</v>
      </c>
      <c r="Z284" s="22"/>
      <c r="AB284" s="111" t="e">
        <f>IF(AB281="Year over Year",AJ284,IF(AB281="3-Year Average",AVERAGE(AI284:AJ284),IF(AB281="5-Year Average",AVERAGE(AG284:AJ284),"")))</f>
        <v>#DIV/0!</v>
      </c>
      <c r="AC284" s="62"/>
      <c r="AD284" s="22" t="s">
        <v>49</v>
      </c>
      <c r="AE284" s="23"/>
      <c r="AF284" s="24"/>
      <c r="AG284" s="63" t="str">
        <f t="shared" si="101"/>
        <v/>
      </c>
      <c r="AH284" s="63" t="str">
        <f t="shared" si="102"/>
        <v/>
      </c>
      <c r="AI284" s="63" t="str">
        <f t="shared" si="103"/>
        <v/>
      </c>
      <c r="AJ284" s="63" t="str">
        <f t="shared" si="104"/>
        <v/>
      </c>
    </row>
    <row r="285" spans="1:41" ht="18.75" customHeight="1" x14ac:dyDescent="0.2">
      <c r="B285" s="42"/>
      <c r="C285" s="16"/>
      <c r="D285" s="128" t="s">
        <v>50</v>
      </c>
      <c r="E285" s="129"/>
      <c r="F285" s="18"/>
      <c r="G285" s="18"/>
      <c r="H285" s="18"/>
      <c r="I285" s="18"/>
      <c r="J285" s="18"/>
      <c r="K285" s="18"/>
      <c r="L285" s="20"/>
      <c r="M285" s="18"/>
      <c r="N285" s="18"/>
      <c r="O285" s="18"/>
      <c r="P285" s="18"/>
      <c r="Q285" s="18"/>
      <c r="R285" s="18"/>
      <c r="T285" s="91" t="s">
        <v>11</v>
      </c>
      <c r="U285" s="92"/>
      <c r="V285" s="94"/>
      <c r="W285" s="105">
        <f>J297-J301</f>
        <v>0</v>
      </c>
      <c r="X285" s="61"/>
      <c r="Y285" s="22" t="s">
        <v>32</v>
      </c>
      <c r="Z285" s="22"/>
      <c r="AA285" s="23"/>
      <c r="AB285" s="111" t="e">
        <f>IF(AB281="Year over Year",AJ285,IF(AB281="3-Year Average",AVERAGE(AI285:AJ285),IF(AB281="5-Year Average",AVERAGE(AG285:AJ285),"")))</f>
        <v>#DIV/0!</v>
      </c>
      <c r="AC285" s="62"/>
      <c r="AD285" s="22" t="s">
        <v>51</v>
      </c>
      <c r="AE285" s="23"/>
      <c r="AF285" s="24"/>
      <c r="AG285" s="63" t="str">
        <f t="shared" si="101"/>
        <v/>
      </c>
      <c r="AH285" s="63" t="str">
        <f t="shared" si="102"/>
        <v/>
      </c>
      <c r="AI285" s="63" t="str">
        <f t="shared" si="103"/>
        <v/>
      </c>
      <c r="AJ285" s="63" t="str">
        <f t="shared" si="104"/>
        <v/>
      </c>
    </row>
    <row r="286" spans="1:41" ht="18.75" customHeight="1" x14ac:dyDescent="0.2">
      <c r="B286" s="42"/>
      <c r="C286" s="16"/>
      <c r="D286" s="128" t="s">
        <v>52</v>
      </c>
      <c r="E286" s="129"/>
      <c r="F286" s="18"/>
      <c r="G286" s="18"/>
      <c r="H286" s="18"/>
      <c r="I286" s="18"/>
      <c r="J286" s="18"/>
      <c r="K286" s="18"/>
      <c r="L286" s="17"/>
      <c r="M286" s="18"/>
      <c r="N286" s="18"/>
      <c r="O286" s="18"/>
      <c r="P286" s="18"/>
      <c r="Q286" s="18"/>
      <c r="R286" s="18"/>
      <c r="T286" s="91" t="s">
        <v>53</v>
      </c>
      <c r="U286" s="92"/>
      <c r="V286" s="93"/>
      <c r="W286" s="106" t="str">
        <f>IF(W283&gt;10000,"Large Cap",IF(AND(10000&gt;W283,2000&lt;W283),"Mid Cap",IF(AND(2000&gt;W283,W283&gt;50),"Small Cap",IF(W283&lt;50,"Micro Cap",NA))))</f>
        <v>Micro Cap</v>
      </c>
      <c r="X286" s="61"/>
      <c r="AB286" s="117"/>
      <c r="AC286" s="21"/>
    </row>
    <row r="287" spans="1:41" ht="18.75" customHeight="1" thickBot="1" x14ac:dyDescent="0.25">
      <c r="B287" s="42"/>
      <c r="C287" s="16"/>
      <c r="D287" s="128" t="s">
        <v>54</v>
      </c>
      <c r="E287" s="129"/>
      <c r="F287" s="18"/>
      <c r="G287" s="18"/>
      <c r="H287" s="18"/>
      <c r="I287" s="18"/>
      <c r="J287" s="18"/>
      <c r="K287" s="18"/>
      <c r="L287" s="25"/>
      <c r="M287" s="18"/>
      <c r="N287" s="18"/>
      <c r="O287" s="18"/>
      <c r="P287" s="18"/>
      <c r="Q287" s="18"/>
      <c r="R287" s="18"/>
      <c r="T287" s="22" t="s">
        <v>55</v>
      </c>
      <c r="W287" s="107"/>
      <c r="X287" s="62"/>
      <c r="Y287" s="103" t="s">
        <v>2</v>
      </c>
      <c r="Z287" s="114"/>
      <c r="AA287" s="115"/>
      <c r="AB287" s="118"/>
      <c r="AD287" s="101" t="s">
        <v>56</v>
      </c>
      <c r="AE287" s="102"/>
      <c r="AF287" s="133">
        <f>M281</f>
        <v>2013</v>
      </c>
      <c r="AG287" s="133">
        <f>N281</f>
        <v>2014</v>
      </c>
      <c r="AH287" s="133">
        <f>O281</f>
        <v>2015</v>
      </c>
      <c r="AI287" s="133">
        <f>P281</f>
        <v>2016</v>
      </c>
      <c r="AJ287" s="133">
        <f>Q281</f>
        <v>2017</v>
      </c>
    </row>
    <row r="288" spans="1:41" ht="18.75" hidden="1" customHeight="1" x14ac:dyDescent="0.2">
      <c r="B288" s="42"/>
      <c r="C288" s="16"/>
      <c r="D288" s="128"/>
      <c r="E288" s="129"/>
      <c r="F288" s="18"/>
      <c r="G288" s="18"/>
      <c r="H288" s="18"/>
      <c r="I288" s="18"/>
      <c r="J288" s="18"/>
      <c r="K288" s="18"/>
      <c r="L288" s="25"/>
      <c r="M288" s="18"/>
      <c r="N288" s="18"/>
      <c r="O288" s="18"/>
      <c r="P288" s="18"/>
      <c r="Q288" s="18"/>
      <c r="R288" s="18"/>
      <c r="T288" s="22"/>
      <c r="W288" s="95"/>
      <c r="X288" s="62"/>
      <c r="Y288" s="52"/>
      <c r="Z288" s="53"/>
      <c r="AA288" s="96"/>
      <c r="AB288" s="119"/>
      <c r="AD288" s="54"/>
      <c r="AE288" s="55"/>
      <c r="AF288" s="56"/>
      <c r="AG288" s="56"/>
      <c r="AH288" s="56"/>
      <c r="AI288" s="56"/>
      <c r="AJ288" s="56"/>
    </row>
    <row r="289" spans="2:38" ht="18.75" hidden="1" customHeight="1" x14ac:dyDescent="0.2">
      <c r="B289" s="42"/>
      <c r="C289" s="16"/>
      <c r="D289" s="128"/>
      <c r="E289" s="129"/>
      <c r="F289" s="18"/>
      <c r="G289" s="18"/>
      <c r="H289" s="18"/>
      <c r="I289" s="18"/>
      <c r="J289" s="18"/>
      <c r="K289" s="18"/>
      <c r="L289" s="25"/>
      <c r="M289" s="18"/>
      <c r="N289" s="18"/>
      <c r="O289" s="18"/>
      <c r="P289" s="18"/>
      <c r="Q289" s="18"/>
      <c r="R289" s="18"/>
      <c r="T289" s="22"/>
      <c r="W289" s="95"/>
      <c r="X289" s="62"/>
      <c r="Y289" s="52"/>
      <c r="Z289" s="53"/>
      <c r="AA289" s="96"/>
      <c r="AB289" s="119"/>
      <c r="AD289" s="54"/>
      <c r="AE289" s="55"/>
      <c r="AF289" s="56"/>
      <c r="AG289" s="56"/>
      <c r="AH289" s="56"/>
      <c r="AI289" s="56"/>
      <c r="AJ289" s="56"/>
    </row>
    <row r="290" spans="2:38" ht="18.75" customHeight="1" x14ac:dyDescent="0.2">
      <c r="B290" s="42"/>
      <c r="C290" s="16"/>
      <c r="D290" s="128" t="s">
        <v>57</v>
      </c>
      <c r="E290" s="129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T290" s="48"/>
      <c r="Y290" s="91" t="s">
        <v>20</v>
      </c>
      <c r="Z290" s="91"/>
      <c r="AA290" s="92"/>
      <c r="AB290" s="108" t="e">
        <f>AVERAGE(G296:J296)/AVERAGE(G299:J299)</f>
        <v>#DIV/0!</v>
      </c>
      <c r="AD290" s="27" t="s">
        <v>29</v>
      </c>
      <c r="AE290" s="28"/>
      <c r="AF290" s="29" t="str">
        <f>IF(M282="","",M282)</f>
        <v/>
      </c>
      <c r="AG290" s="29" t="str">
        <f>IF(N282="","",N282)</f>
        <v/>
      </c>
      <c r="AH290" s="29" t="str">
        <f>IF(O282="","",O282)</f>
        <v/>
      </c>
      <c r="AI290" s="29" t="str">
        <f>IF(P282="","",P282)</f>
        <v/>
      </c>
      <c r="AJ290" s="29" t="str">
        <f>IF(Q282="","",Q282)</f>
        <v/>
      </c>
    </row>
    <row r="291" spans="2:38" ht="18.75" customHeight="1" thickBot="1" x14ac:dyDescent="0.25">
      <c r="B291" s="42"/>
      <c r="C291" s="16"/>
      <c r="D291" s="237" t="s">
        <v>58</v>
      </c>
      <c r="E291" s="238"/>
      <c r="F291" s="157"/>
      <c r="G291" s="157"/>
      <c r="H291" s="157"/>
      <c r="I291" s="157"/>
      <c r="J291" s="157"/>
      <c r="K291" s="18"/>
      <c r="L291" s="20"/>
      <c r="M291" s="157"/>
      <c r="N291" s="157"/>
      <c r="O291" s="157"/>
      <c r="P291" s="157"/>
      <c r="Q291" s="157"/>
      <c r="R291" s="157"/>
      <c r="T291" s="98" t="s">
        <v>59</v>
      </c>
      <c r="U291" s="99"/>
      <c r="V291" s="99"/>
      <c r="W291" s="99"/>
      <c r="Y291" s="22" t="s">
        <v>21</v>
      </c>
      <c r="Z291" s="22"/>
      <c r="AA291" s="90"/>
      <c r="AB291" s="108" t="e">
        <f>AVERAGE(G297:J297)/AVERAGE(G302:J302)</f>
        <v>#DIV/0!</v>
      </c>
      <c r="AD291" s="27" t="s">
        <v>60</v>
      </c>
      <c r="AE291" s="28"/>
      <c r="AF291" s="64" t="str">
        <f>IF(OR(M282="",M284=""),"",M284/M282)</f>
        <v/>
      </c>
      <c r="AG291" s="64" t="str">
        <f>IF(OR(N282="",N284=""),"",N284/N282)</f>
        <v/>
      </c>
      <c r="AH291" s="64" t="str">
        <f>IF(OR(O282="",O284=""),"",O284/O282)</f>
        <v/>
      </c>
      <c r="AI291" s="64" t="str">
        <f>IF(OR(P282="",P284=""),"",P284/P282)</f>
        <v/>
      </c>
      <c r="AJ291" s="64" t="str">
        <f>IF(OR(Q282="",Q284=""),"",Q284/Q282)</f>
        <v/>
      </c>
    </row>
    <row r="292" spans="2:38" ht="18.75" customHeight="1" x14ac:dyDescent="0.2">
      <c r="B292" s="43"/>
      <c r="C292" s="19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T292" s="91" t="s">
        <v>13</v>
      </c>
      <c r="U292" s="91"/>
      <c r="V292" s="92"/>
      <c r="W292" s="108" t="str">
        <f>IF(R287&gt;0,W282/R287,"")</f>
        <v/>
      </c>
      <c r="Y292" s="22" t="s">
        <v>22</v>
      </c>
      <c r="Z292" s="22"/>
      <c r="AA292" s="90"/>
      <c r="AB292" s="108" t="e">
        <f>AVERAGE(G300:J300)/AVERAGE(G302:J302)</f>
        <v>#DIV/0!</v>
      </c>
      <c r="AD292" s="27" t="s">
        <v>47</v>
      </c>
      <c r="AE292" s="28"/>
      <c r="AF292" s="29" t="str">
        <f>IF(M285="","",M285)</f>
        <v/>
      </c>
      <c r="AG292" s="29" t="str">
        <f>IF(N285="","",N285)</f>
        <v/>
      </c>
      <c r="AH292" s="29" t="str">
        <f>IF(O285="","",O285)</f>
        <v/>
      </c>
      <c r="AI292" s="29" t="str">
        <f>IF(P285="","",P285)</f>
        <v/>
      </c>
      <c r="AJ292" s="29" t="str">
        <f>IF(Q285="","",Q285)</f>
        <v/>
      </c>
    </row>
    <row r="293" spans="2:38" ht="18.75" customHeight="1" thickBot="1" x14ac:dyDescent="0.3">
      <c r="B293" s="44"/>
      <c r="C293" s="26"/>
      <c r="D293" s="130" t="s">
        <v>61</v>
      </c>
      <c r="E293" s="131"/>
      <c r="F293" s="240" t="str">
        <f>F281</f>
        <v>2016-10</v>
      </c>
      <c r="G293" s="240" t="str">
        <f>G281</f>
        <v>2017-01</v>
      </c>
      <c r="H293" s="240" t="str">
        <f>H281</f>
        <v>2017-04</v>
      </c>
      <c r="I293" s="240" t="str">
        <f>I281</f>
        <v>2017-07</v>
      </c>
      <c r="J293" s="240" t="str">
        <f>J281</f>
        <v>2017-10</v>
      </c>
      <c r="K293" s="253"/>
      <c r="L293" s="155"/>
      <c r="M293" s="241">
        <f>M281</f>
        <v>2013</v>
      </c>
      <c r="N293" s="241">
        <f>N281</f>
        <v>2014</v>
      </c>
      <c r="O293" s="241">
        <f>O281</f>
        <v>2015</v>
      </c>
      <c r="P293" s="241">
        <f>P281</f>
        <v>2016</v>
      </c>
      <c r="Q293" s="241">
        <f>Q281</f>
        <v>2017</v>
      </c>
      <c r="R293" s="242"/>
      <c r="T293" s="91" t="s">
        <v>15</v>
      </c>
      <c r="U293" s="91"/>
      <c r="V293" s="92"/>
      <c r="W293" s="108" t="e">
        <f>W282/((J297-J301)/J290)</f>
        <v>#DIV/0!</v>
      </c>
      <c r="X293" s="65"/>
      <c r="Y293" s="48"/>
      <c r="AB293" s="13"/>
      <c r="AD293" s="27" t="s">
        <v>62</v>
      </c>
      <c r="AE293" s="28"/>
      <c r="AF293" s="64" t="str">
        <f>IF(OR(M282="",M285=""),"",M285/M282)</f>
        <v/>
      </c>
      <c r="AG293" s="64" t="str">
        <f>IF(OR(N282="",N285=""),"",N285/N282)</f>
        <v/>
      </c>
      <c r="AH293" s="64" t="str">
        <f>IF(OR(O282="",O285=""),"",O285/O282)</f>
        <v/>
      </c>
      <c r="AI293" s="64" t="str">
        <f>IF(OR(P282="",P285=""),"",P285/P282)</f>
        <v/>
      </c>
      <c r="AJ293" s="64" t="str">
        <f>IF(OR(Q282="",Q285=""),"",Q285/Q282)</f>
        <v/>
      </c>
      <c r="AK293" s="30"/>
      <c r="AL293" s="14"/>
    </row>
    <row r="294" spans="2:38" ht="18.75" customHeight="1" thickBot="1" x14ac:dyDescent="0.25">
      <c r="B294" s="40"/>
      <c r="C294" s="11"/>
      <c r="D294" s="235" t="s">
        <v>63</v>
      </c>
      <c r="E294" s="243"/>
      <c r="F294" s="154"/>
      <c r="G294" s="154"/>
      <c r="H294" s="154"/>
      <c r="I294" s="154"/>
      <c r="J294" s="154"/>
      <c r="K294" s="18"/>
      <c r="L294" s="17"/>
      <c r="M294" s="154"/>
      <c r="N294" s="154"/>
      <c r="O294" s="154"/>
      <c r="P294" s="154"/>
      <c r="Q294" s="154"/>
      <c r="R294" s="154"/>
      <c r="T294" s="91" t="s">
        <v>14</v>
      </c>
      <c r="U294" s="91"/>
      <c r="V294" s="92"/>
      <c r="W294" s="108" t="e">
        <f>W282/(R282/R290)</f>
        <v>#DIV/0!</v>
      </c>
      <c r="X294" s="66"/>
      <c r="Y294" s="103" t="s">
        <v>36</v>
      </c>
      <c r="Z294" s="114"/>
      <c r="AA294" s="114"/>
      <c r="AB294" s="120"/>
      <c r="AD294" s="27" t="s">
        <v>31</v>
      </c>
      <c r="AE294" s="28"/>
      <c r="AF294" s="29" t="str">
        <f t="shared" ref="AF294:AF295" si="105">IF(M286="","",M286)</f>
        <v/>
      </c>
      <c r="AG294" s="29" t="str">
        <f t="shared" ref="AG294:AG295" si="106">IF(N286="","",N286)</f>
        <v/>
      </c>
      <c r="AH294" s="29" t="str">
        <f t="shared" ref="AH294:AH295" si="107">IF(O286="","",O286)</f>
        <v/>
      </c>
      <c r="AI294" s="29" t="str">
        <f t="shared" ref="AI294:AI295" si="108">IF(P286="","",P286)</f>
        <v/>
      </c>
      <c r="AJ294" s="29" t="str">
        <f t="shared" ref="AJ294:AJ295" si="109">IF(Q286="","",Q286)</f>
        <v/>
      </c>
      <c r="AL294" s="67"/>
    </row>
    <row r="295" spans="2:38" ht="18.75" customHeight="1" x14ac:dyDescent="0.2">
      <c r="B295" s="42"/>
      <c r="C295" s="16"/>
      <c r="D295" s="244" t="s">
        <v>64</v>
      </c>
      <c r="E295" s="245"/>
      <c r="F295" s="126"/>
      <c r="G295" s="126"/>
      <c r="H295" s="126"/>
      <c r="I295" s="126"/>
      <c r="J295" s="126"/>
      <c r="K295" s="126"/>
      <c r="L295" s="31"/>
      <c r="M295" s="126"/>
      <c r="N295" s="126"/>
      <c r="O295" s="126"/>
      <c r="P295" s="126"/>
      <c r="Q295" s="126"/>
      <c r="R295" s="126"/>
      <c r="T295" s="22" t="s">
        <v>17</v>
      </c>
      <c r="U295" s="22"/>
      <c r="V295" s="23"/>
      <c r="W295" s="108" t="e">
        <f>IF(AVERAGE(O305:Q305)&gt;0,W282/(AVERAGE(O305:Q305)/R290),"")</f>
        <v>#DIV/0!</v>
      </c>
      <c r="X295" s="66"/>
      <c r="Y295" s="49" t="s">
        <v>29</v>
      </c>
      <c r="Z295" s="49"/>
      <c r="AA295" s="97"/>
      <c r="AB295" s="121">
        <f>R282</f>
        <v>0</v>
      </c>
      <c r="AD295" s="27" t="s">
        <v>32</v>
      </c>
      <c r="AE295" s="28"/>
      <c r="AF295" s="68" t="str">
        <f t="shared" si="105"/>
        <v/>
      </c>
      <c r="AG295" s="68" t="str">
        <f t="shared" si="106"/>
        <v/>
      </c>
      <c r="AH295" s="68" t="str">
        <f t="shared" si="107"/>
        <v/>
      </c>
      <c r="AI295" s="68" t="str">
        <f t="shared" si="108"/>
        <v/>
      </c>
      <c r="AJ295" s="68" t="str">
        <f t="shared" si="109"/>
        <v/>
      </c>
      <c r="AL295" s="67"/>
    </row>
    <row r="296" spans="2:38" ht="18.75" customHeight="1" x14ac:dyDescent="0.25">
      <c r="B296" s="44"/>
      <c r="C296" s="26"/>
      <c r="D296" s="244" t="s">
        <v>65</v>
      </c>
      <c r="E296" s="245"/>
      <c r="F296" s="126"/>
      <c r="G296" s="126"/>
      <c r="H296" s="126"/>
      <c r="I296" s="126"/>
      <c r="J296" s="126"/>
      <c r="K296" s="126"/>
      <c r="L296" s="31"/>
      <c r="M296" s="126"/>
      <c r="N296" s="126"/>
      <c r="O296" s="126"/>
      <c r="P296" s="126"/>
      <c r="Q296" s="126"/>
      <c r="R296" s="126"/>
      <c r="T296" s="91" t="s">
        <v>16</v>
      </c>
      <c r="U296" s="91"/>
      <c r="V296" s="92"/>
      <c r="W296" s="108" t="e">
        <f>IF(AVERAGE(O307:Q307)&gt;0,W283/AVERAGE(O307:Q307),"")</f>
        <v>#DIV/0!</v>
      </c>
      <c r="Y296" s="49" t="s">
        <v>66</v>
      </c>
      <c r="Z296" s="49"/>
      <c r="AA296" s="97"/>
      <c r="AB296" s="121">
        <f>R284</f>
        <v>0</v>
      </c>
      <c r="AD296" s="27" t="s">
        <v>67</v>
      </c>
      <c r="AE296" s="28"/>
      <c r="AF296" s="29" t="str">
        <f>IF(M290="","",M290)</f>
        <v/>
      </c>
      <c r="AG296" s="29" t="str">
        <f>IF(N290="","",N290)</f>
        <v/>
      </c>
      <c r="AH296" s="29" t="str">
        <f>IF(O290="","",O290)</f>
        <v/>
      </c>
      <c r="AI296" s="29" t="str">
        <f>IF(P290="","",P290)</f>
        <v/>
      </c>
      <c r="AJ296" s="29" t="str">
        <f>IF(Q290="","",Q290)</f>
        <v/>
      </c>
      <c r="AL296" s="67"/>
    </row>
    <row r="297" spans="2:38" ht="18.75" customHeight="1" x14ac:dyDescent="0.2">
      <c r="B297" s="43"/>
      <c r="C297" s="19"/>
      <c r="D297" s="244" t="s">
        <v>68</v>
      </c>
      <c r="E297" s="245"/>
      <c r="F297" s="126"/>
      <c r="G297" s="126"/>
      <c r="H297" s="126"/>
      <c r="I297" s="126"/>
      <c r="J297" s="126"/>
      <c r="K297" s="126"/>
      <c r="L297" s="127"/>
      <c r="M297" s="126"/>
      <c r="N297" s="126"/>
      <c r="O297" s="126"/>
      <c r="P297" s="126"/>
      <c r="Q297" s="126"/>
      <c r="R297" s="126"/>
      <c r="T297" s="91" t="s">
        <v>18</v>
      </c>
      <c r="U297" s="91"/>
      <c r="V297" s="92"/>
      <c r="W297" s="108" t="e">
        <f>(W283+(J298+J300)-J294)/J291</f>
        <v>#DIV/0!</v>
      </c>
      <c r="Y297" s="49" t="s">
        <v>31</v>
      </c>
      <c r="Z297" s="49"/>
      <c r="AA297" s="97"/>
      <c r="AB297" s="121">
        <f>R286</f>
        <v>0</v>
      </c>
      <c r="AD297" s="27" t="s">
        <v>69</v>
      </c>
      <c r="AE297" s="28"/>
      <c r="AF297" s="69" t="str">
        <f>IF(OR(M302="",M290="",M297="",M301=""),"",(M297-M301)/M290)</f>
        <v/>
      </c>
      <c r="AG297" s="69" t="str">
        <f>IF(OR(N302="",N290="",N297="",N301=""),"",(N297-N301)/N290)</f>
        <v/>
      </c>
      <c r="AH297" s="69" t="str">
        <f>IF(OR(O302="",O290="",O297="",O301=""),"",(O297-O301)/O290)</f>
        <v/>
      </c>
      <c r="AI297" s="69" t="str">
        <f>IF(OR(P302="",P290="",P297="",P301=""),"",(P297-P301)/P290)</f>
        <v/>
      </c>
      <c r="AJ297" s="69" t="str">
        <f>IF(OR(Q302="",Q290="",Q297="",Q301=""),"",(Q297-Q301)/Q290)</f>
        <v/>
      </c>
      <c r="AL297" s="67"/>
    </row>
    <row r="298" spans="2:38" ht="18.75" customHeight="1" x14ac:dyDescent="0.2">
      <c r="B298" s="42"/>
      <c r="C298" s="16"/>
      <c r="D298" s="244" t="s">
        <v>70</v>
      </c>
      <c r="E298" s="245"/>
      <c r="F298" s="126"/>
      <c r="G298" s="126"/>
      <c r="H298" s="126"/>
      <c r="I298" s="126"/>
      <c r="J298" s="126"/>
      <c r="K298" s="126"/>
      <c r="L298" s="17"/>
      <c r="M298" s="126"/>
      <c r="N298" s="126"/>
      <c r="O298" s="126"/>
      <c r="P298" s="126"/>
      <c r="Q298" s="126"/>
      <c r="R298" s="126"/>
      <c r="T298" s="22"/>
      <c r="U298" s="22"/>
      <c r="V298" s="23"/>
      <c r="W298" s="108"/>
      <c r="Y298" s="91" t="s">
        <v>32</v>
      </c>
      <c r="Z298" s="91"/>
      <c r="AA298" s="92"/>
      <c r="AB298" s="122">
        <f>R287</f>
        <v>0</v>
      </c>
      <c r="AL298" s="67"/>
    </row>
    <row r="299" spans="2:38" ht="18.75" customHeight="1" thickBot="1" x14ac:dyDescent="0.25">
      <c r="B299" s="45"/>
      <c r="C299" s="32"/>
      <c r="D299" s="244" t="s">
        <v>71</v>
      </c>
      <c r="E299" s="245"/>
      <c r="F299" s="126"/>
      <c r="G299" s="126"/>
      <c r="H299" s="126"/>
      <c r="I299" s="126"/>
      <c r="J299" s="126"/>
      <c r="K299" s="126"/>
      <c r="L299" s="31"/>
      <c r="M299" s="126"/>
      <c r="N299" s="126"/>
      <c r="O299" s="126"/>
      <c r="P299" s="126"/>
      <c r="Q299" s="126"/>
      <c r="R299" s="126"/>
      <c r="W299" s="13"/>
      <c r="AB299" s="117"/>
      <c r="AD299" s="101" t="s">
        <v>3</v>
      </c>
      <c r="AE299" s="102"/>
      <c r="AF299" s="133">
        <f>M281</f>
        <v>2013</v>
      </c>
      <c r="AG299" s="133">
        <f>N281</f>
        <v>2014</v>
      </c>
      <c r="AH299" s="133">
        <f>O281</f>
        <v>2015</v>
      </c>
      <c r="AI299" s="133">
        <f>P281</f>
        <v>2016</v>
      </c>
      <c r="AJ299" s="133">
        <f>Q281</f>
        <v>2017</v>
      </c>
    </row>
    <row r="300" spans="2:38" ht="18.75" customHeight="1" thickBot="1" x14ac:dyDescent="0.25">
      <c r="B300" s="43"/>
      <c r="C300" s="19"/>
      <c r="D300" s="244" t="s">
        <v>72</v>
      </c>
      <c r="E300" s="245"/>
      <c r="F300" s="126"/>
      <c r="G300" s="126"/>
      <c r="H300" s="126"/>
      <c r="I300" s="126"/>
      <c r="J300" s="126"/>
      <c r="K300" s="126"/>
      <c r="L300" s="125"/>
      <c r="M300" s="126"/>
      <c r="N300" s="126"/>
      <c r="O300" s="126"/>
      <c r="P300" s="126"/>
      <c r="Q300" s="126"/>
      <c r="R300" s="126"/>
      <c r="T300" s="101" t="s">
        <v>3</v>
      </c>
      <c r="U300" s="102"/>
      <c r="V300" s="102"/>
      <c r="W300" s="109"/>
      <c r="Y300" s="103" t="s">
        <v>61</v>
      </c>
      <c r="Z300" s="114"/>
      <c r="AA300" s="114"/>
      <c r="AB300" s="123"/>
      <c r="AD300" s="27" t="s">
        <v>73</v>
      </c>
      <c r="AE300" s="28"/>
      <c r="AF300" s="70" t="str">
        <f>IF(OR(M282="",M286="",M282=0,M286=0),"",M286/M282)</f>
        <v/>
      </c>
      <c r="AG300" s="70" t="str">
        <f>IF(OR(N282="",N286="",N282=0,N286=0),"",N286/N282)</f>
        <v/>
      </c>
      <c r="AH300" s="70" t="str">
        <f>IF(OR(O282="",O286="",O282=0,O286=0),"",O286/O282)</f>
        <v/>
      </c>
      <c r="AI300" s="70" t="str">
        <f>IF(OR(P282="",P286="",P282=0,P286=0),"",P286/P282)</f>
        <v/>
      </c>
      <c r="AJ300" s="70" t="str">
        <f>IF(OR(Q282="",Q286="",Q282=0,Q286=0),"",Q286/Q282)</f>
        <v/>
      </c>
    </row>
    <row r="301" spans="2:38" ht="18.75" customHeight="1" x14ac:dyDescent="0.2">
      <c r="B301" s="46"/>
      <c r="C301" s="34"/>
      <c r="D301" s="244" t="s">
        <v>74</v>
      </c>
      <c r="E301" s="245"/>
      <c r="F301" s="126"/>
      <c r="G301" s="126"/>
      <c r="H301" s="126"/>
      <c r="I301" s="126"/>
      <c r="J301" s="126"/>
      <c r="K301" s="126"/>
      <c r="L301" s="31"/>
      <c r="M301" s="126"/>
      <c r="N301" s="126"/>
      <c r="O301" s="126"/>
      <c r="P301" s="126"/>
      <c r="Q301" s="126"/>
      <c r="R301" s="126"/>
      <c r="T301" s="22" t="s">
        <v>12</v>
      </c>
      <c r="U301" s="22"/>
      <c r="V301" s="23"/>
      <c r="W301" s="110">
        <f>R282</f>
        <v>0</v>
      </c>
      <c r="Y301" s="22" t="s">
        <v>75</v>
      </c>
      <c r="Z301" s="22"/>
      <c r="AA301" s="23"/>
      <c r="AB301" s="121">
        <f>J295</f>
        <v>0</v>
      </c>
      <c r="AD301" s="27" t="s">
        <v>76</v>
      </c>
      <c r="AE301" s="28"/>
      <c r="AF301" s="70" t="str">
        <f>IF(OR(M286="",M300="",M286=0,M300=0),"",M286/M300)</f>
        <v/>
      </c>
      <c r="AG301" s="70" t="str">
        <f>IF(OR(N286="",N300="",N286=0,N300=0),"",N286/N300)</f>
        <v/>
      </c>
      <c r="AH301" s="70" t="str">
        <f>IF(OR(O286="",O300="",O286=0,O300=0),"",O286/O300)</f>
        <v/>
      </c>
      <c r="AI301" s="70" t="str">
        <f>IF(OR(P286="",P300="",P286=0,P300=0),"",P286/P300)</f>
        <v/>
      </c>
      <c r="AJ301" s="70" t="str">
        <f>IF(OR(Q286="",Q300="",Q286=0,Q300=0),"",Q286/Q300)</f>
        <v/>
      </c>
    </row>
    <row r="302" spans="2:38" ht="18.75" customHeight="1" thickBot="1" x14ac:dyDescent="0.25">
      <c r="B302" s="43"/>
      <c r="C302" s="19"/>
      <c r="D302" s="246" t="s">
        <v>77</v>
      </c>
      <c r="E302" s="247"/>
      <c r="F302" s="156"/>
      <c r="G302" s="156"/>
      <c r="H302" s="156"/>
      <c r="I302" s="156"/>
      <c r="J302" s="156"/>
      <c r="K302" s="126"/>
      <c r="L302" s="127"/>
      <c r="M302" s="156"/>
      <c r="N302" s="156"/>
      <c r="O302" s="156"/>
      <c r="P302" s="156"/>
      <c r="Q302" s="156"/>
      <c r="R302" s="156"/>
      <c r="T302" s="49" t="s">
        <v>23</v>
      </c>
      <c r="U302" s="49"/>
      <c r="V302" s="97"/>
      <c r="W302" s="111" t="e">
        <f>(R282-R283)/R282</f>
        <v>#DIV/0!</v>
      </c>
      <c r="Y302" s="49" t="s">
        <v>78</v>
      </c>
      <c r="Z302" s="49"/>
      <c r="AA302" s="97"/>
      <c r="AB302" s="121">
        <f>J296</f>
        <v>0</v>
      </c>
      <c r="AD302" s="27" t="s">
        <v>79</v>
      </c>
      <c r="AE302" s="28"/>
      <c r="AF302" s="70" t="str">
        <f>IF(OR(M286="",M297="",M286=0,M297=0),"",M286/M297)</f>
        <v/>
      </c>
      <c r="AG302" s="70" t="str">
        <f>IF(OR(N286="",N297="",N286=0,N297=0),"",N286/N297)</f>
        <v/>
      </c>
      <c r="AH302" s="70" t="str">
        <f>IF(OR(O286="",O297="",O286=0,O297=0),"",O286/O297)</f>
        <v/>
      </c>
      <c r="AI302" s="70" t="str">
        <f>IF(OR(P286="",P297="",P286=0,P297=0),"",P286/P297)</f>
        <v/>
      </c>
      <c r="AJ302" s="70" t="str">
        <f>IF(OR(Q286="",Q297="",Q286=0,Q297=0),"",Q286/Q297)</f>
        <v/>
      </c>
    </row>
    <row r="303" spans="2:38" ht="18.75" customHeight="1" x14ac:dyDescent="0.2">
      <c r="B303" s="43"/>
      <c r="C303" s="19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T303" s="49" t="s">
        <v>24</v>
      </c>
      <c r="U303" s="49"/>
      <c r="V303" s="97"/>
      <c r="W303" s="111" t="e">
        <f>R286/R282</f>
        <v>#DIV/0!</v>
      </c>
      <c r="Y303" s="22" t="s">
        <v>80</v>
      </c>
      <c r="Z303" s="22"/>
      <c r="AA303" s="23"/>
      <c r="AB303" s="121">
        <f>J299</f>
        <v>0</v>
      </c>
      <c r="AD303" s="27" t="s">
        <v>28</v>
      </c>
      <c r="AE303" s="28"/>
      <c r="AF303" s="33" t="str">
        <f>IF(OR(M282="",M297="",M282=0,M297=0),"",M282/M297)</f>
        <v/>
      </c>
      <c r="AG303" s="33" t="str">
        <f>IF(OR(N282="",N297="",N282=0,N297=0),"",N282/N297)</f>
        <v/>
      </c>
      <c r="AH303" s="33" t="str">
        <f>IF(OR(O282="",O297="",O282=0,O297=0),"",O282/O297)</f>
        <v/>
      </c>
      <c r="AI303" s="33" t="str">
        <f>IF(OR(P282="",P297="",P282=0,P297=0),"",P282/P297)</f>
        <v/>
      </c>
      <c r="AJ303" s="33" t="str">
        <f>IF(OR(Q282="",Q297="",Q282=0,Q297=0),"",Q282/Q297)</f>
        <v/>
      </c>
    </row>
    <row r="304" spans="2:38" ht="18.75" customHeight="1" thickBot="1" x14ac:dyDescent="0.25">
      <c r="B304" s="43"/>
      <c r="C304" s="19"/>
      <c r="D304" s="130" t="s">
        <v>81</v>
      </c>
      <c r="E304" s="131"/>
      <c r="F304" s="240" t="str">
        <f>F281</f>
        <v>2016-10</v>
      </c>
      <c r="G304" s="240" t="str">
        <f>G281</f>
        <v>2017-01</v>
      </c>
      <c r="H304" s="240" t="str">
        <f>H281</f>
        <v>2017-04</v>
      </c>
      <c r="I304" s="240" t="str">
        <f>I281</f>
        <v>2017-07</v>
      </c>
      <c r="J304" s="240" t="str">
        <f>J281</f>
        <v>2017-10</v>
      </c>
      <c r="K304" s="253"/>
      <c r="L304" s="155"/>
      <c r="M304" s="248">
        <f>M281</f>
        <v>2013</v>
      </c>
      <c r="N304" s="248">
        <f>N281</f>
        <v>2014</v>
      </c>
      <c r="O304" s="248">
        <f>O281</f>
        <v>2015</v>
      </c>
      <c r="P304" s="248">
        <f>P281</f>
        <v>2016</v>
      </c>
      <c r="Q304" s="248">
        <f>Q281</f>
        <v>2017</v>
      </c>
      <c r="R304" s="242" t="s">
        <v>42</v>
      </c>
      <c r="T304" s="49" t="s">
        <v>25</v>
      </c>
      <c r="U304" s="49"/>
      <c r="V304" s="97"/>
      <c r="W304" s="111" t="e">
        <f>R285/R282</f>
        <v>#DIV/0!</v>
      </c>
      <c r="Y304" s="22" t="s">
        <v>82</v>
      </c>
      <c r="AB304" s="121">
        <f>J298+J300</f>
        <v>0</v>
      </c>
      <c r="AK304" s="35"/>
    </row>
    <row r="305" spans="1:41" ht="18.75" customHeight="1" thickBot="1" x14ac:dyDescent="0.3">
      <c r="B305" s="47"/>
      <c r="C305" s="36"/>
      <c r="D305" s="235" t="s">
        <v>83</v>
      </c>
      <c r="E305" s="236"/>
      <c r="F305" s="154"/>
      <c r="G305" s="154"/>
      <c r="H305" s="154"/>
      <c r="I305" s="154"/>
      <c r="J305" s="154"/>
      <c r="K305" s="18"/>
      <c r="L305" s="17"/>
      <c r="M305" s="154"/>
      <c r="N305" s="154"/>
      <c r="O305" s="154"/>
      <c r="P305" s="154"/>
      <c r="Q305" s="154"/>
      <c r="R305" s="154"/>
      <c r="W305" s="13"/>
      <c r="Y305" s="22"/>
      <c r="AB305" s="121"/>
      <c r="AD305" s="101" t="s">
        <v>2</v>
      </c>
      <c r="AE305" s="102"/>
      <c r="AF305" s="132">
        <f>M281</f>
        <v>2013</v>
      </c>
      <c r="AG305" s="132">
        <f>N281</f>
        <v>2014</v>
      </c>
      <c r="AH305" s="132">
        <f>O281</f>
        <v>2015</v>
      </c>
      <c r="AI305" s="132">
        <f>P281</f>
        <v>2016</v>
      </c>
      <c r="AJ305" s="132">
        <f>Q281</f>
        <v>2017</v>
      </c>
      <c r="AK305" s="35"/>
    </row>
    <row r="306" spans="1:41" ht="18.75" customHeight="1" thickBot="1" x14ac:dyDescent="0.25">
      <c r="B306" s="43"/>
      <c r="C306" s="19"/>
      <c r="D306" s="128" t="s">
        <v>84</v>
      </c>
      <c r="E306" s="129"/>
      <c r="F306" s="18"/>
      <c r="G306" s="18"/>
      <c r="H306" s="18"/>
      <c r="I306" s="18"/>
      <c r="J306" s="18"/>
      <c r="K306" s="18"/>
      <c r="L306" s="17"/>
      <c r="M306" s="18"/>
      <c r="N306" s="18"/>
      <c r="O306" s="18"/>
      <c r="P306" s="18"/>
      <c r="Q306" s="18"/>
      <c r="R306" s="18"/>
      <c r="T306" s="98" t="s">
        <v>4</v>
      </c>
      <c r="U306" s="99"/>
      <c r="V306" s="99"/>
      <c r="W306" s="112"/>
      <c r="Y306" s="103" t="s">
        <v>85</v>
      </c>
      <c r="Z306" s="114"/>
      <c r="AA306" s="114"/>
      <c r="AB306" s="123"/>
      <c r="AD306" s="27" t="s">
        <v>20</v>
      </c>
      <c r="AE306" s="28"/>
      <c r="AF306" s="33" t="str">
        <f t="shared" ref="AF306:AF307" si="110">IF(OR(M296="",M299="",M296=0,M299=0),"",M296/M299)</f>
        <v/>
      </c>
      <c r="AG306" s="33" t="str">
        <f t="shared" ref="AG306:AG307" si="111">IF(OR(N296="",N299="",N296=0,N299=0),"",N296/N299)</f>
        <v/>
      </c>
      <c r="AH306" s="33" t="str">
        <f t="shared" ref="AH306:AH307" si="112">IF(OR(O296="",O299="",O296=0,O299=0),"",O296/O299)</f>
        <v/>
      </c>
      <c r="AI306" s="33" t="str">
        <f t="shared" ref="AI306:AI307" si="113">IF(OR(P296="",P299="",P296=0,P299=0),"",P296/P299)</f>
        <v/>
      </c>
      <c r="AJ306" s="33" t="str">
        <f t="shared" ref="AJ306:AJ307" si="114">IF(OR(Q296="",Q299="",Q296=0,Q299=0),"",Q296/Q299)</f>
        <v/>
      </c>
      <c r="AK306" s="35"/>
    </row>
    <row r="307" spans="1:41" ht="18.75" customHeight="1" thickBot="1" x14ac:dyDescent="0.25">
      <c r="B307" s="43"/>
      <c r="C307" s="19"/>
      <c r="D307" s="237" t="s">
        <v>86</v>
      </c>
      <c r="E307" s="238"/>
      <c r="F307" s="157"/>
      <c r="G307" s="157"/>
      <c r="H307" s="157"/>
      <c r="I307" s="157"/>
      <c r="J307" s="157"/>
      <c r="K307" s="18"/>
      <c r="L307" s="17"/>
      <c r="M307" s="157"/>
      <c r="N307" s="157"/>
      <c r="O307" s="157"/>
      <c r="P307" s="157"/>
      <c r="Q307" s="157"/>
      <c r="R307" s="157"/>
      <c r="T307" s="91" t="s">
        <v>26</v>
      </c>
      <c r="U307" s="91"/>
      <c r="V307" s="92"/>
      <c r="W307" s="111" t="e">
        <f>R286/AVERAGE(G302:J302)</f>
        <v>#DIV/0!</v>
      </c>
      <c r="Y307" s="49" t="s">
        <v>87</v>
      </c>
      <c r="Z307" s="49"/>
      <c r="AA307" s="97"/>
      <c r="AB307" s="105" t="e">
        <f>AVERAGE(O305:Q305)</f>
        <v>#DIV/0!</v>
      </c>
      <c r="AD307" s="27" t="s">
        <v>21</v>
      </c>
      <c r="AE307" s="28"/>
      <c r="AF307" s="33" t="str">
        <f t="shared" si="110"/>
        <v/>
      </c>
      <c r="AG307" s="33" t="str">
        <f t="shared" si="111"/>
        <v/>
      </c>
      <c r="AH307" s="33" t="str">
        <f t="shared" si="112"/>
        <v/>
      </c>
      <c r="AI307" s="33" t="str">
        <f t="shared" si="113"/>
        <v/>
      </c>
      <c r="AJ307" s="33" t="str">
        <f t="shared" si="114"/>
        <v/>
      </c>
      <c r="AK307" s="35"/>
    </row>
    <row r="308" spans="1:41" ht="18.75" customHeight="1" x14ac:dyDescent="0.2">
      <c r="B308" s="40"/>
      <c r="C308" s="11"/>
      <c r="T308" s="91" t="s">
        <v>27</v>
      </c>
      <c r="U308" s="91"/>
      <c r="V308" s="92"/>
      <c r="W308" s="111" t="e">
        <f>R286/AVERAGE(G297:J297)</f>
        <v>#DIV/0!</v>
      </c>
      <c r="Y308" s="22" t="s">
        <v>88</v>
      </c>
      <c r="Z308" s="22"/>
      <c r="AB308" s="124" t="e">
        <f>ABS(AVERAGE(O306:Q306))</f>
        <v>#DIV/0!</v>
      </c>
      <c r="AD308" s="27" t="s">
        <v>22</v>
      </c>
      <c r="AE308" s="28"/>
      <c r="AF308" s="33" t="str">
        <f>IF(OR(M302="",M300="",M300=0,M302=0),"",M302/M300)</f>
        <v/>
      </c>
      <c r="AG308" s="33" t="str">
        <f>IF(OR(N302="",N300="",N300=0,N302=0),"",N302/N300)</f>
        <v/>
      </c>
      <c r="AH308" s="33" t="str">
        <f>IF(OR(O302="",O300="",O300=0,O302=0),"",O302/O300)</f>
        <v/>
      </c>
      <c r="AI308" s="33" t="str">
        <f>IF(OR(P302="",P300="",P300=0,P302=0),"",P302/P300)</f>
        <v/>
      </c>
      <c r="AJ308" s="33" t="str">
        <f>IF(OR(Q302="",Q300="",Q300=0,Q302=0),"",Q302/Q300)</f>
        <v/>
      </c>
    </row>
    <row r="309" spans="1:41" ht="18.75" customHeight="1" x14ac:dyDescent="0.2">
      <c r="B309" s="40"/>
      <c r="C309" s="11"/>
      <c r="T309" s="91" t="s">
        <v>89</v>
      </c>
      <c r="U309" s="91"/>
      <c r="V309" s="92"/>
      <c r="W309" s="111" t="e">
        <f>R285/(AVERAGE(G302:J302)+(AVERAGE(G297:J297)-AVERAGE(G299:J299)))</f>
        <v>#DIV/0!</v>
      </c>
      <c r="Y309" s="22" t="s">
        <v>90</v>
      </c>
      <c r="Z309" s="22"/>
      <c r="AA309" s="23"/>
      <c r="AB309" s="105" t="e">
        <f>AVERAGE(O307:Q307)</f>
        <v>#DIV/0!</v>
      </c>
    </row>
    <row r="310" spans="1:41" ht="18.75" customHeight="1" x14ac:dyDescent="0.2">
      <c r="B310" s="43"/>
      <c r="C310" s="19"/>
      <c r="T310" s="91" t="s">
        <v>28</v>
      </c>
      <c r="U310" s="91"/>
      <c r="V310" s="92"/>
      <c r="W310" s="108" t="e">
        <f>R282/AVERAGE(G297:J297)</f>
        <v>#DIV/0!</v>
      </c>
      <c r="Y310" s="48"/>
      <c r="AB310" s="48"/>
      <c r="AK310" s="37"/>
    </row>
    <row r="311" spans="1:41" s="175" customFormat="1" ht="18.75" customHeight="1" thickBot="1" x14ac:dyDescent="0.35">
      <c r="A311" s="166"/>
      <c r="B311" s="167"/>
      <c r="C311" s="168"/>
      <c r="D311" s="169"/>
      <c r="E311" s="168"/>
      <c r="F311" s="170"/>
      <c r="G311" s="170"/>
      <c r="H311" s="170"/>
      <c r="I311" s="170"/>
      <c r="J311" s="170"/>
      <c r="K311" s="170"/>
      <c r="L311" s="171"/>
      <c r="M311" s="172"/>
      <c r="N311" s="173"/>
      <c r="O311" s="173"/>
      <c r="P311" s="173"/>
      <c r="Q311" s="171"/>
      <c r="R311" s="171"/>
      <c r="S311" s="168"/>
      <c r="T311" s="174"/>
      <c r="Y311" s="174"/>
      <c r="AB311" s="176"/>
      <c r="AD311" s="174"/>
    </row>
    <row r="312" spans="1:41" s="138" customFormat="1" ht="18.75" customHeight="1" thickBot="1" x14ac:dyDescent="0.25">
      <c r="D312" s="163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T312" s="163"/>
      <c r="Y312" s="163"/>
      <c r="AB312" s="165"/>
      <c r="AD312" s="163"/>
    </row>
    <row r="313" spans="1:41" s="153" customFormat="1" ht="18.75" customHeight="1" thickBot="1" x14ac:dyDescent="0.3">
      <c r="A313" s="139">
        <v>10</v>
      </c>
      <c r="B313" s="140"/>
      <c r="C313" s="141"/>
      <c r="D313" s="142"/>
      <c r="E313" s="143"/>
      <c r="F313" s="144"/>
      <c r="G313" s="145"/>
      <c r="H313" s="145"/>
      <c r="I313" s="145"/>
      <c r="J313" s="145"/>
      <c r="K313" s="252"/>
      <c r="L313" s="159"/>
      <c r="M313" s="147"/>
      <c r="N313" s="148"/>
      <c r="O313" s="148"/>
      <c r="P313" s="148"/>
      <c r="Q313" s="148"/>
      <c r="R313" s="148"/>
      <c r="S313" s="148"/>
      <c r="T313" s="161" t="s">
        <v>7</v>
      </c>
      <c r="U313" s="258" t="s">
        <v>34</v>
      </c>
      <c r="V313" s="259"/>
      <c r="W313" s="162"/>
      <c r="X313" s="148"/>
      <c r="Y313" s="149"/>
      <c r="Z313" s="148"/>
      <c r="AA313" s="148"/>
      <c r="AB313" s="150"/>
      <c r="AC313" s="151"/>
      <c r="AD313" s="152"/>
      <c r="AE313" s="146"/>
      <c r="AF313" s="146"/>
      <c r="AG313" s="151"/>
      <c r="AH313" s="151"/>
      <c r="AI313" s="151"/>
      <c r="AJ313" s="151"/>
      <c r="AK313" s="151"/>
      <c r="AL313" s="151"/>
      <c r="AM313" s="151"/>
      <c r="AN313" s="146"/>
      <c r="AO313" s="146"/>
    </row>
    <row r="314" spans="1:41" ht="10.5" customHeight="1" x14ac:dyDescent="0.25">
      <c r="B314" s="39"/>
      <c r="C314" s="8"/>
      <c r="D314" s="9"/>
      <c r="E314" s="59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50"/>
      <c r="U314" s="10"/>
      <c r="V314" s="10"/>
      <c r="W314" s="10"/>
      <c r="X314" s="10"/>
      <c r="Y314" s="50"/>
      <c r="Z314" s="10"/>
      <c r="AA314" s="10"/>
      <c r="AB314" s="60"/>
      <c r="AC314" s="10"/>
      <c r="AD314" s="50"/>
      <c r="AE314" s="10"/>
      <c r="AF314" s="10"/>
      <c r="AG314" s="10"/>
      <c r="AH314" s="10"/>
      <c r="AI314" s="10"/>
      <c r="AJ314" s="10"/>
      <c r="AK314" s="10"/>
      <c r="AL314" s="10"/>
      <c r="AM314" s="10"/>
    </row>
    <row r="315" spans="1:41" ht="18.75" customHeight="1" thickBot="1" x14ac:dyDescent="0.25">
      <c r="B315" s="40"/>
      <c r="C315" s="11"/>
      <c r="D315" s="130" t="s">
        <v>36</v>
      </c>
      <c r="E315" s="131"/>
      <c r="F315" s="239" t="s">
        <v>37</v>
      </c>
      <c r="G315" s="239" t="s">
        <v>38</v>
      </c>
      <c r="H315" s="239" t="s">
        <v>39</v>
      </c>
      <c r="I315" s="239" t="s">
        <v>40</v>
      </c>
      <c r="J315" s="239" t="s">
        <v>41</v>
      </c>
      <c r="K315" s="249"/>
      <c r="L315" s="155"/>
      <c r="M315" s="239">
        <v>2013</v>
      </c>
      <c r="N315" s="239">
        <v>2014</v>
      </c>
      <c r="O315" s="239">
        <v>2015</v>
      </c>
      <c r="P315" s="239">
        <v>2016</v>
      </c>
      <c r="Q315" s="239">
        <v>2017</v>
      </c>
      <c r="R315" s="239" t="s">
        <v>42</v>
      </c>
      <c r="T315" s="98" t="s">
        <v>0</v>
      </c>
      <c r="U315" s="99"/>
      <c r="V315" s="99"/>
      <c r="W315" s="100"/>
      <c r="X315" s="12"/>
      <c r="Y315" s="98" t="s">
        <v>5</v>
      </c>
      <c r="Z315" s="99"/>
      <c r="AA315" s="113"/>
      <c r="AB315" s="116" t="s">
        <v>43</v>
      </c>
      <c r="AC315" s="12"/>
      <c r="AD315" s="103" t="s">
        <v>44</v>
      </c>
      <c r="AE315" s="114"/>
      <c r="AF315" s="113"/>
      <c r="AG315" s="132">
        <f>N315</f>
        <v>2014</v>
      </c>
      <c r="AH315" s="132">
        <f>O315</f>
        <v>2015</v>
      </c>
      <c r="AI315" s="132">
        <f>P315</f>
        <v>2016</v>
      </c>
      <c r="AJ315" s="132">
        <f>Q315</f>
        <v>2017</v>
      </c>
      <c r="AK315" s="13"/>
      <c r="AL315" s="14"/>
      <c r="AN315" s="15"/>
      <c r="AO315" s="55"/>
    </row>
    <row r="316" spans="1:41" ht="18.75" customHeight="1" x14ac:dyDescent="0.2">
      <c r="A316" s="41"/>
      <c r="B316" s="42"/>
      <c r="C316" s="16"/>
      <c r="D316" s="235" t="s">
        <v>29</v>
      </c>
      <c r="E316" s="236"/>
      <c r="F316" s="154"/>
      <c r="G316" s="154"/>
      <c r="H316" s="154"/>
      <c r="I316" s="154"/>
      <c r="J316" s="154"/>
      <c r="K316" s="18"/>
      <c r="L316" s="17"/>
      <c r="M316" s="154"/>
      <c r="N316" s="154"/>
      <c r="O316" s="154"/>
      <c r="P316" s="154"/>
      <c r="Q316" s="154"/>
      <c r="R316" s="154"/>
      <c r="T316" s="22" t="s">
        <v>8</v>
      </c>
      <c r="U316" s="90"/>
      <c r="V316" s="90"/>
      <c r="W316" s="104">
        <v>5.42</v>
      </c>
      <c r="X316" s="61"/>
      <c r="Y316" s="22" t="s">
        <v>29</v>
      </c>
      <c r="Z316" s="22"/>
      <c r="AA316" s="23"/>
      <c r="AB316" s="111" t="e">
        <f>IF(AB315="Year over Year",AJ316,IF(AB315="3-Year Average",AVERAGE(AI316:AJ316),IF(AB315="5-Year Average",AVERAGE(AG316:AJ316),"")))</f>
        <v>#DIV/0!</v>
      </c>
      <c r="AC316" s="62"/>
      <c r="AD316" s="22" t="s">
        <v>45</v>
      </c>
      <c r="AE316" s="23"/>
      <c r="AF316" s="24"/>
      <c r="AG316" s="63" t="str">
        <f>IF(AND(N316&gt;0,M316&gt;0,M316&lt;&gt;""),N316/M316-1,IF(AND(M316&lt;0,N316&lt;0,M316&lt;&gt;""),(N316-M316)/ABS(M316),IF(AND(M316&gt;0,N316&lt;0,M316&lt;&gt;""),"L",IF(AND(M316&lt;0,N316&gt;0,M316&lt;&gt;""),"P",""))))</f>
        <v/>
      </c>
      <c r="AH316" s="63" t="str">
        <f>IF(AND(O316&gt;0,N316&gt;0,N316&lt;&gt;""),O316/N316-1,IF(AND(N316&lt;0,O316&lt;0,N316&lt;&gt;""),(O316-N316)/ABS(N316),IF(AND(N316&gt;0,O316&lt;0,N316&lt;&gt;""),"L",IF(AND(N316&lt;0,O316&gt;0,N316&lt;&gt;""),"P",""))))</f>
        <v/>
      </c>
      <c r="AI316" s="63" t="str">
        <f>IF(AND(P316&gt;0,O316&gt;0,O316&lt;&gt;""),P316/O316-1,IF(AND(O316&lt;0,P316&lt;0,O316&lt;&gt;""),(P316-O316)/ABS(O316),IF(AND(O316&gt;0,P316&lt;0,O316&lt;&gt;""),"L",IF(AND(O316&lt;0,P316&gt;0,O316&lt;&gt;""),"P",""))))</f>
        <v/>
      </c>
      <c r="AJ316" s="63" t="str">
        <f>IF(AND(Q316&gt;0,P316&gt;0,P316&lt;&gt;""),Q316/P316-1,IF(AND(P316&lt;0,Q316&lt;0,P316&lt;&gt;""),(Q316-P316)/ABS(P316),IF(AND(P316&gt;0,Q316&lt;0,P316&lt;&gt;""),"L",IF(AND(P316&lt;0,Q316&gt;0,P316&lt;&gt;""),"P",""))))</f>
        <v/>
      </c>
    </row>
    <row r="317" spans="1:41" ht="18.75" customHeight="1" x14ac:dyDescent="0.2">
      <c r="A317" s="41"/>
      <c r="B317" s="42"/>
      <c r="C317" s="16"/>
      <c r="D317" s="128" t="s">
        <v>46</v>
      </c>
      <c r="E317" s="129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T317" s="91" t="s">
        <v>9</v>
      </c>
      <c r="U317" s="92"/>
      <c r="V317" s="93"/>
      <c r="W317" s="105">
        <f>W316*R324</f>
        <v>0</v>
      </c>
      <c r="X317" s="61"/>
      <c r="Y317" s="22" t="s">
        <v>47</v>
      </c>
      <c r="Z317" s="22"/>
      <c r="AA317" s="23"/>
      <c r="AB317" s="111" t="e">
        <f>IF(AB315="Year over Year",AJ317,IF(AB315="3-Year Average",AVERAGE(AI317:AJ317),IF(AB315="5-Year Average",AVERAGE(AG317:AJ317),"")))</f>
        <v>#DIV/0!</v>
      </c>
      <c r="AC317" s="62"/>
      <c r="AD317" s="22" t="s">
        <v>30</v>
      </c>
      <c r="AE317" s="23"/>
      <c r="AF317" s="24"/>
      <c r="AG317" s="63" t="str">
        <f t="shared" ref="AG317:AG319" si="115">IF(AND(N319&gt;0,M319&gt;0,M319&lt;&gt;""),N319/M319-1,IF(AND(M319&lt;0,N319&lt;0,M319&lt;&gt;""),(N319-M319)/ABS(M319),IF(AND(M319&gt;0,N319&lt;0,M319&lt;&gt;""),"L",IF(AND(M319&lt;0,N319&gt;0,M319&lt;&gt;""),"P",""))))</f>
        <v/>
      </c>
      <c r="AH317" s="63" t="str">
        <f t="shared" ref="AH317:AH319" si="116">IF(AND(O319&gt;0,N319&gt;0,N319&lt;&gt;""),O319/N319-1,IF(AND(N319&lt;0,O319&lt;0,N319&lt;&gt;""),(O319-N319)/ABS(N319),IF(AND(N319&gt;0,O319&lt;0,N319&lt;&gt;""),"L",IF(AND(N319&lt;0,O319&gt;0,N319&lt;&gt;""),"P",""))))</f>
        <v/>
      </c>
      <c r="AI317" s="63" t="str">
        <f t="shared" ref="AI317:AI319" si="117">IF(AND(P319&gt;0,O319&gt;0,O319&lt;&gt;""),P319/O319-1,IF(AND(O319&lt;0,P319&lt;0,O319&lt;&gt;""),(P319-O319)/ABS(O319),IF(AND(O319&gt;0,P319&lt;0,O319&lt;&gt;""),"L",IF(AND(O319&lt;0,P319&gt;0,O319&lt;&gt;""),"P",""))))</f>
        <v/>
      </c>
      <c r="AJ317" s="63" t="str">
        <f t="shared" ref="AJ317:AJ319" si="118">IF(AND(Q319&gt;0,P319&gt;0,P319&lt;&gt;""),Q319/P319-1,IF(AND(P319&lt;0,Q319&lt;0,P319&lt;&gt;""),(Q319-P319)/ABS(P319),IF(AND(P319&gt;0,Q319&lt;0,P319&lt;&gt;""),"L",IF(AND(P319&lt;0,Q319&gt;0,P319&lt;&gt;""),"P",""))))</f>
        <v/>
      </c>
    </row>
    <row r="318" spans="1:41" ht="18.75" customHeight="1" x14ac:dyDescent="0.2">
      <c r="B318" s="42"/>
      <c r="C318" s="16"/>
      <c r="D318" s="128" t="s">
        <v>48</v>
      </c>
      <c r="E318" s="129"/>
      <c r="F318" s="18"/>
      <c r="G318" s="18"/>
      <c r="H318" s="18"/>
      <c r="I318" s="18"/>
      <c r="J318" s="18"/>
      <c r="K318" s="18"/>
      <c r="L318" s="17"/>
      <c r="M318" s="18"/>
      <c r="N318" s="18"/>
      <c r="O318" s="18"/>
      <c r="P318" s="18"/>
      <c r="Q318" s="18"/>
      <c r="R318" s="18"/>
      <c r="T318" s="91" t="s">
        <v>10</v>
      </c>
      <c r="U318" s="92"/>
      <c r="V318" s="94"/>
      <c r="W318" s="105">
        <f>W317+(J332+J334)-J328</f>
        <v>0</v>
      </c>
      <c r="X318" s="62"/>
      <c r="Y318" s="22" t="s">
        <v>31</v>
      </c>
      <c r="Z318" s="22"/>
      <c r="AB318" s="111" t="e">
        <f>IF(AB315="Year over Year",AJ318,IF(AB315="3-Year Average",AVERAGE(AI318:AJ318),IF(AB315="5-Year Average",AVERAGE(AG318:AJ318),"")))</f>
        <v>#DIV/0!</v>
      </c>
      <c r="AC318" s="62"/>
      <c r="AD318" s="22" t="s">
        <v>49</v>
      </c>
      <c r="AE318" s="23"/>
      <c r="AF318" s="24"/>
      <c r="AG318" s="63" t="str">
        <f t="shared" si="115"/>
        <v/>
      </c>
      <c r="AH318" s="63" t="str">
        <f t="shared" si="116"/>
        <v/>
      </c>
      <c r="AI318" s="63" t="str">
        <f t="shared" si="117"/>
        <v/>
      </c>
      <c r="AJ318" s="63" t="str">
        <f t="shared" si="118"/>
        <v/>
      </c>
    </row>
    <row r="319" spans="1:41" ht="18.75" customHeight="1" x14ac:dyDescent="0.2">
      <c r="B319" s="42"/>
      <c r="C319" s="16"/>
      <c r="D319" s="128" t="s">
        <v>50</v>
      </c>
      <c r="E319" s="129"/>
      <c r="F319" s="18"/>
      <c r="G319" s="18"/>
      <c r="H319" s="18"/>
      <c r="I319" s="18"/>
      <c r="J319" s="18"/>
      <c r="K319" s="18"/>
      <c r="L319" s="20"/>
      <c r="M319" s="18"/>
      <c r="N319" s="18"/>
      <c r="O319" s="18"/>
      <c r="P319" s="18"/>
      <c r="Q319" s="18"/>
      <c r="R319" s="18"/>
      <c r="T319" s="91" t="s">
        <v>11</v>
      </c>
      <c r="U319" s="92"/>
      <c r="V319" s="94"/>
      <c r="W319" s="105">
        <f>J331-J335</f>
        <v>0</v>
      </c>
      <c r="X319" s="61"/>
      <c r="Y319" s="22" t="s">
        <v>32</v>
      </c>
      <c r="Z319" s="22"/>
      <c r="AA319" s="23"/>
      <c r="AB319" s="111" t="e">
        <f>IF(AB315="Year over Year",AJ319,IF(AB315="3-Year Average",AVERAGE(AI319:AJ319),IF(AB315="5-Year Average",AVERAGE(AG319:AJ319),"")))</f>
        <v>#DIV/0!</v>
      </c>
      <c r="AC319" s="62"/>
      <c r="AD319" s="22" t="s">
        <v>51</v>
      </c>
      <c r="AE319" s="23"/>
      <c r="AF319" s="24"/>
      <c r="AG319" s="63" t="str">
        <f t="shared" si="115"/>
        <v/>
      </c>
      <c r="AH319" s="63" t="str">
        <f t="shared" si="116"/>
        <v/>
      </c>
      <c r="AI319" s="63" t="str">
        <f t="shared" si="117"/>
        <v/>
      </c>
      <c r="AJ319" s="63" t="str">
        <f t="shared" si="118"/>
        <v/>
      </c>
    </row>
    <row r="320" spans="1:41" ht="18.75" customHeight="1" x14ac:dyDescent="0.2">
      <c r="B320" s="42"/>
      <c r="C320" s="16"/>
      <c r="D320" s="128" t="s">
        <v>52</v>
      </c>
      <c r="E320" s="129"/>
      <c r="F320" s="18"/>
      <c r="G320" s="18"/>
      <c r="H320" s="18"/>
      <c r="I320" s="18"/>
      <c r="J320" s="18"/>
      <c r="K320" s="18"/>
      <c r="L320" s="17"/>
      <c r="M320" s="18"/>
      <c r="N320" s="18"/>
      <c r="O320" s="18"/>
      <c r="P320" s="18"/>
      <c r="Q320" s="18"/>
      <c r="R320" s="18"/>
      <c r="T320" s="91" t="s">
        <v>53</v>
      </c>
      <c r="U320" s="92"/>
      <c r="V320" s="93"/>
      <c r="W320" s="106" t="str">
        <f>IF(W317&gt;10000,"Large Cap",IF(AND(10000&gt;W317,2000&lt;W317),"Mid Cap",IF(AND(2000&gt;W317,W317&gt;50),"Small Cap",IF(W317&lt;50,"Micro Cap",NA))))</f>
        <v>Micro Cap</v>
      </c>
      <c r="X320" s="61"/>
      <c r="AB320" s="117"/>
      <c r="AC320" s="21"/>
    </row>
    <row r="321" spans="2:38" ht="18.75" customHeight="1" thickBot="1" x14ac:dyDescent="0.25">
      <c r="B321" s="42"/>
      <c r="C321" s="16"/>
      <c r="D321" s="128" t="s">
        <v>54</v>
      </c>
      <c r="E321" s="129"/>
      <c r="F321" s="18"/>
      <c r="G321" s="18"/>
      <c r="H321" s="18"/>
      <c r="I321" s="18"/>
      <c r="J321" s="18"/>
      <c r="K321" s="18"/>
      <c r="L321" s="25"/>
      <c r="M321" s="18"/>
      <c r="N321" s="18"/>
      <c r="O321" s="18"/>
      <c r="P321" s="18"/>
      <c r="Q321" s="18"/>
      <c r="R321" s="18"/>
      <c r="T321" s="22" t="s">
        <v>55</v>
      </c>
      <c r="W321" s="107"/>
      <c r="X321" s="62"/>
      <c r="Y321" s="103" t="s">
        <v>2</v>
      </c>
      <c r="Z321" s="114"/>
      <c r="AA321" s="115"/>
      <c r="AB321" s="118"/>
      <c r="AD321" s="101" t="s">
        <v>56</v>
      </c>
      <c r="AE321" s="102"/>
      <c r="AF321" s="133">
        <f>M315</f>
        <v>2013</v>
      </c>
      <c r="AG321" s="133">
        <f>N315</f>
        <v>2014</v>
      </c>
      <c r="AH321" s="133">
        <f>O315</f>
        <v>2015</v>
      </c>
      <c r="AI321" s="133">
        <f>P315</f>
        <v>2016</v>
      </c>
      <c r="AJ321" s="133">
        <f>Q315</f>
        <v>2017</v>
      </c>
    </row>
    <row r="322" spans="2:38" ht="18.75" hidden="1" customHeight="1" x14ac:dyDescent="0.2">
      <c r="B322" s="42"/>
      <c r="C322" s="16"/>
      <c r="D322" s="128"/>
      <c r="E322" s="129"/>
      <c r="F322" s="18"/>
      <c r="G322" s="18"/>
      <c r="H322" s="18"/>
      <c r="I322" s="18"/>
      <c r="J322" s="18"/>
      <c r="K322" s="18"/>
      <c r="L322" s="25"/>
      <c r="M322" s="18"/>
      <c r="N322" s="18"/>
      <c r="O322" s="18"/>
      <c r="P322" s="18"/>
      <c r="Q322" s="18"/>
      <c r="R322" s="18"/>
      <c r="T322" s="22"/>
      <c r="W322" s="95"/>
      <c r="X322" s="62"/>
      <c r="Y322" s="52"/>
      <c r="Z322" s="53"/>
      <c r="AA322" s="96"/>
      <c r="AB322" s="119"/>
      <c r="AD322" s="54"/>
      <c r="AE322" s="55"/>
      <c r="AF322" s="56"/>
      <c r="AG322" s="56"/>
      <c r="AH322" s="56"/>
      <c r="AI322" s="56"/>
      <c r="AJ322" s="56"/>
    </row>
    <row r="323" spans="2:38" ht="18.75" hidden="1" customHeight="1" x14ac:dyDescent="0.2">
      <c r="B323" s="42"/>
      <c r="C323" s="16"/>
      <c r="D323" s="128"/>
      <c r="E323" s="129"/>
      <c r="F323" s="18"/>
      <c r="G323" s="18"/>
      <c r="H323" s="18"/>
      <c r="I323" s="18"/>
      <c r="J323" s="18"/>
      <c r="K323" s="18"/>
      <c r="L323" s="25"/>
      <c r="M323" s="18"/>
      <c r="N323" s="18"/>
      <c r="O323" s="18"/>
      <c r="P323" s="18"/>
      <c r="Q323" s="18"/>
      <c r="R323" s="18"/>
      <c r="T323" s="22"/>
      <c r="W323" s="95"/>
      <c r="X323" s="62"/>
      <c r="Y323" s="52"/>
      <c r="Z323" s="53"/>
      <c r="AA323" s="96"/>
      <c r="AB323" s="119"/>
      <c r="AD323" s="54"/>
      <c r="AE323" s="55"/>
      <c r="AF323" s="56"/>
      <c r="AG323" s="56"/>
      <c r="AH323" s="56"/>
      <c r="AI323" s="56"/>
      <c r="AJ323" s="56"/>
    </row>
    <row r="324" spans="2:38" ht="18.75" customHeight="1" x14ac:dyDescent="0.2">
      <c r="B324" s="42"/>
      <c r="C324" s="16"/>
      <c r="D324" s="128" t="s">
        <v>57</v>
      </c>
      <c r="E324" s="129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T324" s="48"/>
      <c r="Y324" s="91" t="s">
        <v>20</v>
      </c>
      <c r="Z324" s="91"/>
      <c r="AA324" s="92"/>
      <c r="AB324" s="108" t="e">
        <f>AVERAGE(G330:J330)/AVERAGE(G333:J333)</f>
        <v>#DIV/0!</v>
      </c>
      <c r="AD324" s="27" t="s">
        <v>29</v>
      </c>
      <c r="AE324" s="28"/>
      <c r="AF324" s="29" t="str">
        <f>IF(M316="","",M316)</f>
        <v/>
      </c>
      <c r="AG324" s="29" t="str">
        <f>IF(N316="","",N316)</f>
        <v/>
      </c>
      <c r="AH324" s="29" t="str">
        <f>IF(O316="","",O316)</f>
        <v/>
      </c>
      <c r="AI324" s="29" t="str">
        <f>IF(P316="","",P316)</f>
        <v/>
      </c>
      <c r="AJ324" s="29" t="str">
        <f>IF(Q316="","",Q316)</f>
        <v/>
      </c>
    </row>
    <row r="325" spans="2:38" ht="18.75" customHeight="1" thickBot="1" x14ac:dyDescent="0.25">
      <c r="B325" s="42"/>
      <c r="C325" s="16"/>
      <c r="D325" s="237" t="s">
        <v>58</v>
      </c>
      <c r="E325" s="238"/>
      <c r="F325" s="157"/>
      <c r="G325" s="157"/>
      <c r="H325" s="157"/>
      <c r="I325" s="157"/>
      <c r="J325" s="157"/>
      <c r="K325" s="18"/>
      <c r="L325" s="20"/>
      <c r="M325" s="157"/>
      <c r="N325" s="157"/>
      <c r="O325" s="157"/>
      <c r="P325" s="157"/>
      <c r="Q325" s="157"/>
      <c r="R325" s="157"/>
      <c r="T325" s="98" t="s">
        <v>59</v>
      </c>
      <c r="U325" s="99"/>
      <c r="V325" s="99"/>
      <c r="W325" s="99"/>
      <c r="Y325" s="22" t="s">
        <v>21</v>
      </c>
      <c r="Z325" s="22"/>
      <c r="AA325" s="90"/>
      <c r="AB325" s="108" t="e">
        <f>AVERAGE(G331:J331)/AVERAGE(G336:J336)</f>
        <v>#DIV/0!</v>
      </c>
      <c r="AD325" s="27" t="s">
        <v>60</v>
      </c>
      <c r="AE325" s="28"/>
      <c r="AF325" s="64" t="str">
        <f>IF(OR(M316="",M318=""),"",M318/M316)</f>
        <v/>
      </c>
      <c r="AG325" s="64" t="str">
        <f>IF(OR(N316="",N318=""),"",N318/N316)</f>
        <v/>
      </c>
      <c r="AH325" s="64" t="str">
        <f>IF(OR(O316="",O318=""),"",O318/O316)</f>
        <v/>
      </c>
      <c r="AI325" s="64" t="str">
        <f>IF(OR(P316="",P318=""),"",P318/P316)</f>
        <v/>
      </c>
      <c r="AJ325" s="64" t="str">
        <f>IF(OR(Q316="",Q318=""),"",Q318/Q316)</f>
        <v/>
      </c>
    </row>
    <row r="326" spans="2:38" ht="18.75" customHeight="1" x14ac:dyDescent="0.2">
      <c r="B326" s="43"/>
      <c r="C326" s="19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T326" s="91" t="s">
        <v>13</v>
      </c>
      <c r="U326" s="91"/>
      <c r="V326" s="92"/>
      <c r="W326" s="108" t="str">
        <f>IF(R321&gt;0,W316/R321,"")</f>
        <v/>
      </c>
      <c r="Y326" s="22" t="s">
        <v>22</v>
      </c>
      <c r="Z326" s="22"/>
      <c r="AA326" s="90"/>
      <c r="AB326" s="108" t="e">
        <f>AVERAGE(G334:J334)/AVERAGE(G336:J336)</f>
        <v>#DIV/0!</v>
      </c>
      <c r="AD326" s="27" t="s">
        <v>47</v>
      </c>
      <c r="AE326" s="28"/>
      <c r="AF326" s="29" t="str">
        <f>IF(M319="","",M319)</f>
        <v/>
      </c>
      <c r="AG326" s="29" t="str">
        <f>IF(N319="","",N319)</f>
        <v/>
      </c>
      <c r="AH326" s="29" t="str">
        <f>IF(O319="","",O319)</f>
        <v/>
      </c>
      <c r="AI326" s="29" t="str">
        <f>IF(P319="","",P319)</f>
        <v/>
      </c>
      <c r="AJ326" s="29" t="str">
        <f>IF(Q319="","",Q319)</f>
        <v/>
      </c>
    </row>
    <row r="327" spans="2:38" ht="18.75" customHeight="1" thickBot="1" x14ac:dyDescent="0.3">
      <c r="B327" s="44"/>
      <c r="C327" s="26"/>
      <c r="D327" s="130" t="s">
        <v>61</v>
      </c>
      <c r="E327" s="131"/>
      <c r="F327" s="240" t="str">
        <f>F315</f>
        <v>2016-10</v>
      </c>
      <c r="G327" s="240" t="str">
        <f>G315</f>
        <v>2017-01</v>
      </c>
      <c r="H327" s="240" t="str">
        <f>H315</f>
        <v>2017-04</v>
      </c>
      <c r="I327" s="240" t="str">
        <f>I315</f>
        <v>2017-07</v>
      </c>
      <c r="J327" s="240" t="str">
        <f>J315</f>
        <v>2017-10</v>
      </c>
      <c r="K327" s="253"/>
      <c r="L327" s="155"/>
      <c r="M327" s="241">
        <f>M315</f>
        <v>2013</v>
      </c>
      <c r="N327" s="241">
        <f>N315</f>
        <v>2014</v>
      </c>
      <c r="O327" s="241">
        <f>O315</f>
        <v>2015</v>
      </c>
      <c r="P327" s="241">
        <f>P315</f>
        <v>2016</v>
      </c>
      <c r="Q327" s="241">
        <f>Q315</f>
        <v>2017</v>
      </c>
      <c r="R327" s="242"/>
      <c r="T327" s="91" t="s">
        <v>15</v>
      </c>
      <c r="U327" s="91"/>
      <c r="V327" s="92"/>
      <c r="W327" s="108" t="e">
        <f>W316/((J331-J335)/J324)</f>
        <v>#DIV/0!</v>
      </c>
      <c r="X327" s="65"/>
      <c r="Y327" s="48"/>
      <c r="AB327" s="13"/>
      <c r="AD327" s="27" t="s">
        <v>62</v>
      </c>
      <c r="AE327" s="28"/>
      <c r="AF327" s="64" t="str">
        <f>IF(OR(M316="",M319=""),"",M319/M316)</f>
        <v/>
      </c>
      <c r="AG327" s="64" t="str">
        <f>IF(OR(N316="",N319=""),"",N319/N316)</f>
        <v/>
      </c>
      <c r="AH327" s="64" t="str">
        <f>IF(OR(O316="",O319=""),"",O319/O316)</f>
        <v/>
      </c>
      <c r="AI327" s="64" t="str">
        <f>IF(OR(P316="",P319=""),"",P319/P316)</f>
        <v/>
      </c>
      <c r="AJ327" s="64" t="str">
        <f>IF(OR(Q316="",Q319=""),"",Q319/Q316)</f>
        <v/>
      </c>
      <c r="AK327" s="30"/>
      <c r="AL327" s="14"/>
    </row>
    <row r="328" spans="2:38" ht="18.75" customHeight="1" thickBot="1" x14ac:dyDescent="0.25">
      <c r="B328" s="40"/>
      <c r="C328" s="11"/>
      <c r="D328" s="235" t="s">
        <v>63</v>
      </c>
      <c r="E328" s="243"/>
      <c r="F328" s="154"/>
      <c r="G328" s="154"/>
      <c r="H328" s="154"/>
      <c r="I328" s="154"/>
      <c r="J328" s="154"/>
      <c r="K328" s="18"/>
      <c r="L328" s="17"/>
      <c r="M328" s="154"/>
      <c r="N328" s="154"/>
      <c r="O328" s="154"/>
      <c r="P328" s="154"/>
      <c r="Q328" s="154"/>
      <c r="R328" s="154"/>
      <c r="T328" s="91" t="s">
        <v>14</v>
      </c>
      <c r="U328" s="91"/>
      <c r="V328" s="92"/>
      <c r="W328" s="108" t="e">
        <f>W316/(R316/R324)</f>
        <v>#DIV/0!</v>
      </c>
      <c r="X328" s="66"/>
      <c r="Y328" s="103" t="s">
        <v>36</v>
      </c>
      <c r="Z328" s="114"/>
      <c r="AA328" s="114"/>
      <c r="AB328" s="120"/>
      <c r="AD328" s="27" t="s">
        <v>31</v>
      </c>
      <c r="AE328" s="28"/>
      <c r="AF328" s="29" t="str">
        <f t="shared" ref="AF328:AF329" si="119">IF(M320="","",M320)</f>
        <v/>
      </c>
      <c r="AG328" s="29" t="str">
        <f t="shared" ref="AG328:AG329" si="120">IF(N320="","",N320)</f>
        <v/>
      </c>
      <c r="AH328" s="29" t="str">
        <f t="shared" ref="AH328:AH329" si="121">IF(O320="","",O320)</f>
        <v/>
      </c>
      <c r="AI328" s="29" t="str">
        <f t="shared" ref="AI328:AI329" si="122">IF(P320="","",P320)</f>
        <v/>
      </c>
      <c r="AJ328" s="29" t="str">
        <f t="shared" ref="AJ328:AJ329" si="123">IF(Q320="","",Q320)</f>
        <v/>
      </c>
      <c r="AL328" s="67"/>
    </row>
    <row r="329" spans="2:38" ht="18.75" customHeight="1" x14ac:dyDescent="0.2">
      <c r="B329" s="42"/>
      <c r="C329" s="16"/>
      <c r="D329" s="244" t="s">
        <v>64</v>
      </c>
      <c r="E329" s="245"/>
      <c r="F329" s="126"/>
      <c r="G329" s="126"/>
      <c r="H329" s="126"/>
      <c r="I329" s="126"/>
      <c r="J329" s="126"/>
      <c r="K329" s="126"/>
      <c r="L329" s="31"/>
      <c r="M329" s="126"/>
      <c r="N329" s="126"/>
      <c r="O329" s="126"/>
      <c r="P329" s="126"/>
      <c r="Q329" s="126"/>
      <c r="R329" s="126"/>
      <c r="T329" s="22" t="s">
        <v>17</v>
      </c>
      <c r="U329" s="22"/>
      <c r="V329" s="23"/>
      <c r="W329" s="108" t="e">
        <f>IF(AVERAGE(O339:Q339)&gt;0,W316/(AVERAGE(O339:Q339)/R324),"")</f>
        <v>#DIV/0!</v>
      </c>
      <c r="X329" s="66"/>
      <c r="Y329" s="49" t="s">
        <v>29</v>
      </c>
      <c r="Z329" s="49"/>
      <c r="AA329" s="97"/>
      <c r="AB329" s="121">
        <f>R316</f>
        <v>0</v>
      </c>
      <c r="AD329" s="27" t="s">
        <v>32</v>
      </c>
      <c r="AE329" s="28"/>
      <c r="AF329" s="68" t="str">
        <f t="shared" si="119"/>
        <v/>
      </c>
      <c r="AG329" s="68" t="str">
        <f t="shared" si="120"/>
        <v/>
      </c>
      <c r="AH329" s="68" t="str">
        <f t="shared" si="121"/>
        <v/>
      </c>
      <c r="AI329" s="68" t="str">
        <f t="shared" si="122"/>
        <v/>
      </c>
      <c r="AJ329" s="68" t="str">
        <f t="shared" si="123"/>
        <v/>
      </c>
      <c r="AL329" s="67"/>
    </row>
    <row r="330" spans="2:38" ht="18.75" customHeight="1" x14ac:dyDescent="0.25">
      <c r="B330" s="44"/>
      <c r="C330" s="26"/>
      <c r="D330" s="244" t="s">
        <v>65</v>
      </c>
      <c r="E330" s="245"/>
      <c r="F330" s="126"/>
      <c r="G330" s="126"/>
      <c r="H330" s="126"/>
      <c r="I330" s="126"/>
      <c r="J330" s="126"/>
      <c r="K330" s="126"/>
      <c r="L330" s="31"/>
      <c r="M330" s="126"/>
      <c r="N330" s="126"/>
      <c r="O330" s="126"/>
      <c r="P330" s="126"/>
      <c r="Q330" s="126"/>
      <c r="R330" s="126"/>
      <c r="T330" s="91" t="s">
        <v>16</v>
      </c>
      <c r="U330" s="91"/>
      <c r="V330" s="92"/>
      <c r="W330" s="108" t="e">
        <f>IF(AVERAGE(O341:Q341)&gt;0,W317/AVERAGE(O341:Q341),"")</f>
        <v>#DIV/0!</v>
      </c>
      <c r="Y330" s="49" t="s">
        <v>66</v>
      </c>
      <c r="Z330" s="49"/>
      <c r="AA330" s="97"/>
      <c r="AB330" s="121">
        <f>R318</f>
        <v>0</v>
      </c>
      <c r="AD330" s="27" t="s">
        <v>67</v>
      </c>
      <c r="AE330" s="28"/>
      <c r="AF330" s="29" t="str">
        <f>IF(M324="","",M324)</f>
        <v/>
      </c>
      <c r="AG330" s="29" t="str">
        <f>IF(N324="","",N324)</f>
        <v/>
      </c>
      <c r="AH330" s="29" t="str">
        <f>IF(O324="","",O324)</f>
        <v/>
      </c>
      <c r="AI330" s="29" t="str">
        <f>IF(P324="","",P324)</f>
        <v/>
      </c>
      <c r="AJ330" s="29" t="str">
        <f>IF(Q324="","",Q324)</f>
        <v/>
      </c>
      <c r="AL330" s="67"/>
    </row>
    <row r="331" spans="2:38" ht="18.75" customHeight="1" x14ac:dyDescent="0.2">
      <c r="B331" s="43"/>
      <c r="C331" s="19"/>
      <c r="D331" s="244" t="s">
        <v>68</v>
      </c>
      <c r="E331" s="245"/>
      <c r="F331" s="126"/>
      <c r="G331" s="126"/>
      <c r="H331" s="126"/>
      <c r="I331" s="126"/>
      <c r="J331" s="126"/>
      <c r="K331" s="126"/>
      <c r="L331" s="127"/>
      <c r="M331" s="126"/>
      <c r="N331" s="126"/>
      <c r="O331" s="126"/>
      <c r="P331" s="126"/>
      <c r="Q331" s="126"/>
      <c r="R331" s="126"/>
      <c r="T331" s="91" t="s">
        <v>18</v>
      </c>
      <c r="U331" s="91"/>
      <c r="V331" s="92"/>
      <c r="W331" s="108" t="e">
        <f>(W317+(J332+J334)-J328)/J325</f>
        <v>#DIV/0!</v>
      </c>
      <c r="Y331" s="49" t="s">
        <v>31</v>
      </c>
      <c r="Z331" s="49"/>
      <c r="AA331" s="97"/>
      <c r="AB331" s="121">
        <f>R320</f>
        <v>0</v>
      </c>
      <c r="AD331" s="27" t="s">
        <v>69</v>
      </c>
      <c r="AE331" s="28"/>
      <c r="AF331" s="69" t="str">
        <f>IF(OR(M336="",M324="",M331="",M335=""),"",(M331-M335)/M324)</f>
        <v/>
      </c>
      <c r="AG331" s="69" t="str">
        <f>IF(OR(N336="",N324="",N331="",N335=""),"",(N331-N335)/N324)</f>
        <v/>
      </c>
      <c r="AH331" s="69" t="str">
        <f>IF(OR(O336="",O324="",O331="",O335=""),"",(O331-O335)/O324)</f>
        <v/>
      </c>
      <c r="AI331" s="69" t="str">
        <f>IF(OR(P336="",P324="",P331="",P335=""),"",(P331-P335)/P324)</f>
        <v/>
      </c>
      <c r="AJ331" s="69" t="str">
        <f>IF(OR(Q336="",Q324="",Q331="",Q335=""),"",(Q331-Q335)/Q324)</f>
        <v/>
      </c>
      <c r="AL331" s="67"/>
    </row>
    <row r="332" spans="2:38" ht="18.75" customHeight="1" x14ac:dyDescent="0.2">
      <c r="B332" s="42"/>
      <c r="C332" s="16"/>
      <c r="D332" s="244" t="s">
        <v>70</v>
      </c>
      <c r="E332" s="245"/>
      <c r="F332" s="126"/>
      <c r="G332" s="126"/>
      <c r="H332" s="126"/>
      <c r="I332" s="126"/>
      <c r="J332" s="126"/>
      <c r="K332" s="126"/>
      <c r="L332" s="17"/>
      <c r="M332" s="126"/>
      <c r="N332" s="126"/>
      <c r="O332" s="126"/>
      <c r="P332" s="126"/>
      <c r="Q332" s="126"/>
      <c r="R332" s="126"/>
      <c r="T332" s="22"/>
      <c r="U332" s="22"/>
      <c r="V332" s="23"/>
      <c r="W332" s="108"/>
      <c r="Y332" s="91" t="s">
        <v>32</v>
      </c>
      <c r="Z332" s="91"/>
      <c r="AA332" s="92"/>
      <c r="AB332" s="122">
        <f>R321</f>
        <v>0</v>
      </c>
      <c r="AL332" s="67"/>
    </row>
    <row r="333" spans="2:38" ht="18.75" customHeight="1" thickBot="1" x14ac:dyDescent="0.25">
      <c r="B333" s="45"/>
      <c r="C333" s="32"/>
      <c r="D333" s="244" t="s">
        <v>71</v>
      </c>
      <c r="E333" s="245"/>
      <c r="F333" s="126"/>
      <c r="G333" s="126"/>
      <c r="H333" s="126"/>
      <c r="I333" s="126"/>
      <c r="J333" s="126"/>
      <c r="K333" s="126"/>
      <c r="L333" s="31"/>
      <c r="M333" s="126"/>
      <c r="N333" s="126"/>
      <c r="O333" s="126"/>
      <c r="P333" s="126"/>
      <c r="Q333" s="126"/>
      <c r="R333" s="126"/>
      <c r="W333" s="13"/>
      <c r="AB333" s="117"/>
      <c r="AD333" s="101" t="s">
        <v>3</v>
      </c>
      <c r="AE333" s="102"/>
      <c r="AF333" s="133">
        <f>M315</f>
        <v>2013</v>
      </c>
      <c r="AG333" s="133">
        <f>N315</f>
        <v>2014</v>
      </c>
      <c r="AH333" s="133">
        <f>O315</f>
        <v>2015</v>
      </c>
      <c r="AI333" s="133">
        <f>P315</f>
        <v>2016</v>
      </c>
      <c r="AJ333" s="133">
        <f>Q315</f>
        <v>2017</v>
      </c>
    </row>
    <row r="334" spans="2:38" ht="18.75" customHeight="1" thickBot="1" x14ac:dyDescent="0.25">
      <c r="B334" s="43"/>
      <c r="C334" s="19"/>
      <c r="D334" s="244" t="s">
        <v>72</v>
      </c>
      <c r="E334" s="245"/>
      <c r="F334" s="126"/>
      <c r="G334" s="126"/>
      <c r="H334" s="126"/>
      <c r="I334" s="126"/>
      <c r="J334" s="126"/>
      <c r="K334" s="126"/>
      <c r="L334" s="125"/>
      <c r="M334" s="126"/>
      <c r="N334" s="126"/>
      <c r="O334" s="126"/>
      <c r="P334" s="126"/>
      <c r="Q334" s="126"/>
      <c r="R334" s="126"/>
      <c r="T334" s="101" t="s">
        <v>3</v>
      </c>
      <c r="U334" s="102"/>
      <c r="V334" s="102"/>
      <c r="W334" s="109"/>
      <c r="Y334" s="103" t="s">
        <v>61</v>
      </c>
      <c r="Z334" s="114"/>
      <c r="AA334" s="114"/>
      <c r="AB334" s="123"/>
      <c r="AD334" s="27" t="s">
        <v>73</v>
      </c>
      <c r="AE334" s="28"/>
      <c r="AF334" s="70" t="str">
        <f>IF(OR(M316="",M320="",M316=0,M320=0),"",M320/M316)</f>
        <v/>
      </c>
      <c r="AG334" s="70" t="str">
        <f>IF(OR(N316="",N320="",N316=0,N320=0),"",N320/N316)</f>
        <v/>
      </c>
      <c r="AH334" s="70" t="str">
        <f>IF(OR(O316="",O320="",O316=0,O320=0),"",O320/O316)</f>
        <v/>
      </c>
      <c r="AI334" s="70" t="str">
        <f>IF(OR(P316="",P320="",P316=0,P320=0),"",P320/P316)</f>
        <v/>
      </c>
      <c r="AJ334" s="70" t="str">
        <f>IF(OR(Q316="",Q320="",Q316=0,Q320=0),"",Q320/Q316)</f>
        <v/>
      </c>
    </row>
    <row r="335" spans="2:38" ht="18.75" customHeight="1" x14ac:dyDescent="0.2">
      <c r="B335" s="46"/>
      <c r="C335" s="34"/>
      <c r="D335" s="244" t="s">
        <v>74</v>
      </c>
      <c r="E335" s="245"/>
      <c r="F335" s="126"/>
      <c r="G335" s="126"/>
      <c r="H335" s="126"/>
      <c r="I335" s="126"/>
      <c r="J335" s="126"/>
      <c r="K335" s="126"/>
      <c r="L335" s="31"/>
      <c r="M335" s="126"/>
      <c r="N335" s="126"/>
      <c r="O335" s="126"/>
      <c r="P335" s="126"/>
      <c r="Q335" s="126"/>
      <c r="R335" s="126"/>
      <c r="T335" s="22" t="s">
        <v>12</v>
      </c>
      <c r="U335" s="22"/>
      <c r="V335" s="23"/>
      <c r="W335" s="110">
        <f>R316</f>
        <v>0</v>
      </c>
      <c r="Y335" s="22" t="s">
        <v>75</v>
      </c>
      <c r="Z335" s="22"/>
      <c r="AA335" s="23"/>
      <c r="AB335" s="121">
        <f>J329</f>
        <v>0</v>
      </c>
      <c r="AD335" s="27" t="s">
        <v>76</v>
      </c>
      <c r="AE335" s="28"/>
      <c r="AF335" s="70" t="str">
        <f>IF(OR(M320="",M334="",M320=0,M334=0),"",M320/M334)</f>
        <v/>
      </c>
      <c r="AG335" s="70" t="str">
        <f>IF(OR(N320="",N334="",N320=0,N334=0),"",N320/N334)</f>
        <v/>
      </c>
      <c r="AH335" s="70" t="str">
        <f>IF(OR(O320="",O334="",O320=0,O334=0),"",O320/O334)</f>
        <v/>
      </c>
      <c r="AI335" s="70" t="str">
        <f>IF(OR(P320="",P334="",P320=0,P334=0),"",P320/P334)</f>
        <v/>
      </c>
      <c r="AJ335" s="70" t="str">
        <f>IF(OR(Q320="",Q334="",Q320=0,Q334=0),"",Q320/Q334)</f>
        <v/>
      </c>
    </row>
    <row r="336" spans="2:38" ht="18.75" customHeight="1" thickBot="1" x14ac:dyDescent="0.25">
      <c r="B336" s="43"/>
      <c r="C336" s="19"/>
      <c r="D336" s="246" t="s">
        <v>77</v>
      </c>
      <c r="E336" s="247"/>
      <c r="F336" s="156"/>
      <c r="G336" s="156"/>
      <c r="H336" s="156"/>
      <c r="I336" s="156"/>
      <c r="J336" s="156"/>
      <c r="K336" s="126"/>
      <c r="L336" s="127"/>
      <c r="M336" s="156"/>
      <c r="N336" s="156"/>
      <c r="O336" s="156"/>
      <c r="P336" s="156"/>
      <c r="Q336" s="156"/>
      <c r="R336" s="156"/>
      <c r="T336" s="49" t="s">
        <v>23</v>
      </c>
      <c r="U336" s="49"/>
      <c r="V336" s="97"/>
      <c r="W336" s="111" t="e">
        <f>(R316-R317)/R316</f>
        <v>#DIV/0!</v>
      </c>
      <c r="Y336" s="49" t="s">
        <v>78</v>
      </c>
      <c r="Z336" s="49"/>
      <c r="AA336" s="97"/>
      <c r="AB336" s="121">
        <f>J330</f>
        <v>0</v>
      </c>
      <c r="AD336" s="27" t="s">
        <v>79</v>
      </c>
      <c r="AE336" s="28"/>
      <c r="AF336" s="70" t="str">
        <f>IF(OR(M320="",M331="",M320=0,M331=0),"",M320/M331)</f>
        <v/>
      </c>
      <c r="AG336" s="70" t="str">
        <f>IF(OR(N320="",N331="",N320=0,N331=0),"",N320/N331)</f>
        <v/>
      </c>
      <c r="AH336" s="70" t="str">
        <f>IF(OR(O320="",O331="",O320=0,O331=0),"",O320/O331)</f>
        <v/>
      </c>
      <c r="AI336" s="70" t="str">
        <f>IF(OR(P320="",P331="",P320=0,P331=0),"",P320/P331)</f>
        <v/>
      </c>
      <c r="AJ336" s="70" t="str">
        <f>IF(OR(Q320="",Q331="",Q320=0,Q331=0),"",Q320/Q331)</f>
        <v/>
      </c>
    </row>
    <row r="337" spans="1:41" ht="18.75" customHeight="1" x14ac:dyDescent="0.2">
      <c r="B337" s="43"/>
      <c r="C337" s="19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T337" s="49" t="s">
        <v>24</v>
      </c>
      <c r="U337" s="49"/>
      <c r="V337" s="97"/>
      <c r="W337" s="111" t="e">
        <f>R320/R316</f>
        <v>#DIV/0!</v>
      </c>
      <c r="Y337" s="22" t="s">
        <v>80</v>
      </c>
      <c r="Z337" s="22"/>
      <c r="AA337" s="23"/>
      <c r="AB337" s="121">
        <f>J333</f>
        <v>0</v>
      </c>
      <c r="AD337" s="27" t="s">
        <v>28</v>
      </c>
      <c r="AE337" s="28"/>
      <c r="AF337" s="33" t="str">
        <f>IF(OR(M316="",M331="",M316=0,M331=0),"",M316/M331)</f>
        <v/>
      </c>
      <c r="AG337" s="33" t="str">
        <f>IF(OR(N316="",N331="",N316=0,N331=0),"",N316/N331)</f>
        <v/>
      </c>
      <c r="AH337" s="33" t="str">
        <f>IF(OR(O316="",O331="",O316=0,O331=0),"",O316/O331)</f>
        <v/>
      </c>
      <c r="AI337" s="33" t="str">
        <f>IF(OR(P316="",P331="",P316=0,P331=0),"",P316/P331)</f>
        <v/>
      </c>
      <c r="AJ337" s="33" t="str">
        <f>IF(OR(Q316="",Q331="",Q316=0,Q331=0),"",Q316/Q331)</f>
        <v/>
      </c>
    </row>
    <row r="338" spans="1:41" ht="18.75" customHeight="1" thickBot="1" x14ac:dyDescent="0.25">
      <c r="B338" s="43"/>
      <c r="C338" s="19"/>
      <c r="D338" s="130" t="s">
        <v>81</v>
      </c>
      <c r="E338" s="131"/>
      <c r="F338" s="240" t="str">
        <f>F315</f>
        <v>2016-10</v>
      </c>
      <c r="G338" s="240" t="str">
        <f>G315</f>
        <v>2017-01</v>
      </c>
      <c r="H338" s="240" t="str">
        <f>H315</f>
        <v>2017-04</v>
      </c>
      <c r="I338" s="240" t="str">
        <f>I315</f>
        <v>2017-07</v>
      </c>
      <c r="J338" s="240" t="str">
        <f>J315</f>
        <v>2017-10</v>
      </c>
      <c r="K338" s="253"/>
      <c r="L338" s="155"/>
      <c r="M338" s="248">
        <f>M315</f>
        <v>2013</v>
      </c>
      <c r="N338" s="248">
        <f>N315</f>
        <v>2014</v>
      </c>
      <c r="O338" s="248">
        <f>O315</f>
        <v>2015</v>
      </c>
      <c r="P338" s="248">
        <f>P315</f>
        <v>2016</v>
      </c>
      <c r="Q338" s="248">
        <f>Q315</f>
        <v>2017</v>
      </c>
      <c r="R338" s="242" t="s">
        <v>42</v>
      </c>
      <c r="T338" s="49" t="s">
        <v>25</v>
      </c>
      <c r="U338" s="49"/>
      <c r="V338" s="97"/>
      <c r="W338" s="111" t="e">
        <f>R319/R316</f>
        <v>#DIV/0!</v>
      </c>
      <c r="Y338" s="22" t="s">
        <v>82</v>
      </c>
      <c r="AB338" s="121">
        <f>J332+J334</f>
        <v>0</v>
      </c>
      <c r="AK338" s="35"/>
    </row>
    <row r="339" spans="1:41" ht="18.75" customHeight="1" thickBot="1" x14ac:dyDescent="0.3">
      <c r="B339" s="47"/>
      <c r="C339" s="36"/>
      <c r="D339" s="235" t="s">
        <v>83</v>
      </c>
      <c r="E339" s="236"/>
      <c r="F339" s="154"/>
      <c r="G339" s="154"/>
      <c r="H339" s="154"/>
      <c r="I339" s="154"/>
      <c r="J339" s="154"/>
      <c r="K339" s="18"/>
      <c r="L339" s="17"/>
      <c r="M339" s="154"/>
      <c r="N339" s="154"/>
      <c r="O339" s="154"/>
      <c r="P339" s="154"/>
      <c r="Q339" s="154"/>
      <c r="R339" s="154"/>
      <c r="W339" s="13"/>
      <c r="Y339" s="22"/>
      <c r="AB339" s="121"/>
      <c r="AD339" s="101" t="s">
        <v>2</v>
      </c>
      <c r="AE339" s="102"/>
      <c r="AF339" s="132">
        <f>M315</f>
        <v>2013</v>
      </c>
      <c r="AG339" s="132">
        <f>N315</f>
        <v>2014</v>
      </c>
      <c r="AH339" s="132">
        <f>O315</f>
        <v>2015</v>
      </c>
      <c r="AI339" s="132">
        <f>P315</f>
        <v>2016</v>
      </c>
      <c r="AJ339" s="132">
        <f>Q315</f>
        <v>2017</v>
      </c>
      <c r="AK339" s="35"/>
    </row>
    <row r="340" spans="1:41" ht="18.75" customHeight="1" thickBot="1" x14ac:dyDescent="0.25">
      <c r="B340" s="43"/>
      <c r="C340" s="19"/>
      <c r="D340" s="128" t="s">
        <v>84</v>
      </c>
      <c r="E340" s="129"/>
      <c r="F340" s="18"/>
      <c r="G340" s="18"/>
      <c r="H340" s="18"/>
      <c r="I340" s="18"/>
      <c r="J340" s="18"/>
      <c r="K340" s="18"/>
      <c r="L340" s="17"/>
      <c r="M340" s="18"/>
      <c r="N340" s="18"/>
      <c r="O340" s="18"/>
      <c r="P340" s="18"/>
      <c r="Q340" s="18"/>
      <c r="R340" s="18"/>
      <c r="T340" s="98" t="s">
        <v>4</v>
      </c>
      <c r="U340" s="99"/>
      <c r="V340" s="99"/>
      <c r="W340" s="112"/>
      <c r="Y340" s="103" t="s">
        <v>85</v>
      </c>
      <c r="Z340" s="114"/>
      <c r="AA340" s="114"/>
      <c r="AB340" s="123"/>
      <c r="AD340" s="27" t="s">
        <v>20</v>
      </c>
      <c r="AE340" s="28"/>
      <c r="AF340" s="33" t="str">
        <f t="shared" ref="AF340:AF341" si="124">IF(OR(M330="",M333="",M330=0,M333=0),"",M330/M333)</f>
        <v/>
      </c>
      <c r="AG340" s="33" t="str">
        <f t="shared" ref="AG340:AG341" si="125">IF(OR(N330="",N333="",N330=0,N333=0),"",N330/N333)</f>
        <v/>
      </c>
      <c r="AH340" s="33" t="str">
        <f t="shared" ref="AH340:AH341" si="126">IF(OR(O330="",O333="",O330=0,O333=0),"",O330/O333)</f>
        <v/>
      </c>
      <c r="AI340" s="33" t="str">
        <f t="shared" ref="AI340:AI341" si="127">IF(OR(P330="",P333="",P330=0,P333=0),"",P330/P333)</f>
        <v/>
      </c>
      <c r="AJ340" s="33" t="str">
        <f t="shared" ref="AJ340:AJ341" si="128">IF(OR(Q330="",Q333="",Q330=0,Q333=0),"",Q330/Q333)</f>
        <v/>
      </c>
      <c r="AK340" s="35"/>
    </row>
    <row r="341" spans="1:41" ht="18.75" customHeight="1" thickBot="1" x14ac:dyDescent="0.25">
      <c r="B341" s="43"/>
      <c r="C341" s="19"/>
      <c r="D341" s="237" t="s">
        <v>86</v>
      </c>
      <c r="E341" s="238"/>
      <c r="F341" s="157"/>
      <c r="G341" s="157"/>
      <c r="H341" s="157"/>
      <c r="I341" s="157"/>
      <c r="J341" s="157"/>
      <c r="K341" s="18"/>
      <c r="L341" s="17"/>
      <c r="M341" s="157"/>
      <c r="N341" s="157"/>
      <c r="O341" s="157"/>
      <c r="P341" s="157"/>
      <c r="Q341" s="157"/>
      <c r="R341" s="157"/>
      <c r="T341" s="91" t="s">
        <v>26</v>
      </c>
      <c r="U341" s="91"/>
      <c r="V341" s="92"/>
      <c r="W341" s="111" t="e">
        <f>R320/AVERAGE(G336:J336)</f>
        <v>#DIV/0!</v>
      </c>
      <c r="Y341" s="49" t="s">
        <v>87</v>
      </c>
      <c r="Z341" s="49"/>
      <c r="AA341" s="97"/>
      <c r="AB341" s="105" t="e">
        <f>AVERAGE(O339:Q339)</f>
        <v>#DIV/0!</v>
      </c>
      <c r="AD341" s="27" t="s">
        <v>21</v>
      </c>
      <c r="AE341" s="28"/>
      <c r="AF341" s="33" t="str">
        <f t="shared" si="124"/>
        <v/>
      </c>
      <c r="AG341" s="33" t="str">
        <f t="shared" si="125"/>
        <v/>
      </c>
      <c r="AH341" s="33" t="str">
        <f t="shared" si="126"/>
        <v/>
      </c>
      <c r="AI341" s="33" t="str">
        <f t="shared" si="127"/>
        <v/>
      </c>
      <c r="AJ341" s="33" t="str">
        <f t="shared" si="128"/>
        <v/>
      </c>
      <c r="AK341" s="35"/>
    </row>
    <row r="342" spans="1:41" ht="18.75" customHeight="1" x14ac:dyDescent="0.2">
      <c r="B342" s="40"/>
      <c r="C342" s="11"/>
      <c r="T342" s="91" t="s">
        <v>27</v>
      </c>
      <c r="U342" s="91"/>
      <c r="V342" s="92"/>
      <c r="W342" s="111" t="e">
        <f>R320/AVERAGE(G331:J331)</f>
        <v>#DIV/0!</v>
      </c>
      <c r="Y342" s="22" t="s">
        <v>88</v>
      </c>
      <c r="Z342" s="22"/>
      <c r="AB342" s="124" t="e">
        <f>ABS(AVERAGE(O340:Q340))</f>
        <v>#DIV/0!</v>
      </c>
      <c r="AD342" s="27" t="s">
        <v>22</v>
      </c>
      <c r="AE342" s="28"/>
      <c r="AF342" s="33" t="str">
        <f>IF(OR(M336="",M334="",M334=0,M336=0),"",M336/M334)</f>
        <v/>
      </c>
      <c r="AG342" s="33" t="str">
        <f>IF(OR(N336="",N334="",N334=0,N336=0),"",N336/N334)</f>
        <v/>
      </c>
      <c r="AH342" s="33" t="str">
        <f>IF(OR(O336="",O334="",O334=0,O336=0),"",O336/O334)</f>
        <v/>
      </c>
      <c r="AI342" s="33" t="str">
        <f>IF(OR(P336="",P334="",P334=0,P336=0),"",P336/P334)</f>
        <v/>
      </c>
      <c r="AJ342" s="33" t="str">
        <f>IF(OR(Q336="",Q334="",Q334=0,Q336=0),"",Q336/Q334)</f>
        <v/>
      </c>
    </row>
    <row r="343" spans="1:41" ht="18.75" customHeight="1" x14ac:dyDescent="0.2">
      <c r="B343" s="40"/>
      <c r="C343" s="11"/>
      <c r="T343" s="91" t="s">
        <v>89</v>
      </c>
      <c r="U343" s="91"/>
      <c r="V343" s="92"/>
      <c r="W343" s="111" t="e">
        <f>R319/(AVERAGE(G336:J336)+(AVERAGE(G331:J331)-AVERAGE(G333:J333)))</f>
        <v>#DIV/0!</v>
      </c>
      <c r="Y343" s="22" t="s">
        <v>90</v>
      </c>
      <c r="Z343" s="22"/>
      <c r="AA343" s="23"/>
      <c r="AB343" s="105" t="e">
        <f>AVERAGE(O341:Q341)</f>
        <v>#DIV/0!</v>
      </c>
    </row>
    <row r="344" spans="1:41" ht="18.75" customHeight="1" x14ac:dyDescent="0.2">
      <c r="B344" s="43"/>
      <c r="C344" s="19"/>
      <c r="T344" s="91" t="s">
        <v>28</v>
      </c>
      <c r="U344" s="91"/>
      <c r="V344" s="92"/>
      <c r="W344" s="108" t="e">
        <f>R316/AVERAGE(G331:J331)</f>
        <v>#DIV/0!</v>
      </c>
      <c r="Y344" s="48"/>
      <c r="AB344" s="48"/>
      <c r="AK344" s="37"/>
    </row>
    <row r="345" spans="1:41" s="175" customFormat="1" ht="18.75" customHeight="1" thickBot="1" x14ac:dyDescent="0.35">
      <c r="A345" s="166"/>
      <c r="B345" s="167"/>
      <c r="C345" s="168"/>
      <c r="D345" s="169"/>
      <c r="E345" s="168"/>
      <c r="F345" s="170"/>
      <c r="G345" s="170"/>
      <c r="H345" s="170"/>
      <c r="I345" s="170"/>
      <c r="J345" s="170"/>
      <c r="K345" s="170"/>
      <c r="L345" s="171"/>
      <c r="M345" s="172"/>
      <c r="N345" s="173"/>
      <c r="O345" s="173"/>
      <c r="P345" s="173"/>
      <c r="Q345" s="171"/>
      <c r="R345" s="171"/>
      <c r="S345" s="168"/>
      <c r="T345" s="174"/>
      <c r="Y345" s="174"/>
      <c r="AB345" s="176"/>
      <c r="AD345" s="174"/>
    </row>
    <row r="346" spans="1:41" s="138" customFormat="1" ht="18.75" customHeight="1" thickBot="1" x14ac:dyDescent="0.25">
      <c r="D346" s="163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T346" s="163"/>
      <c r="Y346" s="163"/>
      <c r="AB346" s="165"/>
      <c r="AD346" s="163"/>
    </row>
    <row r="347" spans="1:41" s="153" customFormat="1" ht="18.75" customHeight="1" thickBot="1" x14ac:dyDescent="0.3">
      <c r="A347" s="139">
        <v>11</v>
      </c>
      <c r="B347" s="140"/>
      <c r="C347" s="141"/>
      <c r="D347" s="142"/>
      <c r="E347" s="143"/>
      <c r="F347" s="144"/>
      <c r="G347" s="145"/>
      <c r="H347" s="145"/>
      <c r="I347" s="145"/>
      <c r="J347" s="145"/>
      <c r="K347" s="252"/>
      <c r="L347" s="159"/>
      <c r="M347" s="147"/>
      <c r="N347" s="148"/>
      <c r="O347" s="148"/>
      <c r="P347" s="148"/>
      <c r="Q347" s="148"/>
      <c r="R347" s="148"/>
      <c r="S347" s="148"/>
      <c r="T347" s="161" t="s">
        <v>7</v>
      </c>
      <c r="U347" s="258" t="s">
        <v>34</v>
      </c>
      <c r="V347" s="259"/>
      <c r="W347" s="162"/>
      <c r="X347" s="148"/>
      <c r="Y347" s="149"/>
      <c r="Z347" s="148"/>
      <c r="AA347" s="148"/>
      <c r="AB347" s="150"/>
      <c r="AC347" s="151"/>
      <c r="AD347" s="152"/>
      <c r="AE347" s="146"/>
      <c r="AF347" s="146"/>
      <c r="AG347" s="151"/>
      <c r="AH347" s="151"/>
      <c r="AI347" s="151"/>
      <c r="AJ347" s="151"/>
      <c r="AK347" s="151"/>
      <c r="AL347" s="151"/>
      <c r="AM347" s="151"/>
      <c r="AN347" s="146"/>
      <c r="AO347" s="146"/>
    </row>
    <row r="348" spans="1:41" ht="10.5" customHeight="1" x14ac:dyDescent="0.25">
      <c r="B348" s="39"/>
      <c r="C348" s="8"/>
      <c r="D348" s="9"/>
      <c r="E348" s="59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50"/>
      <c r="U348" s="10"/>
      <c r="V348" s="10"/>
      <c r="W348" s="10"/>
      <c r="X348" s="10"/>
      <c r="Y348" s="50"/>
      <c r="Z348" s="10"/>
      <c r="AA348" s="10"/>
      <c r="AB348" s="60"/>
      <c r="AC348" s="10"/>
      <c r="AD348" s="50"/>
      <c r="AE348" s="10"/>
      <c r="AF348" s="10"/>
      <c r="AG348" s="10"/>
      <c r="AH348" s="10"/>
      <c r="AI348" s="10"/>
      <c r="AJ348" s="10"/>
      <c r="AK348" s="10"/>
      <c r="AL348" s="10"/>
      <c r="AM348" s="10"/>
    </row>
    <row r="349" spans="1:41" ht="18.75" customHeight="1" thickBot="1" x14ac:dyDescent="0.25">
      <c r="B349" s="40"/>
      <c r="C349" s="11"/>
      <c r="D349" s="130" t="s">
        <v>36</v>
      </c>
      <c r="E349" s="131"/>
      <c r="F349" s="239" t="s">
        <v>37</v>
      </c>
      <c r="G349" s="239" t="s">
        <v>38</v>
      </c>
      <c r="H349" s="239" t="s">
        <v>39</v>
      </c>
      <c r="I349" s="239" t="s">
        <v>40</v>
      </c>
      <c r="J349" s="239" t="s">
        <v>41</v>
      </c>
      <c r="K349" s="249"/>
      <c r="L349" s="155"/>
      <c r="M349" s="239">
        <v>2013</v>
      </c>
      <c r="N349" s="239">
        <v>2014</v>
      </c>
      <c r="O349" s="239">
        <v>2015</v>
      </c>
      <c r="P349" s="239">
        <v>2016</v>
      </c>
      <c r="Q349" s="239">
        <v>2017</v>
      </c>
      <c r="R349" s="239" t="s">
        <v>42</v>
      </c>
      <c r="T349" s="98" t="s">
        <v>0</v>
      </c>
      <c r="U349" s="99"/>
      <c r="V349" s="99"/>
      <c r="W349" s="100"/>
      <c r="X349" s="12"/>
      <c r="Y349" s="98" t="s">
        <v>5</v>
      </c>
      <c r="Z349" s="99"/>
      <c r="AA349" s="113"/>
      <c r="AB349" s="116" t="s">
        <v>43</v>
      </c>
      <c r="AC349" s="12"/>
      <c r="AD349" s="103" t="s">
        <v>44</v>
      </c>
      <c r="AE349" s="114"/>
      <c r="AF349" s="113"/>
      <c r="AG349" s="132">
        <f>N349</f>
        <v>2014</v>
      </c>
      <c r="AH349" s="132">
        <f>O349</f>
        <v>2015</v>
      </c>
      <c r="AI349" s="132">
        <f>P349</f>
        <v>2016</v>
      </c>
      <c r="AJ349" s="132">
        <f>Q349</f>
        <v>2017</v>
      </c>
      <c r="AK349" s="13"/>
      <c r="AL349" s="14"/>
      <c r="AN349" s="15"/>
      <c r="AO349" s="55"/>
    </row>
    <row r="350" spans="1:41" ht="18.75" customHeight="1" x14ac:dyDescent="0.2">
      <c r="A350" s="41"/>
      <c r="B350" s="42"/>
      <c r="C350" s="16"/>
      <c r="D350" s="235" t="s">
        <v>29</v>
      </c>
      <c r="E350" s="236"/>
      <c r="F350" s="154"/>
      <c r="G350" s="154"/>
      <c r="H350" s="154"/>
      <c r="I350" s="154"/>
      <c r="J350" s="154"/>
      <c r="K350" s="18"/>
      <c r="L350" s="17"/>
      <c r="M350" s="154"/>
      <c r="N350" s="154"/>
      <c r="O350" s="154"/>
      <c r="P350" s="154"/>
      <c r="Q350" s="154"/>
      <c r="R350" s="154"/>
      <c r="T350" s="22" t="s">
        <v>8</v>
      </c>
      <c r="U350" s="90"/>
      <c r="V350" s="90"/>
      <c r="W350" s="104">
        <v>5.42</v>
      </c>
      <c r="X350" s="61"/>
      <c r="Y350" s="22" t="s">
        <v>29</v>
      </c>
      <c r="Z350" s="22"/>
      <c r="AA350" s="23"/>
      <c r="AB350" s="111" t="e">
        <f>IF(AB349="Year over Year",AJ350,IF(AB349="3-Year Average",AVERAGE(AI350:AJ350),IF(AB349="5-Year Average",AVERAGE(AG350:AJ350),"")))</f>
        <v>#DIV/0!</v>
      </c>
      <c r="AC350" s="62"/>
      <c r="AD350" s="22" t="s">
        <v>45</v>
      </c>
      <c r="AE350" s="23"/>
      <c r="AF350" s="24"/>
      <c r="AG350" s="63" t="str">
        <f>IF(AND(N350&gt;0,M350&gt;0,M350&lt;&gt;""),N350/M350-1,IF(AND(M350&lt;0,N350&lt;0,M350&lt;&gt;""),(N350-M350)/ABS(M350),IF(AND(M350&gt;0,N350&lt;0,M350&lt;&gt;""),"L",IF(AND(M350&lt;0,N350&gt;0,M350&lt;&gt;""),"P",""))))</f>
        <v/>
      </c>
      <c r="AH350" s="63" t="str">
        <f>IF(AND(O350&gt;0,N350&gt;0,N350&lt;&gt;""),O350/N350-1,IF(AND(N350&lt;0,O350&lt;0,N350&lt;&gt;""),(O350-N350)/ABS(N350),IF(AND(N350&gt;0,O350&lt;0,N350&lt;&gt;""),"L",IF(AND(N350&lt;0,O350&gt;0,N350&lt;&gt;""),"P",""))))</f>
        <v/>
      </c>
      <c r="AI350" s="63" t="str">
        <f>IF(AND(P350&gt;0,O350&gt;0,O350&lt;&gt;""),P350/O350-1,IF(AND(O350&lt;0,P350&lt;0,O350&lt;&gt;""),(P350-O350)/ABS(O350),IF(AND(O350&gt;0,P350&lt;0,O350&lt;&gt;""),"L",IF(AND(O350&lt;0,P350&gt;0,O350&lt;&gt;""),"P",""))))</f>
        <v/>
      </c>
      <c r="AJ350" s="63" t="str">
        <f>IF(AND(Q350&gt;0,P350&gt;0,P350&lt;&gt;""),Q350/P350-1,IF(AND(P350&lt;0,Q350&lt;0,P350&lt;&gt;""),(Q350-P350)/ABS(P350),IF(AND(P350&gt;0,Q350&lt;0,P350&lt;&gt;""),"L",IF(AND(P350&lt;0,Q350&gt;0,P350&lt;&gt;""),"P",""))))</f>
        <v/>
      </c>
    </row>
    <row r="351" spans="1:41" ht="18.75" customHeight="1" x14ac:dyDescent="0.2">
      <c r="A351" s="41"/>
      <c r="B351" s="42"/>
      <c r="C351" s="16"/>
      <c r="D351" s="128" t="s">
        <v>46</v>
      </c>
      <c r="E351" s="129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T351" s="91" t="s">
        <v>9</v>
      </c>
      <c r="U351" s="92"/>
      <c r="V351" s="93"/>
      <c r="W351" s="105">
        <f>W350*R358</f>
        <v>0</v>
      </c>
      <c r="X351" s="61"/>
      <c r="Y351" s="22" t="s">
        <v>47</v>
      </c>
      <c r="Z351" s="22"/>
      <c r="AA351" s="23"/>
      <c r="AB351" s="111" t="e">
        <f>IF(AB349="Year over Year",AJ351,IF(AB349="3-Year Average",AVERAGE(AI351:AJ351),IF(AB349="5-Year Average",AVERAGE(AG351:AJ351),"")))</f>
        <v>#DIV/0!</v>
      </c>
      <c r="AC351" s="62"/>
      <c r="AD351" s="22" t="s">
        <v>30</v>
      </c>
      <c r="AE351" s="23"/>
      <c r="AF351" s="24"/>
      <c r="AG351" s="63" t="str">
        <f t="shared" ref="AG351:AG353" si="129">IF(AND(N353&gt;0,M353&gt;0,M353&lt;&gt;""),N353/M353-1,IF(AND(M353&lt;0,N353&lt;0,M353&lt;&gt;""),(N353-M353)/ABS(M353),IF(AND(M353&gt;0,N353&lt;0,M353&lt;&gt;""),"L",IF(AND(M353&lt;0,N353&gt;0,M353&lt;&gt;""),"P",""))))</f>
        <v/>
      </c>
      <c r="AH351" s="63" t="str">
        <f t="shared" ref="AH351:AH353" si="130">IF(AND(O353&gt;0,N353&gt;0,N353&lt;&gt;""),O353/N353-1,IF(AND(N353&lt;0,O353&lt;0,N353&lt;&gt;""),(O353-N353)/ABS(N353),IF(AND(N353&gt;0,O353&lt;0,N353&lt;&gt;""),"L",IF(AND(N353&lt;0,O353&gt;0,N353&lt;&gt;""),"P",""))))</f>
        <v/>
      </c>
      <c r="AI351" s="63" t="str">
        <f t="shared" ref="AI351:AI353" si="131">IF(AND(P353&gt;0,O353&gt;0,O353&lt;&gt;""),P353/O353-1,IF(AND(O353&lt;0,P353&lt;0,O353&lt;&gt;""),(P353-O353)/ABS(O353),IF(AND(O353&gt;0,P353&lt;0,O353&lt;&gt;""),"L",IF(AND(O353&lt;0,P353&gt;0,O353&lt;&gt;""),"P",""))))</f>
        <v/>
      </c>
      <c r="AJ351" s="63" t="str">
        <f t="shared" ref="AJ351:AJ353" si="132">IF(AND(Q353&gt;0,P353&gt;0,P353&lt;&gt;""),Q353/P353-1,IF(AND(P353&lt;0,Q353&lt;0,P353&lt;&gt;""),(Q353-P353)/ABS(P353),IF(AND(P353&gt;0,Q353&lt;0,P353&lt;&gt;""),"L",IF(AND(P353&lt;0,Q353&gt;0,P353&lt;&gt;""),"P",""))))</f>
        <v/>
      </c>
    </row>
    <row r="352" spans="1:41" ht="18.75" customHeight="1" x14ac:dyDescent="0.2">
      <c r="B352" s="42"/>
      <c r="C352" s="16"/>
      <c r="D352" s="128" t="s">
        <v>48</v>
      </c>
      <c r="E352" s="129"/>
      <c r="F352" s="18"/>
      <c r="G352" s="18"/>
      <c r="H352" s="18"/>
      <c r="I352" s="18"/>
      <c r="J352" s="18"/>
      <c r="K352" s="18"/>
      <c r="L352" s="17"/>
      <c r="M352" s="18"/>
      <c r="N352" s="18"/>
      <c r="O352" s="18"/>
      <c r="P352" s="18"/>
      <c r="Q352" s="18"/>
      <c r="R352" s="18"/>
      <c r="T352" s="91" t="s">
        <v>10</v>
      </c>
      <c r="U352" s="92"/>
      <c r="V352" s="94"/>
      <c r="W352" s="105">
        <f>W351+(J366+J368)-J362</f>
        <v>0</v>
      </c>
      <c r="X352" s="62"/>
      <c r="Y352" s="22" t="s">
        <v>31</v>
      </c>
      <c r="Z352" s="22"/>
      <c r="AB352" s="111" t="e">
        <f>IF(AB349="Year over Year",AJ352,IF(AB349="3-Year Average",AVERAGE(AI352:AJ352),IF(AB349="5-Year Average",AVERAGE(AG352:AJ352),"")))</f>
        <v>#DIV/0!</v>
      </c>
      <c r="AC352" s="62"/>
      <c r="AD352" s="22" t="s">
        <v>49</v>
      </c>
      <c r="AE352" s="23"/>
      <c r="AF352" s="24"/>
      <c r="AG352" s="63" t="str">
        <f t="shared" si="129"/>
        <v/>
      </c>
      <c r="AH352" s="63" t="str">
        <f t="shared" si="130"/>
        <v/>
      </c>
      <c r="AI352" s="63" t="str">
        <f t="shared" si="131"/>
        <v/>
      </c>
      <c r="AJ352" s="63" t="str">
        <f t="shared" si="132"/>
        <v/>
      </c>
    </row>
    <row r="353" spans="2:38" ht="18.75" customHeight="1" x14ac:dyDescent="0.2">
      <c r="B353" s="42"/>
      <c r="C353" s="16"/>
      <c r="D353" s="128" t="s">
        <v>50</v>
      </c>
      <c r="E353" s="129"/>
      <c r="F353" s="18"/>
      <c r="G353" s="18"/>
      <c r="H353" s="18"/>
      <c r="I353" s="18"/>
      <c r="J353" s="18"/>
      <c r="K353" s="18"/>
      <c r="L353" s="20"/>
      <c r="M353" s="18"/>
      <c r="N353" s="18"/>
      <c r="O353" s="18"/>
      <c r="P353" s="18"/>
      <c r="Q353" s="18"/>
      <c r="R353" s="18"/>
      <c r="T353" s="91" t="s">
        <v>11</v>
      </c>
      <c r="U353" s="92"/>
      <c r="V353" s="94"/>
      <c r="W353" s="105">
        <f>J365-J369</f>
        <v>0</v>
      </c>
      <c r="X353" s="61"/>
      <c r="Y353" s="22" t="s">
        <v>32</v>
      </c>
      <c r="Z353" s="22"/>
      <c r="AA353" s="23"/>
      <c r="AB353" s="111" t="e">
        <f>IF(AB349="Year over Year",AJ353,IF(AB349="3-Year Average",AVERAGE(AI353:AJ353),IF(AB349="5-Year Average",AVERAGE(AG353:AJ353),"")))</f>
        <v>#DIV/0!</v>
      </c>
      <c r="AC353" s="62"/>
      <c r="AD353" s="22" t="s">
        <v>51</v>
      </c>
      <c r="AE353" s="23"/>
      <c r="AF353" s="24"/>
      <c r="AG353" s="63" t="str">
        <f t="shared" si="129"/>
        <v/>
      </c>
      <c r="AH353" s="63" t="str">
        <f t="shared" si="130"/>
        <v/>
      </c>
      <c r="AI353" s="63" t="str">
        <f t="shared" si="131"/>
        <v/>
      </c>
      <c r="AJ353" s="63" t="str">
        <f t="shared" si="132"/>
        <v/>
      </c>
    </row>
    <row r="354" spans="2:38" ht="18.75" customHeight="1" x14ac:dyDescent="0.2">
      <c r="B354" s="42"/>
      <c r="C354" s="16"/>
      <c r="D354" s="128" t="s">
        <v>52</v>
      </c>
      <c r="E354" s="129"/>
      <c r="F354" s="18"/>
      <c r="G354" s="18"/>
      <c r="H354" s="18"/>
      <c r="I354" s="18"/>
      <c r="J354" s="18"/>
      <c r="K354" s="18"/>
      <c r="L354" s="17"/>
      <c r="M354" s="18"/>
      <c r="N354" s="18"/>
      <c r="O354" s="18"/>
      <c r="P354" s="18"/>
      <c r="Q354" s="18"/>
      <c r="R354" s="18"/>
      <c r="T354" s="91" t="s">
        <v>53</v>
      </c>
      <c r="U354" s="92"/>
      <c r="V354" s="93"/>
      <c r="W354" s="106" t="str">
        <f>IF(W351&gt;10000,"Large Cap",IF(AND(10000&gt;W351,2000&lt;W351),"Mid Cap",IF(AND(2000&gt;W351,W351&gt;50),"Small Cap",IF(W351&lt;50,"Micro Cap",NA))))</f>
        <v>Micro Cap</v>
      </c>
      <c r="X354" s="61"/>
      <c r="AB354" s="117"/>
      <c r="AC354" s="21"/>
    </row>
    <row r="355" spans="2:38" ht="18.75" customHeight="1" thickBot="1" x14ac:dyDescent="0.25">
      <c r="B355" s="42"/>
      <c r="C355" s="16"/>
      <c r="D355" s="128" t="s">
        <v>54</v>
      </c>
      <c r="E355" s="129"/>
      <c r="F355" s="18"/>
      <c r="G355" s="18"/>
      <c r="H355" s="18"/>
      <c r="I355" s="18"/>
      <c r="J355" s="18"/>
      <c r="K355" s="18"/>
      <c r="L355" s="25"/>
      <c r="M355" s="18"/>
      <c r="N355" s="18"/>
      <c r="O355" s="18"/>
      <c r="P355" s="18"/>
      <c r="Q355" s="18"/>
      <c r="R355" s="18"/>
      <c r="T355" s="22" t="s">
        <v>55</v>
      </c>
      <c r="W355" s="107"/>
      <c r="X355" s="62"/>
      <c r="Y355" s="103" t="s">
        <v>2</v>
      </c>
      <c r="Z355" s="114"/>
      <c r="AA355" s="115"/>
      <c r="AB355" s="118"/>
      <c r="AD355" s="101" t="s">
        <v>56</v>
      </c>
      <c r="AE355" s="102"/>
      <c r="AF355" s="133">
        <f>M349</f>
        <v>2013</v>
      </c>
      <c r="AG355" s="133">
        <f>N349</f>
        <v>2014</v>
      </c>
      <c r="AH355" s="133">
        <f>O349</f>
        <v>2015</v>
      </c>
      <c r="AI355" s="133">
        <f>P349</f>
        <v>2016</v>
      </c>
      <c r="AJ355" s="133">
        <f>Q349</f>
        <v>2017</v>
      </c>
    </row>
    <row r="356" spans="2:38" ht="18.75" hidden="1" customHeight="1" x14ac:dyDescent="0.2">
      <c r="B356" s="42"/>
      <c r="C356" s="16"/>
      <c r="D356" s="128"/>
      <c r="E356" s="129"/>
      <c r="F356" s="18"/>
      <c r="G356" s="18"/>
      <c r="H356" s="18"/>
      <c r="I356" s="18"/>
      <c r="J356" s="18"/>
      <c r="K356" s="18"/>
      <c r="L356" s="25"/>
      <c r="M356" s="18"/>
      <c r="N356" s="18"/>
      <c r="O356" s="18"/>
      <c r="P356" s="18"/>
      <c r="Q356" s="18"/>
      <c r="R356" s="18"/>
      <c r="T356" s="22"/>
      <c r="W356" s="95"/>
      <c r="X356" s="62"/>
      <c r="Y356" s="52"/>
      <c r="Z356" s="53"/>
      <c r="AA356" s="96"/>
      <c r="AB356" s="119"/>
      <c r="AD356" s="54"/>
      <c r="AE356" s="55"/>
      <c r="AF356" s="56"/>
      <c r="AG356" s="56"/>
      <c r="AH356" s="56"/>
      <c r="AI356" s="56"/>
      <c r="AJ356" s="56"/>
    </row>
    <row r="357" spans="2:38" ht="18.75" hidden="1" customHeight="1" x14ac:dyDescent="0.2">
      <c r="B357" s="42"/>
      <c r="C357" s="16"/>
      <c r="D357" s="128"/>
      <c r="E357" s="129"/>
      <c r="F357" s="18"/>
      <c r="G357" s="18"/>
      <c r="H357" s="18"/>
      <c r="I357" s="18"/>
      <c r="J357" s="18"/>
      <c r="K357" s="18"/>
      <c r="L357" s="25"/>
      <c r="M357" s="18"/>
      <c r="N357" s="18"/>
      <c r="O357" s="18"/>
      <c r="P357" s="18"/>
      <c r="Q357" s="18"/>
      <c r="R357" s="18"/>
      <c r="T357" s="22"/>
      <c r="W357" s="95"/>
      <c r="X357" s="62"/>
      <c r="Y357" s="52"/>
      <c r="Z357" s="53"/>
      <c r="AA357" s="96"/>
      <c r="AB357" s="119"/>
      <c r="AD357" s="54"/>
      <c r="AE357" s="55"/>
      <c r="AF357" s="56"/>
      <c r="AG357" s="56"/>
      <c r="AH357" s="56"/>
      <c r="AI357" s="56"/>
      <c r="AJ357" s="56"/>
    </row>
    <row r="358" spans="2:38" ht="18.75" customHeight="1" x14ac:dyDescent="0.2">
      <c r="B358" s="42"/>
      <c r="C358" s="16"/>
      <c r="D358" s="128" t="s">
        <v>57</v>
      </c>
      <c r="E358" s="129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T358" s="48"/>
      <c r="Y358" s="91" t="s">
        <v>20</v>
      </c>
      <c r="Z358" s="91"/>
      <c r="AA358" s="92"/>
      <c r="AB358" s="108" t="e">
        <f>AVERAGE(G364:J364)/AVERAGE(G367:J367)</f>
        <v>#DIV/0!</v>
      </c>
      <c r="AD358" s="27" t="s">
        <v>29</v>
      </c>
      <c r="AE358" s="28"/>
      <c r="AF358" s="29" t="str">
        <f>IF(M350="","",M350)</f>
        <v/>
      </c>
      <c r="AG358" s="29" t="str">
        <f>IF(N350="","",N350)</f>
        <v/>
      </c>
      <c r="AH358" s="29" t="str">
        <f>IF(O350="","",O350)</f>
        <v/>
      </c>
      <c r="AI358" s="29" t="str">
        <f>IF(P350="","",P350)</f>
        <v/>
      </c>
      <c r="AJ358" s="29" t="str">
        <f>IF(Q350="","",Q350)</f>
        <v/>
      </c>
    </row>
    <row r="359" spans="2:38" ht="18.75" customHeight="1" thickBot="1" x14ac:dyDescent="0.25">
      <c r="B359" s="42"/>
      <c r="C359" s="16"/>
      <c r="D359" s="237" t="s">
        <v>58</v>
      </c>
      <c r="E359" s="238"/>
      <c r="F359" s="157"/>
      <c r="G359" s="157"/>
      <c r="H359" s="157"/>
      <c r="I359" s="157"/>
      <c r="J359" s="157"/>
      <c r="K359" s="18"/>
      <c r="L359" s="20"/>
      <c r="M359" s="157"/>
      <c r="N359" s="157"/>
      <c r="O359" s="157"/>
      <c r="P359" s="157"/>
      <c r="Q359" s="157"/>
      <c r="R359" s="157"/>
      <c r="T359" s="98" t="s">
        <v>59</v>
      </c>
      <c r="U359" s="99"/>
      <c r="V359" s="99"/>
      <c r="W359" s="99"/>
      <c r="Y359" s="22" t="s">
        <v>21</v>
      </c>
      <c r="Z359" s="22"/>
      <c r="AA359" s="90"/>
      <c r="AB359" s="108" t="e">
        <f>AVERAGE(G365:J365)/AVERAGE(G370:J370)</f>
        <v>#DIV/0!</v>
      </c>
      <c r="AD359" s="27" t="s">
        <v>60</v>
      </c>
      <c r="AE359" s="28"/>
      <c r="AF359" s="64" t="str">
        <f>IF(OR(M350="",M352=""),"",M352/M350)</f>
        <v/>
      </c>
      <c r="AG359" s="64" t="str">
        <f>IF(OR(N350="",N352=""),"",N352/N350)</f>
        <v/>
      </c>
      <c r="AH359" s="64" t="str">
        <f>IF(OR(O350="",O352=""),"",O352/O350)</f>
        <v/>
      </c>
      <c r="AI359" s="64" t="str">
        <f>IF(OR(P350="",P352=""),"",P352/P350)</f>
        <v/>
      </c>
      <c r="AJ359" s="64" t="str">
        <f>IF(OR(Q350="",Q352=""),"",Q352/Q350)</f>
        <v/>
      </c>
    </row>
    <row r="360" spans="2:38" ht="18.75" customHeight="1" x14ac:dyDescent="0.2">
      <c r="B360" s="43"/>
      <c r="C360" s="19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T360" s="91" t="s">
        <v>13</v>
      </c>
      <c r="U360" s="91"/>
      <c r="V360" s="92"/>
      <c r="W360" s="108" t="str">
        <f>IF(R355&gt;0,W350/R355,"")</f>
        <v/>
      </c>
      <c r="Y360" s="22" t="s">
        <v>22</v>
      </c>
      <c r="Z360" s="22"/>
      <c r="AA360" s="90"/>
      <c r="AB360" s="108" t="e">
        <f>AVERAGE(G368:J368)/AVERAGE(G370:J370)</f>
        <v>#DIV/0!</v>
      </c>
      <c r="AD360" s="27" t="s">
        <v>47</v>
      </c>
      <c r="AE360" s="28"/>
      <c r="AF360" s="29" t="str">
        <f>IF(M353="","",M353)</f>
        <v/>
      </c>
      <c r="AG360" s="29" t="str">
        <f>IF(N353="","",N353)</f>
        <v/>
      </c>
      <c r="AH360" s="29" t="str">
        <f>IF(O353="","",O353)</f>
        <v/>
      </c>
      <c r="AI360" s="29" t="str">
        <f>IF(P353="","",P353)</f>
        <v/>
      </c>
      <c r="AJ360" s="29" t="str">
        <f>IF(Q353="","",Q353)</f>
        <v/>
      </c>
    </row>
    <row r="361" spans="2:38" ht="18.75" customHeight="1" thickBot="1" x14ac:dyDescent="0.3">
      <c r="B361" s="44"/>
      <c r="C361" s="26"/>
      <c r="D361" s="130" t="s">
        <v>61</v>
      </c>
      <c r="E361" s="131"/>
      <c r="F361" s="240" t="str">
        <f>F349</f>
        <v>2016-10</v>
      </c>
      <c r="G361" s="240" t="str">
        <f>G349</f>
        <v>2017-01</v>
      </c>
      <c r="H361" s="240" t="str">
        <f>H349</f>
        <v>2017-04</v>
      </c>
      <c r="I361" s="240" t="str">
        <f>I349</f>
        <v>2017-07</v>
      </c>
      <c r="J361" s="240" t="str">
        <f>J349</f>
        <v>2017-10</v>
      </c>
      <c r="K361" s="253"/>
      <c r="L361" s="155"/>
      <c r="M361" s="241">
        <f>M349</f>
        <v>2013</v>
      </c>
      <c r="N361" s="241">
        <f>N349</f>
        <v>2014</v>
      </c>
      <c r="O361" s="241">
        <f>O349</f>
        <v>2015</v>
      </c>
      <c r="P361" s="241">
        <f>P349</f>
        <v>2016</v>
      </c>
      <c r="Q361" s="241">
        <f>Q349</f>
        <v>2017</v>
      </c>
      <c r="R361" s="242"/>
      <c r="T361" s="91" t="s">
        <v>15</v>
      </c>
      <c r="U361" s="91"/>
      <c r="V361" s="92"/>
      <c r="W361" s="108" t="e">
        <f>W350/((J365-J369)/J358)</f>
        <v>#DIV/0!</v>
      </c>
      <c r="X361" s="65"/>
      <c r="Y361" s="48"/>
      <c r="AB361" s="13"/>
      <c r="AD361" s="27" t="s">
        <v>62</v>
      </c>
      <c r="AE361" s="28"/>
      <c r="AF361" s="64" t="str">
        <f>IF(OR(M350="",M353=""),"",M353/M350)</f>
        <v/>
      </c>
      <c r="AG361" s="64" t="str">
        <f>IF(OR(N350="",N353=""),"",N353/N350)</f>
        <v/>
      </c>
      <c r="AH361" s="64" t="str">
        <f>IF(OR(O350="",O353=""),"",O353/O350)</f>
        <v/>
      </c>
      <c r="AI361" s="64" t="str">
        <f>IF(OR(P350="",P353=""),"",P353/P350)</f>
        <v/>
      </c>
      <c r="AJ361" s="64" t="str">
        <f>IF(OR(Q350="",Q353=""),"",Q353/Q350)</f>
        <v/>
      </c>
      <c r="AK361" s="30"/>
      <c r="AL361" s="14"/>
    </row>
    <row r="362" spans="2:38" ht="18.75" customHeight="1" thickBot="1" x14ac:dyDescent="0.25">
      <c r="B362" s="40"/>
      <c r="C362" s="11"/>
      <c r="D362" s="235" t="s">
        <v>63</v>
      </c>
      <c r="E362" s="243"/>
      <c r="F362" s="154"/>
      <c r="G362" s="154"/>
      <c r="H362" s="154"/>
      <c r="I362" s="154"/>
      <c r="J362" s="154"/>
      <c r="K362" s="18"/>
      <c r="L362" s="17"/>
      <c r="M362" s="154"/>
      <c r="N362" s="154"/>
      <c r="O362" s="154"/>
      <c r="P362" s="154"/>
      <c r="Q362" s="154"/>
      <c r="R362" s="154"/>
      <c r="T362" s="91" t="s">
        <v>14</v>
      </c>
      <c r="U362" s="91"/>
      <c r="V362" s="92"/>
      <c r="W362" s="108" t="e">
        <f>W350/(R350/R358)</f>
        <v>#DIV/0!</v>
      </c>
      <c r="X362" s="66"/>
      <c r="Y362" s="103" t="s">
        <v>36</v>
      </c>
      <c r="Z362" s="114"/>
      <c r="AA362" s="114"/>
      <c r="AB362" s="120"/>
      <c r="AD362" s="27" t="s">
        <v>31</v>
      </c>
      <c r="AE362" s="28"/>
      <c r="AF362" s="29" t="str">
        <f t="shared" ref="AF362:AF363" si="133">IF(M354="","",M354)</f>
        <v/>
      </c>
      <c r="AG362" s="29" t="str">
        <f t="shared" ref="AG362:AG363" si="134">IF(N354="","",N354)</f>
        <v/>
      </c>
      <c r="AH362" s="29" t="str">
        <f t="shared" ref="AH362:AH363" si="135">IF(O354="","",O354)</f>
        <v/>
      </c>
      <c r="AI362" s="29" t="str">
        <f t="shared" ref="AI362:AI363" si="136">IF(P354="","",P354)</f>
        <v/>
      </c>
      <c r="AJ362" s="29" t="str">
        <f t="shared" ref="AJ362:AJ363" si="137">IF(Q354="","",Q354)</f>
        <v/>
      </c>
      <c r="AL362" s="67"/>
    </row>
    <row r="363" spans="2:38" ht="18.75" customHeight="1" x14ac:dyDescent="0.2">
      <c r="B363" s="42"/>
      <c r="C363" s="16"/>
      <c r="D363" s="244" t="s">
        <v>64</v>
      </c>
      <c r="E363" s="245"/>
      <c r="F363" s="126"/>
      <c r="G363" s="126"/>
      <c r="H363" s="126"/>
      <c r="I363" s="126"/>
      <c r="J363" s="126"/>
      <c r="K363" s="126"/>
      <c r="L363" s="31"/>
      <c r="M363" s="126"/>
      <c r="N363" s="126"/>
      <c r="O363" s="126"/>
      <c r="P363" s="126"/>
      <c r="Q363" s="126"/>
      <c r="R363" s="126"/>
      <c r="T363" s="22" t="s">
        <v>17</v>
      </c>
      <c r="U363" s="22"/>
      <c r="V363" s="23"/>
      <c r="W363" s="108" t="e">
        <f>IF(AVERAGE(O373:Q373)&gt;0,W350/(AVERAGE(O373:Q373)/R358),"")</f>
        <v>#DIV/0!</v>
      </c>
      <c r="X363" s="66"/>
      <c r="Y363" s="49" t="s">
        <v>29</v>
      </c>
      <c r="Z363" s="49"/>
      <c r="AA363" s="97"/>
      <c r="AB363" s="121">
        <f>R350</f>
        <v>0</v>
      </c>
      <c r="AD363" s="27" t="s">
        <v>32</v>
      </c>
      <c r="AE363" s="28"/>
      <c r="AF363" s="68" t="str">
        <f t="shared" si="133"/>
        <v/>
      </c>
      <c r="AG363" s="68" t="str">
        <f t="shared" si="134"/>
        <v/>
      </c>
      <c r="AH363" s="68" t="str">
        <f t="shared" si="135"/>
        <v/>
      </c>
      <c r="AI363" s="68" t="str">
        <f t="shared" si="136"/>
        <v/>
      </c>
      <c r="AJ363" s="68" t="str">
        <f t="shared" si="137"/>
        <v/>
      </c>
      <c r="AL363" s="67"/>
    </row>
    <row r="364" spans="2:38" ht="18.75" customHeight="1" x14ac:dyDescent="0.25">
      <c r="B364" s="44"/>
      <c r="C364" s="26"/>
      <c r="D364" s="244" t="s">
        <v>65</v>
      </c>
      <c r="E364" s="245"/>
      <c r="F364" s="126"/>
      <c r="G364" s="126"/>
      <c r="H364" s="126"/>
      <c r="I364" s="126"/>
      <c r="J364" s="126"/>
      <c r="K364" s="126"/>
      <c r="L364" s="31"/>
      <c r="M364" s="126"/>
      <c r="N364" s="126"/>
      <c r="O364" s="126"/>
      <c r="P364" s="126"/>
      <c r="Q364" s="126"/>
      <c r="R364" s="126"/>
      <c r="T364" s="91" t="s">
        <v>16</v>
      </c>
      <c r="U364" s="91"/>
      <c r="V364" s="92"/>
      <c r="W364" s="108" t="e">
        <f>IF(AVERAGE(O375:Q375)&gt;0,W351/AVERAGE(O375:Q375),"")</f>
        <v>#DIV/0!</v>
      </c>
      <c r="Y364" s="49" t="s">
        <v>66</v>
      </c>
      <c r="Z364" s="49"/>
      <c r="AA364" s="97"/>
      <c r="AB364" s="121">
        <f>R352</f>
        <v>0</v>
      </c>
      <c r="AD364" s="27" t="s">
        <v>67</v>
      </c>
      <c r="AE364" s="28"/>
      <c r="AF364" s="29" t="str">
        <f>IF(M358="","",M358)</f>
        <v/>
      </c>
      <c r="AG364" s="29" t="str">
        <f>IF(N358="","",N358)</f>
        <v/>
      </c>
      <c r="AH364" s="29" t="str">
        <f>IF(O358="","",O358)</f>
        <v/>
      </c>
      <c r="AI364" s="29" t="str">
        <f>IF(P358="","",P358)</f>
        <v/>
      </c>
      <c r="AJ364" s="29" t="str">
        <f>IF(Q358="","",Q358)</f>
        <v/>
      </c>
      <c r="AL364" s="67"/>
    </row>
    <row r="365" spans="2:38" ht="18.75" customHeight="1" x14ac:dyDescent="0.2">
      <c r="B365" s="43"/>
      <c r="C365" s="19"/>
      <c r="D365" s="244" t="s">
        <v>68</v>
      </c>
      <c r="E365" s="245"/>
      <c r="F365" s="126"/>
      <c r="G365" s="126"/>
      <c r="H365" s="126"/>
      <c r="I365" s="126"/>
      <c r="J365" s="126"/>
      <c r="K365" s="126"/>
      <c r="L365" s="127"/>
      <c r="M365" s="126"/>
      <c r="N365" s="126"/>
      <c r="O365" s="126"/>
      <c r="P365" s="126"/>
      <c r="Q365" s="126"/>
      <c r="R365" s="126"/>
      <c r="T365" s="91" t="s">
        <v>18</v>
      </c>
      <c r="U365" s="91"/>
      <c r="V365" s="92"/>
      <c r="W365" s="108" t="e">
        <f>(W351+(J366+J368)-J362)/J359</f>
        <v>#DIV/0!</v>
      </c>
      <c r="Y365" s="49" t="s">
        <v>31</v>
      </c>
      <c r="Z365" s="49"/>
      <c r="AA365" s="97"/>
      <c r="AB365" s="121">
        <f>R354</f>
        <v>0</v>
      </c>
      <c r="AD365" s="27" t="s">
        <v>69</v>
      </c>
      <c r="AE365" s="28"/>
      <c r="AF365" s="69" t="str">
        <f>IF(OR(M370="",M358="",M365="",M369=""),"",(M365-M369)/M358)</f>
        <v/>
      </c>
      <c r="AG365" s="69" t="str">
        <f>IF(OR(N370="",N358="",N365="",N369=""),"",(N365-N369)/N358)</f>
        <v/>
      </c>
      <c r="AH365" s="69" t="str">
        <f>IF(OR(O370="",O358="",O365="",O369=""),"",(O365-O369)/O358)</f>
        <v/>
      </c>
      <c r="AI365" s="69" t="str">
        <f>IF(OR(P370="",P358="",P365="",P369=""),"",(P365-P369)/P358)</f>
        <v/>
      </c>
      <c r="AJ365" s="69" t="str">
        <f>IF(OR(Q370="",Q358="",Q365="",Q369=""),"",(Q365-Q369)/Q358)</f>
        <v/>
      </c>
      <c r="AL365" s="67"/>
    </row>
    <row r="366" spans="2:38" ht="18.75" customHeight="1" x14ac:dyDescent="0.2">
      <c r="B366" s="42"/>
      <c r="C366" s="16"/>
      <c r="D366" s="244" t="s">
        <v>70</v>
      </c>
      <c r="E366" s="245"/>
      <c r="F366" s="126"/>
      <c r="G366" s="126"/>
      <c r="H366" s="126"/>
      <c r="I366" s="126"/>
      <c r="J366" s="126"/>
      <c r="K366" s="126"/>
      <c r="L366" s="17"/>
      <c r="M366" s="126"/>
      <c r="N366" s="126"/>
      <c r="O366" s="126"/>
      <c r="P366" s="126"/>
      <c r="Q366" s="126"/>
      <c r="R366" s="126"/>
      <c r="T366" s="22"/>
      <c r="U366" s="22"/>
      <c r="V366" s="23"/>
      <c r="W366" s="108"/>
      <c r="Y366" s="91" t="s">
        <v>32</v>
      </c>
      <c r="Z366" s="91"/>
      <c r="AA366" s="92"/>
      <c r="AB366" s="122">
        <f>R355</f>
        <v>0</v>
      </c>
      <c r="AL366" s="67"/>
    </row>
    <row r="367" spans="2:38" ht="18.75" customHeight="1" thickBot="1" x14ac:dyDescent="0.25">
      <c r="B367" s="45"/>
      <c r="C367" s="32"/>
      <c r="D367" s="244" t="s">
        <v>71</v>
      </c>
      <c r="E367" s="245"/>
      <c r="F367" s="126"/>
      <c r="G367" s="126"/>
      <c r="H367" s="126"/>
      <c r="I367" s="126"/>
      <c r="J367" s="126"/>
      <c r="K367" s="126"/>
      <c r="L367" s="31"/>
      <c r="M367" s="126"/>
      <c r="N367" s="126"/>
      <c r="O367" s="126"/>
      <c r="P367" s="126"/>
      <c r="Q367" s="126"/>
      <c r="R367" s="126"/>
      <c r="W367" s="13"/>
      <c r="AB367" s="117"/>
      <c r="AD367" s="101" t="s">
        <v>3</v>
      </c>
      <c r="AE367" s="102"/>
      <c r="AF367" s="133">
        <f>M349</f>
        <v>2013</v>
      </c>
      <c r="AG367" s="133">
        <f>N349</f>
        <v>2014</v>
      </c>
      <c r="AH367" s="133">
        <f>O349</f>
        <v>2015</v>
      </c>
      <c r="AI367" s="133">
        <f>P349</f>
        <v>2016</v>
      </c>
      <c r="AJ367" s="133">
        <f>Q349</f>
        <v>2017</v>
      </c>
    </row>
    <row r="368" spans="2:38" ht="18.75" customHeight="1" thickBot="1" x14ac:dyDescent="0.25">
      <c r="B368" s="43"/>
      <c r="C368" s="19"/>
      <c r="D368" s="244" t="s">
        <v>72</v>
      </c>
      <c r="E368" s="245"/>
      <c r="F368" s="126"/>
      <c r="G368" s="126"/>
      <c r="H368" s="126"/>
      <c r="I368" s="126"/>
      <c r="J368" s="126"/>
      <c r="K368" s="126"/>
      <c r="L368" s="125"/>
      <c r="M368" s="126"/>
      <c r="N368" s="126"/>
      <c r="O368" s="126"/>
      <c r="P368" s="126"/>
      <c r="Q368" s="126"/>
      <c r="R368" s="126"/>
      <c r="T368" s="101" t="s">
        <v>3</v>
      </c>
      <c r="U368" s="102"/>
      <c r="V368" s="102"/>
      <c r="W368" s="109"/>
      <c r="Y368" s="103" t="s">
        <v>61</v>
      </c>
      <c r="Z368" s="114"/>
      <c r="AA368" s="114"/>
      <c r="AB368" s="123"/>
      <c r="AD368" s="27" t="s">
        <v>73</v>
      </c>
      <c r="AE368" s="28"/>
      <c r="AF368" s="70" t="str">
        <f>IF(OR(M350="",M354="",M350=0,M354=0),"",M354/M350)</f>
        <v/>
      </c>
      <c r="AG368" s="70" t="str">
        <f>IF(OR(N350="",N354="",N350=0,N354=0),"",N354/N350)</f>
        <v/>
      </c>
      <c r="AH368" s="70" t="str">
        <f>IF(OR(O350="",O354="",O350=0,O354=0),"",O354/O350)</f>
        <v/>
      </c>
      <c r="AI368" s="70" t="str">
        <f>IF(OR(P350="",P354="",P350=0,P354=0),"",P354/P350)</f>
        <v/>
      </c>
      <c r="AJ368" s="70" t="str">
        <f>IF(OR(Q350="",Q354="",Q350=0,Q354=0),"",Q354/Q350)</f>
        <v/>
      </c>
    </row>
    <row r="369" spans="1:37" ht="18.75" customHeight="1" x14ac:dyDescent="0.2">
      <c r="B369" s="46"/>
      <c r="C369" s="34"/>
      <c r="D369" s="244" t="s">
        <v>74</v>
      </c>
      <c r="E369" s="245"/>
      <c r="F369" s="126"/>
      <c r="G369" s="126"/>
      <c r="H369" s="126"/>
      <c r="I369" s="126"/>
      <c r="J369" s="126"/>
      <c r="K369" s="126"/>
      <c r="L369" s="31"/>
      <c r="M369" s="126"/>
      <c r="N369" s="126"/>
      <c r="O369" s="126"/>
      <c r="P369" s="126"/>
      <c r="Q369" s="126"/>
      <c r="R369" s="126"/>
      <c r="T369" s="22" t="s">
        <v>12</v>
      </c>
      <c r="U369" s="22"/>
      <c r="V369" s="23"/>
      <c r="W369" s="110">
        <f>R350</f>
        <v>0</v>
      </c>
      <c r="Y369" s="22" t="s">
        <v>75</v>
      </c>
      <c r="Z369" s="22"/>
      <c r="AA369" s="23"/>
      <c r="AB369" s="121">
        <f>J363</f>
        <v>0</v>
      </c>
      <c r="AD369" s="27" t="s">
        <v>76</v>
      </c>
      <c r="AE369" s="28"/>
      <c r="AF369" s="70" t="str">
        <f>IF(OR(M354="",M368="",M354=0,M368=0),"",M354/M368)</f>
        <v/>
      </c>
      <c r="AG369" s="70" t="str">
        <f>IF(OR(N354="",N368="",N354=0,N368=0),"",N354/N368)</f>
        <v/>
      </c>
      <c r="AH369" s="70" t="str">
        <f>IF(OR(O354="",O368="",O354=0,O368=0),"",O354/O368)</f>
        <v/>
      </c>
      <c r="AI369" s="70" t="str">
        <f>IF(OR(P354="",P368="",P354=0,P368=0),"",P354/P368)</f>
        <v/>
      </c>
      <c r="AJ369" s="70" t="str">
        <f>IF(OR(Q354="",Q368="",Q354=0,Q368=0),"",Q354/Q368)</f>
        <v/>
      </c>
    </row>
    <row r="370" spans="1:37" ht="18.75" customHeight="1" thickBot="1" x14ac:dyDescent="0.25">
      <c r="B370" s="43"/>
      <c r="C370" s="19"/>
      <c r="D370" s="246" t="s">
        <v>77</v>
      </c>
      <c r="E370" s="247"/>
      <c r="F370" s="156"/>
      <c r="G370" s="156"/>
      <c r="H370" s="156"/>
      <c r="I370" s="156"/>
      <c r="J370" s="156"/>
      <c r="K370" s="126"/>
      <c r="L370" s="127"/>
      <c r="M370" s="156"/>
      <c r="N370" s="156"/>
      <c r="O370" s="156"/>
      <c r="P370" s="156"/>
      <c r="Q370" s="156"/>
      <c r="R370" s="156"/>
      <c r="T370" s="49" t="s">
        <v>23</v>
      </c>
      <c r="U370" s="49"/>
      <c r="V370" s="97"/>
      <c r="W370" s="111" t="e">
        <f>(R350-R351)/R350</f>
        <v>#DIV/0!</v>
      </c>
      <c r="Y370" s="49" t="s">
        <v>78</v>
      </c>
      <c r="Z370" s="49"/>
      <c r="AA370" s="97"/>
      <c r="AB370" s="121">
        <f>J364</f>
        <v>0</v>
      </c>
      <c r="AD370" s="27" t="s">
        <v>79</v>
      </c>
      <c r="AE370" s="28"/>
      <c r="AF370" s="70" t="str">
        <f>IF(OR(M354="",M365="",M354=0,M365=0),"",M354/M365)</f>
        <v/>
      </c>
      <c r="AG370" s="70" t="str">
        <f>IF(OR(N354="",N365="",N354=0,N365=0),"",N354/N365)</f>
        <v/>
      </c>
      <c r="AH370" s="70" t="str">
        <f>IF(OR(O354="",O365="",O354=0,O365=0),"",O354/O365)</f>
        <v/>
      </c>
      <c r="AI370" s="70" t="str">
        <f>IF(OR(P354="",P365="",P354=0,P365=0),"",P354/P365)</f>
        <v/>
      </c>
      <c r="AJ370" s="70" t="str">
        <f>IF(OR(Q354="",Q365="",Q354=0,Q365=0),"",Q354/Q365)</f>
        <v/>
      </c>
    </row>
    <row r="371" spans="1:37" ht="18.75" customHeight="1" x14ac:dyDescent="0.2">
      <c r="B371" s="43"/>
      <c r="C371" s="19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T371" s="49" t="s">
        <v>24</v>
      </c>
      <c r="U371" s="49"/>
      <c r="V371" s="97"/>
      <c r="W371" s="111" t="e">
        <f>R354/R350</f>
        <v>#DIV/0!</v>
      </c>
      <c r="Y371" s="22" t="s">
        <v>80</v>
      </c>
      <c r="Z371" s="22"/>
      <c r="AA371" s="23"/>
      <c r="AB371" s="121">
        <f>J367</f>
        <v>0</v>
      </c>
      <c r="AD371" s="27" t="s">
        <v>28</v>
      </c>
      <c r="AE371" s="28"/>
      <c r="AF371" s="33" t="str">
        <f>IF(OR(M350="",M365="",M350=0,M365=0),"",M350/M365)</f>
        <v/>
      </c>
      <c r="AG371" s="33" t="str">
        <f>IF(OR(N350="",N365="",N350=0,N365=0),"",N350/N365)</f>
        <v/>
      </c>
      <c r="AH371" s="33" t="str">
        <f>IF(OR(O350="",O365="",O350=0,O365=0),"",O350/O365)</f>
        <v/>
      </c>
      <c r="AI371" s="33" t="str">
        <f>IF(OR(P350="",P365="",P350=0,P365=0),"",P350/P365)</f>
        <v/>
      </c>
      <c r="AJ371" s="33" t="str">
        <f>IF(OR(Q350="",Q365="",Q350=0,Q365=0),"",Q350/Q365)</f>
        <v/>
      </c>
    </row>
    <row r="372" spans="1:37" ht="18.75" customHeight="1" thickBot="1" x14ac:dyDescent="0.25">
      <c r="B372" s="43"/>
      <c r="C372" s="19"/>
      <c r="D372" s="130" t="s">
        <v>81</v>
      </c>
      <c r="E372" s="131"/>
      <c r="F372" s="240" t="str">
        <f>F349</f>
        <v>2016-10</v>
      </c>
      <c r="G372" s="240" t="str">
        <f>G349</f>
        <v>2017-01</v>
      </c>
      <c r="H372" s="240" t="str">
        <f>H349</f>
        <v>2017-04</v>
      </c>
      <c r="I372" s="240" t="str">
        <f>I349</f>
        <v>2017-07</v>
      </c>
      <c r="J372" s="240" t="str">
        <f>J349</f>
        <v>2017-10</v>
      </c>
      <c r="K372" s="253"/>
      <c r="L372" s="155"/>
      <c r="M372" s="248">
        <f>M349</f>
        <v>2013</v>
      </c>
      <c r="N372" s="248">
        <f>N349</f>
        <v>2014</v>
      </c>
      <c r="O372" s="248">
        <f>O349</f>
        <v>2015</v>
      </c>
      <c r="P372" s="248">
        <f>P349</f>
        <v>2016</v>
      </c>
      <c r="Q372" s="248">
        <f>Q349</f>
        <v>2017</v>
      </c>
      <c r="R372" s="242" t="s">
        <v>42</v>
      </c>
      <c r="T372" s="49" t="s">
        <v>25</v>
      </c>
      <c r="U372" s="49"/>
      <c r="V372" s="97"/>
      <c r="W372" s="111" t="e">
        <f>R353/R350</f>
        <v>#DIV/0!</v>
      </c>
      <c r="Y372" s="22" t="s">
        <v>82</v>
      </c>
      <c r="AB372" s="121">
        <f>J366+J368</f>
        <v>0</v>
      </c>
      <c r="AK372" s="35"/>
    </row>
    <row r="373" spans="1:37" ht="18.75" customHeight="1" thickBot="1" x14ac:dyDescent="0.3">
      <c r="B373" s="47"/>
      <c r="C373" s="36"/>
      <c r="D373" s="235" t="s">
        <v>83</v>
      </c>
      <c r="E373" s="236"/>
      <c r="F373" s="154"/>
      <c r="G373" s="154"/>
      <c r="H373" s="154"/>
      <c r="I373" s="154"/>
      <c r="J373" s="154"/>
      <c r="K373" s="18"/>
      <c r="L373" s="17"/>
      <c r="M373" s="154"/>
      <c r="N373" s="154"/>
      <c r="O373" s="154"/>
      <c r="P373" s="154"/>
      <c r="Q373" s="154"/>
      <c r="R373" s="154"/>
      <c r="W373" s="13"/>
      <c r="Y373" s="22"/>
      <c r="AB373" s="121"/>
      <c r="AD373" s="101" t="s">
        <v>2</v>
      </c>
      <c r="AE373" s="102"/>
      <c r="AF373" s="132">
        <f>M349</f>
        <v>2013</v>
      </c>
      <c r="AG373" s="132">
        <f>N349</f>
        <v>2014</v>
      </c>
      <c r="AH373" s="132">
        <f>O349</f>
        <v>2015</v>
      </c>
      <c r="AI373" s="132">
        <f>P349</f>
        <v>2016</v>
      </c>
      <c r="AJ373" s="132">
        <f>Q349</f>
        <v>2017</v>
      </c>
      <c r="AK373" s="35"/>
    </row>
    <row r="374" spans="1:37" ht="18.75" customHeight="1" thickBot="1" x14ac:dyDescent="0.25">
      <c r="B374" s="43"/>
      <c r="C374" s="19"/>
      <c r="D374" s="128" t="s">
        <v>84</v>
      </c>
      <c r="E374" s="129"/>
      <c r="F374" s="18"/>
      <c r="G374" s="18"/>
      <c r="H374" s="18"/>
      <c r="I374" s="18"/>
      <c r="J374" s="18"/>
      <c r="K374" s="18"/>
      <c r="L374" s="17"/>
      <c r="M374" s="18"/>
      <c r="N374" s="18"/>
      <c r="O374" s="18"/>
      <c r="P374" s="18"/>
      <c r="Q374" s="18"/>
      <c r="R374" s="18"/>
      <c r="T374" s="98" t="s">
        <v>4</v>
      </c>
      <c r="U374" s="99"/>
      <c r="V374" s="99"/>
      <c r="W374" s="112"/>
      <c r="Y374" s="103" t="s">
        <v>85</v>
      </c>
      <c r="Z374" s="114"/>
      <c r="AA374" s="114"/>
      <c r="AB374" s="123"/>
      <c r="AD374" s="27" t="s">
        <v>20</v>
      </c>
      <c r="AE374" s="28"/>
      <c r="AF374" s="33" t="str">
        <f t="shared" ref="AF374:AF375" si="138">IF(OR(M364="",M367="",M364=0,M367=0),"",M364/M367)</f>
        <v/>
      </c>
      <c r="AG374" s="33" t="str">
        <f t="shared" ref="AG374:AG375" si="139">IF(OR(N364="",N367="",N364=0,N367=0),"",N364/N367)</f>
        <v/>
      </c>
      <c r="AH374" s="33" t="str">
        <f t="shared" ref="AH374:AH375" si="140">IF(OR(O364="",O367="",O364=0,O367=0),"",O364/O367)</f>
        <v/>
      </c>
      <c r="AI374" s="33" t="str">
        <f t="shared" ref="AI374:AI375" si="141">IF(OR(P364="",P367="",P364=0,P367=0),"",P364/P367)</f>
        <v/>
      </c>
      <c r="AJ374" s="33" t="str">
        <f t="shared" ref="AJ374:AJ375" si="142">IF(OR(Q364="",Q367="",Q364=0,Q367=0),"",Q364/Q367)</f>
        <v/>
      </c>
      <c r="AK374" s="35"/>
    </row>
    <row r="375" spans="1:37" ht="18.75" customHeight="1" thickBot="1" x14ac:dyDescent="0.25">
      <c r="B375" s="43"/>
      <c r="C375" s="19"/>
      <c r="D375" s="237" t="s">
        <v>86</v>
      </c>
      <c r="E375" s="238"/>
      <c r="F375" s="157"/>
      <c r="G375" s="157"/>
      <c r="H375" s="157"/>
      <c r="I375" s="157"/>
      <c r="J375" s="157"/>
      <c r="K375" s="18"/>
      <c r="L375" s="17"/>
      <c r="M375" s="157"/>
      <c r="N375" s="157"/>
      <c r="O375" s="157"/>
      <c r="P375" s="157"/>
      <c r="Q375" s="157"/>
      <c r="R375" s="157"/>
      <c r="T375" s="91" t="s">
        <v>26</v>
      </c>
      <c r="U375" s="91"/>
      <c r="V375" s="92"/>
      <c r="W375" s="111" t="e">
        <f>R354/AVERAGE(G370:J370)</f>
        <v>#DIV/0!</v>
      </c>
      <c r="Y375" s="49" t="s">
        <v>87</v>
      </c>
      <c r="Z375" s="49"/>
      <c r="AA375" s="97"/>
      <c r="AB375" s="105" t="e">
        <f>AVERAGE(O373:Q373)</f>
        <v>#DIV/0!</v>
      </c>
      <c r="AD375" s="27" t="s">
        <v>21</v>
      </c>
      <c r="AE375" s="28"/>
      <c r="AF375" s="33" t="str">
        <f t="shared" si="138"/>
        <v/>
      </c>
      <c r="AG375" s="33" t="str">
        <f t="shared" si="139"/>
        <v/>
      </c>
      <c r="AH375" s="33" t="str">
        <f t="shared" si="140"/>
        <v/>
      </c>
      <c r="AI375" s="33" t="str">
        <f t="shared" si="141"/>
        <v/>
      </c>
      <c r="AJ375" s="33" t="str">
        <f t="shared" si="142"/>
        <v/>
      </c>
      <c r="AK375" s="35"/>
    </row>
    <row r="376" spans="1:37" ht="18.75" customHeight="1" x14ac:dyDescent="0.2">
      <c r="B376" s="40"/>
      <c r="C376" s="11"/>
      <c r="T376" s="91" t="s">
        <v>27</v>
      </c>
      <c r="U376" s="91"/>
      <c r="V376" s="92"/>
      <c r="W376" s="111" t="e">
        <f>R354/AVERAGE(G365:J365)</f>
        <v>#DIV/0!</v>
      </c>
      <c r="Y376" s="22" t="s">
        <v>88</v>
      </c>
      <c r="Z376" s="22"/>
      <c r="AB376" s="124" t="e">
        <f>ABS(AVERAGE(O374:Q374))</f>
        <v>#DIV/0!</v>
      </c>
      <c r="AD376" s="27" t="s">
        <v>22</v>
      </c>
      <c r="AE376" s="28"/>
      <c r="AF376" s="33" t="str">
        <f>IF(OR(M370="",M368="",M368=0,M370=0),"",M370/M368)</f>
        <v/>
      </c>
      <c r="AG376" s="33" t="str">
        <f>IF(OR(N370="",N368="",N368=0,N370=0),"",N370/N368)</f>
        <v/>
      </c>
      <c r="AH376" s="33" t="str">
        <f>IF(OR(O370="",O368="",O368=0,O370=0),"",O370/O368)</f>
        <v/>
      </c>
      <c r="AI376" s="33" t="str">
        <f>IF(OR(P370="",P368="",P368=0,P370=0),"",P370/P368)</f>
        <v/>
      </c>
      <c r="AJ376" s="33" t="str">
        <f>IF(OR(Q370="",Q368="",Q368=0,Q370=0),"",Q370/Q368)</f>
        <v/>
      </c>
    </row>
    <row r="377" spans="1:37" ht="18.75" customHeight="1" x14ac:dyDescent="0.2">
      <c r="B377" s="40"/>
      <c r="C377" s="11"/>
      <c r="T377" s="91" t="s">
        <v>89</v>
      </c>
      <c r="U377" s="91"/>
      <c r="V377" s="92"/>
      <c r="W377" s="111" t="e">
        <f>R353/(AVERAGE(G370:J370)+(AVERAGE(G365:J365)-AVERAGE(G367:J367)))</f>
        <v>#DIV/0!</v>
      </c>
      <c r="Y377" s="22" t="s">
        <v>90</v>
      </c>
      <c r="Z377" s="22"/>
      <c r="AA377" s="23"/>
      <c r="AB377" s="105" t="e">
        <f>AVERAGE(O375:Q375)</f>
        <v>#DIV/0!</v>
      </c>
    </row>
    <row r="378" spans="1:37" ht="18.75" customHeight="1" x14ac:dyDescent="0.2">
      <c r="B378" s="43"/>
      <c r="C378" s="19"/>
      <c r="T378" s="91" t="s">
        <v>28</v>
      </c>
      <c r="U378" s="91"/>
      <c r="V378" s="92"/>
      <c r="W378" s="108" t="e">
        <f>R350/AVERAGE(G365:J365)</f>
        <v>#DIV/0!</v>
      </c>
      <c r="Y378" s="48"/>
      <c r="AB378" s="48"/>
      <c r="AK378" s="37"/>
    </row>
    <row r="379" spans="1:37" s="175" customFormat="1" ht="18.75" customHeight="1" thickBot="1" x14ac:dyDescent="0.35">
      <c r="A379" s="166"/>
      <c r="B379" s="167"/>
      <c r="C379" s="168"/>
      <c r="D379" s="169"/>
      <c r="E379" s="168"/>
      <c r="F379" s="170"/>
      <c r="G379" s="170"/>
      <c r="H379" s="170"/>
      <c r="I379" s="170"/>
      <c r="J379" s="170"/>
      <c r="K379" s="170"/>
      <c r="L379" s="171"/>
      <c r="M379" s="172"/>
      <c r="N379" s="173"/>
      <c r="O379" s="173"/>
      <c r="P379" s="173"/>
      <c r="Q379" s="171"/>
      <c r="R379" s="171"/>
      <c r="S379" s="168"/>
      <c r="T379" s="174"/>
      <c r="Y379" s="174"/>
      <c r="AB379" s="176"/>
      <c r="AD379" s="174"/>
    </row>
    <row r="380" spans="1:37" s="138" customFormat="1" ht="18.75" customHeight="1" thickBot="1" x14ac:dyDescent="0.25">
      <c r="D380" s="163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T380" s="163"/>
      <c r="Y380" s="163"/>
      <c r="AB380" s="165"/>
      <c r="AD380" s="163"/>
    </row>
  </sheetData>
  <mergeCells count="11">
    <mergeCell ref="U347:V347"/>
    <mergeCell ref="U2:V2"/>
    <mergeCell ref="U41:V41"/>
    <mergeCell ref="U75:V75"/>
    <mergeCell ref="U109:V109"/>
    <mergeCell ref="U143:V143"/>
    <mergeCell ref="U177:V177"/>
    <mergeCell ref="U211:V211"/>
    <mergeCell ref="U245:V245"/>
    <mergeCell ref="U279:V279"/>
    <mergeCell ref="U313:V313"/>
  </mergeCells>
  <pageMargins left="0.7" right="0.7" top="0.75" bottom="0.75" header="0.3" footer="0.3"/>
  <pageSetup orientation="portrait" horizont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K5"/>
  <sheetViews>
    <sheetView workbookViewId="0">
      <selection activeCell="E18" sqref="E18"/>
    </sheetView>
  </sheetViews>
  <sheetFormatPr defaultColWidth="19.85546875" defaultRowHeight="12.75" x14ac:dyDescent="0.2"/>
  <cols>
    <col min="1" max="1" width="19.85546875" style="4" customWidth="1"/>
    <col min="2" max="2" width="4.140625" style="4" customWidth="1"/>
    <col min="3" max="3" width="19.85546875" style="4" customWidth="1"/>
    <col min="4" max="4" width="4.140625" style="4" customWidth="1"/>
    <col min="5" max="5" width="19.85546875" style="4" customWidth="1"/>
    <col min="6" max="6" width="4.140625" style="4" customWidth="1"/>
    <col min="7" max="7" width="19.85546875" style="4" customWidth="1"/>
    <col min="8" max="8" width="4.140625" style="4" customWidth="1"/>
    <col min="9" max="9" width="19.85546875" style="4" customWidth="1"/>
    <col min="10" max="10" width="4.140625" style="4" customWidth="1"/>
    <col min="11" max="13" width="19.85546875" style="4" customWidth="1"/>
    <col min="14" max="16384" width="19.85546875" style="4"/>
  </cols>
  <sheetData>
    <row r="1" spans="1:11" x14ac:dyDescent="0.2">
      <c r="A1" s="2" t="s">
        <v>91</v>
      </c>
      <c r="B1" s="3"/>
      <c r="C1" s="3"/>
      <c r="D1" s="3"/>
      <c r="E1" s="1"/>
      <c r="F1" s="1"/>
      <c r="G1" s="1"/>
      <c r="H1" s="1"/>
      <c r="I1" s="1"/>
      <c r="J1" s="1"/>
      <c r="K1" s="1"/>
    </row>
    <row r="2" spans="1:11" x14ac:dyDescent="0.2">
      <c r="A2" s="2" t="s">
        <v>60</v>
      </c>
      <c r="B2" s="3"/>
      <c r="C2" s="2" t="s">
        <v>76</v>
      </c>
      <c r="D2" s="3"/>
      <c r="E2" s="2" t="s">
        <v>22</v>
      </c>
      <c r="F2" s="1"/>
      <c r="G2" s="5" t="s">
        <v>20</v>
      </c>
      <c r="H2" s="5"/>
      <c r="I2" s="4" t="s">
        <v>92</v>
      </c>
      <c r="J2" s="5"/>
      <c r="K2" s="4" t="s">
        <v>93</v>
      </c>
    </row>
    <row r="3" spans="1:11" x14ac:dyDescent="0.2">
      <c r="A3" s="2" t="s">
        <v>73</v>
      </c>
      <c r="B3" s="3"/>
      <c r="C3" s="2" t="s">
        <v>79</v>
      </c>
      <c r="D3" s="3"/>
      <c r="E3" s="2" t="s">
        <v>21</v>
      </c>
      <c r="F3" s="1"/>
      <c r="G3" s="5" t="s">
        <v>94</v>
      </c>
      <c r="H3" s="5"/>
      <c r="I3" s="4" t="s">
        <v>95</v>
      </c>
      <c r="J3" s="5"/>
      <c r="K3" s="4" t="s">
        <v>96</v>
      </c>
    </row>
    <row r="4" spans="1:11" x14ac:dyDescent="0.2">
      <c r="A4" s="2" t="s">
        <v>62</v>
      </c>
      <c r="B4" s="1"/>
      <c r="C4" s="1"/>
      <c r="D4" s="1"/>
      <c r="E4" s="1"/>
      <c r="F4" s="1"/>
      <c r="G4" s="1"/>
      <c r="H4" s="1"/>
      <c r="I4" s="4" t="s">
        <v>97</v>
      </c>
      <c r="J4" s="1"/>
      <c r="K4" s="4" t="s">
        <v>43</v>
      </c>
    </row>
    <row r="5" spans="1:11" x14ac:dyDescent="0.2">
      <c r="I5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 1</vt:lpstr>
      <vt:lpstr>Sheet 2</vt:lpstr>
      <vt:lpstr>Sheet 3</vt:lpstr>
      <vt:lpstr>debt</vt:lpstr>
      <vt:lpstr>effc</vt:lpstr>
      <vt:lpstr>proft</vt:lpstr>
      <vt:lpstr>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tweak</dc:creator>
  <cp:lastModifiedBy>Keith Fleming</cp:lastModifiedBy>
  <dcterms:created xsi:type="dcterms:W3CDTF">2017-02-01T04:17:15Z</dcterms:created>
  <dcterms:modified xsi:type="dcterms:W3CDTF">2025-12-15T16:37:02Z</dcterms:modified>
</cp:coreProperties>
</file>