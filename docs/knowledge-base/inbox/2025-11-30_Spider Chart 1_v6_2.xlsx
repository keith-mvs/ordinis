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kjfle\Workspace\ordinis\docs\knowledge-base\inbox\"/>
    </mc:Choice>
  </mc:AlternateContent>
  <xr:revisionPtr revIDLastSave="0" documentId="8_{B2B996FF-2675-4D0F-87EC-79DAE90D8844}" xr6:coauthVersionLast="47" xr6:coauthVersionMax="47" xr10:uidLastSave="{00000000-0000-0000-0000-000000000000}"/>
  <bookViews>
    <workbookView xWindow="38280" yWindow="-120" windowWidth="38640" windowHeight="21840" activeTab="2" xr2:uid="{00000000-000D-0000-FFFF-FFFF00000000}"/>
  </bookViews>
  <sheets>
    <sheet name="Sheet1_v1" sheetId="1" r:id="rId1"/>
    <sheet name="Chart4_v1" sheetId="7" r:id="rId2"/>
    <sheet name="Sheet2_v2" sheetId="8" r:id="rId3"/>
    <sheet name="Chart2_v2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8" l="1"/>
  <c r="D17" i="8"/>
  <c r="E17" i="8"/>
  <c r="F17" i="8"/>
  <c r="G17" i="8"/>
  <c r="H17" i="8"/>
  <c r="B17" i="8"/>
  <c r="C15" i="8"/>
  <c r="D15" i="8"/>
  <c r="E15" i="8"/>
  <c r="F15" i="8"/>
  <c r="G15" i="8"/>
  <c r="H15" i="8"/>
  <c r="B15" i="8"/>
  <c r="H34" i="8"/>
  <c r="H13" i="8" s="1"/>
  <c r="G34" i="8"/>
  <c r="G13" i="8" s="1"/>
  <c r="F34" i="8"/>
  <c r="F13" i="8" s="1"/>
  <c r="E34" i="8"/>
  <c r="E13" i="8" s="1"/>
  <c r="D34" i="8"/>
  <c r="D13" i="8" s="1"/>
  <c r="C34" i="8"/>
  <c r="C13" i="8" s="1"/>
  <c r="B34" i="8"/>
  <c r="B13" i="8" s="1"/>
  <c r="B27" i="8"/>
  <c r="C25" i="8"/>
  <c r="D25" i="8"/>
  <c r="E25" i="8"/>
  <c r="F25" i="8"/>
  <c r="G25" i="8"/>
  <c r="H25" i="8"/>
  <c r="B25" i="8"/>
  <c r="C23" i="8"/>
  <c r="D23" i="8"/>
  <c r="E23" i="8"/>
  <c r="F23" i="8"/>
  <c r="G23" i="8"/>
  <c r="H23" i="8"/>
  <c r="B23" i="8"/>
  <c r="C27" i="8"/>
  <c r="D27" i="8"/>
  <c r="E27" i="8"/>
  <c r="F27" i="8"/>
  <c r="G27" i="8"/>
  <c r="H27" i="8"/>
  <c r="C26" i="8" l="1"/>
  <c r="C22" i="8"/>
  <c r="H26" i="8"/>
  <c r="G26" i="8"/>
  <c r="B26" i="8"/>
  <c r="E26" i="8"/>
  <c r="D26" i="8"/>
  <c r="F26" i="8"/>
  <c r="B22" i="8"/>
  <c r="H24" i="8"/>
  <c r="G24" i="8"/>
  <c r="F24" i="8"/>
  <c r="B24" i="8"/>
  <c r="E24" i="8"/>
  <c r="C24" i="8"/>
  <c r="D24" i="8"/>
  <c r="H22" i="8"/>
  <c r="G22" i="8"/>
  <c r="E22" i="8"/>
  <c r="F22" i="8"/>
  <c r="D22" i="8"/>
  <c r="B5" i="1"/>
  <c r="C5" i="1"/>
  <c r="D5" i="1"/>
  <c r="E5" i="1"/>
  <c r="F5" i="1"/>
  <c r="J6" i="1"/>
  <c r="J7" i="1"/>
  <c r="G18" i="1" s="1"/>
  <c r="J8" i="1"/>
  <c r="J9" i="1"/>
  <c r="J10" i="1"/>
  <c r="J3" i="1"/>
  <c r="I6" i="1"/>
  <c r="I7" i="1"/>
  <c r="I8" i="1"/>
  <c r="I9" i="1"/>
  <c r="I10" i="1"/>
  <c r="I3" i="1"/>
  <c r="E14" i="1" l="1"/>
  <c r="E18" i="1"/>
  <c r="B14" i="1"/>
  <c r="C19" i="1"/>
  <c r="G17" i="1"/>
  <c r="G14" i="1"/>
  <c r="D14" i="1"/>
  <c r="F17" i="1"/>
  <c r="D18" i="1"/>
  <c r="C14" i="1"/>
  <c r="E17" i="1"/>
  <c r="C18" i="1"/>
  <c r="E19" i="1"/>
  <c r="D17" i="1"/>
  <c r="H19" i="1"/>
  <c r="C17" i="1"/>
  <c r="G19" i="1"/>
  <c r="H14" i="1"/>
  <c r="H18" i="1"/>
  <c r="F19" i="1"/>
  <c r="F14" i="1"/>
  <c r="H17" i="1"/>
  <c r="F18" i="1"/>
  <c r="D19" i="1"/>
  <c r="B20" i="1"/>
  <c r="G20" i="1" l="1"/>
  <c r="D21" i="1"/>
  <c r="B19" i="1"/>
  <c r="F21" i="1"/>
  <c r="H21" i="1"/>
  <c r="B21" i="1"/>
  <c r="C21" i="1"/>
  <c r="E21" i="1"/>
  <c r="D20" i="1"/>
  <c r="C20" i="1"/>
  <c r="F20" i="1"/>
  <c r="H20" i="1"/>
  <c r="E20" i="1"/>
  <c r="B18" i="1"/>
  <c r="B17" i="1"/>
  <c r="G21" i="1"/>
  <c r="G5" i="1"/>
  <c r="H5" i="1"/>
  <c r="E4" i="1"/>
  <c r="H4" i="1"/>
  <c r="B4" i="1"/>
  <c r="G4" i="1"/>
  <c r="J4" i="1" l="1"/>
  <c r="I4" i="1"/>
  <c r="J5" i="1"/>
  <c r="I5" i="1"/>
  <c r="G15" i="1" l="1"/>
  <c r="H15" i="1"/>
  <c r="H16" i="1"/>
  <c r="G16" i="1"/>
  <c r="E15" i="1"/>
  <c r="C16" i="1"/>
  <c r="E16" i="1"/>
  <c r="D16" i="1"/>
  <c r="F16" i="1"/>
  <c r="B16" i="1"/>
  <c r="C15" i="1"/>
  <c r="D15" i="1"/>
  <c r="F15" i="1"/>
  <c r="B15" i="1"/>
</calcChain>
</file>

<file path=xl/sharedStrings.xml><?xml version="1.0" encoding="utf-8"?>
<sst xmlns="http://schemas.openxmlformats.org/spreadsheetml/2006/main" count="89" uniqueCount="29">
  <si>
    <t>Design Goal</t>
  </si>
  <si>
    <t>Number of Powered Wheels</t>
  </si>
  <si>
    <t>Overall Dimensions</t>
  </si>
  <si>
    <t>Cost</t>
  </si>
  <si>
    <t>Weight Capacity (3:1 Slope)</t>
  </si>
  <si>
    <t>Product Weight</t>
  </si>
  <si>
    <t>Number of Wheels</t>
  </si>
  <si>
    <t>Load Capacity</t>
  </si>
  <si>
    <t>Volumetric Capacity</t>
  </si>
  <si>
    <t>Vestil Off-Road Traction-Drive Cart</t>
  </si>
  <si>
    <t>Light Duty Electric Platform Cart</t>
  </si>
  <si>
    <t>10 Foot Cubic Electric WheelBarrow</t>
  </si>
  <si>
    <t>Outdoor Electric Platform Cart</t>
  </si>
  <si>
    <t>Off-Road Utility Cart</t>
  </si>
  <si>
    <t>Poly Garden Dump Cart</t>
  </si>
  <si>
    <t>Ironton Steel Cart</t>
  </si>
  <si>
    <t>σ</t>
  </si>
  <si>
    <t>S</t>
  </si>
  <si>
    <t>Raw Data</t>
  </si>
  <si>
    <t>Standardized Data</t>
  </si>
  <si>
    <t>Weight</t>
  </si>
  <si>
    <t>Size</t>
  </si>
  <si>
    <t>Graded Payload Capacity</t>
  </si>
  <si>
    <t>Payload Capacity</t>
  </si>
  <si>
    <t>Rocker Bogie Cart</t>
  </si>
  <si>
    <t>10 Foot Cubic Electric</t>
  </si>
  <si>
    <t>Actual Values</t>
  </si>
  <si>
    <t>Mobiltiy</t>
  </si>
  <si>
    <t>Mobility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</si>
</sst>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0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2" fontId="2" fillId="0" borderId="0" xfId="0" applyNumberFormat="1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1" fillId="2" borderId="10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6C15"/>
      <color rgb="FF0CAC1B"/>
      <color rgb="FF15E4E9"/>
      <color rgb="FFEB0303"/>
      <color rgb="FFAB08BC"/>
      <color rgb="FF000099"/>
      <color rgb="FFFFFF00"/>
      <color rgb="FF0066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chartsheet" Target="chartsheets/sheet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Off-Road</a:t>
            </a:r>
            <a:r>
              <a:rPr lang="en-US" baseline="0"/>
              <a:t> Utility Cart vs. Current Competition</a:t>
            </a:r>
            <a:endParaRPr lang="en-US"/>
          </a:p>
        </c:rich>
      </c:tx>
      <c:layout>
        <c:manualLayout>
          <c:xMode val="edge"/>
          <c:yMode val="edge"/>
          <c:x val="0.30117886774550201"/>
          <c:y val="4.5197747424504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Sheet1_v1!$B$13</c:f>
              <c:strCache>
                <c:ptCount val="1"/>
                <c:pt idx="0">
                  <c:v>Vestil Off-Road Traction-Drive Cart</c:v>
                </c:pt>
              </c:strCache>
            </c:strRef>
          </c:tx>
          <c:spPr>
            <a:ln w="15875" cap="rnd">
              <a:solidFill>
                <a:srgbClr val="15E4E9"/>
              </a:solidFill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rgbClr val="15E4E9"/>
                </a:solidFill>
                <a:round/>
              </a:ln>
              <a:effectLst/>
            </c:spPr>
          </c:marker>
          <c:cat>
            <c:strRef>
              <c:f>Sheet1_v1!$A$14:$A$21</c:f>
              <c:strCache>
                <c:ptCount val="8"/>
                <c:pt idx="0">
                  <c:v>Number of Powered Wheels</c:v>
                </c:pt>
                <c:pt idx="1">
                  <c:v>Volumetric Capacity</c:v>
                </c:pt>
                <c:pt idx="2">
                  <c:v>Overall Dimensions</c:v>
                </c:pt>
                <c:pt idx="3">
                  <c:v>Load Capacity</c:v>
                </c:pt>
                <c:pt idx="4">
                  <c:v>Cost</c:v>
                </c:pt>
                <c:pt idx="5">
                  <c:v>Weight Capacity (3:1 Slope)</c:v>
                </c:pt>
                <c:pt idx="6">
                  <c:v>Number of Wheels</c:v>
                </c:pt>
                <c:pt idx="7">
                  <c:v>Product Weight</c:v>
                </c:pt>
              </c:strCache>
            </c:strRef>
          </c:cat>
          <c:val>
            <c:numRef>
              <c:f>Sheet1_v1!$B$14:$B$21</c:f>
              <c:numCache>
                <c:formatCode>0.0000</c:formatCode>
                <c:ptCount val="8"/>
                <c:pt idx="0">
                  <c:v>0.58554004376911994</c:v>
                </c:pt>
                <c:pt idx="1">
                  <c:v>1.9596809579955037</c:v>
                </c:pt>
                <c:pt idx="2">
                  <c:v>1.1273877292613685</c:v>
                </c:pt>
                <c:pt idx="3">
                  <c:v>0.21788191176076896</c:v>
                </c:pt>
                <c:pt idx="4">
                  <c:v>0.80057866931573007</c:v>
                </c:pt>
                <c:pt idx="5">
                  <c:v>-4.6407168295460294E-2</c:v>
                </c:pt>
                <c:pt idx="6">
                  <c:v>0</c:v>
                </c:pt>
                <c:pt idx="7">
                  <c:v>2.0520229284747891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D-450B-B097-482F119E028C}"/>
            </c:ext>
          </c:extLst>
        </c:ser>
        <c:ser>
          <c:idx val="1"/>
          <c:order val="1"/>
          <c:tx>
            <c:strRef>
              <c:f>Sheet1_v1!$C$13</c:f>
              <c:strCache>
                <c:ptCount val="1"/>
                <c:pt idx="0">
                  <c:v>Light Duty Electric Platform Cart</c:v>
                </c:pt>
              </c:strCache>
            </c:strRef>
          </c:tx>
          <c:spPr>
            <a:ln w="15875" cap="rnd">
              <a:solidFill>
                <a:srgbClr val="EB6C15"/>
              </a:solidFill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Sheet1_v1!$A$14:$A$21</c:f>
              <c:strCache>
                <c:ptCount val="8"/>
                <c:pt idx="0">
                  <c:v>Number of Powered Wheels</c:v>
                </c:pt>
                <c:pt idx="1">
                  <c:v>Volumetric Capacity</c:v>
                </c:pt>
                <c:pt idx="2">
                  <c:v>Overall Dimensions</c:v>
                </c:pt>
                <c:pt idx="3">
                  <c:v>Load Capacity</c:v>
                </c:pt>
                <c:pt idx="4">
                  <c:v>Cost</c:v>
                </c:pt>
                <c:pt idx="5">
                  <c:v>Weight Capacity (3:1 Slope)</c:v>
                </c:pt>
                <c:pt idx="6">
                  <c:v>Number of Wheels</c:v>
                </c:pt>
                <c:pt idx="7">
                  <c:v>Product Weight</c:v>
                </c:pt>
              </c:strCache>
            </c:strRef>
          </c:cat>
          <c:val>
            <c:numRef>
              <c:f>Sheet1_v1!$C$14:$C$21</c:f>
              <c:numCache>
                <c:formatCode>0.0000</c:formatCode>
                <c:ptCount val="8"/>
                <c:pt idx="0">
                  <c:v>0.58554004376911994</c:v>
                </c:pt>
                <c:pt idx="1">
                  <c:v>-0.27235466238708977</c:v>
                </c:pt>
                <c:pt idx="2">
                  <c:v>-0.75864647484986147</c:v>
                </c:pt>
                <c:pt idx="3">
                  <c:v>-1.8156825980064064</c:v>
                </c:pt>
                <c:pt idx="4">
                  <c:v>-0.68703433017121573</c:v>
                </c:pt>
                <c:pt idx="5">
                  <c:v>-1.345807880568344</c:v>
                </c:pt>
                <c:pt idx="6">
                  <c:v>-1.7320508075688774</c:v>
                </c:pt>
                <c:pt idx="7">
                  <c:v>-0.40683434796336149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D-450B-B097-482F119E028C}"/>
            </c:ext>
          </c:extLst>
        </c:ser>
        <c:ser>
          <c:idx val="2"/>
          <c:order val="2"/>
          <c:tx>
            <c:strRef>
              <c:f>Sheet1_v1!$D$13</c:f>
              <c:strCache>
                <c:ptCount val="1"/>
                <c:pt idx="0">
                  <c:v>10 Foot Cubic Electric WheelBarrow</c:v>
                </c:pt>
              </c:strCache>
            </c:strRef>
          </c:tx>
          <c:spPr>
            <a:ln w="15875" cap="rnd">
              <a:solidFill>
                <a:srgbClr val="AB08BC"/>
              </a:solidFill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rgbClr val="7030A0"/>
                </a:solidFill>
                <a:round/>
              </a:ln>
              <a:effectLst/>
            </c:spPr>
          </c:marker>
          <c:cat>
            <c:strRef>
              <c:f>Sheet1_v1!$A$14:$A$21</c:f>
              <c:strCache>
                <c:ptCount val="8"/>
                <c:pt idx="0">
                  <c:v>Number of Powered Wheels</c:v>
                </c:pt>
                <c:pt idx="1">
                  <c:v>Volumetric Capacity</c:v>
                </c:pt>
                <c:pt idx="2">
                  <c:v>Overall Dimensions</c:v>
                </c:pt>
                <c:pt idx="3">
                  <c:v>Load Capacity</c:v>
                </c:pt>
                <c:pt idx="4">
                  <c:v>Cost</c:v>
                </c:pt>
                <c:pt idx="5">
                  <c:v>Weight Capacity (3:1 Slope)</c:v>
                </c:pt>
                <c:pt idx="6">
                  <c:v>Number of Wheels</c:v>
                </c:pt>
                <c:pt idx="7">
                  <c:v>Product Weight</c:v>
                </c:pt>
              </c:strCache>
            </c:strRef>
          </c:cat>
          <c:val>
            <c:numRef>
              <c:f>Sheet1_v1!$D$14:$D$21</c:f>
              <c:numCache>
                <c:formatCode>0.0000</c:formatCode>
                <c:ptCount val="8"/>
                <c:pt idx="0">
                  <c:v>0.58554004376911994</c:v>
                </c:pt>
                <c:pt idx="1">
                  <c:v>0.61776488790860717</c:v>
                </c:pt>
                <c:pt idx="2">
                  <c:v>0.73096431094191172</c:v>
                </c:pt>
                <c:pt idx="3">
                  <c:v>0.98046860292345972</c:v>
                </c:pt>
                <c:pt idx="4">
                  <c:v>0.88836631595005</c:v>
                </c:pt>
                <c:pt idx="5">
                  <c:v>0.60329318784098163</c:v>
                </c:pt>
                <c:pt idx="6">
                  <c:v>0</c:v>
                </c:pt>
                <c:pt idx="7">
                  <c:v>0.11718441586771974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4D-450B-B097-482F119E028C}"/>
            </c:ext>
          </c:extLst>
        </c:ser>
        <c:ser>
          <c:idx val="3"/>
          <c:order val="3"/>
          <c:tx>
            <c:strRef>
              <c:f>Sheet1_v1!$E$13</c:f>
              <c:strCache>
                <c:ptCount val="1"/>
                <c:pt idx="0">
                  <c:v>Outdoor Electric Platform Cart</c:v>
                </c:pt>
              </c:strCache>
            </c:strRef>
          </c:tx>
          <c:spPr>
            <a:ln w="15875" cap="rnd">
              <a:solidFill>
                <a:srgbClr val="EB0303"/>
              </a:solidFill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rgbClr val="EB0303"/>
                </a:solidFill>
                <a:round/>
              </a:ln>
              <a:effectLst/>
            </c:spPr>
          </c:marker>
          <c:cat>
            <c:strRef>
              <c:f>Sheet1_v1!$A$14:$A$21</c:f>
              <c:strCache>
                <c:ptCount val="8"/>
                <c:pt idx="0">
                  <c:v>Number of Powered Wheels</c:v>
                </c:pt>
                <c:pt idx="1">
                  <c:v>Volumetric Capacity</c:v>
                </c:pt>
                <c:pt idx="2">
                  <c:v>Overall Dimensions</c:v>
                </c:pt>
                <c:pt idx="3">
                  <c:v>Load Capacity</c:v>
                </c:pt>
                <c:pt idx="4">
                  <c:v>Cost</c:v>
                </c:pt>
                <c:pt idx="5">
                  <c:v>Weight Capacity (3:1 Slope)</c:v>
                </c:pt>
                <c:pt idx="6">
                  <c:v>Number of Wheels</c:v>
                </c:pt>
                <c:pt idx="7">
                  <c:v>Product Weight</c:v>
                </c:pt>
              </c:strCache>
            </c:strRef>
          </c:cat>
          <c:val>
            <c:numRef>
              <c:f>Sheet1_v1!$E$14:$E$21</c:f>
              <c:numCache>
                <c:formatCode>0.0000</c:formatCode>
                <c:ptCount val="8"/>
                <c:pt idx="0">
                  <c:v>0.58554004376911994</c:v>
                </c:pt>
                <c:pt idx="1">
                  <c:v>-0.27338489334808019</c:v>
                </c:pt>
                <c:pt idx="2">
                  <c:v>1.1856415757162366</c:v>
                </c:pt>
                <c:pt idx="3">
                  <c:v>0.98046860292345972</c:v>
                </c:pt>
                <c:pt idx="4">
                  <c:v>1.1701719611137291</c:v>
                </c:pt>
                <c:pt idx="5">
                  <c:v>0.60329318784098163</c:v>
                </c:pt>
                <c:pt idx="6">
                  <c:v>0</c:v>
                </c:pt>
                <c:pt idx="7">
                  <c:v>0.31873009426428944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4D-450B-B097-482F119E028C}"/>
            </c:ext>
          </c:extLst>
        </c:ser>
        <c:ser>
          <c:idx val="4"/>
          <c:order val="4"/>
          <c:tx>
            <c:strRef>
              <c:f>Sheet1_v1!$F$13</c:f>
              <c:strCache>
                <c:ptCount val="1"/>
                <c:pt idx="0">
                  <c:v>Off-Road Utility Cart</c:v>
                </c:pt>
              </c:strCache>
            </c:strRef>
          </c:tx>
          <c:spPr>
            <a:ln w="15875" cap="rnd">
              <a:solidFill>
                <a:srgbClr val="0CAC1B"/>
              </a:solidFill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rgbClr val="0CAC1B"/>
                </a:solidFill>
                <a:round/>
              </a:ln>
              <a:effectLst/>
            </c:spPr>
          </c:marker>
          <c:cat>
            <c:strRef>
              <c:f>Sheet1_v1!$A$14:$A$21</c:f>
              <c:strCache>
                <c:ptCount val="8"/>
                <c:pt idx="0">
                  <c:v>Number of Powered Wheels</c:v>
                </c:pt>
                <c:pt idx="1">
                  <c:v>Volumetric Capacity</c:v>
                </c:pt>
                <c:pt idx="2">
                  <c:v>Overall Dimensions</c:v>
                </c:pt>
                <c:pt idx="3">
                  <c:v>Load Capacity</c:v>
                </c:pt>
                <c:pt idx="4">
                  <c:v>Cost</c:v>
                </c:pt>
                <c:pt idx="5">
                  <c:v>Weight Capacity (3:1 Slope)</c:v>
                </c:pt>
                <c:pt idx="6">
                  <c:v>Number of Wheels</c:v>
                </c:pt>
                <c:pt idx="7">
                  <c:v>Product Weight</c:v>
                </c:pt>
              </c:strCache>
            </c:strRef>
          </c:cat>
          <c:val>
            <c:numRef>
              <c:f>Sheet1_v1!$F$14:$F$21</c:f>
              <c:numCache>
                <c:formatCode>0.0000</c:formatCode>
                <c:ptCount val="8"/>
                <c:pt idx="0">
                  <c:v>0.58554004376911994</c:v>
                </c:pt>
                <c:pt idx="1">
                  <c:v>-0.27235466238708977</c:v>
                </c:pt>
                <c:pt idx="2">
                  <c:v>-0.20938222383178054</c:v>
                </c:pt>
                <c:pt idx="3">
                  <c:v>0.21788191176076896</c:v>
                </c:pt>
                <c:pt idx="4">
                  <c:v>0.15379964850152694</c:v>
                </c:pt>
                <c:pt idx="5">
                  <c:v>1.2529935439774236</c:v>
                </c:pt>
                <c:pt idx="6">
                  <c:v>1.7320508075688774</c:v>
                </c:pt>
                <c:pt idx="7">
                  <c:v>-0.48745261932198936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4D-450B-B097-482F119E0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76448"/>
        <c:axId val="175977008"/>
      </c:radarChart>
      <c:catAx>
        <c:axId val="17597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7008"/>
        <c:crosses val="autoZero"/>
        <c:auto val="1"/>
        <c:lblAlgn val="ctr"/>
        <c:lblOffset val="100"/>
        <c:noMultiLvlLbl val="0"/>
      </c:catAx>
      <c:valAx>
        <c:axId val="1759770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crossAx val="17597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13548650248438"/>
          <c:y val="3.336113427856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Sheet2_v2!$B$21</c:f>
              <c:strCache>
                <c:ptCount val="1"/>
                <c:pt idx="0">
                  <c:v>Vestil Off-Road Traction-Drive Cart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Sheet2_v2!$A$22:$A$27</c:f>
              <c:strCache>
                <c:ptCount val="6"/>
                <c:pt idx="0">
                  <c:v>Size</c:v>
                </c:pt>
                <c:pt idx="1">
                  <c:v>Payload Capacity</c:v>
                </c:pt>
                <c:pt idx="2">
                  <c:v>Cost</c:v>
                </c:pt>
                <c:pt idx="3">
                  <c:v>Graded Payload Capacity</c:v>
                </c:pt>
                <c:pt idx="4">
                  <c:v>Weight</c:v>
                </c:pt>
                <c:pt idx="5">
                  <c:v>Mobility</c:v>
                </c:pt>
              </c:strCache>
            </c:strRef>
          </c:cat>
          <c:val>
            <c:numRef>
              <c:f>Sheet2_v2!$B$22:$B$27</c:f>
              <c:numCache>
                <c:formatCode>0.0000</c:formatCode>
                <c:ptCount val="6"/>
                <c:pt idx="0">
                  <c:v>2.6792744197688663</c:v>
                </c:pt>
                <c:pt idx="1">
                  <c:v>8</c:v>
                </c:pt>
                <c:pt idx="2">
                  <c:v>1.7833869468322989</c:v>
                </c:pt>
                <c:pt idx="3">
                  <c:v>6.6666666666666661</c:v>
                </c:pt>
                <c:pt idx="4">
                  <c:v>3.1421995037742252</c:v>
                </c:pt>
                <c:pt idx="5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6-45B4-B4B5-045C7481C41E}"/>
            </c:ext>
          </c:extLst>
        </c:ser>
        <c:ser>
          <c:idx val="2"/>
          <c:order val="1"/>
          <c:tx>
            <c:strRef>
              <c:f>Sheet2_v2!$C$21</c:f>
              <c:strCache>
                <c:ptCount val="1"/>
                <c:pt idx="0">
                  <c:v>Light Duty Electric Platform Cart</c:v>
                </c:pt>
              </c:strCache>
            </c:strRef>
          </c:tx>
          <c:spPr>
            <a:ln w="28575" cap="rnd">
              <a:solidFill>
                <a:srgbClr val="EB6C1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B6C15"/>
              </a:solidFill>
              <a:ln w="9525">
                <a:solidFill>
                  <a:srgbClr val="EB6C15"/>
                </a:solidFill>
              </a:ln>
              <a:effectLst/>
            </c:spPr>
          </c:marker>
          <c:cat>
            <c:strRef>
              <c:f>Sheet2_v2!$A$22:$A$27</c:f>
              <c:strCache>
                <c:ptCount val="6"/>
                <c:pt idx="0">
                  <c:v>Size</c:v>
                </c:pt>
                <c:pt idx="1">
                  <c:v>Payload Capacity</c:v>
                </c:pt>
                <c:pt idx="2">
                  <c:v>Cost</c:v>
                </c:pt>
                <c:pt idx="3">
                  <c:v>Graded Payload Capacity</c:v>
                </c:pt>
                <c:pt idx="4">
                  <c:v>Weight</c:v>
                </c:pt>
                <c:pt idx="5">
                  <c:v>Mobility</c:v>
                </c:pt>
              </c:strCache>
            </c:strRef>
          </c:cat>
          <c:val>
            <c:numRef>
              <c:f>Sheet2_v2!$C$22:$C$27</c:f>
              <c:numCache>
                <c:formatCode>0.0000</c:formatCode>
                <c:ptCount val="6"/>
                <c:pt idx="0">
                  <c:v>5.6818585928990935</c:v>
                </c:pt>
                <c:pt idx="1">
                  <c:v>2.6666666666666665</c:v>
                </c:pt>
                <c:pt idx="2">
                  <c:v>3.4437658228694117</c:v>
                </c:pt>
                <c:pt idx="3">
                  <c:v>3.333333333333333</c:v>
                </c:pt>
                <c:pt idx="4">
                  <c:v>6.5828058860438334</c:v>
                </c:pt>
                <c:pt idx="5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6-45B4-B4B5-045C7481C41E}"/>
            </c:ext>
          </c:extLst>
        </c:ser>
        <c:ser>
          <c:idx val="3"/>
          <c:order val="2"/>
          <c:tx>
            <c:strRef>
              <c:f>Sheet2_v2!$D$21</c:f>
              <c:strCache>
                <c:ptCount val="1"/>
                <c:pt idx="0">
                  <c:v>10 Foot Cubic Electric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Sheet2_v2!$A$22:$A$27</c:f>
              <c:strCache>
                <c:ptCount val="6"/>
                <c:pt idx="0">
                  <c:v>Size</c:v>
                </c:pt>
                <c:pt idx="1">
                  <c:v>Payload Capacity</c:v>
                </c:pt>
                <c:pt idx="2">
                  <c:v>Cost</c:v>
                </c:pt>
                <c:pt idx="3">
                  <c:v>Graded Payload Capacity</c:v>
                </c:pt>
                <c:pt idx="4">
                  <c:v>Weight</c:v>
                </c:pt>
                <c:pt idx="5">
                  <c:v>Mobility</c:v>
                </c:pt>
              </c:strCache>
            </c:strRef>
          </c:cat>
          <c:val>
            <c:numRef>
              <c:f>Sheet2_v2!$D$22:$D$27</c:f>
              <c:numCache>
                <c:formatCode>0.0000</c:formatCode>
                <c:ptCount val="6"/>
                <c:pt idx="0">
                  <c:v>2.929352704453688</c:v>
                </c:pt>
                <c:pt idx="1">
                  <c:v>10</c:v>
                </c:pt>
                <c:pt idx="2">
                  <c:v>1.7460818259518622</c:v>
                </c:pt>
                <c:pt idx="3">
                  <c:v>8.3333333333333339</c:v>
                </c:pt>
                <c:pt idx="4">
                  <c:v>5.0161031012710104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16-45B4-B4B5-045C7481C41E}"/>
            </c:ext>
          </c:extLst>
        </c:ser>
        <c:ser>
          <c:idx val="0"/>
          <c:order val="3"/>
          <c:tx>
            <c:strRef>
              <c:f>Sheet2_v2!$F$21</c:f>
              <c:strCache>
                <c:ptCount val="1"/>
                <c:pt idx="0">
                  <c:v>Rocker Bogie Cart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strRef>
              <c:f>Sheet2_v2!$A$22:$A$27</c:f>
              <c:strCache>
                <c:ptCount val="6"/>
                <c:pt idx="0">
                  <c:v>Size</c:v>
                </c:pt>
                <c:pt idx="1">
                  <c:v>Payload Capacity</c:v>
                </c:pt>
                <c:pt idx="2">
                  <c:v>Cost</c:v>
                </c:pt>
                <c:pt idx="3">
                  <c:v>Graded Payload Capacity</c:v>
                </c:pt>
                <c:pt idx="4">
                  <c:v>Weight</c:v>
                </c:pt>
                <c:pt idx="5">
                  <c:v>Mobility</c:v>
                </c:pt>
              </c:strCache>
            </c:strRef>
          </c:cat>
          <c:val>
            <c:numRef>
              <c:f>Sheet2_v2!$F$22:$F$27</c:f>
              <c:numCache>
                <c:formatCode>0.0000</c:formatCode>
                <c:ptCount val="6"/>
                <c:pt idx="0">
                  <c:v>3.9992346431281489</c:v>
                </c:pt>
                <c:pt idx="1">
                  <c:v>8</c:v>
                </c:pt>
                <c:pt idx="2">
                  <c:v>2.1597839398112644</c:v>
                </c:pt>
                <c:pt idx="3">
                  <c:v>10</c:v>
                </c:pt>
                <c:pt idx="4">
                  <c:v>6.9821200218844712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16-45B4-B4B5-045C7481C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95344"/>
        <c:axId val="176495904"/>
      </c:radarChart>
      <c:catAx>
        <c:axId val="1764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95904"/>
        <c:crosses val="autoZero"/>
        <c:auto val="1"/>
        <c:lblAlgn val="ctr"/>
        <c:lblOffset val="100"/>
        <c:noMultiLvlLbl val="0"/>
      </c:catAx>
      <c:valAx>
        <c:axId val="1764959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crossAx val="1764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Spider</a:t>
            </a:r>
            <a:r>
              <a:rPr lang="en-US" baseline="0"/>
              <a:t> Chart #1</a:t>
            </a:r>
          </a:p>
        </c:rich>
      </c:tx>
      <c:layout>
        <c:manualLayout>
          <c:xMode val="edge"/>
          <c:yMode val="edge"/>
          <c:x val="0.44148353929396783"/>
          <c:y val="1.6142050040355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028449321690677"/>
          <c:y val="0.11500559252127382"/>
          <c:w val="0.60665612646398126"/>
          <c:h val="0.83580468754964965"/>
        </c:manualLayout>
      </c:layout>
      <c:radarChart>
        <c:radarStyle val="marker"/>
        <c:varyColors val="0"/>
        <c:ser>
          <c:idx val="1"/>
          <c:order val="0"/>
          <c:tx>
            <c:strRef>
              <c:f>Sheet2_v2!$B$21</c:f>
              <c:strCache>
                <c:ptCount val="1"/>
                <c:pt idx="0">
                  <c:v>Vestil Off-Road Traction-Drive Cart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Sheet2_v2!$A$22:$A$27</c:f>
              <c:strCache>
                <c:ptCount val="6"/>
                <c:pt idx="0">
                  <c:v>Size</c:v>
                </c:pt>
                <c:pt idx="1">
                  <c:v>Payload Capacity</c:v>
                </c:pt>
                <c:pt idx="2">
                  <c:v>Cost</c:v>
                </c:pt>
                <c:pt idx="3">
                  <c:v>Graded Payload Capacity</c:v>
                </c:pt>
                <c:pt idx="4">
                  <c:v>Weight</c:v>
                </c:pt>
                <c:pt idx="5">
                  <c:v>Mobility</c:v>
                </c:pt>
              </c:strCache>
            </c:strRef>
          </c:cat>
          <c:val>
            <c:numRef>
              <c:f>Sheet2_v2!$B$22:$B$27</c:f>
              <c:numCache>
                <c:formatCode>0.0000</c:formatCode>
                <c:ptCount val="6"/>
                <c:pt idx="0">
                  <c:v>2.6792744197688663</c:v>
                </c:pt>
                <c:pt idx="1">
                  <c:v>8</c:v>
                </c:pt>
                <c:pt idx="2">
                  <c:v>1.7833869468322989</c:v>
                </c:pt>
                <c:pt idx="3">
                  <c:v>6.6666666666666661</c:v>
                </c:pt>
                <c:pt idx="4">
                  <c:v>3.1421995037742252</c:v>
                </c:pt>
                <c:pt idx="5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4-4C1B-8C7D-DAA50AD1DDA9}"/>
            </c:ext>
          </c:extLst>
        </c:ser>
        <c:ser>
          <c:idx val="2"/>
          <c:order val="1"/>
          <c:tx>
            <c:strRef>
              <c:f>Sheet2_v2!$C$21</c:f>
              <c:strCache>
                <c:ptCount val="1"/>
                <c:pt idx="0">
                  <c:v>Light Duty Electric Platform Cart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Sheet2_v2!$A$22:$A$27</c:f>
              <c:strCache>
                <c:ptCount val="6"/>
                <c:pt idx="0">
                  <c:v>Size</c:v>
                </c:pt>
                <c:pt idx="1">
                  <c:v>Payload Capacity</c:v>
                </c:pt>
                <c:pt idx="2">
                  <c:v>Cost</c:v>
                </c:pt>
                <c:pt idx="3">
                  <c:v>Graded Payload Capacity</c:v>
                </c:pt>
                <c:pt idx="4">
                  <c:v>Weight</c:v>
                </c:pt>
                <c:pt idx="5">
                  <c:v>Mobility</c:v>
                </c:pt>
              </c:strCache>
            </c:strRef>
          </c:cat>
          <c:val>
            <c:numRef>
              <c:f>Sheet2_v2!$C$22:$C$27</c:f>
              <c:numCache>
                <c:formatCode>0.0000</c:formatCode>
                <c:ptCount val="6"/>
                <c:pt idx="0">
                  <c:v>5.6818585928990935</c:v>
                </c:pt>
                <c:pt idx="1">
                  <c:v>2.6666666666666665</c:v>
                </c:pt>
                <c:pt idx="2">
                  <c:v>3.4437658228694117</c:v>
                </c:pt>
                <c:pt idx="3">
                  <c:v>3.333333333333333</c:v>
                </c:pt>
                <c:pt idx="4">
                  <c:v>6.5828058860438334</c:v>
                </c:pt>
                <c:pt idx="5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4-4C1B-8C7D-DAA50AD1DDA9}"/>
            </c:ext>
          </c:extLst>
        </c:ser>
        <c:ser>
          <c:idx val="3"/>
          <c:order val="2"/>
          <c:tx>
            <c:strRef>
              <c:f>Sheet2_v2!$D$21</c:f>
              <c:strCache>
                <c:ptCount val="1"/>
                <c:pt idx="0">
                  <c:v>10 Foot Cubic Electric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Sheet2_v2!$A$22:$A$27</c:f>
              <c:strCache>
                <c:ptCount val="6"/>
                <c:pt idx="0">
                  <c:v>Size</c:v>
                </c:pt>
                <c:pt idx="1">
                  <c:v>Payload Capacity</c:v>
                </c:pt>
                <c:pt idx="2">
                  <c:v>Cost</c:v>
                </c:pt>
                <c:pt idx="3">
                  <c:v>Graded Payload Capacity</c:v>
                </c:pt>
                <c:pt idx="4">
                  <c:v>Weight</c:v>
                </c:pt>
                <c:pt idx="5">
                  <c:v>Mobility</c:v>
                </c:pt>
              </c:strCache>
            </c:strRef>
          </c:cat>
          <c:val>
            <c:numRef>
              <c:f>Sheet2_v2!$D$22:$D$27</c:f>
              <c:numCache>
                <c:formatCode>0.0000</c:formatCode>
                <c:ptCount val="6"/>
                <c:pt idx="0">
                  <c:v>2.929352704453688</c:v>
                </c:pt>
                <c:pt idx="1">
                  <c:v>10</c:v>
                </c:pt>
                <c:pt idx="2">
                  <c:v>1.7460818259518622</c:v>
                </c:pt>
                <c:pt idx="3">
                  <c:v>8.3333333333333339</c:v>
                </c:pt>
                <c:pt idx="4">
                  <c:v>5.0161031012710104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C4-4C1B-8C7D-DAA50AD1DDA9}"/>
            </c:ext>
          </c:extLst>
        </c:ser>
        <c:ser>
          <c:idx val="0"/>
          <c:order val="3"/>
          <c:tx>
            <c:strRef>
              <c:f>Sheet2_v2!$F$21</c:f>
              <c:strCache>
                <c:ptCount val="1"/>
                <c:pt idx="0">
                  <c:v>Rocker Bogie Cart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Sheet2_v2!$A$22:$A$27</c:f>
              <c:strCache>
                <c:ptCount val="6"/>
                <c:pt idx="0">
                  <c:v>Size</c:v>
                </c:pt>
                <c:pt idx="1">
                  <c:v>Payload Capacity</c:v>
                </c:pt>
                <c:pt idx="2">
                  <c:v>Cost</c:v>
                </c:pt>
                <c:pt idx="3">
                  <c:v>Graded Payload Capacity</c:v>
                </c:pt>
                <c:pt idx="4">
                  <c:v>Weight</c:v>
                </c:pt>
                <c:pt idx="5">
                  <c:v>Mobility</c:v>
                </c:pt>
              </c:strCache>
            </c:strRef>
          </c:cat>
          <c:val>
            <c:numRef>
              <c:f>Sheet2_v2!$F$22:$F$27</c:f>
              <c:numCache>
                <c:formatCode>0.0000</c:formatCode>
                <c:ptCount val="6"/>
                <c:pt idx="0">
                  <c:v>3.9992346431281489</c:v>
                </c:pt>
                <c:pt idx="1">
                  <c:v>8</c:v>
                </c:pt>
                <c:pt idx="2">
                  <c:v>2.1597839398112644</c:v>
                </c:pt>
                <c:pt idx="3">
                  <c:v>10</c:v>
                </c:pt>
                <c:pt idx="4">
                  <c:v>6.9821200218844712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C4-4C1B-8C7D-DAA50AD1D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37424"/>
        <c:axId val="176537984"/>
      </c:radarChart>
      <c:catAx>
        <c:axId val="176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37984"/>
        <c:crosses val="autoZero"/>
        <c:auto val="1"/>
        <c:lblAlgn val="ctr"/>
        <c:lblOffset val="100"/>
        <c:noMultiLvlLbl val="0"/>
      </c:catAx>
      <c:valAx>
        <c:axId val="176537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crossAx val="176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2304291269390975E-2"/>
          <c:y val="9.1868442292171101E-2"/>
          <c:w val="0.15281379590292865"/>
          <c:h val="0.891596283515407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9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gif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114300</xdr:rowOff>
    </xdr:from>
    <xdr:to>
      <xdr:col>1</xdr:col>
      <xdr:colOff>2085975</xdr:colOff>
      <xdr:row>10</xdr:row>
      <xdr:rowOff>28575</xdr:rowOff>
    </xdr:to>
    <xdr:pic>
      <xdr:nvPicPr>
        <xdr:cNvPr id="4" name="Picture 3" descr="http://www.northerntool.com/images/product/700x700/143/143666_700x700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1225" y="114300"/>
          <a:ext cx="2028825" cy="1819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85725</xdr:colOff>
      <xdr:row>1</xdr:row>
      <xdr:rowOff>133350</xdr:rowOff>
    </xdr:from>
    <xdr:to>
      <xdr:col>2</xdr:col>
      <xdr:colOff>2095500</xdr:colOff>
      <xdr:row>9</xdr:row>
      <xdr:rowOff>76200</xdr:rowOff>
    </xdr:to>
    <xdr:pic>
      <xdr:nvPicPr>
        <xdr:cNvPr id="5" name="Picture 4" descr="http://handtrucks2go.com/image.php?id=2247&amp;type=D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2255"/>
        <a:stretch/>
      </xdr:blipFill>
      <xdr:spPr bwMode="auto">
        <a:xfrm>
          <a:off x="8582025" y="323850"/>
          <a:ext cx="2009775" cy="14668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57150</xdr:colOff>
      <xdr:row>2</xdr:row>
      <xdr:rowOff>76201</xdr:rowOff>
    </xdr:from>
    <xdr:to>
      <xdr:col>3</xdr:col>
      <xdr:colOff>2076450</xdr:colOff>
      <xdr:row>9</xdr:row>
      <xdr:rowOff>123825</xdr:rowOff>
    </xdr:to>
    <xdr:pic>
      <xdr:nvPicPr>
        <xdr:cNvPr id="6" name="Picture 5" descr="C27-10A-7002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457201"/>
          <a:ext cx="2019300" cy="13811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47626</xdr:colOff>
      <xdr:row>2</xdr:row>
      <xdr:rowOff>9524</xdr:rowOff>
    </xdr:from>
    <xdr:to>
      <xdr:col>4</xdr:col>
      <xdr:colOff>2066925</xdr:colOff>
      <xdr:row>9</xdr:row>
      <xdr:rowOff>152399</xdr:rowOff>
    </xdr:to>
    <xdr:pic>
      <xdr:nvPicPr>
        <xdr:cNvPr id="7" name="Picture 6" descr="http://handtrucks2go.com/image.php?type=P&amp;id=813&amp;ts=135819810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2076" y="390524"/>
          <a:ext cx="2019299" cy="1476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47625</xdr:colOff>
      <xdr:row>2</xdr:row>
      <xdr:rowOff>9525</xdr:rowOff>
    </xdr:from>
    <xdr:to>
      <xdr:col>5</xdr:col>
      <xdr:colOff>2076450</xdr:colOff>
      <xdr:row>10</xdr:row>
      <xdr:rowOff>7144</xdr:rowOff>
    </xdr:to>
    <xdr:pic>
      <xdr:nvPicPr>
        <xdr:cNvPr id="9" name="Picture 8" descr="https://upload.wikimedia.org/wikipedia/commons/5/55/Rocker_bogie.gi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16150" y="390525"/>
          <a:ext cx="2028825" cy="1521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57151</xdr:colOff>
      <xdr:row>1</xdr:row>
      <xdr:rowOff>9526</xdr:rowOff>
    </xdr:from>
    <xdr:to>
      <xdr:col>6</xdr:col>
      <xdr:colOff>2057401</xdr:colOff>
      <xdr:row>10</xdr:row>
      <xdr:rowOff>28576</xdr:rowOff>
    </xdr:to>
    <xdr:pic>
      <xdr:nvPicPr>
        <xdr:cNvPr id="10" name="Picture 9" descr="http://www.homedepot.com/catalog/productImages/400/d8/d895fbd2-67a2-4807-8cc9-193f1ababa68_400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49751" y="200026"/>
          <a:ext cx="2000250" cy="1733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57150</xdr:colOff>
      <xdr:row>1</xdr:row>
      <xdr:rowOff>66675</xdr:rowOff>
    </xdr:from>
    <xdr:to>
      <xdr:col>7</xdr:col>
      <xdr:colOff>2019300</xdr:colOff>
      <xdr:row>10</xdr:row>
      <xdr:rowOff>133350</xdr:rowOff>
    </xdr:to>
    <xdr:pic>
      <xdr:nvPicPr>
        <xdr:cNvPr id="11" name="Picture 10" descr="http://www.northerntool.com/images/product/700x700/465/46529_700x70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73825" y="257175"/>
          <a:ext cx="1962150" cy="1781175"/>
        </a:xfrm>
        <a:prstGeom prst="rect">
          <a:avLst/>
        </a:prstGeom>
        <a:noFill/>
        <a:ln>
          <a:noFill/>
        </a:ln>
      </xdr:spPr>
    </xdr:pic>
    <xdr:clientData/>
  </xdr:twoCellAnchor>
  <xdr:absoluteAnchor>
    <xdr:pos x="457200" y="7105649"/>
    <xdr:ext cx="4194809" cy="2284095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C1" workbookViewId="0">
      <selection activeCell="A2" sqref="A2:H10"/>
    </sheetView>
  </sheetViews>
  <sheetFormatPr defaultColWidth="16.140625" defaultRowHeight="15" x14ac:dyDescent="0.25"/>
  <cols>
    <col min="1" max="1" width="26.5703125" customWidth="1"/>
    <col min="2" max="3" width="31.42578125" customWidth="1"/>
    <col min="4" max="4" width="35.140625" customWidth="1"/>
    <col min="5" max="8" width="31.42578125" customWidth="1"/>
    <col min="9" max="10" width="10.140625" customWidth="1"/>
    <col min="11" max="14" width="16.28515625" customWidth="1"/>
  </cols>
  <sheetData>
    <row r="1" spans="1:10" s="1" customFormat="1" x14ac:dyDescent="0.25">
      <c r="A1" s="12" t="s">
        <v>18</v>
      </c>
    </row>
    <row r="2" spans="1:10" s="2" customFormat="1" x14ac:dyDescent="0.25">
      <c r="A2" s="6" t="s">
        <v>0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4" t="s">
        <v>16</v>
      </c>
      <c r="J2" s="1" t="s">
        <v>17</v>
      </c>
    </row>
    <row r="3" spans="1:10" s="2" customFormat="1" ht="12.75" x14ac:dyDescent="0.2">
      <c r="A3" s="2" t="s">
        <v>1</v>
      </c>
      <c r="B3" s="7">
        <v>2</v>
      </c>
      <c r="C3" s="7">
        <v>2</v>
      </c>
      <c r="D3" s="7">
        <v>2</v>
      </c>
      <c r="E3" s="7">
        <v>2</v>
      </c>
      <c r="F3" s="7">
        <v>2</v>
      </c>
      <c r="G3" s="7">
        <v>0</v>
      </c>
      <c r="H3" s="7">
        <v>0</v>
      </c>
      <c r="I3" s="5">
        <f>AVERAGE(B3:H3)</f>
        <v>1.4285714285714286</v>
      </c>
      <c r="J3" s="5">
        <f>STDEV(B3:H3)</f>
        <v>0.97590007294853309</v>
      </c>
    </row>
    <row r="4" spans="1:10" s="2" customFormat="1" ht="12.75" x14ac:dyDescent="0.2">
      <c r="A4" s="2" t="s">
        <v>8</v>
      </c>
      <c r="B4" s="7">
        <f>(33.5*52.5*15.75)/12^3</f>
        <v>16.0302734375</v>
      </c>
      <c r="C4" s="7">
        <v>6</v>
      </c>
      <c r="D4" s="7">
        <v>10</v>
      </c>
      <c r="E4" s="7">
        <f>(35*37*8)/12^3</f>
        <v>5.9953703703703702</v>
      </c>
      <c r="F4" s="7">
        <v>6</v>
      </c>
      <c r="G4" s="7">
        <f>3</f>
        <v>3</v>
      </c>
      <c r="H4" s="7">
        <f>(34*18*10)/12^3</f>
        <v>3.5416666666666665</v>
      </c>
      <c r="I4" s="5">
        <f t="shared" ref="I4:I10" si="0">AVERAGE(B4:H4)</f>
        <v>7.2239014963624326</v>
      </c>
      <c r="J4" s="5">
        <f t="shared" ref="J4:J10" si="1">STDEV(B4:H4)</f>
        <v>4.4937783904096964</v>
      </c>
    </row>
    <row r="5" spans="1:10" s="2" customFormat="1" ht="12.75" x14ac:dyDescent="0.2">
      <c r="A5" s="2" t="s">
        <v>2</v>
      </c>
      <c r="B5" s="7">
        <f>33.5*75*37.75</f>
        <v>94846.875</v>
      </c>
      <c r="C5" s="7">
        <f>38*30*18.5</f>
        <v>21090</v>
      </c>
      <c r="D5" s="7">
        <f>38*36*58</f>
        <v>79344</v>
      </c>
      <c r="E5" s="7">
        <f>35*75*37</f>
        <v>97125</v>
      </c>
      <c r="F5" s="7">
        <f>43*33*30</f>
        <v>42570</v>
      </c>
      <c r="G5" s="7">
        <f>8.75*37.5*20.75</f>
        <v>6808.59375</v>
      </c>
      <c r="H5" s="7">
        <f>34*18.5*21.5</f>
        <v>13523.5</v>
      </c>
      <c r="I5" s="5">
        <f t="shared" si="0"/>
        <v>50758.28125</v>
      </c>
      <c r="J5" s="5">
        <f t="shared" si="1"/>
        <v>39106.85969492107</v>
      </c>
    </row>
    <row r="6" spans="1:10" s="2" customFormat="1" ht="12.75" x14ac:dyDescent="0.2">
      <c r="A6" s="2" t="s">
        <v>7</v>
      </c>
      <c r="B6" s="7">
        <v>600</v>
      </c>
      <c r="C6" s="7">
        <v>200</v>
      </c>
      <c r="D6" s="7">
        <v>750</v>
      </c>
      <c r="E6" s="7">
        <v>750</v>
      </c>
      <c r="F6" s="7">
        <v>600</v>
      </c>
      <c r="G6" s="7">
        <v>600</v>
      </c>
      <c r="H6" s="7">
        <v>400</v>
      </c>
      <c r="I6" s="5">
        <f t="shared" si="0"/>
        <v>557.14285714285711</v>
      </c>
      <c r="J6" s="5">
        <f t="shared" si="1"/>
        <v>196.69894811736086</v>
      </c>
    </row>
    <row r="7" spans="1:10" s="2" customFormat="1" ht="12.75" x14ac:dyDescent="0.2">
      <c r="A7" s="2" t="s">
        <v>3</v>
      </c>
      <c r="B7" s="7">
        <v>2199.9899999999998</v>
      </c>
      <c r="C7" s="7">
        <v>589.99</v>
      </c>
      <c r="D7" s="7">
        <v>2295</v>
      </c>
      <c r="E7" s="7">
        <v>2599.9899999999998</v>
      </c>
      <c r="F7" s="7">
        <v>1500</v>
      </c>
      <c r="G7" s="7">
        <v>69.97</v>
      </c>
      <c r="H7" s="7">
        <v>79.89</v>
      </c>
      <c r="I7" s="5">
        <f t="shared" si="0"/>
        <v>1333.5471428571425</v>
      </c>
      <c r="J7" s="5">
        <f t="shared" si="1"/>
        <v>1082.2707253534779</v>
      </c>
    </row>
    <row r="8" spans="1:10" s="2" customFormat="1" ht="12.75" x14ac:dyDescent="0.2">
      <c r="A8" s="2" t="s">
        <v>4</v>
      </c>
      <c r="B8" s="7">
        <v>400</v>
      </c>
      <c r="C8" s="7">
        <v>200</v>
      </c>
      <c r="D8" s="7">
        <v>500</v>
      </c>
      <c r="E8" s="7">
        <v>500</v>
      </c>
      <c r="F8" s="7">
        <v>600</v>
      </c>
      <c r="G8" s="7">
        <v>450</v>
      </c>
      <c r="H8" s="7">
        <v>200</v>
      </c>
      <c r="I8" s="5">
        <f t="shared" si="0"/>
        <v>407.14285714285717</v>
      </c>
      <c r="J8" s="5">
        <f t="shared" si="1"/>
        <v>153.91710817994266</v>
      </c>
    </row>
    <row r="9" spans="1:10" s="2" customFormat="1" ht="12.75" x14ac:dyDescent="0.2">
      <c r="A9" s="2" t="s">
        <v>6</v>
      </c>
      <c r="B9" s="7">
        <v>4</v>
      </c>
      <c r="C9" s="7">
        <v>2</v>
      </c>
      <c r="D9" s="7">
        <v>4</v>
      </c>
      <c r="E9" s="7">
        <v>4</v>
      </c>
      <c r="F9" s="7">
        <v>6</v>
      </c>
      <c r="G9" s="7">
        <v>4</v>
      </c>
      <c r="H9" s="7">
        <v>4</v>
      </c>
      <c r="I9" s="5">
        <f t="shared" si="0"/>
        <v>4</v>
      </c>
      <c r="J9" s="5">
        <f t="shared" si="1"/>
        <v>1.1547005383792515</v>
      </c>
    </row>
    <row r="10" spans="1:10" s="2" customFormat="1" ht="12.75" x14ac:dyDescent="0.2">
      <c r="A10" s="3" t="s">
        <v>5</v>
      </c>
      <c r="B10" s="8">
        <v>395</v>
      </c>
      <c r="C10" s="8">
        <v>90</v>
      </c>
      <c r="D10" s="8">
        <v>155</v>
      </c>
      <c r="E10" s="8">
        <v>180</v>
      </c>
      <c r="F10" s="8">
        <v>80</v>
      </c>
      <c r="G10" s="8">
        <v>39</v>
      </c>
      <c r="H10" s="8">
        <v>44.25</v>
      </c>
      <c r="I10" s="5">
        <f t="shared" si="0"/>
        <v>140.46428571428572</v>
      </c>
      <c r="J10" s="5">
        <f t="shared" si="1"/>
        <v>124.04135974976826</v>
      </c>
    </row>
    <row r="11" spans="1:10" s="2" customFormat="1" ht="12.75" x14ac:dyDescent="0.2"/>
    <row r="12" spans="1:10" s="2" customFormat="1" x14ac:dyDescent="0.25">
      <c r="A12" s="12" t="s">
        <v>19</v>
      </c>
    </row>
    <row r="13" spans="1:10" s="2" customFormat="1" x14ac:dyDescent="0.25">
      <c r="A13" s="6" t="s">
        <v>0</v>
      </c>
      <c r="B13" s="9" t="s">
        <v>9</v>
      </c>
      <c r="C13" s="9" t="s">
        <v>10</v>
      </c>
      <c r="D13" s="9" t="s">
        <v>11</v>
      </c>
      <c r="E13" s="9" t="s">
        <v>12</v>
      </c>
      <c r="F13" s="9" t="s">
        <v>13</v>
      </c>
      <c r="G13" s="9" t="s">
        <v>14</v>
      </c>
      <c r="H13" s="9" t="s">
        <v>15</v>
      </c>
    </row>
    <row r="14" spans="1:10" s="2" customFormat="1" ht="12.75" x14ac:dyDescent="0.2">
      <c r="A14" s="2" t="s">
        <v>1</v>
      </c>
      <c r="B14" s="10">
        <f t="shared" ref="B14:H14" si="2">STANDARDIZE(B3,$I$3,$J$3)</f>
        <v>0.58554004376911994</v>
      </c>
      <c r="C14" s="10">
        <f t="shared" si="2"/>
        <v>0.58554004376911994</v>
      </c>
      <c r="D14" s="10">
        <f t="shared" si="2"/>
        <v>0.58554004376911994</v>
      </c>
      <c r="E14" s="10">
        <f t="shared" si="2"/>
        <v>0.58554004376911994</v>
      </c>
      <c r="F14" s="10">
        <f t="shared" si="2"/>
        <v>0.58554004376911994</v>
      </c>
      <c r="G14" s="10">
        <f t="shared" si="2"/>
        <v>-1.4638501094228</v>
      </c>
      <c r="H14" s="10">
        <f t="shared" si="2"/>
        <v>-1.4638501094228</v>
      </c>
    </row>
    <row r="15" spans="1:10" s="2" customFormat="1" ht="12.75" x14ac:dyDescent="0.2">
      <c r="A15" s="2" t="s">
        <v>8</v>
      </c>
      <c r="B15" s="10">
        <f t="shared" ref="B15:H15" si="3">STANDARDIZE(B4,$I$4,$J$4)</f>
        <v>1.9596809579955037</v>
      </c>
      <c r="C15" s="10">
        <f t="shared" si="3"/>
        <v>-0.27235466238708977</v>
      </c>
      <c r="D15" s="10">
        <f t="shared" si="3"/>
        <v>0.61776488790860717</v>
      </c>
      <c r="E15" s="10">
        <f t="shared" si="3"/>
        <v>-0.27338489334808019</v>
      </c>
      <c r="F15" s="10">
        <f t="shared" si="3"/>
        <v>-0.27235466238708977</v>
      </c>
      <c r="G15" s="10">
        <f t="shared" si="3"/>
        <v>-0.9399443251088625</v>
      </c>
      <c r="H15" s="10">
        <f t="shared" si="3"/>
        <v>-0.81940730267298689</v>
      </c>
    </row>
    <row r="16" spans="1:10" s="2" customFormat="1" ht="12.75" x14ac:dyDescent="0.2">
      <c r="A16" s="2" t="s">
        <v>2</v>
      </c>
      <c r="B16" s="10">
        <f t="shared" ref="B16:H16" si="4">STANDARDIZE(B5,$I$5,$J$5)</f>
        <v>1.1273877292613685</v>
      </c>
      <c r="C16" s="10">
        <f t="shared" si="4"/>
        <v>-0.75864647484986147</v>
      </c>
      <c r="D16" s="10">
        <f t="shared" si="4"/>
        <v>0.73096431094191172</v>
      </c>
      <c r="E16" s="10">
        <f t="shared" si="4"/>
        <v>1.1856415757162366</v>
      </c>
      <c r="F16" s="10">
        <f t="shared" si="4"/>
        <v>-0.20938222383178054</v>
      </c>
      <c r="G16" s="10">
        <f t="shared" si="4"/>
        <v>-1.1238357629034552</v>
      </c>
      <c r="H16" s="10">
        <f t="shared" si="4"/>
        <v>-0.95212915433441969</v>
      </c>
    </row>
    <row r="17" spans="1:8" s="2" customFormat="1" ht="12.75" x14ac:dyDescent="0.2">
      <c r="A17" s="2" t="s">
        <v>7</v>
      </c>
      <c r="B17" s="10">
        <f t="shared" ref="B17:H17" si="5">STANDARDIZE(B6,$I$6,$J$6)</f>
        <v>0.21788191176076896</v>
      </c>
      <c r="C17" s="10">
        <f t="shared" si="5"/>
        <v>-1.8156825980064064</v>
      </c>
      <c r="D17" s="10">
        <f t="shared" si="5"/>
        <v>0.98046860292345972</v>
      </c>
      <c r="E17" s="10">
        <f t="shared" si="5"/>
        <v>0.98046860292345972</v>
      </c>
      <c r="F17" s="10">
        <f t="shared" si="5"/>
        <v>0.21788191176076896</v>
      </c>
      <c r="G17" s="10">
        <f t="shared" si="5"/>
        <v>0.21788191176076896</v>
      </c>
      <c r="H17" s="10">
        <f t="shared" si="5"/>
        <v>-0.79890034312281877</v>
      </c>
    </row>
    <row r="18" spans="1:8" s="2" customFormat="1" ht="12.75" x14ac:dyDescent="0.2">
      <c r="A18" s="2" t="s">
        <v>3</v>
      </c>
      <c r="B18" s="10">
        <f t="shared" ref="B18:H18" si="6">STANDARDIZE(B7,$I$7,$J$7)</f>
        <v>0.80057866931573007</v>
      </c>
      <c r="C18" s="10">
        <f t="shared" si="6"/>
        <v>-0.68703433017121573</v>
      </c>
      <c r="D18" s="10">
        <f t="shared" si="6"/>
        <v>0.88836631595005</v>
      </c>
      <c r="E18" s="10">
        <f t="shared" si="6"/>
        <v>1.1701719611137291</v>
      </c>
      <c r="F18" s="10">
        <f t="shared" si="6"/>
        <v>0.15379964850152694</v>
      </c>
      <c r="G18" s="10">
        <f t="shared" si="6"/>
        <v>-1.1675240891732044</v>
      </c>
      <c r="H18" s="10">
        <f t="shared" si="6"/>
        <v>-1.1583581755366139</v>
      </c>
    </row>
    <row r="19" spans="1:8" s="2" customFormat="1" ht="12.75" x14ac:dyDescent="0.2">
      <c r="A19" s="2" t="s">
        <v>4</v>
      </c>
      <c r="B19" s="10">
        <f t="shared" ref="B19:H19" si="7">STANDARDIZE(B8,$I$8,$J$8)</f>
        <v>-4.6407168295460294E-2</v>
      </c>
      <c r="C19" s="10">
        <f t="shared" si="7"/>
        <v>-1.345807880568344</v>
      </c>
      <c r="D19" s="10">
        <f t="shared" si="7"/>
        <v>0.60329318784098163</v>
      </c>
      <c r="E19" s="10">
        <f t="shared" si="7"/>
        <v>0.60329318784098163</v>
      </c>
      <c r="F19" s="10">
        <f t="shared" si="7"/>
        <v>1.2529935439774236</v>
      </c>
      <c r="G19" s="10">
        <f t="shared" si="7"/>
        <v>0.27844300977276065</v>
      </c>
      <c r="H19" s="10">
        <f t="shared" si="7"/>
        <v>-1.345807880568344</v>
      </c>
    </row>
    <row r="20" spans="1:8" s="2" customFormat="1" ht="12.75" x14ac:dyDescent="0.2">
      <c r="A20" s="2" t="s">
        <v>6</v>
      </c>
      <c r="B20" s="10">
        <f t="shared" ref="B20:H20" si="8">STANDARDIZE(B9,$I$9,$J$9)</f>
        <v>0</v>
      </c>
      <c r="C20" s="10">
        <f t="shared" si="8"/>
        <v>-1.7320508075688774</v>
      </c>
      <c r="D20" s="10">
        <f t="shared" si="8"/>
        <v>0</v>
      </c>
      <c r="E20" s="10">
        <f t="shared" si="8"/>
        <v>0</v>
      </c>
      <c r="F20" s="10">
        <f t="shared" si="8"/>
        <v>1.7320508075688774</v>
      </c>
      <c r="G20" s="10">
        <f t="shared" si="8"/>
        <v>0</v>
      </c>
      <c r="H20" s="10">
        <f t="shared" si="8"/>
        <v>0</v>
      </c>
    </row>
    <row r="21" spans="1:8" s="2" customFormat="1" ht="12.75" x14ac:dyDescent="0.2">
      <c r="A21" s="3" t="s">
        <v>5</v>
      </c>
      <c r="B21" s="11">
        <f t="shared" ref="B21:H21" si="9">STANDARDIZE(B10,$I$10,$J$10)</f>
        <v>2.0520229284747891</v>
      </c>
      <c r="C21" s="11">
        <f t="shared" si="9"/>
        <v>-0.40683434796336149</v>
      </c>
      <c r="D21" s="11">
        <f t="shared" si="9"/>
        <v>0.11718441586771974</v>
      </c>
      <c r="E21" s="11">
        <f t="shared" si="9"/>
        <v>0.31873009426428944</v>
      </c>
      <c r="F21" s="11">
        <f t="shared" si="9"/>
        <v>-0.48745261932198936</v>
      </c>
      <c r="G21" s="11">
        <f t="shared" si="9"/>
        <v>-0.81798753189236373</v>
      </c>
      <c r="H21" s="11">
        <f t="shared" si="9"/>
        <v>-0.77566293942908404</v>
      </c>
    </row>
    <row r="22" spans="1:8" s="2" customFormat="1" ht="12.75" x14ac:dyDescent="0.2"/>
    <row r="23" spans="1:8" s="2" customFormat="1" ht="12.75" x14ac:dyDescent="0.2"/>
    <row r="24" spans="1:8" s="2" customFormat="1" ht="12.75" x14ac:dyDescent="0.2"/>
    <row r="25" spans="1:8" s="2" customFormat="1" x14ac:dyDescent="0.25">
      <c r="A25" s="6" t="s">
        <v>0</v>
      </c>
    </row>
    <row r="26" spans="1:8" s="2" customFormat="1" ht="12.75" x14ac:dyDescent="0.2">
      <c r="A26" s="2" t="s">
        <v>1</v>
      </c>
    </row>
    <row r="27" spans="1:8" s="2" customFormat="1" ht="12.75" x14ac:dyDescent="0.2">
      <c r="A27" s="2" t="s">
        <v>8</v>
      </c>
    </row>
    <row r="28" spans="1:8" s="2" customFormat="1" ht="12.75" x14ac:dyDescent="0.2">
      <c r="A28" s="2" t="s">
        <v>2</v>
      </c>
    </row>
    <row r="29" spans="1:8" s="2" customFormat="1" ht="12.75" x14ac:dyDescent="0.2">
      <c r="A29" s="2" t="s">
        <v>7</v>
      </c>
    </row>
    <row r="30" spans="1:8" s="2" customFormat="1" ht="12.75" x14ac:dyDescent="0.2">
      <c r="A30" s="2" t="s">
        <v>3</v>
      </c>
    </row>
    <row r="31" spans="1:8" x14ac:dyDescent="0.25">
      <c r="A31" s="2" t="s">
        <v>4</v>
      </c>
    </row>
    <row r="32" spans="1:8" x14ac:dyDescent="0.25">
      <c r="A32" s="2" t="s">
        <v>6</v>
      </c>
    </row>
    <row r="33" spans="1:1" x14ac:dyDescent="0.25">
      <c r="A33" s="3" t="s">
        <v>5</v>
      </c>
    </row>
  </sheetData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1:H39"/>
  <sheetViews>
    <sheetView tabSelected="1" workbookViewId="0">
      <selection activeCell="D54" sqref="D54"/>
    </sheetView>
  </sheetViews>
  <sheetFormatPr defaultColWidth="31.85546875" defaultRowHeight="15" x14ac:dyDescent="0.25"/>
  <sheetData>
    <row r="11" spans="1:8" s="1" customFormat="1" x14ac:dyDescent="0.25"/>
    <row r="12" spans="1:8" s="2" customFormat="1" x14ac:dyDescent="0.25">
      <c r="A12" s="6" t="s">
        <v>0</v>
      </c>
      <c r="B12" s="9" t="s">
        <v>9</v>
      </c>
      <c r="C12" s="9" t="s">
        <v>10</v>
      </c>
      <c r="D12" s="9" t="s">
        <v>25</v>
      </c>
      <c r="E12" s="9" t="s">
        <v>12</v>
      </c>
      <c r="F12" s="9" t="s">
        <v>24</v>
      </c>
      <c r="G12" s="9" t="s">
        <v>14</v>
      </c>
      <c r="H12" s="9" t="s">
        <v>15</v>
      </c>
    </row>
    <row r="13" spans="1:8" s="2" customFormat="1" ht="12.75" x14ac:dyDescent="0.2">
      <c r="A13" s="14" t="s">
        <v>21</v>
      </c>
      <c r="B13" s="7">
        <f>SQRT((1/B34)*1000)</f>
        <v>0.1026806210556033</v>
      </c>
      <c r="C13" s="7">
        <f t="shared" ref="C13:H13" si="0">SQRT((1/C34)*1000)</f>
        <v>0.21775177815467109</v>
      </c>
      <c r="D13" s="7">
        <f t="shared" si="0"/>
        <v>0.11226463133633173</v>
      </c>
      <c r="E13" s="7">
        <f t="shared" si="0"/>
        <v>0.10146925788636821</v>
      </c>
      <c r="F13" s="7">
        <f t="shared" si="0"/>
        <v>0.15326682995723429</v>
      </c>
      <c r="G13" s="7">
        <f t="shared" si="0"/>
        <v>0.38324040381224289</v>
      </c>
      <c r="H13" s="7">
        <f t="shared" si="0"/>
        <v>0.27192895098372827</v>
      </c>
    </row>
    <row r="14" spans="1:8" s="2" customFormat="1" ht="12.75" x14ac:dyDescent="0.2">
      <c r="A14" s="14" t="s">
        <v>23</v>
      </c>
      <c r="B14" s="7">
        <v>600</v>
      </c>
      <c r="C14" s="7">
        <v>200</v>
      </c>
      <c r="D14" s="7">
        <v>750</v>
      </c>
      <c r="E14" s="7">
        <v>750</v>
      </c>
      <c r="F14" s="7">
        <v>600</v>
      </c>
      <c r="G14" s="7">
        <v>600</v>
      </c>
      <c r="H14" s="7">
        <v>400</v>
      </c>
    </row>
    <row r="15" spans="1:8" s="2" customFormat="1" ht="12.75" x14ac:dyDescent="0.2">
      <c r="A15" s="14" t="s">
        <v>3</v>
      </c>
      <c r="B15" s="7">
        <f>SQRT((1/B36)*1000)</f>
        <v>0.67420139474088048</v>
      </c>
      <c r="C15" s="7">
        <f t="shared" ref="C15:H15" si="1">SQRT((1/C36)*1000)</f>
        <v>1.3019001429070478</v>
      </c>
      <c r="D15" s="7">
        <f t="shared" si="1"/>
        <v>0.66009836198444949</v>
      </c>
      <c r="E15" s="7">
        <f t="shared" si="1"/>
        <v>0.62017486559116142</v>
      </c>
      <c r="F15" s="7">
        <f t="shared" si="1"/>
        <v>0.81649658092772603</v>
      </c>
      <c r="G15" s="7">
        <f t="shared" si="1"/>
        <v>3.7804549143886899</v>
      </c>
      <c r="H15" s="7">
        <f t="shared" si="1"/>
        <v>3.5379670950070126</v>
      </c>
    </row>
    <row r="16" spans="1:8" s="2" customFormat="1" ht="12.75" x14ac:dyDescent="0.2">
      <c r="A16" s="14" t="s">
        <v>22</v>
      </c>
      <c r="B16" s="7">
        <v>400</v>
      </c>
      <c r="C16" s="7">
        <v>200</v>
      </c>
      <c r="D16" s="7">
        <v>500</v>
      </c>
      <c r="E16" s="7">
        <v>500</v>
      </c>
      <c r="F16" s="7">
        <v>600</v>
      </c>
      <c r="G16" s="7">
        <v>450</v>
      </c>
      <c r="H16" s="7">
        <v>200</v>
      </c>
    </row>
    <row r="17" spans="1:8" s="2" customFormat="1" ht="12.75" x14ac:dyDescent="0.2">
      <c r="A17" s="14" t="s">
        <v>20</v>
      </c>
      <c r="B17" s="7">
        <f>SQRT((1/B38)*1000)</f>
        <v>1.59111456835146</v>
      </c>
      <c r="C17" s="7">
        <f t="shared" ref="C17:H17" si="2">SQRT((1/C38)*1000)</f>
        <v>3.3333333333333335</v>
      </c>
      <c r="D17" s="7">
        <f t="shared" si="2"/>
        <v>2.54000254000381</v>
      </c>
      <c r="E17" s="7">
        <f t="shared" si="2"/>
        <v>2.3570226039551585</v>
      </c>
      <c r="F17" s="7">
        <f t="shared" si="2"/>
        <v>3.5355339059327378</v>
      </c>
      <c r="G17" s="7">
        <f t="shared" si="2"/>
        <v>5.0636968354183329</v>
      </c>
      <c r="H17" s="7">
        <f t="shared" si="2"/>
        <v>4.7538268854152834</v>
      </c>
    </row>
    <row r="18" spans="1:8" s="2" customFormat="1" ht="12.75" x14ac:dyDescent="0.2">
      <c r="A18" s="13" t="s">
        <v>28</v>
      </c>
      <c r="B18" s="8">
        <v>1.25</v>
      </c>
      <c r="C18" s="8">
        <v>1.5</v>
      </c>
      <c r="D18" s="8">
        <v>2</v>
      </c>
      <c r="E18" s="8">
        <v>1.5</v>
      </c>
      <c r="F18" s="8">
        <v>4</v>
      </c>
      <c r="G18" s="8">
        <v>0.1</v>
      </c>
      <c r="H18" s="8">
        <v>0.1</v>
      </c>
    </row>
    <row r="19" spans="1:8" s="2" customFormat="1" ht="12.75" x14ac:dyDescent="0.2">
      <c r="B19" s="7"/>
    </row>
    <row r="20" spans="1:8" s="2" customFormat="1" x14ac:dyDescent="0.25">
      <c r="A20" s="12" t="s">
        <v>19</v>
      </c>
      <c r="B20" s="7"/>
    </row>
    <row r="21" spans="1:8" s="2" customFormat="1" x14ac:dyDescent="0.25">
      <c r="A21" s="6" t="s">
        <v>0</v>
      </c>
      <c r="B21" s="9" t="s">
        <v>9</v>
      </c>
      <c r="C21" s="9" t="s">
        <v>10</v>
      </c>
      <c r="D21" s="9" t="s">
        <v>25</v>
      </c>
      <c r="E21" s="9" t="s">
        <v>12</v>
      </c>
      <c r="F21" s="9" t="s">
        <v>24</v>
      </c>
      <c r="G21" s="9" t="s">
        <v>14</v>
      </c>
      <c r="H21" s="9" t="s">
        <v>15</v>
      </c>
    </row>
    <row r="22" spans="1:8" s="2" customFormat="1" ht="12.75" x14ac:dyDescent="0.2">
      <c r="A22" s="14" t="s">
        <v>21</v>
      </c>
      <c r="B22" s="10">
        <f>((B13/MAX($B$13:$H$13))*10)</f>
        <v>2.6792744197688663</v>
      </c>
      <c r="C22" s="10">
        <f>(C13/MAX($B$13:$H$13))*10</f>
        <v>5.6818585928990935</v>
      </c>
      <c r="D22" s="10">
        <f>(D13/MAX($B$13:$H$13))*10</f>
        <v>2.929352704453688</v>
      </c>
      <c r="E22" s="10">
        <f>(E13/MAX($B$13:$H$13))*10</f>
        <v>2.6476659787698171</v>
      </c>
      <c r="F22" s="10">
        <f>(F13/MAX($B$13:$H$13))*10</f>
        <v>3.9992346431281489</v>
      </c>
      <c r="G22" s="10">
        <f>(G13/MAX($B$13:$H$13))*10</f>
        <v>10</v>
      </c>
      <c r="H22" s="10">
        <f t="shared" ref="H22" si="3">(H13/MAX($B$13:$H$13))*10</f>
        <v>7.0955188513200627</v>
      </c>
    </row>
    <row r="23" spans="1:8" s="2" customFormat="1" ht="12.75" x14ac:dyDescent="0.2">
      <c r="A23" s="14" t="s">
        <v>23</v>
      </c>
      <c r="B23" s="10">
        <f t="shared" ref="B23:G23" si="4">(B14/MAX($B$14:$H$14))*10</f>
        <v>8</v>
      </c>
      <c r="C23" s="10">
        <f t="shared" si="4"/>
        <v>2.6666666666666665</v>
      </c>
      <c r="D23" s="10">
        <f t="shared" si="4"/>
        <v>10</v>
      </c>
      <c r="E23" s="10">
        <f t="shared" si="4"/>
        <v>10</v>
      </c>
      <c r="F23" s="10">
        <f t="shared" si="4"/>
        <v>8</v>
      </c>
      <c r="G23" s="10">
        <f t="shared" si="4"/>
        <v>8</v>
      </c>
      <c r="H23" s="10">
        <f t="shared" ref="H23" si="5">(H14/MAX($B$14:$H$14))*10</f>
        <v>5.333333333333333</v>
      </c>
    </row>
    <row r="24" spans="1:8" s="2" customFormat="1" ht="12.75" x14ac:dyDescent="0.2">
      <c r="A24" s="14" t="s">
        <v>3</v>
      </c>
      <c r="B24" s="10">
        <f t="shared" ref="B24:G24" si="6" xml:space="preserve"> (B15/MAX($B$15:$H$15))*10</f>
        <v>1.7833869468322989</v>
      </c>
      <c r="C24" s="10">
        <f t="shared" si="6"/>
        <v>3.4437658228694117</v>
      </c>
      <c r="D24" s="10">
        <f t="shared" si="6"/>
        <v>1.7460818259518622</v>
      </c>
      <c r="E24" s="10">
        <f t="shared" si="6"/>
        <v>1.6404768199475948</v>
      </c>
      <c r="F24" s="10">
        <f t="shared" si="6"/>
        <v>2.1597839398112644</v>
      </c>
      <c r="G24" s="10">
        <f t="shared" si="6"/>
        <v>10</v>
      </c>
      <c r="H24" s="10">
        <f t="shared" ref="H24" si="7" xml:space="preserve"> (H15/MAX($B$15:$H$15))*10</f>
        <v>9.3585750263579364</v>
      </c>
    </row>
    <row r="25" spans="1:8" s="2" customFormat="1" ht="12.75" x14ac:dyDescent="0.2">
      <c r="A25" s="14" t="s">
        <v>22</v>
      </c>
      <c r="B25" s="10">
        <f t="shared" ref="B25:G25" si="8">(B16/MAX($B$16:$H$16))*10</f>
        <v>6.6666666666666661</v>
      </c>
      <c r="C25" s="10">
        <f t="shared" si="8"/>
        <v>3.333333333333333</v>
      </c>
      <c r="D25" s="10">
        <f t="shared" si="8"/>
        <v>8.3333333333333339</v>
      </c>
      <c r="E25" s="10">
        <f t="shared" si="8"/>
        <v>8.3333333333333339</v>
      </c>
      <c r="F25" s="10">
        <f t="shared" si="8"/>
        <v>10</v>
      </c>
      <c r="G25" s="10">
        <f t="shared" si="8"/>
        <v>7.5</v>
      </c>
      <c r="H25" s="10">
        <f t="shared" ref="H25" si="9">(H16/MAX($B$16:$H$16))*10</f>
        <v>3.333333333333333</v>
      </c>
    </row>
    <row r="26" spans="1:8" s="2" customFormat="1" ht="12.75" x14ac:dyDescent="0.2">
      <c r="A26" s="14" t="s">
        <v>20</v>
      </c>
      <c r="B26" s="10">
        <f t="shared" ref="B26:G26" si="10">(B17/MAX($B$17:$H$17))*10</f>
        <v>3.1421995037742252</v>
      </c>
      <c r="C26" s="10">
        <f t="shared" si="10"/>
        <v>6.5828058860438334</v>
      </c>
      <c r="D26" s="10">
        <f t="shared" si="10"/>
        <v>5.0161031012710104</v>
      </c>
      <c r="E26" s="10">
        <f t="shared" si="10"/>
        <v>4.6547466812563147</v>
      </c>
      <c r="F26" s="10">
        <f t="shared" si="10"/>
        <v>6.9821200218844712</v>
      </c>
      <c r="G26" s="10">
        <f t="shared" si="10"/>
        <v>10</v>
      </c>
      <c r="H26" s="10">
        <f t="shared" ref="H26" si="11">(H17/MAX($B$17:$H$17))*10</f>
        <v>9.3880558807635452</v>
      </c>
    </row>
    <row r="27" spans="1:8" s="2" customFormat="1" ht="12.75" x14ac:dyDescent="0.2">
      <c r="A27" s="14" t="s">
        <v>28</v>
      </c>
      <c r="B27" s="10">
        <f>(B18/MAX($B$18:$H$18)) *10</f>
        <v>3.125</v>
      </c>
      <c r="C27" s="10">
        <f>(C18/MAX($B$18:$H$18)) *10</f>
        <v>3.75</v>
      </c>
      <c r="D27" s="10">
        <f>(D18/MAX($C$18:$H$18)) *10</f>
        <v>5</v>
      </c>
      <c r="E27" s="10">
        <f>(E18/MAX($C$18:$H$18)) *10</f>
        <v>3.75</v>
      </c>
      <c r="F27" s="10">
        <f>(F18/MAX($C$18:$H$18)) *10</f>
        <v>10</v>
      </c>
      <c r="G27" s="10">
        <f>(G18/MAX($C$18:$H$18)) *10</f>
        <v>0.25</v>
      </c>
      <c r="H27" s="10">
        <f>(H18/MAX($C$18:$H$18)) *10</f>
        <v>0.25</v>
      </c>
    </row>
    <row r="28" spans="1:8" s="2" customFormat="1" ht="12.75" x14ac:dyDescent="0.2"/>
    <row r="29" spans="1:8" s="2" customFormat="1" ht="12.75" x14ac:dyDescent="0.2"/>
    <row r="30" spans="1:8" s="2" customFormat="1" x14ac:dyDescent="0.25">
      <c r="F30"/>
    </row>
    <row r="31" spans="1:8" s="2" customFormat="1" ht="13.5" thickBot="1" x14ac:dyDescent="0.25"/>
    <row r="32" spans="1:8" s="2" customFormat="1" ht="12.75" x14ac:dyDescent="0.2">
      <c r="A32" s="15" t="s">
        <v>26</v>
      </c>
      <c r="B32" s="16"/>
      <c r="C32" s="16"/>
      <c r="D32" s="16"/>
      <c r="E32" s="16"/>
      <c r="F32" s="16"/>
      <c r="G32" s="16"/>
      <c r="H32" s="17"/>
    </row>
    <row r="33" spans="1:8" s="2" customFormat="1" x14ac:dyDescent="0.25">
      <c r="A33" s="18" t="s">
        <v>0</v>
      </c>
      <c r="B33" s="19" t="s">
        <v>9</v>
      </c>
      <c r="C33" s="19" t="s">
        <v>10</v>
      </c>
      <c r="D33" s="19" t="s">
        <v>11</v>
      </c>
      <c r="E33" s="19" t="s">
        <v>12</v>
      </c>
      <c r="F33" s="19" t="s">
        <v>24</v>
      </c>
      <c r="G33" s="19" t="s">
        <v>14</v>
      </c>
      <c r="H33" s="20" t="s">
        <v>15</v>
      </c>
    </row>
    <row r="34" spans="1:8" s="2" customFormat="1" ht="12.75" x14ac:dyDescent="0.2">
      <c r="A34" s="21" t="s">
        <v>21</v>
      </c>
      <c r="B34" s="22">
        <f>33.5*75*37.75</f>
        <v>94846.875</v>
      </c>
      <c r="C34" s="22">
        <f>38*30*18.5</f>
        <v>21090</v>
      </c>
      <c r="D34" s="22">
        <f>38*36*58</f>
        <v>79344</v>
      </c>
      <c r="E34" s="22">
        <f>35*75*37</f>
        <v>97125</v>
      </c>
      <c r="F34" s="22">
        <f>43*33*30</f>
        <v>42570</v>
      </c>
      <c r="G34" s="22">
        <f>8.75*37.5*20.75</f>
        <v>6808.59375</v>
      </c>
      <c r="H34" s="23">
        <f>34*18.5*21.5</f>
        <v>13523.5</v>
      </c>
    </row>
    <row r="35" spans="1:8" x14ac:dyDescent="0.25">
      <c r="A35" s="21" t="s">
        <v>23</v>
      </c>
      <c r="B35" s="22">
        <v>600</v>
      </c>
      <c r="C35" s="22">
        <v>200</v>
      </c>
      <c r="D35" s="22">
        <v>750</v>
      </c>
      <c r="E35" s="22">
        <v>750</v>
      </c>
      <c r="F35" s="22">
        <v>600</v>
      </c>
      <c r="G35" s="22">
        <v>600</v>
      </c>
      <c r="H35" s="23">
        <v>400</v>
      </c>
    </row>
    <row r="36" spans="1:8" x14ac:dyDescent="0.25">
      <c r="A36" s="21" t="s">
        <v>3</v>
      </c>
      <c r="B36" s="22">
        <v>2199.9899999999998</v>
      </c>
      <c r="C36" s="22">
        <v>589.99</v>
      </c>
      <c r="D36" s="22">
        <v>2295</v>
      </c>
      <c r="E36" s="22">
        <v>2599.9899999999998</v>
      </c>
      <c r="F36" s="22">
        <v>1500</v>
      </c>
      <c r="G36" s="22">
        <v>69.97</v>
      </c>
      <c r="H36" s="23">
        <v>79.89</v>
      </c>
    </row>
    <row r="37" spans="1:8" x14ac:dyDescent="0.25">
      <c r="A37" s="21" t="s">
        <v>22</v>
      </c>
      <c r="B37" s="22">
        <v>400</v>
      </c>
      <c r="C37" s="22">
        <v>200</v>
      </c>
      <c r="D37" s="22">
        <v>500</v>
      </c>
      <c r="E37" s="22">
        <v>500</v>
      </c>
      <c r="F37" s="22">
        <v>600</v>
      </c>
      <c r="G37" s="22">
        <v>450</v>
      </c>
      <c r="H37" s="23">
        <v>200</v>
      </c>
    </row>
    <row r="38" spans="1:8" x14ac:dyDescent="0.25">
      <c r="A38" s="21" t="s">
        <v>20</v>
      </c>
      <c r="B38" s="22">
        <v>395</v>
      </c>
      <c r="C38" s="22">
        <v>90</v>
      </c>
      <c r="D38" s="22">
        <v>155</v>
      </c>
      <c r="E38" s="22">
        <v>180</v>
      </c>
      <c r="F38" s="22">
        <v>80</v>
      </c>
      <c r="G38" s="22">
        <v>39</v>
      </c>
      <c r="H38" s="23">
        <v>44.25</v>
      </c>
    </row>
    <row r="39" spans="1:8" ht="15.75" thickBot="1" x14ac:dyDescent="0.3">
      <c r="A39" s="24" t="s">
        <v>27</v>
      </c>
      <c r="B39" s="25">
        <v>1.25</v>
      </c>
      <c r="C39" s="25">
        <v>1.5</v>
      </c>
      <c r="D39" s="25">
        <v>2</v>
      </c>
      <c r="E39" s="25">
        <v>1.5</v>
      </c>
      <c r="F39" s="25">
        <v>4</v>
      </c>
      <c r="G39" s="25">
        <v>0.1</v>
      </c>
      <c r="H39" s="26">
        <v>0.1</v>
      </c>
    </row>
  </sheetData>
  <pageMargins left="0.25" right="0.25" top="0.75" bottom="0.75" header="0.3" footer="0.3"/>
  <pageSetup scale="53" orientation="landscape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91F42773298144A2A54D5FF6CE0140" ma:contentTypeVersion="2" ma:contentTypeDescription="Create a new document." ma:contentTypeScope="" ma:versionID="36f0dbf8c38c73c6fb7e89e65bb1ae43">
  <xsd:schema xmlns:xsd="http://www.w3.org/2001/XMLSchema" xmlns:xs="http://www.w3.org/2001/XMLSchema" xmlns:p="http://schemas.microsoft.com/office/2006/metadata/properties" xmlns:ns2="79e15788-6f6b-4a27-8386-8782136b0012" targetNamespace="http://schemas.microsoft.com/office/2006/metadata/properties" ma:root="true" ma:fieldsID="e4f89d21bf951c0fac2e2c572dd8e02e" ns2:_="">
    <xsd:import namespace="79e15788-6f6b-4a27-8386-8782136b001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15788-6f6b-4a27-8386-8782136b001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7A4DAA-F5BB-40D8-BD92-527C80FBF8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e15788-6f6b-4a27-8386-8782136b00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5A1912-6A5B-4C23-91D7-20BCD4036931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79e15788-6f6b-4a27-8386-8782136b0012"/>
    <ds:schemaRef ds:uri="http://purl.org/dc/dcmitype/"/>
    <ds:schemaRef ds:uri="http://www.w3.org/XML/1998/namespa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56A30FA-BBDC-41E3-8CAB-F7472C96AE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Sheet1_v1</vt:lpstr>
      <vt:lpstr>Sheet2_v2</vt:lpstr>
      <vt:lpstr>Chart4_v1</vt:lpstr>
      <vt:lpstr>Chart2_v2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tweak</dc:creator>
  <cp:lastModifiedBy>Keith Fleming</cp:lastModifiedBy>
  <cp:lastPrinted>2023-09-23T07:18:33Z</cp:lastPrinted>
  <dcterms:created xsi:type="dcterms:W3CDTF">2016-02-23T06:45:02Z</dcterms:created>
  <dcterms:modified xsi:type="dcterms:W3CDTF">2025-12-15T16:38:55Z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0x0101004291F42773298144A2A54D5FF6CE0140</vt:lpwstr>
  </property>
</Properties>
</file>