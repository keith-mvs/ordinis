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jfle\Workspace\ordinis\docs\knowledge-base\inbox\"/>
    </mc:Choice>
  </mc:AlternateContent>
  <xr:revisionPtr revIDLastSave="0" documentId="8_{D6214BE2-4BF7-4C6B-9B5E-2EE4549F04B1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Sheet1 (5)" sheetId="8" r:id="rId1"/>
    <sheet name="Sheet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2" i="8" l="1"/>
  <c r="G22" i="8" s="1"/>
  <c r="F23" i="8"/>
  <c r="G23" i="8" s="1"/>
  <c r="H23" i="8" s="1"/>
  <c r="F24" i="8"/>
  <c r="G24" i="8" s="1"/>
  <c r="F25" i="8"/>
  <c r="G25" i="8" s="1"/>
  <c r="F26" i="8"/>
  <c r="G26" i="8" s="1"/>
  <c r="F27" i="8"/>
  <c r="G27" i="8" s="1"/>
  <c r="F28" i="8"/>
  <c r="G28" i="8" s="1"/>
  <c r="F29" i="8"/>
  <c r="G29" i="8" s="1"/>
  <c r="F30" i="8"/>
  <c r="G30" i="8" s="1"/>
  <c r="F31" i="8"/>
  <c r="G31" i="8" s="1"/>
  <c r="F32" i="8"/>
  <c r="G32" i="8" s="1"/>
  <c r="F33" i="8"/>
  <c r="F34" i="8"/>
  <c r="G34" i="8" s="1"/>
  <c r="F35" i="8"/>
  <c r="F36" i="8"/>
  <c r="F37" i="8"/>
  <c r="G37" i="8" s="1"/>
  <c r="F38" i="8"/>
  <c r="G38" i="8" s="1"/>
  <c r="H38" i="8" s="1"/>
  <c r="I38" i="8" s="1"/>
  <c r="J38" i="8" s="1"/>
  <c r="F39" i="8"/>
  <c r="F40" i="8"/>
  <c r="G40" i="8" s="1"/>
  <c r="F41" i="8"/>
  <c r="G41" i="8" s="1"/>
  <c r="F42" i="8"/>
  <c r="G42" i="8" s="1"/>
  <c r="F43" i="8"/>
  <c r="G43" i="8" s="1"/>
  <c r="F44" i="8"/>
  <c r="G44" i="8" s="1"/>
  <c r="F45" i="8"/>
  <c r="F46" i="8"/>
  <c r="G46" i="8" s="1"/>
  <c r="F47" i="8"/>
  <c r="G47" i="8" s="1"/>
  <c r="F48" i="8"/>
  <c r="G48" i="8" s="1"/>
  <c r="F49" i="8"/>
  <c r="F50" i="8"/>
  <c r="G50" i="8" s="1"/>
  <c r="F51" i="8"/>
  <c r="F52" i="8"/>
  <c r="F53" i="8"/>
  <c r="G53" i="8" s="1"/>
  <c r="F54" i="8"/>
  <c r="G54" i="8" s="1"/>
  <c r="H54" i="8" s="1"/>
  <c r="I54" i="8" s="1"/>
  <c r="J54" i="8" s="1"/>
  <c r="F55" i="8"/>
  <c r="F56" i="8"/>
  <c r="G56" i="8" s="1"/>
  <c r="F57" i="8"/>
  <c r="G57" i="8" s="1"/>
  <c r="F58" i="8"/>
  <c r="G58" i="8" s="1"/>
  <c r="F59" i="8"/>
  <c r="G59" i="8" s="1"/>
  <c r="F60" i="8"/>
  <c r="G60" i="8" s="1"/>
  <c r="F61" i="8"/>
  <c r="G61" i="8" s="1"/>
  <c r="F62" i="8"/>
  <c r="G62" i="8" s="1"/>
  <c r="F63" i="8"/>
  <c r="G63" i="8" s="1"/>
  <c r="F64" i="8"/>
  <c r="F65" i="8"/>
  <c r="G65" i="8" s="1"/>
  <c r="F66" i="8"/>
  <c r="G66" i="8" s="1"/>
  <c r="F67" i="8"/>
  <c r="F68" i="8"/>
  <c r="F69" i="8"/>
  <c r="G69" i="8" s="1"/>
  <c r="F70" i="8"/>
  <c r="G70" i="8" s="1"/>
  <c r="H70" i="8" s="1"/>
  <c r="I70" i="8" s="1"/>
  <c r="J70" i="8" s="1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H40" i="8"/>
  <c r="H43" i="8"/>
  <c r="I43" i="8" s="1"/>
  <c r="J43" i="8" s="1"/>
  <c r="I40" i="8" l="1"/>
  <c r="J40" i="8" s="1"/>
  <c r="G117" i="8"/>
  <c r="J117" i="8"/>
  <c r="G68" i="8"/>
  <c r="G99" i="8"/>
  <c r="H99" i="8" s="1"/>
  <c r="I99" i="8" s="1"/>
  <c r="J99" i="8"/>
  <c r="G67" i="8"/>
  <c r="H67" i="8" s="1"/>
  <c r="I67" i="8" s="1"/>
  <c r="J67" i="8" s="1"/>
  <c r="J114" i="8"/>
  <c r="G114" i="8"/>
  <c r="H114" i="8" s="1"/>
  <c r="I114" i="8" s="1"/>
  <c r="G82" i="8"/>
  <c r="H82" i="8" s="1"/>
  <c r="I82" i="8" s="1"/>
  <c r="J82" i="8"/>
  <c r="G81" i="8"/>
  <c r="H81" i="8" s="1"/>
  <c r="I81" i="8" s="1"/>
  <c r="J81" i="8"/>
  <c r="J112" i="8"/>
  <c r="G112" i="8"/>
  <c r="H112" i="8" s="1"/>
  <c r="I112" i="8" s="1"/>
  <c r="G78" i="8"/>
  <c r="H78" i="8" s="1"/>
  <c r="I78" i="8" s="1"/>
  <c r="J78" i="8"/>
  <c r="G103" i="8"/>
  <c r="H103" i="8" s="1"/>
  <c r="I103" i="8" s="1"/>
  <c r="J103" i="8"/>
  <c r="G39" i="8"/>
  <c r="G116" i="8"/>
  <c r="H116" i="8" s="1"/>
  <c r="I116" i="8" s="1"/>
  <c r="J116" i="8"/>
  <c r="J115" i="8"/>
  <c r="G115" i="8"/>
  <c r="H115" i="8" s="1"/>
  <c r="I115" i="8" s="1"/>
  <c r="G49" i="8"/>
  <c r="H49" i="8" s="1"/>
  <c r="I49" i="8" s="1"/>
  <c r="J49" i="8" s="1"/>
  <c r="J80" i="8"/>
  <c r="G80" i="8"/>
  <c r="H80" i="8" s="1"/>
  <c r="I80" i="8" s="1"/>
  <c r="J92" i="8"/>
  <c r="G92" i="8"/>
  <c r="H92" i="8" s="1"/>
  <c r="I92" i="8" s="1"/>
  <c r="G107" i="8"/>
  <c r="J107" i="8"/>
  <c r="G91" i="8"/>
  <c r="H91" i="8" s="1"/>
  <c r="I91" i="8" s="1"/>
  <c r="J91" i="8"/>
  <c r="G75" i="8"/>
  <c r="H75" i="8" s="1"/>
  <c r="I75" i="8" s="1"/>
  <c r="J75" i="8" s="1"/>
  <c r="G71" i="8"/>
  <c r="H71" i="8" s="1"/>
  <c r="I71" i="8" s="1"/>
  <c r="J71" i="8" s="1"/>
  <c r="G102" i="8"/>
  <c r="J102" i="8"/>
  <c r="G101" i="8"/>
  <c r="H101" i="8" s="1"/>
  <c r="I101" i="8" s="1"/>
  <c r="J101" i="8"/>
  <c r="G85" i="8"/>
  <c r="H85" i="8" s="1"/>
  <c r="I85" i="8" s="1"/>
  <c r="J85" i="8"/>
  <c r="G100" i="8"/>
  <c r="H100" i="8" s="1"/>
  <c r="I100" i="8" s="1"/>
  <c r="J100" i="8"/>
  <c r="I23" i="8"/>
  <c r="J23" i="8" s="1"/>
  <c r="G51" i="8"/>
  <c r="H51" i="8" s="1"/>
  <c r="I51" i="8" s="1"/>
  <c r="J51" i="8" s="1"/>
  <c r="J97" i="8"/>
  <c r="G97" i="8"/>
  <c r="H97" i="8" s="1"/>
  <c r="I97" i="8" s="1"/>
  <c r="G33" i="8"/>
  <c r="H33" i="8" s="1"/>
  <c r="I33" i="8" s="1"/>
  <c r="J33" i="8" s="1"/>
  <c r="G96" i="8"/>
  <c r="H96" i="8" s="1"/>
  <c r="I96" i="8" s="1"/>
  <c r="J96" i="8"/>
  <c r="J95" i="8"/>
  <c r="G95" i="8"/>
  <c r="G79" i="8"/>
  <c r="J79" i="8"/>
  <c r="J109" i="8"/>
  <c r="G109" i="8"/>
  <c r="H109" i="8" s="1"/>
  <c r="I109" i="8" s="1"/>
  <c r="J77" i="8"/>
  <c r="G77" i="8"/>
  <c r="H77" i="8" s="1"/>
  <c r="I77" i="8" s="1"/>
  <c r="G108" i="8"/>
  <c r="H108" i="8" s="1"/>
  <c r="I108" i="8" s="1"/>
  <c r="J108" i="8"/>
  <c r="J106" i="8"/>
  <c r="G106" i="8"/>
  <c r="H106" i="8" s="1"/>
  <c r="I106" i="8" s="1"/>
  <c r="G87" i="8"/>
  <c r="J87" i="8"/>
  <c r="G118" i="8"/>
  <c r="J118" i="8"/>
  <c r="G52" i="8"/>
  <c r="G83" i="8"/>
  <c r="H83" i="8" s="1"/>
  <c r="I83" i="8" s="1"/>
  <c r="J83" i="8"/>
  <c r="G98" i="8"/>
  <c r="J98" i="8"/>
  <c r="J113" i="8"/>
  <c r="G113" i="8"/>
  <c r="H113" i="8" s="1"/>
  <c r="I113" i="8" s="1"/>
  <c r="G64" i="8"/>
  <c r="H64" i="8" s="1"/>
  <c r="I64" i="8" s="1"/>
  <c r="J64" i="8" s="1"/>
  <c r="G110" i="8"/>
  <c r="H110" i="8" s="1"/>
  <c r="I110" i="8" s="1"/>
  <c r="J110" i="8"/>
  <c r="J76" i="8"/>
  <c r="G76" i="8"/>
  <c r="H76" i="8" s="1"/>
  <c r="I76" i="8" s="1"/>
  <c r="G122" i="8"/>
  <c r="H122" i="8" s="1"/>
  <c r="I122" i="8" s="1"/>
  <c r="J122" i="8"/>
  <c r="J90" i="8"/>
  <c r="G90" i="8"/>
  <c r="J105" i="8"/>
  <c r="G105" i="8"/>
  <c r="J89" i="8"/>
  <c r="G89" i="8"/>
  <c r="H89" i="8" s="1"/>
  <c r="I89" i="8" s="1"/>
  <c r="G73" i="8"/>
  <c r="J119" i="8"/>
  <c r="G119" i="8"/>
  <c r="H119" i="8" s="1"/>
  <c r="G55" i="8"/>
  <c r="H55" i="8" s="1"/>
  <c r="I55" i="8" s="1"/>
  <c r="J55" i="8" s="1"/>
  <c r="J86" i="8"/>
  <c r="G86" i="8"/>
  <c r="H86" i="8" s="1"/>
  <c r="I86" i="8" s="1"/>
  <c r="H22" i="8"/>
  <c r="I22" i="8" s="1"/>
  <c r="J22" i="8" s="1"/>
  <c r="G84" i="8"/>
  <c r="H84" i="8" s="1"/>
  <c r="J84" i="8"/>
  <c r="G36" i="8"/>
  <c r="H36" i="8" s="1"/>
  <c r="G35" i="8"/>
  <c r="H35" i="8" s="1"/>
  <c r="I35" i="8" s="1"/>
  <c r="J35" i="8" s="1"/>
  <c r="G111" i="8"/>
  <c r="J111" i="8"/>
  <c r="J94" i="8"/>
  <c r="G94" i="8"/>
  <c r="J93" i="8"/>
  <c r="G93" i="8"/>
  <c r="G45" i="8"/>
  <c r="H45" i="8" s="1"/>
  <c r="I45" i="8" s="1"/>
  <c r="J45" i="8" s="1"/>
  <c r="G74" i="8"/>
  <c r="H74" i="8" s="1"/>
  <c r="I74" i="8" s="1"/>
  <c r="J74" i="8" s="1"/>
  <c r="J121" i="8"/>
  <c r="G121" i="8"/>
  <c r="H121" i="8" s="1"/>
  <c r="I121" i="8" s="1"/>
  <c r="J120" i="8"/>
  <c r="G120" i="8"/>
  <c r="H120" i="8" s="1"/>
  <c r="I120" i="8" s="1"/>
  <c r="J104" i="8"/>
  <c r="G104" i="8"/>
  <c r="H104" i="8" s="1"/>
  <c r="I104" i="8" s="1"/>
  <c r="J88" i="8"/>
  <c r="G88" i="8"/>
  <c r="G72" i="8"/>
  <c r="J72" i="8" s="1"/>
  <c r="H27" i="8"/>
  <c r="I27" i="8" s="1"/>
  <c r="J27" i="8" s="1"/>
  <c r="H42" i="8"/>
  <c r="I42" i="8" s="1"/>
  <c r="J42" i="8" s="1"/>
  <c r="H65" i="8"/>
  <c r="I65" i="8" s="1"/>
  <c r="J65" i="8" s="1"/>
  <c r="H62" i="8"/>
  <c r="I62" i="8" s="1"/>
  <c r="J62" i="8" s="1"/>
  <c r="H90" i="8"/>
  <c r="I90" i="8" s="1"/>
  <c r="H94" i="8"/>
  <c r="I94" i="8" s="1"/>
  <c r="H58" i="8"/>
  <c r="I58" i="8" s="1"/>
  <c r="J58" i="8" s="1"/>
  <c r="H30" i="8"/>
  <c r="I30" i="8" s="1"/>
  <c r="J30" i="8" s="1"/>
  <c r="H26" i="8"/>
  <c r="I26" i="8" s="1"/>
  <c r="J26" i="8" s="1"/>
  <c r="H37" i="8"/>
  <c r="I37" i="8" s="1"/>
  <c r="J37" i="8" s="1"/>
  <c r="H117" i="8"/>
  <c r="I117" i="8" s="1"/>
  <c r="H53" i="8"/>
  <c r="I53" i="8" s="1"/>
  <c r="J53" i="8" s="1"/>
  <c r="H69" i="8"/>
  <c r="I69" i="8" s="1"/>
  <c r="J69" i="8" s="1"/>
  <c r="H98" i="8"/>
  <c r="I98" i="8" s="1"/>
  <c r="H66" i="8"/>
  <c r="I66" i="8" s="1"/>
  <c r="J66" i="8" s="1"/>
  <c r="H50" i="8"/>
  <c r="I50" i="8" s="1"/>
  <c r="J50" i="8" s="1"/>
  <c r="H34" i="8"/>
  <c r="I34" i="8" s="1"/>
  <c r="J34" i="8" s="1"/>
  <c r="H24" i="8"/>
  <c r="I24" i="8" s="1"/>
  <c r="J24" i="8" s="1"/>
  <c r="H48" i="8"/>
  <c r="I48" i="8" s="1"/>
  <c r="J48" i="8" s="1"/>
  <c r="H46" i="8"/>
  <c r="I46" i="8" s="1"/>
  <c r="J46" i="8" s="1"/>
  <c r="H60" i="8"/>
  <c r="I60" i="8" s="1"/>
  <c r="J60" i="8" s="1"/>
  <c r="H105" i="8"/>
  <c r="I105" i="8" s="1"/>
  <c r="H57" i="8"/>
  <c r="I57" i="8" s="1"/>
  <c r="J57" i="8" s="1"/>
  <c r="H41" i="8"/>
  <c r="I41" i="8" s="1"/>
  <c r="J41" i="8" s="1"/>
  <c r="H25" i="8"/>
  <c r="I25" i="8" s="1"/>
  <c r="J25" i="8" s="1"/>
  <c r="H32" i="8"/>
  <c r="I32" i="8" s="1"/>
  <c r="J32" i="8" s="1"/>
  <c r="H93" i="8"/>
  <c r="I93" i="8" s="1"/>
  <c r="H61" i="8"/>
  <c r="I61" i="8" s="1"/>
  <c r="J61" i="8" s="1"/>
  <c r="H29" i="8"/>
  <c r="I29" i="8" s="1"/>
  <c r="J29" i="8" s="1"/>
  <c r="H56" i="8"/>
  <c r="I56" i="8" s="1"/>
  <c r="J56" i="8" s="1"/>
  <c r="H72" i="8" l="1"/>
  <c r="I72" i="8" s="1"/>
  <c r="H52" i="8"/>
  <c r="I52" i="8" s="1"/>
  <c r="J52" i="8" s="1"/>
  <c r="H107" i="8"/>
  <c r="I107" i="8" s="1"/>
  <c r="I119" i="8"/>
  <c r="H102" i="8"/>
  <c r="I102" i="8" s="1"/>
  <c r="H88" i="8"/>
  <c r="I88" i="8" s="1"/>
  <c r="H68" i="8"/>
  <c r="I68" i="8" s="1"/>
  <c r="J68" i="8" s="1"/>
  <c r="I36" i="8"/>
  <c r="J36" i="8" s="1"/>
  <c r="H39" i="8"/>
  <c r="I39" i="8" s="1"/>
  <c r="J39" i="8" s="1"/>
  <c r="H118" i="8"/>
  <c r="I118" i="8" s="1"/>
  <c r="H87" i="8"/>
  <c r="I87" i="8" s="1"/>
  <c r="I84" i="8"/>
  <c r="H59" i="8"/>
  <c r="I59" i="8" s="1"/>
  <c r="J59" i="8" s="1"/>
  <c r="H73" i="8"/>
  <c r="I73" i="8" s="1"/>
  <c r="J73" i="8" s="1"/>
  <c r="H31" i="8"/>
  <c r="I31" i="8" s="1"/>
  <c r="J31" i="8" s="1"/>
  <c r="H47" i="8"/>
  <c r="I47" i="8" s="1"/>
  <c r="J47" i="8" s="1"/>
  <c r="H44" i="8"/>
  <c r="I44" i="8" s="1"/>
  <c r="J44" i="8" s="1"/>
  <c r="H63" i="8"/>
  <c r="I63" i="8" s="1"/>
  <c r="J63" i="8" s="1"/>
  <c r="H79" i="8"/>
  <c r="I79" i="8" s="1"/>
  <c r="H95" i="8"/>
  <c r="I95" i="8" s="1"/>
  <c r="H111" i="8"/>
  <c r="I111" i="8" s="1"/>
  <c r="H28" i="8"/>
  <c r="I28" i="8" s="1"/>
  <c r="J28" i="8" s="1"/>
</calcChain>
</file>

<file path=xl/sharedStrings.xml><?xml version="1.0" encoding="utf-8"?>
<sst xmlns="http://schemas.openxmlformats.org/spreadsheetml/2006/main" count="114" uniqueCount="112">
  <si>
    <t>Contracts</t>
  </si>
  <si>
    <t>Strike</t>
  </si>
  <si>
    <t>226.0 Put</t>
  </si>
  <si>
    <t>227.0 Put</t>
  </si>
  <si>
    <t>228.0 Put</t>
  </si>
  <si>
    <t>229.0 Put</t>
  </si>
  <si>
    <t>230.0 Put</t>
  </si>
  <si>
    <t>231.0 Put</t>
  </si>
  <si>
    <t>232.0 Put</t>
  </si>
  <si>
    <t>233.0 Put</t>
  </si>
  <si>
    <t>234.0 Put</t>
  </si>
  <si>
    <t>235.0 Put</t>
  </si>
  <si>
    <t>236.0 Put</t>
  </si>
  <si>
    <t>237.0 Put</t>
  </si>
  <si>
    <t>238.0 Put</t>
  </si>
  <si>
    <t>239.0 Put</t>
  </si>
  <si>
    <t>240.0 Put</t>
  </si>
  <si>
    <t>241.0 Put</t>
  </si>
  <si>
    <t>242.0 Put</t>
  </si>
  <si>
    <t>243.0 Put</t>
  </si>
  <si>
    <t>244.0 Put</t>
  </si>
  <si>
    <t>245.0 Put</t>
  </si>
  <si>
    <t>246.0 Put</t>
  </si>
  <si>
    <t>247.0 Put</t>
  </si>
  <si>
    <t>248.0 Put</t>
  </si>
  <si>
    <t>249.0 Put</t>
  </si>
  <si>
    <t>250.0 Put</t>
  </si>
  <si>
    <t>251.0 Put</t>
  </si>
  <si>
    <t>252.0 Put</t>
  </si>
  <si>
    <t>253.0 Put</t>
  </si>
  <si>
    <t>254.0 Put</t>
  </si>
  <si>
    <t>255.0 Put</t>
  </si>
  <si>
    <t>256.0 Put</t>
  </si>
  <si>
    <t>257.0 Put</t>
  </si>
  <si>
    <t>258.0 Put</t>
  </si>
  <si>
    <t>259.0 Put</t>
  </si>
  <si>
    <t>260.0 Put</t>
  </si>
  <si>
    <t>261.0 Put</t>
  </si>
  <si>
    <t>262.0 Put</t>
  </si>
  <si>
    <t>263.0 Put</t>
  </si>
  <si>
    <t>264.0 Put</t>
  </si>
  <si>
    <t>265.0 Put</t>
  </si>
  <si>
    <t>266.0 Put</t>
  </si>
  <si>
    <t>267.0 Put</t>
  </si>
  <si>
    <t>268.0 Put</t>
  </si>
  <si>
    <t>269.0 Put</t>
  </si>
  <si>
    <t>270.0 Put</t>
  </si>
  <si>
    <t>271.0 Put</t>
  </si>
  <si>
    <t>272.0 Put</t>
  </si>
  <si>
    <t>273.0 Put</t>
  </si>
  <si>
    <t>274.0 Put</t>
  </si>
  <si>
    <t>275.0 Put</t>
  </si>
  <si>
    <t>276.0 Put</t>
  </si>
  <si>
    <t>277.0 Put</t>
  </si>
  <si>
    <t>278.0 Put</t>
  </si>
  <si>
    <t>279.0 Put</t>
  </si>
  <si>
    <t>280.0 Put</t>
  </si>
  <si>
    <t>281.0 Put</t>
  </si>
  <si>
    <t>282.0 Put</t>
  </si>
  <si>
    <t>283.0 Put</t>
  </si>
  <si>
    <t>284.0 Put</t>
  </si>
  <si>
    <t>285.0 Put</t>
  </si>
  <si>
    <t>286.0 Put</t>
  </si>
  <si>
    <t>287.0 Put</t>
  </si>
  <si>
    <t>288.0 Put</t>
  </si>
  <si>
    <t>289.0 Put</t>
  </si>
  <si>
    <t>290.0 Put</t>
  </si>
  <si>
    <t>291.0 Put</t>
  </si>
  <si>
    <t>292.0 Put</t>
  </si>
  <si>
    <t>293.0 Put</t>
  </si>
  <si>
    <t>294.0 Put</t>
  </si>
  <si>
    <t>295.0 Put</t>
  </si>
  <si>
    <t>296.0 Put</t>
  </si>
  <si>
    <t>297.0 Put</t>
  </si>
  <si>
    <t>298.0 Put</t>
  </si>
  <si>
    <t>299.0 Put</t>
  </si>
  <si>
    <t>300.0 Put</t>
  </si>
  <si>
    <t>301.0 Put</t>
  </si>
  <si>
    <t>302.0 Put</t>
  </si>
  <si>
    <t>303.0 Put</t>
  </si>
  <si>
    <t>304.0 Put</t>
  </si>
  <si>
    <t>305.0 Put</t>
  </si>
  <si>
    <t>306.0 Put</t>
  </si>
  <si>
    <t>307.0 Put</t>
  </si>
  <si>
    <t>308.0 Put</t>
  </si>
  <si>
    <t>309.0 Put</t>
  </si>
  <si>
    <t>310.0 Put</t>
  </si>
  <si>
    <t>311.0 Put</t>
  </si>
  <si>
    <t>312.0 Put</t>
  </si>
  <si>
    <t>313.0 Put</t>
  </si>
  <si>
    <t>314.0 Put</t>
  </si>
  <si>
    <t>315.0 Put</t>
  </si>
  <si>
    <t>316.0 Put</t>
  </si>
  <si>
    <t>317.0 Put</t>
  </si>
  <si>
    <t>318.0 Put</t>
  </si>
  <si>
    <t>319.0 Put</t>
  </si>
  <si>
    <t>320.0 Put</t>
  </si>
  <si>
    <t>321.0 Put</t>
  </si>
  <si>
    <t>322.0 Put</t>
  </si>
  <si>
    <t>323.0 Put</t>
  </si>
  <si>
    <t>324.0 Put</t>
  </si>
  <si>
    <t>325.0 Put</t>
  </si>
  <si>
    <t>DDD percentage change</t>
  </si>
  <si>
    <t>DDD Value</t>
  </si>
  <si>
    <t>Last Price</t>
  </si>
  <si>
    <t>time value</t>
  </si>
  <si>
    <t>instristic value</t>
  </si>
  <si>
    <t>premium</t>
  </si>
  <si>
    <t>value</t>
  </si>
  <si>
    <t>Ask</t>
  </si>
  <si>
    <t>Bid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</si>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</sst>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0" fontId="0" fillId="0" borderId="0" xfId="0" applyNumberFormat="1" applyAlignment="1">
      <alignment horizontal="right" vertical="center" indent="1"/>
    </xf>
    <xf numFmtId="164" fontId="0" fillId="0" borderId="0" xfId="0" applyNumberFormat="1" applyAlignment="1">
      <alignment horizontal="right" vertical="center" inden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 wrapText="1" indent="1"/>
    </xf>
    <xf numFmtId="0" fontId="0" fillId="0" borderId="0" xfId="0" applyAlignment="1">
      <alignment horizontal="right" vertical="center" indent="1"/>
    </xf>
    <xf numFmtId="3" fontId="0" fillId="0" borderId="10" xfId="0" applyNumberFormat="1" applyBorder="1" applyAlignment="1">
      <alignment horizontal="right" vertical="center" indent="1"/>
    </xf>
    <xf numFmtId="2" fontId="0" fillId="0" borderId="10" xfId="0" applyNumberFormat="1" applyBorder="1" applyAlignment="1">
      <alignment horizontal="right" vertical="center" indent="1"/>
    </xf>
    <xf numFmtId="2" fontId="0" fillId="0" borderId="0" xfId="0" applyNumberFormat="1" applyAlignment="1">
      <alignment horizontal="right" vertical="center" indent="1"/>
    </xf>
    <xf numFmtId="0" fontId="0" fillId="0" borderId="11" xfId="0" applyBorder="1" applyAlignment="1">
      <alignment horizontal="right" vertical="center" indent="1"/>
    </xf>
    <xf numFmtId="4" fontId="0" fillId="0" borderId="0" xfId="0" applyNumberFormat="1"/>
    <xf numFmtId="2" fontId="0" fillId="0" borderId="0" xfId="0" applyNumberFormat="1"/>
    <xf numFmtId="10" fontId="0" fillId="0" borderId="12" xfId="0" applyNumberFormat="1" applyBorder="1" applyAlignment="1">
      <alignment horizontal="right" vertical="center" indent="1"/>
    </xf>
    <xf numFmtId="2" fontId="0" fillId="0" borderId="13" xfId="0" applyNumberFormat="1" applyBorder="1" applyAlignment="1">
      <alignment horizontal="right" vertical="center" indent="1"/>
    </xf>
    <xf numFmtId="4" fontId="0" fillId="0" borderId="13" xfId="0" applyNumberFormat="1" applyBorder="1"/>
    <xf numFmtId="2" fontId="0" fillId="0" borderId="13" xfId="0" applyNumberFormat="1" applyBorder="1"/>
    <xf numFmtId="4" fontId="0" fillId="0" borderId="14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ED4D4"/>
      <color rgb="FFE872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'Sheet1 (5)'!$F$22:$F$122</c:f>
              <c:numCache>
                <c:formatCode>0.00</c:formatCode>
                <c:ptCount val="101"/>
                <c:pt idx="0">
                  <c:v>130</c:v>
                </c:pt>
                <c:pt idx="1">
                  <c:v>132.6</c:v>
                </c:pt>
                <c:pt idx="2">
                  <c:v>135.20000000000002</c:v>
                </c:pt>
                <c:pt idx="3">
                  <c:v>137.80000000000001</c:v>
                </c:pt>
                <c:pt idx="4">
                  <c:v>140.4</c:v>
                </c:pt>
                <c:pt idx="5">
                  <c:v>143</c:v>
                </c:pt>
                <c:pt idx="6">
                  <c:v>145.60000000000002</c:v>
                </c:pt>
                <c:pt idx="7">
                  <c:v>148.20000000000002</c:v>
                </c:pt>
                <c:pt idx="8">
                  <c:v>150.80000000000001</c:v>
                </c:pt>
                <c:pt idx="9">
                  <c:v>153.40000000000003</c:v>
                </c:pt>
                <c:pt idx="10">
                  <c:v>156</c:v>
                </c:pt>
                <c:pt idx="11">
                  <c:v>158.6</c:v>
                </c:pt>
                <c:pt idx="12">
                  <c:v>161.19999999999999</c:v>
                </c:pt>
                <c:pt idx="13">
                  <c:v>163.80000000000001</c:v>
                </c:pt>
                <c:pt idx="14">
                  <c:v>166.4</c:v>
                </c:pt>
                <c:pt idx="15">
                  <c:v>169</c:v>
                </c:pt>
                <c:pt idx="16">
                  <c:v>171.59999999999997</c:v>
                </c:pt>
                <c:pt idx="17">
                  <c:v>174.2</c:v>
                </c:pt>
                <c:pt idx="18">
                  <c:v>176.79999999999998</c:v>
                </c:pt>
                <c:pt idx="19">
                  <c:v>179.39999999999998</c:v>
                </c:pt>
                <c:pt idx="20">
                  <c:v>182</c:v>
                </c:pt>
                <c:pt idx="21">
                  <c:v>184.6</c:v>
                </c:pt>
                <c:pt idx="22">
                  <c:v>187.2</c:v>
                </c:pt>
                <c:pt idx="23">
                  <c:v>189.79999999999998</c:v>
                </c:pt>
                <c:pt idx="24">
                  <c:v>192.4</c:v>
                </c:pt>
                <c:pt idx="25">
                  <c:v>195</c:v>
                </c:pt>
                <c:pt idx="26">
                  <c:v>197.6</c:v>
                </c:pt>
                <c:pt idx="27">
                  <c:v>200.20000000000002</c:v>
                </c:pt>
                <c:pt idx="28">
                  <c:v>202.8</c:v>
                </c:pt>
                <c:pt idx="29">
                  <c:v>205.4</c:v>
                </c:pt>
                <c:pt idx="30">
                  <c:v>208</c:v>
                </c:pt>
                <c:pt idx="31">
                  <c:v>210.60000000000002</c:v>
                </c:pt>
                <c:pt idx="32">
                  <c:v>213.20000000000002</c:v>
                </c:pt>
                <c:pt idx="33">
                  <c:v>215.79999999999998</c:v>
                </c:pt>
                <c:pt idx="34">
                  <c:v>218.4</c:v>
                </c:pt>
                <c:pt idx="35">
                  <c:v>221</c:v>
                </c:pt>
                <c:pt idx="36">
                  <c:v>223.6</c:v>
                </c:pt>
                <c:pt idx="37">
                  <c:v>226.2</c:v>
                </c:pt>
                <c:pt idx="38">
                  <c:v>228.8</c:v>
                </c:pt>
                <c:pt idx="39">
                  <c:v>231.4</c:v>
                </c:pt>
                <c:pt idx="40">
                  <c:v>234</c:v>
                </c:pt>
                <c:pt idx="41">
                  <c:v>236.6</c:v>
                </c:pt>
                <c:pt idx="42">
                  <c:v>239.20000000000002</c:v>
                </c:pt>
                <c:pt idx="43">
                  <c:v>241.79999999999998</c:v>
                </c:pt>
                <c:pt idx="44">
                  <c:v>244.39999999999998</c:v>
                </c:pt>
                <c:pt idx="45">
                  <c:v>247</c:v>
                </c:pt>
                <c:pt idx="46">
                  <c:v>249.6</c:v>
                </c:pt>
                <c:pt idx="47">
                  <c:v>252.2</c:v>
                </c:pt>
                <c:pt idx="48">
                  <c:v>254.79999999999998</c:v>
                </c:pt>
                <c:pt idx="49">
                  <c:v>257.39999999999998</c:v>
                </c:pt>
                <c:pt idx="50">
                  <c:v>260</c:v>
                </c:pt>
                <c:pt idx="51">
                  <c:v>262.60000000000002</c:v>
                </c:pt>
                <c:pt idx="52">
                  <c:v>265.2</c:v>
                </c:pt>
                <c:pt idx="53">
                  <c:v>267.8</c:v>
                </c:pt>
                <c:pt idx="54">
                  <c:v>270.40000000000003</c:v>
                </c:pt>
                <c:pt idx="55">
                  <c:v>273</c:v>
                </c:pt>
                <c:pt idx="56">
                  <c:v>275.60000000000002</c:v>
                </c:pt>
                <c:pt idx="57">
                  <c:v>278.20000000000027</c:v>
                </c:pt>
                <c:pt idx="58">
                  <c:v>280.80000000000024</c:v>
                </c:pt>
                <c:pt idx="59">
                  <c:v>283.40000000000026</c:v>
                </c:pt>
                <c:pt idx="60">
                  <c:v>286.00000000000023</c:v>
                </c:pt>
                <c:pt idx="61">
                  <c:v>288.60000000000025</c:v>
                </c:pt>
                <c:pt idx="62">
                  <c:v>291.20000000000027</c:v>
                </c:pt>
                <c:pt idx="63">
                  <c:v>293.80000000000024</c:v>
                </c:pt>
                <c:pt idx="64">
                  <c:v>296.40000000000026</c:v>
                </c:pt>
                <c:pt idx="65">
                  <c:v>299.00000000000028</c:v>
                </c:pt>
                <c:pt idx="66">
                  <c:v>301.60000000000025</c:v>
                </c:pt>
                <c:pt idx="67">
                  <c:v>304.20000000000027</c:v>
                </c:pt>
                <c:pt idx="68">
                  <c:v>306.8000000000003</c:v>
                </c:pt>
                <c:pt idx="69">
                  <c:v>309.40000000000026</c:v>
                </c:pt>
                <c:pt idx="70">
                  <c:v>312.00000000000028</c:v>
                </c:pt>
                <c:pt idx="71">
                  <c:v>314.60000000000031</c:v>
                </c:pt>
                <c:pt idx="72">
                  <c:v>317.20000000000027</c:v>
                </c:pt>
                <c:pt idx="73">
                  <c:v>319.8000000000003</c:v>
                </c:pt>
                <c:pt idx="74">
                  <c:v>322.40000000000026</c:v>
                </c:pt>
                <c:pt idx="75">
                  <c:v>325.00000000000023</c:v>
                </c:pt>
                <c:pt idx="76">
                  <c:v>327.60000000000031</c:v>
                </c:pt>
                <c:pt idx="77">
                  <c:v>330.20000000000022</c:v>
                </c:pt>
                <c:pt idx="78">
                  <c:v>332.8000000000003</c:v>
                </c:pt>
                <c:pt idx="79">
                  <c:v>335.40000000000026</c:v>
                </c:pt>
                <c:pt idx="80">
                  <c:v>338.00000000000023</c:v>
                </c:pt>
                <c:pt idx="81">
                  <c:v>340.60000000000025</c:v>
                </c:pt>
                <c:pt idx="82">
                  <c:v>343.20000000000027</c:v>
                </c:pt>
                <c:pt idx="83">
                  <c:v>345.80000000000024</c:v>
                </c:pt>
                <c:pt idx="84">
                  <c:v>348.40000000000026</c:v>
                </c:pt>
                <c:pt idx="85">
                  <c:v>351.00000000000023</c:v>
                </c:pt>
                <c:pt idx="86">
                  <c:v>353.60000000000025</c:v>
                </c:pt>
                <c:pt idx="87">
                  <c:v>356.20000000000027</c:v>
                </c:pt>
                <c:pt idx="88">
                  <c:v>358.80000000000024</c:v>
                </c:pt>
                <c:pt idx="89">
                  <c:v>361.40000000000026</c:v>
                </c:pt>
                <c:pt idx="90">
                  <c:v>364.00000000000028</c:v>
                </c:pt>
                <c:pt idx="91">
                  <c:v>366.60000000000025</c:v>
                </c:pt>
                <c:pt idx="92">
                  <c:v>369.20000000000027</c:v>
                </c:pt>
                <c:pt idx="93">
                  <c:v>371.8000000000003</c:v>
                </c:pt>
                <c:pt idx="94">
                  <c:v>374.40000000000026</c:v>
                </c:pt>
                <c:pt idx="95">
                  <c:v>377.00000000000028</c:v>
                </c:pt>
                <c:pt idx="96">
                  <c:v>379.60000000000031</c:v>
                </c:pt>
                <c:pt idx="97">
                  <c:v>382.20000000000027</c:v>
                </c:pt>
                <c:pt idx="98">
                  <c:v>384.80000000000024</c:v>
                </c:pt>
                <c:pt idx="99">
                  <c:v>387.40000000000026</c:v>
                </c:pt>
                <c:pt idx="100">
                  <c:v>390</c:v>
                </c:pt>
              </c:numCache>
            </c:numRef>
          </c:xVal>
          <c:yVal>
            <c:numRef>
              <c:f>'Sheet1 (5)'!$J$22:$J$122</c:f>
              <c:numCache>
                <c:formatCode>#,##0.00</c:formatCode>
                <c:ptCount val="101"/>
                <c:pt idx="0">
                  <c:v>45405.319999999483</c:v>
                </c:pt>
                <c:pt idx="1">
                  <c:v>44365.319999999483</c:v>
                </c:pt>
                <c:pt idx="2">
                  <c:v>43325.319999999476</c:v>
                </c:pt>
                <c:pt idx="3">
                  <c:v>42285.319999999476</c:v>
                </c:pt>
                <c:pt idx="4">
                  <c:v>41245.319999999483</c:v>
                </c:pt>
                <c:pt idx="5">
                  <c:v>40205.319999999483</c:v>
                </c:pt>
                <c:pt idx="6">
                  <c:v>39165.319999999476</c:v>
                </c:pt>
                <c:pt idx="7">
                  <c:v>38125.319999999476</c:v>
                </c:pt>
                <c:pt idx="8">
                  <c:v>37085.319999999476</c:v>
                </c:pt>
                <c:pt idx="9">
                  <c:v>36045.319999999469</c:v>
                </c:pt>
                <c:pt idx="10">
                  <c:v>35005.319999999483</c:v>
                </c:pt>
                <c:pt idx="11">
                  <c:v>33965.319999999483</c:v>
                </c:pt>
                <c:pt idx="12">
                  <c:v>32925.31999999949</c:v>
                </c:pt>
                <c:pt idx="13">
                  <c:v>31885.319999999476</c:v>
                </c:pt>
                <c:pt idx="14">
                  <c:v>30845.319999999483</c:v>
                </c:pt>
                <c:pt idx="15">
                  <c:v>29805.319999999483</c:v>
                </c:pt>
                <c:pt idx="16">
                  <c:v>28765.319999999498</c:v>
                </c:pt>
                <c:pt idx="17">
                  <c:v>27725.31999999949</c:v>
                </c:pt>
                <c:pt idx="18">
                  <c:v>26685.31999999949</c:v>
                </c:pt>
                <c:pt idx="19">
                  <c:v>25645.31999999949</c:v>
                </c:pt>
                <c:pt idx="20">
                  <c:v>24605.319999999483</c:v>
                </c:pt>
                <c:pt idx="21">
                  <c:v>23565.319999999487</c:v>
                </c:pt>
                <c:pt idx="22">
                  <c:v>22525.319999999487</c:v>
                </c:pt>
                <c:pt idx="23">
                  <c:v>21485.31999999949</c:v>
                </c:pt>
                <c:pt idx="24">
                  <c:v>20445.319999999479</c:v>
                </c:pt>
                <c:pt idx="25">
                  <c:v>19405.319999999483</c:v>
                </c:pt>
                <c:pt idx="26">
                  <c:v>18365.319999999487</c:v>
                </c:pt>
                <c:pt idx="27">
                  <c:v>17325.319999999476</c:v>
                </c:pt>
                <c:pt idx="28">
                  <c:v>16285.319999999479</c:v>
                </c:pt>
                <c:pt idx="29">
                  <c:v>15245.319999999479</c:v>
                </c:pt>
                <c:pt idx="30">
                  <c:v>14205.319999999483</c:v>
                </c:pt>
                <c:pt idx="31">
                  <c:v>13165.319999999476</c:v>
                </c:pt>
                <c:pt idx="32">
                  <c:v>12125.319999999476</c:v>
                </c:pt>
                <c:pt idx="33">
                  <c:v>11085.31999999949</c:v>
                </c:pt>
                <c:pt idx="34">
                  <c:v>10045.319999999479</c:v>
                </c:pt>
                <c:pt idx="35">
                  <c:v>9005.3200000002107</c:v>
                </c:pt>
                <c:pt idx="36">
                  <c:v>7965.3200000002125</c:v>
                </c:pt>
                <c:pt idx="37">
                  <c:v>6925.3200000002143</c:v>
                </c:pt>
                <c:pt idx="38">
                  <c:v>5885.3200000002071</c:v>
                </c:pt>
                <c:pt idx="39">
                  <c:v>4845.3200000002089</c:v>
                </c:pt>
                <c:pt idx="40">
                  <c:v>3805.3200000002107</c:v>
                </c:pt>
                <c:pt idx="41">
                  <c:v>2765.3200000002125</c:v>
                </c:pt>
                <c:pt idx="42">
                  <c:v>1725.3200000002034</c:v>
                </c:pt>
                <c:pt idx="43">
                  <c:v>685.31999999985419</c:v>
                </c:pt>
                <c:pt idx="44">
                  <c:v>-354.68000000014399</c:v>
                </c:pt>
                <c:pt idx="45">
                  <c:v>-1394.6800000001531</c:v>
                </c:pt>
                <c:pt idx="46">
                  <c:v>-2434.6800000001513</c:v>
                </c:pt>
                <c:pt idx="47">
                  <c:v>-3474.6799999999666</c:v>
                </c:pt>
                <c:pt idx="48">
                  <c:v>-4514.6799999999639</c:v>
                </c:pt>
                <c:pt idx="49">
                  <c:v>-5554.6800000000076</c:v>
                </c:pt>
                <c:pt idx="50">
                  <c:v>-6594.6799999999994</c:v>
                </c:pt>
                <c:pt idx="51">
                  <c:v>-6594.6799999999994</c:v>
                </c:pt>
                <c:pt idx="52">
                  <c:v>-6594.6799999999994</c:v>
                </c:pt>
                <c:pt idx="53">
                  <c:v>-6594.6799999999994</c:v>
                </c:pt>
                <c:pt idx="54">
                  <c:v>-6594.6799999999994</c:v>
                </c:pt>
                <c:pt idx="55">
                  <c:v>-6594.6799999999994</c:v>
                </c:pt>
                <c:pt idx="56">
                  <c:v>-6594.6799999999994</c:v>
                </c:pt>
                <c:pt idx="57">
                  <c:v>-6594.6799999999994</c:v>
                </c:pt>
                <c:pt idx="58">
                  <c:v>-6594.6799999999994</c:v>
                </c:pt>
                <c:pt idx="59">
                  <c:v>-6594.6799999999994</c:v>
                </c:pt>
                <c:pt idx="60">
                  <c:v>-6594.6799999999994</c:v>
                </c:pt>
                <c:pt idx="61">
                  <c:v>-6594.6799999999994</c:v>
                </c:pt>
                <c:pt idx="62">
                  <c:v>-6594.6799999999994</c:v>
                </c:pt>
                <c:pt idx="63">
                  <c:v>-6594.6799999999994</c:v>
                </c:pt>
                <c:pt idx="64">
                  <c:v>-6594.6799999999994</c:v>
                </c:pt>
                <c:pt idx="65">
                  <c:v>-6594.6799999999994</c:v>
                </c:pt>
                <c:pt idx="66">
                  <c:v>-6594.6799999999994</c:v>
                </c:pt>
                <c:pt idx="67">
                  <c:v>-6594.6799999999994</c:v>
                </c:pt>
                <c:pt idx="68">
                  <c:v>-6594.6799999999994</c:v>
                </c:pt>
                <c:pt idx="69">
                  <c:v>-6594.6799999999994</c:v>
                </c:pt>
                <c:pt idx="70">
                  <c:v>-6594.6799999999994</c:v>
                </c:pt>
                <c:pt idx="71">
                  <c:v>-6594.6799999999994</c:v>
                </c:pt>
                <c:pt idx="72">
                  <c:v>-6594.6799999999994</c:v>
                </c:pt>
                <c:pt idx="73">
                  <c:v>-6594.6799999999994</c:v>
                </c:pt>
                <c:pt idx="74">
                  <c:v>-6594.6799999999994</c:v>
                </c:pt>
                <c:pt idx="75">
                  <c:v>-6594.6799999999994</c:v>
                </c:pt>
                <c:pt idx="76">
                  <c:v>-6594.6799999999994</c:v>
                </c:pt>
                <c:pt idx="77">
                  <c:v>-6594.6799999999994</c:v>
                </c:pt>
                <c:pt idx="78">
                  <c:v>-6594.6799999999994</c:v>
                </c:pt>
                <c:pt idx="79">
                  <c:v>-6594.6799999999994</c:v>
                </c:pt>
                <c:pt idx="80">
                  <c:v>-6594.6799999999994</c:v>
                </c:pt>
                <c:pt idx="81">
                  <c:v>-6594.6799999999994</c:v>
                </c:pt>
                <c:pt idx="82">
                  <c:v>-6594.6799999999994</c:v>
                </c:pt>
                <c:pt idx="83">
                  <c:v>-6594.6799999999994</c:v>
                </c:pt>
                <c:pt idx="84">
                  <c:v>-6594.6799999999994</c:v>
                </c:pt>
                <c:pt idx="85">
                  <c:v>-6594.6799999999994</c:v>
                </c:pt>
                <c:pt idx="86">
                  <c:v>-6594.6799999999994</c:v>
                </c:pt>
                <c:pt idx="87">
                  <c:v>-6594.6799999999994</c:v>
                </c:pt>
                <c:pt idx="88">
                  <c:v>-6594.6799999999994</c:v>
                </c:pt>
                <c:pt idx="89">
                  <c:v>-6594.6799999999994</c:v>
                </c:pt>
                <c:pt idx="90">
                  <c:v>-6594.6799999999994</c:v>
                </c:pt>
                <c:pt idx="91">
                  <c:v>-6594.6799999999994</c:v>
                </c:pt>
                <c:pt idx="92">
                  <c:v>-6594.6799999999994</c:v>
                </c:pt>
                <c:pt idx="93">
                  <c:v>-6594.6799999999994</c:v>
                </c:pt>
                <c:pt idx="94">
                  <c:v>-6594.6799999999994</c:v>
                </c:pt>
                <c:pt idx="95">
                  <c:v>-6594.6799999999994</c:v>
                </c:pt>
                <c:pt idx="96">
                  <c:v>-6594.6799999999994</c:v>
                </c:pt>
                <c:pt idx="97">
                  <c:v>-6594.6799999999994</c:v>
                </c:pt>
                <c:pt idx="98">
                  <c:v>-6594.6799999999994</c:v>
                </c:pt>
                <c:pt idx="99">
                  <c:v>-6594.6799999999994</c:v>
                </c:pt>
                <c:pt idx="100">
                  <c:v>-6594.6799999999994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C7-4E82-BD07-35645C5C7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193823"/>
        <c:axId val="348942399"/>
      </c:scatterChart>
      <c:valAx>
        <c:axId val="24519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942399"/>
        <c:crossesAt val="0"/>
        <c:crossBetween val="midCat"/>
      </c:valAx>
      <c:valAx>
        <c:axId val="34894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19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Sheet2!$A$1:$A$100</c:f>
              <c:numCache>
                <c:formatCode>General</c:formatCode>
                <c:ptCount val="100"/>
                <c:pt idx="0">
                  <c:v>226</c:v>
                </c:pt>
                <c:pt idx="1">
                  <c:v>227</c:v>
                </c:pt>
                <c:pt idx="2">
                  <c:v>228</c:v>
                </c:pt>
                <c:pt idx="3">
                  <c:v>229</c:v>
                </c:pt>
                <c:pt idx="4">
                  <c:v>230</c:v>
                </c:pt>
                <c:pt idx="5">
                  <c:v>231</c:v>
                </c:pt>
                <c:pt idx="6">
                  <c:v>232</c:v>
                </c:pt>
                <c:pt idx="7">
                  <c:v>233</c:v>
                </c:pt>
                <c:pt idx="8">
                  <c:v>234</c:v>
                </c:pt>
                <c:pt idx="9">
                  <c:v>235</c:v>
                </c:pt>
                <c:pt idx="10">
                  <c:v>236</c:v>
                </c:pt>
                <c:pt idx="11">
                  <c:v>237</c:v>
                </c:pt>
                <c:pt idx="12">
                  <c:v>238</c:v>
                </c:pt>
                <c:pt idx="13">
                  <c:v>239</c:v>
                </c:pt>
                <c:pt idx="14">
                  <c:v>240</c:v>
                </c:pt>
                <c:pt idx="15">
                  <c:v>241</c:v>
                </c:pt>
                <c:pt idx="16">
                  <c:v>242</c:v>
                </c:pt>
                <c:pt idx="17">
                  <c:v>243</c:v>
                </c:pt>
                <c:pt idx="18">
                  <c:v>244</c:v>
                </c:pt>
                <c:pt idx="19">
                  <c:v>245</c:v>
                </c:pt>
                <c:pt idx="20">
                  <c:v>246</c:v>
                </c:pt>
                <c:pt idx="21">
                  <c:v>247</c:v>
                </c:pt>
                <c:pt idx="22">
                  <c:v>248</c:v>
                </c:pt>
                <c:pt idx="23">
                  <c:v>249</c:v>
                </c:pt>
                <c:pt idx="24">
                  <c:v>250</c:v>
                </c:pt>
                <c:pt idx="25">
                  <c:v>251</c:v>
                </c:pt>
                <c:pt idx="26">
                  <c:v>252</c:v>
                </c:pt>
                <c:pt idx="27">
                  <c:v>253</c:v>
                </c:pt>
                <c:pt idx="28">
                  <c:v>254</c:v>
                </c:pt>
                <c:pt idx="29">
                  <c:v>255</c:v>
                </c:pt>
                <c:pt idx="30">
                  <c:v>256</c:v>
                </c:pt>
                <c:pt idx="31">
                  <c:v>257</c:v>
                </c:pt>
                <c:pt idx="32">
                  <c:v>258</c:v>
                </c:pt>
                <c:pt idx="33">
                  <c:v>259</c:v>
                </c:pt>
                <c:pt idx="34">
                  <c:v>260</c:v>
                </c:pt>
                <c:pt idx="35">
                  <c:v>261</c:v>
                </c:pt>
                <c:pt idx="36">
                  <c:v>262</c:v>
                </c:pt>
                <c:pt idx="37">
                  <c:v>263</c:v>
                </c:pt>
                <c:pt idx="38">
                  <c:v>264</c:v>
                </c:pt>
                <c:pt idx="39">
                  <c:v>265</c:v>
                </c:pt>
                <c:pt idx="40">
                  <c:v>266</c:v>
                </c:pt>
                <c:pt idx="41">
                  <c:v>267</c:v>
                </c:pt>
                <c:pt idx="42">
                  <c:v>268</c:v>
                </c:pt>
                <c:pt idx="43">
                  <c:v>269</c:v>
                </c:pt>
                <c:pt idx="44">
                  <c:v>270</c:v>
                </c:pt>
                <c:pt idx="45">
                  <c:v>271</c:v>
                </c:pt>
                <c:pt idx="46">
                  <c:v>272</c:v>
                </c:pt>
                <c:pt idx="47">
                  <c:v>273</c:v>
                </c:pt>
                <c:pt idx="48">
                  <c:v>274</c:v>
                </c:pt>
                <c:pt idx="49">
                  <c:v>275</c:v>
                </c:pt>
                <c:pt idx="50">
                  <c:v>276</c:v>
                </c:pt>
                <c:pt idx="51">
                  <c:v>277</c:v>
                </c:pt>
                <c:pt idx="52">
                  <c:v>278</c:v>
                </c:pt>
                <c:pt idx="53">
                  <c:v>279</c:v>
                </c:pt>
                <c:pt idx="54">
                  <c:v>280</c:v>
                </c:pt>
                <c:pt idx="55">
                  <c:v>281</c:v>
                </c:pt>
                <c:pt idx="56">
                  <c:v>282</c:v>
                </c:pt>
                <c:pt idx="57">
                  <c:v>283</c:v>
                </c:pt>
                <c:pt idx="58">
                  <c:v>284</c:v>
                </c:pt>
                <c:pt idx="59">
                  <c:v>285</c:v>
                </c:pt>
                <c:pt idx="60">
                  <c:v>286</c:v>
                </c:pt>
                <c:pt idx="61">
                  <c:v>287</c:v>
                </c:pt>
                <c:pt idx="62">
                  <c:v>288</c:v>
                </c:pt>
                <c:pt idx="63">
                  <c:v>289</c:v>
                </c:pt>
                <c:pt idx="64">
                  <c:v>290</c:v>
                </c:pt>
                <c:pt idx="65">
                  <c:v>291</c:v>
                </c:pt>
                <c:pt idx="66">
                  <c:v>292</c:v>
                </c:pt>
                <c:pt idx="67">
                  <c:v>293</c:v>
                </c:pt>
                <c:pt idx="68">
                  <c:v>294</c:v>
                </c:pt>
                <c:pt idx="69">
                  <c:v>295</c:v>
                </c:pt>
                <c:pt idx="70">
                  <c:v>296</c:v>
                </c:pt>
                <c:pt idx="71">
                  <c:v>297</c:v>
                </c:pt>
                <c:pt idx="72">
                  <c:v>298</c:v>
                </c:pt>
                <c:pt idx="73">
                  <c:v>299</c:v>
                </c:pt>
                <c:pt idx="74">
                  <c:v>300</c:v>
                </c:pt>
                <c:pt idx="75">
                  <c:v>301</c:v>
                </c:pt>
                <c:pt idx="76">
                  <c:v>302</c:v>
                </c:pt>
                <c:pt idx="77">
                  <c:v>303</c:v>
                </c:pt>
                <c:pt idx="78">
                  <c:v>304</c:v>
                </c:pt>
                <c:pt idx="79">
                  <c:v>305</c:v>
                </c:pt>
                <c:pt idx="80">
                  <c:v>306</c:v>
                </c:pt>
                <c:pt idx="81">
                  <c:v>307</c:v>
                </c:pt>
                <c:pt idx="82">
                  <c:v>308</c:v>
                </c:pt>
                <c:pt idx="83">
                  <c:v>309</c:v>
                </c:pt>
                <c:pt idx="84">
                  <c:v>310</c:v>
                </c:pt>
                <c:pt idx="85">
                  <c:v>311</c:v>
                </c:pt>
                <c:pt idx="86">
                  <c:v>312</c:v>
                </c:pt>
                <c:pt idx="87">
                  <c:v>313</c:v>
                </c:pt>
                <c:pt idx="88">
                  <c:v>314</c:v>
                </c:pt>
                <c:pt idx="89">
                  <c:v>315</c:v>
                </c:pt>
                <c:pt idx="90">
                  <c:v>316</c:v>
                </c:pt>
                <c:pt idx="91">
                  <c:v>317</c:v>
                </c:pt>
                <c:pt idx="92">
                  <c:v>318</c:v>
                </c:pt>
                <c:pt idx="93">
                  <c:v>319</c:v>
                </c:pt>
                <c:pt idx="94">
                  <c:v>320</c:v>
                </c:pt>
                <c:pt idx="95">
                  <c:v>321</c:v>
                </c:pt>
                <c:pt idx="96">
                  <c:v>322</c:v>
                </c:pt>
                <c:pt idx="97">
                  <c:v>323</c:v>
                </c:pt>
                <c:pt idx="98">
                  <c:v>324</c:v>
                </c:pt>
                <c:pt idx="99">
                  <c:v>325</c:v>
                </c:pt>
              </c:numCache>
            </c:numRef>
          </c:xVal>
          <c:yVal>
            <c:numRef>
              <c:f>Sheet2!$B$1:$B$100</c:f>
              <c:numCache>
                <c:formatCode>General</c:formatCode>
                <c:ptCount val="100"/>
                <c:pt idx="0">
                  <c:v>8.4600000000000009</c:v>
                </c:pt>
                <c:pt idx="1">
                  <c:v>8.66</c:v>
                </c:pt>
                <c:pt idx="2">
                  <c:v>8.86</c:v>
                </c:pt>
                <c:pt idx="3">
                  <c:v>9.07</c:v>
                </c:pt>
                <c:pt idx="4">
                  <c:v>9.2799999999999994</c:v>
                </c:pt>
                <c:pt idx="5">
                  <c:v>9.5</c:v>
                </c:pt>
                <c:pt idx="6">
                  <c:v>9.7200000000000006</c:v>
                </c:pt>
                <c:pt idx="7">
                  <c:v>9.94</c:v>
                </c:pt>
                <c:pt idx="8">
                  <c:v>10.17</c:v>
                </c:pt>
                <c:pt idx="9">
                  <c:v>10.4</c:v>
                </c:pt>
                <c:pt idx="10">
                  <c:v>10.64</c:v>
                </c:pt>
                <c:pt idx="11">
                  <c:v>10.88</c:v>
                </c:pt>
                <c:pt idx="12">
                  <c:v>11.13</c:v>
                </c:pt>
                <c:pt idx="13">
                  <c:v>11.38</c:v>
                </c:pt>
                <c:pt idx="14">
                  <c:v>11.64</c:v>
                </c:pt>
                <c:pt idx="15">
                  <c:v>11.9</c:v>
                </c:pt>
                <c:pt idx="16">
                  <c:v>12.17</c:v>
                </c:pt>
                <c:pt idx="17">
                  <c:v>12.44</c:v>
                </c:pt>
                <c:pt idx="18">
                  <c:v>12.72</c:v>
                </c:pt>
                <c:pt idx="19">
                  <c:v>13.01</c:v>
                </c:pt>
                <c:pt idx="20">
                  <c:v>13.3</c:v>
                </c:pt>
                <c:pt idx="21">
                  <c:v>13.6</c:v>
                </c:pt>
                <c:pt idx="22">
                  <c:v>13.91</c:v>
                </c:pt>
                <c:pt idx="23">
                  <c:v>14.22</c:v>
                </c:pt>
                <c:pt idx="24">
                  <c:v>14.54</c:v>
                </c:pt>
                <c:pt idx="25">
                  <c:v>14.87</c:v>
                </c:pt>
                <c:pt idx="26">
                  <c:v>15.2</c:v>
                </c:pt>
                <c:pt idx="27">
                  <c:v>15.54</c:v>
                </c:pt>
                <c:pt idx="28">
                  <c:v>15.89</c:v>
                </c:pt>
                <c:pt idx="29">
                  <c:v>16.239999999999998</c:v>
                </c:pt>
                <c:pt idx="30">
                  <c:v>16.600000000000001</c:v>
                </c:pt>
                <c:pt idx="31">
                  <c:v>16.97</c:v>
                </c:pt>
                <c:pt idx="32">
                  <c:v>17.350000000000001</c:v>
                </c:pt>
                <c:pt idx="33">
                  <c:v>17.73</c:v>
                </c:pt>
                <c:pt idx="34">
                  <c:v>18.18</c:v>
                </c:pt>
                <c:pt idx="35">
                  <c:v>18.52</c:v>
                </c:pt>
                <c:pt idx="36">
                  <c:v>18.93</c:v>
                </c:pt>
                <c:pt idx="37">
                  <c:v>19.34</c:v>
                </c:pt>
                <c:pt idx="38">
                  <c:v>19.77</c:v>
                </c:pt>
                <c:pt idx="39">
                  <c:v>20.2</c:v>
                </c:pt>
                <c:pt idx="40">
                  <c:v>20.64</c:v>
                </c:pt>
                <c:pt idx="41">
                  <c:v>21.09</c:v>
                </c:pt>
                <c:pt idx="42">
                  <c:v>21.54</c:v>
                </c:pt>
                <c:pt idx="43">
                  <c:v>22.01</c:v>
                </c:pt>
                <c:pt idx="44">
                  <c:v>22.48</c:v>
                </c:pt>
                <c:pt idx="45">
                  <c:v>22.92</c:v>
                </c:pt>
                <c:pt idx="46">
                  <c:v>23.41</c:v>
                </c:pt>
                <c:pt idx="47">
                  <c:v>23.92</c:v>
                </c:pt>
                <c:pt idx="48">
                  <c:v>24.43</c:v>
                </c:pt>
                <c:pt idx="49">
                  <c:v>24.96</c:v>
                </c:pt>
                <c:pt idx="50">
                  <c:v>25.49</c:v>
                </c:pt>
                <c:pt idx="51">
                  <c:v>26.04</c:v>
                </c:pt>
                <c:pt idx="52">
                  <c:v>26.6</c:v>
                </c:pt>
                <c:pt idx="53">
                  <c:v>27.16</c:v>
                </c:pt>
                <c:pt idx="54">
                  <c:v>27.74</c:v>
                </c:pt>
                <c:pt idx="55">
                  <c:v>28.33</c:v>
                </c:pt>
                <c:pt idx="56">
                  <c:v>28.93</c:v>
                </c:pt>
                <c:pt idx="57">
                  <c:v>29.54</c:v>
                </c:pt>
                <c:pt idx="58">
                  <c:v>30.16</c:v>
                </c:pt>
                <c:pt idx="59">
                  <c:v>30.79</c:v>
                </c:pt>
                <c:pt idx="60">
                  <c:v>31.43</c:v>
                </c:pt>
                <c:pt idx="61">
                  <c:v>32.090000000000003</c:v>
                </c:pt>
                <c:pt idx="62">
                  <c:v>32.69</c:v>
                </c:pt>
                <c:pt idx="63">
                  <c:v>33.36</c:v>
                </c:pt>
                <c:pt idx="64">
                  <c:v>34.049999999999997</c:v>
                </c:pt>
                <c:pt idx="65">
                  <c:v>34.74</c:v>
                </c:pt>
                <c:pt idx="66">
                  <c:v>35.450000000000003</c:v>
                </c:pt>
                <c:pt idx="67">
                  <c:v>35.89</c:v>
                </c:pt>
                <c:pt idx="68">
                  <c:v>36.619999999999997</c:v>
                </c:pt>
                <c:pt idx="69">
                  <c:v>37.36</c:v>
                </c:pt>
                <c:pt idx="70">
                  <c:v>38.11</c:v>
                </c:pt>
                <c:pt idx="71">
                  <c:v>38.869999999999997</c:v>
                </c:pt>
                <c:pt idx="72">
                  <c:v>39.64</c:v>
                </c:pt>
                <c:pt idx="73">
                  <c:v>40.43</c:v>
                </c:pt>
                <c:pt idx="74">
                  <c:v>41.22</c:v>
                </c:pt>
                <c:pt idx="75">
                  <c:v>42.2</c:v>
                </c:pt>
                <c:pt idx="76">
                  <c:v>42.85</c:v>
                </c:pt>
                <c:pt idx="77">
                  <c:v>43.67</c:v>
                </c:pt>
                <c:pt idx="78">
                  <c:v>44.51</c:v>
                </c:pt>
                <c:pt idx="79">
                  <c:v>45.36</c:v>
                </c:pt>
                <c:pt idx="80">
                  <c:v>46.21</c:v>
                </c:pt>
                <c:pt idx="81">
                  <c:v>47.08</c:v>
                </c:pt>
                <c:pt idx="82">
                  <c:v>47.96</c:v>
                </c:pt>
                <c:pt idx="83">
                  <c:v>48.84</c:v>
                </c:pt>
                <c:pt idx="84">
                  <c:v>49.73</c:v>
                </c:pt>
                <c:pt idx="85">
                  <c:v>50.63</c:v>
                </c:pt>
                <c:pt idx="86">
                  <c:v>51.53</c:v>
                </c:pt>
                <c:pt idx="87">
                  <c:v>52.44</c:v>
                </c:pt>
                <c:pt idx="88">
                  <c:v>53.32</c:v>
                </c:pt>
                <c:pt idx="89">
                  <c:v>54.24</c:v>
                </c:pt>
                <c:pt idx="90">
                  <c:v>55.21</c:v>
                </c:pt>
                <c:pt idx="91">
                  <c:v>56.14</c:v>
                </c:pt>
                <c:pt idx="92">
                  <c:v>57.08</c:v>
                </c:pt>
                <c:pt idx="93">
                  <c:v>57.98</c:v>
                </c:pt>
                <c:pt idx="94">
                  <c:v>58.97</c:v>
                </c:pt>
                <c:pt idx="95">
                  <c:v>59.92</c:v>
                </c:pt>
                <c:pt idx="96">
                  <c:v>60.87</c:v>
                </c:pt>
                <c:pt idx="97">
                  <c:v>61.83</c:v>
                </c:pt>
                <c:pt idx="98">
                  <c:v>62.79</c:v>
                </c:pt>
                <c:pt idx="99">
                  <c:v>63.75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99-4959-B310-2B040E5B1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786687"/>
        <c:axId val="354547055"/>
      </c:scatterChart>
      <c:valAx>
        <c:axId val="332786687"/>
        <c:scaling>
          <c:orientation val="minMax"/>
          <c:min val="2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547055"/>
        <c:crosses val="autoZero"/>
        <c:crossBetween val="midCat"/>
      </c:valAx>
      <c:valAx>
        <c:axId val="35454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786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83344</xdr:colOff>
      <xdr:row>0</xdr:row>
      <xdr:rowOff>73137</xdr:rowOff>
    </xdr:from>
    <xdr:to>
      <xdr:col>7</xdr:col>
      <xdr:colOff>1393031</xdr:colOff>
      <xdr:row>19</xdr:row>
      <xdr:rowOff>127566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A218AF-C2EF-4833-8575-99ACE13B6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428625</xdr:colOff>
      <xdr:row>1</xdr:row>
      <xdr:rowOff>104775</xdr:rowOff>
    </xdr:from>
    <xdr:to>
      <xdr:col>35</xdr:col>
      <xdr:colOff>123825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E13228-85E8-4660-836A-643B06F0F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F309-0B00-4AB0-92A2-36E6ABA7918C}">
  <dimension ref="B2:O122"/>
  <sheetViews>
    <sheetView tabSelected="1" zoomScale="90" zoomScaleNormal="90" workbookViewId="0">
      <pane ySplit="21" topLeftCell="A37" activePane="bottomLeft" state="frozen"/>
      <selection pane="bottomLeft" activeCell="F22" sqref="F22"/>
    </sheetView>
  </sheetViews>
  <sheetFormatPr defaultRowHeight="15" x14ac:dyDescent="0.25"/>
  <cols>
    <col min="2" max="3" width="28" style="6" customWidth="1"/>
    <col min="4" max="4" width="9.7109375" customWidth="1"/>
    <col min="5" max="12" width="22.42578125" customWidth="1"/>
    <col min="13" max="26" width="22" customWidth="1"/>
  </cols>
  <sheetData>
    <row r="2" spans="2:3" x14ac:dyDescent="0.25">
      <c r="B2" s="6" t="s">
        <v>1</v>
      </c>
      <c r="C2" s="7">
        <v>260</v>
      </c>
    </row>
    <row r="3" spans="2:3" x14ac:dyDescent="0.25">
      <c r="B3" s="6" t="s">
        <v>104</v>
      </c>
      <c r="C3" s="8">
        <v>16.486699999999999</v>
      </c>
    </row>
    <row r="4" spans="2:3" x14ac:dyDescent="0.25">
      <c r="B4" s="6" t="s">
        <v>0</v>
      </c>
      <c r="C4" s="7">
        <v>4</v>
      </c>
    </row>
    <row r="6" spans="2:3" x14ac:dyDescent="0.25">
      <c r="B6" t="s">
        <v>104</v>
      </c>
      <c r="C6">
        <v>260</v>
      </c>
    </row>
    <row r="7" spans="2:3" x14ac:dyDescent="0.25">
      <c r="B7"/>
      <c r="C7"/>
    </row>
    <row r="8" spans="2:3" x14ac:dyDescent="0.25">
      <c r="C8" s="9"/>
    </row>
    <row r="9" spans="2:3" x14ac:dyDescent="0.25">
      <c r="C9" s="2"/>
    </row>
    <row r="10" spans="2:3" x14ac:dyDescent="0.25">
      <c r="C10" s="2"/>
    </row>
    <row r="11" spans="2:3" x14ac:dyDescent="0.25">
      <c r="B11"/>
      <c r="C11"/>
    </row>
    <row r="12" spans="2:3" x14ac:dyDescent="0.25">
      <c r="B12"/>
      <c r="C12"/>
    </row>
    <row r="13" spans="2:3" x14ac:dyDescent="0.25">
      <c r="B13"/>
      <c r="C13"/>
    </row>
    <row r="14" spans="2:3" x14ac:dyDescent="0.25">
      <c r="C14" s="2"/>
    </row>
    <row r="15" spans="2:3" x14ac:dyDescent="0.25">
      <c r="C15" s="2"/>
    </row>
    <row r="16" spans="2:3" x14ac:dyDescent="0.25">
      <c r="C16" s="2"/>
    </row>
    <row r="17" spans="3:15" x14ac:dyDescent="0.25">
      <c r="C17" s="2"/>
    </row>
    <row r="18" spans="3:15" x14ac:dyDescent="0.25">
      <c r="C18" s="2"/>
    </row>
    <row r="19" spans="3:15" x14ac:dyDescent="0.25">
      <c r="C19" s="2"/>
    </row>
    <row r="21" spans="3:15" ht="34.5" customHeight="1" x14ac:dyDescent="0.25">
      <c r="E21" s="10" t="s">
        <v>102</v>
      </c>
      <c r="F21" s="10" t="s">
        <v>103</v>
      </c>
      <c r="G21" s="5" t="s">
        <v>106</v>
      </c>
      <c r="H21" s="5" t="s">
        <v>105</v>
      </c>
      <c r="I21" s="5" t="s">
        <v>107</v>
      </c>
      <c r="J21" s="5" t="s">
        <v>108</v>
      </c>
      <c r="L21" s="5" t="s">
        <v>1</v>
      </c>
      <c r="M21" s="5" t="s">
        <v>110</v>
      </c>
      <c r="N21" s="5" t="s">
        <v>109</v>
      </c>
      <c r="O21" s="5" t="s">
        <v>111</v>
      </c>
    </row>
    <row r="22" spans="3:15" x14ac:dyDescent="0.25">
      <c r="E22" s="1">
        <v>-0.5</v>
      </c>
      <c r="F22" s="9">
        <f t="shared" ref="F22:F53" si="0">C$6*(E22+1)</f>
        <v>130</v>
      </c>
      <c r="G22" s="11">
        <f>(C$2-F22)*C$4*100</f>
        <v>52000</v>
      </c>
      <c r="H22" s="12">
        <f t="shared" ref="H22:H53" si="1">C$3-G22</f>
        <v>-51983.513299999999</v>
      </c>
      <c r="I22" s="11">
        <f>(G22+H22)*C$4*100</f>
        <v>6594.6800000005169</v>
      </c>
      <c r="J22" s="11">
        <f>IF(F22&lt;C$2,G22-I22,-(C$3*C$4*100))</f>
        <v>45405.319999999483</v>
      </c>
      <c r="L22">
        <v>150</v>
      </c>
    </row>
    <row r="23" spans="3:15" x14ac:dyDescent="0.25">
      <c r="E23" s="1">
        <v>-0.49</v>
      </c>
      <c r="F23" s="9">
        <f t="shared" si="0"/>
        <v>132.6</v>
      </c>
      <c r="G23" s="11">
        <f t="shared" ref="G23:G86" si="2">(C$2-F23)*C$4*100</f>
        <v>50960</v>
      </c>
      <c r="H23" s="12">
        <f t="shared" si="1"/>
        <v>-50943.513299999999</v>
      </c>
      <c r="I23" s="11">
        <f t="shared" ref="I23:I86" si="3">(G23+H23)*C$4*100</f>
        <v>6594.6800000005169</v>
      </c>
      <c r="J23" s="11">
        <f t="shared" ref="J23:J86" si="4">IF(F23&lt;C$2,G23-I23,-(C$3*C$4*100))</f>
        <v>44365.319999999483</v>
      </c>
      <c r="L23">
        <v>151</v>
      </c>
      <c r="O23">
        <v>0.06</v>
      </c>
    </row>
    <row r="24" spans="3:15" x14ac:dyDescent="0.25">
      <c r="E24" s="1">
        <v>-0.48</v>
      </c>
      <c r="F24" s="9">
        <f t="shared" si="0"/>
        <v>135.20000000000002</v>
      </c>
      <c r="G24" s="11">
        <f t="shared" si="2"/>
        <v>49919.999999999993</v>
      </c>
      <c r="H24" s="12">
        <f t="shared" si="1"/>
        <v>-49903.513299999991</v>
      </c>
      <c r="I24" s="11">
        <f t="shared" si="3"/>
        <v>6594.6800000005169</v>
      </c>
      <c r="J24" s="11">
        <f t="shared" si="4"/>
        <v>43325.319999999476</v>
      </c>
      <c r="L24">
        <v>152</v>
      </c>
      <c r="O24">
        <v>0.08</v>
      </c>
    </row>
    <row r="25" spans="3:15" x14ac:dyDescent="0.25">
      <c r="E25" s="1">
        <v>-0.47</v>
      </c>
      <c r="F25" s="9">
        <f t="shared" si="0"/>
        <v>137.80000000000001</v>
      </c>
      <c r="G25" s="11">
        <f t="shared" si="2"/>
        <v>48879.999999999993</v>
      </c>
      <c r="H25" s="12">
        <f t="shared" si="1"/>
        <v>-48863.513299999991</v>
      </c>
      <c r="I25" s="11">
        <f t="shared" si="3"/>
        <v>6594.6800000005169</v>
      </c>
      <c r="J25" s="11">
        <f t="shared" si="4"/>
        <v>42285.319999999476</v>
      </c>
      <c r="L25">
        <v>153</v>
      </c>
      <c r="O25">
        <v>0.08</v>
      </c>
    </row>
    <row r="26" spans="3:15" x14ac:dyDescent="0.25">
      <c r="E26" s="1">
        <v>-0.46</v>
      </c>
      <c r="F26" s="9">
        <f t="shared" si="0"/>
        <v>140.4</v>
      </c>
      <c r="G26" s="11">
        <f t="shared" si="2"/>
        <v>47840</v>
      </c>
      <c r="H26" s="12">
        <f t="shared" si="1"/>
        <v>-47823.513299999999</v>
      </c>
      <c r="I26" s="11">
        <f t="shared" si="3"/>
        <v>6594.6800000005169</v>
      </c>
      <c r="J26" s="11">
        <f t="shared" si="4"/>
        <v>41245.319999999483</v>
      </c>
      <c r="L26">
        <v>154</v>
      </c>
      <c r="O26">
        <v>0.09</v>
      </c>
    </row>
    <row r="27" spans="3:15" x14ac:dyDescent="0.25">
      <c r="E27" s="1">
        <v>-0.45</v>
      </c>
      <c r="F27" s="9">
        <f t="shared" si="0"/>
        <v>143</v>
      </c>
      <c r="G27" s="11">
        <f t="shared" si="2"/>
        <v>46800</v>
      </c>
      <c r="H27" s="12">
        <f t="shared" si="1"/>
        <v>-46783.513299999999</v>
      </c>
      <c r="I27" s="11">
        <f t="shared" si="3"/>
        <v>6594.6800000005169</v>
      </c>
      <c r="J27" s="11">
        <f t="shared" si="4"/>
        <v>40205.319999999483</v>
      </c>
      <c r="L27">
        <v>155</v>
      </c>
      <c r="O27">
        <v>0.08</v>
      </c>
    </row>
    <row r="28" spans="3:15" x14ac:dyDescent="0.25">
      <c r="E28" s="1">
        <v>-0.44</v>
      </c>
      <c r="F28" s="9">
        <f t="shared" si="0"/>
        <v>145.60000000000002</v>
      </c>
      <c r="G28" s="11">
        <f t="shared" si="2"/>
        <v>45759.999999999993</v>
      </c>
      <c r="H28" s="12">
        <f t="shared" si="1"/>
        <v>-45743.513299999991</v>
      </c>
      <c r="I28" s="11">
        <f t="shared" si="3"/>
        <v>6594.6800000005169</v>
      </c>
      <c r="J28" s="11">
        <f t="shared" si="4"/>
        <v>39165.319999999476</v>
      </c>
      <c r="L28">
        <v>156</v>
      </c>
      <c r="O28">
        <v>0.1</v>
      </c>
    </row>
    <row r="29" spans="3:15" x14ac:dyDescent="0.25">
      <c r="E29" s="1">
        <v>-0.43</v>
      </c>
      <c r="F29" s="9">
        <f t="shared" si="0"/>
        <v>148.20000000000002</v>
      </c>
      <c r="G29" s="11">
        <f t="shared" si="2"/>
        <v>44719.999999999993</v>
      </c>
      <c r="H29" s="12">
        <f t="shared" si="1"/>
        <v>-44703.513299999991</v>
      </c>
      <c r="I29" s="11">
        <f t="shared" si="3"/>
        <v>6594.6800000005169</v>
      </c>
      <c r="J29" s="11">
        <f t="shared" si="4"/>
        <v>38125.319999999476</v>
      </c>
      <c r="L29">
        <v>157</v>
      </c>
      <c r="O29">
        <v>0.09</v>
      </c>
    </row>
    <row r="30" spans="3:15" x14ac:dyDescent="0.25">
      <c r="E30" s="1">
        <v>-0.42</v>
      </c>
      <c r="F30" s="9">
        <f t="shared" si="0"/>
        <v>150.80000000000001</v>
      </c>
      <c r="G30" s="11">
        <f t="shared" si="2"/>
        <v>43679.999999999993</v>
      </c>
      <c r="H30" s="12">
        <f t="shared" si="1"/>
        <v>-43663.513299999991</v>
      </c>
      <c r="I30" s="11">
        <f t="shared" si="3"/>
        <v>6594.6800000005169</v>
      </c>
      <c r="J30" s="11">
        <f t="shared" si="4"/>
        <v>37085.319999999476</v>
      </c>
      <c r="L30">
        <v>158</v>
      </c>
      <c r="O30">
        <v>0.11</v>
      </c>
    </row>
    <row r="31" spans="3:15" x14ac:dyDescent="0.25">
      <c r="E31" s="1">
        <v>-0.41</v>
      </c>
      <c r="F31" s="9">
        <f t="shared" si="0"/>
        <v>153.40000000000003</v>
      </c>
      <c r="G31" s="11">
        <f t="shared" si="2"/>
        <v>42639.999999999985</v>
      </c>
      <c r="H31" s="12">
        <f t="shared" si="1"/>
        <v>-42623.513299999984</v>
      </c>
      <c r="I31" s="11">
        <f t="shared" si="3"/>
        <v>6594.6800000005169</v>
      </c>
      <c r="J31" s="11">
        <f t="shared" si="4"/>
        <v>36045.319999999469</v>
      </c>
      <c r="L31">
        <v>159</v>
      </c>
      <c r="O31">
        <v>0.1</v>
      </c>
    </row>
    <row r="32" spans="3:15" x14ac:dyDescent="0.25">
      <c r="E32" s="1">
        <v>-0.4</v>
      </c>
      <c r="F32" s="9">
        <f t="shared" si="0"/>
        <v>156</v>
      </c>
      <c r="G32" s="11">
        <f t="shared" si="2"/>
        <v>41600</v>
      </c>
      <c r="H32" s="12">
        <f t="shared" si="1"/>
        <v>-41583.513299999999</v>
      </c>
      <c r="I32" s="11">
        <f t="shared" si="3"/>
        <v>6594.6800000005169</v>
      </c>
      <c r="J32" s="11">
        <f t="shared" si="4"/>
        <v>35005.319999999483</v>
      </c>
      <c r="L32">
        <v>160</v>
      </c>
      <c r="O32">
        <v>0.11</v>
      </c>
    </row>
    <row r="33" spans="5:15" x14ac:dyDescent="0.25">
      <c r="E33" s="1">
        <v>-0.39</v>
      </c>
      <c r="F33" s="9">
        <f t="shared" si="0"/>
        <v>158.6</v>
      </c>
      <c r="G33" s="11">
        <f t="shared" si="2"/>
        <v>40560</v>
      </c>
      <c r="H33" s="12">
        <f t="shared" si="1"/>
        <v>-40543.513299999999</v>
      </c>
      <c r="I33" s="11">
        <f t="shared" si="3"/>
        <v>6594.6800000005169</v>
      </c>
      <c r="J33" s="11">
        <f t="shared" si="4"/>
        <v>33965.319999999483</v>
      </c>
      <c r="L33">
        <v>161</v>
      </c>
      <c r="O33">
        <v>0.14000000000000001</v>
      </c>
    </row>
    <row r="34" spans="5:15" x14ac:dyDescent="0.25">
      <c r="E34" s="1">
        <v>-0.38</v>
      </c>
      <c r="F34" s="9">
        <f t="shared" si="0"/>
        <v>161.19999999999999</v>
      </c>
      <c r="G34" s="11">
        <f t="shared" si="2"/>
        <v>39520.000000000007</v>
      </c>
      <c r="H34" s="12">
        <f t="shared" si="1"/>
        <v>-39503.513300000006</v>
      </c>
      <c r="I34" s="11">
        <f t="shared" si="3"/>
        <v>6594.6800000005169</v>
      </c>
      <c r="J34" s="11">
        <f t="shared" si="4"/>
        <v>32925.31999999949</v>
      </c>
      <c r="L34">
        <v>162</v>
      </c>
      <c r="O34">
        <v>0.13</v>
      </c>
    </row>
    <row r="35" spans="5:15" x14ac:dyDescent="0.25">
      <c r="E35" s="1">
        <v>-0.37</v>
      </c>
      <c r="F35" s="9">
        <f t="shared" si="0"/>
        <v>163.80000000000001</v>
      </c>
      <c r="G35" s="11">
        <f t="shared" si="2"/>
        <v>38479.999999999993</v>
      </c>
      <c r="H35" s="12">
        <f t="shared" si="1"/>
        <v>-38463.513299999991</v>
      </c>
      <c r="I35" s="11">
        <f t="shared" si="3"/>
        <v>6594.6800000005169</v>
      </c>
      <c r="J35" s="11">
        <f t="shared" si="4"/>
        <v>31885.319999999476</v>
      </c>
      <c r="L35">
        <v>163</v>
      </c>
      <c r="O35">
        <v>0.16</v>
      </c>
    </row>
    <row r="36" spans="5:15" x14ac:dyDescent="0.25">
      <c r="E36" s="1">
        <v>-0.36</v>
      </c>
      <c r="F36" s="9">
        <f t="shared" si="0"/>
        <v>166.4</v>
      </c>
      <c r="G36" s="11">
        <f t="shared" si="2"/>
        <v>37440</v>
      </c>
      <c r="H36" s="12">
        <f t="shared" si="1"/>
        <v>-37423.513299999999</v>
      </c>
      <c r="I36" s="11">
        <f t="shared" si="3"/>
        <v>6594.6800000005169</v>
      </c>
      <c r="J36" s="11">
        <f t="shared" si="4"/>
        <v>30845.319999999483</v>
      </c>
      <c r="L36">
        <v>164</v>
      </c>
      <c r="O36">
        <v>0.33</v>
      </c>
    </row>
    <row r="37" spans="5:15" x14ac:dyDescent="0.25">
      <c r="E37" s="1">
        <v>-0.35</v>
      </c>
      <c r="F37" s="9">
        <f t="shared" si="0"/>
        <v>169</v>
      </c>
      <c r="G37" s="11">
        <f t="shared" si="2"/>
        <v>36400</v>
      </c>
      <c r="H37" s="12">
        <f t="shared" si="1"/>
        <v>-36383.513299999999</v>
      </c>
      <c r="I37" s="11">
        <f t="shared" si="3"/>
        <v>6594.6800000005169</v>
      </c>
      <c r="J37" s="11">
        <f t="shared" si="4"/>
        <v>29805.319999999483</v>
      </c>
      <c r="L37">
        <v>165</v>
      </c>
      <c r="O37">
        <v>0.14000000000000001</v>
      </c>
    </row>
    <row r="38" spans="5:15" x14ac:dyDescent="0.25">
      <c r="E38" s="1">
        <v>-0.34</v>
      </c>
      <c r="F38" s="9">
        <f t="shared" si="0"/>
        <v>171.59999999999997</v>
      </c>
      <c r="G38" s="11">
        <f t="shared" si="2"/>
        <v>35360.000000000015</v>
      </c>
      <c r="H38" s="12">
        <f t="shared" si="1"/>
        <v>-35343.513300000013</v>
      </c>
      <c r="I38" s="11">
        <f t="shared" si="3"/>
        <v>6594.6800000005169</v>
      </c>
      <c r="J38" s="11">
        <f t="shared" si="4"/>
        <v>28765.319999999498</v>
      </c>
      <c r="L38">
        <v>166</v>
      </c>
      <c r="O38">
        <v>0.18</v>
      </c>
    </row>
    <row r="39" spans="5:15" x14ac:dyDescent="0.25">
      <c r="E39" s="1">
        <v>-0.33</v>
      </c>
      <c r="F39" s="9">
        <f t="shared" si="0"/>
        <v>174.2</v>
      </c>
      <c r="G39" s="11">
        <f t="shared" si="2"/>
        <v>34320.000000000007</v>
      </c>
      <c r="H39" s="12">
        <f t="shared" si="1"/>
        <v>-34303.513300000006</v>
      </c>
      <c r="I39" s="11">
        <f t="shared" si="3"/>
        <v>6594.6800000005169</v>
      </c>
      <c r="J39" s="11">
        <f t="shared" si="4"/>
        <v>27725.31999999949</v>
      </c>
      <c r="L39">
        <v>167</v>
      </c>
      <c r="O39">
        <v>0.23</v>
      </c>
    </row>
    <row r="40" spans="5:15" x14ac:dyDescent="0.25">
      <c r="E40" s="1">
        <v>-0.32</v>
      </c>
      <c r="F40" s="9">
        <f t="shared" si="0"/>
        <v>176.79999999999998</v>
      </c>
      <c r="G40" s="11">
        <f t="shared" si="2"/>
        <v>33280.000000000007</v>
      </c>
      <c r="H40" s="12">
        <f t="shared" si="1"/>
        <v>-33263.513300000006</v>
      </c>
      <c r="I40" s="11">
        <f t="shared" si="3"/>
        <v>6594.6800000005169</v>
      </c>
      <c r="J40" s="11">
        <f t="shared" si="4"/>
        <v>26685.31999999949</v>
      </c>
      <c r="L40">
        <v>168</v>
      </c>
      <c r="O40">
        <v>0.2</v>
      </c>
    </row>
    <row r="41" spans="5:15" x14ac:dyDescent="0.25">
      <c r="E41" s="1">
        <v>-0.31</v>
      </c>
      <c r="F41" s="9">
        <f t="shared" si="0"/>
        <v>179.39999999999998</v>
      </c>
      <c r="G41" s="11">
        <f t="shared" si="2"/>
        <v>32240.000000000007</v>
      </c>
      <c r="H41" s="12">
        <f t="shared" si="1"/>
        <v>-32223.513300000006</v>
      </c>
      <c r="I41" s="11">
        <f t="shared" si="3"/>
        <v>6594.6800000005169</v>
      </c>
      <c r="J41" s="11">
        <f t="shared" si="4"/>
        <v>25645.31999999949</v>
      </c>
      <c r="L41">
        <v>169</v>
      </c>
      <c r="O41">
        <v>0.19</v>
      </c>
    </row>
    <row r="42" spans="5:15" x14ac:dyDescent="0.25">
      <c r="E42" s="1">
        <v>-0.3</v>
      </c>
      <c r="F42" s="9">
        <f t="shared" si="0"/>
        <v>182</v>
      </c>
      <c r="G42" s="11">
        <f t="shared" si="2"/>
        <v>31200</v>
      </c>
      <c r="H42" s="12">
        <f t="shared" si="1"/>
        <v>-31183.513299999999</v>
      </c>
      <c r="I42" s="11">
        <f t="shared" si="3"/>
        <v>6594.6800000005169</v>
      </c>
      <c r="J42" s="11">
        <f t="shared" si="4"/>
        <v>24605.319999999483</v>
      </c>
      <c r="L42">
        <v>170</v>
      </c>
      <c r="O42">
        <v>0.2</v>
      </c>
    </row>
    <row r="43" spans="5:15" x14ac:dyDescent="0.25">
      <c r="E43" s="1">
        <v>-0.28999999999999998</v>
      </c>
      <c r="F43" s="9">
        <f t="shared" si="0"/>
        <v>184.6</v>
      </c>
      <c r="G43" s="11">
        <f t="shared" si="2"/>
        <v>30160.000000000004</v>
      </c>
      <c r="H43" s="12">
        <f t="shared" si="1"/>
        <v>-30143.513300000002</v>
      </c>
      <c r="I43" s="11">
        <f t="shared" si="3"/>
        <v>6594.6800000005169</v>
      </c>
      <c r="J43" s="11">
        <f t="shared" si="4"/>
        <v>23565.319999999487</v>
      </c>
      <c r="L43">
        <v>171</v>
      </c>
      <c r="O43">
        <v>0.21</v>
      </c>
    </row>
    <row r="44" spans="5:15" x14ac:dyDescent="0.25">
      <c r="E44" s="1">
        <v>-0.28000000000000003</v>
      </c>
      <c r="F44" s="9">
        <f t="shared" si="0"/>
        <v>187.2</v>
      </c>
      <c r="G44" s="11">
        <f t="shared" si="2"/>
        <v>29120.000000000004</v>
      </c>
      <c r="H44" s="12">
        <f t="shared" si="1"/>
        <v>-29103.513300000002</v>
      </c>
      <c r="I44" s="11">
        <f t="shared" si="3"/>
        <v>6594.6800000005169</v>
      </c>
      <c r="J44" s="11">
        <f t="shared" si="4"/>
        <v>22525.319999999487</v>
      </c>
      <c r="L44">
        <v>172</v>
      </c>
      <c r="O44">
        <v>0.23</v>
      </c>
    </row>
    <row r="45" spans="5:15" x14ac:dyDescent="0.25">
      <c r="E45" s="1">
        <v>-0.27</v>
      </c>
      <c r="F45" s="9">
        <f t="shared" si="0"/>
        <v>189.79999999999998</v>
      </c>
      <c r="G45" s="11">
        <f t="shared" si="2"/>
        <v>28080.000000000007</v>
      </c>
      <c r="H45" s="12">
        <f t="shared" si="1"/>
        <v>-28063.513300000006</v>
      </c>
      <c r="I45" s="11">
        <f t="shared" si="3"/>
        <v>6594.6800000005169</v>
      </c>
      <c r="J45" s="11">
        <f t="shared" si="4"/>
        <v>21485.31999999949</v>
      </c>
      <c r="L45">
        <v>173</v>
      </c>
      <c r="O45">
        <v>0.23</v>
      </c>
    </row>
    <row r="46" spans="5:15" x14ac:dyDescent="0.25">
      <c r="E46" s="1">
        <v>-0.26</v>
      </c>
      <c r="F46" s="9">
        <f t="shared" si="0"/>
        <v>192.4</v>
      </c>
      <c r="G46" s="11">
        <f t="shared" si="2"/>
        <v>27039.999999999996</v>
      </c>
      <c r="H46" s="12">
        <f t="shared" si="1"/>
        <v>-27023.513299999995</v>
      </c>
      <c r="I46" s="11">
        <f t="shared" si="3"/>
        <v>6594.6800000005169</v>
      </c>
      <c r="J46" s="11">
        <f t="shared" si="4"/>
        <v>20445.319999999479</v>
      </c>
      <c r="L46">
        <v>174</v>
      </c>
      <c r="O46">
        <v>0.31</v>
      </c>
    </row>
    <row r="47" spans="5:15" x14ac:dyDescent="0.25">
      <c r="E47" s="1">
        <v>-0.25</v>
      </c>
      <c r="F47" s="9">
        <f t="shared" si="0"/>
        <v>195</v>
      </c>
      <c r="G47" s="11">
        <f t="shared" si="2"/>
        <v>26000</v>
      </c>
      <c r="H47" s="12">
        <f t="shared" si="1"/>
        <v>-25983.513299999999</v>
      </c>
      <c r="I47" s="11">
        <f t="shared" si="3"/>
        <v>6594.6800000005169</v>
      </c>
      <c r="J47" s="11">
        <f t="shared" si="4"/>
        <v>19405.319999999483</v>
      </c>
      <c r="L47">
        <v>175</v>
      </c>
      <c r="O47">
        <v>0.26</v>
      </c>
    </row>
    <row r="48" spans="5:15" x14ac:dyDescent="0.25">
      <c r="E48" s="1">
        <v>-0.24</v>
      </c>
      <c r="F48" s="9">
        <f t="shared" si="0"/>
        <v>197.6</v>
      </c>
      <c r="G48" s="11">
        <f t="shared" si="2"/>
        <v>24960.000000000004</v>
      </c>
      <c r="H48" s="12">
        <f t="shared" si="1"/>
        <v>-24943.513300000002</v>
      </c>
      <c r="I48" s="11">
        <f t="shared" si="3"/>
        <v>6594.6800000005169</v>
      </c>
      <c r="J48" s="11">
        <f t="shared" si="4"/>
        <v>18365.319999999487</v>
      </c>
      <c r="L48">
        <v>176</v>
      </c>
      <c r="O48">
        <v>0.39</v>
      </c>
    </row>
    <row r="49" spans="5:15" x14ac:dyDescent="0.25">
      <c r="E49" s="1">
        <v>-0.23</v>
      </c>
      <c r="F49" s="9">
        <f t="shared" si="0"/>
        <v>200.20000000000002</v>
      </c>
      <c r="G49" s="11">
        <f t="shared" si="2"/>
        <v>23919.999999999993</v>
      </c>
      <c r="H49" s="12">
        <f t="shared" si="1"/>
        <v>-23903.513299999991</v>
      </c>
      <c r="I49" s="11">
        <f t="shared" si="3"/>
        <v>6594.6800000005169</v>
      </c>
      <c r="J49" s="11">
        <f t="shared" si="4"/>
        <v>17325.319999999476</v>
      </c>
      <c r="L49">
        <v>177</v>
      </c>
      <c r="O49">
        <v>0.35</v>
      </c>
    </row>
    <row r="50" spans="5:15" x14ac:dyDescent="0.25">
      <c r="E50" s="1">
        <v>-0.22</v>
      </c>
      <c r="F50" s="9">
        <f t="shared" si="0"/>
        <v>202.8</v>
      </c>
      <c r="G50" s="11">
        <f t="shared" si="2"/>
        <v>22879.999999999996</v>
      </c>
      <c r="H50" s="12">
        <f t="shared" si="1"/>
        <v>-22863.513299999995</v>
      </c>
      <c r="I50" s="11">
        <f t="shared" si="3"/>
        <v>6594.6800000005169</v>
      </c>
      <c r="J50" s="11">
        <f t="shared" si="4"/>
        <v>16285.319999999479</v>
      </c>
      <c r="L50">
        <v>178</v>
      </c>
      <c r="O50">
        <v>0.31</v>
      </c>
    </row>
    <row r="51" spans="5:15" x14ac:dyDescent="0.25">
      <c r="E51" s="1">
        <v>-0.21</v>
      </c>
      <c r="F51" s="9">
        <f t="shared" si="0"/>
        <v>205.4</v>
      </c>
      <c r="G51" s="11">
        <f t="shared" si="2"/>
        <v>21839.999999999996</v>
      </c>
      <c r="H51" s="12">
        <f t="shared" si="1"/>
        <v>-21823.513299999995</v>
      </c>
      <c r="I51" s="11">
        <f t="shared" si="3"/>
        <v>6594.6800000005169</v>
      </c>
      <c r="J51" s="11">
        <f t="shared" si="4"/>
        <v>15245.319999999479</v>
      </c>
      <c r="L51">
        <v>179</v>
      </c>
      <c r="O51">
        <v>0.34</v>
      </c>
    </row>
    <row r="52" spans="5:15" x14ac:dyDescent="0.25">
      <c r="E52" s="1">
        <v>-0.2</v>
      </c>
      <c r="F52" s="9">
        <f t="shared" si="0"/>
        <v>208</v>
      </c>
      <c r="G52" s="11">
        <f t="shared" si="2"/>
        <v>20800</v>
      </c>
      <c r="H52" s="12">
        <f t="shared" si="1"/>
        <v>-20783.513299999999</v>
      </c>
      <c r="I52" s="11">
        <f t="shared" si="3"/>
        <v>6594.6800000005169</v>
      </c>
      <c r="J52" s="11">
        <f t="shared" si="4"/>
        <v>14205.319999999483</v>
      </c>
      <c r="L52">
        <v>180</v>
      </c>
      <c r="O52">
        <v>0.35</v>
      </c>
    </row>
    <row r="53" spans="5:15" x14ac:dyDescent="0.25">
      <c r="E53" s="1">
        <v>-0.19</v>
      </c>
      <c r="F53" s="9">
        <f t="shared" si="0"/>
        <v>210.60000000000002</v>
      </c>
      <c r="G53" s="11">
        <f t="shared" si="2"/>
        <v>19759.999999999993</v>
      </c>
      <c r="H53" s="12">
        <f t="shared" si="1"/>
        <v>-19743.513299999991</v>
      </c>
      <c r="I53" s="11">
        <f t="shared" si="3"/>
        <v>6594.6800000005169</v>
      </c>
      <c r="J53" s="11">
        <f t="shared" si="4"/>
        <v>13165.319999999476</v>
      </c>
      <c r="L53">
        <v>181</v>
      </c>
      <c r="O53">
        <v>0.37</v>
      </c>
    </row>
    <row r="54" spans="5:15" x14ac:dyDescent="0.25">
      <c r="E54" s="1">
        <v>-0.18</v>
      </c>
      <c r="F54" s="9">
        <f t="shared" ref="F54:F85" si="5">C$6*(E54+1)</f>
        <v>213.20000000000002</v>
      </c>
      <c r="G54" s="11">
        <f t="shared" si="2"/>
        <v>18719.999999999993</v>
      </c>
      <c r="H54" s="12">
        <f t="shared" ref="H54:H85" si="6">C$3-G54</f>
        <v>-18703.513299999991</v>
      </c>
      <c r="I54" s="11">
        <f t="shared" si="3"/>
        <v>6594.6800000005169</v>
      </c>
      <c r="J54" s="11">
        <f t="shared" si="4"/>
        <v>12125.319999999476</v>
      </c>
      <c r="L54">
        <v>182</v>
      </c>
      <c r="O54">
        <v>0.41</v>
      </c>
    </row>
    <row r="55" spans="5:15" x14ac:dyDescent="0.25">
      <c r="E55" s="1">
        <v>-0.17</v>
      </c>
      <c r="F55" s="9">
        <f t="shared" si="5"/>
        <v>215.79999999999998</v>
      </c>
      <c r="G55" s="11">
        <f t="shared" si="2"/>
        <v>17680.000000000007</v>
      </c>
      <c r="H55" s="12">
        <f t="shared" si="6"/>
        <v>-17663.513300000006</v>
      </c>
      <c r="I55" s="11">
        <f t="shared" si="3"/>
        <v>6594.6800000005169</v>
      </c>
      <c r="J55" s="11">
        <f t="shared" si="4"/>
        <v>11085.31999999949</v>
      </c>
      <c r="L55">
        <v>183</v>
      </c>
      <c r="O55">
        <v>0.43</v>
      </c>
    </row>
    <row r="56" spans="5:15" x14ac:dyDescent="0.25">
      <c r="E56" s="1">
        <v>-0.16</v>
      </c>
      <c r="F56" s="9">
        <f t="shared" si="5"/>
        <v>218.4</v>
      </c>
      <c r="G56" s="11">
        <f t="shared" si="2"/>
        <v>16639.999999999996</v>
      </c>
      <c r="H56" s="12">
        <f t="shared" si="6"/>
        <v>-16623.513299999995</v>
      </c>
      <c r="I56" s="11">
        <f t="shared" si="3"/>
        <v>6594.6800000005169</v>
      </c>
      <c r="J56" s="11">
        <f t="shared" si="4"/>
        <v>10045.319999999479</v>
      </c>
      <c r="L56">
        <v>184</v>
      </c>
      <c r="O56">
        <v>0.45</v>
      </c>
    </row>
    <row r="57" spans="5:15" x14ac:dyDescent="0.25">
      <c r="E57" s="1">
        <v>-0.15</v>
      </c>
      <c r="F57" s="9">
        <f t="shared" si="5"/>
        <v>221</v>
      </c>
      <c r="G57" s="11">
        <f t="shared" si="2"/>
        <v>15600</v>
      </c>
      <c r="H57" s="12">
        <f t="shared" si="6"/>
        <v>-15583.513300000001</v>
      </c>
      <c r="I57" s="11">
        <f t="shared" si="3"/>
        <v>6594.6799999997893</v>
      </c>
      <c r="J57" s="11">
        <f t="shared" si="4"/>
        <v>9005.3200000002107</v>
      </c>
      <c r="L57">
        <v>185</v>
      </c>
      <c r="O57">
        <v>0.5</v>
      </c>
    </row>
    <row r="58" spans="5:15" x14ac:dyDescent="0.25">
      <c r="E58" s="1">
        <v>-0.14000000000000001</v>
      </c>
      <c r="F58" s="9">
        <f t="shared" si="5"/>
        <v>223.6</v>
      </c>
      <c r="G58" s="11">
        <f t="shared" si="2"/>
        <v>14560.000000000002</v>
      </c>
      <c r="H58" s="12">
        <f t="shared" si="6"/>
        <v>-14543.513300000002</v>
      </c>
      <c r="I58" s="11">
        <f t="shared" si="3"/>
        <v>6594.6799999997893</v>
      </c>
      <c r="J58" s="11">
        <f t="shared" si="4"/>
        <v>7965.3200000002125</v>
      </c>
      <c r="L58">
        <v>186</v>
      </c>
      <c r="O58">
        <v>0.52</v>
      </c>
    </row>
    <row r="59" spans="5:15" x14ac:dyDescent="0.25">
      <c r="E59" s="1">
        <v>-0.13</v>
      </c>
      <c r="F59" s="9">
        <f t="shared" si="5"/>
        <v>226.2</v>
      </c>
      <c r="G59" s="11">
        <f t="shared" si="2"/>
        <v>13520.000000000004</v>
      </c>
      <c r="H59" s="12">
        <f t="shared" si="6"/>
        <v>-13503.513300000004</v>
      </c>
      <c r="I59" s="11">
        <f t="shared" si="3"/>
        <v>6594.6799999997893</v>
      </c>
      <c r="J59" s="11">
        <f t="shared" si="4"/>
        <v>6925.3200000002143</v>
      </c>
      <c r="L59">
        <v>187</v>
      </c>
      <c r="O59">
        <v>0.63</v>
      </c>
    </row>
    <row r="60" spans="5:15" x14ac:dyDescent="0.25">
      <c r="E60" s="1">
        <v>-0.12</v>
      </c>
      <c r="F60" s="9">
        <f t="shared" si="5"/>
        <v>228.8</v>
      </c>
      <c r="G60" s="11">
        <f t="shared" si="2"/>
        <v>12479.999999999996</v>
      </c>
      <c r="H60" s="12">
        <f t="shared" si="6"/>
        <v>-12463.513299999997</v>
      </c>
      <c r="I60" s="11">
        <f t="shared" si="3"/>
        <v>6594.6799999997893</v>
      </c>
      <c r="J60" s="11">
        <f t="shared" si="4"/>
        <v>5885.3200000002071</v>
      </c>
      <c r="L60">
        <v>188</v>
      </c>
      <c r="O60">
        <v>0.56000000000000005</v>
      </c>
    </row>
    <row r="61" spans="5:15" x14ac:dyDescent="0.25">
      <c r="E61" s="1">
        <v>-0.11</v>
      </c>
      <c r="F61" s="9">
        <f t="shared" si="5"/>
        <v>231.4</v>
      </c>
      <c r="G61" s="11">
        <f t="shared" si="2"/>
        <v>11439.999999999998</v>
      </c>
      <c r="H61" s="12">
        <f t="shared" si="6"/>
        <v>-11423.513299999999</v>
      </c>
      <c r="I61" s="11">
        <f t="shared" si="3"/>
        <v>6594.6799999997893</v>
      </c>
      <c r="J61" s="11">
        <f t="shared" si="4"/>
        <v>4845.3200000002089</v>
      </c>
      <c r="L61">
        <v>189</v>
      </c>
      <c r="O61">
        <v>0.61</v>
      </c>
    </row>
    <row r="62" spans="5:15" x14ac:dyDescent="0.25">
      <c r="E62" s="1">
        <v>-0.1</v>
      </c>
      <c r="F62" s="9">
        <f t="shared" si="5"/>
        <v>234</v>
      </c>
      <c r="G62" s="11">
        <f t="shared" si="2"/>
        <v>10400</v>
      </c>
      <c r="H62" s="12">
        <f t="shared" si="6"/>
        <v>-10383.513300000001</v>
      </c>
      <c r="I62" s="11">
        <f t="shared" si="3"/>
        <v>6594.6799999997893</v>
      </c>
      <c r="J62" s="11">
        <f t="shared" si="4"/>
        <v>3805.3200000002107</v>
      </c>
      <c r="L62">
        <v>190</v>
      </c>
      <c r="O62">
        <v>0.66</v>
      </c>
    </row>
    <row r="63" spans="5:15" x14ac:dyDescent="0.25">
      <c r="E63" s="1">
        <v>-0.09</v>
      </c>
      <c r="F63" s="9">
        <f t="shared" si="5"/>
        <v>236.6</v>
      </c>
      <c r="G63" s="11">
        <f t="shared" si="2"/>
        <v>9360.0000000000018</v>
      </c>
      <c r="H63" s="12">
        <f t="shared" si="6"/>
        <v>-9343.5133000000023</v>
      </c>
      <c r="I63" s="11">
        <f t="shared" si="3"/>
        <v>6594.6799999997893</v>
      </c>
      <c r="J63" s="11">
        <f t="shared" si="4"/>
        <v>2765.3200000002125</v>
      </c>
      <c r="L63">
        <v>191</v>
      </c>
      <c r="O63">
        <v>0.69</v>
      </c>
    </row>
    <row r="64" spans="5:15" x14ac:dyDescent="0.25">
      <c r="E64" s="1">
        <v>-0.08</v>
      </c>
      <c r="F64" s="9">
        <f t="shared" si="5"/>
        <v>239.20000000000002</v>
      </c>
      <c r="G64" s="11">
        <f t="shared" si="2"/>
        <v>8319.9999999999927</v>
      </c>
      <c r="H64" s="12">
        <f t="shared" si="6"/>
        <v>-8303.5132999999933</v>
      </c>
      <c r="I64" s="11">
        <f t="shared" si="3"/>
        <v>6594.6799999997893</v>
      </c>
      <c r="J64" s="11">
        <f t="shared" si="4"/>
        <v>1725.3200000002034</v>
      </c>
      <c r="L64">
        <v>192</v>
      </c>
      <c r="O64">
        <v>0.72</v>
      </c>
    </row>
    <row r="65" spans="2:15" x14ac:dyDescent="0.25">
      <c r="E65" s="1">
        <v>-7.0000000000000007E-2</v>
      </c>
      <c r="F65" s="9">
        <f t="shared" si="5"/>
        <v>241.79999999999998</v>
      </c>
      <c r="G65" s="11">
        <f t="shared" si="2"/>
        <v>7280.0000000000073</v>
      </c>
      <c r="H65" s="12">
        <f t="shared" si="6"/>
        <v>-7263.5133000000069</v>
      </c>
      <c r="I65" s="11">
        <f t="shared" si="3"/>
        <v>6594.6800000001531</v>
      </c>
      <c r="J65" s="11">
        <f t="shared" si="4"/>
        <v>685.31999999985419</v>
      </c>
      <c r="L65">
        <v>193</v>
      </c>
      <c r="O65">
        <v>0.77</v>
      </c>
    </row>
    <row r="66" spans="2:15" x14ac:dyDescent="0.25">
      <c r="E66" s="1">
        <v>-0.06</v>
      </c>
      <c r="F66" s="9">
        <f t="shared" si="5"/>
        <v>244.39999999999998</v>
      </c>
      <c r="G66" s="11">
        <f t="shared" si="2"/>
        <v>6240.0000000000091</v>
      </c>
      <c r="H66" s="12">
        <f t="shared" si="6"/>
        <v>-6223.5133000000087</v>
      </c>
      <c r="I66" s="11">
        <f t="shared" si="3"/>
        <v>6594.6800000001531</v>
      </c>
      <c r="J66" s="11">
        <f t="shared" si="4"/>
        <v>-354.68000000014399</v>
      </c>
      <c r="L66">
        <v>194</v>
      </c>
      <c r="O66">
        <v>0.84</v>
      </c>
    </row>
    <row r="67" spans="2:15" x14ac:dyDescent="0.25">
      <c r="E67" s="1">
        <v>-0.05</v>
      </c>
      <c r="F67" s="9">
        <f t="shared" si="5"/>
        <v>247</v>
      </c>
      <c r="G67" s="11">
        <f t="shared" si="2"/>
        <v>5200</v>
      </c>
      <c r="H67" s="12">
        <f t="shared" si="6"/>
        <v>-5183.5132999999996</v>
      </c>
      <c r="I67" s="11">
        <f t="shared" si="3"/>
        <v>6594.6800000001531</v>
      </c>
      <c r="J67" s="11">
        <f t="shared" si="4"/>
        <v>-1394.6800000001531</v>
      </c>
      <c r="L67">
        <v>195</v>
      </c>
      <c r="O67">
        <v>0.87</v>
      </c>
    </row>
    <row r="68" spans="2:15" x14ac:dyDescent="0.25">
      <c r="E68" s="1">
        <v>-0.04</v>
      </c>
      <c r="F68" s="9">
        <f t="shared" si="5"/>
        <v>249.6</v>
      </c>
      <c r="G68" s="11">
        <f t="shared" si="2"/>
        <v>4160.0000000000018</v>
      </c>
      <c r="H68" s="12">
        <f t="shared" si="6"/>
        <v>-4143.5133000000014</v>
      </c>
      <c r="I68" s="11">
        <f t="shared" si="3"/>
        <v>6594.6800000001531</v>
      </c>
      <c r="J68" s="11">
        <f t="shared" si="4"/>
        <v>-2434.6800000001513</v>
      </c>
      <c r="L68">
        <v>196</v>
      </c>
      <c r="O68">
        <v>1.07</v>
      </c>
    </row>
    <row r="69" spans="2:15" x14ac:dyDescent="0.25">
      <c r="E69" s="1">
        <v>-0.03</v>
      </c>
      <c r="F69" s="9">
        <f t="shared" si="5"/>
        <v>252.2</v>
      </c>
      <c r="G69" s="11">
        <f t="shared" si="2"/>
        <v>3120.0000000000045</v>
      </c>
      <c r="H69" s="12">
        <f t="shared" si="6"/>
        <v>-3103.5133000000046</v>
      </c>
      <c r="I69" s="11">
        <f t="shared" si="3"/>
        <v>6594.6799999999712</v>
      </c>
      <c r="J69" s="11">
        <f t="shared" si="4"/>
        <v>-3474.6799999999666</v>
      </c>
      <c r="L69">
        <v>197</v>
      </c>
      <c r="O69">
        <v>0.94</v>
      </c>
    </row>
    <row r="70" spans="2:15" x14ac:dyDescent="0.25">
      <c r="E70" s="1">
        <v>-0.02</v>
      </c>
      <c r="F70" s="9">
        <f t="shared" si="5"/>
        <v>254.79999999999998</v>
      </c>
      <c r="G70" s="11">
        <f t="shared" si="2"/>
        <v>2080.0000000000068</v>
      </c>
      <c r="H70" s="12">
        <f t="shared" si="6"/>
        <v>-2063.5133000000069</v>
      </c>
      <c r="I70" s="11">
        <f t="shared" si="3"/>
        <v>6594.6799999999712</v>
      </c>
      <c r="J70" s="11">
        <f t="shared" si="4"/>
        <v>-4514.6799999999639</v>
      </c>
      <c r="L70">
        <v>198</v>
      </c>
      <c r="O70">
        <v>1.05</v>
      </c>
    </row>
    <row r="71" spans="2:15" x14ac:dyDescent="0.25">
      <c r="E71" s="1">
        <v>-0.01</v>
      </c>
      <c r="F71" s="9">
        <f t="shared" si="5"/>
        <v>257.39999999999998</v>
      </c>
      <c r="G71" s="11">
        <f t="shared" si="2"/>
        <v>1040.0000000000091</v>
      </c>
      <c r="H71" s="12">
        <f t="shared" si="6"/>
        <v>-1023.5133000000091</v>
      </c>
      <c r="I71" s="11">
        <f t="shared" si="3"/>
        <v>6594.6800000000167</v>
      </c>
      <c r="J71" s="11">
        <f t="shared" si="4"/>
        <v>-5554.6800000000076</v>
      </c>
      <c r="L71">
        <v>199</v>
      </c>
      <c r="O71">
        <v>1.0900000000000001</v>
      </c>
    </row>
    <row r="72" spans="2:15" x14ac:dyDescent="0.25">
      <c r="B72"/>
      <c r="C72"/>
      <c r="E72" s="13">
        <v>0</v>
      </c>
      <c r="F72" s="14">
        <f t="shared" si="5"/>
        <v>260</v>
      </c>
      <c r="G72" s="15">
        <f t="shared" si="2"/>
        <v>0</v>
      </c>
      <c r="H72" s="16">
        <f t="shared" si="6"/>
        <v>16.486699999999999</v>
      </c>
      <c r="I72" s="15">
        <f t="shared" si="3"/>
        <v>6594.6799999999994</v>
      </c>
      <c r="J72" s="17">
        <f t="shared" si="4"/>
        <v>-6594.6799999999994</v>
      </c>
      <c r="L72">
        <v>200</v>
      </c>
      <c r="O72">
        <v>1.17</v>
      </c>
    </row>
    <row r="73" spans="2:15" x14ac:dyDescent="0.25">
      <c r="E73" s="1">
        <v>0.01</v>
      </c>
      <c r="F73" s="9">
        <f t="shared" si="5"/>
        <v>262.60000000000002</v>
      </c>
      <c r="G73" s="11">
        <f t="shared" si="2"/>
        <v>-1040.0000000000091</v>
      </c>
      <c r="H73" s="12">
        <f t="shared" si="6"/>
        <v>1056.486700000009</v>
      </c>
      <c r="I73" s="11">
        <f t="shared" si="3"/>
        <v>6594.6799999999712</v>
      </c>
      <c r="J73" s="11">
        <f t="shared" si="4"/>
        <v>-6594.6799999999994</v>
      </c>
      <c r="L73">
        <v>201</v>
      </c>
      <c r="O73">
        <v>1.25</v>
      </c>
    </row>
    <row r="74" spans="2:15" x14ac:dyDescent="0.25">
      <c r="E74" s="1">
        <v>0.02</v>
      </c>
      <c r="F74" s="9">
        <f t="shared" si="5"/>
        <v>265.2</v>
      </c>
      <c r="G74" s="11">
        <f t="shared" si="2"/>
        <v>-2079.9999999999955</v>
      </c>
      <c r="H74" s="12">
        <f t="shared" si="6"/>
        <v>2096.4866999999954</v>
      </c>
      <c r="I74" s="11">
        <f t="shared" si="3"/>
        <v>6594.6799999999712</v>
      </c>
      <c r="J74" s="11">
        <f t="shared" si="4"/>
        <v>-6594.6799999999994</v>
      </c>
      <c r="L74">
        <v>202</v>
      </c>
      <c r="O74">
        <v>1.33</v>
      </c>
    </row>
    <row r="75" spans="2:15" x14ac:dyDescent="0.25">
      <c r="E75" s="1">
        <v>0.03</v>
      </c>
      <c r="F75" s="9">
        <f t="shared" si="5"/>
        <v>267.8</v>
      </c>
      <c r="G75" s="11">
        <f t="shared" si="2"/>
        <v>-3120.0000000000045</v>
      </c>
      <c r="H75" s="12">
        <f t="shared" si="6"/>
        <v>3136.4867000000045</v>
      </c>
      <c r="I75" s="11">
        <f t="shared" si="3"/>
        <v>6594.6799999999712</v>
      </c>
      <c r="J75" s="11">
        <f t="shared" si="4"/>
        <v>-6594.6799999999994</v>
      </c>
      <c r="L75">
        <v>203</v>
      </c>
      <c r="O75">
        <v>1.34</v>
      </c>
    </row>
    <row r="76" spans="2:15" x14ac:dyDescent="0.25">
      <c r="E76" s="1">
        <v>0.04</v>
      </c>
      <c r="F76" s="9">
        <f t="shared" si="5"/>
        <v>270.40000000000003</v>
      </c>
      <c r="G76" s="11">
        <f t="shared" si="2"/>
        <v>-4160.0000000000136</v>
      </c>
      <c r="H76" s="12">
        <f t="shared" si="6"/>
        <v>4176.486700000014</v>
      </c>
      <c r="I76" s="11">
        <f t="shared" si="3"/>
        <v>6594.6800000001531</v>
      </c>
      <c r="J76" s="11">
        <f t="shared" si="4"/>
        <v>-6594.6799999999994</v>
      </c>
      <c r="L76">
        <v>204</v>
      </c>
      <c r="O76">
        <v>1.42</v>
      </c>
    </row>
    <row r="77" spans="2:15" x14ac:dyDescent="0.25">
      <c r="E77" s="1">
        <v>0.05</v>
      </c>
      <c r="F77" s="9">
        <f t="shared" si="5"/>
        <v>273</v>
      </c>
      <c r="G77" s="11">
        <f t="shared" si="2"/>
        <v>-5200</v>
      </c>
      <c r="H77" s="12">
        <f t="shared" si="6"/>
        <v>5216.4867000000004</v>
      </c>
      <c r="I77" s="11">
        <f t="shared" si="3"/>
        <v>6594.6800000001531</v>
      </c>
      <c r="J77" s="11">
        <f t="shared" si="4"/>
        <v>-6594.6799999999994</v>
      </c>
      <c r="L77">
        <v>205</v>
      </c>
      <c r="O77">
        <v>1.54</v>
      </c>
    </row>
    <row r="78" spans="2:15" x14ac:dyDescent="0.25">
      <c r="E78" s="1">
        <v>6.0000000000000102E-2</v>
      </c>
      <c r="F78" s="9">
        <f t="shared" si="5"/>
        <v>275.60000000000002</v>
      </c>
      <c r="G78" s="11">
        <f t="shared" si="2"/>
        <v>-6240.0000000000091</v>
      </c>
      <c r="H78" s="12">
        <f t="shared" si="6"/>
        <v>6256.4867000000095</v>
      </c>
      <c r="I78" s="11">
        <f t="shared" si="3"/>
        <v>6594.6800000001531</v>
      </c>
      <c r="J78" s="11">
        <f t="shared" si="4"/>
        <v>-6594.6799999999994</v>
      </c>
      <c r="L78">
        <v>206</v>
      </c>
      <c r="O78">
        <v>1.82</v>
      </c>
    </row>
    <row r="79" spans="2:15" x14ac:dyDescent="0.25">
      <c r="E79" s="1">
        <v>7.0000000000001006E-2</v>
      </c>
      <c r="F79" s="9">
        <f t="shared" si="5"/>
        <v>278.20000000000027</v>
      </c>
      <c r="G79" s="11">
        <f t="shared" si="2"/>
        <v>-7280.0000000001091</v>
      </c>
      <c r="H79" s="12">
        <f t="shared" si="6"/>
        <v>7296.4867000001095</v>
      </c>
      <c r="I79" s="11">
        <f t="shared" si="3"/>
        <v>6594.6800000001531</v>
      </c>
      <c r="J79" s="11">
        <f t="shared" si="4"/>
        <v>-6594.6799999999994</v>
      </c>
      <c r="L79">
        <v>207</v>
      </c>
      <c r="O79">
        <v>1.63</v>
      </c>
    </row>
    <row r="80" spans="2:15" x14ac:dyDescent="0.25">
      <c r="E80" s="1">
        <v>8.0000000000001001E-2</v>
      </c>
      <c r="F80" s="9">
        <f t="shared" si="5"/>
        <v>280.80000000000024</v>
      </c>
      <c r="G80" s="11">
        <f t="shared" si="2"/>
        <v>-8320.0000000000946</v>
      </c>
      <c r="H80" s="12">
        <f t="shared" si="6"/>
        <v>8336.4867000000941</v>
      </c>
      <c r="I80" s="11">
        <f t="shared" si="3"/>
        <v>6594.6799999997893</v>
      </c>
      <c r="J80" s="11">
        <f t="shared" si="4"/>
        <v>-6594.6799999999994</v>
      </c>
      <c r="L80">
        <v>208</v>
      </c>
      <c r="O80">
        <v>1.78</v>
      </c>
    </row>
    <row r="81" spans="5:15" x14ac:dyDescent="0.25">
      <c r="E81" s="1">
        <v>9.0000000000000996E-2</v>
      </c>
      <c r="F81" s="9">
        <f t="shared" si="5"/>
        <v>283.40000000000026</v>
      </c>
      <c r="G81" s="11">
        <f t="shared" si="2"/>
        <v>-9360.0000000001055</v>
      </c>
      <c r="H81" s="12">
        <f t="shared" si="6"/>
        <v>9376.486700000105</v>
      </c>
      <c r="I81" s="11">
        <f t="shared" si="3"/>
        <v>6594.6799999997893</v>
      </c>
      <c r="J81" s="11">
        <f t="shared" si="4"/>
        <v>-6594.6799999999994</v>
      </c>
      <c r="L81">
        <v>209</v>
      </c>
      <c r="O81">
        <v>1.87</v>
      </c>
    </row>
    <row r="82" spans="5:15" x14ac:dyDescent="0.25">
      <c r="E82" s="1">
        <v>0.100000000000001</v>
      </c>
      <c r="F82" s="9">
        <f t="shared" si="5"/>
        <v>286.00000000000023</v>
      </c>
      <c r="G82" s="11">
        <f t="shared" si="2"/>
        <v>-10400.000000000091</v>
      </c>
      <c r="H82" s="12">
        <f t="shared" si="6"/>
        <v>10416.48670000009</v>
      </c>
      <c r="I82" s="11">
        <f t="shared" si="3"/>
        <v>6594.6799999997893</v>
      </c>
      <c r="J82" s="11">
        <f t="shared" si="4"/>
        <v>-6594.6799999999994</v>
      </c>
      <c r="L82">
        <v>210</v>
      </c>
      <c r="O82">
        <v>2.02</v>
      </c>
    </row>
    <row r="83" spans="5:15" x14ac:dyDescent="0.25">
      <c r="E83" s="1">
        <v>0.110000000000001</v>
      </c>
      <c r="F83" s="9">
        <f t="shared" si="5"/>
        <v>288.60000000000025</v>
      </c>
      <c r="G83" s="11">
        <f t="shared" si="2"/>
        <v>-11440.0000000001</v>
      </c>
      <c r="H83" s="12">
        <f t="shared" si="6"/>
        <v>11456.4867000001</v>
      </c>
      <c r="I83" s="11">
        <f t="shared" si="3"/>
        <v>6594.6799999997893</v>
      </c>
      <c r="J83" s="11">
        <f t="shared" si="4"/>
        <v>-6594.6799999999994</v>
      </c>
      <c r="L83">
        <v>211</v>
      </c>
      <c r="O83">
        <v>2.11</v>
      </c>
    </row>
    <row r="84" spans="5:15" x14ac:dyDescent="0.25">
      <c r="E84" s="1">
        <v>0.12000000000000099</v>
      </c>
      <c r="F84" s="9">
        <f t="shared" si="5"/>
        <v>291.20000000000027</v>
      </c>
      <c r="G84" s="11">
        <f t="shared" si="2"/>
        <v>-12480.000000000109</v>
      </c>
      <c r="H84" s="12">
        <f t="shared" si="6"/>
        <v>12496.486700000109</v>
      </c>
      <c r="I84" s="11">
        <f t="shared" si="3"/>
        <v>6594.6799999997893</v>
      </c>
      <c r="J84" s="11">
        <f t="shared" si="4"/>
        <v>-6594.6799999999994</v>
      </c>
      <c r="L84">
        <v>212</v>
      </c>
      <c r="O84">
        <v>2.13</v>
      </c>
    </row>
    <row r="85" spans="5:15" x14ac:dyDescent="0.25">
      <c r="E85" s="1">
        <v>0.130000000000001</v>
      </c>
      <c r="F85" s="9">
        <f t="shared" si="5"/>
        <v>293.80000000000024</v>
      </c>
      <c r="G85" s="11">
        <f t="shared" si="2"/>
        <v>-13520.000000000095</v>
      </c>
      <c r="H85" s="12">
        <f t="shared" si="6"/>
        <v>13536.486700000094</v>
      </c>
      <c r="I85" s="11">
        <f t="shared" si="3"/>
        <v>6594.6799999997893</v>
      </c>
      <c r="J85" s="11">
        <f t="shared" si="4"/>
        <v>-6594.6799999999994</v>
      </c>
      <c r="L85">
        <v>213</v>
      </c>
      <c r="O85">
        <v>2.33</v>
      </c>
    </row>
    <row r="86" spans="5:15" x14ac:dyDescent="0.25">
      <c r="E86" s="1">
        <v>0.14000000000000101</v>
      </c>
      <c r="F86" s="9">
        <f t="shared" ref="F86:F117" si="7">C$6*(E86+1)</f>
        <v>296.40000000000026</v>
      </c>
      <c r="G86" s="11">
        <f t="shared" si="2"/>
        <v>-14560.000000000106</v>
      </c>
      <c r="H86" s="12">
        <f t="shared" ref="H86:H117" si="8">C$3-G86</f>
        <v>14576.486700000105</v>
      </c>
      <c r="I86" s="11">
        <f t="shared" si="3"/>
        <v>6594.6799999997893</v>
      </c>
      <c r="J86" s="11">
        <f t="shared" si="4"/>
        <v>-6594.6799999999994</v>
      </c>
      <c r="L86">
        <v>214</v>
      </c>
      <c r="O86">
        <v>2.37</v>
      </c>
    </row>
    <row r="87" spans="5:15" x14ac:dyDescent="0.25">
      <c r="E87" s="1">
        <v>0.15000000000000099</v>
      </c>
      <c r="F87" s="9">
        <f t="shared" si="7"/>
        <v>299.00000000000028</v>
      </c>
      <c r="G87" s="11">
        <f t="shared" ref="G87:G122" si="9">(C$2-F87)*C$4*100</f>
        <v>-15600.000000000113</v>
      </c>
      <c r="H87" s="12">
        <f t="shared" si="8"/>
        <v>15616.486700000112</v>
      </c>
      <c r="I87" s="11">
        <f t="shared" ref="I87:I122" si="10">(G87+H87)*C$4*100</f>
        <v>6594.6799999997893</v>
      </c>
      <c r="J87" s="11">
        <f t="shared" ref="J87:J122" si="11">IF(F87&lt;C$2,G87-I87,-(C$3*C$4*100))</f>
        <v>-6594.6799999999994</v>
      </c>
      <c r="L87">
        <v>215</v>
      </c>
      <c r="O87">
        <v>2.58</v>
      </c>
    </row>
    <row r="88" spans="5:15" x14ac:dyDescent="0.25">
      <c r="E88" s="1">
        <v>0.160000000000001</v>
      </c>
      <c r="F88" s="9">
        <f t="shared" si="7"/>
        <v>301.60000000000025</v>
      </c>
      <c r="G88" s="11">
        <f t="shared" si="9"/>
        <v>-16640.000000000102</v>
      </c>
      <c r="H88" s="12">
        <f t="shared" si="8"/>
        <v>16656.486700000103</v>
      </c>
      <c r="I88" s="11">
        <f t="shared" si="10"/>
        <v>6594.6800000005169</v>
      </c>
      <c r="J88" s="11">
        <f t="shared" si="11"/>
        <v>-6594.6799999999994</v>
      </c>
      <c r="L88">
        <v>216</v>
      </c>
      <c r="O88">
        <v>2.64</v>
      </c>
    </row>
    <row r="89" spans="5:15" x14ac:dyDescent="0.25">
      <c r="E89" s="1">
        <v>0.17000000000000101</v>
      </c>
      <c r="F89" s="9">
        <f t="shared" si="7"/>
        <v>304.20000000000027</v>
      </c>
      <c r="G89" s="11">
        <f t="shared" si="9"/>
        <v>-17680.000000000109</v>
      </c>
      <c r="H89" s="12">
        <f t="shared" si="8"/>
        <v>17696.48670000011</v>
      </c>
      <c r="I89" s="11">
        <f t="shared" si="10"/>
        <v>6594.6800000005169</v>
      </c>
      <c r="J89" s="11">
        <f t="shared" si="11"/>
        <v>-6594.6799999999994</v>
      </c>
      <c r="L89">
        <v>217</v>
      </c>
      <c r="O89">
        <v>2.81</v>
      </c>
    </row>
    <row r="90" spans="5:15" x14ac:dyDescent="0.25">
      <c r="E90" s="1">
        <v>0.18000000000000099</v>
      </c>
      <c r="F90" s="9">
        <f t="shared" si="7"/>
        <v>306.8000000000003</v>
      </c>
      <c r="G90" s="11">
        <f t="shared" si="9"/>
        <v>-18720.000000000116</v>
      </c>
      <c r="H90" s="12">
        <f t="shared" si="8"/>
        <v>18736.486700000118</v>
      </c>
      <c r="I90" s="11">
        <f t="shared" si="10"/>
        <v>6594.6800000005169</v>
      </c>
      <c r="J90" s="11">
        <f t="shared" si="11"/>
        <v>-6594.6799999999994</v>
      </c>
      <c r="L90">
        <v>218</v>
      </c>
      <c r="O90">
        <v>2.97</v>
      </c>
    </row>
    <row r="91" spans="5:15" x14ac:dyDescent="0.25">
      <c r="E91" s="1">
        <v>0.190000000000001</v>
      </c>
      <c r="F91" s="9">
        <f t="shared" si="7"/>
        <v>309.40000000000026</v>
      </c>
      <c r="G91" s="11">
        <f t="shared" si="9"/>
        <v>-19760.000000000106</v>
      </c>
      <c r="H91" s="12">
        <f t="shared" si="8"/>
        <v>19776.486700000107</v>
      </c>
      <c r="I91" s="11">
        <f t="shared" si="10"/>
        <v>6594.6800000005169</v>
      </c>
      <c r="J91" s="11">
        <f t="shared" si="11"/>
        <v>-6594.6799999999994</v>
      </c>
      <c r="L91">
        <v>219</v>
      </c>
      <c r="O91">
        <v>3.07</v>
      </c>
    </row>
    <row r="92" spans="5:15" x14ac:dyDescent="0.25">
      <c r="E92" s="1">
        <v>0.20000000000000101</v>
      </c>
      <c r="F92" s="9">
        <f t="shared" si="7"/>
        <v>312.00000000000028</v>
      </c>
      <c r="G92" s="11">
        <f t="shared" si="9"/>
        <v>-20800.000000000113</v>
      </c>
      <c r="H92" s="12">
        <f t="shared" si="8"/>
        <v>20816.486700000114</v>
      </c>
      <c r="I92" s="11">
        <f t="shared" si="10"/>
        <v>6594.6800000005169</v>
      </c>
      <c r="J92" s="11">
        <f t="shared" si="11"/>
        <v>-6594.6799999999994</v>
      </c>
      <c r="L92">
        <v>220</v>
      </c>
      <c r="O92">
        <v>3.25</v>
      </c>
    </row>
    <row r="93" spans="5:15" x14ac:dyDescent="0.25">
      <c r="E93" s="1">
        <v>0.21000000000000099</v>
      </c>
      <c r="F93" s="9">
        <f t="shared" si="7"/>
        <v>314.60000000000031</v>
      </c>
      <c r="G93" s="11">
        <f t="shared" si="9"/>
        <v>-21840.000000000124</v>
      </c>
      <c r="H93" s="12">
        <f t="shared" si="8"/>
        <v>21856.486700000125</v>
      </c>
      <c r="I93" s="11">
        <f t="shared" si="10"/>
        <v>6594.6800000005169</v>
      </c>
      <c r="J93" s="11">
        <f t="shared" si="11"/>
        <v>-6594.6799999999994</v>
      </c>
      <c r="L93">
        <v>221</v>
      </c>
      <c r="O93">
        <v>3.33</v>
      </c>
    </row>
    <row r="94" spans="5:15" x14ac:dyDescent="0.25">
      <c r="E94" s="1">
        <v>0.220000000000001</v>
      </c>
      <c r="F94" s="9">
        <f t="shared" si="7"/>
        <v>317.20000000000027</v>
      </c>
      <c r="G94" s="11">
        <f t="shared" si="9"/>
        <v>-22880.000000000109</v>
      </c>
      <c r="H94" s="12">
        <f t="shared" si="8"/>
        <v>22896.48670000011</v>
      </c>
      <c r="I94" s="11">
        <f t="shared" si="10"/>
        <v>6594.6800000005169</v>
      </c>
      <c r="J94" s="11">
        <f t="shared" si="11"/>
        <v>-6594.6799999999994</v>
      </c>
      <c r="L94">
        <v>222</v>
      </c>
      <c r="O94">
        <v>3.44</v>
      </c>
    </row>
    <row r="95" spans="5:15" x14ac:dyDescent="0.25">
      <c r="E95" s="1">
        <v>0.23000000000000101</v>
      </c>
      <c r="F95" s="9">
        <f t="shared" si="7"/>
        <v>319.8000000000003</v>
      </c>
      <c r="G95" s="11">
        <f t="shared" si="9"/>
        <v>-23920.000000000116</v>
      </c>
      <c r="H95" s="12">
        <f t="shared" si="8"/>
        <v>23936.486700000118</v>
      </c>
      <c r="I95" s="11">
        <f t="shared" si="10"/>
        <v>6594.6800000005169</v>
      </c>
      <c r="J95" s="11">
        <f t="shared" si="11"/>
        <v>-6594.6799999999994</v>
      </c>
      <c r="L95">
        <v>223</v>
      </c>
      <c r="O95">
        <v>3.69</v>
      </c>
    </row>
    <row r="96" spans="5:15" x14ac:dyDescent="0.25">
      <c r="E96" s="1">
        <v>0.24000000000000099</v>
      </c>
      <c r="F96" s="9">
        <f t="shared" si="7"/>
        <v>322.40000000000026</v>
      </c>
      <c r="G96" s="11">
        <f t="shared" si="9"/>
        <v>-24960.000000000106</v>
      </c>
      <c r="H96" s="12">
        <f t="shared" si="8"/>
        <v>24976.486700000107</v>
      </c>
      <c r="I96" s="11">
        <f t="shared" si="10"/>
        <v>6594.6800000005169</v>
      </c>
      <c r="J96" s="11">
        <f t="shared" si="11"/>
        <v>-6594.6799999999994</v>
      </c>
      <c r="L96">
        <v>224</v>
      </c>
      <c r="O96">
        <v>3.96</v>
      </c>
    </row>
    <row r="97" spans="5:15" x14ac:dyDescent="0.25">
      <c r="E97" s="1">
        <v>0.250000000000001</v>
      </c>
      <c r="F97" s="9">
        <f t="shared" si="7"/>
        <v>325.00000000000023</v>
      </c>
      <c r="G97" s="11">
        <f t="shared" si="9"/>
        <v>-26000.000000000091</v>
      </c>
      <c r="H97" s="12">
        <f t="shared" si="8"/>
        <v>26016.486700000092</v>
      </c>
      <c r="I97" s="11">
        <f t="shared" si="10"/>
        <v>6594.6800000005169</v>
      </c>
      <c r="J97" s="11">
        <f t="shared" si="11"/>
        <v>-6594.6799999999994</v>
      </c>
      <c r="L97">
        <v>225</v>
      </c>
      <c r="O97">
        <v>4.0999999999999996</v>
      </c>
    </row>
    <row r="98" spans="5:15" x14ac:dyDescent="0.25">
      <c r="E98" s="1">
        <v>0.26000000000000101</v>
      </c>
      <c r="F98" s="9">
        <f t="shared" si="7"/>
        <v>327.60000000000031</v>
      </c>
      <c r="G98" s="11">
        <f t="shared" si="9"/>
        <v>-27040.000000000124</v>
      </c>
      <c r="H98" s="12">
        <f t="shared" si="8"/>
        <v>27056.486700000125</v>
      </c>
      <c r="I98" s="11">
        <f t="shared" si="10"/>
        <v>6594.6800000005169</v>
      </c>
      <c r="J98" s="11">
        <f t="shared" si="11"/>
        <v>-6594.6799999999994</v>
      </c>
      <c r="L98">
        <v>226</v>
      </c>
      <c r="O98">
        <v>4.26</v>
      </c>
    </row>
    <row r="99" spans="5:15" x14ac:dyDescent="0.25">
      <c r="E99" s="1">
        <v>0.27000000000000102</v>
      </c>
      <c r="F99" s="9">
        <f t="shared" si="7"/>
        <v>330.20000000000022</v>
      </c>
      <c r="G99" s="11">
        <f t="shared" si="9"/>
        <v>-28080.000000000087</v>
      </c>
      <c r="H99" s="12">
        <f t="shared" si="8"/>
        <v>28096.486700000089</v>
      </c>
      <c r="I99" s="11">
        <f t="shared" si="10"/>
        <v>6594.6800000005169</v>
      </c>
      <c r="J99" s="11">
        <f t="shared" si="11"/>
        <v>-6594.6799999999994</v>
      </c>
      <c r="L99">
        <v>227</v>
      </c>
      <c r="O99">
        <v>4.5</v>
      </c>
    </row>
    <row r="100" spans="5:15" x14ac:dyDescent="0.25">
      <c r="E100" s="1">
        <v>0.28000000000000103</v>
      </c>
      <c r="F100" s="9">
        <f t="shared" si="7"/>
        <v>332.8000000000003</v>
      </c>
      <c r="G100" s="11">
        <f t="shared" si="9"/>
        <v>-29120.000000000116</v>
      </c>
      <c r="H100" s="12">
        <f t="shared" si="8"/>
        <v>29136.486700000118</v>
      </c>
      <c r="I100" s="11">
        <f t="shared" si="10"/>
        <v>6594.6800000005169</v>
      </c>
      <c r="J100" s="11">
        <f t="shared" si="11"/>
        <v>-6594.6799999999994</v>
      </c>
      <c r="L100">
        <v>228</v>
      </c>
      <c r="O100">
        <v>4.58</v>
      </c>
    </row>
    <row r="101" spans="5:15" x14ac:dyDescent="0.25">
      <c r="E101" s="1">
        <v>0.29000000000000098</v>
      </c>
      <c r="F101" s="9">
        <f t="shared" si="7"/>
        <v>335.40000000000026</v>
      </c>
      <c r="G101" s="11">
        <f t="shared" si="9"/>
        <v>-30160.000000000106</v>
      </c>
      <c r="H101" s="12">
        <f t="shared" si="8"/>
        <v>30176.486700000107</v>
      </c>
      <c r="I101" s="11">
        <f t="shared" si="10"/>
        <v>6594.6800000005169</v>
      </c>
      <c r="J101" s="11">
        <f t="shared" si="11"/>
        <v>-6594.6799999999994</v>
      </c>
      <c r="L101">
        <v>229</v>
      </c>
      <c r="O101">
        <v>4.91</v>
      </c>
    </row>
    <row r="102" spans="5:15" x14ac:dyDescent="0.25">
      <c r="E102" s="1">
        <v>0.30000000000000099</v>
      </c>
      <c r="F102" s="9">
        <f t="shared" si="7"/>
        <v>338.00000000000023</v>
      </c>
      <c r="G102" s="11">
        <f t="shared" si="9"/>
        <v>-31200.000000000091</v>
      </c>
      <c r="H102" s="12">
        <f t="shared" si="8"/>
        <v>31216.486700000092</v>
      </c>
      <c r="I102" s="11">
        <f t="shared" si="10"/>
        <v>6594.6800000005169</v>
      </c>
      <c r="J102" s="11">
        <f t="shared" si="11"/>
        <v>-6594.6799999999994</v>
      </c>
      <c r="L102">
        <v>230</v>
      </c>
      <c r="O102">
        <v>5.15</v>
      </c>
    </row>
    <row r="103" spans="5:15" x14ac:dyDescent="0.25">
      <c r="E103" s="1">
        <v>0.310000000000001</v>
      </c>
      <c r="F103" s="9">
        <f t="shared" si="7"/>
        <v>340.60000000000025</v>
      </c>
      <c r="G103" s="11">
        <f t="shared" si="9"/>
        <v>-32240.000000000102</v>
      </c>
      <c r="H103" s="12">
        <f t="shared" si="8"/>
        <v>32256.486700000103</v>
      </c>
      <c r="I103" s="11">
        <f t="shared" si="10"/>
        <v>6594.6800000005169</v>
      </c>
      <c r="J103" s="11">
        <f t="shared" si="11"/>
        <v>-6594.6799999999994</v>
      </c>
      <c r="L103">
        <v>231</v>
      </c>
      <c r="O103">
        <v>5.16</v>
      </c>
    </row>
    <row r="104" spans="5:15" x14ac:dyDescent="0.25">
      <c r="E104" s="1">
        <v>0.32000000000000101</v>
      </c>
      <c r="F104" s="9">
        <f t="shared" si="7"/>
        <v>343.20000000000027</v>
      </c>
      <c r="G104" s="11">
        <f t="shared" si="9"/>
        <v>-33280.000000000109</v>
      </c>
      <c r="H104" s="12">
        <f t="shared" si="8"/>
        <v>33296.48670000011</v>
      </c>
      <c r="I104" s="11">
        <f t="shared" si="10"/>
        <v>6594.6800000005169</v>
      </c>
      <c r="J104" s="11">
        <f t="shared" si="11"/>
        <v>-6594.6799999999994</v>
      </c>
      <c r="L104">
        <v>232</v>
      </c>
      <c r="O104">
        <v>5.4</v>
      </c>
    </row>
    <row r="105" spans="5:15" x14ac:dyDescent="0.25">
      <c r="E105" s="1">
        <v>0.33000000000000101</v>
      </c>
      <c r="F105" s="9">
        <f t="shared" si="7"/>
        <v>345.80000000000024</v>
      </c>
      <c r="G105" s="11">
        <f t="shared" si="9"/>
        <v>-34320.000000000095</v>
      </c>
      <c r="H105" s="12">
        <f t="shared" si="8"/>
        <v>34336.486700000096</v>
      </c>
      <c r="I105" s="11">
        <f t="shared" si="10"/>
        <v>6594.6800000005169</v>
      </c>
      <c r="J105" s="11">
        <f t="shared" si="11"/>
        <v>-6594.6799999999994</v>
      </c>
      <c r="L105">
        <v>233</v>
      </c>
      <c r="O105">
        <v>5.81</v>
      </c>
    </row>
    <row r="106" spans="5:15" x14ac:dyDescent="0.25">
      <c r="E106" s="1">
        <v>0.34000000000000102</v>
      </c>
      <c r="F106" s="9">
        <f t="shared" si="7"/>
        <v>348.40000000000026</v>
      </c>
      <c r="G106" s="11">
        <f t="shared" si="9"/>
        <v>-35360.000000000102</v>
      </c>
      <c r="H106" s="12">
        <f t="shared" si="8"/>
        <v>35376.486700000103</v>
      </c>
      <c r="I106" s="11">
        <f t="shared" si="10"/>
        <v>6594.6800000005169</v>
      </c>
      <c r="J106" s="11">
        <f t="shared" si="11"/>
        <v>-6594.6799999999994</v>
      </c>
      <c r="L106">
        <v>234</v>
      </c>
      <c r="O106">
        <v>6.06</v>
      </c>
    </row>
    <row r="107" spans="5:15" x14ac:dyDescent="0.25">
      <c r="E107" s="1">
        <v>0.35000000000000098</v>
      </c>
      <c r="F107" s="9">
        <f t="shared" si="7"/>
        <v>351.00000000000023</v>
      </c>
      <c r="G107" s="11">
        <f t="shared" si="9"/>
        <v>-36400.000000000087</v>
      </c>
      <c r="H107" s="12">
        <f t="shared" si="8"/>
        <v>36416.486700000089</v>
      </c>
      <c r="I107" s="11">
        <f t="shared" si="10"/>
        <v>6594.6800000005169</v>
      </c>
      <c r="J107" s="11">
        <f t="shared" si="11"/>
        <v>-6594.6799999999994</v>
      </c>
      <c r="L107">
        <v>235</v>
      </c>
      <c r="O107">
        <v>6.31</v>
      </c>
    </row>
    <row r="108" spans="5:15" x14ac:dyDescent="0.25">
      <c r="E108" s="1">
        <v>0.36000000000000099</v>
      </c>
      <c r="F108" s="9">
        <f t="shared" si="7"/>
        <v>353.60000000000025</v>
      </c>
      <c r="G108" s="11">
        <f t="shared" si="9"/>
        <v>-37440.000000000102</v>
      </c>
      <c r="H108" s="12">
        <f t="shared" si="8"/>
        <v>37456.486700000103</v>
      </c>
      <c r="I108" s="11">
        <f t="shared" si="10"/>
        <v>6594.6800000005169</v>
      </c>
      <c r="J108" s="11">
        <f t="shared" si="11"/>
        <v>-6594.6799999999994</v>
      </c>
      <c r="L108">
        <v>236</v>
      </c>
      <c r="O108">
        <v>6.55</v>
      </c>
    </row>
    <row r="109" spans="5:15" x14ac:dyDescent="0.25">
      <c r="E109" s="1">
        <v>0.37000000000000099</v>
      </c>
      <c r="F109" s="9">
        <f t="shared" si="7"/>
        <v>356.20000000000027</v>
      </c>
      <c r="G109" s="11">
        <f t="shared" si="9"/>
        <v>-38480.000000000109</v>
      </c>
      <c r="H109" s="12">
        <f t="shared" si="8"/>
        <v>38496.48670000011</v>
      </c>
      <c r="I109" s="11">
        <f t="shared" si="10"/>
        <v>6594.6800000005169</v>
      </c>
      <c r="J109" s="11">
        <f t="shared" si="11"/>
        <v>-6594.6799999999994</v>
      </c>
      <c r="L109">
        <v>237</v>
      </c>
      <c r="O109">
        <v>6.85</v>
      </c>
    </row>
    <row r="110" spans="5:15" x14ac:dyDescent="0.25">
      <c r="E110" s="1">
        <v>0.380000000000001</v>
      </c>
      <c r="F110" s="9">
        <f t="shared" si="7"/>
        <v>358.80000000000024</v>
      </c>
      <c r="G110" s="11">
        <f t="shared" si="9"/>
        <v>-39520.000000000095</v>
      </c>
      <c r="H110" s="12">
        <f t="shared" si="8"/>
        <v>39536.486700000096</v>
      </c>
      <c r="I110" s="11">
        <f t="shared" si="10"/>
        <v>6594.6800000005169</v>
      </c>
      <c r="J110" s="11">
        <f t="shared" si="11"/>
        <v>-6594.6799999999994</v>
      </c>
      <c r="L110">
        <v>238</v>
      </c>
      <c r="O110">
        <v>7.01</v>
      </c>
    </row>
    <row r="111" spans="5:15" x14ac:dyDescent="0.25">
      <c r="E111" s="1">
        <v>0.39000000000000101</v>
      </c>
      <c r="F111" s="9">
        <f t="shared" si="7"/>
        <v>361.40000000000026</v>
      </c>
      <c r="G111" s="11">
        <f t="shared" si="9"/>
        <v>-40560.000000000102</v>
      </c>
      <c r="H111" s="12">
        <f t="shared" si="8"/>
        <v>40576.486700000103</v>
      </c>
      <c r="I111" s="11">
        <f t="shared" si="10"/>
        <v>6594.6800000005169</v>
      </c>
      <c r="J111" s="11">
        <f t="shared" si="11"/>
        <v>-6594.6799999999994</v>
      </c>
      <c r="L111">
        <v>239</v>
      </c>
      <c r="O111">
        <v>7.25</v>
      </c>
    </row>
    <row r="112" spans="5:15" x14ac:dyDescent="0.25">
      <c r="E112" s="1">
        <v>0.40000000000000102</v>
      </c>
      <c r="F112" s="9">
        <f t="shared" si="7"/>
        <v>364.00000000000028</v>
      </c>
      <c r="G112" s="11">
        <f t="shared" si="9"/>
        <v>-41600.000000000116</v>
      </c>
      <c r="H112" s="12">
        <f t="shared" si="8"/>
        <v>41616.486700000118</v>
      </c>
      <c r="I112" s="11">
        <f t="shared" si="10"/>
        <v>6594.6800000005169</v>
      </c>
      <c r="J112" s="11">
        <f t="shared" si="11"/>
        <v>-6594.6799999999994</v>
      </c>
      <c r="L112">
        <v>240</v>
      </c>
      <c r="O112">
        <v>7.74</v>
      </c>
    </row>
    <row r="113" spans="5:10" x14ac:dyDescent="0.25">
      <c r="E113" s="1">
        <v>0.41000000000000097</v>
      </c>
      <c r="F113" s="9">
        <f t="shared" si="7"/>
        <v>366.60000000000025</v>
      </c>
      <c r="G113" s="11">
        <f t="shared" si="9"/>
        <v>-42640.000000000102</v>
      </c>
      <c r="H113" s="12">
        <f t="shared" si="8"/>
        <v>42656.486700000103</v>
      </c>
      <c r="I113" s="11">
        <f t="shared" si="10"/>
        <v>6594.6800000005169</v>
      </c>
      <c r="J113" s="11">
        <f t="shared" si="11"/>
        <v>-6594.6799999999994</v>
      </c>
    </row>
    <row r="114" spans="5:10" x14ac:dyDescent="0.25">
      <c r="E114" s="1">
        <v>0.42000000000000098</v>
      </c>
      <c r="F114" s="9">
        <f t="shared" si="7"/>
        <v>369.20000000000027</v>
      </c>
      <c r="G114" s="11">
        <f t="shared" si="9"/>
        <v>-43680.000000000109</v>
      </c>
      <c r="H114" s="12">
        <f t="shared" si="8"/>
        <v>43696.48670000011</v>
      </c>
      <c r="I114" s="11">
        <f t="shared" si="10"/>
        <v>6594.6800000005169</v>
      </c>
      <c r="J114" s="11">
        <f t="shared" si="11"/>
        <v>-6594.6799999999994</v>
      </c>
    </row>
    <row r="115" spans="5:10" x14ac:dyDescent="0.25">
      <c r="E115" s="1">
        <v>0.43000000000000099</v>
      </c>
      <c r="F115" s="9">
        <f t="shared" si="7"/>
        <v>371.8000000000003</v>
      </c>
      <c r="G115" s="11">
        <f t="shared" si="9"/>
        <v>-44720.000000000116</v>
      </c>
      <c r="H115" s="12">
        <f t="shared" si="8"/>
        <v>44736.486700000118</v>
      </c>
      <c r="I115" s="11">
        <f t="shared" si="10"/>
        <v>6594.6800000005169</v>
      </c>
      <c r="J115" s="11">
        <f t="shared" si="11"/>
        <v>-6594.6799999999994</v>
      </c>
    </row>
    <row r="116" spans="5:10" x14ac:dyDescent="0.25">
      <c r="E116" s="1">
        <v>0.440000000000001</v>
      </c>
      <c r="F116" s="9">
        <f t="shared" si="7"/>
        <v>374.40000000000026</v>
      </c>
      <c r="G116" s="11">
        <f t="shared" si="9"/>
        <v>-45760.000000000102</v>
      </c>
      <c r="H116" s="12">
        <f t="shared" si="8"/>
        <v>45776.486700000103</v>
      </c>
      <c r="I116" s="11">
        <f t="shared" si="10"/>
        <v>6594.6800000005169</v>
      </c>
      <c r="J116" s="11">
        <f t="shared" si="11"/>
        <v>-6594.6799999999994</v>
      </c>
    </row>
    <row r="117" spans="5:10" x14ac:dyDescent="0.25">
      <c r="E117" s="1">
        <v>0.45000000000000101</v>
      </c>
      <c r="F117" s="9">
        <f t="shared" si="7"/>
        <v>377.00000000000028</v>
      </c>
      <c r="G117" s="11">
        <f t="shared" si="9"/>
        <v>-46800.000000000116</v>
      </c>
      <c r="H117" s="12">
        <f t="shared" si="8"/>
        <v>46816.486700000118</v>
      </c>
      <c r="I117" s="11">
        <f t="shared" si="10"/>
        <v>6594.6800000005169</v>
      </c>
      <c r="J117" s="11">
        <f t="shared" si="11"/>
        <v>-6594.6799999999994</v>
      </c>
    </row>
    <row r="118" spans="5:10" x14ac:dyDescent="0.25">
      <c r="E118" s="1">
        <v>0.46000000000000102</v>
      </c>
      <c r="F118" s="9">
        <f t="shared" ref="F118:F149" si="12">C$6*(E118+1)</f>
        <v>379.60000000000031</v>
      </c>
      <c r="G118" s="11">
        <f t="shared" si="9"/>
        <v>-47840.000000000124</v>
      </c>
      <c r="H118" s="12">
        <f t="shared" ref="H118:H149" si="13">C$3-G118</f>
        <v>47856.486700000125</v>
      </c>
      <c r="I118" s="11">
        <f t="shared" si="10"/>
        <v>6594.6800000005169</v>
      </c>
      <c r="J118" s="11">
        <f t="shared" si="11"/>
        <v>-6594.6799999999994</v>
      </c>
    </row>
    <row r="119" spans="5:10" x14ac:dyDescent="0.25">
      <c r="E119" s="1">
        <v>0.47000000000000097</v>
      </c>
      <c r="F119" s="9">
        <f t="shared" si="12"/>
        <v>382.20000000000027</v>
      </c>
      <c r="G119" s="11">
        <f t="shared" si="9"/>
        <v>-48880.000000000109</v>
      </c>
      <c r="H119" s="12">
        <f t="shared" si="13"/>
        <v>48896.48670000011</v>
      </c>
      <c r="I119" s="11">
        <f t="shared" si="10"/>
        <v>6594.6800000005169</v>
      </c>
      <c r="J119" s="11">
        <f t="shared" si="11"/>
        <v>-6594.6799999999994</v>
      </c>
    </row>
    <row r="120" spans="5:10" x14ac:dyDescent="0.25">
      <c r="E120" s="1">
        <v>0.48000000000000098</v>
      </c>
      <c r="F120" s="9">
        <f t="shared" si="12"/>
        <v>384.80000000000024</v>
      </c>
      <c r="G120" s="11">
        <f t="shared" si="9"/>
        <v>-49920.000000000095</v>
      </c>
      <c r="H120" s="12">
        <f t="shared" si="13"/>
        <v>49936.486700000096</v>
      </c>
      <c r="I120" s="11">
        <f t="shared" si="10"/>
        <v>6594.6800000005169</v>
      </c>
      <c r="J120" s="11">
        <f t="shared" si="11"/>
        <v>-6594.6799999999994</v>
      </c>
    </row>
    <row r="121" spans="5:10" x14ac:dyDescent="0.25">
      <c r="E121" s="1">
        <v>0.49000000000000099</v>
      </c>
      <c r="F121" s="9">
        <f t="shared" si="12"/>
        <v>387.40000000000026</v>
      </c>
      <c r="G121" s="11">
        <f t="shared" si="9"/>
        <v>-50960.000000000102</v>
      </c>
      <c r="H121" s="12">
        <f t="shared" si="13"/>
        <v>50976.486700000103</v>
      </c>
      <c r="I121" s="11">
        <f t="shared" si="10"/>
        <v>6594.6800000005169</v>
      </c>
      <c r="J121" s="11">
        <f t="shared" si="11"/>
        <v>-6594.6799999999994</v>
      </c>
    </row>
    <row r="122" spans="5:10" x14ac:dyDescent="0.25">
      <c r="E122" s="1">
        <v>0.5</v>
      </c>
      <c r="F122" s="9">
        <f t="shared" si="12"/>
        <v>390</v>
      </c>
      <c r="G122" s="11">
        <f t="shared" si="9"/>
        <v>-52000</v>
      </c>
      <c r="H122" s="12">
        <f t="shared" si="13"/>
        <v>52016.486700000001</v>
      </c>
      <c r="I122" s="11">
        <f t="shared" si="10"/>
        <v>6594.6800000005169</v>
      </c>
      <c r="J122" s="11">
        <f t="shared" si="11"/>
        <v>-6594.6799999999994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EE9B-CC32-4CAC-8CB0-F503A5E341AA}">
  <dimension ref="A1:AA101"/>
  <sheetViews>
    <sheetView workbookViewId="0">
      <selection activeCell="AF21" sqref="AF21"/>
    </sheetView>
  </sheetViews>
  <sheetFormatPr defaultRowHeight="15" x14ac:dyDescent="0.25"/>
  <cols>
    <col min="1" max="16384" width="9.140625" style="3"/>
  </cols>
  <sheetData>
    <row r="1" spans="1:27" x14ac:dyDescent="0.25">
      <c r="A1" s="3">
        <v>226</v>
      </c>
      <c r="B1" s="3">
        <v>8.4600000000000009</v>
      </c>
      <c r="C1" s="3">
        <v>8.5299999999999994</v>
      </c>
      <c r="E1" s="3">
        <v>8.52</v>
      </c>
      <c r="G1" s="3">
        <v>-3.49</v>
      </c>
      <c r="I1" s="4">
        <v>1536</v>
      </c>
      <c r="K1" s="4">
        <v>2044</v>
      </c>
    </row>
    <row r="2" spans="1:27" x14ac:dyDescent="0.25">
      <c r="A2" s="3">
        <v>227</v>
      </c>
      <c r="B2" s="3">
        <v>8.66</v>
      </c>
      <c r="C2" s="3">
        <v>8.73</v>
      </c>
      <c r="E2" s="3">
        <v>8.77</v>
      </c>
      <c r="G2" s="3">
        <v>-3.53</v>
      </c>
      <c r="I2" s="4">
        <v>1045</v>
      </c>
      <c r="K2" s="4">
        <v>2412</v>
      </c>
      <c r="O2" s="3" t="s">
        <v>2</v>
      </c>
      <c r="Q2" s="3">
        <v>10.68</v>
      </c>
      <c r="R2" s="3">
        <v>10.81</v>
      </c>
      <c r="T2" s="3">
        <v>12.03</v>
      </c>
      <c r="V2" s="3">
        <v>-2.97</v>
      </c>
      <c r="X2" s="3">
        <v>386</v>
      </c>
      <c r="Z2" s="3">
        <v>322</v>
      </c>
    </row>
    <row r="3" spans="1:27" x14ac:dyDescent="0.25">
      <c r="A3" s="3">
        <v>228</v>
      </c>
      <c r="B3" s="3">
        <v>8.86</v>
      </c>
      <c r="C3" s="3">
        <v>8.94</v>
      </c>
      <c r="E3" s="3">
        <v>8.92</v>
      </c>
      <c r="G3" s="3">
        <v>-3.67</v>
      </c>
      <c r="I3" s="4">
        <v>2080</v>
      </c>
      <c r="K3" s="4">
        <v>2837</v>
      </c>
      <c r="O3" s="3" t="s">
        <v>3</v>
      </c>
      <c r="Q3" s="3">
        <v>10.91</v>
      </c>
      <c r="S3" s="3">
        <v>11.04</v>
      </c>
      <c r="U3" s="3">
        <v>11.91</v>
      </c>
      <c r="W3" s="3">
        <v>-3.4</v>
      </c>
      <c r="Y3" s="3">
        <v>414</v>
      </c>
      <c r="AA3" s="3">
        <v>245</v>
      </c>
    </row>
    <row r="4" spans="1:27" x14ac:dyDescent="0.25">
      <c r="A4" s="3">
        <v>229</v>
      </c>
      <c r="B4" s="3">
        <v>9.07</v>
      </c>
      <c r="C4" s="3">
        <v>9.14</v>
      </c>
      <c r="E4" s="3">
        <v>9.07</v>
      </c>
      <c r="G4" s="3">
        <v>-3.81</v>
      </c>
      <c r="I4" s="3">
        <v>727</v>
      </c>
      <c r="K4" s="4">
        <v>2335</v>
      </c>
      <c r="O4" s="3" t="s">
        <v>4</v>
      </c>
      <c r="Q4" s="3">
        <v>11.14</v>
      </c>
      <c r="S4" s="3">
        <v>11.27</v>
      </c>
      <c r="U4" s="3">
        <v>12.16</v>
      </c>
      <c r="W4" s="3">
        <v>-3.46</v>
      </c>
      <c r="Y4" s="3">
        <v>423</v>
      </c>
      <c r="AA4" s="3">
        <v>563</v>
      </c>
    </row>
    <row r="5" spans="1:27" x14ac:dyDescent="0.25">
      <c r="A5" s="3">
        <v>230</v>
      </c>
      <c r="B5" s="3">
        <v>9.2799999999999994</v>
      </c>
      <c r="C5" s="3">
        <v>9.36</v>
      </c>
      <c r="E5" s="3">
        <v>9.42</v>
      </c>
      <c r="G5" s="3">
        <v>-3.77</v>
      </c>
      <c r="I5" s="4">
        <v>9533</v>
      </c>
      <c r="K5" s="4">
        <v>50872</v>
      </c>
      <c r="O5" s="3" t="s">
        <v>5</v>
      </c>
      <c r="Q5" s="3">
        <v>11.38</v>
      </c>
      <c r="S5" s="3">
        <v>11.51</v>
      </c>
      <c r="U5" s="3">
        <v>12.51</v>
      </c>
      <c r="W5" s="3">
        <v>-3.43</v>
      </c>
      <c r="Y5" s="3">
        <v>438</v>
      </c>
      <c r="AA5" s="4">
        <v>1009</v>
      </c>
    </row>
    <row r="6" spans="1:27" x14ac:dyDescent="0.25">
      <c r="A6" s="3">
        <v>231</v>
      </c>
      <c r="B6" s="3">
        <v>9.5</v>
      </c>
      <c r="C6" s="3">
        <v>9.57</v>
      </c>
      <c r="E6" s="3">
        <v>9.7200000000000006</v>
      </c>
      <c r="G6" s="3">
        <v>-3.78</v>
      </c>
      <c r="I6" s="4">
        <v>1073</v>
      </c>
      <c r="K6" s="4">
        <v>2349</v>
      </c>
      <c r="O6" s="3" t="s">
        <v>6</v>
      </c>
      <c r="Q6" s="3">
        <v>11.62</v>
      </c>
      <c r="S6" s="3">
        <v>11.75</v>
      </c>
      <c r="U6" s="3">
        <v>11.8</v>
      </c>
      <c r="W6" s="3">
        <v>-4.47</v>
      </c>
      <c r="Y6" s="4">
        <v>1019</v>
      </c>
      <c r="AA6" s="4">
        <v>3876</v>
      </c>
    </row>
    <row r="7" spans="1:27" x14ac:dyDescent="0.25">
      <c r="A7" s="3">
        <v>232</v>
      </c>
      <c r="B7" s="3">
        <v>9.7200000000000006</v>
      </c>
      <c r="C7" s="3">
        <v>9.7899999999999991</v>
      </c>
      <c r="E7" s="3">
        <v>9.8000000000000007</v>
      </c>
      <c r="G7" s="3">
        <v>-4.01</v>
      </c>
      <c r="I7" s="4">
        <v>1056</v>
      </c>
      <c r="K7" s="4">
        <v>3187</v>
      </c>
      <c r="O7" s="3" t="s">
        <v>7</v>
      </c>
      <c r="Q7" s="3">
        <v>11.86</v>
      </c>
      <c r="S7" s="3">
        <v>11.99</v>
      </c>
      <c r="U7" s="3">
        <v>13.04</v>
      </c>
      <c r="W7" s="3">
        <v>-3.55</v>
      </c>
      <c r="Y7" s="3">
        <v>175</v>
      </c>
      <c r="AA7" s="4">
        <v>1248</v>
      </c>
    </row>
    <row r="8" spans="1:27" x14ac:dyDescent="0.25">
      <c r="A8" s="3">
        <v>233</v>
      </c>
      <c r="B8" s="3">
        <v>9.94</v>
      </c>
      <c r="C8" s="3">
        <v>10.02</v>
      </c>
      <c r="E8" s="3">
        <v>9.98</v>
      </c>
      <c r="G8" s="3">
        <v>-4.1500000000000004</v>
      </c>
      <c r="I8" s="3">
        <v>763</v>
      </c>
      <c r="K8" s="4">
        <v>2369</v>
      </c>
      <c r="O8" s="3" t="s">
        <v>8</v>
      </c>
      <c r="Q8" s="3">
        <v>12.11</v>
      </c>
      <c r="S8" s="3">
        <v>12.24</v>
      </c>
      <c r="U8" s="3">
        <v>13.21</v>
      </c>
      <c r="W8" s="3">
        <v>-3.71</v>
      </c>
      <c r="Y8" s="3">
        <v>269</v>
      </c>
      <c r="AA8" s="3">
        <v>902</v>
      </c>
    </row>
    <row r="9" spans="1:27" x14ac:dyDescent="0.25">
      <c r="A9" s="3">
        <v>234</v>
      </c>
      <c r="B9" s="3">
        <v>10.17</v>
      </c>
      <c r="C9" s="3">
        <v>10.25</v>
      </c>
      <c r="E9" s="3">
        <v>10.51</v>
      </c>
      <c r="G9" s="3">
        <v>-3.95</v>
      </c>
      <c r="I9" s="3">
        <v>915</v>
      </c>
      <c r="K9" s="4">
        <v>2828</v>
      </c>
      <c r="O9" s="3" t="s">
        <v>9</v>
      </c>
      <c r="Q9" s="3">
        <v>12.36</v>
      </c>
      <c r="S9" s="3">
        <v>12.49</v>
      </c>
      <c r="U9" s="3">
        <v>13.48</v>
      </c>
      <c r="W9" s="3">
        <v>-3.78</v>
      </c>
      <c r="Y9" s="3">
        <v>199</v>
      </c>
      <c r="AA9" s="4">
        <v>1536</v>
      </c>
    </row>
    <row r="10" spans="1:27" x14ac:dyDescent="0.25">
      <c r="A10" s="3">
        <v>235</v>
      </c>
      <c r="B10" s="3">
        <v>10.4</v>
      </c>
      <c r="C10" s="3">
        <v>10.49</v>
      </c>
      <c r="E10" s="3">
        <v>10.54</v>
      </c>
      <c r="G10" s="3">
        <v>-4.25</v>
      </c>
      <c r="I10" s="4">
        <v>3549</v>
      </c>
      <c r="K10" s="4">
        <v>19518</v>
      </c>
      <c r="O10" s="3" t="s">
        <v>10</v>
      </c>
      <c r="Q10" s="3">
        <v>12.62</v>
      </c>
      <c r="S10" s="3">
        <v>12.75</v>
      </c>
      <c r="U10" s="3">
        <v>13.87</v>
      </c>
      <c r="W10" s="3">
        <v>-3.73</v>
      </c>
      <c r="Y10" s="3">
        <v>65</v>
      </c>
      <c r="AA10" s="4">
        <v>1101</v>
      </c>
    </row>
    <row r="11" spans="1:27" x14ac:dyDescent="0.25">
      <c r="A11" s="3">
        <v>236</v>
      </c>
      <c r="B11" s="3">
        <v>10.64</v>
      </c>
      <c r="C11" s="3">
        <v>10.72</v>
      </c>
      <c r="E11" s="3">
        <v>10.87</v>
      </c>
      <c r="G11" s="3">
        <v>-4.26</v>
      </c>
      <c r="I11" s="3">
        <v>625</v>
      </c>
      <c r="K11" s="4">
        <v>2486</v>
      </c>
      <c r="O11" s="3" t="s">
        <v>11</v>
      </c>
      <c r="Q11" s="3">
        <v>12.88</v>
      </c>
      <c r="S11" s="3">
        <v>13.01</v>
      </c>
      <c r="U11" s="3">
        <v>12.81</v>
      </c>
      <c r="W11" s="3">
        <v>-5.14</v>
      </c>
      <c r="Y11" s="3">
        <v>214</v>
      </c>
      <c r="AA11" s="4">
        <v>4783</v>
      </c>
    </row>
    <row r="12" spans="1:27" x14ac:dyDescent="0.25">
      <c r="A12" s="3">
        <v>237</v>
      </c>
      <c r="B12" s="3">
        <v>10.88</v>
      </c>
      <c r="C12" s="3">
        <v>10.97</v>
      </c>
      <c r="E12" s="3">
        <v>11.1</v>
      </c>
      <c r="G12" s="3">
        <v>-4.38</v>
      </c>
      <c r="I12" s="3">
        <v>977</v>
      </c>
      <c r="K12" s="4">
        <v>4622</v>
      </c>
      <c r="O12" s="3" t="s">
        <v>12</v>
      </c>
      <c r="Q12" s="3">
        <v>13.15</v>
      </c>
      <c r="S12" s="3">
        <v>13.27</v>
      </c>
      <c r="U12" s="3">
        <v>14.4</v>
      </c>
      <c r="W12" s="3">
        <v>-3.9</v>
      </c>
      <c r="Y12" s="3">
        <v>157</v>
      </c>
      <c r="AA12" s="3">
        <v>892</v>
      </c>
    </row>
    <row r="13" spans="1:27" x14ac:dyDescent="0.25">
      <c r="A13" s="3">
        <v>238</v>
      </c>
      <c r="B13" s="3">
        <v>11.13</v>
      </c>
      <c r="C13" s="3">
        <v>11.22</v>
      </c>
      <c r="E13" s="3">
        <v>11.2</v>
      </c>
      <c r="G13" s="3">
        <v>-4.63</v>
      </c>
      <c r="I13" s="3">
        <v>573</v>
      </c>
      <c r="K13" s="4">
        <v>1552</v>
      </c>
      <c r="O13" s="3" t="s">
        <v>13</v>
      </c>
      <c r="Q13" s="3">
        <v>13.42</v>
      </c>
      <c r="S13" s="3">
        <v>13.55</v>
      </c>
      <c r="U13" s="3">
        <v>14.63</v>
      </c>
      <c r="W13" s="3">
        <v>-4.03</v>
      </c>
      <c r="Y13" s="3">
        <v>133</v>
      </c>
      <c r="AA13" s="3">
        <v>701</v>
      </c>
    </row>
    <row r="14" spans="1:27" x14ac:dyDescent="0.25">
      <c r="A14" s="3">
        <v>239</v>
      </c>
      <c r="B14" s="3">
        <v>11.38</v>
      </c>
      <c r="C14" s="3">
        <v>11.48</v>
      </c>
      <c r="E14" s="3">
        <v>11.41</v>
      </c>
      <c r="G14" s="3">
        <v>-4.78</v>
      </c>
      <c r="I14" s="3">
        <v>887</v>
      </c>
      <c r="K14" s="4">
        <v>1745</v>
      </c>
      <c r="O14" s="3" t="s">
        <v>14</v>
      </c>
      <c r="Q14" s="3">
        <v>13.7</v>
      </c>
      <c r="S14" s="3">
        <v>13.82</v>
      </c>
      <c r="U14" s="3">
        <v>15.04</v>
      </c>
      <c r="W14" s="3">
        <v>-3.99</v>
      </c>
      <c r="Y14" s="3">
        <v>75</v>
      </c>
      <c r="AA14" s="3">
        <v>979</v>
      </c>
    </row>
    <row r="15" spans="1:27" x14ac:dyDescent="0.25">
      <c r="A15" s="3">
        <v>240</v>
      </c>
      <c r="B15" s="3">
        <v>11.64</v>
      </c>
      <c r="C15" s="3">
        <v>11.74</v>
      </c>
      <c r="E15" s="3">
        <v>11.78</v>
      </c>
      <c r="G15" s="3">
        <v>-4.78</v>
      </c>
      <c r="I15" s="4">
        <v>6484</v>
      </c>
      <c r="K15" s="4">
        <v>44221</v>
      </c>
      <c r="O15" s="3" t="s">
        <v>15</v>
      </c>
      <c r="Q15" s="3">
        <v>13.98</v>
      </c>
      <c r="S15" s="3">
        <v>14.1</v>
      </c>
      <c r="U15" s="3">
        <v>15.2</v>
      </c>
      <c r="W15" s="3">
        <v>-4.2</v>
      </c>
      <c r="Y15" s="3">
        <v>348</v>
      </c>
      <c r="AA15" s="4">
        <v>1585</v>
      </c>
    </row>
    <row r="16" spans="1:27" x14ac:dyDescent="0.25">
      <c r="A16" s="3">
        <v>241</v>
      </c>
      <c r="B16" s="3">
        <v>11.9</v>
      </c>
      <c r="C16" s="3">
        <v>12.01</v>
      </c>
      <c r="E16" s="3">
        <v>11.86</v>
      </c>
      <c r="G16" s="3">
        <v>-5.07</v>
      </c>
      <c r="I16" s="3">
        <v>572</v>
      </c>
      <c r="K16" s="4">
        <v>1895</v>
      </c>
      <c r="O16" s="3" t="s">
        <v>16</v>
      </c>
      <c r="Q16" s="3">
        <v>14.26</v>
      </c>
      <c r="S16" s="3">
        <v>14.38</v>
      </c>
      <c r="U16" s="3">
        <v>14.29</v>
      </c>
      <c r="W16" s="3">
        <v>-5.49</v>
      </c>
      <c r="Y16" s="3">
        <v>718</v>
      </c>
      <c r="AA16" s="4">
        <v>5143</v>
      </c>
    </row>
    <row r="17" spans="1:27" x14ac:dyDescent="0.25">
      <c r="A17" s="3">
        <v>242</v>
      </c>
      <c r="B17" s="3">
        <v>12.17</v>
      </c>
      <c r="C17" s="3">
        <v>12.28</v>
      </c>
      <c r="E17" s="3">
        <v>12.35</v>
      </c>
      <c r="G17" s="3">
        <v>-4.97</v>
      </c>
      <c r="I17" s="4">
        <v>1513</v>
      </c>
      <c r="K17" s="4">
        <v>4351</v>
      </c>
      <c r="O17" s="3" t="s">
        <v>17</v>
      </c>
      <c r="Q17" s="3">
        <v>14.55</v>
      </c>
      <c r="S17" s="3">
        <v>14.67</v>
      </c>
      <c r="U17" s="3">
        <v>14.46</v>
      </c>
      <c r="W17" s="3">
        <v>-5.71</v>
      </c>
      <c r="Y17" s="3">
        <v>288</v>
      </c>
      <c r="AA17" s="4">
        <v>1916</v>
      </c>
    </row>
    <row r="18" spans="1:27" x14ac:dyDescent="0.25">
      <c r="A18" s="3">
        <v>243</v>
      </c>
      <c r="B18" s="3">
        <v>12.44</v>
      </c>
      <c r="C18" s="3">
        <v>12.56</v>
      </c>
      <c r="E18" s="3">
        <v>12.4</v>
      </c>
      <c r="G18" s="3">
        <v>-5.31</v>
      </c>
      <c r="I18" s="3">
        <v>617</v>
      </c>
      <c r="K18" s="4">
        <v>1888</v>
      </c>
      <c r="O18" s="3" t="s">
        <v>18</v>
      </c>
      <c r="Q18" s="3">
        <v>14.85</v>
      </c>
      <c r="S18" s="3">
        <v>14.97</v>
      </c>
      <c r="U18" s="3">
        <v>14.9</v>
      </c>
      <c r="W18" s="3">
        <v>-5.66</v>
      </c>
      <c r="Y18" s="3">
        <v>473</v>
      </c>
      <c r="AA18" s="3">
        <v>805</v>
      </c>
    </row>
    <row r="19" spans="1:27" x14ac:dyDescent="0.25">
      <c r="A19" s="3">
        <v>244</v>
      </c>
      <c r="B19" s="3">
        <v>12.72</v>
      </c>
      <c r="C19" s="3">
        <v>12.84</v>
      </c>
      <c r="E19" s="3">
        <v>12.73</v>
      </c>
      <c r="G19" s="3">
        <v>-5.37</v>
      </c>
      <c r="I19" s="3">
        <v>277</v>
      </c>
      <c r="K19" s="4">
        <v>2035</v>
      </c>
      <c r="O19" s="3" t="s">
        <v>19</v>
      </c>
      <c r="Q19" s="3">
        <v>15.15</v>
      </c>
      <c r="S19" s="3">
        <v>15.27</v>
      </c>
      <c r="U19" s="3">
        <v>14.98</v>
      </c>
      <c r="W19" s="3">
        <v>-5.97</v>
      </c>
      <c r="Y19" s="3">
        <v>199</v>
      </c>
      <c r="AA19" s="3">
        <v>569</v>
      </c>
    </row>
    <row r="20" spans="1:27" x14ac:dyDescent="0.25">
      <c r="A20" s="3">
        <v>245</v>
      </c>
      <c r="B20" s="3">
        <v>13.01</v>
      </c>
      <c r="C20" s="3">
        <v>13.13</v>
      </c>
      <c r="E20" s="3">
        <v>13.2</v>
      </c>
      <c r="G20" s="3">
        <v>-5.32</v>
      </c>
      <c r="I20" s="4">
        <v>4146</v>
      </c>
      <c r="K20" s="4">
        <v>12228</v>
      </c>
      <c r="O20" s="3" t="s">
        <v>20</v>
      </c>
      <c r="Q20" s="3">
        <v>15.45</v>
      </c>
      <c r="S20" s="3">
        <v>15.57</v>
      </c>
      <c r="U20" s="3">
        <v>16.87</v>
      </c>
      <c r="W20" s="3">
        <v>-4.49</v>
      </c>
      <c r="Y20" s="3">
        <v>91</v>
      </c>
      <c r="AA20" s="4">
        <v>1048</v>
      </c>
    </row>
    <row r="21" spans="1:27" x14ac:dyDescent="0.25">
      <c r="A21" s="3">
        <v>246</v>
      </c>
      <c r="B21" s="3">
        <v>13.3</v>
      </c>
      <c r="C21" s="3">
        <v>13.42</v>
      </c>
      <c r="E21" s="3">
        <v>13.35</v>
      </c>
      <c r="G21" s="3">
        <v>-5.58</v>
      </c>
      <c r="I21" s="3">
        <v>269</v>
      </c>
      <c r="K21" s="4">
        <v>1648</v>
      </c>
      <c r="O21" s="3" t="s">
        <v>21</v>
      </c>
      <c r="Q21" s="3">
        <v>15.76</v>
      </c>
      <c r="S21" s="3">
        <v>15.89</v>
      </c>
      <c r="U21" s="3">
        <v>16.100000000000001</v>
      </c>
      <c r="W21" s="3">
        <v>-5.66</v>
      </c>
      <c r="Y21" s="3">
        <v>215</v>
      </c>
      <c r="AA21" s="4">
        <v>3270</v>
      </c>
    </row>
    <row r="22" spans="1:27" x14ac:dyDescent="0.25">
      <c r="A22" s="3">
        <v>247</v>
      </c>
      <c r="B22" s="3">
        <v>13.6</v>
      </c>
      <c r="C22" s="3">
        <v>13.72</v>
      </c>
      <c r="E22" s="3">
        <v>13.62</v>
      </c>
      <c r="G22" s="3">
        <v>-5.73</v>
      </c>
      <c r="I22" s="3">
        <v>328</v>
      </c>
      <c r="K22" s="4">
        <v>1563</v>
      </c>
      <c r="O22" s="3" t="s">
        <v>22</v>
      </c>
      <c r="Q22" s="3">
        <v>16.079999999999998</v>
      </c>
      <c r="S22" s="3">
        <v>16.2</v>
      </c>
      <c r="U22" s="3">
        <v>16</v>
      </c>
      <c r="W22" s="3">
        <v>-6.18</v>
      </c>
      <c r="Y22" s="3">
        <v>122</v>
      </c>
      <c r="AA22" s="4">
        <v>1619</v>
      </c>
    </row>
    <row r="23" spans="1:27" x14ac:dyDescent="0.25">
      <c r="A23" s="3">
        <v>248</v>
      </c>
      <c r="B23" s="3">
        <v>13.91</v>
      </c>
      <c r="C23" s="3">
        <v>14.03</v>
      </c>
      <c r="E23" s="3">
        <v>14</v>
      </c>
      <c r="G23" s="3">
        <v>-5.78</v>
      </c>
      <c r="I23" s="4">
        <v>1130</v>
      </c>
      <c r="K23" s="4">
        <v>1838</v>
      </c>
      <c r="O23" s="3" t="s">
        <v>23</v>
      </c>
      <c r="Q23" s="3">
        <v>16.399999999999999</v>
      </c>
      <c r="S23" s="3">
        <v>16.53</v>
      </c>
      <c r="U23" s="3">
        <v>17.420000000000002</v>
      </c>
      <c r="W23" s="3">
        <v>-5.18</v>
      </c>
      <c r="Y23" s="3">
        <v>44</v>
      </c>
      <c r="AA23" s="3">
        <v>936</v>
      </c>
    </row>
    <row r="24" spans="1:27" x14ac:dyDescent="0.25">
      <c r="A24" s="3">
        <v>249</v>
      </c>
      <c r="B24" s="3">
        <v>14.22</v>
      </c>
      <c r="C24" s="3">
        <v>14.35</v>
      </c>
      <c r="E24" s="3">
        <v>14.71</v>
      </c>
      <c r="G24" s="3">
        <v>-5.51</v>
      </c>
      <c r="I24" s="3">
        <v>199</v>
      </c>
      <c r="K24" s="4">
        <v>1832</v>
      </c>
      <c r="O24" s="3" t="s">
        <v>24</v>
      </c>
      <c r="Q24" s="3">
        <v>16.73</v>
      </c>
      <c r="S24" s="3">
        <v>16.86</v>
      </c>
      <c r="U24" s="3">
        <v>18.28</v>
      </c>
      <c r="W24" s="3">
        <v>-4.76</v>
      </c>
      <c r="Y24" s="3">
        <v>21</v>
      </c>
      <c r="AA24" s="3">
        <v>895</v>
      </c>
    </row>
    <row r="25" spans="1:27" x14ac:dyDescent="0.25">
      <c r="A25" s="3">
        <v>250</v>
      </c>
      <c r="B25" s="3">
        <v>14.54</v>
      </c>
      <c r="C25" s="3">
        <v>14.67</v>
      </c>
      <c r="E25" s="3">
        <v>14.58</v>
      </c>
      <c r="G25" s="3">
        <v>-6.08</v>
      </c>
      <c r="I25" s="4">
        <v>16867</v>
      </c>
      <c r="K25" s="4">
        <v>36449</v>
      </c>
      <c r="O25" s="3" t="s">
        <v>25</v>
      </c>
      <c r="Q25" s="3">
        <v>17.07</v>
      </c>
      <c r="S25" s="3">
        <v>17.190000000000001</v>
      </c>
      <c r="U25" s="3">
        <v>18.03</v>
      </c>
      <c r="W25" s="3">
        <v>-5.45</v>
      </c>
      <c r="Y25" s="3">
        <v>19</v>
      </c>
      <c r="AA25" s="3">
        <v>632</v>
      </c>
    </row>
    <row r="26" spans="1:27" x14ac:dyDescent="0.25">
      <c r="A26" s="3">
        <v>251</v>
      </c>
      <c r="B26" s="3">
        <v>14.87</v>
      </c>
      <c r="C26" s="3">
        <v>15</v>
      </c>
      <c r="E26" s="3">
        <v>14.53</v>
      </c>
      <c r="G26" s="3">
        <v>-6.59</v>
      </c>
      <c r="I26" s="3">
        <v>696</v>
      </c>
      <c r="K26" s="4">
        <v>2123</v>
      </c>
      <c r="O26" s="3" t="s">
        <v>26</v>
      </c>
      <c r="Q26" s="3">
        <v>17.399999999999999</v>
      </c>
      <c r="S26" s="3">
        <v>17.53</v>
      </c>
      <c r="U26" s="3">
        <v>17.489999999999998</v>
      </c>
      <c r="W26" s="3">
        <v>-6.43</v>
      </c>
      <c r="Y26" s="3">
        <v>328</v>
      </c>
      <c r="AA26" s="4">
        <v>6680</v>
      </c>
    </row>
    <row r="27" spans="1:27" x14ac:dyDescent="0.25">
      <c r="A27" s="3">
        <v>252</v>
      </c>
      <c r="B27" s="3">
        <v>15.2</v>
      </c>
      <c r="C27" s="3">
        <v>15.33</v>
      </c>
      <c r="E27" s="3">
        <v>15.08</v>
      </c>
      <c r="G27" s="3">
        <v>-6.51</v>
      </c>
      <c r="I27" s="3">
        <v>453</v>
      </c>
      <c r="K27" s="4">
        <v>4141</v>
      </c>
      <c r="O27" s="3" t="s">
        <v>27</v>
      </c>
      <c r="Q27" s="3">
        <v>17.75</v>
      </c>
      <c r="S27" s="3">
        <v>17.88</v>
      </c>
      <c r="U27" s="3">
        <v>17.79</v>
      </c>
      <c r="W27" s="3">
        <v>-6.58</v>
      </c>
      <c r="Y27" s="3">
        <v>69</v>
      </c>
      <c r="AA27" s="3">
        <v>521</v>
      </c>
    </row>
    <row r="28" spans="1:27" x14ac:dyDescent="0.25">
      <c r="A28" s="3">
        <v>253</v>
      </c>
      <c r="B28" s="3">
        <v>15.54</v>
      </c>
      <c r="C28" s="3">
        <v>15.68</v>
      </c>
      <c r="E28" s="3">
        <v>15.75</v>
      </c>
      <c r="G28" s="3">
        <v>-6.31</v>
      </c>
      <c r="I28" s="4">
        <v>1106</v>
      </c>
      <c r="K28" s="4">
        <v>1690</v>
      </c>
      <c r="O28" s="3" t="s">
        <v>28</v>
      </c>
      <c r="Q28" s="3">
        <v>18.100000000000001</v>
      </c>
      <c r="S28" s="3">
        <v>18.23</v>
      </c>
      <c r="U28" s="3">
        <v>19.75</v>
      </c>
      <c r="W28" s="3">
        <v>-5.08</v>
      </c>
      <c r="Y28" s="3">
        <v>22</v>
      </c>
      <c r="AA28" s="3">
        <v>781</v>
      </c>
    </row>
    <row r="29" spans="1:27" x14ac:dyDescent="0.25">
      <c r="A29" s="3">
        <v>254</v>
      </c>
      <c r="B29" s="3">
        <v>15.89</v>
      </c>
      <c r="C29" s="3">
        <v>16.03</v>
      </c>
      <c r="E29" s="3">
        <v>16.11</v>
      </c>
      <c r="G29" s="3">
        <v>-6.44</v>
      </c>
      <c r="I29" s="3">
        <v>588</v>
      </c>
      <c r="K29" s="4">
        <v>1608</v>
      </c>
      <c r="O29" s="3" t="s">
        <v>29</v>
      </c>
      <c r="Q29" s="3">
        <v>18.46</v>
      </c>
      <c r="S29" s="3">
        <v>18.59</v>
      </c>
      <c r="U29" s="3">
        <v>18.559999999999999</v>
      </c>
      <c r="W29" s="3">
        <v>-6.74</v>
      </c>
      <c r="Y29" s="3">
        <v>24</v>
      </c>
      <c r="AA29" s="3">
        <v>335</v>
      </c>
    </row>
    <row r="30" spans="1:27" x14ac:dyDescent="0.25">
      <c r="A30" s="3">
        <v>255</v>
      </c>
      <c r="B30" s="3">
        <v>16.239999999999998</v>
      </c>
      <c r="C30" s="3">
        <v>16.39</v>
      </c>
      <c r="E30" s="3">
        <v>16.3</v>
      </c>
      <c r="G30" s="3">
        <v>-6.75</v>
      </c>
      <c r="I30" s="4">
        <v>2915</v>
      </c>
      <c r="K30" s="4">
        <v>10249</v>
      </c>
      <c r="O30" s="3" t="s">
        <v>30</v>
      </c>
      <c r="Q30" s="3">
        <v>18.82</v>
      </c>
      <c r="S30" s="3">
        <v>18.96</v>
      </c>
      <c r="U30" s="3">
        <v>20.56</v>
      </c>
      <c r="W30" s="3">
        <v>-5.21</v>
      </c>
      <c r="Y30" s="3">
        <v>30</v>
      </c>
      <c r="AA30" s="3">
        <v>346</v>
      </c>
    </row>
    <row r="31" spans="1:27" x14ac:dyDescent="0.25">
      <c r="A31" s="3">
        <v>256</v>
      </c>
      <c r="B31" s="3">
        <v>16.600000000000001</v>
      </c>
      <c r="C31" s="3">
        <v>16.75</v>
      </c>
      <c r="E31" s="3">
        <v>16.5</v>
      </c>
      <c r="G31" s="3">
        <v>-7.05</v>
      </c>
      <c r="I31" s="4">
        <v>1484</v>
      </c>
      <c r="K31" s="4">
        <v>1620</v>
      </c>
      <c r="O31" s="3" t="s">
        <v>31</v>
      </c>
      <c r="Q31" s="3">
        <v>19.190000000000001</v>
      </c>
      <c r="S31" s="3">
        <v>19.329999999999998</v>
      </c>
      <c r="U31" s="3">
        <v>19.54</v>
      </c>
      <c r="W31" s="3">
        <v>-6.72</v>
      </c>
      <c r="Y31" s="3">
        <v>261</v>
      </c>
      <c r="AA31" s="4">
        <v>7651</v>
      </c>
    </row>
    <row r="32" spans="1:27" x14ac:dyDescent="0.25">
      <c r="A32" s="3">
        <v>257</v>
      </c>
      <c r="B32" s="3">
        <v>16.97</v>
      </c>
      <c r="C32" s="3">
        <v>17.12</v>
      </c>
      <c r="E32" s="3">
        <v>17.21</v>
      </c>
      <c r="G32" s="3">
        <v>-6.85</v>
      </c>
      <c r="I32" s="3">
        <v>584</v>
      </c>
      <c r="K32" s="4">
        <v>2838</v>
      </c>
      <c r="O32" s="3" t="s">
        <v>32</v>
      </c>
      <c r="Q32" s="3">
        <v>19.57</v>
      </c>
      <c r="S32" s="3">
        <v>19.71</v>
      </c>
      <c r="U32" s="3">
        <v>19.63</v>
      </c>
      <c r="W32" s="3">
        <v>-7.12</v>
      </c>
      <c r="Y32" s="3">
        <v>119</v>
      </c>
      <c r="AA32" s="4">
        <v>1116</v>
      </c>
    </row>
    <row r="33" spans="1:27" x14ac:dyDescent="0.25">
      <c r="A33" s="3">
        <v>258</v>
      </c>
      <c r="B33" s="3">
        <v>17.350000000000001</v>
      </c>
      <c r="C33" s="3">
        <v>17.5</v>
      </c>
      <c r="E33" s="3">
        <v>17.32</v>
      </c>
      <c r="G33" s="3">
        <v>-7.26</v>
      </c>
      <c r="I33" s="3">
        <v>886</v>
      </c>
      <c r="K33" s="4">
        <v>2788</v>
      </c>
      <c r="O33" s="3" t="s">
        <v>33</v>
      </c>
      <c r="Q33" s="3">
        <v>19.95</v>
      </c>
      <c r="S33" s="3">
        <v>20.100000000000001</v>
      </c>
      <c r="U33" s="3">
        <v>20.079999999999998</v>
      </c>
      <c r="W33" s="3">
        <v>-7.17</v>
      </c>
      <c r="Y33" s="3">
        <v>59</v>
      </c>
      <c r="AA33" s="3">
        <v>958</v>
      </c>
    </row>
    <row r="34" spans="1:27" x14ac:dyDescent="0.25">
      <c r="A34" s="3">
        <v>259</v>
      </c>
      <c r="B34" s="3">
        <v>17.73</v>
      </c>
      <c r="C34" s="3">
        <v>17.89</v>
      </c>
      <c r="E34" s="3">
        <v>18</v>
      </c>
      <c r="G34" s="3">
        <v>-7.13</v>
      </c>
      <c r="I34" s="3">
        <v>245</v>
      </c>
      <c r="K34" s="4">
        <v>1571</v>
      </c>
      <c r="O34" s="3" t="s">
        <v>34</v>
      </c>
      <c r="Q34" s="3">
        <v>20.34</v>
      </c>
      <c r="S34" s="3">
        <v>20.49</v>
      </c>
      <c r="U34" s="3">
        <v>20.56</v>
      </c>
      <c r="W34" s="3">
        <v>-7.2</v>
      </c>
      <c r="Y34" s="3">
        <v>60</v>
      </c>
      <c r="AA34" s="3">
        <v>606</v>
      </c>
    </row>
    <row r="35" spans="1:27" x14ac:dyDescent="0.25">
      <c r="A35" s="3">
        <v>260</v>
      </c>
      <c r="B35" s="3">
        <v>18.18</v>
      </c>
      <c r="C35" s="3">
        <v>18.28</v>
      </c>
      <c r="E35" s="3">
        <v>18.21</v>
      </c>
      <c r="G35" s="3">
        <v>-7.46</v>
      </c>
      <c r="I35" s="4">
        <v>4945</v>
      </c>
      <c r="K35" s="4">
        <v>32925</v>
      </c>
      <c r="O35" s="3" t="s">
        <v>35</v>
      </c>
      <c r="Q35" s="3">
        <v>20.73</v>
      </c>
      <c r="S35" s="3">
        <v>20.89</v>
      </c>
      <c r="U35" s="3">
        <v>21.42</v>
      </c>
      <c r="W35" s="3">
        <v>-6.85</v>
      </c>
      <c r="Y35" s="3">
        <v>8</v>
      </c>
      <c r="AA35" s="3">
        <v>828</v>
      </c>
    </row>
    <row r="36" spans="1:27" x14ac:dyDescent="0.25">
      <c r="A36" s="3">
        <v>261</v>
      </c>
      <c r="B36" s="3">
        <v>18.52</v>
      </c>
      <c r="C36" s="3">
        <v>18.68</v>
      </c>
      <c r="E36" s="3">
        <v>18.43</v>
      </c>
      <c r="G36" s="3">
        <v>-7.78</v>
      </c>
      <c r="I36" s="3">
        <v>250</v>
      </c>
      <c r="K36" s="4">
        <v>1845</v>
      </c>
      <c r="O36" s="3" t="s">
        <v>36</v>
      </c>
      <c r="Q36" s="3">
        <v>21.14</v>
      </c>
      <c r="S36" s="3">
        <v>21.29</v>
      </c>
      <c r="U36" s="3">
        <v>21.54</v>
      </c>
      <c r="W36" s="3">
        <v>-7.25</v>
      </c>
      <c r="Y36" s="3">
        <v>146</v>
      </c>
      <c r="AA36" s="4">
        <v>2476</v>
      </c>
    </row>
    <row r="37" spans="1:27" x14ac:dyDescent="0.25">
      <c r="A37" s="3">
        <v>262</v>
      </c>
      <c r="B37" s="3">
        <v>18.93</v>
      </c>
      <c r="C37" s="3">
        <v>19.09</v>
      </c>
      <c r="E37" s="3">
        <v>18.899999999999999</v>
      </c>
      <c r="G37" s="3">
        <v>-7.86</v>
      </c>
      <c r="I37" s="3">
        <v>402</v>
      </c>
      <c r="K37" s="4">
        <v>1303</v>
      </c>
      <c r="O37" s="3" t="s">
        <v>37</v>
      </c>
      <c r="Q37" s="3">
        <v>21.55</v>
      </c>
      <c r="S37" s="3">
        <v>21.71</v>
      </c>
      <c r="U37" s="3">
        <v>21.84</v>
      </c>
      <c r="W37" s="3">
        <v>-7.48</v>
      </c>
      <c r="Y37" s="3">
        <v>12</v>
      </c>
      <c r="AA37" s="3">
        <v>422</v>
      </c>
    </row>
    <row r="38" spans="1:27" x14ac:dyDescent="0.25">
      <c r="A38" s="3">
        <v>263</v>
      </c>
      <c r="B38" s="3">
        <v>19.34</v>
      </c>
      <c r="C38" s="3">
        <v>19.510000000000002</v>
      </c>
      <c r="E38" s="3">
        <v>19.61</v>
      </c>
      <c r="G38" s="3">
        <v>-7.71</v>
      </c>
      <c r="I38" s="3">
        <v>171</v>
      </c>
      <c r="K38" s="3">
        <v>898</v>
      </c>
      <c r="O38" s="3" t="s">
        <v>38</v>
      </c>
      <c r="Q38" s="3">
        <v>21.96</v>
      </c>
      <c r="S38" s="3">
        <v>22.12</v>
      </c>
      <c r="U38" s="3">
        <v>22.03</v>
      </c>
      <c r="W38" s="3">
        <v>-7.83</v>
      </c>
      <c r="Y38" s="3">
        <v>28</v>
      </c>
      <c r="AA38" s="3">
        <v>231</v>
      </c>
    </row>
    <row r="39" spans="1:27" x14ac:dyDescent="0.25">
      <c r="A39" s="3">
        <v>264</v>
      </c>
      <c r="B39" s="3">
        <v>19.77</v>
      </c>
      <c r="C39" s="3">
        <v>19.940000000000001</v>
      </c>
      <c r="E39" s="3">
        <v>20.170000000000002</v>
      </c>
      <c r="G39" s="3">
        <v>-7.73</v>
      </c>
      <c r="I39" s="3">
        <v>152</v>
      </c>
      <c r="K39" s="4">
        <v>1102</v>
      </c>
      <c r="O39" s="3" t="s">
        <v>39</v>
      </c>
      <c r="Q39" s="3">
        <v>22.39</v>
      </c>
      <c r="S39" s="3">
        <v>22.55</v>
      </c>
      <c r="U39" s="3">
        <v>22.42</v>
      </c>
      <c r="W39" s="3">
        <v>-7.99</v>
      </c>
      <c r="Y39" s="3">
        <v>2</v>
      </c>
      <c r="AA39" s="3">
        <v>190</v>
      </c>
    </row>
    <row r="40" spans="1:27" x14ac:dyDescent="0.25">
      <c r="A40" s="3">
        <v>265</v>
      </c>
      <c r="B40" s="3">
        <v>20.2</v>
      </c>
      <c r="C40" s="3">
        <v>20.37</v>
      </c>
      <c r="E40" s="3">
        <v>20.6</v>
      </c>
      <c r="G40" s="3">
        <v>-7.89</v>
      </c>
      <c r="I40" s="3">
        <v>316</v>
      </c>
      <c r="K40" s="4">
        <v>18803</v>
      </c>
      <c r="O40" s="3" t="s">
        <v>40</v>
      </c>
      <c r="Q40" s="3">
        <v>22.82</v>
      </c>
      <c r="S40" s="3">
        <v>22.99</v>
      </c>
      <c r="U40" s="3">
        <v>22.94</v>
      </c>
      <c r="W40" s="3">
        <v>-8.0299999999999994</v>
      </c>
      <c r="Y40" s="3">
        <v>1</v>
      </c>
      <c r="AA40" s="3">
        <v>965</v>
      </c>
    </row>
    <row r="41" spans="1:27" x14ac:dyDescent="0.25">
      <c r="A41" s="3">
        <v>266</v>
      </c>
      <c r="B41" s="3">
        <v>20.64</v>
      </c>
      <c r="C41" s="3">
        <v>20.81</v>
      </c>
      <c r="E41" s="3">
        <v>21.05</v>
      </c>
      <c r="G41" s="3">
        <v>-8.0299999999999994</v>
      </c>
      <c r="I41" s="3">
        <v>22</v>
      </c>
      <c r="K41" s="4">
        <v>1284</v>
      </c>
      <c r="O41" s="3" t="s">
        <v>41</v>
      </c>
      <c r="Q41" s="3">
        <v>23.26</v>
      </c>
      <c r="S41" s="3">
        <v>23.58</v>
      </c>
      <c r="U41" s="3">
        <v>23.62</v>
      </c>
      <c r="W41" s="3">
        <v>-7.91</v>
      </c>
      <c r="Y41" s="3">
        <v>96</v>
      </c>
      <c r="AA41" s="4">
        <v>2592</v>
      </c>
    </row>
    <row r="42" spans="1:27" x14ac:dyDescent="0.25">
      <c r="A42" s="3">
        <v>267</v>
      </c>
      <c r="B42" s="3">
        <v>21.09</v>
      </c>
      <c r="C42" s="3">
        <v>21.26</v>
      </c>
      <c r="E42" s="3">
        <v>21.43</v>
      </c>
      <c r="G42" s="3">
        <v>-8.26</v>
      </c>
      <c r="I42" s="3">
        <v>299</v>
      </c>
      <c r="K42" s="3">
        <v>878</v>
      </c>
      <c r="O42" s="3" t="s">
        <v>42</v>
      </c>
      <c r="Q42" s="3">
        <v>23.7</v>
      </c>
      <c r="S42" s="3">
        <v>24.04</v>
      </c>
      <c r="U42" s="3">
        <v>37.47</v>
      </c>
      <c r="W42" s="3">
        <v>4.83</v>
      </c>
      <c r="Y42" s="3">
        <v>0</v>
      </c>
      <c r="AA42" s="4">
        <v>2085</v>
      </c>
    </row>
    <row r="43" spans="1:27" x14ac:dyDescent="0.25">
      <c r="A43" s="3">
        <v>268</v>
      </c>
      <c r="B43" s="3">
        <v>21.54</v>
      </c>
      <c r="C43" s="3">
        <v>21.73</v>
      </c>
      <c r="E43" s="3">
        <v>21.96</v>
      </c>
      <c r="G43" s="3">
        <v>-8.34</v>
      </c>
      <c r="I43" s="3">
        <v>245</v>
      </c>
      <c r="K43" s="4">
        <v>1459</v>
      </c>
      <c r="O43" s="3" t="s">
        <v>43</v>
      </c>
      <c r="Q43" s="3">
        <v>24.16</v>
      </c>
      <c r="S43" s="3">
        <v>24.52</v>
      </c>
      <c r="U43" s="3">
        <v>26.4</v>
      </c>
      <c r="W43" s="3">
        <v>-6.28</v>
      </c>
      <c r="Y43" s="3">
        <v>10</v>
      </c>
      <c r="AA43" s="4">
        <v>1234</v>
      </c>
    </row>
    <row r="44" spans="1:27" x14ac:dyDescent="0.25">
      <c r="A44" s="3">
        <v>269</v>
      </c>
      <c r="B44" s="3">
        <v>22.01</v>
      </c>
      <c r="C44" s="3">
        <v>22.19</v>
      </c>
      <c r="E44" s="3">
        <v>22</v>
      </c>
      <c r="G44" s="3">
        <v>-8.93</v>
      </c>
      <c r="I44" s="3">
        <v>314</v>
      </c>
      <c r="K44" s="4">
        <v>1925</v>
      </c>
      <c r="O44" s="3" t="s">
        <v>44</v>
      </c>
      <c r="Q44" s="3">
        <v>24.62</v>
      </c>
      <c r="S44" s="3">
        <v>25</v>
      </c>
      <c r="U44" s="3">
        <v>46.59</v>
      </c>
      <c r="W44" s="3">
        <v>12.64</v>
      </c>
      <c r="Y44" s="3">
        <v>0</v>
      </c>
      <c r="AA44" s="3">
        <v>768</v>
      </c>
    </row>
    <row r="45" spans="1:27" x14ac:dyDescent="0.25">
      <c r="A45" s="3">
        <v>270</v>
      </c>
      <c r="B45" s="3">
        <v>22.48</v>
      </c>
      <c r="C45" s="3">
        <v>22.67</v>
      </c>
      <c r="E45" s="3">
        <v>22.78</v>
      </c>
      <c r="G45" s="3">
        <v>-8.7799999999999994</v>
      </c>
      <c r="I45" s="4">
        <v>7474</v>
      </c>
      <c r="K45" s="4">
        <v>47955</v>
      </c>
      <c r="O45" s="3" t="s">
        <v>45</v>
      </c>
      <c r="Q45" s="3">
        <v>24.89</v>
      </c>
      <c r="S45" s="3">
        <v>25.49</v>
      </c>
      <c r="U45" s="3">
        <v>28.29</v>
      </c>
      <c r="W45" s="3">
        <v>-5.58</v>
      </c>
      <c r="Y45" s="3">
        <v>1</v>
      </c>
      <c r="AA45" s="3">
        <v>652</v>
      </c>
    </row>
    <row r="46" spans="1:27" x14ac:dyDescent="0.25">
      <c r="A46" s="3">
        <v>271</v>
      </c>
      <c r="B46" s="3">
        <v>22.92</v>
      </c>
      <c r="C46" s="3">
        <v>23.16</v>
      </c>
      <c r="E46" s="3">
        <v>23.33</v>
      </c>
      <c r="G46" s="3">
        <v>-8.8699999999999992</v>
      </c>
      <c r="I46" s="3">
        <v>87</v>
      </c>
      <c r="K46" s="4">
        <v>1548</v>
      </c>
      <c r="O46" s="3" t="s">
        <v>46</v>
      </c>
      <c r="Q46" s="3">
        <v>25.3</v>
      </c>
      <c r="S46" s="3">
        <v>25.99</v>
      </c>
      <c r="U46" s="3">
        <v>25.76</v>
      </c>
      <c r="W46" s="3">
        <v>-8.7200000000000006</v>
      </c>
      <c r="Y46" s="3">
        <v>61</v>
      </c>
      <c r="AA46" s="4">
        <v>3791</v>
      </c>
    </row>
    <row r="47" spans="1:27" x14ac:dyDescent="0.25">
      <c r="A47" s="3">
        <v>272</v>
      </c>
      <c r="B47" s="3">
        <v>23.41</v>
      </c>
      <c r="C47" s="3">
        <v>23.66</v>
      </c>
      <c r="E47" s="3">
        <v>23.49</v>
      </c>
      <c r="G47" s="3">
        <v>-9.3699999999999992</v>
      </c>
      <c r="I47" s="3">
        <v>36</v>
      </c>
      <c r="K47" s="3">
        <v>503</v>
      </c>
      <c r="O47" s="3" t="s">
        <v>47</v>
      </c>
      <c r="Q47" s="3">
        <v>25.78</v>
      </c>
      <c r="S47" s="3">
        <v>26.49</v>
      </c>
      <c r="U47" s="3">
        <v>33.36</v>
      </c>
      <c r="W47" s="3">
        <v>-2.62</v>
      </c>
      <c r="Y47" s="3">
        <v>0</v>
      </c>
      <c r="AA47" s="4">
        <v>1895</v>
      </c>
    </row>
    <row r="48" spans="1:27" x14ac:dyDescent="0.25">
      <c r="A48" s="3">
        <v>273</v>
      </c>
      <c r="B48" s="3">
        <v>23.92</v>
      </c>
      <c r="C48" s="3">
        <v>24.17</v>
      </c>
      <c r="E48" s="3">
        <v>24.32</v>
      </c>
      <c r="G48" s="3">
        <v>-9.1999999999999993</v>
      </c>
      <c r="I48" s="3">
        <v>104</v>
      </c>
      <c r="K48" s="3">
        <v>679</v>
      </c>
      <c r="O48" s="3" t="s">
        <v>48</v>
      </c>
      <c r="Q48" s="3">
        <v>26.27</v>
      </c>
      <c r="S48" s="3">
        <v>27</v>
      </c>
      <c r="U48" s="3">
        <v>45.61</v>
      </c>
      <c r="W48" s="3">
        <v>8.93</v>
      </c>
      <c r="Y48" s="3">
        <v>0</v>
      </c>
      <c r="AA48" s="4">
        <v>2414</v>
      </c>
    </row>
    <row r="49" spans="1:27" x14ac:dyDescent="0.25">
      <c r="A49" s="3">
        <v>274</v>
      </c>
      <c r="B49" s="3">
        <v>24.43</v>
      </c>
      <c r="C49" s="3">
        <v>24.69</v>
      </c>
      <c r="E49" s="3">
        <v>26.13</v>
      </c>
      <c r="G49" s="3">
        <v>-8.06</v>
      </c>
      <c r="I49" s="3">
        <v>112</v>
      </c>
      <c r="K49" s="4">
        <v>1494</v>
      </c>
      <c r="O49" s="3" t="s">
        <v>49</v>
      </c>
      <c r="Q49" s="3">
        <v>26.76</v>
      </c>
      <c r="S49" s="3">
        <v>27.51</v>
      </c>
      <c r="U49" s="3">
        <v>28.6</v>
      </c>
      <c r="W49" s="3">
        <v>-7.76</v>
      </c>
      <c r="Y49" s="3">
        <v>20</v>
      </c>
      <c r="AA49" s="3">
        <v>761</v>
      </c>
    </row>
    <row r="50" spans="1:27" x14ac:dyDescent="0.25">
      <c r="A50" s="3">
        <v>275</v>
      </c>
      <c r="B50" s="3">
        <v>24.96</v>
      </c>
      <c r="C50" s="3">
        <v>25.21</v>
      </c>
      <c r="E50" s="3">
        <v>25.4</v>
      </c>
      <c r="G50" s="3">
        <v>-9.48</v>
      </c>
      <c r="I50" s="3">
        <v>948</v>
      </c>
      <c r="K50" s="4">
        <v>15613</v>
      </c>
      <c r="O50" s="3" t="s">
        <v>50</v>
      </c>
      <c r="Q50" s="3">
        <v>27.27</v>
      </c>
      <c r="S50" s="3">
        <v>28.03</v>
      </c>
      <c r="U50" s="3">
        <v>32.75</v>
      </c>
      <c r="W50" s="3">
        <v>-5.36</v>
      </c>
      <c r="Y50" s="3">
        <v>0</v>
      </c>
      <c r="AA50" s="4">
        <v>1832</v>
      </c>
    </row>
    <row r="51" spans="1:27" x14ac:dyDescent="0.25">
      <c r="A51" s="3">
        <v>276</v>
      </c>
      <c r="B51" s="3">
        <v>25.49</v>
      </c>
      <c r="C51" s="3">
        <v>25.75</v>
      </c>
      <c r="E51" s="3">
        <v>25.56</v>
      </c>
      <c r="G51" s="3">
        <v>-10.01</v>
      </c>
      <c r="I51" s="3">
        <v>208</v>
      </c>
      <c r="K51" s="4">
        <v>5010</v>
      </c>
      <c r="O51" s="3" t="s">
        <v>51</v>
      </c>
      <c r="Q51" s="3">
        <v>27.78</v>
      </c>
      <c r="S51" s="3">
        <v>28.55</v>
      </c>
      <c r="U51" s="3">
        <v>29.99</v>
      </c>
      <c r="W51" s="3">
        <v>-7.66</v>
      </c>
      <c r="Y51" s="3">
        <v>41</v>
      </c>
      <c r="AA51" s="4">
        <v>25747</v>
      </c>
    </row>
    <row r="52" spans="1:27" x14ac:dyDescent="0.25">
      <c r="A52" s="3">
        <v>277</v>
      </c>
      <c r="B52" s="3">
        <v>26.04</v>
      </c>
      <c r="C52" s="3">
        <v>26.3</v>
      </c>
      <c r="E52" s="3">
        <v>27.28</v>
      </c>
      <c r="G52" s="3">
        <v>-8.99</v>
      </c>
      <c r="I52" s="3">
        <v>26</v>
      </c>
      <c r="K52" s="4">
        <v>3264</v>
      </c>
      <c r="O52" s="3" t="s">
        <v>52</v>
      </c>
      <c r="Q52" s="3">
        <v>28.3</v>
      </c>
      <c r="S52" s="3">
        <v>29.09</v>
      </c>
      <c r="U52" s="3">
        <v>41.56</v>
      </c>
      <c r="W52" s="3">
        <v>2</v>
      </c>
      <c r="Y52" s="3">
        <v>0</v>
      </c>
      <c r="AA52" s="3">
        <v>693</v>
      </c>
    </row>
    <row r="53" spans="1:27" x14ac:dyDescent="0.25">
      <c r="A53" s="3">
        <v>278</v>
      </c>
      <c r="B53" s="3">
        <v>26.6</v>
      </c>
      <c r="C53" s="3">
        <v>26.86</v>
      </c>
      <c r="E53" s="3">
        <v>28.73</v>
      </c>
      <c r="G53" s="3">
        <v>-8.26</v>
      </c>
      <c r="I53" s="3">
        <v>96</v>
      </c>
      <c r="K53" s="4">
        <v>1174</v>
      </c>
      <c r="O53" s="3" t="s">
        <v>53</v>
      </c>
      <c r="Q53" s="3">
        <v>28.84</v>
      </c>
      <c r="S53" s="3">
        <v>29.64</v>
      </c>
      <c r="U53" s="3">
        <v>39.799999999999997</v>
      </c>
      <c r="W53" s="3">
        <v>-0.51</v>
      </c>
      <c r="Y53" s="3">
        <v>0</v>
      </c>
      <c r="AA53" s="4">
        <v>1966</v>
      </c>
    </row>
    <row r="54" spans="1:27" x14ac:dyDescent="0.25">
      <c r="A54" s="3">
        <v>279</v>
      </c>
      <c r="B54" s="3">
        <v>27.16</v>
      </c>
      <c r="C54" s="3">
        <v>27.43</v>
      </c>
      <c r="E54" s="3">
        <v>28.64</v>
      </c>
      <c r="G54" s="3">
        <v>-9.07</v>
      </c>
      <c r="I54" s="3">
        <v>33</v>
      </c>
      <c r="K54" s="4">
        <v>1457</v>
      </c>
      <c r="O54" s="3" t="s">
        <v>54</v>
      </c>
      <c r="Q54" s="3">
        <v>29.39</v>
      </c>
      <c r="S54" s="3">
        <v>30.2</v>
      </c>
      <c r="U54" s="3">
        <v>41.8</v>
      </c>
      <c r="W54" s="3">
        <v>0.74</v>
      </c>
      <c r="Y54" s="3">
        <v>0</v>
      </c>
      <c r="AA54" s="3">
        <v>744</v>
      </c>
    </row>
    <row r="55" spans="1:27" x14ac:dyDescent="0.25">
      <c r="A55" s="3">
        <v>280</v>
      </c>
      <c r="B55" s="3">
        <v>27.74</v>
      </c>
      <c r="C55" s="3">
        <v>28</v>
      </c>
      <c r="E55" s="3">
        <v>28.06</v>
      </c>
      <c r="G55" s="3">
        <v>-10.38</v>
      </c>
      <c r="I55" s="4">
        <v>6687</v>
      </c>
      <c r="K55" s="4">
        <v>23935</v>
      </c>
      <c r="O55" s="3" t="s">
        <v>55</v>
      </c>
      <c r="Q55" s="3">
        <v>29.93</v>
      </c>
      <c r="S55" s="3">
        <v>30.76</v>
      </c>
      <c r="U55" s="3">
        <v>46.47</v>
      </c>
      <c r="W55" s="3">
        <v>4.6399999999999997</v>
      </c>
      <c r="Y55" s="3">
        <v>0</v>
      </c>
      <c r="AA55" s="4">
        <v>1370</v>
      </c>
    </row>
    <row r="56" spans="1:27" x14ac:dyDescent="0.25">
      <c r="A56" s="3">
        <v>281</v>
      </c>
      <c r="B56" s="3">
        <v>28.33</v>
      </c>
      <c r="C56" s="3">
        <v>28.6</v>
      </c>
      <c r="E56" s="3">
        <v>30.9</v>
      </c>
      <c r="G56" s="3">
        <v>-8.2799999999999994</v>
      </c>
      <c r="I56" s="3">
        <v>19</v>
      </c>
      <c r="K56" s="4">
        <v>2353</v>
      </c>
      <c r="O56" s="3" t="s">
        <v>56</v>
      </c>
      <c r="Q56" s="3">
        <v>30.52</v>
      </c>
      <c r="S56" s="3">
        <v>31.33</v>
      </c>
      <c r="U56" s="3">
        <v>32.299999999999997</v>
      </c>
      <c r="W56" s="3">
        <v>-8.75</v>
      </c>
      <c r="Y56" s="3">
        <v>7</v>
      </c>
      <c r="AA56" s="4">
        <v>2297</v>
      </c>
    </row>
    <row r="57" spans="1:27" x14ac:dyDescent="0.25">
      <c r="A57" s="3">
        <v>282</v>
      </c>
      <c r="B57" s="3">
        <v>28.93</v>
      </c>
      <c r="C57" s="3">
        <v>29.2</v>
      </c>
      <c r="E57" s="3">
        <v>28.55</v>
      </c>
      <c r="G57" s="3">
        <v>-11.37</v>
      </c>
      <c r="I57" s="3">
        <v>187</v>
      </c>
      <c r="K57" s="4">
        <v>2683</v>
      </c>
      <c r="O57" s="3" t="s">
        <v>57</v>
      </c>
      <c r="Q57" s="3">
        <v>31.09</v>
      </c>
      <c r="S57" s="3">
        <v>31.91</v>
      </c>
      <c r="U57" s="3">
        <v>49.97</v>
      </c>
      <c r="W57" s="3">
        <v>6.6</v>
      </c>
      <c r="Y57" s="3">
        <v>0</v>
      </c>
      <c r="AA57" s="4">
        <v>1283</v>
      </c>
    </row>
    <row r="58" spans="1:27" x14ac:dyDescent="0.25">
      <c r="A58" s="3">
        <v>283</v>
      </c>
      <c r="B58" s="3">
        <v>29.54</v>
      </c>
      <c r="C58" s="3">
        <v>29.81</v>
      </c>
      <c r="E58" s="3">
        <v>31.06</v>
      </c>
      <c r="G58" s="3">
        <v>-9.6199999999999992</v>
      </c>
      <c r="I58" s="3">
        <v>15</v>
      </c>
      <c r="K58" s="4">
        <v>2236</v>
      </c>
      <c r="O58" s="3" t="s">
        <v>58</v>
      </c>
      <c r="Q58" s="3">
        <v>31.66</v>
      </c>
      <c r="S58" s="3">
        <v>32.479999999999997</v>
      </c>
      <c r="U58" s="3">
        <v>34.950000000000003</v>
      </c>
      <c r="W58" s="3">
        <v>-7.52</v>
      </c>
      <c r="Y58" s="3">
        <v>2</v>
      </c>
      <c r="AA58" s="4">
        <v>1735</v>
      </c>
    </row>
    <row r="59" spans="1:27" x14ac:dyDescent="0.25">
      <c r="A59" s="3">
        <v>284</v>
      </c>
      <c r="B59" s="3">
        <v>30.16</v>
      </c>
      <c r="C59" s="3">
        <v>30.43</v>
      </c>
      <c r="E59" s="3">
        <v>31.7</v>
      </c>
      <c r="G59" s="3">
        <v>-9.75</v>
      </c>
      <c r="I59" s="3">
        <v>59</v>
      </c>
      <c r="K59" s="4">
        <v>1579</v>
      </c>
      <c r="O59" s="3" t="s">
        <v>59</v>
      </c>
      <c r="Q59" s="3">
        <v>32.270000000000003</v>
      </c>
      <c r="S59" s="3">
        <v>33.06</v>
      </c>
      <c r="U59" s="3">
        <v>49.44</v>
      </c>
      <c r="W59" s="3">
        <v>4.49</v>
      </c>
      <c r="Y59" s="3">
        <v>0</v>
      </c>
      <c r="AA59" s="3">
        <v>793</v>
      </c>
    </row>
    <row r="60" spans="1:27" x14ac:dyDescent="0.25">
      <c r="A60" s="3">
        <v>285</v>
      </c>
      <c r="B60" s="3">
        <v>30.79</v>
      </c>
      <c r="C60" s="3">
        <v>31.07</v>
      </c>
      <c r="E60" s="3">
        <v>30.96</v>
      </c>
      <c r="G60" s="3">
        <v>-11.27</v>
      </c>
      <c r="I60" s="3">
        <v>449</v>
      </c>
      <c r="K60" s="4">
        <v>26121</v>
      </c>
      <c r="O60" s="3" t="s">
        <v>60</v>
      </c>
      <c r="Q60" s="3">
        <v>32.880000000000003</v>
      </c>
      <c r="S60" s="3">
        <v>33.659999999999997</v>
      </c>
      <c r="U60" s="3">
        <v>35.25</v>
      </c>
      <c r="W60" s="3">
        <v>-8.68</v>
      </c>
      <c r="Y60" s="3">
        <v>10</v>
      </c>
      <c r="AA60" s="3">
        <v>821</v>
      </c>
    </row>
    <row r="61" spans="1:27" x14ac:dyDescent="0.25">
      <c r="A61" s="3">
        <v>286</v>
      </c>
      <c r="B61" s="3">
        <v>31.43</v>
      </c>
      <c r="C61" s="3">
        <v>31.71</v>
      </c>
      <c r="E61" s="3">
        <v>31.61</v>
      </c>
      <c r="G61" s="3">
        <v>-11.4</v>
      </c>
      <c r="I61" s="3">
        <v>32</v>
      </c>
      <c r="K61" s="4">
        <v>1889</v>
      </c>
      <c r="O61" s="3" t="s">
        <v>61</v>
      </c>
      <c r="Q61" s="3">
        <v>33.49</v>
      </c>
      <c r="S61" s="3">
        <v>34.270000000000003</v>
      </c>
      <c r="U61" s="3">
        <v>47.91</v>
      </c>
      <c r="W61" s="3">
        <v>1.34</v>
      </c>
      <c r="Y61" s="3">
        <v>0</v>
      </c>
      <c r="AA61" s="4">
        <v>1762</v>
      </c>
    </row>
    <row r="62" spans="1:27" x14ac:dyDescent="0.25">
      <c r="A62" s="3">
        <v>287</v>
      </c>
      <c r="B62" s="3">
        <v>32.090000000000003</v>
      </c>
      <c r="C62" s="3">
        <v>32.369999999999997</v>
      </c>
      <c r="E62" s="3">
        <v>31.97</v>
      </c>
      <c r="G62" s="3">
        <v>-11.84</v>
      </c>
      <c r="I62" s="3">
        <v>41</v>
      </c>
      <c r="K62" s="4">
        <v>2869</v>
      </c>
      <c r="O62" s="3" t="s">
        <v>62</v>
      </c>
      <c r="Q62" s="3">
        <v>34.119999999999997</v>
      </c>
      <c r="S62" s="3">
        <v>34.89</v>
      </c>
      <c r="U62" s="3">
        <v>43.96</v>
      </c>
      <c r="W62" s="3">
        <v>-3.42</v>
      </c>
      <c r="Y62" s="3">
        <v>0</v>
      </c>
      <c r="AA62" s="4">
        <v>1017</v>
      </c>
    </row>
    <row r="63" spans="1:27" x14ac:dyDescent="0.25">
      <c r="A63" s="3">
        <v>288</v>
      </c>
      <c r="B63" s="3">
        <v>32.69</v>
      </c>
      <c r="C63" s="3">
        <v>33.04</v>
      </c>
      <c r="E63" s="3">
        <v>33.07</v>
      </c>
      <c r="G63" s="3">
        <v>-11.54</v>
      </c>
      <c r="I63" s="3">
        <v>647</v>
      </c>
      <c r="K63" s="4">
        <v>2291</v>
      </c>
      <c r="O63" s="3" t="s">
        <v>63</v>
      </c>
      <c r="Q63" s="3">
        <v>34.76</v>
      </c>
      <c r="S63" s="3">
        <v>35.53</v>
      </c>
      <c r="U63" s="3">
        <v>39.1</v>
      </c>
      <c r="W63" s="3">
        <v>-7.09</v>
      </c>
      <c r="Y63" s="3">
        <v>1</v>
      </c>
      <c r="AA63" s="3">
        <v>906</v>
      </c>
    </row>
    <row r="64" spans="1:27" x14ac:dyDescent="0.25">
      <c r="A64" s="3">
        <v>289</v>
      </c>
      <c r="B64" s="3">
        <v>33.36</v>
      </c>
      <c r="C64" s="3">
        <v>33.72</v>
      </c>
      <c r="E64" s="3">
        <v>33</v>
      </c>
      <c r="G64" s="3">
        <v>-12.42</v>
      </c>
      <c r="I64" s="3">
        <v>173</v>
      </c>
      <c r="K64" s="4">
        <v>2853</v>
      </c>
      <c r="O64" s="3" t="s">
        <v>64</v>
      </c>
      <c r="Q64" s="3">
        <v>35.42</v>
      </c>
      <c r="S64" s="3">
        <v>36.17</v>
      </c>
      <c r="U64" s="3">
        <v>54.29</v>
      </c>
      <c r="W64" s="3">
        <v>5.26</v>
      </c>
      <c r="Y64" s="3">
        <v>0</v>
      </c>
      <c r="AA64" s="3">
        <v>476</v>
      </c>
    </row>
    <row r="65" spans="1:27" x14ac:dyDescent="0.25">
      <c r="A65" s="3">
        <v>290</v>
      </c>
      <c r="B65" s="3">
        <v>34.049999999999997</v>
      </c>
      <c r="C65" s="3">
        <v>34.409999999999997</v>
      </c>
      <c r="E65" s="3">
        <v>33.5</v>
      </c>
      <c r="G65" s="3">
        <v>-12.74</v>
      </c>
      <c r="I65" s="3">
        <v>258</v>
      </c>
      <c r="K65" s="4">
        <v>20010</v>
      </c>
      <c r="O65" s="3" t="s">
        <v>65</v>
      </c>
      <c r="Q65" s="3">
        <v>36.07</v>
      </c>
      <c r="S65" s="3">
        <v>36.82</v>
      </c>
      <c r="U65" s="3">
        <v>38.61</v>
      </c>
      <c r="W65" s="3">
        <v>-9.1199999999999992</v>
      </c>
      <c r="Y65" s="3">
        <v>4</v>
      </c>
      <c r="AA65" s="3">
        <v>606</v>
      </c>
    </row>
    <row r="66" spans="1:27" x14ac:dyDescent="0.25">
      <c r="A66" s="3">
        <v>291</v>
      </c>
      <c r="B66" s="3">
        <v>34.74</v>
      </c>
      <c r="C66" s="3">
        <v>35.11</v>
      </c>
      <c r="E66" s="3">
        <v>37.04</v>
      </c>
      <c r="G66" s="3">
        <v>-10.029999999999999</v>
      </c>
      <c r="I66" s="3">
        <v>6</v>
      </c>
      <c r="K66" s="4">
        <v>3108</v>
      </c>
      <c r="O66" s="3" t="s">
        <v>66</v>
      </c>
      <c r="Q66" s="3">
        <v>36.74</v>
      </c>
      <c r="S66" s="3">
        <v>37.49</v>
      </c>
      <c r="U66" s="3">
        <v>39.51</v>
      </c>
      <c r="W66" s="3">
        <v>-9.01</v>
      </c>
      <c r="Y66" s="3">
        <v>18</v>
      </c>
      <c r="AA66" s="4">
        <v>1970</v>
      </c>
    </row>
    <row r="67" spans="1:27" x14ac:dyDescent="0.25">
      <c r="A67" s="3">
        <v>292</v>
      </c>
      <c r="B67" s="3">
        <v>35.450000000000003</v>
      </c>
      <c r="C67" s="3">
        <v>35.82</v>
      </c>
      <c r="E67" s="3">
        <v>45.91</v>
      </c>
      <c r="G67" s="3">
        <v>-4.72</v>
      </c>
      <c r="I67" s="3">
        <v>0</v>
      </c>
      <c r="K67" s="4">
        <v>5401</v>
      </c>
      <c r="O67" s="3" t="s">
        <v>67</v>
      </c>
      <c r="Q67" s="3">
        <v>37.43</v>
      </c>
      <c r="S67" s="3">
        <v>38.17</v>
      </c>
      <c r="U67" s="3">
        <v>48.83</v>
      </c>
      <c r="W67" s="3">
        <v>-2.74</v>
      </c>
      <c r="Y67" s="3">
        <v>0</v>
      </c>
      <c r="AA67" s="3">
        <v>872</v>
      </c>
    </row>
    <row r="68" spans="1:27" x14ac:dyDescent="0.25">
      <c r="A68" s="3">
        <v>293</v>
      </c>
      <c r="B68" s="3">
        <v>35.89</v>
      </c>
      <c r="C68" s="3">
        <v>36.880000000000003</v>
      </c>
      <c r="E68" s="3">
        <v>48.24</v>
      </c>
      <c r="G68" s="3">
        <v>-3.28</v>
      </c>
      <c r="I68" s="3">
        <v>0</v>
      </c>
      <c r="K68" s="4">
        <v>5362</v>
      </c>
      <c r="O68" s="3" t="s">
        <v>68</v>
      </c>
      <c r="Q68" s="3">
        <v>37.9</v>
      </c>
      <c r="S68" s="3">
        <v>38.99</v>
      </c>
      <c r="U68" s="3">
        <v>40.46</v>
      </c>
      <c r="W68" s="3">
        <v>-9.66</v>
      </c>
      <c r="Y68" s="3">
        <v>1</v>
      </c>
      <c r="AA68" s="4">
        <v>1187</v>
      </c>
    </row>
    <row r="69" spans="1:27" x14ac:dyDescent="0.25">
      <c r="A69" s="3">
        <v>294</v>
      </c>
      <c r="B69" s="3">
        <v>36.619999999999997</v>
      </c>
      <c r="C69" s="3">
        <v>37.619999999999997</v>
      </c>
      <c r="E69" s="3">
        <v>38.590000000000003</v>
      </c>
      <c r="G69" s="3">
        <v>-11.02</v>
      </c>
      <c r="I69" s="3">
        <v>2</v>
      </c>
      <c r="K69" s="4">
        <v>3075</v>
      </c>
      <c r="O69" s="3" t="s">
        <v>69</v>
      </c>
      <c r="Q69" s="3">
        <v>38.590000000000003</v>
      </c>
      <c r="S69" s="3">
        <v>39.700000000000003</v>
      </c>
      <c r="U69" s="3">
        <v>72.62</v>
      </c>
      <c r="W69" s="3">
        <v>19.329999999999998</v>
      </c>
      <c r="Y69" s="3">
        <v>0</v>
      </c>
      <c r="AA69" s="3">
        <v>526</v>
      </c>
    </row>
    <row r="70" spans="1:27" x14ac:dyDescent="0.25">
      <c r="A70" s="3">
        <v>295</v>
      </c>
      <c r="B70" s="3">
        <v>37.36</v>
      </c>
      <c r="C70" s="3">
        <v>38.380000000000003</v>
      </c>
      <c r="E70" s="3">
        <v>38</v>
      </c>
      <c r="G70" s="3">
        <v>-12.47</v>
      </c>
      <c r="I70" s="3">
        <v>42</v>
      </c>
      <c r="K70" s="4">
        <v>22149</v>
      </c>
      <c r="O70" s="3" t="s">
        <v>70</v>
      </c>
      <c r="Q70" s="3">
        <v>39.28</v>
      </c>
      <c r="S70" s="3">
        <v>40.409999999999997</v>
      </c>
      <c r="U70" s="3">
        <v>57.48</v>
      </c>
      <c r="W70" s="3">
        <v>3.32</v>
      </c>
      <c r="Y70" s="3">
        <v>0</v>
      </c>
      <c r="AA70" s="3">
        <v>539</v>
      </c>
    </row>
    <row r="71" spans="1:27" x14ac:dyDescent="0.25">
      <c r="A71" s="3">
        <v>296</v>
      </c>
      <c r="B71" s="3">
        <v>38.11</v>
      </c>
      <c r="C71" s="3">
        <v>39.14</v>
      </c>
      <c r="E71" s="3">
        <v>41.21</v>
      </c>
      <c r="G71" s="3">
        <v>-10.130000000000001</v>
      </c>
      <c r="I71" s="3">
        <v>2</v>
      </c>
      <c r="K71" s="4">
        <v>3615</v>
      </c>
      <c r="O71" s="3" t="s">
        <v>71</v>
      </c>
      <c r="Q71" s="3">
        <v>39.979999999999997</v>
      </c>
      <c r="S71" s="3">
        <v>41.14</v>
      </c>
      <c r="U71" s="3">
        <v>53</v>
      </c>
      <c r="W71" s="3">
        <v>-2.0299999999999998</v>
      </c>
      <c r="Y71" s="3">
        <v>0</v>
      </c>
      <c r="AA71" s="4">
        <v>7273</v>
      </c>
    </row>
    <row r="72" spans="1:27" x14ac:dyDescent="0.25">
      <c r="A72" s="3">
        <v>297</v>
      </c>
      <c r="B72" s="3">
        <v>38.869999999999997</v>
      </c>
      <c r="C72" s="3">
        <v>39.92</v>
      </c>
      <c r="E72" s="3">
        <v>38.770000000000003</v>
      </c>
      <c r="G72" s="3">
        <v>-13.45</v>
      </c>
      <c r="I72" s="3">
        <v>26</v>
      </c>
      <c r="K72" s="4">
        <v>1889</v>
      </c>
      <c r="O72" s="3" t="s">
        <v>72</v>
      </c>
      <c r="Q72" s="3">
        <v>40.69</v>
      </c>
      <c r="S72" s="3">
        <v>41.87</v>
      </c>
      <c r="U72" s="3">
        <v>76.7</v>
      </c>
      <c r="W72" s="3">
        <v>20.79</v>
      </c>
      <c r="Y72" s="3">
        <v>0</v>
      </c>
      <c r="AA72" s="3">
        <v>593</v>
      </c>
    </row>
    <row r="73" spans="1:27" x14ac:dyDescent="0.25">
      <c r="A73" s="3">
        <v>298</v>
      </c>
      <c r="B73" s="3">
        <v>39.64</v>
      </c>
      <c r="C73" s="3">
        <v>40.71</v>
      </c>
      <c r="E73" s="3">
        <v>39.6</v>
      </c>
      <c r="G73" s="3">
        <v>-13.51</v>
      </c>
      <c r="I73" s="3">
        <v>10</v>
      </c>
      <c r="K73" s="4">
        <v>4676</v>
      </c>
      <c r="O73" s="3" t="s">
        <v>73</v>
      </c>
      <c r="Q73" s="3">
        <v>41.42</v>
      </c>
      <c r="S73" s="3">
        <v>42.62</v>
      </c>
      <c r="U73" s="3">
        <v>55.3</v>
      </c>
      <c r="W73" s="3">
        <v>-1.49</v>
      </c>
      <c r="Y73" s="3">
        <v>0</v>
      </c>
      <c r="AA73" s="4">
        <v>2183</v>
      </c>
    </row>
    <row r="74" spans="1:27" x14ac:dyDescent="0.25">
      <c r="A74" s="3">
        <v>299</v>
      </c>
      <c r="B74" s="3">
        <v>40.43</v>
      </c>
      <c r="C74" s="3">
        <v>41.51</v>
      </c>
      <c r="E74" s="3">
        <v>41.78</v>
      </c>
      <c r="G74" s="3">
        <v>-12.22</v>
      </c>
      <c r="I74" s="3">
        <v>5</v>
      </c>
      <c r="K74" s="4">
        <v>3582</v>
      </c>
      <c r="O74" s="3" t="s">
        <v>74</v>
      </c>
      <c r="Q74" s="3">
        <v>42.15</v>
      </c>
      <c r="S74" s="3">
        <v>43.37</v>
      </c>
      <c r="U74" s="3">
        <v>58.93</v>
      </c>
      <c r="W74" s="3">
        <v>1.25</v>
      </c>
      <c r="Y74" s="3">
        <v>0</v>
      </c>
      <c r="AA74" s="3">
        <v>625</v>
      </c>
    </row>
    <row r="75" spans="1:27" x14ac:dyDescent="0.25">
      <c r="A75" s="3">
        <v>300</v>
      </c>
      <c r="B75" s="3">
        <v>41.22</v>
      </c>
      <c r="C75" s="3">
        <v>42.32</v>
      </c>
      <c r="E75" s="3">
        <v>41.97</v>
      </c>
      <c r="G75" s="3">
        <v>-12.92</v>
      </c>
      <c r="I75" s="3">
        <v>438</v>
      </c>
      <c r="K75" s="4">
        <v>20736</v>
      </c>
      <c r="O75" s="3" t="s">
        <v>75</v>
      </c>
      <c r="Q75" s="3">
        <v>42.89</v>
      </c>
      <c r="S75" s="3">
        <v>44.14</v>
      </c>
      <c r="U75" s="3">
        <v>63.74</v>
      </c>
      <c r="W75" s="3">
        <v>5.17</v>
      </c>
      <c r="Y75" s="3">
        <v>0</v>
      </c>
      <c r="AA75" s="4">
        <v>1369</v>
      </c>
    </row>
    <row r="76" spans="1:27" x14ac:dyDescent="0.25">
      <c r="A76" s="3">
        <v>301</v>
      </c>
      <c r="B76" s="3">
        <v>42.2</v>
      </c>
      <c r="C76" s="3">
        <v>43.14</v>
      </c>
      <c r="E76" s="3">
        <v>41.98</v>
      </c>
      <c r="G76" s="3">
        <v>-13.81</v>
      </c>
      <c r="I76" s="3">
        <v>2</v>
      </c>
      <c r="K76" s="4">
        <v>4620</v>
      </c>
      <c r="O76" s="3" t="s">
        <v>76</v>
      </c>
      <c r="Q76" s="3">
        <v>43.64</v>
      </c>
      <c r="S76" s="3">
        <v>44.92</v>
      </c>
      <c r="U76" s="3">
        <v>44.18</v>
      </c>
      <c r="W76" s="3">
        <v>-12.65</v>
      </c>
      <c r="Y76" s="3">
        <v>44</v>
      </c>
      <c r="AA76" s="4">
        <v>5003</v>
      </c>
    </row>
    <row r="77" spans="1:27" x14ac:dyDescent="0.25">
      <c r="A77" s="3">
        <v>302</v>
      </c>
      <c r="B77" s="3">
        <v>42.85</v>
      </c>
      <c r="C77" s="3">
        <v>43.97</v>
      </c>
      <c r="E77" s="3">
        <v>42.79</v>
      </c>
      <c r="G77" s="3">
        <v>-13.91</v>
      </c>
      <c r="I77" s="3">
        <v>5</v>
      </c>
      <c r="K77" s="4">
        <v>5825</v>
      </c>
      <c r="O77" s="3" t="s">
        <v>77</v>
      </c>
      <c r="Q77" s="3">
        <v>44.4</v>
      </c>
      <c r="S77" s="3">
        <v>45.7</v>
      </c>
      <c r="U77" s="3">
        <v>60.5</v>
      </c>
      <c r="W77" s="3">
        <v>0.14000000000000001</v>
      </c>
      <c r="Y77" s="3">
        <v>0</v>
      </c>
      <c r="AA77" s="3">
        <v>895</v>
      </c>
    </row>
    <row r="78" spans="1:27" x14ac:dyDescent="0.25">
      <c r="A78" s="3">
        <v>303</v>
      </c>
      <c r="B78" s="3">
        <v>43.67</v>
      </c>
      <c r="C78" s="3">
        <v>44.81</v>
      </c>
      <c r="E78" s="3">
        <v>43.62</v>
      </c>
      <c r="G78" s="3">
        <v>-13.99</v>
      </c>
      <c r="I78" s="3">
        <v>24</v>
      </c>
      <c r="K78" s="4">
        <v>6427</v>
      </c>
      <c r="O78" s="3" t="s">
        <v>78</v>
      </c>
      <c r="Q78" s="3">
        <v>45.17</v>
      </c>
      <c r="S78" s="3">
        <v>46.5</v>
      </c>
      <c r="U78" s="3">
        <v>47.5</v>
      </c>
      <c r="W78" s="3">
        <v>-11.07</v>
      </c>
      <c r="Y78" s="3">
        <v>5</v>
      </c>
      <c r="AA78" s="4">
        <v>1022</v>
      </c>
    </row>
    <row r="79" spans="1:27" x14ac:dyDescent="0.25">
      <c r="A79" s="3">
        <v>304</v>
      </c>
      <c r="B79" s="3">
        <v>44.51</v>
      </c>
      <c r="C79" s="3">
        <v>45.66</v>
      </c>
      <c r="E79" s="3">
        <v>45.75</v>
      </c>
      <c r="G79" s="3">
        <v>-12.79</v>
      </c>
      <c r="I79" s="3">
        <v>3</v>
      </c>
      <c r="K79" s="4">
        <v>2414</v>
      </c>
      <c r="O79" s="3" t="s">
        <v>79</v>
      </c>
      <c r="Q79" s="3">
        <v>45.96</v>
      </c>
      <c r="S79" s="3">
        <v>47.3</v>
      </c>
      <c r="U79" s="3">
        <v>61.08</v>
      </c>
      <c r="W79" s="3">
        <v>-1.0900000000000001</v>
      </c>
      <c r="Y79" s="3">
        <v>0</v>
      </c>
      <c r="AA79" s="3">
        <v>703</v>
      </c>
    </row>
    <row r="80" spans="1:27" x14ac:dyDescent="0.25">
      <c r="A80" s="3">
        <v>305</v>
      </c>
      <c r="B80" s="3">
        <v>45.36</v>
      </c>
      <c r="C80" s="3">
        <v>46.51</v>
      </c>
      <c r="E80" s="3">
        <v>45.2</v>
      </c>
      <c r="G80" s="3">
        <v>-14.26</v>
      </c>
      <c r="I80" s="3">
        <v>174</v>
      </c>
      <c r="K80" s="4">
        <v>9898</v>
      </c>
      <c r="O80" s="3" t="s">
        <v>80</v>
      </c>
      <c r="Q80" s="3">
        <v>46.74</v>
      </c>
      <c r="S80" s="3">
        <v>48.11</v>
      </c>
      <c r="U80" s="3">
        <v>57.21</v>
      </c>
      <c r="W80" s="3">
        <v>-5.88</v>
      </c>
      <c r="Y80" s="3">
        <v>0</v>
      </c>
      <c r="AA80" s="3">
        <v>663</v>
      </c>
    </row>
    <row r="81" spans="1:27" x14ac:dyDescent="0.25">
      <c r="A81" s="3">
        <v>306</v>
      </c>
      <c r="B81" s="3">
        <v>46.21</v>
      </c>
      <c r="C81" s="3">
        <v>47.38</v>
      </c>
      <c r="E81" s="3">
        <v>53.12</v>
      </c>
      <c r="G81" s="3">
        <v>-10.29</v>
      </c>
      <c r="I81" s="3">
        <v>0</v>
      </c>
      <c r="K81" s="4">
        <v>2682</v>
      </c>
      <c r="O81" s="3" t="s">
        <v>81</v>
      </c>
      <c r="Q81" s="3">
        <v>47.54</v>
      </c>
      <c r="S81" s="3">
        <v>48.94</v>
      </c>
      <c r="U81" s="3">
        <v>47.5</v>
      </c>
      <c r="W81" s="3">
        <v>-13.72</v>
      </c>
      <c r="Y81" s="3">
        <v>6</v>
      </c>
      <c r="AA81" s="4">
        <v>5132</v>
      </c>
    </row>
    <row r="82" spans="1:27" x14ac:dyDescent="0.25">
      <c r="A82" s="3">
        <v>307</v>
      </c>
      <c r="B82" s="3">
        <v>47.08</v>
      </c>
      <c r="C82" s="3">
        <v>48.26</v>
      </c>
      <c r="E82" s="3">
        <v>51.5</v>
      </c>
      <c r="G82" s="3">
        <v>-9.81</v>
      </c>
      <c r="I82" s="3">
        <v>1</v>
      </c>
      <c r="K82" s="4">
        <v>2027</v>
      </c>
      <c r="O82" s="3" t="s">
        <v>82</v>
      </c>
      <c r="Q82" s="3">
        <v>48.35</v>
      </c>
      <c r="S82" s="3">
        <v>49.77</v>
      </c>
      <c r="U82" s="3">
        <v>72.38</v>
      </c>
      <c r="W82" s="3">
        <v>7.46</v>
      </c>
      <c r="Y82" s="3">
        <v>0</v>
      </c>
      <c r="AA82" s="3">
        <v>466</v>
      </c>
    </row>
    <row r="83" spans="1:27" x14ac:dyDescent="0.25">
      <c r="A83" s="3">
        <v>308</v>
      </c>
      <c r="B83" s="3">
        <v>47.96</v>
      </c>
      <c r="C83" s="3">
        <v>49.14</v>
      </c>
      <c r="E83" s="3">
        <v>51.09</v>
      </c>
      <c r="G83" s="3">
        <v>-11.16</v>
      </c>
      <c r="I83" s="3">
        <v>3</v>
      </c>
      <c r="K83" s="4">
        <v>6100</v>
      </c>
      <c r="O83" s="3" t="s">
        <v>83</v>
      </c>
      <c r="Q83" s="3">
        <v>49.17</v>
      </c>
      <c r="S83" s="3">
        <v>50.61</v>
      </c>
      <c r="U83" s="3">
        <v>54.68</v>
      </c>
      <c r="W83" s="3">
        <v>-8.34</v>
      </c>
      <c r="Y83" s="3">
        <v>16</v>
      </c>
      <c r="AA83" s="4">
        <v>1110</v>
      </c>
    </row>
    <row r="84" spans="1:27" x14ac:dyDescent="0.25">
      <c r="A84" s="3">
        <v>309</v>
      </c>
      <c r="B84" s="3">
        <v>48.84</v>
      </c>
      <c r="C84" s="3">
        <v>50.04</v>
      </c>
      <c r="E84" s="3">
        <v>58.02</v>
      </c>
      <c r="G84" s="3">
        <v>-8.2200000000000006</v>
      </c>
      <c r="I84" s="3">
        <v>0</v>
      </c>
      <c r="K84" s="4">
        <v>2508</v>
      </c>
      <c r="O84" s="3" t="s">
        <v>84</v>
      </c>
      <c r="Q84" s="3">
        <v>50</v>
      </c>
      <c r="S84" s="3">
        <v>51.46</v>
      </c>
      <c r="U84" s="3">
        <v>69.209999999999994</v>
      </c>
      <c r="W84" s="3">
        <v>2.4500000000000002</v>
      </c>
      <c r="Y84" s="3">
        <v>0</v>
      </c>
      <c r="AA84" s="4">
        <v>2636</v>
      </c>
    </row>
    <row r="85" spans="1:27" x14ac:dyDescent="0.25">
      <c r="A85" s="3">
        <v>310</v>
      </c>
      <c r="B85" s="3">
        <v>49.73</v>
      </c>
      <c r="C85" s="3">
        <v>50.93</v>
      </c>
      <c r="E85" s="3">
        <v>50.47</v>
      </c>
      <c r="G85" s="3">
        <v>-13.67</v>
      </c>
      <c r="I85" s="3">
        <v>40</v>
      </c>
      <c r="K85" s="4">
        <v>13581</v>
      </c>
      <c r="O85" s="3" t="s">
        <v>85</v>
      </c>
      <c r="Q85" s="3">
        <v>50.83</v>
      </c>
      <c r="S85" s="3">
        <v>52.32</v>
      </c>
      <c r="U85" s="3">
        <v>68.61</v>
      </c>
      <c r="W85" s="3">
        <v>0.92</v>
      </c>
      <c r="Y85" s="3">
        <v>0</v>
      </c>
      <c r="AA85" s="4">
        <v>1293</v>
      </c>
    </row>
    <row r="86" spans="1:27" x14ac:dyDescent="0.25">
      <c r="A86" s="3">
        <v>311</v>
      </c>
      <c r="B86" s="3">
        <v>50.63</v>
      </c>
      <c r="C86" s="3">
        <v>51.84</v>
      </c>
      <c r="E86" s="3">
        <v>54.7</v>
      </c>
      <c r="G86" s="3">
        <v>-10.39</v>
      </c>
      <c r="I86" s="3">
        <v>3</v>
      </c>
      <c r="K86" s="4">
        <v>4457</v>
      </c>
      <c r="O86" s="3" t="s">
        <v>86</v>
      </c>
      <c r="Q86" s="3">
        <v>51.68</v>
      </c>
      <c r="S86" s="3">
        <v>53.18</v>
      </c>
      <c r="U86" s="3">
        <v>58.23</v>
      </c>
      <c r="W86" s="3">
        <v>-7.52</v>
      </c>
      <c r="Y86" s="3">
        <v>598</v>
      </c>
      <c r="AA86" s="4">
        <v>3030</v>
      </c>
    </row>
    <row r="87" spans="1:27" x14ac:dyDescent="0.25">
      <c r="A87" s="3">
        <v>312</v>
      </c>
      <c r="B87" s="3">
        <v>51.53</v>
      </c>
      <c r="C87" s="3">
        <v>52.75</v>
      </c>
      <c r="E87" s="3">
        <v>52.04</v>
      </c>
      <c r="G87" s="3">
        <v>-14</v>
      </c>
      <c r="I87" s="3">
        <v>6</v>
      </c>
      <c r="K87" s="4">
        <v>5529</v>
      </c>
      <c r="O87" s="3" t="s">
        <v>87</v>
      </c>
      <c r="Q87" s="3">
        <v>52.53</v>
      </c>
      <c r="S87" s="3">
        <v>54.06</v>
      </c>
      <c r="U87" s="3">
        <v>74.41</v>
      </c>
      <c r="W87" s="3">
        <v>4.8600000000000003</v>
      </c>
      <c r="Y87" s="3">
        <v>0</v>
      </c>
      <c r="AA87" s="4">
        <v>1173</v>
      </c>
    </row>
    <row r="88" spans="1:27" x14ac:dyDescent="0.25">
      <c r="A88" s="3">
        <v>313</v>
      </c>
      <c r="B88" s="3">
        <v>52.44</v>
      </c>
      <c r="C88" s="3">
        <v>53.66</v>
      </c>
      <c r="E88" s="3">
        <v>56.76</v>
      </c>
      <c r="G88" s="3">
        <v>-10.23</v>
      </c>
      <c r="I88" s="3">
        <v>14</v>
      </c>
      <c r="K88" s="4">
        <v>2976</v>
      </c>
      <c r="O88" s="3" t="s">
        <v>88</v>
      </c>
      <c r="Q88" s="3">
        <v>53.39</v>
      </c>
      <c r="S88" s="3">
        <v>54.93</v>
      </c>
      <c r="U88" s="3">
        <v>89.93</v>
      </c>
      <c r="W88" s="3">
        <v>19.45</v>
      </c>
      <c r="Y88" s="3">
        <v>0</v>
      </c>
      <c r="AA88" s="4">
        <v>1624</v>
      </c>
    </row>
    <row r="89" spans="1:27" x14ac:dyDescent="0.25">
      <c r="A89" s="3">
        <v>314</v>
      </c>
      <c r="B89" s="3">
        <v>53.32</v>
      </c>
      <c r="C89" s="3">
        <v>54.63</v>
      </c>
      <c r="E89" s="3">
        <v>57</v>
      </c>
      <c r="G89" s="3">
        <v>-10.95</v>
      </c>
      <c r="I89" s="3">
        <v>2</v>
      </c>
      <c r="K89" s="4">
        <v>3553</v>
      </c>
      <c r="O89" s="3" t="s">
        <v>89</v>
      </c>
      <c r="Q89" s="3">
        <v>54.25</v>
      </c>
      <c r="S89" s="3">
        <v>55.82</v>
      </c>
      <c r="U89" s="3">
        <v>64.39</v>
      </c>
      <c r="W89" s="3">
        <v>-4.13</v>
      </c>
      <c r="Y89" s="3">
        <v>1</v>
      </c>
      <c r="AA89" s="4">
        <v>1198</v>
      </c>
    </row>
    <row r="90" spans="1:27" x14ac:dyDescent="0.25">
      <c r="A90" s="3">
        <v>315</v>
      </c>
      <c r="B90" s="3">
        <v>54.24</v>
      </c>
      <c r="C90" s="3">
        <v>55.56</v>
      </c>
      <c r="E90" s="3">
        <v>55.08</v>
      </c>
      <c r="G90" s="3">
        <v>-13.83</v>
      </c>
      <c r="I90" s="3">
        <v>56</v>
      </c>
      <c r="K90" s="4">
        <v>4448</v>
      </c>
      <c r="O90" s="3" t="s">
        <v>90</v>
      </c>
      <c r="Q90" s="3">
        <v>55.12</v>
      </c>
      <c r="S90" s="3">
        <v>56.71</v>
      </c>
      <c r="U90" s="3">
        <v>61.34</v>
      </c>
      <c r="W90" s="3">
        <v>-8.11</v>
      </c>
      <c r="Y90" s="3">
        <v>60</v>
      </c>
      <c r="AA90" s="4">
        <v>1322</v>
      </c>
    </row>
    <row r="91" spans="1:27" x14ac:dyDescent="0.25">
      <c r="A91" s="3">
        <v>316</v>
      </c>
      <c r="B91" s="3">
        <v>55.21</v>
      </c>
      <c r="C91" s="3">
        <v>56.45</v>
      </c>
      <c r="E91" s="3">
        <v>55.12</v>
      </c>
      <c r="G91" s="3">
        <v>-14.75</v>
      </c>
      <c r="I91" s="3">
        <v>14</v>
      </c>
      <c r="K91" s="4">
        <v>3295</v>
      </c>
      <c r="O91" s="3" t="s">
        <v>91</v>
      </c>
      <c r="Q91" s="3">
        <v>56</v>
      </c>
      <c r="S91" s="3">
        <v>57.61</v>
      </c>
      <c r="U91" s="3">
        <v>64</v>
      </c>
      <c r="W91" s="3">
        <v>-6.38</v>
      </c>
      <c r="Y91" s="3">
        <v>5</v>
      </c>
      <c r="AA91" s="4">
        <v>1953</v>
      </c>
    </row>
    <row r="92" spans="1:27" x14ac:dyDescent="0.25">
      <c r="A92" s="3">
        <v>317</v>
      </c>
      <c r="B92" s="3">
        <v>56.14</v>
      </c>
      <c r="C92" s="3">
        <v>57.39</v>
      </c>
      <c r="E92" s="3">
        <v>60.52</v>
      </c>
      <c r="G92" s="3">
        <v>-10.32</v>
      </c>
      <c r="I92" s="3">
        <v>7</v>
      </c>
      <c r="K92" s="4">
        <v>2575</v>
      </c>
      <c r="O92" s="3" t="s">
        <v>92</v>
      </c>
      <c r="Q92" s="3">
        <v>56.89</v>
      </c>
      <c r="S92" s="3">
        <v>58.52</v>
      </c>
      <c r="U92" s="3">
        <v>79.89</v>
      </c>
      <c r="W92" s="3">
        <v>5.63</v>
      </c>
      <c r="Y92" s="3">
        <v>0</v>
      </c>
      <c r="AA92" s="4">
        <v>1408</v>
      </c>
    </row>
    <row r="93" spans="1:27" x14ac:dyDescent="0.25">
      <c r="A93" s="3">
        <v>318</v>
      </c>
      <c r="B93" s="3">
        <v>57.08</v>
      </c>
      <c r="C93" s="3">
        <v>58.33</v>
      </c>
      <c r="E93" s="3">
        <v>60.85</v>
      </c>
      <c r="G93" s="3">
        <v>-10.95</v>
      </c>
      <c r="I93" s="3">
        <v>10</v>
      </c>
      <c r="K93" s="4">
        <v>3909</v>
      </c>
      <c r="O93" s="3" t="s">
        <v>93</v>
      </c>
      <c r="Q93" s="3">
        <v>57.78</v>
      </c>
      <c r="S93" s="3">
        <v>59.43</v>
      </c>
      <c r="U93" s="3">
        <v>66.22</v>
      </c>
      <c r="W93" s="3">
        <v>-8.99</v>
      </c>
      <c r="Y93" s="3">
        <v>0</v>
      </c>
      <c r="AA93" s="4">
        <v>4823</v>
      </c>
    </row>
    <row r="94" spans="1:27" x14ac:dyDescent="0.25">
      <c r="A94" s="3">
        <v>319</v>
      </c>
      <c r="B94" s="3">
        <v>57.98</v>
      </c>
      <c r="C94" s="3">
        <v>59.32</v>
      </c>
      <c r="E94" s="3">
        <v>60.64</v>
      </c>
      <c r="G94" s="3">
        <v>-12.13</v>
      </c>
      <c r="I94" s="3">
        <v>4</v>
      </c>
      <c r="K94" s="4">
        <v>3402</v>
      </c>
      <c r="O94" s="3" t="s">
        <v>94</v>
      </c>
      <c r="Q94" s="3">
        <v>58.68</v>
      </c>
      <c r="S94" s="3">
        <v>60.34</v>
      </c>
      <c r="U94" s="3">
        <v>76.5</v>
      </c>
      <c r="W94" s="3">
        <v>0.34</v>
      </c>
      <c r="Y94" s="3">
        <v>0</v>
      </c>
      <c r="AA94" s="4">
        <v>1283</v>
      </c>
    </row>
    <row r="95" spans="1:27" x14ac:dyDescent="0.25">
      <c r="A95" s="3">
        <v>320</v>
      </c>
      <c r="B95" s="3">
        <v>58.97</v>
      </c>
      <c r="C95" s="3">
        <v>60.23</v>
      </c>
      <c r="E95" s="3">
        <v>58.45</v>
      </c>
      <c r="G95" s="3">
        <v>-15.29</v>
      </c>
      <c r="I95" s="3">
        <v>64</v>
      </c>
      <c r="K95" s="4">
        <v>4991</v>
      </c>
      <c r="O95" s="3" t="s">
        <v>95</v>
      </c>
      <c r="Q95" s="3">
        <v>59.59</v>
      </c>
      <c r="S95" s="3">
        <v>61.26</v>
      </c>
      <c r="U95" s="3">
        <v>73.58</v>
      </c>
      <c r="W95" s="3">
        <v>-3.54</v>
      </c>
      <c r="Y95" s="3">
        <v>0</v>
      </c>
      <c r="AA95" s="4">
        <v>1260</v>
      </c>
    </row>
    <row r="96" spans="1:27" x14ac:dyDescent="0.25">
      <c r="A96" s="3">
        <v>321</v>
      </c>
      <c r="B96" s="3">
        <v>59.92</v>
      </c>
      <c r="C96" s="3">
        <v>61.18</v>
      </c>
      <c r="E96" s="3">
        <v>59.75</v>
      </c>
      <c r="G96" s="3">
        <v>-14.97</v>
      </c>
      <c r="I96" s="3">
        <v>7</v>
      </c>
      <c r="K96" s="4">
        <v>4679</v>
      </c>
      <c r="O96" s="3" t="s">
        <v>96</v>
      </c>
      <c r="Q96" s="3">
        <v>60.5</v>
      </c>
      <c r="S96" s="3">
        <v>62.19</v>
      </c>
      <c r="U96" s="3">
        <v>60.39</v>
      </c>
      <c r="W96" s="3">
        <v>-14.7</v>
      </c>
      <c r="Y96" s="3">
        <v>2</v>
      </c>
      <c r="AA96" s="4">
        <v>1320</v>
      </c>
    </row>
    <row r="97" spans="1:27" x14ac:dyDescent="0.25">
      <c r="A97" s="3">
        <v>322</v>
      </c>
      <c r="B97" s="3">
        <v>60.87</v>
      </c>
      <c r="C97" s="3">
        <v>62.14</v>
      </c>
      <c r="E97" s="3">
        <v>63.47</v>
      </c>
      <c r="G97" s="3">
        <v>-12.22</v>
      </c>
      <c r="I97" s="3">
        <v>1</v>
      </c>
      <c r="K97" s="4">
        <v>2555</v>
      </c>
      <c r="O97" s="3" t="s">
        <v>97</v>
      </c>
      <c r="Q97" s="3">
        <v>61.41</v>
      </c>
      <c r="S97" s="3">
        <v>63.12</v>
      </c>
      <c r="U97" s="3">
        <v>95.61</v>
      </c>
      <c r="W97" s="3">
        <v>16.59</v>
      </c>
      <c r="Y97" s="3">
        <v>0</v>
      </c>
      <c r="AA97" s="4">
        <v>2080</v>
      </c>
    </row>
    <row r="98" spans="1:27" x14ac:dyDescent="0.25">
      <c r="A98" s="3">
        <v>323</v>
      </c>
      <c r="B98" s="3">
        <v>61.83</v>
      </c>
      <c r="C98" s="3">
        <v>63.1</v>
      </c>
      <c r="E98" s="3">
        <v>65.48</v>
      </c>
      <c r="G98" s="3">
        <v>-11.18</v>
      </c>
      <c r="I98" s="3">
        <v>2</v>
      </c>
      <c r="K98" s="4">
        <v>5783</v>
      </c>
      <c r="O98" s="3" t="s">
        <v>98</v>
      </c>
      <c r="Q98" s="3">
        <v>62.33</v>
      </c>
      <c r="S98" s="3">
        <v>64.05</v>
      </c>
      <c r="U98" s="3">
        <v>87.91</v>
      </c>
      <c r="W98" s="3">
        <v>7.93</v>
      </c>
      <c r="Y98" s="3">
        <v>0</v>
      </c>
      <c r="AA98" s="3">
        <v>291</v>
      </c>
    </row>
    <row r="99" spans="1:27" x14ac:dyDescent="0.25">
      <c r="A99" s="3">
        <v>324</v>
      </c>
      <c r="B99" s="3">
        <v>62.79</v>
      </c>
      <c r="C99" s="3">
        <v>64.06</v>
      </c>
      <c r="E99" s="3">
        <v>66.260000000000005</v>
      </c>
      <c r="G99" s="3">
        <v>-11.38</v>
      </c>
      <c r="I99" s="3">
        <v>4</v>
      </c>
      <c r="K99" s="4">
        <v>3112</v>
      </c>
      <c r="O99" s="3" t="s">
        <v>99</v>
      </c>
      <c r="Q99" s="3">
        <v>63.25</v>
      </c>
      <c r="S99" s="3">
        <v>64.989999999999995</v>
      </c>
      <c r="U99" s="3">
        <v>69.3</v>
      </c>
      <c r="W99" s="3">
        <v>-11.64</v>
      </c>
      <c r="Y99" s="3">
        <v>0</v>
      </c>
      <c r="AA99" s="4">
        <v>1228</v>
      </c>
    </row>
    <row r="100" spans="1:27" x14ac:dyDescent="0.25">
      <c r="A100" s="3">
        <v>325</v>
      </c>
      <c r="B100" s="3">
        <v>63.75</v>
      </c>
      <c r="C100" s="3">
        <v>65.03</v>
      </c>
      <c r="E100" s="3">
        <v>65</v>
      </c>
      <c r="G100" s="3">
        <v>-13.62</v>
      </c>
      <c r="I100" s="3">
        <v>16</v>
      </c>
      <c r="K100" s="4">
        <v>8214</v>
      </c>
      <c r="O100" s="3" t="s">
        <v>100</v>
      </c>
      <c r="Q100" s="3">
        <v>64.180000000000007</v>
      </c>
      <c r="S100" s="3">
        <v>65.930000000000007</v>
      </c>
      <c r="U100" s="3">
        <v>69.290000000000006</v>
      </c>
      <c r="W100" s="3">
        <v>-9.6</v>
      </c>
      <c r="Y100" s="3">
        <v>2</v>
      </c>
      <c r="AA100" s="3">
        <v>305</v>
      </c>
    </row>
    <row r="101" spans="1:27" x14ac:dyDescent="0.25">
      <c r="O101" s="3" t="s">
        <v>101</v>
      </c>
      <c r="Q101" s="3">
        <v>65.12</v>
      </c>
      <c r="S101" s="3">
        <v>66.88</v>
      </c>
      <c r="U101" s="3">
        <v>74.5</v>
      </c>
      <c r="W101" s="3">
        <v>-5.35</v>
      </c>
      <c r="Y101" s="3">
        <v>1</v>
      </c>
      <c r="AA101" s="3">
        <v>810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(5)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Fleming</dc:creator>
  <cp:lastModifiedBy>Keith Fleming</cp:lastModifiedBy>
  <dcterms:created xsi:type="dcterms:W3CDTF">2020-03-18T04:58:25Z</dcterms:created>
  <dcterms:modified xsi:type="dcterms:W3CDTF">2025-12-15T16:35:55Z</dcterms:modified>
</cp:coreProperties>
</file>